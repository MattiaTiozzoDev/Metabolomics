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png" ContentType="image/png"/>
  <Default Extension="jp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drawings/drawing4.xml" ContentType="application/vnd.openxmlformats-officedocument.drawingml.chartshapes+xml"/>
  <Override PartName="/xl/drawings/drawing5.xml" ContentType="application/vnd.openxmlformats-officedocument.drawingml.chartshapes+xml"/>
  <Override PartName="/xl/drawings/drawing6.xml" ContentType="application/vnd.openxmlformats-officedocument.drawingml.chartshapes+xml"/>
  <Override PartName="/xl/drawings/drawing7.xml" ContentType="application/vnd.openxmlformats-officedocument.drawingml.chartshapes+xml"/>
  <Override PartName="/xl/drawings/drawing8.xml" ContentType="application/vnd.openxmlformats-officedocument.drawingml.chartshapes+xml"/>
  <Override PartName="/xl/drawings/drawing9.xml" ContentType="application/vnd.openxmlformats-officedocument.drawingml.chartshapes+xml"/>
  <Override PartName="/xl/drawings/drawing10.xml" ContentType="application/vnd.openxmlformats-officedocument.drawingml.chartshapes+xml"/>
  <Override PartName="/xl/drawings/drawing11.xml" ContentType="application/vnd.openxmlformats-officedocument.drawingml.chartshapes+xml"/>
  <Override PartName="/xl/drawings/drawing12.xml" ContentType="application/vnd.openxmlformats-officedocument.drawingml.chartshapes+xml"/>
  <Override PartName="/xl/drawings/drawing13.xml" ContentType="application/vnd.openxmlformats-officedocument.drawingml.chartshapes+xml"/>
  <Override PartName="/xl/drawings/drawing14.xml" ContentType="application/vnd.openxmlformats-officedocument.drawingml.chartshapes+xml"/>
  <Override PartName="/xl/drawings/drawing15.xml" ContentType="application/vnd.openxmlformats-officedocument.drawingml.chartshapes+xml"/>
  <Override PartName="/xl/drawings/drawing16.xml" ContentType="application/vnd.openxmlformats-officedocument.drawingml.chartshapes+xml"/>
  <Override PartName="/xl/drawings/drawing17.xml" ContentType="application/vnd.openxmlformats-officedocument.drawingml.chartshapes+xml"/>
  <Override PartName="/xl/drawings/drawing18.xml" ContentType="application/vnd.openxmlformats-officedocument.drawingml.chartshapes+xml"/>
  <Override PartName="/xl/drawings/drawing19.xml" ContentType="application/vnd.openxmlformats-officedocument.drawingml.chartshapes+xml"/>
  <Override PartName="/xl/drawings/drawing20.xml" ContentType="application/vnd.openxmlformats-officedocument.drawingml.chartshapes+xml"/>
  <Override PartName="/xl/drawings/drawing21.xml" ContentType="application/vnd.openxmlformats-officedocument.drawingml.chartshapes+xml"/>
  <Override PartName="/xl/drawings/drawing22.xml" ContentType="application/vnd.openxmlformats-officedocument.drawingml.chartshapes+xml"/>
  <Override PartName="/xl/drawings/drawing23.xml" ContentType="application/vnd.openxmlformats-officedocument.drawingml.chartshapes+xml"/>
  <Override PartName="/xl/drawings/drawing24.xml" ContentType="application/vnd.openxmlformats-officedocument.drawingml.chartshapes+xml"/>
  <Override PartName="/xl/drawings/drawing25.xml" ContentType="application/vnd.openxmlformats-officedocument.drawingml.chartshapes+xml"/>
  <Override PartName="/xl/drawings/drawing26.xml" ContentType="application/vnd.openxmlformats-officedocument.drawingml.chartshapes+xml"/>
  <Override PartName="/xl/drawings/drawing27.xml" ContentType="application/vnd.openxmlformats-officedocument.drawingml.chartshapes+xml"/>
  <Override PartName="/xl/drawings/drawing28.xml" ContentType="application/vnd.openxmlformats-officedocument.drawingml.chartshapes+xml"/>
  <Override PartName="/xl/drawings/drawing29.xml" ContentType="application/vnd.openxmlformats-officedocument.drawingml.chartshapes+xml"/>
  <Override PartName="/xl/drawings/drawing30.xml" ContentType="application/vnd.openxmlformats-officedocument.drawingml.chartshapes+xml"/>
  <Override PartName="/xl/drawings/drawing31.xml" ContentType="application/vnd.openxmlformats-officedocument.drawingml.chartshapes+xml"/>
  <Override PartName="/xl/drawings/drawing32.xml" ContentType="application/vnd.openxmlformats-officedocument.drawingml.chartshap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30026" codeName="{28389E77-7640-9E18-AD5C-E98E2F4A8B83}"/>
  <workbookPr codeName="Questa_cartella_di_lavoro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ario\Desktop\Test Referto\"/>
    </mc:Choice>
  </mc:AlternateContent>
  <bookViews>
    <workbookView xWindow="-120" yWindow="-16320" windowWidth="29040" windowHeight="15720" activeTab="1"/>
  </bookViews>
  <sheets>
    <sheet name="Referto" sheetId="58" r:id="rId1"/>
    <sheet name="Calcoli" sheetId="60" r:id="rId2"/>
  </sheets>
  <definedNames>
    <definedName name="_xy1">OFFSET(#REF!,1,0,#REF!,2)</definedName>
    <definedName name="cod">Referto!$Q$133</definedName>
    <definedName name="dat">Referto!$Q$142</definedName>
    <definedName name="elenco">GET.WORKBOOK(1)&amp;T(TODAY())</definedName>
    <definedName name="num">Referto!$Q$136</definedName>
    <definedName name="pppo">OFFSET(#REF!,1,0,#REF!,2)</definedName>
    <definedName name="_xlnm.Print_Area" localSheetId="0">Referto!$A$1:$AQ$471</definedName>
    <definedName name="Testo10" localSheetId="0">Referto!#REF!</definedName>
    <definedName name="Testo5" localSheetId="0">Referto!#REF!</definedName>
    <definedName name="Testo6" localSheetId="0">Referto!#REF!</definedName>
    <definedName name="Testo7" localSheetId="0">Referto!#REF!</definedName>
    <definedName name="Testo8" localSheetId="0">Referto!#REF!</definedName>
  </definedNames>
  <calcPr/>
</workbook>
</file>

<file path=xl/calcChain.xml><?xml version="1.0" encoding="utf-8"?>
<calcChain xmlns="http://schemas.openxmlformats.org/spreadsheetml/2006/main">
  <c i="60" l="1" r="CP3"/>
  <c r="CQ3"/>
  <c r="CR3"/>
  <c r="CS3"/>
  <c r="CT3"/>
  <c r="CU3"/>
  <c r="CV3"/>
  <c i="58" r="AQ421"/>
  <c r="AQ435"/>
  <c r="AQ455"/>
  <c r="AQ453"/>
  <c r="AQ451"/>
  <c r="AQ449"/>
  <c r="AQ447"/>
  <c r="AQ445"/>
  <c r="AQ443"/>
  <c r="AQ441"/>
  <c a="1" i="60" r="CT5"/>
  <c a="1" r="CV5"/>
  <c a="1" r="CS5"/>
  <c a="1" r="CU5"/>
  <c a="1" r="CP5"/>
  <c a="1" r="Y5"/>
  <c a="1" r="CO5"/>
  <c a="1" r="CR5"/>
  <c a="1" r="AI5"/>
  <c a="1" r="CQ5"/>
  <c l="1" r="AI5"/>
  <c r="Y5"/>
  <c r="CV5"/>
  <c r="CU5"/>
  <c r="CT5"/>
  <c r="CS5"/>
  <c r="CR5"/>
  <c r="CQ5"/>
  <c r="CP5"/>
  <c r="CO5"/>
  <c r="G5"/>
  <c r="B5"/>
  <c r="CX3"/>
  <c r="CY3"/>
  <c r="CZ3"/>
  <c r="DA3"/>
  <c r="DB3"/>
  <c r="DC3"/>
  <c i="58" r="AQ423"/>
  <c r="AQ425"/>
  <c r="AQ427"/>
  <c r="AQ429"/>
  <c r="AQ431"/>
  <c r="AQ433"/>
  <c r="AB451"/>
  <c r="AB423"/>
  <c r="AB425"/>
  <c r="AB427"/>
  <c r="AB429"/>
  <c r="AB431"/>
  <c r="AB433"/>
  <c r="AB435"/>
  <c r="AB437"/>
  <c r="AB439"/>
  <c r="AB441"/>
  <c r="AB443"/>
  <c r="AB445"/>
  <c r="AB447"/>
  <c r="AB449"/>
  <c r="AB421"/>
  <c r="N440"/>
  <c r="N442"/>
  <c r="N444"/>
  <c r="N446"/>
  <c r="N448"/>
  <c r="N450"/>
  <c r="N452"/>
  <c r="N454"/>
  <c r="N456"/>
  <c r="N423"/>
  <c r="N425"/>
  <c r="N427"/>
  <c r="N429"/>
  <c r="N431"/>
  <c r="N433"/>
  <c r="N435"/>
  <c r="N421"/>
  <c i="60" r="AJ3"/>
  <c r="AK3"/>
  <c r="AG3"/>
  <c r="AH3"/>
  <c r="Z3"/>
  <c r="BI3"/>
  <c r="BA3"/>
  <c r="V3"/>
  <c r="W3"/>
  <c r="X3"/>
  <c r="C2"/>
  <c i="58" r="BB305"/>
  <c r="BA305"/>
  <c r="BE401"/>
  <c r="BD401"/>
  <c r="BC401"/>
  <c r="BB401"/>
  <c r="BA401"/>
  <c r="BE395"/>
  <c r="BD395"/>
  <c r="BC395"/>
  <c r="BB395"/>
  <c r="BA395"/>
  <c r="BE389"/>
  <c r="BD389"/>
  <c r="BC389"/>
  <c r="BB389"/>
  <c r="BA389"/>
  <c r="AI413"/>
  <c r="W413"/>
  <c r="L413"/>
  <c r="BE383"/>
  <c r="BD383"/>
  <c r="BC383"/>
  <c r="BB383"/>
  <c r="BA383"/>
  <c r="BE377"/>
  <c r="BD377"/>
  <c r="BC377"/>
  <c r="BB377"/>
  <c r="BA377"/>
  <c r="BE371"/>
  <c r="BD371"/>
  <c r="BC371"/>
  <c r="BB371"/>
  <c r="BA371"/>
  <c r="BE365"/>
  <c r="BD365"/>
  <c r="BC365"/>
  <c r="BB365"/>
  <c r="BA365"/>
  <c r="BE359"/>
  <c r="BD359"/>
  <c r="BC359"/>
  <c r="BB359"/>
  <c r="BA359"/>
  <c r="BE353"/>
  <c r="BD353"/>
  <c r="BC353"/>
  <c r="BB353"/>
  <c r="BA353"/>
  <c r="BE347"/>
  <c r="BD347"/>
  <c r="BC347"/>
  <c r="BB347"/>
  <c r="BA347"/>
  <c r="BE341"/>
  <c r="BD341"/>
  <c r="BC341"/>
  <c r="BB341"/>
  <c r="BA341"/>
  <c r="BE335"/>
  <c r="BD335"/>
  <c r="BC335"/>
  <c r="BB335"/>
  <c r="BA335"/>
  <c r="BE329"/>
  <c r="BD329"/>
  <c r="BC329"/>
  <c r="BB329"/>
  <c r="BA329"/>
  <c r="BE323"/>
  <c r="BD323"/>
  <c r="BC323"/>
  <c r="BB323"/>
  <c r="BA323"/>
  <c r="BE317"/>
  <c r="BD317"/>
  <c r="BC317"/>
  <c r="BB317"/>
  <c r="BA317"/>
  <c r="BE311"/>
  <c r="BD311"/>
  <c r="BC311"/>
  <c r="BB311"/>
  <c r="BA311"/>
  <c r="BC305"/>
  <c r="BD305"/>
  <c r="BE305"/>
  <c r="BB289"/>
  <c r="BC289"/>
  <c r="AI171"/>
  <c r="W171"/>
  <c r="L171"/>
  <c r="BE295"/>
  <c r="BD295"/>
  <c r="BL295"/>
  <c r="BC295"/>
  <c r="BB295"/>
  <c r="BE289"/>
  <c r="BD289"/>
  <c r="BE283"/>
  <c r="BD283"/>
  <c r="BC283"/>
  <c r="BB283"/>
  <c r="AI272"/>
  <c r="W272"/>
  <c r="L272"/>
  <c r="BE262"/>
  <c r="BD262"/>
  <c r="BC262"/>
  <c r="BB262"/>
  <c r="BE256"/>
  <c r="BD256"/>
  <c r="BC256"/>
  <c r="BB256"/>
  <c r="BE250"/>
  <c r="BD250"/>
  <c r="BC250"/>
  <c r="BB250"/>
  <c r="BE244"/>
  <c r="BD244"/>
  <c r="BC244"/>
  <c r="BB244"/>
  <c r="BE238"/>
  <c r="BD238"/>
  <c r="BC238"/>
  <c r="BB238"/>
  <c r="BE232"/>
  <c r="BD232"/>
  <c r="BC232"/>
  <c r="BB232"/>
  <c r="BE226"/>
  <c r="BD226"/>
  <c r="BC226"/>
  <c r="BB226"/>
  <c r="BF212"/>
  <c r="BE212"/>
  <c r="BD212"/>
  <c r="BC212"/>
  <c r="BF205"/>
  <c r="BE205"/>
  <c r="BD205"/>
  <c r="BC205"/>
  <c r="BF198"/>
  <c r="BE198"/>
  <c r="BD198"/>
  <c r="BC198"/>
  <c r="BF191"/>
  <c r="BE191"/>
  <c r="BD191"/>
  <c r="BC191"/>
  <c a="1" i="60" r="U5"/>
  <c a="1" r="Z5"/>
  <c a="1" r="AF5"/>
  <c a="1" r="BA5"/>
  <c a="1" r="BH5"/>
  <c a="1" r="BI5"/>
  <c a="1" r="CY5"/>
  <c a="1" r="AZ5"/>
  <c a="1" r="DA5"/>
  <c a="1" r="DC5"/>
  <c a="1" r="BQ5"/>
  <c a="1" r="CZ5"/>
  <c a="1" r="CX5"/>
  <c a="1" r="X5"/>
  <c a="1" r="DB5"/>
  <c a="1" r="V5"/>
  <c a="1" r="AK5"/>
  <c a="1" r="W5"/>
  <c a="1" r="CW5"/>
  <c l="1" r="Z5"/>
  <c r="AK5"/>
  <c r="AA3"/>
  <c r="AL3"/>
  <c r="AM3"/>
  <c r="AN3"/>
  <c r="DC5"/>
  <c r="DB5"/>
  <c r="DA5"/>
  <c r="CZ5"/>
  <c r="CY5"/>
  <c r="CX5"/>
  <c r="CW5"/>
  <c r="BQ5"/>
  <c r="BH5"/>
  <c r="BI5"/>
  <c r="BA5"/>
  <c r="AZ5"/>
  <c r="AF5"/>
  <c r="V5"/>
  <c r="X5"/>
  <c r="W5"/>
  <c r="U5"/>
  <c r="BJ3"/>
  <c r="BB3"/>
  <c i="58" r="BH305"/>
  <c r="BH347"/>
  <c r="BL238"/>
  <c r="BH395"/>
  <c r="BH389"/>
  <c r="BH401"/>
  <c r="BH256"/>
  <c r="BH371"/>
  <c r="BL283"/>
  <c r="BH323"/>
  <c r="AS191"/>
  <c r="BL232"/>
  <c r="BH244"/>
  <c r="BH226"/>
  <c r="BH317"/>
  <c r="BH365"/>
  <c r="BH341"/>
  <c r="BH311"/>
  <c r="BH335"/>
  <c r="BH359"/>
  <c r="BL262"/>
  <c r="BH353"/>
  <c r="BH377"/>
  <c r="BH383"/>
  <c r="BH329"/>
  <c r="BH250"/>
  <c r="BL250"/>
  <c r="BH232"/>
  <c r="BH262"/>
  <c r="AS212"/>
  <c r="BH295"/>
  <c r="BH238"/>
  <c r="BH289"/>
  <c r="AS198"/>
  <c r="BL226"/>
  <c r="BL256"/>
  <c r="BL289"/>
  <c r="AS205"/>
  <c r="BL244"/>
  <c r="BH283"/>
  <c a="1" i="60" r="AA5"/>
  <c a="1" r="BJ5"/>
  <c a="1" r="BB5"/>
  <c a="1" r="AN5"/>
  <c l="1" r="AN5"/>
  <c r="AA5"/>
  <c r="AO3"/>
  <c r="AB3"/>
  <c r="BJ5"/>
  <c r="BB5"/>
  <c r="BC3"/>
  <c r="BK3"/>
  <c a="1" r="BK5"/>
  <c a="1" r="BC5"/>
  <c a="1" r="AB5"/>
  <c a="1" r="AO5"/>
  <c l="1" r="AB5"/>
  <c r="AO5"/>
  <c r="AC3"/>
  <c r="AP3"/>
  <c r="AQ3"/>
  <c r="AR3"/>
  <c r="BK5"/>
  <c r="BC5"/>
  <c r="BD3"/>
  <c r="BL3"/>
  <c a="1" r="AR5"/>
  <c a="1" r="BL5"/>
  <c a="1" r="AC5"/>
  <c a="1" r="BD5"/>
  <c l="1" r="AR5"/>
  <c r="AC5"/>
  <c r="AS3"/>
  <c r="AT3"/>
  <c r="AD3"/>
  <c r="BL5"/>
  <c r="BD5"/>
  <c r="BE3"/>
  <c r="BM3"/>
  <c a="1" r="BE5"/>
  <c a="1" r="BM5"/>
  <c a="1" r="AT5"/>
  <c a="1" r="AD5"/>
  <c l="1" r="AD5"/>
  <c r="AT5"/>
  <c r="AE3"/>
  <c r="AU3"/>
  <c r="AV3"/>
  <c r="BM5"/>
  <c r="BE5"/>
  <c r="BF3"/>
  <c r="BN3"/>
  <c a="1" r="BN5"/>
  <c a="1" r="BF5"/>
  <c a="1" r="AV5"/>
  <c a="1" r="AE5"/>
  <c l="1" r="AV5"/>
  <c r="AE5"/>
  <c r="AW3"/>
  <c r="AX3"/>
  <c r="AY3"/>
  <c r="BN5"/>
  <c r="BF5"/>
  <c r="BO3"/>
  <c r="BG3"/>
  <c a="1" r="BG5"/>
  <c a="1" r="BO5"/>
  <c a="1" r="AY5"/>
  <c l="1" r="AY5"/>
  <c r="BO5"/>
  <c r="BG5"/>
  <c r="BP3"/>
  <c a="1" r="AG5"/>
  <c a="1" r="BP5"/>
  <c l="1" r="BP5"/>
  <c r="AG5"/>
  <c a="1" r="AH5"/>
  <c l="1" r="AH5"/>
  <c r="BR3"/>
  <c a="1" r="BR5"/>
  <c l="1" r="BR5"/>
  <c r="BS3"/>
  <c a="1" r="BS5"/>
  <c l="1" r="BS5"/>
  <c r="BT3"/>
  <c a="1" r="BT5"/>
  <c l="1" r="BT5"/>
  <c r="BU3"/>
  <c a="1" r="BU5"/>
  <c l="1" r="BU5"/>
  <c r="BV3"/>
  <c a="1" r="BV5"/>
  <c l="1" r="BV5"/>
  <c r="BW3"/>
  <c a="1" r="BW5"/>
  <c l="1" r="BW5"/>
  <c r="BX3"/>
  <c a="1" r="BX5"/>
  <c l="1" r="BX5"/>
  <c r="BY3"/>
  <c a="1" r="BY5"/>
  <c l="1" r="BY5"/>
  <c r="BZ3"/>
  <c a="1" r="BZ5"/>
  <c l="1" r="BZ5"/>
  <c r="CA3"/>
  <c a="1" r="CA5"/>
  <c l="1" r="CA5"/>
  <c r="CB3"/>
  <c a="1" r="CB5"/>
  <c l="1" r="CB5"/>
  <c r="CC3"/>
  <c a="1" r="CC5"/>
  <c l="1" r="CC5"/>
  <c r="CD3"/>
  <c a="1" r="CD5"/>
  <c l="1" r="CD5"/>
  <c r="CE3"/>
  <c a="1" r="CE5"/>
  <c l="1" r="CE5"/>
  <c r="CF3"/>
  <c a="1" r="CF5"/>
  <c l="1" r="CF5"/>
  <c a="1" r="CG5"/>
  <c l="1" r="CG5"/>
  <c r="CH3"/>
  <c a="1" r="CH5"/>
  <c l="1" r="CH5"/>
  <c r="CI3"/>
  <c a="1" r="CI5"/>
  <c l="1" r="CI5"/>
  <c r="CJ3"/>
  <c a="1" r="CJ5"/>
  <c l="1" r="CJ5"/>
  <c r="CK3"/>
  <c a="1" r="CK5"/>
  <c l="1" r="CK5"/>
  <c r="CL3"/>
  <c a="1" r="CL5"/>
  <c l="1" r="CL5"/>
  <c r="CM3"/>
  <c a="1" r="CM5"/>
  <c l="1" r="CM5"/>
  <c r="CN3"/>
  <c a="1" r="CN5"/>
  <c l="1" r="CN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<sst xmlns="http://schemas.openxmlformats.org/spreadsheetml/2006/main">
  <si>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UROGENITAL®</t>
  </si>
  <si>
    <t xml:space="preserve">Diagnostica completa del </t>
  </si>
  <si>
    <t>tratto urogenitale</t>
  </si>
  <si>
    <t>UROGEN</t>
  </si>
  <si>
    <t>C:\Da500Gb\Referti2017\PDF\</t>
  </si>
  <si>
    <t>UROGENITAL è unesame completo progettato</t>
  </si>
  <si>
    <t>per valutare in modo approfondito la salute</t>
  </si>
  <si>
    <t>dell’apparato uro-genitale femminile</t>
  </si>
  <si>
    <t>A chi è consigliato UROGENITAL?</t>
  </si>
  <si>
    <t>•</t>
  </si>
  <si>
    <t>Donne con cistiti ricorrenti</t>
  </si>
  <si>
    <t>Sospetto di vaginosi, vaginiti o candidiasi recidivanti</t>
  </si>
  <si>
    <t>Dolore pelvico, prurito, bruciore o perdite anomale</t>
  </si>
  <si>
    <t>Prima di una gravidanza o in caso di infertilità inspiegata</t>
  </si>
  <si>
    <t>Dopo rapporti a rischio o come routine di prevenzione</t>
  </si>
  <si>
    <t>Donne in menopausa con sintomi urogenitali</t>
  </si>
  <si>
    <t>In un unico referto 6 analisi complementari:</t>
  </si>
  <si>
    <t>1.</t>
  </si>
  <si>
    <t>Studio del microbiota vaginale</t>
  </si>
  <si>
    <t>2.</t>
  </si>
  <si>
    <t>Urinocoltura</t>
  </si>
  <si>
    <t>3.</t>
  </si>
  <si>
    <t>Screening molecolare per le principali infezioni sessualmente trasmissibili (MST)</t>
  </si>
  <si>
    <t>4.</t>
  </si>
  <si>
    <t>Antibiogramma: test microbiologico che valuta la sensibilità di un microrganismo isolato a differenti classi di antibiotici</t>
  </si>
  <si>
    <t>5.</t>
  </si>
  <si>
    <t>Antimicogramma: test di laboratorio che valuta la sensibilità di lieviti e funghi ai principali farmaci antimicotici</t>
  </si>
  <si>
    <t>6.</t>
  </si>
  <si>
    <t>Aromatogramma: test microbiologico che valuta la sensibilità di batteri e funghi a differenti oli essenziali (OEs)</t>
  </si>
  <si>
    <t>Come si effettua l’analisi
L'integrazione tra metodiche molecolari e microbiologiche rappresenta oggi l’approccio più efficace per ottenere un quadro completo dell’identità, della funzionalità e della patogenicità dei microrganismi. Le due discipline non si sostituiscono ma si completano, combinando osservazione fenotipica e caratterizzazione genotipica.</t>
  </si>
  <si>
    <t>DATI DEL PAZIENTE E DATI DI ACCETTAZIONE DEL CAMPIONE</t>
  </si>
  <si>
    <t>COGNOME E NOME</t>
  </si>
  <si>
    <t>BAUDO GIUSEPPE</t>
  </si>
  <si>
    <t xml:space="preserve">CODICE   FISCALE</t>
  </si>
  <si>
    <t/>
  </si>
  <si>
    <t xml:space="preserve">CODICE    ORDINE</t>
  </si>
  <si>
    <t>ASDFGHJKL</t>
  </si>
  <si>
    <t>NUMERO ACCETTAZIONE</t>
  </si>
  <si>
    <t>9999</t>
  </si>
  <si>
    <t>DATA ACCETTAZIONE</t>
  </si>
  <si>
    <t xml:space="preserve">DATA     REFERTO</t>
  </si>
  <si>
    <t>05/06/2026</t>
  </si>
  <si>
    <t>DIRETTORE SANITARIO</t>
  </si>
  <si>
    <t>Dott. Alberto Santini</t>
  </si>
  <si>
    <t>Ordine</t>
  </si>
  <si>
    <t>Accettazione</t>
  </si>
  <si>
    <t>Data</t>
  </si>
  <si>
    <t>UROGENITAL TEST</t>
  </si>
  <si>
    <t>FLORA LACTOBACILLARE VAGINALE</t>
  </si>
  <si>
    <t>Nei Limiti</t>
  </si>
  <si>
    <t>Lievemente</t>
  </si>
  <si>
    <t>Nettamente</t>
  </si>
  <si>
    <t>A</t>
  </si>
  <si>
    <t>B</t>
  </si>
  <si>
    <t>C</t>
  </si>
  <si>
    <t>inferiore ai limiti</t>
  </si>
  <si>
    <t>Questi dipendono dalla letter sul grafico</t>
  </si>
  <si>
    <t>Lactobacillus crispatus</t>
  </si>
  <si>
    <t>Es. coli enteropatogeno</t>
  </si>
  <si>
    <t>Lactobacillus gasseri</t>
  </si>
  <si>
    <t>Lactobacillus iners</t>
  </si>
  <si>
    <t>Lactobacillus jensenii</t>
  </si>
  <si>
    <t>Legenda</t>
  </si>
  <si>
    <t>A:</t>
  </si>
  <si>
    <r>
      <t xml:space="preserve">u.f.c. all'interno dei limiti  (lacto &gt;10</t>
    </r>
    <r>
      <rPr>
        <rFont val="Calibri"/>
        <b val="1"/>
        <sz val="8"/>
        <vertAlign val="superscript"/>
      </rPr>
      <t>5</t>
    </r>
    <r>
      <rPr>
        <rFont val="Calibri"/>
        <b val="1"/>
        <sz val="8"/>
      </rPr>
      <t>)</t>
    </r>
  </si>
  <si>
    <t>C:</t>
  </si>
  <si>
    <r>
      <t>u.f.c. nettamente inferiore ai limiti (lacto &lt; 10</t>
    </r>
    <r>
      <rPr>
        <rFont val="Calibri"/>
        <b val="1"/>
        <sz val="8"/>
        <vertAlign val="superscript"/>
      </rPr>
      <t>4</t>
    </r>
    <r>
      <rPr>
        <rFont val="Calibri"/>
        <b val="1"/>
        <sz val="8"/>
      </rPr>
      <t>)</t>
    </r>
  </si>
  <si>
    <t>B:</t>
  </si>
  <si>
    <r>
      <t>u.f.c. lievemente inferiore (lacto fino 10</t>
    </r>
    <r>
      <rPr>
        <rFont val="Calibri"/>
        <b val="1"/>
        <sz val="8"/>
        <vertAlign val="superscript"/>
      </rPr>
      <t>4</t>
    </r>
    <r>
      <rPr>
        <rFont val="Calibri"/>
        <b val="1"/>
        <sz val="8"/>
      </rPr>
      <t>)</t>
    </r>
  </si>
  <si>
    <t>CANDIDA</t>
  </si>
  <si>
    <t>P</t>
  </si>
  <si>
    <t>Oltre i limiti</t>
  </si>
  <si>
    <t>Candida albicans</t>
  </si>
  <si>
    <t>T</t>
  </si>
  <si>
    <t>Candida dubliniensis</t>
  </si>
  <si>
    <t>Candida glabrata</t>
  </si>
  <si>
    <t>U</t>
  </si>
  <si>
    <t>Candida krusei</t>
  </si>
  <si>
    <t>E</t>
  </si>
  <si>
    <t>Candida lusitaniae</t>
  </si>
  <si>
    <t>Candida parapsilosis</t>
  </si>
  <si>
    <t>Candida tropicalis</t>
  </si>
  <si>
    <t>T:</t>
  </si>
  <si>
    <t>Rilevato su Tampone</t>
  </si>
  <si>
    <t>U:</t>
  </si>
  <si>
    <t>Rilevato nelle urine</t>
  </si>
  <si>
    <t>E:</t>
  </si>
  <si>
    <t>Rilevato su Entrambi</t>
  </si>
  <si>
    <t>FLORA PATOGENA</t>
  </si>
  <si>
    <t>Assenza</t>
  </si>
  <si>
    <t>Presenza</t>
  </si>
  <si>
    <t>Chlamydia trachomatis*</t>
  </si>
  <si>
    <t>Neisseria gonorrhoeae*</t>
  </si>
  <si>
    <t>Trichomonas vaginalis*</t>
  </si>
  <si>
    <t>D</t>
  </si>
  <si>
    <t>Enterococcus faecalis</t>
  </si>
  <si>
    <t>Enterobacter cloacae complex</t>
  </si>
  <si>
    <t>Escherichia coli</t>
  </si>
  <si>
    <t>Gardnerella vaginalis</t>
  </si>
  <si>
    <t>Klebsiella aerogenes</t>
  </si>
  <si>
    <t>Klebsiella oxytoca</t>
  </si>
  <si>
    <t>Klebsiella pneumoniae</t>
  </si>
  <si>
    <t>Mycoplasma genitalium</t>
  </si>
  <si>
    <t>Mycoplasma hominis</t>
  </si>
  <si>
    <t>Proteus mirabilis</t>
  </si>
  <si>
    <t>Proteus vulgaris</t>
  </si>
  <si>
    <t>Pseudomonas aeruginosa</t>
  </si>
  <si>
    <t>Serratia marcescens</t>
  </si>
  <si>
    <t>Staphylococcus aureus</t>
  </si>
  <si>
    <t>Staphylococcus saprophyticus</t>
  </si>
  <si>
    <t>Ureoplasma parvum</t>
  </si>
  <si>
    <t>Ureoplasma urealyticum</t>
  </si>
  <si>
    <t>assente</t>
  </si>
  <si>
    <t>&lt; 350000 u.f.c.</t>
  </si>
  <si>
    <t>&lt; 750000 u.f.c.</t>
  </si>
  <si>
    <t>D:</t>
  </si>
  <si>
    <t>&lt; 1 mil u.f.c.</t>
  </si>
  <si>
    <t>&gt; 1 mil u.f.c.</t>
  </si>
  <si>
    <t>ANTIMICOGRAMMA</t>
  </si>
  <si>
    <t>AROMATOGRAMMA</t>
  </si>
  <si>
    <t>ANTIBIOGRAMMA</t>
  </si>
  <si>
    <t>Caspofun (CAS 5 µg)</t>
  </si>
  <si>
    <t>CANNELLA</t>
  </si>
  <si>
    <t>Ciprofloxacin (CIP 5 µg)</t>
  </si>
  <si>
    <t>Fluconazole (FLU 25 µg)</t>
  </si>
  <si>
    <t>NJAULI</t>
  </si>
  <si>
    <t>Doxycicline (DXT 30 µg)</t>
  </si>
  <si>
    <t>Posoconazole (POS 5 µg)</t>
  </si>
  <si>
    <t>SALVIA</t>
  </si>
  <si>
    <t>Fosfomycin (FOS 50 µg)</t>
  </si>
  <si>
    <t>Voriconazole (VO 1 µg)</t>
  </si>
  <si>
    <t>GINEPRO</t>
  </si>
  <si>
    <t>Levofloxacin (LEV 5 µg)</t>
  </si>
  <si>
    <t>Amphotericin (AMB 20 µg)</t>
  </si>
  <si>
    <t>CAJEPUT</t>
  </si>
  <si>
    <t>Metronidazole (MTZ 50 µg)</t>
  </si>
  <si>
    <t>Ketokonazole (KCA 10 µg)</t>
  </si>
  <si>
    <t>CHIODI DI GAROFANO</t>
  </si>
  <si>
    <t>Moxifloxacin (MXF 5 µg)</t>
  </si>
  <si>
    <t>Flucytosine (AFY 1 µg)</t>
  </si>
  <si>
    <t>LAVANDA</t>
  </si>
  <si>
    <t>Nitrofurantoin (F 100 µg)</t>
  </si>
  <si>
    <t>Nystatin (NY 100 µg)</t>
  </si>
  <si>
    <t>SANTOREGGIA</t>
  </si>
  <si>
    <t>Trimethoprim-Sulfamethoxazole(SXT 25 µg)</t>
  </si>
  <si>
    <t>ANTIBIOGRAMMA DEL</t>
  </si>
  <si>
    <t>MELISSA</t>
  </si>
  <si>
    <t>MICOPLASMA</t>
  </si>
  <si>
    <t>STAFILOCOCCHI</t>
  </si>
  <si>
    <t>ROSMARINO</t>
  </si>
  <si>
    <t>STREPTOCOCCHI</t>
  </si>
  <si>
    <t>Tetracyclina (TE 8 µg/mL)</t>
  </si>
  <si>
    <t>ORIGANO</t>
  </si>
  <si>
    <t xml:space="preserve">Cefoxitin (FOX 30  µg)</t>
  </si>
  <si>
    <t>Pefloxacin (PEF 16 µg/mL)</t>
  </si>
  <si>
    <t>PINO SILVESTRE</t>
  </si>
  <si>
    <t>Ofloxacin (OFX 4 µg/mL)</t>
  </si>
  <si>
    <t>MELALEUCA</t>
  </si>
  <si>
    <t xml:space="preserve">Netilmicin (NET 10  µg )</t>
  </si>
  <si>
    <t>Doxyciclin (DO 8 µg/mL)</t>
  </si>
  <si>
    <t>EUCALIPTO</t>
  </si>
  <si>
    <t xml:space="preserve">Tetracycline ( TE 30  µg)</t>
  </si>
  <si>
    <t>Erythromycin (E 16 µg/mL)</t>
  </si>
  <si>
    <t>TIMO</t>
  </si>
  <si>
    <t xml:space="preserve">Eyithromicyn (ERY 15  µg)</t>
  </si>
  <si>
    <t>Clarithromycin (CLA 16 µg/mL)</t>
  </si>
  <si>
    <t>ZENZERO</t>
  </si>
  <si>
    <t xml:space="preserve">Gentamycin (CN 10  µg)</t>
  </si>
  <si>
    <t>Minocycline (MN 8 µg/mL)</t>
  </si>
  <si>
    <t xml:space="preserve">Rifampicin (RD 5  µg)</t>
  </si>
  <si>
    <t>Josamycin (JOS 8 µg/mL)</t>
  </si>
  <si>
    <t xml:space="preserve">*  Non valido per </t>
  </si>
  <si>
    <t>Chlamydia trachomatis</t>
  </si>
  <si>
    <t xml:space="preserve">Linezolid (LNZ 10  µg)</t>
  </si>
  <si>
    <t>Clindamycin (CD 8 µg/mL)</t>
  </si>
  <si>
    <t>Neisseria gonorrhoeae</t>
  </si>
  <si>
    <t>Trichomonas vaginalis</t>
  </si>
  <si>
    <t>SENSIBILE</t>
  </si>
  <si>
    <t>MEDIO SENSIBILE</t>
  </si>
  <si>
    <t>LIEVE SENSIBILE</t>
  </si>
  <si>
    <t>SENSIBILITA' = EFFICACIA</t>
  </si>
  <si>
    <t>N.B.: Sono stati testati olii essenziali aromatoil bio-logica srl. Si suggerisce l’uso degli stessi</t>
  </si>
  <si>
    <t>nella terapia per garantire la massima efficacia della metodica.</t>
  </si>
  <si>
    <t>DATA_ACCETTAZIONE</t>
  </si>
  <si>
    <t>CODICE_ORDINE</t>
  </si>
  <si>
    <t>CODICE_FISCALE</t>
  </si>
  <si>
    <t>VARIABILE_POPOLAZIONE</t>
  </si>
  <si>
    <t>NOME</t>
  </si>
  <si>
    <t>NUMERO_ACCETTAZIONE</t>
  </si>
  <si>
    <t>DATA_REFERTAZIONE</t>
  </si>
  <si>
    <t>Atlantys</t>
  </si>
  <si>
    <t>Trypto in Atlantis</t>
  </si>
  <si>
    <t>Phenyl - Hexyl</t>
  </si>
  <si>
    <t>Trypto in Phenyl Exyl</t>
  </si>
  <si>
    <t>CODICE D'ORDINE</t>
  </si>
  <si>
    <t>CODICE FISCALE</t>
  </si>
  <si>
    <t>VARIABILE POPOLAZIONE</t>
  </si>
  <si>
    <t>DISPONIBILE</t>
  </si>
  <si>
    <t>RIGA</t>
  </si>
  <si>
    <t>DATA REFERTAZIONE</t>
  </si>
  <si>
    <t>NUMERO</t>
  </si>
  <si>
    <t>DATA</t>
  </si>
  <si>
    <t>CONTROLLO</t>
  </si>
  <si>
    <t>05_06_2026</t>
  </si>
  <si>
    <t>GFTTRE65A12O944D</t>
  </si>
  <si>
    <t>A-U</t>
  </si>
  <si>
    <t>B-E</t>
  </si>
</sst>
</file>

<file path=xl/styles.xml><?xml version="1.0" encoding="utf-8"?>
<styleSheet xmlns="http://schemas.openxmlformats.org/spreadsheetml/2006/main">
  <numFmts count="3">
    <numFmt numFmtId="165" formatCode="dd&quot;_&quot;mm&quot;_&quot;yyyy"/>
    <numFmt numFmtId="164" formatCode="_(&quot;€&quot;* #,##0.00_);_(&quot;€&quot;* (#,##0.00);_(&quot;€&quot;* &quot;-&quot;??_);_(@_)"/>
    <numFmt numFmtId="44" formatCode="_-* #,##0.00 &quot;€&quot;_-;-* #,##0.00 &quot;€&quot;_-;_-* &quot;-&quot;?? &quot;€&quot;_-;_-@_-"/>
  </numFmts>
  <fonts count="57">
    <font>
      <sz val="10"/>
      <name val="Arial"/>
      <family val="2"/>
    </font>
    <font>
      <sz val="11"/>
      <name val="Calibri"/>
      <scheme val="minor"/>
    </font>
    <font>
      <sz val="10"/>
      <name val="Verdana"/>
    </font>
    <font>
      <b/>
      <sz val="11"/>
      <color rgb="FF0E9A68"/>
      <name val="Calibri"/>
      <scheme val="minor"/>
    </font>
    <font>
      <b/>
      <sz val="48"/>
      <color rgb="FF084C7D"/>
      <name val="Calibri"/>
      <scheme val="minor"/>
    </font>
    <font>
      <b/>
      <sz val="22"/>
      <color rgb="FF084C7D"/>
      <name val="Calibri"/>
      <scheme val="minor"/>
    </font>
    <font>
      <sz val="10"/>
      <name val="Calibri"/>
      <scheme val="minor"/>
    </font>
    <font>
      <b/>
      <sz val="18"/>
      <color rgb="FF084C7D"/>
      <name val="Calibri"/>
      <scheme val="minor"/>
    </font>
    <font>
      <b/>
      <sz val="12"/>
      <color rgb="FF084C7D"/>
      <name val="Calibri"/>
      <scheme val="minor"/>
    </font>
    <font>
      <sz val="12"/>
      <name val="Calibri"/>
      <scheme val="minor"/>
    </font>
    <font>
      <sz val="9"/>
      <name val="Calibri"/>
      <scheme val="minor"/>
    </font>
    <font>
      <sz val="10"/>
      <color rgb="FFFF0000"/>
      <name val="Arial"/>
    </font>
    <font>
      <b/>
      <sz val="16"/>
      <color rgb="FF084C7D"/>
      <name val="Calibri"/>
      <scheme val="minor"/>
    </font>
    <font>
      <b/>
      <sz val="14"/>
      <color rgb="FF002060"/>
      <name val="Calibri"/>
    </font>
    <font>
      <b/>
      <sz val="11"/>
      <color rgb="FF003399"/>
      <name val="Calibri"/>
      <scheme val="minor"/>
    </font>
    <font>
      <sz val="8"/>
      <color rgb="FF0E9A68"/>
      <name val="Calibri"/>
      <scheme val="minor"/>
    </font>
    <font>
      <b/>
      <sz val="11"/>
      <color rgb="FF084C7D"/>
      <name val="Calibri"/>
      <scheme val="minor"/>
    </font>
    <font>
      <sz val="8"/>
      <color rgb="FFFF0000"/>
      <name val="Calibri"/>
      <scheme val="minor"/>
    </font>
    <font>
      <sz val="8"/>
      <color rgb="FF084C7D"/>
      <name val="Calibri"/>
      <scheme val="minor"/>
    </font>
    <font>
      <b/>
      <sz val="12"/>
      <name val="Calibri"/>
      <scheme val="minor"/>
    </font>
    <font>
      <sz val="14"/>
      <name val="Calibri"/>
      <scheme val="minor"/>
    </font>
    <font>
      <b/>
      <sz val="20"/>
      <color rgb="FFEF7823"/>
      <name val="Calibri"/>
    </font>
    <font>
      <b/>
      <sz val="16"/>
      <name val="Arial"/>
    </font>
    <font>
      <b/>
      <sz val="20"/>
      <color theme="0"/>
      <name val="Calibri"/>
      <scheme val="minor"/>
    </font>
    <font>
      <b/>
      <sz val="10"/>
      <name val="Malgun Gothic"/>
    </font>
    <font>
      <b/>
      <sz val="8"/>
      <name val="Calibri"/>
      <scheme val="minor"/>
    </font>
    <font>
      <b/>
      <sz val="8"/>
      <name val="Verdana"/>
    </font>
    <font>
      <b/>
      <sz val="8"/>
      <name val="Arial"/>
    </font>
    <font>
      <b/>
      <sz val="10"/>
      <name val="Arial"/>
    </font>
    <font>
      <b/>
      <sz val="10"/>
      <name val="Verdana"/>
    </font>
    <font>
      <i/>
      <sz val="8"/>
      <color rgb="FFFF0000"/>
      <name val="Tahoma"/>
    </font>
    <font>
      <sz val="8"/>
      <color rgb="FF084C7D"/>
      <name val="Arial"/>
    </font>
    <font>
      <b/>
      <i/>
      <sz val="10"/>
      <color rgb="FF084C7D"/>
      <name val="Calibri"/>
      <scheme val="minor"/>
    </font>
    <font>
      <sz val="8"/>
      <name val="Tahoma"/>
    </font>
    <font>
      <i/>
      <sz val="8"/>
      <color rgb="FF084C7D"/>
      <name val="Tahoma"/>
    </font>
    <font>
      <sz val="10"/>
      <color rgb="FF084C7D"/>
      <name val="Verdana"/>
    </font>
    <font>
      <sz val="10"/>
      <color rgb="FF084C7D"/>
      <name val="Arial"/>
    </font>
    <font>
      <sz val="8"/>
      <name val="Calibri"/>
      <scheme val="minor"/>
    </font>
    <font>
      <b/>
      <i/>
      <sz val="11"/>
      <color rgb="FF003399"/>
      <name val="Calibri"/>
      <scheme val="minor"/>
    </font>
    <font>
      <sz val="8"/>
      <name val="Verdana"/>
    </font>
    <font>
      <sz val="8"/>
      <name val="Arial"/>
    </font>
    <font>
      <sz val="10"/>
      <color rgb="FF084C7D"/>
      <name val="Calibri"/>
      <scheme val="minor"/>
    </font>
    <font>
      <i/>
      <sz val="10"/>
      <color rgb="FF084C7D"/>
      <name val="Calibri"/>
      <scheme val="minor"/>
    </font>
    <font>
      <i/>
      <sz val="12"/>
      <name val="Arial"/>
    </font>
    <font>
      <b/>
      <sz val="9"/>
      <name val="Calibri"/>
      <scheme val="minor"/>
    </font>
    <font>
      <b/>
      <i/>
      <sz val="12"/>
      <name val="Arial"/>
    </font>
    <font>
      <sz val="11"/>
      <name val="Arial"/>
    </font>
    <font>
      <b/>
      <i/>
      <sz val="9"/>
      <color rgb="FF003399"/>
      <name val="Calibri"/>
      <scheme val="minor"/>
    </font>
    <font>
      <sz val="9"/>
      <name val="Arial"/>
    </font>
    <font>
      <sz val="8"/>
      <color rgb="FF9CDCFE"/>
      <name val="Consolas"/>
      <family val="3"/>
    </font>
    <font>
      <sz val="10"/>
      <color rgb="FF000000"/>
      <name val="Calibri"/>
      <scheme val="minor"/>
    </font>
    <font>
      <b/>
      <sz val="17"/>
      <color rgb="FF000000"/>
      <name val="Calibri"/>
    </font>
    <font>
      <sz val="8"/>
      <color rgb="FF000000"/>
      <name val="Calibri"/>
    </font>
    <font>
      <sz val="10"/>
      <name val="Aparajita"/>
      <family val="1"/>
    </font>
    <font>
      <sz val="8"/>
      <color rgb="FF000000"/>
      <name val="Arial"/>
    </font>
    <font>
      <sz val="12"/>
      <name val="Tms Rmn"/>
    </font>
    <font>
      <b/>
      <vertAlign val="superscript"/>
      <sz val="8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ADCF2"/>
        <bgColor indexed="64"/>
      </patternFill>
    </fill>
    <fill>
      <patternFill patternType="solid">
        <fgColor rgb="FFE8FDFE"/>
        <bgColor indexed="64"/>
      </patternFill>
    </fill>
    <fill>
      <patternFill patternType="solid">
        <fgColor rgb="FFBCD3EE"/>
        <bgColor indexed="64"/>
      </patternFill>
    </fill>
    <fill>
      <patternFill patternType="solid">
        <fgColor rgb="FF084C7D"/>
        <bgColor indexed="64"/>
      </patternFill>
    </fill>
    <fill>
      <patternFill patternType="solid">
        <fgColor rgb="FFFFFFFF"/>
        <bgColor rgb="FFFFFFFF"/>
      </patternFill>
    </fill>
  </fills>
  <borders count="73">
    <border/>
    <border>
      <bottom style="thick">
        <color rgb="FF084C7D"/>
      </bottom>
    </border>
    <border>
      <bottom style="thick">
        <color rgb="FF003399"/>
      </bottom>
    </border>
    <border>
      <left style="thick">
        <color rgb="FF084C7D"/>
      </left>
      <top style="thick">
        <color rgb="FF084C7D"/>
      </top>
      <bottom style="thin">
        <color rgb="FF084C7D"/>
      </bottom>
    </border>
    <border>
      <top style="thick">
        <color rgb="FF084C7D"/>
      </top>
      <bottom style="thin">
        <color rgb="FF084C7D"/>
      </bottom>
    </border>
    <border>
      <right style="thin">
        <color rgb="FF084C7D"/>
      </right>
      <top style="thick">
        <color rgb="FF084C7D"/>
      </top>
      <bottom style="thin">
        <color rgb="FF084C7D"/>
      </bottom>
    </border>
    <border>
      <left style="thin">
        <color rgb="FF084C7D"/>
      </left>
      <top style="thick">
        <color rgb="FF084C7D"/>
      </top>
    </border>
    <border>
      <top style="thick">
        <color rgb="FF084C7D"/>
      </top>
    </border>
    <border>
      <right style="thick">
        <color rgb="FF084C7D"/>
      </right>
      <top style="thick">
        <color rgb="FF084C7D"/>
      </top>
    </border>
    <border>
      <left style="thick">
        <color rgb="FF084C7D"/>
      </left>
      <top style="thin">
        <color rgb="FF084C7D"/>
      </top>
      <bottom style="thin">
        <color rgb="FF084C7D"/>
      </bottom>
    </border>
    <border>
      <top style="thin">
        <color rgb="FF084C7D"/>
      </top>
      <bottom style="thin">
        <color rgb="FF084C7D"/>
      </bottom>
    </border>
    <border>
      <right style="thin">
        <color rgb="FF084C7D"/>
      </right>
      <top style="thin">
        <color rgb="FF084C7D"/>
      </top>
      <bottom style="thin">
        <color rgb="FF084C7D"/>
      </bottom>
    </border>
    <border>
      <left style="thin">
        <color rgb="FF084C7D"/>
      </left>
    </border>
    <border>
      <right style="thick">
        <color rgb="FF084C7D"/>
      </right>
    </border>
    <border>
      <left style="thin">
        <color rgb="FF084C7D"/>
      </left>
      <bottom style="thin">
        <color rgb="FF084C7D"/>
      </bottom>
    </border>
    <border>
      <bottom style="thin">
        <color rgb="FF084C7D"/>
      </bottom>
    </border>
    <border>
      <right style="thick">
        <color rgb="FF084C7D"/>
      </right>
      <bottom style="thin">
        <color rgb="FF084C7D"/>
      </bottom>
    </border>
    <border>
      <left style="thick">
        <color rgb="FF084C7D"/>
      </left>
      <top style="thin">
        <color rgb="FF084C7D"/>
      </top>
    </border>
    <border>
      <top style="thin">
        <color rgb="FF084C7D"/>
      </top>
    </border>
    <border>
      <right style="thin">
        <color rgb="FF084C7D"/>
      </right>
      <top style="thin">
        <color rgb="FF084C7D"/>
      </top>
    </border>
    <border>
      <right style="thick">
        <color rgb="FF084C7D"/>
      </right>
      <top style="thin">
        <color rgb="FF084C7D"/>
      </top>
    </border>
    <border>
      <left style="thick">
        <color rgb="FF084C7D"/>
      </left>
    </border>
    <border>
      <right style="thin">
        <color rgb="FF084C7D"/>
      </right>
    </border>
    <border>
      <left style="thick">
        <color rgb="FF084C7D"/>
      </left>
      <bottom style="thin">
        <color rgb="FF084C7D"/>
      </bottom>
    </border>
    <border>
      <right style="thin">
        <color rgb="FF084C7D"/>
      </right>
      <bottom style="thin">
        <color rgb="FF084C7D"/>
      </bottom>
    </border>
    <border>
      <left style="thin">
        <color rgb="FF084C7D"/>
      </left>
      <top style="thin">
        <color rgb="FF084C7D"/>
      </top>
    </border>
    <border>
      <left style="thick">
        <color rgb="FF084C7D"/>
      </left>
      <top style="thin">
        <color rgb="FF084C7D"/>
      </top>
      <bottom style="thick">
        <color rgb="FF084C7D"/>
      </bottom>
    </border>
    <border>
      <top style="thin">
        <color rgb="FF084C7D"/>
      </top>
      <bottom style="thick">
        <color rgb="FF084C7D"/>
      </bottom>
    </border>
    <border>
      <right style="thin">
        <color rgb="FF084C7D"/>
      </right>
      <top style="thin">
        <color rgb="FF084C7D"/>
      </top>
      <bottom style="thick">
        <color rgb="FF084C7D"/>
      </bottom>
    </border>
    <border>
      <left style="thin">
        <color rgb="FF084C7D"/>
      </left>
      <bottom style="thick">
        <color rgb="FF084C7D"/>
      </bottom>
    </border>
    <border>
      <right style="thick">
        <color rgb="FF084C7D"/>
      </right>
      <bottom style="thick">
        <color rgb="FF084C7D"/>
      </bottom>
    </border>
    <border>
      <bottom style="thin">
        <color indexed="64"/>
      </bottom>
    </border>
    <border>
      <bottom style="double">
        <color indexed="64"/>
      </bottom>
    </border>
    <border>
      <left style="medium">
        <color rgb="FF084C7D"/>
      </left>
      <top style="medium">
        <color rgb="FF084C7D"/>
      </top>
      <bottom style="medium">
        <color rgb="FF084C7D"/>
      </bottom>
    </border>
    <border>
      <top style="medium">
        <color rgb="FF084C7D"/>
      </top>
      <bottom style="medium">
        <color rgb="FF084C7D"/>
      </bottom>
    </border>
    <border>
      <right style="medium">
        <color rgb="FF084C7D"/>
      </right>
      <top style="medium">
        <color rgb="FF084C7D"/>
      </top>
      <bottom style="medium">
        <color rgb="FF084C7D"/>
      </bottom>
    </border>
    <border>
      <left style="medium">
        <color rgb="FFFF0000"/>
      </left>
      <right style="medium">
        <color rgb="FFFF0000"/>
      </right>
      <top style="medium">
        <color rgb="FFFF0000"/>
      </top>
    </border>
    <border>
      <left style="medium">
        <color rgb="FFFF0000"/>
      </left>
      <right style="medium">
        <color rgb="FFFF0000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</border>
    <border>
      <left style="thin">
        <color indexed="64"/>
      </left>
      <right style="thin">
        <color indexed="64"/>
      </right>
      <bottom style="thin">
        <color indexed="64"/>
      </bottom>
    </border>
    <border>
      <right style="thin">
        <color indexed="64"/>
      </right>
    </border>
    <border>
      <left style="thin">
        <color rgb="FF0000FF"/>
      </left>
      <bottom style="thin">
        <color rgb="FF0000FF"/>
      </bottom>
    </border>
    <border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medium">
        <color rgb="FF084C7D"/>
      </left>
      <top style="medium">
        <color rgb="FF084C7D"/>
      </top>
    </border>
    <border>
      <top style="medium">
        <color rgb="FF084C7D"/>
      </top>
    </border>
    <border>
      <right style="medium">
        <color rgb="FF084C7D"/>
      </right>
      <top style="medium">
        <color rgb="FF084C7D"/>
      </top>
    </border>
    <border>
      <left style="medium">
        <color rgb="FF084C7D"/>
      </left>
      <bottom style="medium">
        <color rgb="FF084C7D"/>
      </bottom>
    </border>
    <border>
      <bottom style="medium">
        <color rgb="FF084C7D"/>
      </bottom>
    </border>
    <border>
      <right style="medium">
        <color rgb="FF084C7D"/>
      </right>
      <bottom style="medium">
        <color rgb="FF084C7D"/>
      </bottom>
    </border>
    <border>
      <left style="medium">
        <color rgb="FF084C7D"/>
      </left>
    </border>
    <border>
      <right style="medium">
        <color rgb="FF084C7D"/>
      </right>
    </border>
    <border>
      <left style="thin">
        <color indexed="64"/>
      </left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medium">
        <color rgb="FF000000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medium">
        <color rgb="FF000000"/>
      </right>
      <top style="thin">
        <color rgb="FF9A9A9A"/>
      </top>
      <bottom style="thin">
        <color rgb="FF9A9A9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9A9A9A"/>
      </top>
      <bottom style="thin">
        <color rgb="FF9A9A9A"/>
      </bottom>
    </border>
    <border>
      <left style="thin">
        <color rgb="FF9A9A9A"/>
      </left>
      <right style="medium">
        <color rgb="FF000000"/>
      </right>
      <top style="thin">
        <color rgb="FF9A9A9A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">
    <xf numFmtId="0" fontId="0" fillId="0" borderId="0"/>
    <xf numFmtId="0" fontId="0" fillId="0" borderId="0"/>
    <xf numFmtId="0" fontId="55" fillId="0" borderId="0"/>
    <xf numFmtId="164" fontId="0" fillId="0" borderId="0" applyFont="0" applyFill="0" applyBorder="0" applyAlignment="0" applyProtection="0"/>
    <xf numFmtId="44" fontId="0" fillId="0" borderId="0" applyFont="0" applyFill="0" applyBorder="0" applyAlignment="0" applyProtection="0"/>
  </cellStyleXfs>
  <cellXfs count="215">
    <xf numFmtId="0" fontId="0" fillId="0" borderId="0" xfId="0"/>
    <xf numFmtId="0" fontId="1" fillId="0" borderId="0" xfId="1" applyFont="1" applyProtection="1">
      <protection hidden="1"/>
    </xf>
    <xf numFmtId="0" fontId="0" fillId="0" borderId="0" xfId="0" applyAlignment="1">
      <alignment vertical="top"/>
    </xf>
    <xf numFmtId="0" fontId="0" fillId="0" borderId="0" xfId="0" applyProtection="1">
      <protection hidden="1"/>
    </xf>
    <xf numFmtId="0" fontId="2" fillId="0" borderId="0" xfId="1" applyFont="1"/>
    <xf numFmtId="0" fontId="0" fillId="0" borderId="0" xfId="1"/>
    <xf numFmtId="0" fontId="0" fillId="0" borderId="0" xfId="1" applyProtection="1">
      <protection hidden="1"/>
    </xf>
    <xf numFmtId="0" fontId="3" fillId="0" borderId="0" xfId="0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1" applyFont="1"/>
    <xf numFmtId="0" fontId="6" fillId="0" borderId="0" xfId="1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1" applyAlignment="1">
      <alignment vertical="top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/>
    <xf numFmtId="0" fontId="10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6" fillId="0" borderId="0" xfId="1" applyFont="1" applyProtection="1">
      <protection hidden="1"/>
    </xf>
    <xf numFmtId="0" fontId="10" fillId="0" borderId="0" xfId="1" applyFont="1" applyProtection="1">
      <protection hidden="1"/>
    </xf>
    <xf numFmtId="0" fontId="9" fillId="0" borderId="0" xfId="0" applyFont="1" applyAlignment="1">
      <alignment horizontal="left" vertical="top" wrapText="1"/>
    </xf>
    <xf numFmtId="0" fontId="0" fillId="0" borderId="1" xfId="1" applyBorder="1"/>
    <xf numFmtId="0" fontId="1" fillId="0" borderId="1" xfId="1" applyFont="1" applyBorder="1" applyProtection="1">
      <protection hidden="1"/>
    </xf>
    <xf numFmtId="0" fontId="11" fillId="0" borderId="2" xfId="0" applyFont="1" applyBorder="1" applyProtection="1">
      <protection hidden="1"/>
    </xf>
    <xf numFmtId="0" fontId="12" fillId="0" borderId="0" xfId="1" applyFont="1" applyAlignment="1">
      <alignment horizontal="center" vertical="center"/>
    </xf>
    <xf numFmtId="0" fontId="13" fillId="3" borderId="3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left" vertical="center" wrapText="1"/>
    </xf>
    <xf numFmtId="0" fontId="0" fillId="0" borderId="6" xfId="1" applyBorder="1"/>
    <xf numFmtId="0" fontId="0" fillId="0" borderId="7" xfId="1" applyBorder="1"/>
    <xf numFmtId="0" fontId="0" fillId="0" borderId="8" xfId="1" applyBorder="1"/>
    <xf numFmtId="0" fontId="13" fillId="3" borderId="9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left" vertical="center" wrapText="1"/>
    </xf>
    <xf numFmtId="0" fontId="0" fillId="0" borderId="12" xfId="1" applyBorder="1"/>
    <xf numFmtId="0" fontId="14" fillId="0" borderId="0" xfId="1" applyFont="1" applyAlignment="1">
      <alignment horizontal="left"/>
    </xf>
    <xf numFmtId="0" fontId="14" fillId="0" borderId="13" xfId="1" applyFont="1" applyBorder="1" applyAlignment="1">
      <alignment horizontal="left"/>
    </xf>
    <xf numFmtId="0" fontId="0" fillId="0" borderId="14" xfId="1" applyBorder="1"/>
    <xf numFmtId="0" fontId="0" fillId="0" borderId="15" xfId="1" applyBorder="1"/>
    <xf numFmtId="0" fontId="0" fillId="0" borderId="16" xfId="1" applyBorder="1"/>
    <xf numFmtId="0" fontId="13" fillId="3" borderId="17" xfId="0" applyFont="1" applyFill="1" applyBorder="1" applyAlignment="1">
      <alignment horizontal="left" vertical="center" wrapText="1"/>
    </xf>
    <xf numFmtId="0" fontId="13" fillId="3" borderId="18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left" vertical="center" wrapText="1"/>
    </xf>
    <xf numFmtId="0" fontId="0" fillId="0" borderId="18" xfId="1" applyBorder="1"/>
    <xf numFmtId="0" fontId="0" fillId="0" borderId="20" xfId="1" applyBorder="1"/>
    <xf numFmtId="0" fontId="13" fillId="3" borderId="21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2" xfId="0" applyFont="1" applyFill="1" applyBorder="1" applyAlignment="1">
      <alignment horizontal="left" vertical="center" wrapText="1"/>
    </xf>
    <xf numFmtId="14" fontId="14" fillId="0" borderId="0" xfId="1" applyNumberFormat="1" applyFont="1" applyAlignment="1">
      <alignment horizontal="left"/>
    </xf>
    <xf numFmtId="14" fontId="14" fillId="0" borderId="13" xfId="1" applyNumberFormat="1" applyFont="1" applyBorder="1" applyAlignment="1">
      <alignment horizontal="left"/>
    </xf>
    <xf numFmtId="0" fontId="13" fillId="3" borderId="23" xfId="0" applyFont="1" applyFill="1" applyBorder="1" applyAlignment="1">
      <alignment horizontal="left" vertical="center" wrapText="1"/>
    </xf>
    <xf numFmtId="0" fontId="13" fillId="3" borderId="15" xfId="0" applyFont="1" applyFill="1" applyBorder="1" applyAlignment="1">
      <alignment horizontal="left" vertical="center" wrapText="1"/>
    </xf>
    <xf numFmtId="0" fontId="13" fillId="3" borderId="24" xfId="0" applyFont="1" applyFill="1" applyBorder="1" applyAlignment="1">
      <alignment horizontal="left" vertical="center" wrapText="1"/>
    </xf>
    <xf numFmtId="0" fontId="11" fillId="0" borderId="15" xfId="1" applyFont="1" applyBorder="1"/>
    <xf numFmtId="0" fontId="11" fillId="0" borderId="16" xfId="1" applyFont="1" applyBorder="1"/>
    <xf numFmtId="0" fontId="13" fillId="3" borderId="17" xfId="0" applyFont="1" applyFill="1" applyBorder="1" applyAlignment="1">
      <alignment horizontal="left" vertical="top" wrapText="1"/>
    </xf>
    <xf numFmtId="0" fontId="13" fillId="3" borderId="18" xfId="0" applyFont="1" applyFill="1" applyBorder="1" applyAlignment="1">
      <alignment horizontal="left" vertical="top" wrapText="1"/>
    </xf>
    <xf numFmtId="0" fontId="13" fillId="3" borderId="19" xfId="0" applyFont="1" applyFill="1" applyBorder="1" applyAlignment="1">
      <alignment horizontal="left" vertical="top" wrapText="1"/>
    </xf>
    <xf numFmtId="0" fontId="0" fillId="0" borderId="25" xfId="1" applyBorder="1"/>
    <xf numFmtId="0" fontId="13" fillId="3" borderId="21" xfId="0" applyFont="1" applyFill="1" applyBorder="1" applyAlignment="1">
      <alignment horizontal="left" vertical="top" wrapText="1"/>
    </xf>
    <xf numFmtId="0" fontId="13" fillId="3" borderId="0" xfId="0" applyFont="1" applyFill="1" applyAlignment="1">
      <alignment horizontal="left" vertical="top" wrapText="1"/>
    </xf>
    <xf numFmtId="0" fontId="13" fillId="3" borderId="22" xfId="0" applyFont="1" applyFill="1" applyBorder="1" applyAlignment="1">
      <alignment horizontal="left" vertical="top" wrapText="1"/>
    </xf>
    <xf numFmtId="0" fontId="13" fillId="3" borderId="23" xfId="0" applyFont="1" applyFill="1" applyBorder="1" applyAlignment="1">
      <alignment horizontal="left" vertical="top" wrapText="1"/>
    </xf>
    <xf numFmtId="0" fontId="13" fillId="3" borderId="15" xfId="0" applyFont="1" applyFill="1" applyBorder="1" applyAlignment="1">
      <alignment horizontal="left" vertical="top" wrapText="1"/>
    </xf>
    <xf numFmtId="0" fontId="13" fillId="3" borderId="24" xfId="0" applyFont="1" applyFill="1" applyBorder="1" applyAlignment="1">
      <alignment horizontal="left" vertical="top" wrapText="1"/>
    </xf>
    <xf numFmtId="0" fontId="11" fillId="0" borderId="18" xfId="1" applyFont="1" applyBorder="1"/>
    <xf numFmtId="0" fontId="11" fillId="0" borderId="20" xfId="1" applyFont="1" applyBorder="1"/>
    <xf numFmtId="1" fontId="14" fillId="0" borderId="0" xfId="1" applyNumberFormat="1" applyFont="1" applyAlignment="1">
      <alignment horizontal="left"/>
    </xf>
    <xf numFmtId="1" fontId="14" fillId="0" borderId="13" xfId="1" applyNumberFormat="1" applyFont="1" applyBorder="1" applyAlignment="1">
      <alignment horizontal="left"/>
    </xf>
    <xf numFmtId="0" fontId="13" fillId="3" borderId="26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0" fillId="0" borderId="29" xfId="1" applyBorder="1"/>
    <xf numFmtId="0" fontId="0" fillId="0" borderId="30" xfId="1" applyBorder="1"/>
    <xf numFmtId="0" fontId="15" fillId="0" borderId="0" xfId="0" applyFont="1"/>
    <xf numFmtId="0" fontId="16" fillId="0" borderId="0" xfId="0" applyFont="1"/>
    <xf numFmtId="0" fontId="0" fillId="0" borderId="2" xfId="0" applyBorder="1"/>
    <xf numFmtId="0" fontId="11" fillId="0" borderId="2" xfId="0" applyFont="1" applyBorder="1"/>
    <xf numFmtId="0" fontId="0" fillId="0" borderId="2" xfId="0" applyBorder="1" applyProtection="1">
      <protection hidden="1"/>
    </xf>
    <xf numFmtId="0" fontId="17" fillId="0" borderId="2" xfId="0" applyFont="1" applyBorder="1"/>
    <xf numFmtId="0" fontId="15" fillId="0" borderId="2" xfId="0" applyFont="1" applyBorder="1"/>
    <xf numFmtId="0" fontId="0" fillId="0" borderId="2" xfId="1" applyBorder="1"/>
    <xf numFmtId="0" fontId="16" fillId="0" borderId="2" xfId="0" applyFont="1" applyBorder="1"/>
    <xf numFmtId="0" fontId="11" fillId="0" borderId="0" xfId="0" applyFont="1"/>
    <xf numFmtId="0" fontId="11" fillId="0" borderId="0" xfId="0" applyFont="1" applyProtection="1">
      <protection hidden="1"/>
    </xf>
    <xf numFmtId="0" fontId="17" fillId="0" borderId="0" xfId="0" applyFont="1"/>
    <xf numFmtId="0" fontId="18" fillId="0" borderId="0" xfId="0" applyFont="1"/>
    <xf numFmtId="0" fontId="2" fillId="0" borderId="0" xfId="1" applyFont="1" applyAlignment="1">
      <alignment horizontal="center"/>
    </xf>
    <xf numFmtId="0" fontId="8" fillId="0" borderId="0" xfId="1" applyFont="1"/>
    <xf numFmtId="0" fontId="19" fillId="0" borderId="0" xfId="2" applyFont="1" applyAlignment="1">
      <alignment vertical="top"/>
    </xf>
    <xf numFmtId="0" fontId="8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14" fontId="8" fillId="0" borderId="0" xfId="1" applyNumberFormat="1" applyFont="1" applyAlignment="1">
      <alignment horizontal="left"/>
    </xf>
    <xf numFmtId="0" fontId="8" fillId="0" borderId="31" xfId="1" applyFont="1" applyBorder="1" applyAlignment="1">
      <alignment horizontal="left"/>
    </xf>
    <xf numFmtId="0" fontId="8" fillId="0" borderId="31" xfId="1" applyFont="1" applyBorder="1" applyAlignment="1">
      <alignment horizontal="center"/>
    </xf>
    <xf numFmtId="14" fontId="8" fillId="0" borderId="31" xfId="1" applyNumberFormat="1" applyFont="1" applyBorder="1" applyAlignment="1">
      <alignment horizontal="left"/>
    </xf>
    <xf numFmtId="14" fontId="16" fillId="0" borderId="0" xfId="1" applyNumberFormat="1" applyFont="1" applyAlignment="1">
      <alignment horizontal="left"/>
    </xf>
    <xf numFmtId="0" fontId="1" fillId="0" borderId="1" xfId="1" applyFont="1" applyBorder="1"/>
    <xf numFmtId="0" fontId="20" fillId="0" borderId="0" xfId="2" applyFont="1"/>
    <xf numFmtId="0" fontId="21" fillId="0" borderId="0" xfId="1" applyFont="1"/>
    <xf numFmtId="0" fontId="22" fillId="0" borderId="0" xfId="1" applyFont="1"/>
    <xf numFmtId="0" fontId="0" fillId="0" borderId="32" xfId="1" applyBorder="1"/>
    <xf numFmtId="0" fontId="23" fillId="4" borderId="0" xfId="1" applyFont="1" applyFill="1" applyAlignment="1">
      <alignment horizontal="left" vertical="center"/>
    </xf>
    <xf numFmtId="0" fontId="24" fillId="5" borderId="33" xfId="1" applyFont="1" applyFill="1" applyBorder="1" applyAlignment="1">
      <alignment horizontal="left" vertical="center"/>
    </xf>
    <xf numFmtId="0" fontId="24" fillId="5" borderId="34" xfId="1" applyFont="1" applyFill="1" applyBorder="1" applyAlignment="1">
      <alignment horizontal="left" vertical="center"/>
    </xf>
    <xf numFmtId="0" fontId="24" fillId="5" borderId="35" xfId="1" applyFont="1" applyFill="1" applyBorder="1" applyAlignment="1">
      <alignment horizontal="left" vertical="center"/>
    </xf>
    <xf numFmtId="0" fontId="25" fillId="0" borderId="0" xfId="1" applyFont="1"/>
    <xf numFmtId="0" fontId="26" fillId="0" borderId="0" xfId="1" applyFont="1"/>
    <xf numFmtId="0" fontId="27" fillId="0" borderId="0" xfId="1" applyFont="1"/>
    <xf numFmtId="0" fontId="25" fillId="0" borderId="0" xfId="1" applyFont="1" applyAlignment="1">
      <alignment horizontal="center"/>
    </xf>
    <xf numFmtId="0" fontId="28" fillId="0" borderId="0" xfId="1" applyFont="1"/>
    <xf numFmtId="0" fontId="0" fillId="0" borderId="0" xfId="1" applyAlignment="1">
      <alignment horizontal="center"/>
    </xf>
    <xf numFmtId="0" fontId="27" fillId="0" borderId="0" xfId="1" applyFont="1" applyAlignment="1">
      <alignment horizontal="center"/>
    </xf>
    <xf numFmtId="0" fontId="29" fillId="0" borderId="0" xfId="1" applyFont="1"/>
    <xf numFmtId="0" fontId="0" fillId="0" borderId="0" xfId="1" applyAlignment="1">
      <alignment horizontal="left"/>
    </xf>
    <xf numFmtId="0" fontId="30" fillId="0" borderId="0" xfId="1" applyFont="1" applyAlignment="1">
      <alignment horizontal="left"/>
    </xf>
    <xf numFmtId="0" fontId="0" fillId="6" borderId="0" xfId="1" applyFill="1"/>
    <xf numFmtId="0" fontId="18" fillId="0" borderId="0" xfId="1" applyFont="1" applyAlignment="1">
      <alignment vertical="center"/>
    </xf>
    <xf numFmtId="0" fontId="31" fillId="0" borderId="0" xfId="1" applyFont="1"/>
    <xf numFmtId="0" fontId="32" fillId="0" borderId="0" xfId="1" applyFont="1" applyAlignment="1">
      <alignment horizontal="left" vertical="center"/>
    </xf>
    <xf numFmtId="0" fontId="28" fillId="0" borderId="0" xfId="1" applyFont="1" applyAlignment="1">
      <alignment horizontal="center"/>
    </xf>
    <xf numFmtId="0" fontId="33" fillId="0" borderId="0" xfId="1" applyFont="1" applyAlignment="1">
      <alignment horizontal="center"/>
    </xf>
    <xf numFmtId="0" fontId="33" fillId="0" borderId="0" xfId="1" applyFont="1"/>
    <xf numFmtId="0" fontId="34" fillId="0" borderId="0" xfId="1" applyFont="1" applyAlignment="1">
      <alignment horizontal="left"/>
    </xf>
    <xf numFmtId="0" fontId="35" fillId="0" borderId="0" xfId="1" applyFont="1"/>
    <xf numFmtId="0" fontId="36" fillId="0" borderId="0" xfId="1" applyFont="1"/>
    <xf numFmtId="0" fontId="37" fillId="0" borderId="0" xfId="1" applyFont="1" applyAlignment="1">
      <alignment horizontal="left"/>
    </xf>
    <xf numFmtId="0" fontId="0" fillId="0" borderId="36" xfId="1" applyBorder="1"/>
    <xf numFmtId="0" fontId="0" fillId="0" borderId="37" xfId="1" applyBorder="1"/>
    <xf numFmtId="0" fontId="38" fillId="0" borderId="0" xfId="1" applyFont="1" applyAlignment="1">
      <alignment horizontal="left" vertical="center"/>
    </xf>
    <xf numFmtId="0" fontId="39" fillId="6" borderId="0" xfId="1" applyFont="1" applyFill="1" applyAlignment="1">
      <alignment vertical="center"/>
    </xf>
    <xf numFmtId="0" fontId="40" fillId="6" borderId="0" xfId="1" applyFont="1" applyFill="1"/>
    <xf numFmtId="0" fontId="0" fillId="0" borderId="38" xfId="1" applyBorder="1" applyAlignment="1">
      <alignment horizontal="center" vertical="center"/>
    </xf>
    <xf numFmtId="0" fontId="2" fillId="0" borderId="37" xfId="1" applyFont="1" applyBorder="1" applyAlignment="1">
      <alignment horizontal="center"/>
    </xf>
    <xf numFmtId="0" fontId="0" fillId="0" borderId="39" xfId="1" applyBorder="1" applyAlignment="1">
      <alignment horizontal="center"/>
    </xf>
    <xf numFmtId="0" fontId="0" fillId="0" borderId="40" xfId="1" applyBorder="1" applyAlignment="1">
      <alignment horizontal="center" vertical="center"/>
    </xf>
    <xf numFmtId="0" fontId="41" fillId="0" borderId="0" xfId="1" applyFont="1"/>
    <xf numFmtId="0" fontId="2" fillId="0" borderId="37" xfId="1" applyFont="1" applyBorder="1"/>
    <xf numFmtId="0" fontId="42" fillId="0" borderId="0" xfId="1" applyFont="1" applyAlignment="1">
      <alignment horizontal="left"/>
    </xf>
    <xf numFmtId="0" fontId="43" fillId="0" borderId="0" xfId="1" applyFont="1" applyAlignment="1">
      <alignment vertical="center"/>
    </xf>
    <xf numFmtId="0" fontId="44" fillId="0" borderId="0" xfId="1" applyFont="1" applyProtection="1">
      <protection hidden="1"/>
    </xf>
    <xf numFmtId="0" fontId="24" fillId="5" borderId="33" xfId="1" applyFont="1" applyFill="1" applyBorder="1" applyAlignment="1">
      <alignment horizontal="left"/>
    </xf>
    <xf numFmtId="0" fontId="24" fillId="5" borderId="34" xfId="1" applyFont="1" applyFill="1" applyBorder="1" applyAlignment="1">
      <alignment horizontal="left"/>
    </xf>
    <xf numFmtId="0" fontId="24" fillId="5" borderId="35" xfId="1" applyFont="1" applyFill="1" applyBorder="1" applyAlignment="1">
      <alignment horizontal="left"/>
    </xf>
    <xf numFmtId="0" fontId="45" fillId="0" borderId="0" xfId="1" applyFont="1"/>
    <xf numFmtId="0" fontId="37" fillId="0" borderId="0" xfId="1" applyFont="1" applyAlignment="1">
      <alignment horizontal="center"/>
    </xf>
    <xf numFmtId="0" fontId="0" fillId="0" borderId="41" xfId="1" applyBorder="1" applyAlignment="1">
      <alignment horizontal="center"/>
    </xf>
    <xf numFmtId="0" fontId="32" fillId="0" borderId="0" xfId="1" applyFont="1" applyAlignment="1">
      <alignment horizontal="center" vertical="center"/>
    </xf>
    <xf numFmtId="0" fontId="38" fillId="0" borderId="0" xfId="1" applyFont="1" applyAlignment="1">
      <alignment vertical="center"/>
    </xf>
    <xf numFmtId="0" fontId="32" fillId="0" borderId="0" xfId="1" applyFont="1" applyAlignment="1">
      <alignment vertical="top" wrapText="1"/>
    </xf>
    <xf numFmtId="0" fontId="40" fillId="0" borderId="0" xfId="1" applyFont="1"/>
    <xf numFmtId="0" fontId="44" fillId="0" borderId="0" xfId="1" applyFont="1"/>
    <xf numFmtId="0" fontId="0" fillId="0" borderId="0" xfId="1" applyAlignment="1">
      <alignment horizontal="center" vertical="center"/>
    </xf>
    <xf numFmtId="0" fontId="8" fillId="7" borderId="33" xfId="1" applyFont="1" applyFill="1" applyBorder="1" applyAlignment="1">
      <alignment horizontal="left" vertical="center"/>
    </xf>
    <xf numFmtId="0" fontId="8" fillId="7" borderId="34" xfId="1" applyFont="1" applyFill="1" applyBorder="1" applyAlignment="1">
      <alignment horizontal="left" vertical="center"/>
    </xf>
    <xf numFmtId="0" fontId="8" fillId="7" borderId="35" xfId="1" applyFont="1" applyFill="1" applyBorder="1" applyAlignment="1">
      <alignment horizontal="left" vertical="center"/>
    </xf>
    <xf numFmtId="0" fontId="37" fillId="6" borderId="42" xfId="1" applyFont="1" applyFill="1" applyBorder="1" applyAlignment="1">
      <alignment horizontal="left"/>
    </xf>
    <xf numFmtId="0" fontId="37" fillId="6" borderId="43" xfId="1" applyFont="1" applyFill="1" applyBorder="1" applyAlignment="1">
      <alignment horizontal="left"/>
    </xf>
    <xf numFmtId="0" fontId="37" fillId="6" borderId="43" xfId="1" applyFont="1" applyFill="1" applyBorder="1"/>
    <xf numFmtId="0" fontId="0" fillId="6" borderId="44" xfId="1" applyFill="1" applyBorder="1"/>
    <xf numFmtId="0" fontId="8" fillId="7" borderId="45" xfId="1" applyFont="1" applyFill="1" applyBorder="1" applyAlignment="1">
      <alignment horizontal="left" vertical="center"/>
    </xf>
    <xf numFmtId="0" fontId="8" fillId="7" borderId="46" xfId="1" applyFont="1" applyFill="1" applyBorder="1" applyAlignment="1">
      <alignment horizontal="left" vertical="center"/>
    </xf>
    <xf numFmtId="0" fontId="8" fillId="7" borderId="47" xfId="1" applyFont="1" applyFill="1" applyBorder="1" applyAlignment="1">
      <alignment horizontal="left" vertical="center"/>
    </xf>
    <xf numFmtId="0" fontId="8" fillId="7" borderId="48" xfId="1" applyFont="1" applyFill="1" applyBorder="1" applyAlignment="1">
      <alignment horizontal="left" vertical="center"/>
    </xf>
    <xf numFmtId="0" fontId="8" fillId="7" borderId="49" xfId="1" applyFont="1" applyFill="1" applyBorder="1" applyAlignment="1">
      <alignment horizontal="left" vertical="center"/>
    </xf>
    <xf numFmtId="0" fontId="8" fillId="7" borderId="50" xfId="1" applyFont="1" applyFill="1" applyBorder="1" applyAlignment="1">
      <alignment horizontal="left" vertical="center"/>
    </xf>
    <xf numFmtId="0" fontId="8" fillId="7" borderId="51" xfId="1" applyFont="1" applyFill="1" applyBorder="1" applyAlignment="1">
      <alignment horizontal="left" vertical="center"/>
    </xf>
    <xf numFmtId="0" fontId="8" fillId="7" borderId="0" xfId="1" applyFont="1" applyFill="1" applyAlignment="1">
      <alignment horizontal="left" vertical="center"/>
    </xf>
    <xf numFmtId="0" fontId="8" fillId="7" borderId="52" xfId="1" applyFont="1" applyFill="1" applyBorder="1" applyAlignment="1">
      <alignment horizontal="left" vertical="center"/>
    </xf>
    <xf numFmtId="0" fontId="46" fillId="0" borderId="0" xfId="1" applyFont="1"/>
    <xf numFmtId="0" fontId="47" fillId="0" borderId="0" xfId="1" applyFont="1" applyAlignment="1">
      <alignment vertical="center"/>
    </xf>
    <xf numFmtId="0" fontId="48" fillId="0" borderId="0" xfId="1" applyFont="1"/>
    <xf numFmtId="0" fontId="10" fillId="0" borderId="53" xfId="1" applyFont="1" applyBorder="1"/>
    <xf numFmtId="0" fontId="0" fillId="0" borderId="31" xfId="1" applyBorder="1"/>
    <xf numFmtId="0" fontId="0" fillId="0" borderId="54" xfId="1" applyBorder="1"/>
    <xf numFmtId="0" fontId="0" fillId="0" borderId="55" xfId="1" applyBorder="1"/>
    <xf numFmtId="0" fontId="0" fillId="8" borderId="39" xfId="1" applyFill="1" applyBorder="1"/>
    <xf numFmtId="0" fontId="0" fillId="8" borderId="0" xfId="1" applyFill="1"/>
    <xf numFmtId="0" fontId="37" fillId="0" borderId="0" xfId="1" applyFont="1"/>
    <xf numFmtId="0" fontId="0" fillId="0" borderId="39" xfId="1" applyBorder="1"/>
    <xf numFmtId="0" fontId="0" fillId="0" borderId="53" xfId="1" applyBorder="1"/>
    <xf numFmtId="0" fontId="49" fillId="0" borderId="0" xfId="0" applyFont="1" applyAlignment="1">
      <alignment vertical="center"/>
    </xf>
    <xf numFmtId="0" fontId="50" fillId="0" borderId="56" xfId="1" applyFont="1" applyBorder="1"/>
    <xf numFmtId="0" fontId="50" fillId="0" borderId="57" xfId="1" applyFont="1" applyBorder="1"/>
    <xf numFmtId="0" fontId="50" fillId="0" borderId="58" xfId="1" applyFont="1" applyBorder="1"/>
    <xf numFmtId="0" fontId="0" fillId="0" borderId="41" xfId="1" applyBorder="1"/>
    <xf numFmtId="14" fontId="0" fillId="0" borderId="0" xfId="1" quotePrefix="1" applyNumberFormat="1"/>
    <xf numFmtId="0" fontId="0" fillId="0" borderId="0" xfId="1" quotePrefix="1"/>
    <xf numFmtId="0" fontId="50" fillId="0" borderId="59" xfId="1" applyFont="1" applyBorder="1"/>
    <xf numFmtId="0" fontId="51" fillId="9" borderId="60" xfId="1" applyFont="1" applyFill="1" applyBorder="1"/>
    <xf numFmtId="0" fontId="51" fillId="9" borderId="60" xfId="1" applyFont="1" applyFill="1" applyBorder="1" applyAlignment="1">
      <alignment horizontal="center"/>
    </xf>
    <xf numFmtId="0" fontId="0" fillId="0" borderId="61" xfId="1" applyBorder="1"/>
    <xf numFmtId="0" fontId="0" fillId="0" borderId="62" xfId="1" applyBorder="1"/>
    <xf numFmtId="0" fontId="50" fillId="0" borderId="63" xfId="1" applyFont="1" applyBorder="1"/>
    <xf numFmtId="0" fontId="50" fillId="0" borderId="0" xfId="1" applyFont="1"/>
    <xf numFmtId="0" fontId="50" fillId="0" borderId="64" xfId="1" applyFont="1" applyBorder="1"/>
    <xf numFmtId="0" fontId="0" fillId="0" borderId="65" xfId="1" applyBorder="1"/>
    <xf numFmtId="0" fontId="0" fillId="0" borderId="66" xfId="1" applyBorder="1"/>
    <xf numFmtId="0" fontId="0" fillId="0" borderId="67" xfId="1" applyBorder="1"/>
    <xf numFmtId="0" fontId="52" fillId="0" borderId="68" xfId="1" applyFont="1" applyBorder="1"/>
    <xf numFmtId="0" fontId="53" fillId="0" borderId="0" xfId="1" applyFont="1"/>
    <xf numFmtId="0" fontId="53" fillId="0" borderId="41" xfId="1" applyFont="1" applyBorder="1"/>
    <xf numFmtId="0" fontId="54" fillId="0" borderId="69" xfId="1" applyFont="1" applyBorder="1" applyAlignment="1">
      <alignment horizontal="center"/>
    </xf>
    <xf numFmtId="0" fontId="54" fillId="0" borderId="70" xfId="1" applyFont="1" applyBorder="1" applyAlignment="1">
      <alignment horizontal="center"/>
    </xf>
    <xf numFmtId="0" fontId="52" fillId="0" borderId="71" xfId="1" applyFont="1" applyBorder="1" applyAlignment="1">
      <alignment horizontal="center"/>
    </xf>
    <xf numFmtId="0" fontId="52" fillId="0" borderId="69" xfId="1" applyFont="1" applyBorder="1" applyAlignment="1">
      <alignment horizontal="center"/>
    </xf>
    <xf numFmtId="0" fontId="52" fillId="0" borderId="70" xfId="1" applyFont="1" applyBorder="1" applyAlignment="1">
      <alignment horizontal="center"/>
    </xf>
    <xf numFmtId="0" fontId="52" fillId="0" borderId="72" xfId="1" applyFont="1" applyBorder="1" applyAlignment="1">
      <alignment horizontal="center"/>
    </xf>
    <xf numFmtId="165" fontId="0" fillId="0" borderId="0" xfId="0" quotePrefix="1" applyNumberFormat="1"/>
    <xf numFmtId="0" fontId="48" fillId="0" borderId="0" xfId="1" applyFont="1" applyAlignment="1">
      <alignment horizontal="center"/>
    </xf>
    <xf numFmtId="0" fontId="48" fillId="0" borderId="41" xfId="1" applyFont="1" applyBorder="1" applyAlignment="1">
      <alignment horizontal="center"/>
    </xf>
  </cellXfs>
  <cellStyles count="5">
    <cellStyle name="Normal" xfId="0" builtinId="0"/>
    <cellStyle name="Normale 2" xfId="1"/>
    <cellStyle name="Normale_Montebello (20.10.03)" xfId="2"/>
    <cellStyle name="Euro" xfId="3"/>
    <cellStyle name="Euro 2" xfId="4"/>
  </cellStyles>
  <dxfs count="1">
    <dxf>
      <font>
        <color rgb="FF084C7D"/>
        <name val="Cambria"/>
        <scheme val="none"/>
      </font>
      <fill>
        <patternFill>
          <bgColor rgb="FF084C7D"/>
        </patternFill>
      </fill>
    </dxf>
  </dxfs>
  <tableStyles count="0" defaultTableStyle="TableStyleMedium2" defaultPivotStyle="PivotStyleLight16"/>
  <colors>
    <mruColors>
      <color rgb="FF00FF00"/>
      <color rgb="FF003399"/>
      <color rgb="FF084C7D"/>
      <color rgb="FFBCD3EE"/>
      <color rgb="FFE8FDFE"/>
      <color rgb="FFC8FAFC"/>
      <color rgb="FF0000FF"/>
      <color rgb="FFE0F8D8"/>
      <color rgb="FFFFFFD5"/>
      <color rgb="FFFF8F8F"/>
    </mru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ustomXml" Target="../customXml/item3.xml" /><Relationship Id="rId4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calcChain" Target="calcChain.xml" /><Relationship Id="rId9" Type="http://schemas.openxmlformats.org/officeDocument/2006/relationships/sharedStrings" Target="sharedStrings.xml" /><Relationship Id="rId10" Type="http://schemas.openxmlformats.org/officeDocument/2006/relationships/sheetMetadata" Target="metadata.xml" /></Relationships>
</file>

<file path=xl/charts/_rels/chart1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2.xml" /></Relationships>
</file>

<file path=xl/charts/_rels/chart2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3.xml" /></Relationships>
</file>

<file path=xl/charts/_rels/chart3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4.xml" /></Relationships>
</file>

<file path=xl/charts/_rels/chart4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5.xml" /></Relationships>
</file>

<file path=xl/charts/_rels/chart5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6.xml" /></Relationships>
</file>

<file path=xl/charts/_rels/chart6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7.xml" /></Relationships>
</file>

<file path=xl/charts/_rels/chart7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8.xml" /></Relationships>
</file>

<file path=xl/charts/_rels/chart8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9.xml" /></Relationships>
</file>

<file path=xl/charts/_rels/chart9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10.xml" /></Relationships>
</file>

<file path=xl/charts/_rels/chart10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11.xml" /></Relationships>
</file>

<file path=xl/charts/_rels/chart11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12.xml" /></Relationships>
</file>

<file path=xl/charts/_rels/chart12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13.xml" /></Relationships>
</file>

<file path=xl/charts/_rels/chart13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14.xml" /></Relationships>
</file>

<file path=xl/charts/_rels/chart14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15.xml" /></Relationships>
</file>

<file path=xl/charts/_rels/chart15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16.xml" /></Relationships>
</file>

<file path=xl/charts/_rels/chart16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17.xml" /></Relationships>
</file>

<file path=xl/charts/_rels/chart17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18.xml" /></Relationships>
</file>

<file path=xl/charts/_rels/chart18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19.xml" /></Relationships>
</file>

<file path=xl/charts/_rels/chart19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20.xml" /></Relationships>
</file>

<file path=xl/charts/_rels/chart20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21.xml" /></Relationships>
</file>

<file path=xl/charts/_rels/chart21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22.xml" /></Relationships>
</file>

<file path=xl/charts/_rels/chart22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23.xml" /></Relationships>
</file>

<file path=xl/charts/_rels/chart23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24.xml" /></Relationships>
</file>

<file path=xl/charts/_rels/chart24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25.xml" /></Relationships>
</file>

<file path=xl/charts/_rels/chart25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26.xml" /></Relationships>
</file>

<file path=xl/charts/_rels/chart26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27.xml" /></Relationships>
</file>

<file path=xl/charts/_rels/chart27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28.xml" /></Relationships>
</file>

<file path=xl/charts/_rels/chart28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29.xml" /></Relationships>
</file>

<file path=xl/charts/_rels/chart29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30.xml" /></Relationships>
</file>

<file path=xl/charts/_rels/chart30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31.xml" /></Relationships>
</file>

<file path=xl/charts/_rels/chart31.xml.rels>&#65279;<?xml version="1.0" encoding="utf-8"?><Relationships xmlns="http://schemas.openxmlformats.org/package/2006/relationships"><Relationship Id="rId1" Type="http://schemas.openxmlformats.org/officeDocument/2006/relationships/chartUserShapes" Target="../drawings/drawing32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96146215498447"/>
          <c:y val="0.22519825398922"/>
          <c:w val="0.923410594463348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Referto!$AS$191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Referto!$AU$191</c:f>
              <c:numCache>
                <c:formatCode>General</c:formatCode>
                <c:ptCount val="1"/>
                <c:pt idx="0">
                  <c:v>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60000">
              <a:srgbClr val="FFFFD5"/>
            </a:gs>
            <a:gs pos="30000">
              <a:srgbClr val="E0F8D8"/>
            </a:gs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96146215498447"/>
          <c:y val="0.22519825398922"/>
          <c:w val="0.923410594463348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Referto!$AS$198</c:f>
              <c:numCache>
                <c:formatCode>General</c:formatCode>
                <c:ptCount val="1"/>
                <c:pt idx="0">
                  <c:v>47</c:v>
                </c:pt>
              </c:numCache>
            </c:numRef>
          </c:xVal>
          <c:yVal>
            <c:numRef>
              <c:f>Referto!$AU$198</c:f>
              <c:numCache>
                <c:formatCode>General</c:formatCode>
                <c:ptCount val="1"/>
                <c:pt idx="0">
                  <c:v>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60000">
              <a:srgbClr val="FFFFD5"/>
            </a:gs>
            <a:gs pos="30000">
              <a:srgbClr val="E0F8D8"/>
            </a:gs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96146215498447"/>
          <c:y val="0.22519825398922"/>
          <c:w val="0.923410594463348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Referto!$AS$205</c:f>
              <c:numCache>
                <c:formatCode>General</c:formatCode>
                <c:ptCount val="1"/>
                <c:pt idx="0">
                  <c:v>98</c:v>
                </c:pt>
              </c:numCache>
            </c:numRef>
          </c:xVal>
          <c:yVal>
            <c:numRef>
              <c:f>Referto!$AU$205</c:f>
              <c:numCache>
                <c:formatCode>General</c:formatCode>
                <c:ptCount val="1"/>
                <c:pt idx="0">
                  <c:v>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60000">
              <a:srgbClr val="FFFFD5"/>
            </a:gs>
            <a:gs pos="30000">
              <a:srgbClr val="E0F8D8"/>
            </a:gs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96146215498447"/>
          <c:y val="0.22519825398922"/>
          <c:w val="0.923410594463348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Referto!$AS$212</c:f>
              <c:numCache>
                <c:formatCode>General</c:formatCode>
                <c:ptCount val="1"/>
                <c:pt idx="0">
                  <c:v>47</c:v>
                </c:pt>
              </c:numCache>
            </c:numRef>
          </c:xVal>
          <c:yVal>
            <c:numRef>
              <c:f>Referto!$AU$212</c:f>
              <c:numCache>
                <c:formatCode>General</c:formatCode>
                <c:ptCount val="1"/>
                <c:pt idx="0">
                  <c:v>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60000">
              <a:srgbClr val="FFFFD5"/>
            </a:gs>
            <a:gs pos="30000">
              <a:srgbClr val="E0F8D8"/>
            </a:gs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5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Referto!$BH$226</c:f>
              <c:numCache>
                <c:formatCode>General</c:formatCode>
                <c:ptCount val="1"/>
                <c:pt idx="0">
                  <c:v>94</c:v>
                </c:pt>
              </c:numCache>
            </c:numRef>
          </c:xVal>
          <c:yVal>
            <c:numRef>
              <c:f>Referto!$BJ$226</c:f>
              <c:numCache>
                <c:formatCode>General</c:formatCode>
                <c:ptCount val="1"/>
                <c:pt idx="0">
                  <c:v>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6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Referto!$BH$232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Referto!$BJ$232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7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Referto!$BH$238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Referto!$BJ$238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8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Referto!$BH$244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Referto!$BJ$244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9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Referto!$BH$250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Referto!$BJ$250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10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Referto!$BH$256</c:f>
              <c:numCache>
                <c:formatCode>General</c:formatCode>
                <c:ptCount val="1"/>
                <c:pt idx="0">
                  <c:v>94</c:v>
                </c:pt>
              </c:numCache>
            </c:numRef>
          </c:xVal>
          <c:yVal>
            <c:numRef>
              <c:f>Referto!$BJ$256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1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Referto!$BH$262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Referto!$BJ$262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1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Referto!$BH$283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Referto!$BJ$283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1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Referto!$BH$289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Referto!$BJ$289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1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Referto!$BH$295</c:f>
              <c:numCache>
                <c:formatCode>General</c:formatCode>
                <c:ptCount val="1"/>
                <c:pt idx="0">
                  <c:v>94</c:v>
                </c:pt>
              </c:numCache>
            </c:numRef>
          </c:xVal>
          <c:yVal>
            <c:numRef>
              <c:f>Referto!$BJ$295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15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Referto!$BH$305</c:f>
              <c:numCache>
                <c:formatCode>General</c:formatCode>
                <c:ptCount val="1"/>
                <c:pt idx="0">
                  <c:v>78</c:v>
                </c:pt>
              </c:numCache>
            </c:numRef>
          </c:xVal>
          <c:yVal>
            <c:numRef>
              <c:f>Referto!$BJ$305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16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Referto!$BH$311</c:f>
              <c:numCache>
                <c:formatCode>General</c:formatCode>
                <c:ptCount val="1"/>
                <c:pt idx="0">
                  <c:v>78</c:v>
                </c:pt>
              </c:numCache>
            </c:numRef>
          </c:xVal>
          <c:yVal>
            <c:numRef>
              <c:f>Referto!$BJ$311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17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Referto!$BH$317</c:f>
              <c:numCache>
                <c:formatCode>General</c:formatCode>
                <c:ptCount val="1"/>
                <c:pt idx="0">
                  <c:v>26</c:v>
                </c:pt>
              </c:numCache>
            </c:numRef>
          </c:xVal>
          <c:yVal>
            <c:numRef>
              <c:f>Referto!$BJ$317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18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Referto!$BH$323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Referto!$BJ$323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19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Referto!$BH$329</c:f>
              <c:numCache>
                <c:formatCode>General</c:formatCode>
                <c:ptCount val="1"/>
                <c:pt idx="0">
                  <c:v>26</c:v>
                </c:pt>
              </c:numCache>
            </c:numRef>
          </c:xVal>
          <c:yVal>
            <c:numRef>
              <c:f>Referto!$BJ$329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20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Referto!$BH$335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Referto!$BJ$335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2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Referto!$BH$341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Referto!$BJ$341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2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Referto!$BH$347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Referto!$BJ$347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2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Referto!$BH$353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Referto!$BJ$353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2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Referto!$BH$359</c:f>
              <c:numCache>
                <c:formatCode>General</c:formatCode>
                <c:ptCount val="1"/>
                <c:pt idx="0">
                  <c:v>52</c:v>
                </c:pt>
              </c:numCache>
            </c:numRef>
          </c:xVal>
          <c:yVal>
            <c:numRef>
              <c:f>Referto!$BJ$359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25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Referto!$BH$365</c:f>
              <c:numCache>
                <c:formatCode>General</c:formatCode>
                <c:ptCount val="1"/>
                <c:pt idx="0">
                  <c:v>78</c:v>
                </c:pt>
              </c:numCache>
            </c:numRef>
          </c:xVal>
          <c:yVal>
            <c:numRef>
              <c:f>Referto!$BJ$365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26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Referto!$BH$371</c:f>
              <c:numCache>
                <c:formatCode>General</c:formatCode>
                <c:ptCount val="1"/>
                <c:pt idx="0">
                  <c:v>26</c:v>
                </c:pt>
              </c:numCache>
            </c:numRef>
          </c:xVal>
          <c:yVal>
            <c:numRef>
              <c:f>Referto!$BJ$371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27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Referto!$BH$377</c:f>
              <c:numCache>
                <c:formatCode>General</c:formatCode>
                <c:ptCount val="1"/>
                <c:pt idx="0">
                  <c:v>98</c:v>
                </c:pt>
              </c:numCache>
            </c:numRef>
          </c:xVal>
          <c:yVal>
            <c:numRef>
              <c:f>Referto!$BJ$377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28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Referto!$BH$383</c:f>
              <c:numCache>
                <c:formatCode>General</c:formatCode>
                <c:ptCount val="1"/>
                <c:pt idx="0">
                  <c:v>26</c:v>
                </c:pt>
              </c:numCache>
            </c:numRef>
          </c:xVal>
          <c:yVal>
            <c:numRef>
              <c:f>Referto!$BJ$383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29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Referto!$BH$389</c:f>
              <c:numCache>
                <c:formatCode>General</c:formatCode>
                <c:ptCount val="1"/>
                <c:pt idx="0">
                  <c:v>98</c:v>
                </c:pt>
              </c:numCache>
            </c:numRef>
          </c:xVal>
          <c:yVal>
            <c:numRef>
              <c:f>Referto!$BJ$389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30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Referto!$BH$395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Referto!$BJ$395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harts/chart3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65688391029835"/>
          <c:y val="0.225197717547417"/>
          <c:w val="0.926317691802979"/>
          <c:h val="0.562995612621307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</c:spPr>
          </c:marker>
          <c:dPt>
            <c:idx val="0"/>
            <c:invertIfNegative val="0"/>
            <c:bubble3D val="0"/>
          </c:dPt>
          <c:xVal>
            <c:numRef>
              <c:f>Referto!$BH$401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Referto!$BJ$401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00"/>
          <c:min val="0"/>
        </c:scaling>
        <c:delete val="1"/>
        <c:axPos val="b"/>
        <c:majorTickMark val="out"/>
        <c:minorTickMark val="none"/>
        <c:tickLblPos val="nextTo"/>
        <c:crossAx val="2"/>
        <c:crossesAt val="0"/>
        <c:crossBetween val="midCat"/>
      </c:valAx>
      <c:valAx>
        <c:axId val="2"/>
        <c:scaling>
          <c:orientation val="minMax"/>
          <c:max val="114.360000610352"/>
          <c:min val="0"/>
        </c:scaling>
        <c:delete val="1"/>
        <c:axPos val="l"/>
        <c:majorTickMark val="out"/>
        <c:minorTickMark val="none"/>
        <c:tickLblPos val="nextTo"/>
        <c:crossAx val="1"/>
        <c:crosses val="autoZero"/>
        <c:crossBetween val="midCat"/>
        <c:majorUnit val="57.1800003051758"/>
        <c:minorUnit val="10"/>
      </c:valAx>
      <c:spPr>
        <a:gradFill rotWithShape="0">
          <a:gsLst>
            <a:gs pos="0">
              <a:srgbClr val="E0F8D8"/>
            </a:gs>
            <a:gs pos="100000">
              <a:srgbClr val="FFC5C5"/>
            </a:gs>
          </a:gsLst>
          <a:lin ang="0" scaled="1"/>
          <a:tileRect/>
        </a:gradFill>
        <a:ln w="3175">
          <a:solidFill>
            <a:schemeClr val="tx1"/>
          </a:solidFill>
          <a:prstDash val="sysDot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l="0.75" r="0.75" t="1" b="1" header="0.5" footer="0.5"/>
    <c:pageSetup paperSize="9" orientation="landscape" verticalDpi="360"/>
  </c:printSettings>
  <c:userShapes r:id="rId1"/>
</c:chartSpace>
</file>

<file path=xl/ctrlProps/ctrlProp1.xml><?xml version="1.0" encoding="utf-8"?>
<formControlPr xmlns="http://schemas.microsoft.com/office/spreadsheetml/2009/9/main" objectType="Button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image" Target="../media/image3.jpg" /><Relationship Id="rId7" Type="http://schemas.openxmlformats.org/officeDocument/2006/relationships/chart" Target="../charts/chart6.xml" /><Relationship Id="rId8" Type="http://schemas.openxmlformats.org/officeDocument/2006/relationships/chart" Target="../charts/chart7.xml" /><Relationship Id="rId9" Type="http://schemas.openxmlformats.org/officeDocument/2006/relationships/chart" Target="../charts/chart8.xml" /><Relationship Id="rId10" Type="http://schemas.openxmlformats.org/officeDocument/2006/relationships/chart" Target="../charts/chart9.xml" /><Relationship Id="rId11" Type="http://schemas.openxmlformats.org/officeDocument/2006/relationships/chart" Target="../charts/chart10.xml" /><Relationship Id="rId12" Type="http://schemas.openxmlformats.org/officeDocument/2006/relationships/chart" Target="../charts/chart11.xml" /><Relationship Id="rId13" Type="http://schemas.openxmlformats.org/officeDocument/2006/relationships/chart" Target="../charts/chart12.xml" /><Relationship Id="rId14" Type="http://schemas.openxmlformats.org/officeDocument/2006/relationships/chart" Target="../charts/chart13.xml" /><Relationship Id="rId15" Type="http://schemas.openxmlformats.org/officeDocument/2006/relationships/chart" Target="../charts/chart14.xml" /><Relationship Id="rId16" Type="http://schemas.openxmlformats.org/officeDocument/2006/relationships/chart" Target="../charts/chart15.xml" /><Relationship Id="rId17" Type="http://schemas.openxmlformats.org/officeDocument/2006/relationships/chart" Target="../charts/chart16.xml" /><Relationship Id="rId18" Type="http://schemas.openxmlformats.org/officeDocument/2006/relationships/chart" Target="../charts/chart17.xml" /><Relationship Id="rId19" Type="http://schemas.openxmlformats.org/officeDocument/2006/relationships/chart" Target="../charts/chart18.xml" /><Relationship Id="rId20" Type="http://schemas.openxmlformats.org/officeDocument/2006/relationships/chart" Target="../charts/chart19.xml" /><Relationship Id="rId21" Type="http://schemas.openxmlformats.org/officeDocument/2006/relationships/chart" Target="../charts/chart20.xml" /><Relationship Id="rId22" Type="http://schemas.openxmlformats.org/officeDocument/2006/relationships/chart" Target="../charts/chart21.xml" /><Relationship Id="rId23" Type="http://schemas.openxmlformats.org/officeDocument/2006/relationships/chart" Target="../charts/chart22.xml" /><Relationship Id="rId24" Type="http://schemas.openxmlformats.org/officeDocument/2006/relationships/chart" Target="../charts/chart23.xml" /><Relationship Id="rId25" Type="http://schemas.openxmlformats.org/officeDocument/2006/relationships/chart" Target="../charts/chart24.xml" /><Relationship Id="rId26" Type="http://schemas.openxmlformats.org/officeDocument/2006/relationships/chart" Target="../charts/chart25.xml" /><Relationship Id="rId27" Type="http://schemas.openxmlformats.org/officeDocument/2006/relationships/chart" Target="../charts/chart26.xml" /><Relationship Id="rId28" Type="http://schemas.openxmlformats.org/officeDocument/2006/relationships/chart" Target="../charts/chart27.xml" /><Relationship Id="rId29" Type="http://schemas.openxmlformats.org/officeDocument/2006/relationships/chart" Target="../charts/chart28.xml" /><Relationship Id="rId30" Type="http://schemas.openxmlformats.org/officeDocument/2006/relationships/chart" Target="../charts/chart29.xml" /><Relationship Id="rId31" Type="http://schemas.openxmlformats.org/officeDocument/2006/relationships/chart" Target="../charts/chart30.xml" /><Relationship Id="rId32" Type="http://schemas.openxmlformats.org/officeDocument/2006/relationships/chart" Target="../charts/chart31.xml" /></Relationships>
</file>

<file path=xl/drawings/_rels/vmlDrawing2.v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jp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160020</xdr:colOff>
      <xdr:row>188</xdr:row>
      <xdr:rowOff>81915</xdr:rowOff>
    </xdr:from>
    <xdr:to>
      <xdr:col>43</xdr:col>
      <xdr:colOff>6350</xdr:colOff>
      <xdr:row>192</xdr:row>
      <xdr:rowOff>34925</xdr:rowOff>
    </xdr:to>
    <xdr:graphicFrame macro="">
      <xdr:nvGraphicFramePr>
        <xdr:cNvPr id="3" name="Grafico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196</xdr:row>
      <xdr:rowOff>0</xdr:rowOff>
    </xdr:from>
    <xdr:to>
      <xdr:col>43</xdr:col>
      <xdr:colOff>12065</xdr:colOff>
      <xdr:row>199</xdr:row>
      <xdr:rowOff>37465</xdr:rowOff>
    </xdr:to>
    <xdr:graphicFrame macro="">
      <xdr:nvGraphicFramePr>
        <xdr:cNvPr id="4" name="Grafico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160020</xdr:colOff>
      <xdr:row>202</xdr:row>
      <xdr:rowOff>81915</xdr:rowOff>
    </xdr:from>
    <xdr:to>
      <xdr:col>43</xdr:col>
      <xdr:colOff>6350</xdr:colOff>
      <xdr:row>206</xdr:row>
      <xdr:rowOff>34925</xdr:rowOff>
    </xdr:to>
    <xdr:graphicFrame macro="">
      <xdr:nvGraphicFramePr>
        <xdr:cNvPr id="5" name="Grafico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210</xdr:row>
      <xdr:rowOff>0</xdr:rowOff>
    </xdr:from>
    <xdr:to>
      <xdr:col>43</xdr:col>
      <xdr:colOff>12065</xdr:colOff>
      <xdr:row>213</xdr:row>
      <xdr:rowOff>37465</xdr:rowOff>
    </xdr:to>
    <xdr:graphicFrame macro="">
      <xdr:nvGraphicFramePr>
        <xdr:cNvPr id="6" name="Grafico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153035</xdr:colOff>
      <xdr:row>224</xdr:row>
      <xdr:rowOff>0</xdr:rowOff>
    </xdr:from>
    <xdr:to>
      <xdr:col>40</xdr:col>
      <xdr:colOff>30480</xdr:colOff>
      <xdr:row>228</xdr:row>
      <xdr:rowOff>3810</xdr:rowOff>
    </xdr:to>
    <xdr:graphicFrame macro="">
      <xdr:nvGraphicFramePr>
        <xdr:cNvPr id="7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139065</xdr:colOff>
      <xdr:row>268</xdr:row>
      <xdr:rowOff>116205</xdr:rowOff>
    </xdr:from>
    <xdr:ext cx="1313034" cy="928256"/>
    <xdr:pic>
      <xdr:nvPicPr>
        <xdr:cNvPr id="8" name="Immagin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337" y="9412878"/>
          <a:ext cx="1313034" cy="928256"/>
        </a:xfrm>
        <a:prstGeom prst="rect"/>
      </xdr:spPr>
    </xdr:pic>
    <xdr:clientData/>
  </xdr:oneCellAnchor>
  <xdr:twoCellAnchor>
    <xdr:from>
      <xdr:col>15</xdr:col>
      <xdr:colOff>0</xdr:colOff>
      <xdr:row>230</xdr:row>
      <xdr:rowOff>0</xdr:rowOff>
    </xdr:from>
    <xdr:to>
      <xdr:col>40</xdr:col>
      <xdr:colOff>38100</xdr:colOff>
      <xdr:row>234</xdr:row>
      <xdr:rowOff>3175</xdr:rowOff>
    </xdr:to>
    <xdr:graphicFrame macro="">
      <xdr:nvGraphicFramePr>
        <xdr:cNvPr id="10" name="Gra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236</xdr:row>
      <xdr:rowOff>0</xdr:rowOff>
    </xdr:from>
    <xdr:to>
      <xdr:col>40</xdr:col>
      <xdr:colOff>38100</xdr:colOff>
      <xdr:row>240</xdr:row>
      <xdr:rowOff>3175</xdr:rowOff>
    </xdr:to>
    <xdr:graphicFrame macro="">
      <xdr:nvGraphicFramePr>
        <xdr:cNvPr id="11" name="Gra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242</xdr:row>
      <xdr:rowOff>0</xdr:rowOff>
    </xdr:from>
    <xdr:to>
      <xdr:col>40</xdr:col>
      <xdr:colOff>38100</xdr:colOff>
      <xdr:row>246</xdr:row>
      <xdr:rowOff>3175</xdr:rowOff>
    </xdr:to>
    <xdr:graphicFrame macro="">
      <xdr:nvGraphicFramePr>
        <xdr:cNvPr id="12" name="Gra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0</xdr:colOff>
      <xdr:row>248</xdr:row>
      <xdr:rowOff>0</xdr:rowOff>
    </xdr:from>
    <xdr:to>
      <xdr:col>40</xdr:col>
      <xdr:colOff>38100</xdr:colOff>
      <xdr:row>252</xdr:row>
      <xdr:rowOff>3175</xdr:rowOff>
    </xdr:to>
    <xdr:graphicFrame macro="">
      <xdr:nvGraphicFramePr>
        <xdr:cNvPr id="13" name="Gra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0</xdr:colOff>
      <xdr:row>254</xdr:row>
      <xdr:rowOff>0</xdr:rowOff>
    </xdr:from>
    <xdr:to>
      <xdr:col>40</xdr:col>
      <xdr:colOff>38100</xdr:colOff>
      <xdr:row>258</xdr:row>
      <xdr:rowOff>3175</xdr:rowOff>
    </xdr:to>
    <xdr:graphicFrame macro="">
      <xdr:nvGraphicFramePr>
        <xdr:cNvPr id="14" name="Gra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0</xdr:colOff>
      <xdr:row>260</xdr:row>
      <xdr:rowOff>0</xdr:rowOff>
    </xdr:from>
    <xdr:to>
      <xdr:col>40</xdr:col>
      <xdr:colOff>38100</xdr:colOff>
      <xdr:row>264</xdr:row>
      <xdr:rowOff>3175</xdr:rowOff>
    </xdr:to>
    <xdr:graphicFrame macro="">
      <xdr:nvGraphicFramePr>
        <xdr:cNvPr id="15" name="Gra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24765</xdr:colOff>
      <xdr:row>280</xdr:row>
      <xdr:rowOff>81280</xdr:rowOff>
    </xdr:from>
    <xdr:to>
      <xdr:col>42</xdr:col>
      <xdr:colOff>66675</xdr:colOff>
      <xdr:row>284</xdr:row>
      <xdr:rowOff>36830</xdr:rowOff>
    </xdr:to>
    <xdr:graphicFrame macro="">
      <xdr:nvGraphicFramePr>
        <xdr:cNvPr id="16" name="Gra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24765</xdr:colOff>
      <xdr:row>287</xdr:row>
      <xdr:rowOff>0</xdr:rowOff>
    </xdr:from>
    <xdr:to>
      <xdr:col>42</xdr:col>
      <xdr:colOff>66675</xdr:colOff>
      <xdr:row>291</xdr:row>
      <xdr:rowOff>3175</xdr:rowOff>
    </xdr:to>
    <xdr:graphicFrame macro="">
      <xdr:nvGraphicFramePr>
        <xdr:cNvPr id="17" name="Gra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24765</xdr:colOff>
      <xdr:row>293</xdr:row>
      <xdr:rowOff>0</xdr:rowOff>
    </xdr:from>
    <xdr:to>
      <xdr:col>42</xdr:col>
      <xdr:colOff>66675</xdr:colOff>
      <xdr:row>297</xdr:row>
      <xdr:rowOff>3175</xdr:rowOff>
    </xdr:to>
    <xdr:graphicFrame macro="">
      <xdr:nvGraphicFramePr>
        <xdr:cNvPr id="18" name="Gra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27940</xdr:colOff>
      <xdr:row>303</xdr:row>
      <xdr:rowOff>0</xdr:rowOff>
    </xdr:from>
    <xdr:to>
      <xdr:col>42</xdr:col>
      <xdr:colOff>66675</xdr:colOff>
      <xdr:row>307</xdr:row>
      <xdr:rowOff>3175</xdr:rowOff>
    </xdr:to>
    <xdr:graphicFrame macro="">
      <xdr:nvGraphicFramePr>
        <xdr:cNvPr id="19" name="Gra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27940</xdr:colOff>
      <xdr:row>309</xdr:row>
      <xdr:rowOff>0</xdr:rowOff>
    </xdr:from>
    <xdr:to>
      <xdr:col>42</xdr:col>
      <xdr:colOff>66675</xdr:colOff>
      <xdr:row>313</xdr:row>
      <xdr:rowOff>3175</xdr:rowOff>
    </xdr:to>
    <xdr:graphicFrame macro="">
      <xdr:nvGraphicFramePr>
        <xdr:cNvPr id="20" name="Gra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27940</xdr:colOff>
      <xdr:row>314</xdr:row>
      <xdr:rowOff>81915</xdr:rowOff>
    </xdr:from>
    <xdr:to>
      <xdr:col>42</xdr:col>
      <xdr:colOff>66675</xdr:colOff>
      <xdr:row>319</xdr:row>
      <xdr:rowOff>3175</xdr:rowOff>
    </xdr:to>
    <xdr:graphicFrame macro="">
      <xdr:nvGraphicFramePr>
        <xdr:cNvPr id="21" name="Grafico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17</xdr:col>
      <xdr:colOff>27940</xdr:colOff>
      <xdr:row>321</xdr:row>
      <xdr:rowOff>0</xdr:rowOff>
    </xdr:from>
    <xdr:to>
      <xdr:col>42</xdr:col>
      <xdr:colOff>66675</xdr:colOff>
      <xdr:row>325</xdr:row>
      <xdr:rowOff>3175</xdr:rowOff>
    </xdr:to>
    <xdr:graphicFrame macro="">
      <xdr:nvGraphicFramePr>
        <xdr:cNvPr id="22" name="Gra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17</xdr:col>
      <xdr:colOff>27940</xdr:colOff>
      <xdr:row>327</xdr:row>
      <xdr:rowOff>0</xdr:rowOff>
    </xdr:from>
    <xdr:to>
      <xdr:col>42</xdr:col>
      <xdr:colOff>66675</xdr:colOff>
      <xdr:row>331</xdr:row>
      <xdr:rowOff>3175</xdr:rowOff>
    </xdr:to>
    <xdr:graphicFrame macro="">
      <xdr:nvGraphicFramePr>
        <xdr:cNvPr id="23" name="Grafico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27940</xdr:colOff>
      <xdr:row>333</xdr:row>
      <xdr:rowOff>0</xdr:rowOff>
    </xdr:from>
    <xdr:to>
      <xdr:col>42</xdr:col>
      <xdr:colOff>66675</xdr:colOff>
      <xdr:row>337</xdr:row>
      <xdr:rowOff>3175</xdr:rowOff>
    </xdr:to>
    <xdr:graphicFrame macro="">
      <xdr:nvGraphicFramePr>
        <xdr:cNvPr id="25" name="Grafico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17</xdr:col>
      <xdr:colOff>27940</xdr:colOff>
      <xdr:row>339</xdr:row>
      <xdr:rowOff>0</xdr:rowOff>
    </xdr:from>
    <xdr:to>
      <xdr:col>42</xdr:col>
      <xdr:colOff>66675</xdr:colOff>
      <xdr:row>343</xdr:row>
      <xdr:rowOff>3175</xdr:rowOff>
    </xdr:to>
    <xdr:graphicFrame macro="">
      <xdr:nvGraphicFramePr>
        <xdr:cNvPr id="26" name="Grafico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17</xdr:col>
      <xdr:colOff>27940</xdr:colOff>
      <xdr:row>344</xdr:row>
      <xdr:rowOff>81915</xdr:rowOff>
    </xdr:from>
    <xdr:to>
      <xdr:col>42</xdr:col>
      <xdr:colOff>66675</xdr:colOff>
      <xdr:row>349</xdr:row>
      <xdr:rowOff>3175</xdr:rowOff>
    </xdr:to>
    <xdr:graphicFrame macro="">
      <xdr:nvGraphicFramePr>
        <xdr:cNvPr id="27" name="Grafico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17</xdr:col>
      <xdr:colOff>27940</xdr:colOff>
      <xdr:row>350</xdr:row>
      <xdr:rowOff>81915</xdr:rowOff>
    </xdr:from>
    <xdr:to>
      <xdr:col>42</xdr:col>
      <xdr:colOff>66675</xdr:colOff>
      <xdr:row>355</xdr:row>
      <xdr:rowOff>3175</xdr:rowOff>
    </xdr:to>
    <xdr:graphicFrame macro="">
      <xdr:nvGraphicFramePr>
        <xdr:cNvPr id="28" name="Grafico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17</xdr:col>
      <xdr:colOff>27940</xdr:colOff>
      <xdr:row>357</xdr:row>
      <xdr:rowOff>0</xdr:rowOff>
    </xdr:from>
    <xdr:to>
      <xdr:col>42</xdr:col>
      <xdr:colOff>66675</xdr:colOff>
      <xdr:row>361</xdr:row>
      <xdr:rowOff>3175</xdr:rowOff>
    </xdr:to>
    <xdr:graphicFrame macro="">
      <xdr:nvGraphicFramePr>
        <xdr:cNvPr id="29" name="Grafico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17</xdr:col>
      <xdr:colOff>27940</xdr:colOff>
      <xdr:row>363</xdr:row>
      <xdr:rowOff>0</xdr:rowOff>
    </xdr:from>
    <xdr:to>
      <xdr:col>42</xdr:col>
      <xdr:colOff>66675</xdr:colOff>
      <xdr:row>367</xdr:row>
      <xdr:rowOff>3175</xdr:rowOff>
    </xdr:to>
    <xdr:graphicFrame macro="">
      <xdr:nvGraphicFramePr>
        <xdr:cNvPr id="30" name="Grafico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17</xdr:col>
      <xdr:colOff>27940</xdr:colOff>
      <xdr:row>369</xdr:row>
      <xdr:rowOff>0</xdr:rowOff>
    </xdr:from>
    <xdr:to>
      <xdr:col>42</xdr:col>
      <xdr:colOff>66675</xdr:colOff>
      <xdr:row>373</xdr:row>
      <xdr:rowOff>3175</xdr:rowOff>
    </xdr:to>
    <xdr:graphicFrame macro="">
      <xdr:nvGraphicFramePr>
        <xdr:cNvPr id="31" name="Grafico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17</xdr:col>
      <xdr:colOff>27940</xdr:colOff>
      <xdr:row>375</xdr:row>
      <xdr:rowOff>0</xdr:rowOff>
    </xdr:from>
    <xdr:to>
      <xdr:col>42</xdr:col>
      <xdr:colOff>66675</xdr:colOff>
      <xdr:row>379</xdr:row>
      <xdr:rowOff>3175</xdr:rowOff>
    </xdr:to>
    <xdr:graphicFrame macro="">
      <xdr:nvGraphicFramePr>
        <xdr:cNvPr id="32" name="Grafico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17</xdr:col>
      <xdr:colOff>27940</xdr:colOff>
      <xdr:row>381</xdr:row>
      <xdr:rowOff>0</xdr:rowOff>
    </xdr:from>
    <xdr:to>
      <xdr:col>42</xdr:col>
      <xdr:colOff>66675</xdr:colOff>
      <xdr:row>385</xdr:row>
      <xdr:rowOff>12065</xdr:rowOff>
    </xdr:to>
    <xdr:graphicFrame macro="">
      <xdr:nvGraphicFramePr>
        <xdr:cNvPr id="33" name="Grafico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43</xdr:col>
          <xdr:colOff>518160</xdr:colOff>
          <xdr:row>21</xdr:row>
          <xdr:rowOff>144780</xdr:rowOff>
        </xdr:from>
        <xdr:to>
          <xdr:col>45</xdr:col>
          <xdr:colOff>403860</xdr:colOff>
          <xdr:row>23</xdr:row>
          <xdr:rowOff>137160</xdr:rowOff>
        </xdr:to>
        <xdr:sp>
          <xdr:nvSpPr>
            <xdr:cNvPr id="21507" name="Pulsante 408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prstGeom prst="rect"/>
            <a:noFill/>
            <a:ln>
              <a:noFill/>
            </a:ln>
            <a:effectLst/>
          </xdr:spPr>
          <xdr:txBody>
            <a:bodyPr vertOverflow="clip" wrap="square" lIns="36195" tIns="27305" rIns="36195" bIns="27305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Referto</a:t>
              </a:r>
            </a:p>
          </xdr:txBody>
        </xdr:sp>
        <xdr:clientData fPrintsWithSheet="0"/>
      </xdr:twoCellAnchor>
    </mc:Choice>
    <mc:Fallback/>
  </mc:AlternateContent>
  <xdr:oneCellAnchor>
    <xdr:from>
      <xdr:col>44</xdr:col>
      <xdr:colOff>518160</xdr:colOff>
      <xdr:row>101</xdr:row>
      <xdr:rowOff>76200</xdr:rowOff>
    </xdr:from>
    <xdr:ext cx="1054347" cy="745376"/>
    <xdr:pic>
      <xdr:nvPicPr>
        <xdr:cNvPr id="34" name="Immagine 3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51419" y="17373600"/>
          <a:ext cx="1054347" cy="745376"/>
        </a:xfrm>
        <a:prstGeom prst="rect"/>
      </xdr:spPr>
    </xdr:pic>
    <xdr:clientData/>
  </xdr:oneCellAnchor>
  <xdr:oneCellAnchor>
    <xdr:from>
      <xdr:col>0</xdr:col>
      <xdr:colOff>139065</xdr:colOff>
      <xdr:row>167</xdr:row>
      <xdr:rowOff>116205</xdr:rowOff>
    </xdr:from>
    <xdr:ext cx="1313034" cy="928256"/>
    <xdr:pic>
      <xdr:nvPicPr>
        <xdr:cNvPr id="37" name="Immagine 3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337" y="37606878"/>
          <a:ext cx="1313034" cy="928256"/>
        </a:xfrm>
        <a:prstGeom prst="rect"/>
      </xdr:spPr>
    </xdr:pic>
    <xdr:clientData/>
  </xdr:oneCellAnchor>
  <xdr:oneCellAnchor>
    <xdr:from>
      <xdr:col>0</xdr:col>
      <xdr:colOff>139065</xdr:colOff>
      <xdr:row>409</xdr:row>
      <xdr:rowOff>116205</xdr:rowOff>
    </xdr:from>
    <xdr:ext cx="1313034" cy="928256"/>
    <xdr:pic>
      <xdr:nvPicPr>
        <xdr:cNvPr id="38" name="Immagine 3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337" y="37875583"/>
          <a:ext cx="1313034" cy="928256"/>
        </a:xfrm>
        <a:prstGeom prst="rect"/>
      </xdr:spPr>
    </xdr:pic>
    <xdr:clientData/>
  </xdr:oneCellAnchor>
  <xdr:oneCellAnchor>
    <xdr:from>
      <xdr:col>0</xdr:col>
      <xdr:colOff>139065</xdr:colOff>
      <xdr:row>115</xdr:row>
      <xdr:rowOff>116205</xdr:rowOff>
    </xdr:from>
    <xdr:ext cx="1313034" cy="928256"/>
    <xdr:pic>
      <xdr:nvPicPr>
        <xdr:cNvPr id="39" name="Immagine 3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337" y="28615278"/>
          <a:ext cx="1313034" cy="928256"/>
        </a:xfrm>
        <a:prstGeom prst="rect"/>
      </xdr:spPr>
    </xdr:pic>
    <xdr:clientData/>
  </xdr:oneCellAnchor>
  <xdr:twoCellAnchor>
    <xdr:from>
      <xdr:col>17</xdr:col>
      <xdr:colOff>0</xdr:colOff>
      <xdr:row>387</xdr:row>
      <xdr:rowOff>0</xdr:rowOff>
    </xdr:from>
    <xdr:to>
      <xdr:col>42</xdr:col>
      <xdr:colOff>38100</xdr:colOff>
      <xdr:row>391</xdr:row>
      <xdr:rowOff>12065</xdr:rowOff>
    </xdr:to>
    <xdr:graphicFrame macro="">
      <xdr:nvGraphicFramePr>
        <xdr:cNvPr id="9" name="Grafico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17</xdr:col>
      <xdr:colOff>0</xdr:colOff>
      <xdr:row>393</xdr:row>
      <xdr:rowOff>0</xdr:rowOff>
    </xdr:from>
    <xdr:to>
      <xdr:col>42</xdr:col>
      <xdr:colOff>38100</xdr:colOff>
      <xdr:row>397</xdr:row>
      <xdr:rowOff>12065</xdr:rowOff>
    </xdr:to>
    <xdr:graphicFrame macro="">
      <xdr:nvGraphicFramePr>
        <xdr:cNvPr id="35" name="Grafico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17</xdr:col>
      <xdr:colOff>0</xdr:colOff>
      <xdr:row>399</xdr:row>
      <xdr:rowOff>0</xdr:rowOff>
    </xdr:from>
    <xdr:to>
      <xdr:col>42</xdr:col>
      <xdr:colOff>38100</xdr:colOff>
      <xdr:row>403</xdr:row>
      <xdr:rowOff>12065</xdr:rowOff>
    </xdr:to>
    <xdr:graphicFrame macro="">
      <xdr:nvGraphicFramePr>
        <xdr:cNvPr id="42" name="Grafico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512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3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4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4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4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4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3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4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4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4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4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4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5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5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5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4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5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5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5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5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5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5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5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6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5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6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6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6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6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6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6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6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6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6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6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7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7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7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7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7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7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7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7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7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7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7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8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8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8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8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8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8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8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8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8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8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8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9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9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9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9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9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9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9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9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9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9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9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0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10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0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0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0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0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0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0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0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0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11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0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1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1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1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1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1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1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1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12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1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1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1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2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2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2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2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2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13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2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2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2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2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2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3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3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3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14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3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3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3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3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3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3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3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4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15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4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4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4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4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4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4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4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4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16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4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5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5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5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5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5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5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5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17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5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5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5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6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6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6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6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6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18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6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6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6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6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6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7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7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7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19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7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7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7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7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7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7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7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8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20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8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8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8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8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8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8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8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8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21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8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9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9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9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9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9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9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9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22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9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9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19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0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0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0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0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0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23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0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0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0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0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0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1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1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1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24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1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1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1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1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1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1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1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2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25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2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2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2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2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2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2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2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2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26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2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3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3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3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3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3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3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3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27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3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3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3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4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4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4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4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4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28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4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4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4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4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4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5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5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5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29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5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5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5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5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5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5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5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6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30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6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6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6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6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6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6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6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6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31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6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7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7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7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7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7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75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76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drawings/drawing32.xml><?xml version="1.0" encoding="utf-8"?>
<c:userShapes xmlns:c="http://schemas.openxmlformats.org/drawingml/2006/chart" xmlns:a="http://schemas.openxmlformats.org/drawingml/2006/main"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77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78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79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80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81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82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83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  <cdr:relSizeAnchor xmlns:cdr="http://schemas.openxmlformats.org/drawingml/2006/chartDrawing">
    <cdr:from>
      <cdr:x>0.10766</cdr:x>
      <cdr:y>0.7722</cdr:y>
    </cdr:from>
    <cdr:to>
      <cdr:x>0.20668</cdr:x>
      <cdr:y>0.84507</cdr:y>
    </cdr:to>
    <cdr:sp>
      <cdr:nvSpPr>
        <cdr:cNvPr id="284" name="Text Box 1"/>
        <cdr:cNvSpPr txBox="1">
          <a:spLocks noChangeArrowheads="1"/>
        </cdr:cNvSpPr>
      </cdr:nvSpPr>
      <cdr:spPr bwMode="auto">
        <a:xfrm>
          <a:off x="719626" y="2136476"/>
          <a:ext cx="665666" cy="190627"/>
        </a:xfrm>
        <a:prstGeom prst="rect"/>
        <a:noFill/>
        <a:ln>
          <a:noFill/>
        </a:ln>
      </cdr:spPr>
      <cdr:txBody>
        <a:bodyPr>
          <a:noAutofit/>
        </a:bodyPr>
        <a:lstStyle/>
        <a:p>
          <a:endParaRPr lang="it-IT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vmlDrawing" Target="../drawings/vmlDrawing2.vml" /><Relationship Id="rId5" Type="http://schemas.openxmlformats.org/officeDocument/2006/relationships/ctrlProp" Target="../ctrlProps/ctrlProp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Foglio19"/>
  <sheetViews>
    <sheetView workbookViewId="0">
      <selection activeCell="AR20" sqref="AR20"/>
    </sheetView>
  </sheetViews>
  <sheetFormatPr defaultColWidth="9.332031" defaultRowHeight="13.5" customHeight="1"/>
  <cols>
    <col min="1" max="1" width="2.554688" style="5" customWidth="1"/>
    <col min="2" max="2" width="0.6640625" style="5" customWidth="1"/>
    <col min="3" max="22" width="2.332031" style="5" customWidth="1"/>
    <col min="23" max="23" width="2.554688" style="5" customWidth="1"/>
    <col min="24" max="24" width="0.6640625" style="5" customWidth="1"/>
    <col min="25" max="43" width="2.332031" style="5" customWidth="1"/>
    <col min="44" max="54" width="9.332031" style="6"/>
    <col min="55" max="78" width="4" style="6" customWidth="1"/>
    <col min="79" max="261" width="9.332031" style="6"/>
    <col min="262" max="274" width="2.664063" style="6" customWidth="1"/>
    <col min="275" max="275" width="2.554688" style="6" customWidth="1"/>
    <col min="276" max="297" width="2.664063" style="6" customWidth="1"/>
    <col min="298" max="517" width="9.332031" style="6"/>
    <col min="518" max="530" width="2.664063" style="6" customWidth="1"/>
    <col min="531" max="531" width="2.554688" style="6" customWidth="1"/>
    <col min="532" max="553" width="2.664063" style="6" customWidth="1"/>
    <col min="554" max="773" width="9.332031" style="6"/>
    <col min="774" max="786" width="2.664063" style="6" customWidth="1"/>
    <col min="787" max="787" width="2.554688" style="6" customWidth="1"/>
    <col min="788" max="809" width="2.664063" style="6" customWidth="1"/>
    <col min="810" max="1029" width="9.332031" style="6"/>
    <col min="1030" max="1042" width="2.664063" style="6" customWidth="1"/>
    <col min="1043" max="1043" width="2.554688" style="6" customWidth="1"/>
    <col min="1044" max="1065" width="2.664063" style="6" customWidth="1"/>
    <col min="1066" max="1285" width="9.332031" style="6"/>
    <col min="1286" max="1298" width="2.664063" style="6" customWidth="1"/>
    <col min="1299" max="1299" width="2.554688" style="6" customWidth="1"/>
    <col min="1300" max="1321" width="2.664063" style="6" customWidth="1"/>
    <col min="1322" max="1541" width="9.332031" style="6"/>
    <col min="1542" max="1554" width="2.664063" style="6" customWidth="1"/>
    <col min="1555" max="1555" width="2.554688" style="6" customWidth="1"/>
    <col min="1556" max="1577" width="2.664063" style="6" customWidth="1"/>
    <col min="1578" max="1797" width="9.332031" style="6"/>
    <col min="1798" max="1810" width="2.664063" style="6" customWidth="1"/>
    <col min="1811" max="1811" width="2.554688" style="6" customWidth="1"/>
    <col min="1812" max="1833" width="2.664063" style="6" customWidth="1"/>
    <col min="1834" max="2053" width="9.332031" style="6"/>
    <col min="2054" max="2066" width="2.664063" style="6" customWidth="1"/>
    <col min="2067" max="2067" width="2.554688" style="6" customWidth="1"/>
    <col min="2068" max="2089" width="2.664063" style="6" customWidth="1"/>
    <col min="2090" max="2309" width="9.332031" style="6"/>
    <col min="2310" max="2322" width="2.664063" style="6" customWidth="1"/>
    <col min="2323" max="2323" width="2.554688" style="6" customWidth="1"/>
    <col min="2324" max="2345" width="2.664063" style="6" customWidth="1"/>
    <col min="2346" max="2565" width="9.332031" style="6"/>
    <col min="2566" max="2578" width="2.664063" style="6" customWidth="1"/>
    <col min="2579" max="2579" width="2.554688" style="6" customWidth="1"/>
    <col min="2580" max="2601" width="2.664063" style="6" customWidth="1"/>
    <col min="2602" max="2821" width="9.332031" style="6"/>
    <col min="2822" max="2834" width="2.664063" style="6" customWidth="1"/>
    <col min="2835" max="2835" width="2.554688" style="6" customWidth="1"/>
    <col min="2836" max="2857" width="2.664063" style="6" customWidth="1"/>
    <col min="2858" max="3077" width="9.332031" style="6"/>
    <col min="3078" max="3090" width="2.664063" style="6" customWidth="1"/>
    <col min="3091" max="3091" width="2.554688" style="6" customWidth="1"/>
    <col min="3092" max="3113" width="2.664063" style="6" customWidth="1"/>
    <col min="3114" max="3333" width="9.332031" style="6"/>
    <col min="3334" max="3346" width="2.664063" style="6" customWidth="1"/>
    <col min="3347" max="3347" width="2.554688" style="6" customWidth="1"/>
    <col min="3348" max="3369" width="2.664063" style="6" customWidth="1"/>
    <col min="3370" max="3589" width="9.332031" style="6"/>
    <col min="3590" max="3602" width="2.664063" style="6" customWidth="1"/>
    <col min="3603" max="3603" width="2.554688" style="6" customWidth="1"/>
    <col min="3604" max="3625" width="2.664063" style="6" customWidth="1"/>
    <col min="3626" max="3845" width="9.332031" style="6"/>
    <col min="3846" max="3858" width="2.664063" style="6" customWidth="1"/>
    <col min="3859" max="3859" width="2.554688" style="6" customWidth="1"/>
    <col min="3860" max="3881" width="2.664063" style="6" customWidth="1"/>
    <col min="3882" max="4101" width="9.332031" style="6"/>
    <col min="4102" max="4114" width="2.664063" style="6" customWidth="1"/>
    <col min="4115" max="4115" width="2.554688" style="6" customWidth="1"/>
    <col min="4116" max="4137" width="2.664063" style="6" customWidth="1"/>
    <col min="4138" max="4357" width="9.332031" style="6"/>
    <col min="4358" max="4370" width="2.664063" style="6" customWidth="1"/>
    <col min="4371" max="4371" width="2.554688" style="6" customWidth="1"/>
    <col min="4372" max="4393" width="2.664063" style="6" customWidth="1"/>
    <col min="4394" max="4613" width="9.332031" style="6"/>
    <col min="4614" max="4626" width="2.664063" style="6" customWidth="1"/>
    <col min="4627" max="4627" width="2.554688" style="6" customWidth="1"/>
    <col min="4628" max="4649" width="2.664063" style="6" customWidth="1"/>
    <col min="4650" max="4869" width="9.332031" style="6"/>
    <col min="4870" max="4882" width="2.664063" style="6" customWidth="1"/>
    <col min="4883" max="4883" width="2.554688" style="6" customWidth="1"/>
    <col min="4884" max="4905" width="2.664063" style="6" customWidth="1"/>
    <col min="4906" max="5125" width="9.332031" style="6"/>
    <col min="5126" max="5138" width="2.664063" style="6" customWidth="1"/>
    <col min="5139" max="5139" width="2.554688" style="6" customWidth="1"/>
    <col min="5140" max="5161" width="2.664063" style="6" customWidth="1"/>
    <col min="5162" max="5381" width="9.332031" style="6"/>
    <col min="5382" max="5394" width="2.664063" style="6" customWidth="1"/>
    <col min="5395" max="5395" width="2.554688" style="6" customWidth="1"/>
    <col min="5396" max="5417" width="2.664063" style="6" customWidth="1"/>
    <col min="5418" max="5637" width="9.332031" style="6"/>
    <col min="5638" max="5650" width="2.664063" style="6" customWidth="1"/>
    <col min="5651" max="5651" width="2.554688" style="6" customWidth="1"/>
    <col min="5652" max="5673" width="2.664063" style="6" customWidth="1"/>
    <col min="5674" max="5893" width="9.332031" style="6"/>
    <col min="5894" max="5906" width="2.664063" style="6" customWidth="1"/>
    <col min="5907" max="5907" width="2.554688" style="6" customWidth="1"/>
    <col min="5908" max="5929" width="2.664063" style="6" customWidth="1"/>
    <col min="5930" max="6149" width="9.332031" style="6"/>
    <col min="6150" max="6162" width="2.664063" style="6" customWidth="1"/>
    <col min="6163" max="6163" width="2.554688" style="6" customWidth="1"/>
    <col min="6164" max="6185" width="2.664063" style="6" customWidth="1"/>
    <col min="6186" max="6405" width="9.332031" style="6"/>
    <col min="6406" max="6418" width="2.664063" style="6" customWidth="1"/>
    <col min="6419" max="6419" width="2.554688" style="6" customWidth="1"/>
    <col min="6420" max="6441" width="2.664063" style="6" customWidth="1"/>
    <col min="6442" max="6661" width="9.332031" style="6"/>
    <col min="6662" max="6674" width="2.664063" style="6" customWidth="1"/>
    <col min="6675" max="6675" width="2.554688" style="6" customWidth="1"/>
    <col min="6676" max="6697" width="2.664063" style="6" customWidth="1"/>
    <col min="6698" max="6917" width="9.332031" style="6"/>
    <col min="6918" max="6930" width="2.664063" style="6" customWidth="1"/>
    <col min="6931" max="6931" width="2.554688" style="6" customWidth="1"/>
    <col min="6932" max="6953" width="2.664063" style="6" customWidth="1"/>
    <col min="6954" max="7173" width="9.332031" style="6"/>
    <col min="7174" max="7186" width="2.664063" style="6" customWidth="1"/>
    <col min="7187" max="7187" width="2.554688" style="6" customWidth="1"/>
    <col min="7188" max="7209" width="2.664063" style="6" customWidth="1"/>
    <col min="7210" max="7429" width="9.332031" style="6"/>
    <col min="7430" max="7442" width="2.664063" style="6" customWidth="1"/>
    <col min="7443" max="7443" width="2.554688" style="6" customWidth="1"/>
    <col min="7444" max="7465" width="2.664063" style="6" customWidth="1"/>
    <col min="7466" max="7685" width="9.332031" style="6"/>
    <col min="7686" max="7698" width="2.664063" style="6" customWidth="1"/>
    <col min="7699" max="7699" width="2.554688" style="6" customWidth="1"/>
    <col min="7700" max="7721" width="2.664063" style="6" customWidth="1"/>
    <col min="7722" max="7941" width="9.332031" style="6"/>
    <col min="7942" max="7954" width="2.664063" style="6" customWidth="1"/>
    <col min="7955" max="7955" width="2.554688" style="6" customWidth="1"/>
    <col min="7956" max="7977" width="2.664063" style="6" customWidth="1"/>
    <col min="7978" max="8197" width="9.332031" style="6"/>
    <col min="8198" max="8210" width="2.664063" style="6" customWidth="1"/>
    <col min="8211" max="8211" width="2.554688" style="6" customWidth="1"/>
    <col min="8212" max="8233" width="2.664063" style="6" customWidth="1"/>
    <col min="8234" max="8453" width="9.332031" style="6"/>
    <col min="8454" max="8466" width="2.664063" style="6" customWidth="1"/>
    <col min="8467" max="8467" width="2.554688" style="6" customWidth="1"/>
    <col min="8468" max="8489" width="2.664063" style="6" customWidth="1"/>
    <col min="8490" max="8709" width="9.332031" style="6"/>
    <col min="8710" max="8722" width="2.664063" style="6" customWidth="1"/>
    <col min="8723" max="8723" width="2.554688" style="6" customWidth="1"/>
    <col min="8724" max="8745" width="2.664063" style="6" customWidth="1"/>
    <col min="8746" max="8965" width="9.332031" style="6"/>
    <col min="8966" max="8978" width="2.664063" style="6" customWidth="1"/>
    <col min="8979" max="8979" width="2.554688" style="6" customWidth="1"/>
    <col min="8980" max="9001" width="2.664063" style="6" customWidth="1"/>
    <col min="9002" max="9221" width="9.332031" style="6"/>
    <col min="9222" max="9234" width="2.664063" style="6" customWidth="1"/>
    <col min="9235" max="9235" width="2.554688" style="6" customWidth="1"/>
    <col min="9236" max="9257" width="2.664063" style="6" customWidth="1"/>
    <col min="9258" max="9477" width="9.332031" style="6"/>
    <col min="9478" max="9490" width="2.664063" style="6" customWidth="1"/>
    <col min="9491" max="9491" width="2.554688" style="6" customWidth="1"/>
    <col min="9492" max="9513" width="2.664063" style="6" customWidth="1"/>
    <col min="9514" max="9733" width="9.332031" style="6"/>
    <col min="9734" max="9746" width="2.664063" style="6" customWidth="1"/>
    <col min="9747" max="9747" width="2.554688" style="6" customWidth="1"/>
    <col min="9748" max="9769" width="2.664063" style="6" customWidth="1"/>
    <col min="9770" max="9989" width="9.332031" style="6"/>
    <col min="9990" max="10002" width="2.664063" style="6" customWidth="1"/>
    <col min="10003" max="10003" width="2.554688" style="6" customWidth="1"/>
    <col min="10004" max="10025" width="2.664063" style="6" customWidth="1"/>
    <col min="10026" max="10245" width="9.332031" style="6"/>
    <col min="10246" max="10258" width="2.664063" style="6" customWidth="1"/>
    <col min="10259" max="10259" width="2.554688" style="6" customWidth="1"/>
    <col min="10260" max="10281" width="2.664063" style="6" customWidth="1"/>
    <col min="10282" max="10501" width="9.332031" style="6"/>
    <col min="10502" max="10514" width="2.664063" style="6" customWidth="1"/>
    <col min="10515" max="10515" width="2.554688" style="6" customWidth="1"/>
    <col min="10516" max="10537" width="2.664063" style="6" customWidth="1"/>
    <col min="10538" max="10757" width="9.332031" style="6"/>
    <col min="10758" max="10770" width="2.664063" style="6" customWidth="1"/>
    <col min="10771" max="10771" width="2.554688" style="6" customWidth="1"/>
    <col min="10772" max="10793" width="2.664063" style="6" customWidth="1"/>
    <col min="10794" max="11013" width="9.332031" style="6"/>
    <col min="11014" max="11026" width="2.664063" style="6" customWidth="1"/>
    <col min="11027" max="11027" width="2.554688" style="6" customWidth="1"/>
    <col min="11028" max="11049" width="2.664063" style="6" customWidth="1"/>
    <col min="11050" max="11269" width="9.332031" style="6"/>
    <col min="11270" max="11282" width="2.664063" style="6" customWidth="1"/>
    <col min="11283" max="11283" width="2.554688" style="6" customWidth="1"/>
    <col min="11284" max="11305" width="2.664063" style="6" customWidth="1"/>
    <col min="11306" max="11525" width="9.332031" style="6"/>
    <col min="11526" max="11538" width="2.664063" style="6" customWidth="1"/>
    <col min="11539" max="11539" width="2.554688" style="6" customWidth="1"/>
    <col min="11540" max="11561" width="2.664063" style="6" customWidth="1"/>
    <col min="11562" max="11781" width="9.332031" style="6"/>
    <col min="11782" max="11794" width="2.664063" style="6" customWidth="1"/>
    <col min="11795" max="11795" width="2.554688" style="6" customWidth="1"/>
    <col min="11796" max="11817" width="2.664063" style="6" customWidth="1"/>
    <col min="11818" max="12037" width="9.332031" style="6"/>
    <col min="12038" max="12050" width="2.664063" style="6" customWidth="1"/>
    <col min="12051" max="12051" width="2.554688" style="6" customWidth="1"/>
    <col min="12052" max="12073" width="2.664063" style="6" customWidth="1"/>
    <col min="12074" max="12293" width="9.332031" style="6"/>
    <col min="12294" max="12306" width="2.664063" style="6" customWidth="1"/>
    <col min="12307" max="12307" width="2.554688" style="6" customWidth="1"/>
    <col min="12308" max="12329" width="2.664063" style="6" customWidth="1"/>
    <col min="12330" max="12549" width="9.332031" style="6"/>
    <col min="12550" max="12562" width="2.664063" style="6" customWidth="1"/>
    <col min="12563" max="12563" width="2.554688" style="6" customWidth="1"/>
    <col min="12564" max="12585" width="2.664063" style="6" customWidth="1"/>
    <col min="12586" max="12805" width="9.332031" style="6"/>
    <col min="12806" max="12818" width="2.664063" style="6" customWidth="1"/>
    <col min="12819" max="12819" width="2.554688" style="6" customWidth="1"/>
    <col min="12820" max="12841" width="2.664063" style="6" customWidth="1"/>
    <col min="12842" max="13061" width="9.332031" style="6"/>
    <col min="13062" max="13074" width="2.664063" style="6" customWidth="1"/>
    <col min="13075" max="13075" width="2.554688" style="6" customWidth="1"/>
    <col min="13076" max="13097" width="2.664063" style="6" customWidth="1"/>
    <col min="13098" max="13317" width="9.332031" style="6"/>
    <col min="13318" max="13330" width="2.664063" style="6" customWidth="1"/>
    <col min="13331" max="13331" width="2.554688" style="6" customWidth="1"/>
    <col min="13332" max="13353" width="2.664063" style="6" customWidth="1"/>
    <col min="13354" max="13573" width="9.332031" style="6"/>
    <col min="13574" max="13586" width="2.664063" style="6" customWidth="1"/>
    <col min="13587" max="13587" width="2.554688" style="6" customWidth="1"/>
    <col min="13588" max="13609" width="2.664063" style="6" customWidth="1"/>
    <col min="13610" max="13829" width="9.332031" style="6"/>
    <col min="13830" max="13842" width="2.664063" style="6" customWidth="1"/>
    <col min="13843" max="13843" width="2.554688" style="6" customWidth="1"/>
    <col min="13844" max="13865" width="2.664063" style="6" customWidth="1"/>
    <col min="13866" max="14085" width="9.332031" style="6"/>
    <col min="14086" max="14098" width="2.664063" style="6" customWidth="1"/>
    <col min="14099" max="14099" width="2.554688" style="6" customWidth="1"/>
    <col min="14100" max="14121" width="2.664063" style="6" customWidth="1"/>
    <col min="14122" max="14341" width="9.332031" style="6"/>
    <col min="14342" max="14354" width="2.664063" style="6" customWidth="1"/>
    <col min="14355" max="14355" width="2.554688" style="6" customWidth="1"/>
    <col min="14356" max="14377" width="2.664063" style="6" customWidth="1"/>
    <col min="14378" max="14597" width="9.332031" style="6"/>
    <col min="14598" max="14610" width="2.664063" style="6" customWidth="1"/>
    <col min="14611" max="14611" width="2.554688" style="6" customWidth="1"/>
    <col min="14612" max="14633" width="2.664063" style="6" customWidth="1"/>
    <col min="14634" max="14853" width="9.332031" style="6"/>
    <col min="14854" max="14866" width="2.664063" style="6" customWidth="1"/>
    <col min="14867" max="14867" width="2.554688" style="6" customWidth="1"/>
    <col min="14868" max="14889" width="2.664063" style="6" customWidth="1"/>
    <col min="14890" max="15109" width="9.332031" style="6"/>
    <col min="15110" max="15122" width="2.664063" style="6" customWidth="1"/>
    <col min="15123" max="15123" width="2.554688" style="6" customWidth="1"/>
    <col min="15124" max="15145" width="2.664063" style="6" customWidth="1"/>
    <col min="15146" max="15365" width="9.332031" style="6"/>
    <col min="15366" max="15378" width="2.664063" style="6" customWidth="1"/>
    <col min="15379" max="15379" width="2.554688" style="6" customWidth="1"/>
    <col min="15380" max="15401" width="2.664063" style="6" customWidth="1"/>
    <col min="15402" max="15621" width="9.332031" style="6"/>
    <col min="15622" max="15634" width="2.664063" style="6" customWidth="1"/>
    <col min="15635" max="15635" width="2.554688" style="6" customWidth="1"/>
    <col min="15636" max="15657" width="2.664063" style="6" customWidth="1"/>
    <col min="15658" max="15877" width="9.332031" style="6"/>
    <col min="15878" max="15890" width="2.664063" style="6" customWidth="1"/>
    <col min="15891" max="15891" width="2.554688" style="6" customWidth="1"/>
    <col min="15892" max="15913" width="2.664063" style="6" customWidth="1"/>
    <col min="15914" max="16133" width="9.332031" style="6"/>
    <col min="16134" max="16146" width="2.664063" style="6" customWidth="1"/>
    <col min="16147" max="16147" width="2.554688" style="6" customWidth="1"/>
    <col min="16148" max="16169" width="2.664063" style="6" customWidth="1"/>
    <col min="16170" max="16384" width="9.332031" style="6"/>
  </cols>
  <sheetData>
    <row r="1" ht="13.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5"/>
      <c r="AS1"/>
      <c r="AT1"/>
      <c r="AU1"/>
      <c r="AV1"/>
      <c r="AW1"/>
      <c r="AX1"/>
      <c r="AY1"/>
      <c r="AZ1"/>
      <c r="BA1"/>
      <c r="BB1"/>
    </row>
    <row r="2" ht="13.5" customHeight="1">
      <c r="AR2" s="5"/>
      <c r="AS2"/>
      <c r="AT2"/>
      <c r="AU2"/>
      <c r="AV2"/>
      <c r="AW2"/>
      <c r="AX2"/>
      <c r="AY2"/>
      <c r="AZ2"/>
      <c r="BA2"/>
      <c r="BB2"/>
    </row>
    <row r="3" ht="13.5" customHeight="1">
      <c r="E3" s="8" t="s">
        <v>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R3" s="5"/>
      <c r="AS3"/>
      <c r="AT3"/>
      <c r="AU3"/>
      <c r="AV3"/>
      <c r="AW3"/>
      <c r="AX3"/>
      <c r="AY3"/>
      <c r="AZ3"/>
      <c r="BA3"/>
      <c r="BB3"/>
    </row>
    <row r="4" ht="13.5" customHeight="1"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R4" s="5"/>
      <c r="AS4"/>
      <c r="AT4"/>
      <c r="AU4"/>
      <c r="AV4"/>
      <c r="AW4"/>
      <c r="AX4"/>
      <c r="AY4"/>
      <c r="AZ4"/>
      <c r="BA4"/>
      <c r="BB4"/>
    </row>
    <row r="5" ht="13.5" customHeight="1"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R5" s="5"/>
      <c r="AS5"/>
      <c r="AT5"/>
      <c r="AU5"/>
      <c r="AV5"/>
      <c r="AW5"/>
      <c r="AX5"/>
      <c r="AY5"/>
      <c r="AZ5"/>
      <c r="BA5"/>
      <c r="BB5"/>
    </row>
    <row r="6" ht="13.5" customHeight="1"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R6" s="5"/>
      <c r="AS6"/>
      <c r="AT6"/>
      <c r="AU6"/>
      <c r="AV6"/>
      <c r="AW6"/>
      <c r="AX6"/>
      <c r="AY6"/>
      <c r="AZ6"/>
      <c r="BA6"/>
      <c r="BB6"/>
    </row>
    <row r="7" ht="13.5" customHeight="1">
      <c r="AR7" s="5"/>
      <c r="AS7"/>
      <c r="AT7"/>
      <c r="AU7"/>
      <c r="AV7"/>
      <c r="AW7"/>
      <c r="AX7"/>
      <c r="AY7"/>
      <c r="AZ7"/>
      <c r="BA7"/>
      <c r="BB7"/>
    </row>
    <row r="8" ht="13.5" customHeight="1">
      <c r="AR8" s="5"/>
      <c r="AS8"/>
      <c r="AT8"/>
      <c r="AU8"/>
      <c r="AV8"/>
      <c r="AW8"/>
      <c r="AX8"/>
      <c r="AY8"/>
      <c r="AZ8"/>
      <c r="BA8"/>
      <c r="BB8"/>
    </row>
    <row r="9" ht="13.5" customHeight="1">
      <c r="E9" s="9" t="s">
        <v>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R9" s="5"/>
      <c r="AS9"/>
      <c r="AT9"/>
      <c r="AU9"/>
      <c r="AV9"/>
      <c r="AW9"/>
      <c r="AX9"/>
      <c r="AY9"/>
      <c r="AZ9"/>
      <c r="BA9"/>
      <c r="BB9"/>
    </row>
    <row r="10" ht="13.5" customHeight="1"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R10" s="5"/>
      <c r="AS10"/>
      <c r="AT10"/>
      <c r="AU10"/>
      <c r="AV10"/>
      <c r="AW10"/>
      <c r="AX10"/>
      <c r="AY10"/>
      <c r="AZ10"/>
      <c r="BA10"/>
      <c r="BB10"/>
    </row>
    <row r="11" ht="13.5" customHeight="1">
      <c r="D11"/>
      <c r="E11" s="10" t="s">
        <v>2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R11" s="5"/>
      <c r="AS11"/>
      <c r="AT11"/>
      <c r="AU11"/>
      <c r="AV11"/>
      <c r="AW11"/>
      <c r="AX11"/>
      <c r="AY11"/>
      <c r="AZ11"/>
      <c r="BA11"/>
      <c r="BB11"/>
    </row>
    <row r="12" ht="13.5" customHeight="1">
      <c r="D12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R12" s="5"/>
      <c r="AS12"/>
      <c r="AT12"/>
      <c r="AU12"/>
      <c r="AV12"/>
      <c r="AW12"/>
      <c r="AX12"/>
      <c r="AY12"/>
      <c r="AZ12"/>
      <c r="BA12"/>
      <c r="BB12"/>
    </row>
    <row r="13" ht="13.5" customHeight="1">
      <c r="D13"/>
      <c r="AR13" s="5"/>
      <c r="AS13"/>
      <c r="AT13"/>
      <c r="AU13"/>
      <c r="AV13"/>
      <c r="AW13"/>
      <c r="AX13"/>
      <c r="AY13"/>
      <c r="AZ13"/>
      <c r="BA13"/>
      <c r="BB13"/>
    </row>
    <row r="14" ht="13.5" customHeight="1">
      <c r="D14"/>
      <c r="AR14" s="5"/>
      <c r="AS14"/>
      <c r="AT14"/>
      <c r="AU14"/>
      <c r="AV14"/>
      <c r="AW14"/>
      <c r="AX14"/>
      <c r="AY14"/>
      <c r="AZ14"/>
      <c r="BA14"/>
      <c r="BB14"/>
    </row>
    <row r="15" ht="13.5" customHeight="1">
      <c r="AR15" s="5"/>
      <c r="AS15"/>
      <c r="AT15"/>
      <c r="AU15"/>
      <c r="AV15"/>
      <c r="AW15"/>
      <c r="AX15"/>
      <c r="AY15"/>
      <c r="AZ15"/>
      <c r="BA15"/>
      <c r="BB15"/>
    </row>
    <row r="16" ht="13.5" customHeight="1">
      <c r="AR16" s="5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</row>
    <row r="17" ht="13.5" customHeight="1">
      <c r="AR17" s="5"/>
      <c r="AS17"/>
      <c r="AT17"/>
      <c r="AU17"/>
      <c r="AV17"/>
      <c r="AW17"/>
      <c r="AX17"/>
      <c r="AY17"/>
      <c r="AZ17"/>
      <c r="BA17"/>
      <c r="BB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</row>
    <row r="18" ht="13.5" customHeight="1">
      <c r="AR18" s="5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</row>
    <row r="19" ht="13.5" customHeight="1">
      <c r="AR19" s="5"/>
      <c r="AS19"/>
      <c r="AT19"/>
      <c r="AU19"/>
      <c r="AV19"/>
      <c r="AW19"/>
      <c r="AX19"/>
      <c r="AY19"/>
      <c r="AZ19"/>
      <c r="BA19"/>
      <c r="BB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</row>
    <row r="20" ht="13.5" customHeight="1">
      <c r="AR20" s="5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</row>
    <row r="21" ht="13.5" customHeight="1">
      <c r="AR21" s="5"/>
      <c r="AU21"/>
      <c r="AV21"/>
      <c r="AW21"/>
      <c r="AX21"/>
      <c r="AY21"/>
      <c r="AZ21"/>
      <c r="BA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</row>
    <row r="22" ht="13.5" customHeight="1">
      <c r="AR22" s="5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</row>
    <row r="23" ht="13.5" customHeight="1">
      <c r="AR23" s="5"/>
      <c r="AU23"/>
      <c r="AV23"/>
      <c r="AW23"/>
      <c r="AX23"/>
      <c r="AY23"/>
      <c r="AZ23"/>
      <c r="BA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</row>
    <row r="24" ht="13.5" customHeight="1">
      <c r="AR24" s="5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</row>
    <row r="25" ht="13.5" customHeight="1">
      <c r="AR25" s="5"/>
      <c r="AU25"/>
      <c r="AV25"/>
      <c r="AW25"/>
      <c r="AX25"/>
      <c r="AY25"/>
      <c r="AZ25"/>
      <c r="BA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</row>
    <row r="26" ht="13.5" customHeight="1">
      <c r="AR26" s="5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</row>
    <row r="27" ht="13.5" customHeight="1">
      <c r="AR27" s="5"/>
      <c r="AU27"/>
      <c r="AV27"/>
      <c r="AW27"/>
      <c r="AX27"/>
      <c r="AY27"/>
      <c r="AZ27"/>
      <c r="BA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</row>
    <row r="28" ht="13.5" customHeight="1">
      <c r="AR28" s="5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</row>
    <row r="29" s="1" customFormat="1" ht="13.5" customHeight="1">
      <c r="A29" s="5"/>
      <c r="B29" s="5"/>
      <c r="C29" s="5"/>
      <c r="D29" s="5"/>
      <c r="E29" s="5"/>
      <c r="AP29" s="5"/>
      <c r="AQ29" s="5"/>
      <c r="AR29" s="5"/>
      <c r="AS29" s="11"/>
      <c r="AT29" s="11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</row>
    <row r="30" s="1" customFormat="1" ht="13.5" customHeight="1">
      <c r="A30" s="5"/>
      <c r="B30" s="5"/>
      <c r="C30" s="5"/>
      <c r="D30" s="5"/>
      <c r="E30" s="5"/>
      <c r="AP30" s="5"/>
      <c r="AQ30" s="5"/>
      <c r="AR30" s="5"/>
      <c r="AS30" s="11"/>
      <c r="AT30" s="11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</row>
    <row r="31" s="1" customFormat="1" ht="13.5" customHeight="1">
      <c r="A31" s="5"/>
      <c r="B31" s="5"/>
      <c r="C31" s="5"/>
      <c r="D31" s="5"/>
      <c r="E31" s="5"/>
      <c r="AP31" s="5"/>
      <c r="AQ31" s="5"/>
      <c r="AR31" s="5"/>
      <c r="AS31" s="11"/>
      <c r="AT31" s="1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</row>
    <row r="32" s="1" customFormat="1" ht="13.5" customHeight="1">
      <c r="A32" s="5"/>
      <c r="B32" s="5"/>
      <c r="C32" s="5"/>
      <c r="D32" s="5"/>
      <c r="E32" s="5"/>
      <c r="AP32" s="5"/>
      <c r="AQ32" s="5"/>
      <c r="AR32" s="5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</row>
    <row r="33" ht="13.5" customHeight="1">
      <c r="AR33" s="5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</row>
    <row r="34" ht="13.5" customHeight="1">
      <c r="E34" s="12"/>
      <c r="F34" s="12"/>
      <c r="AR34" s="5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</row>
    <row r="35" ht="13.5" customHeight="1">
      <c r="AR35" s="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</row>
    <row r="36" ht="13.5" customHeight="1">
      <c r="L36"/>
      <c r="M36"/>
      <c r="N36"/>
      <c r="O36"/>
      <c r="P36"/>
      <c r="Q36"/>
      <c r="AR36" s="5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</row>
    <row r="37" ht="13.2" customHeight="1">
      <c r="L37"/>
      <c r="M37"/>
      <c r="N37"/>
      <c r="O37"/>
      <c r="P37"/>
      <c r="Q37"/>
      <c r="AR37" s="5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</row>
    <row r="38" ht="13.2" customHeight="1">
      <c r="A38" s="11"/>
      <c r="B38" s="11"/>
      <c r="C38" s="11"/>
      <c r="L38"/>
      <c r="M38"/>
      <c r="N38"/>
      <c r="O38"/>
      <c r="P38"/>
      <c r="Q38"/>
      <c r="AL38" s="11"/>
      <c r="AM38" s="11"/>
      <c r="AN38" s="11"/>
      <c r="AO38" s="11"/>
      <c r="AP38" s="11"/>
      <c r="AQ38" s="6"/>
      <c r="AR38" s="5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</row>
    <row r="39" s="1" customFormat="1" ht="13.2" customHeight="1">
      <c r="A39" s="5"/>
      <c r="B39" s="5"/>
      <c r="C39" s="5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 s="6"/>
      <c r="AL39" s="6"/>
      <c r="AM39" s="6"/>
      <c r="AN39" s="6"/>
      <c r="AO39" s="6"/>
      <c r="AP39" s="11"/>
      <c r="AQ39" s="11"/>
      <c r="AR39" s="5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</row>
    <row r="40" s="1" customFormat="1" ht="13.2" customHeight="1">
      <c r="AR40" s="5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</row>
    <row r="41" s="1" customFormat="1" ht="13.2" customHeight="1">
      <c r="AR41" s="5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</row>
    <row r="42" s="1" customFormat="1" ht="13.2" customHeight="1">
      <c r="AR42" s="5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</row>
    <row r="43" s="1" customFormat="1" ht="13.2" customHeight="1">
      <c r="AR43" s="5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</row>
    <row r="44" s="1" customFormat="1" ht="15" customHeight="1">
      <c r="AR44" s="5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</row>
    <row r="45" s="1" customFormat="1" ht="15" customHeight="1">
      <c r="AR45" s="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</row>
    <row r="46" s="1" customFormat="1" ht="15" customHeight="1">
      <c r="AR46" s="5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</row>
    <row r="47" s="1" customFormat="1" ht="15" customHeight="1">
      <c r="AR47" s="5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</row>
    <row r="48" s="1" customFormat="1" ht="13.2" customHeight="1">
      <c r="AR48" s="5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</row>
    <row r="49" s="1" customFormat="1" ht="13.2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 s="5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</row>
    <row r="50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 s="5"/>
      <c r="AS50" s="1" t="s">
        <v>3</v>
      </c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</row>
    <row r="51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 s="5"/>
      <c r="AS51" s="1" t="s">
        <v>4</v>
      </c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</row>
    <row r="52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 s="5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</row>
    <row r="53" s="1" customFormat="1" ht="13.5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 s="5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</row>
    <row r="54" s="1" customFormat="1" ht="13.5" customHeight="1">
      <c r="A54" s="5"/>
      <c r="B54" s="5"/>
      <c r="C54" s="5"/>
      <c r="H54"/>
      <c r="I54"/>
      <c r="J54"/>
      <c r="K54"/>
      <c r="AF54"/>
      <c r="AG54"/>
      <c r="AH54"/>
      <c r="AI54"/>
      <c r="AJ54"/>
      <c r="AK54" s="11"/>
      <c r="AL54" s="11"/>
      <c r="AM54" s="11"/>
      <c r="AN54" s="11"/>
      <c r="AO54" s="11"/>
      <c r="AP54" s="11"/>
      <c r="AQ54" s="11"/>
      <c r="AR54" s="5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</row>
    <row r="55" s="1" customFormat="1" ht="13.5" customHeight="1">
      <c r="A55" s="5"/>
      <c r="B55" s="5"/>
      <c r="C55" s="5"/>
      <c r="H55"/>
      <c r="I55"/>
      <c r="J55"/>
      <c r="K55"/>
      <c r="AF55"/>
      <c r="AG55"/>
      <c r="AH55"/>
      <c r="AI55"/>
      <c r="AJ55"/>
      <c r="AK55" s="11"/>
      <c r="AL55" s="11"/>
      <c r="AM55" s="11"/>
      <c r="AN55" s="11"/>
      <c r="AO55" s="11"/>
      <c r="AP55" s="11"/>
      <c r="AQ55" s="11"/>
      <c r="AR55" s="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</row>
    <row r="56" s="1" customFormat="1" ht="13.5" customHeight="1">
      <c r="A56" s="5"/>
      <c r="B56" s="5"/>
      <c r="C56" s="5"/>
      <c r="H56"/>
      <c r="I56"/>
      <c r="J56"/>
      <c r="K56"/>
      <c r="AF56"/>
      <c r="AG56"/>
      <c r="AH56"/>
      <c r="AI56"/>
      <c r="AJ56"/>
      <c r="AK56" s="11"/>
      <c r="AL56" s="11"/>
      <c r="AM56" s="11"/>
      <c r="AN56" s="11"/>
      <c r="AO56" s="11"/>
      <c r="AP56" s="11"/>
      <c r="AQ56" s="11"/>
      <c r="AR56" s="5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</row>
    <row r="57" ht="13.5" customHeight="1">
      <c r="E57" s="8" t="s">
        <v>0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R57" s="5"/>
      <c r="AS57" s="5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</row>
    <row r="58" ht="13.5" customHeight="1"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R58" s="5"/>
      <c r="AS58" s="5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</row>
    <row r="59" ht="13.5" customHeight="1"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R59" s="5"/>
      <c r="AS59" s="5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</row>
    <row r="60" ht="13.5" customHeight="1"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R60" s="5"/>
      <c r="AS60" s="5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</row>
    <row r="61" ht="13.5" customHeight="1">
      <c r="AR61" s="5"/>
      <c r="AS61" s="5"/>
      <c r="AT61" s="5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</row>
    <row r="62" ht="13.5" customHeight="1">
      <c r="AR62" s="5"/>
      <c r="AS62" s="5"/>
      <c r="AT62" s="5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</row>
    <row r="63" ht="13.5" customHeight="1">
      <c r="E63" s="13" t="s">
        <v>5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R63" s="5"/>
      <c r="AS63" s="5"/>
      <c r="AT63" s="5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</row>
    <row r="64" ht="13.5" customHeight="1"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R64" s="5"/>
      <c r="AT64" s="5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</row>
    <row r="65" ht="13.5" customHeight="1">
      <c r="D65"/>
      <c r="E65" s="14" t="s">
        <v>6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R65" s="5"/>
      <c r="AS65" s="5"/>
      <c r="AT65" s="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</row>
    <row r="66" ht="13.5" customHeight="1">
      <c r="D66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R66" s="5"/>
      <c r="AS66" s="5"/>
      <c r="AT66" s="5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</row>
    <row r="67" customFormat="1" ht="13.5" customHeight="1">
      <c r="E67" s="14" t="s">
        <v>7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P67" s="5"/>
    </row>
    <row r="68" customFormat="1" ht="13.5" customHeight="1">
      <c r="C68" s="5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P68" s="5"/>
    </row>
    <row r="69" customFormat="1" ht="13.5" customHeight="1">
      <c r="C69" s="5"/>
      <c r="D69" s="5"/>
      <c r="E69" s="5"/>
      <c r="F69" s="5"/>
      <c r="G69" s="5"/>
      <c r="H69" s="5"/>
      <c r="I69" s="5"/>
      <c r="AI69" s="5"/>
      <c r="AJ69" s="5"/>
      <c r="AK69" s="5"/>
      <c r="AP69" s="5"/>
    </row>
    <row r="70" s="2" customFormat="1" ht="13.2" customHeight="1">
      <c r="C70" s="15"/>
      <c r="D70" s="15"/>
      <c r="E70" s="15"/>
      <c r="F70" s="15"/>
      <c r="G70" s="15"/>
      <c r="H70" s="15"/>
      <c r="I70" s="15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P70" s="5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</row>
    <row r="71" s="2" customFormat="1" ht="11.7" customHeight="1">
      <c r="C71" s="15"/>
      <c r="D71" s="15"/>
      <c r="E71" s="15"/>
      <c r="F71" s="15"/>
      <c r="G71" s="15"/>
      <c r="H71" s="15"/>
      <c r="I71" s="15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P71" s="5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</row>
    <row r="72" s="2" customFormat="1" ht="13.95" customHeight="1">
      <c r="C72" s="15"/>
      <c r="D72" s="15"/>
      <c r="E72" s="15"/>
      <c r="F72" s="15"/>
      <c r="G72" s="15"/>
      <c r="H72" s="15"/>
      <c r="I72" s="15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P72" s="5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</row>
    <row r="73" s="2" customFormat="1" ht="13.95" customHeight="1">
      <c r="C73" s="15"/>
      <c r="D73" s="15"/>
      <c r="E73" s="15"/>
      <c r="F73" s="15"/>
      <c r="G73" s="15"/>
      <c r="H73" s="15"/>
      <c r="I73" s="15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P73" s="5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</row>
    <row r="74" s="2" customFormat="1" ht="13.95" customHeight="1">
      <c r="C74" s="15"/>
      <c r="D74" s="15"/>
      <c r="AK74"/>
      <c r="AL74"/>
      <c r="AM74"/>
      <c r="AN74"/>
      <c r="AP74" s="5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</row>
    <row r="75" s="2" customFormat="1" ht="13.95" customHeight="1">
      <c r="C75" s="15"/>
      <c r="D75" s="15"/>
      <c r="E75" s="16" t="s">
        <v>8</v>
      </c>
      <c r="F75"/>
      <c r="G75"/>
      <c r="H75"/>
      <c r="I75"/>
      <c r="J7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/>
      <c r="AJ75"/>
      <c r="AK75"/>
      <c r="AL75"/>
      <c r="AM75"/>
      <c r="AN75"/>
      <c r="AP75" s="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</row>
    <row r="76" s="2" customFormat="1" ht="16.2" customHeight="1">
      <c r="C76" s="15"/>
      <c r="D76" s="15"/>
      <c r="E76" s="17" t="s">
        <v>9</v>
      </c>
      <c r="F76" s="17" t="s">
        <v>10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9"/>
      <c r="V76" s="19"/>
      <c r="W76" s="19"/>
      <c r="X76" s="19"/>
      <c r="Y76" s="19"/>
      <c r="Z76" s="18"/>
      <c r="AA76" s="18"/>
      <c r="AB76" s="18"/>
      <c r="AC76" s="18"/>
      <c r="AD76" s="18"/>
      <c r="AE76" s="18"/>
      <c r="AF76"/>
      <c r="AG76"/>
      <c r="AH76"/>
      <c r="AI76"/>
      <c r="AJ76"/>
      <c r="AK76"/>
      <c r="AL76"/>
      <c r="AM76"/>
      <c r="AN76"/>
      <c r="AP76" s="5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</row>
    <row r="77" customFormat="1" ht="13.5" customHeight="1">
      <c r="E77" s="17" t="s">
        <v>9</v>
      </c>
      <c r="F77" s="17" t="s">
        <v>11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9"/>
      <c r="V77" s="19"/>
      <c r="W77" s="19"/>
      <c r="X77" s="19"/>
      <c r="Y77" s="19"/>
      <c r="Z77" s="18"/>
      <c r="AA77" s="18"/>
      <c r="AB77" s="18"/>
      <c r="AC77" s="18"/>
      <c r="AD77" s="18"/>
      <c r="AE77" s="18"/>
      <c r="AP77" s="5"/>
      <c r="AR77" s="2"/>
    </row>
    <row r="78" customFormat="1" ht="13.5" customHeight="1">
      <c r="E78" s="17" t="s">
        <v>9</v>
      </c>
      <c r="F78" s="17" t="s">
        <v>12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9"/>
      <c r="V78" s="19"/>
      <c r="W78" s="19"/>
      <c r="X78" s="19"/>
      <c r="Y78" s="19"/>
      <c r="Z78" s="18"/>
      <c r="AA78" s="18"/>
      <c r="AB78" s="18"/>
      <c r="AC78" s="18"/>
      <c r="AD78" s="18"/>
      <c r="AE78" s="18"/>
      <c r="AP78" s="5"/>
      <c r="AR78" s="2"/>
    </row>
    <row r="79" customFormat="1" ht="13.5" customHeight="1">
      <c r="E79" s="17" t="s">
        <v>9</v>
      </c>
      <c r="F79" s="17" t="s">
        <v>13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9"/>
      <c r="V79" s="19"/>
      <c r="W79" s="19"/>
      <c r="X79" s="19"/>
      <c r="Y79" s="19"/>
      <c r="Z79" s="18"/>
      <c r="AA79" s="18"/>
      <c r="AB79" s="18"/>
      <c r="AC79" s="18"/>
      <c r="AD79" s="18"/>
      <c r="AE79" s="18"/>
      <c r="AP79" s="5"/>
      <c r="AR79" s="2"/>
    </row>
    <row r="80" customFormat="1" ht="13.5" customHeight="1">
      <c r="E80" s="17" t="s">
        <v>9</v>
      </c>
      <c r="F80" s="17" t="s">
        <v>14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9"/>
      <c r="V80" s="19"/>
      <c r="W80" s="19"/>
      <c r="X80" s="19"/>
      <c r="Y80" s="19"/>
      <c r="Z80" s="18"/>
      <c r="AA80" s="18"/>
      <c r="AB80" s="18"/>
      <c r="AC80" s="18"/>
      <c r="AD80" s="18"/>
      <c r="AE80" s="18"/>
      <c r="AP80" s="5"/>
      <c r="AR80" s="2"/>
    </row>
    <row r="81" customFormat="1" ht="13.5" customHeight="1">
      <c r="E81" s="17" t="s">
        <v>9</v>
      </c>
      <c r="F81" s="17" t="s">
        <v>15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9"/>
      <c r="V81" s="19"/>
      <c r="W81" s="19"/>
      <c r="X81" s="19"/>
      <c r="Y81" s="19"/>
      <c r="Z81" s="18"/>
      <c r="AA81" s="18"/>
      <c r="AB81" s="18"/>
      <c r="AC81" s="18"/>
      <c r="AD81" s="18"/>
      <c r="AE81" s="18"/>
      <c r="AP81" s="5"/>
      <c r="AR81" s="2"/>
    </row>
    <row r="82" customFormat="1" ht="13.5" customHeight="1">
      <c r="C82" s="5"/>
      <c r="E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P82" s="5"/>
      <c r="AR82" s="2"/>
    </row>
    <row r="83" customFormat="1" ht="16.2" customHeight="1"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P83" s="5"/>
      <c r="AR83" s="2"/>
    </row>
    <row r="84" customFormat="1" ht="13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19"/>
      <c r="AP84" s="5"/>
      <c r="AR84" s="2"/>
    </row>
    <row r="85" customFormat="1" ht="13.5" customHeight="1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19"/>
      <c r="AP85" s="5"/>
      <c r="AR85" s="2"/>
    </row>
    <row r="86" customFormat="1" ht="13.5" customHeight="1">
      <c r="C86" s="5"/>
      <c r="D86" s="5"/>
      <c r="E86" s="16" t="s">
        <v>16</v>
      </c>
      <c r="T86" s="1"/>
      <c r="U86" s="1"/>
      <c r="V86" s="1"/>
      <c r="W86" s="1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19"/>
      <c r="AP86" s="5"/>
      <c r="AR86" s="2"/>
    </row>
    <row r="87" customFormat="1" ht="14.4">
      <c r="C87" s="5"/>
      <c r="D87" s="5"/>
      <c r="E87" s="20" t="s">
        <v>17</v>
      </c>
      <c r="H87" s="20" t="s">
        <v>18</v>
      </c>
      <c r="J87" s="5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2"/>
    </row>
    <row r="88" customFormat="1" ht="14.4">
      <c r="C88" s="5"/>
      <c r="D88" s="5"/>
      <c r="E88" s="20" t="s">
        <v>19</v>
      </c>
      <c r="H88" s="20" t="s">
        <v>20</v>
      </c>
      <c r="J88" s="5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6"/>
      <c r="AS88" s="6"/>
      <c r="AT88" s="6"/>
      <c r="AU88" s="6"/>
    </row>
    <row r="89" customFormat="1" ht="12.6" customHeight="1">
      <c r="C89" s="5"/>
      <c r="D89" s="5"/>
      <c r="E89" s="20" t="s">
        <v>21</v>
      </c>
      <c r="H89" s="21" t="s">
        <v>22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"/>
    </row>
    <row r="90" s="1" customFormat="1" ht="13.5" customHeight="1">
      <c r="A90" s="5"/>
      <c r="B90" s="5"/>
      <c r="E90" s="20" t="s">
        <v>23</v>
      </c>
      <c r="F90"/>
      <c r="G90"/>
      <c r="H90" s="21" t="s">
        <v>24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</row>
    <row r="91" s="1" customFormat="1" ht="15" customHeight="1">
      <c r="A91" s="5"/>
      <c r="B91" s="5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</row>
    <row r="92" s="1" customFormat="1" ht="15" customHeight="1">
      <c r="A92" s="5"/>
      <c r="B92" s="5"/>
      <c r="C92" s="19"/>
      <c r="D92" s="19"/>
      <c r="E92" s="20" t="s">
        <v>25</v>
      </c>
      <c r="F92"/>
      <c r="G92"/>
      <c r="H92" s="21" t="s">
        <v>26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CG92"/>
      <c r="CH92"/>
      <c r="CI92"/>
      <c r="CJ92"/>
      <c r="CK92"/>
    </row>
    <row r="93" s="1" customFormat="1" ht="15" customHeight="1">
      <c r="A93" s="5"/>
      <c r="B93" s="5"/>
      <c r="C93" s="19"/>
      <c r="D93" s="19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"/>
      <c r="CG93"/>
      <c r="CH93"/>
      <c r="CI93"/>
      <c r="CJ93"/>
      <c r="CK93"/>
    </row>
    <row r="94" s="1" customFormat="1" ht="15" customHeight="1">
      <c r="A94" s="5"/>
      <c r="B94" s="5"/>
      <c r="C94" s="19"/>
      <c r="D94" s="19"/>
      <c r="E94" s="20" t="s">
        <v>27</v>
      </c>
      <c r="F94"/>
      <c r="G94"/>
      <c r="H94" s="21" t="s">
        <v>28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CG94"/>
      <c r="CH94"/>
      <c r="CI94"/>
      <c r="CJ94"/>
      <c r="CK94"/>
    </row>
    <row r="95" s="1" customFormat="1" ht="15" customHeight="1">
      <c r="A95" s="5"/>
      <c r="B95" s="5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"/>
      <c r="CG95"/>
      <c r="CH95"/>
      <c r="CI95"/>
      <c r="CJ95"/>
      <c r="CK95"/>
    </row>
    <row r="96" s="1" customFormat="1" ht="15" customHeight="1">
      <c r="A96" s="5"/>
      <c r="B96" s="5"/>
      <c r="CG96"/>
      <c r="CH96"/>
      <c r="CI96"/>
      <c r="CJ96"/>
      <c r="CK96"/>
    </row>
    <row r="97" s="1" customFormat="1" ht="15" customHeight="1">
      <c r="A97" s="5"/>
      <c r="B97" s="5"/>
      <c r="AR97" s="2"/>
      <c r="CG97"/>
      <c r="CH97"/>
      <c r="CI97"/>
      <c r="CJ97"/>
      <c r="CK97"/>
    </row>
    <row r="98" s="1" customFormat="1" ht="15" customHeight="1">
      <c r="A98" s="5"/>
      <c r="B98" s="5"/>
      <c r="AR98" s="2"/>
      <c r="CG98"/>
      <c r="CH98"/>
      <c r="CI98"/>
      <c r="CJ98"/>
      <c r="CK98"/>
    </row>
    <row r="99" s="1" customFormat="1" ht="13.5" customHeight="1">
      <c r="A99" s="5"/>
      <c r="B99" s="5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5"/>
      <c r="AQ99" s="11"/>
      <c r="AR99" s="2"/>
    </row>
    <row r="100" s="1" customFormat="1" ht="13.5" customHeight="1">
      <c r="A100" s="5"/>
      <c r="B100" s="5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5"/>
      <c r="AQ100" s="11"/>
      <c r="AR100" s="2"/>
    </row>
    <row r="101" s="1" customFormat="1" ht="13.5" customHeight="1">
      <c r="A101" s="5"/>
      <c r="B101" s="5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AA101" s="23"/>
      <c r="AQ101" s="11"/>
      <c r="AR101" s="2"/>
    </row>
    <row r="102" s="1" customFormat="1" ht="13.5" customHeight="1">
      <c r="A102" s="5"/>
      <c r="B102" s="5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AA102" s="23"/>
      <c r="AQ102" s="11"/>
      <c r="AR102" s="2"/>
    </row>
    <row r="103" s="1" customFormat="1" ht="13.5" customHeight="1">
      <c r="A103" s="5"/>
      <c r="B103" s="5"/>
      <c r="E103" s="24" t="s">
        <v>29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Q103" s="11"/>
      <c r="AR103" s="2"/>
    </row>
    <row r="104" s="1" customFormat="1" ht="13.5" customHeight="1">
      <c r="A104" s="5"/>
      <c r="B104" s="5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Q104" s="11"/>
      <c r="AR104" s="2"/>
    </row>
    <row r="105" s="1" customFormat="1" ht="13.5" customHeight="1">
      <c r="A105" s="5"/>
      <c r="B105" s="5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Q105" s="11"/>
      <c r="AR105" s="2"/>
    </row>
    <row r="106" s="1" customFormat="1" ht="13.5" customHeight="1">
      <c r="A106" s="5"/>
      <c r="B106" s="5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P106" s="5"/>
      <c r="AQ106" s="11"/>
      <c r="AR106" s="2"/>
    </row>
    <row r="107" s="1" customFormat="1" ht="13.5" customHeight="1">
      <c r="A107" s="5"/>
      <c r="B107" s="5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P107" s="5"/>
      <c r="AQ107" s="11"/>
      <c r="AR107" s="2"/>
    </row>
    <row r="108" s="1" customFormat="1" ht="13.5" customHeight="1">
      <c r="A108" s="5"/>
      <c r="B108" s="5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P108" s="5"/>
      <c r="AQ108" s="11"/>
      <c r="AR108" s="2"/>
    </row>
    <row r="109" s="1" customFormat="1" ht="13.5" customHeight="1">
      <c r="A109" s="5"/>
      <c r="B109" s="5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P109" s="5"/>
      <c r="AQ109" s="11"/>
      <c r="AR109" s="2"/>
    </row>
    <row r="110" s="1" customFormat="1" ht="13.5" customHeight="1">
      <c r="A110" s="5"/>
      <c r="B110" s="5"/>
      <c r="AP110" s="5"/>
      <c r="AQ110" s="11"/>
      <c r="AR110" s="2"/>
    </row>
    <row r="111" s="1" customFormat="1" ht="13.5" customHeight="1">
      <c r="A111" s="5"/>
      <c r="B111" s="5"/>
      <c r="AP111" s="5"/>
      <c r="AQ111" s="11"/>
      <c r="AR111" s="2"/>
    </row>
    <row r="112" s="1" customFormat="1" ht="13.5" customHeight="1">
      <c r="A112" s="5"/>
      <c r="B112" s="5"/>
      <c r="AP112" s="5"/>
      <c r="AQ112" s="11"/>
      <c r="AR112" s="2"/>
    </row>
    <row r="113" ht="13.5" customHeight="1">
      <c r="AQ113" s="6"/>
      <c r="AR113" s="2"/>
    </row>
    <row r="114" ht="13.5" customHeight="1">
      <c r="A114" s="11"/>
      <c r="B114" s="11"/>
      <c r="AQ114" s="6"/>
      <c r="AR114" s="2"/>
      <c r="AS114"/>
      <c r="AT114"/>
      <c r="AU114"/>
      <c r="AV114"/>
      <c r="AW114"/>
    </row>
    <row r="115" ht="13.5" customHeight="1">
      <c r="AP115" s="1"/>
      <c r="AQ115" s="6"/>
      <c r="AR115" s="2"/>
      <c r="AS115"/>
      <c r="AT115"/>
      <c r="AU115"/>
      <c r="AV115"/>
      <c r="AW115"/>
    </row>
    <row r="116" s="1" customFormat="1" ht="13.5" customHeight="1">
      <c r="A116" s="5"/>
      <c r="B116" s="5"/>
      <c r="C116" s="5"/>
      <c r="H116" s="5"/>
      <c r="I116" s="5"/>
      <c r="J116" s="5"/>
      <c r="K116" s="5"/>
      <c r="AF116"/>
      <c r="AG116"/>
      <c r="AH116"/>
      <c r="AI116"/>
      <c r="AJ116"/>
      <c r="AK116" s="11"/>
      <c r="AL116" s="11"/>
      <c r="AM116" s="11"/>
      <c r="AN116" s="11"/>
      <c r="AO116" s="11"/>
      <c r="AP116" s="11"/>
      <c r="AQ116" s="11"/>
      <c r="AR116" s="5"/>
    </row>
    <row r="117" s="1" customFormat="1" ht="13.5" customHeight="1">
      <c r="A117" s="5"/>
      <c r="B117" s="5"/>
      <c r="C117" s="5"/>
      <c r="H117" s="5"/>
      <c r="I117" s="5"/>
      <c r="J117" s="5"/>
      <c r="K117" s="5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 s="11"/>
      <c r="AQ117" s="11"/>
      <c r="AR117" s="5"/>
    </row>
    <row r="118" s="1" customFormat="1" ht="13.5" customHeight="1">
      <c r="A118" s="5"/>
      <c r="B118" s="5"/>
      <c r="C118" s="5"/>
      <c r="H118" s="5"/>
      <c r="I118" s="5"/>
      <c r="J118" s="5"/>
      <c r="K118" s="5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 s="11"/>
      <c r="AQ118" s="11"/>
      <c r="AR118" s="5"/>
    </row>
    <row r="119" s="1" customFormat="1" ht="13.5" customHeight="1">
      <c r="A119" s="5"/>
      <c r="B119" s="5"/>
      <c r="C119" s="5"/>
      <c r="H119" s="5"/>
      <c r="I119" s="5"/>
      <c r="J119" s="5"/>
      <c r="K119" s="5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Q119" s="11"/>
      <c r="AR119" s="5"/>
    </row>
    <row r="120" s="1" customFormat="1" ht="13.5" customHeight="1">
      <c r="A120" s="5"/>
      <c r="B120" s="5"/>
      <c r="C120" s="5"/>
      <c r="H120" s="5"/>
      <c r="I120" s="5"/>
      <c r="J120" s="5"/>
      <c r="K120" s="5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Q120" s="11"/>
      <c r="AR120" s="5"/>
    </row>
    <row r="121" s="1" customFormat="1" ht="13.5" customHeight="1">
      <c r="A121" s="5"/>
      <c r="B121" s="5"/>
      <c r="C121" s="5"/>
      <c r="H121" s="5"/>
      <c r="I121" s="5"/>
      <c r="J121" s="5"/>
      <c r="K121" s="5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Q121" s="11"/>
      <c r="AR121" s="5"/>
    </row>
    <row r="122" thickBot="1" s="1" customFormat="1" ht="13.5" customHeight="1">
      <c r="A122" s="25"/>
      <c r="B122" s="25"/>
      <c r="C122" s="25"/>
      <c r="D122" s="26"/>
      <c r="E122" s="26"/>
      <c r="F122" s="26"/>
      <c r="G122" s="26"/>
      <c r="H122" s="25"/>
      <c r="I122" s="25"/>
      <c r="J122" s="25"/>
      <c r="K122" s="25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5"/>
      <c r="AS122"/>
      <c r="AT122"/>
      <c r="AU122"/>
      <c r="AV122"/>
      <c r="AW122"/>
    </row>
    <row r="123" thickTop="1" ht="13.5" customHeight="1">
      <c r="G123" s="28" t="s">
        <v>30</v>
      </c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Q123" s="6"/>
      <c r="AR123" s="5"/>
      <c r="AS123"/>
      <c r="AT123"/>
      <c r="AU123"/>
      <c r="AV123"/>
      <c r="AW123"/>
    </row>
    <row r="124" ht="13.5" customHeight="1"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Q124" s="6"/>
      <c r="AR124" s="5"/>
      <c r="AS124"/>
      <c r="AT124"/>
      <c r="AU124"/>
      <c r="AV124"/>
      <c r="AW124"/>
    </row>
    <row r="125" thickBot="1" ht="13.5" customHeight="1">
      <c r="A125" s="11"/>
      <c r="B125" s="11"/>
      <c r="C125" s="11"/>
      <c r="AQ125" s="6"/>
      <c r="AR125" s="5"/>
      <c r="AS125"/>
      <c r="AT125"/>
      <c r="AU125"/>
      <c r="AV125"/>
      <c r="AW125"/>
    </row>
    <row r="126" thickTop="1" ht="13.5" customHeight="1">
      <c r="A126" s="11"/>
      <c r="B126" s="11"/>
      <c r="C126" s="11"/>
      <c r="H126" s="29" t="s">
        <v>31</v>
      </c>
      <c r="I126" s="30"/>
      <c r="J126" s="30"/>
      <c r="K126" s="30"/>
      <c r="L126" s="30"/>
      <c r="M126" s="30"/>
      <c r="N126" s="30"/>
      <c r="O126" s="31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4"/>
      <c r="AQ126" s="6"/>
      <c r="AR126" s="5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</row>
    <row r="127" ht="13.5" customHeight="1">
      <c r="A127" s="11"/>
      <c r="B127" s="11"/>
      <c r="C127" s="11"/>
      <c r="H127" s="35"/>
      <c r="I127" s="36"/>
      <c r="J127" s="36"/>
      <c r="K127" s="36"/>
      <c r="L127" s="36"/>
      <c r="M127" s="36"/>
      <c r="N127" s="36"/>
      <c r="O127" s="37"/>
      <c r="P127" s="38"/>
      <c r="Q127" s="39" t="s">
        <v>32</v>
      </c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40"/>
      <c r="AJ127"/>
      <c r="AK127" s="6"/>
      <c r="AL127" s="6"/>
      <c r="AM127" s="6"/>
      <c r="AN127" s="6"/>
      <c r="AO127" s="6"/>
      <c r="AP127" s="6"/>
      <c r="AQ127" s="6"/>
      <c r="AR127" s="5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</row>
    <row r="128" ht="13.5" customHeight="1">
      <c r="H128" s="35"/>
      <c r="I128" s="36"/>
      <c r="J128" s="36"/>
      <c r="K128" s="36"/>
      <c r="L128" s="36"/>
      <c r="M128" s="36"/>
      <c r="N128" s="36"/>
      <c r="O128" s="37"/>
      <c r="P128" s="41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3"/>
      <c r="AP128" s="6"/>
      <c r="AQ128" s="6"/>
      <c r="AR128" s="5"/>
      <c r="AV128" s="5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</row>
    <row r="129" ht="13.5" customHeight="1">
      <c r="H129" s="44" t="s">
        <v>33</v>
      </c>
      <c r="I129" s="45"/>
      <c r="J129" s="45"/>
      <c r="K129" s="45"/>
      <c r="L129" s="45"/>
      <c r="M129" s="45"/>
      <c r="N129" s="45"/>
      <c r="O129" s="46"/>
      <c r="P129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8"/>
      <c r="AP129" s="6"/>
      <c r="AQ129" s="6"/>
      <c r="AR129" s="5"/>
      <c r="AV129" s="5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</row>
    <row r="130" ht="13.5" customHeight="1">
      <c r="H130" s="49"/>
      <c r="I130" s="50"/>
      <c r="J130" s="50"/>
      <c r="K130" s="50"/>
      <c r="L130" s="50"/>
      <c r="M130" s="50"/>
      <c r="N130" s="50"/>
      <c r="O130" s="51"/>
      <c r="P130"/>
      <c r="Q130" s="52" t="s">
        <v>34</v>
      </c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3"/>
      <c r="AP130" s="6"/>
      <c r="AQ130" s="6"/>
      <c r="AR130" s="5"/>
      <c r="AV130" s="5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</row>
    <row r="131" ht="13.5" customHeight="1">
      <c r="H131" s="54"/>
      <c r="I131" s="55"/>
      <c r="J131" s="55"/>
      <c r="K131" s="55"/>
      <c r="L131" s="55"/>
      <c r="M131" s="55"/>
      <c r="N131" s="55"/>
      <c r="O131" s="56"/>
      <c r="P131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8"/>
      <c r="AP131" s="6"/>
      <c r="AQ131" s="6"/>
      <c r="AR131" s="5"/>
      <c r="AV131" s="5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</row>
    <row r="132" ht="13.5" customHeight="1">
      <c r="H132" s="59" t="s">
        <v>35</v>
      </c>
      <c r="I132" s="60"/>
      <c r="J132" s="60"/>
      <c r="K132" s="60"/>
      <c r="L132" s="60"/>
      <c r="M132" s="60"/>
      <c r="N132" s="60"/>
      <c r="O132" s="61"/>
      <c r="P132" s="62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8"/>
      <c r="AP132" s="6"/>
      <c r="AQ132" s="6"/>
      <c r="AR132" s="5"/>
      <c r="AV132" s="5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</row>
    <row r="133" ht="13.5" customHeight="1">
      <c r="H133" s="63"/>
      <c r="I133" s="64"/>
      <c r="J133" s="64"/>
      <c r="K133" s="64"/>
      <c r="L133" s="64"/>
      <c r="M133" s="64"/>
      <c r="N133" s="64"/>
      <c r="O133" s="65"/>
      <c r="P133" s="38"/>
      <c r="Q133" s="52" t="s">
        <v>36</v>
      </c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3"/>
      <c r="AP133" s="6"/>
      <c r="AQ133" s="6"/>
      <c r="AR133" s="5"/>
      <c r="AV133" s="5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</row>
    <row r="134" ht="13.5" customHeight="1">
      <c r="G134" s="6"/>
      <c r="H134" s="66"/>
      <c r="I134" s="67"/>
      <c r="J134" s="67"/>
      <c r="K134" s="67"/>
      <c r="L134" s="67"/>
      <c r="M134" s="67"/>
      <c r="N134" s="67"/>
      <c r="O134" s="68"/>
      <c r="P134" s="41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8"/>
      <c r="AQ134" s="6"/>
      <c r="AR134" s="5"/>
      <c r="AV134" s="5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</row>
    <row r="135" ht="13.5" customHeight="1">
      <c r="G135" s="6"/>
      <c r="H135" s="44" t="s">
        <v>37</v>
      </c>
      <c r="I135" s="45"/>
      <c r="J135" s="45"/>
      <c r="K135" s="45"/>
      <c r="L135" s="45"/>
      <c r="M135" s="45"/>
      <c r="N135" s="45"/>
      <c r="O135" s="46"/>
      <c r="P135" s="62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Q135" s="6"/>
      <c r="AR135" s="5"/>
      <c r="AV135" s="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</row>
    <row r="136" ht="13.5" customHeight="1">
      <c r="H136" s="49"/>
      <c r="I136" s="50"/>
      <c r="J136" s="50"/>
      <c r="K136" s="50"/>
      <c r="L136" s="50"/>
      <c r="M136" s="50"/>
      <c r="N136" s="50"/>
      <c r="O136" s="51"/>
      <c r="P136" s="38"/>
      <c r="Q136" s="71" t="s">
        <v>38</v>
      </c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2"/>
      <c r="AQ136" s="6"/>
      <c r="AR136" s="5"/>
      <c r="AV136" s="5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</row>
    <row r="137" ht="13.5" customHeight="1">
      <c r="H137" s="54"/>
      <c r="I137" s="55"/>
      <c r="J137" s="55"/>
      <c r="K137" s="55"/>
      <c r="L137" s="55"/>
      <c r="M137" s="55"/>
      <c r="N137" s="55"/>
      <c r="O137" s="56"/>
      <c r="P137" s="41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8"/>
      <c r="AR137" s="5"/>
      <c r="AV137" s="5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</row>
    <row r="138" ht="13.5" customHeight="1">
      <c r="H138" s="44" t="s">
        <v>39</v>
      </c>
      <c r="I138" s="45"/>
      <c r="J138" s="45"/>
      <c r="K138" s="45"/>
      <c r="L138" s="45"/>
      <c r="M138" s="45"/>
      <c r="N138" s="45"/>
      <c r="O138" s="46"/>
      <c r="P138" s="62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8"/>
      <c r="AR138" s="5"/>
      <c r="AV138" s="5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</row>
    <row r="139" ht="13.5" customHeight="1">
      <c r="H139" s="49"/>
      <c r="I139" s="50"/>
      <c r="J139" s="50"/>
      <c r="K139" s="50"/>
      <c r="L139" s="50"/>
      <c r="M139" s="50"/>
      <c r="N139" s="50"/>
      <c r="O139" s="51"/>
      <c r="P139" s="38"/>
      <c r="Q139" s="52" t="s">
        <v>34</v>
      </c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3"/>
      <c r="AR139" s="5"/>
      <c r="AV139" s="5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</row>
    <row r="140" ht="13.5" customHeight="1">
      <c r="H140" s="54"/>
      <c r="I140" s="55"/>
      <c r="J140" s="55"/>
      <c r="K140" s="55"/>
      <c r="L140" s="55"/>
      <c r="M140" s="55"/>
      <c r="N140" s="55"/>
      <c r="O140" s="56"/>
      <c r="P140" s="41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3"/>
      <c r="AR140" s="5"/>
      <c r="AV140" s="5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</row>
    <row r="141" ht="13.5" customHeight="1">
      <c r="H141" s="35" t="s">
        <v>40</v>
      </c>
      <c r="I141" s="36"/>
      <c r="J141" s="36"/>
      <c r="K141" s="36"/>
      <c r="L141" s="36"/>
      <c r="M141" s="36"/>
      <c r="N141" s="36"/>
      <c r="O141" s="37"/>
      <c r="P141" s="62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8"/>
      <c r="AR141" s="5"/>
      <c r="AV141" s="5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</row>
    <row r="142" customFormat="1" ht="13.5" customHeight="1">
      <c r="H142" s="35"/>
      <c r="I142" s="36"/>
      <c r="J142" s="36"/>
      <c r="K142" s="36"/>
      <c r="L142" s="36"/>
      <c r="M142" s="36"/>
      <c r="N142" s="36"/>
      <c r="O142" s="37"/>
      <c r="P142" s="38"/>
      <c r="Q142" s="52" t="s">
        <v>41</v>
      </c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3"/>
    </row>
    <row r="143" thickBot="1" s="3" customFormat="1" ht="13.5" customHeight="1">
      <c r="A143"/>
      <c r="B143"/>
      <c r="C143"/>
      <c r="D143"/>
      <c r="E143"/>
      <c r="F143"/>
      <c r="G143"/>
      <c r="H143" s="73"/>
      <c r="I143" s="74"/>
      <c r="J143" s="74"/>
      <c r="K143" s="74"/>
      <c r="L143" s="74"/>
      <c r="M143" s="74"/>
      <c r="N143" s="74"/>
      <c r="O143" s="75"/>
      <c r="P143" s="76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77"/>
      <c r="AJ143"/>
      <c r="AK143"/>
      <c r="AL143"/>
      <c r="AM143"/>
      <c r="AN143"/>
      <c r="AO143"/>
      <c r="AP143"/>
      <c r="AQ143"/>
      <c r="AR143" s="5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</row>
    <row r="144" thickTop="1" s="3" customFormat="1" ht="13.5" customHeight="1">
      <c r="A144"/>
      <c r="B144"/>
      <c r="C144"/>
      <c r="D144"/>
      <c r="E144"/>
      <c r="F144"/>
      <c r="G144"/>
      <c r="AJ144"/>
      <c r="AK144"/>
      <c r="AL144"/>
      <c r="AM144"/>
      <c r="AN144"/>
      <c r="AO144"/>
      <c r="AP144"/>
      <c r="AQ144"/>
      <c r="AR144" s="5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</row>
    <row r="145" s="3" customFormat="1" ht="13.5" customHeight="1">
      <c r="A145"/>
      <c r="B145"/>
      <c r="C145"/>
      <c r="D145"/>
      <c r="E145"/>
      <c r="F145"/>
      <c r="G145"/>
      <c r="AO145" s="6"/>
      <c r="AP145"/>
      <c r="AQ145"/>
      <c r="AR145" s="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</row>
    <row r="146" s="3" customFormat="1" ht="13.5" customHeight="1">
      <c r="A146"/>
      <c r="B146"/>
      <c r="C146"/>
      <c r="D146"/>
      <c r="E146"/>
      <c r="F146"/>
      <c r="G146"/>
      <c r="AO146" s="6"/>
      <c r="AP146"/>
      <c r="AQ146"/>
      <c r="AR146" s="5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</row>
    <row r="147" s="3" customFormat="1" ht="13.5" customHeight="1">
      <c r="A147"/>
      <c r="B147"/>
      <c r="C147"/>
      <c r="D147"/>
      <c r="E147"/>
      <c r="F147"/>
      <c r="G147"/>
      <c r="I147" s="5"/>
      <c r="J147" s="5"/>
      <c r="AD147" s="6"/>
      <c r="AE147" s="6"/>
      <c r="AF147"/>
      <c r="AG147"/>
      <c r="AH147"/>
      <c r="AI147"/>
      <c r="AJ147"/>
      <c r="AK147" s="5"/>
      <c r="AL147" s="5"/>
      <c r="AM147" s="5"/>
      <c r="AN147" s="5"/>
      <c r="AO147" s="5"/>
      <c r="AP147"/>
      <c r="AQ147"/>
      <c r="AR147" s="5"/>
      <c r="AV147" s="5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</row>
    <row r="148" s="3" customFormat="1" ht="13.5" customHeight="1">
      <c r="A148"/>
      <c r="B148"/>
      <c r="C148"/>
      <c r="D148"/>
      <c r="E148"/>
      <c r="F148"/>
      <c r="G148"/>
      <c r="H148"/>
      <c r="W148" s="78"/>
      <c r="X148" s="78"/>
      <c r="Y148" s="5"/>
      <c r="AP148"/>
      <c r="AQ148"/>
      <c r="AR148" s="5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</row>
    <row r="149" s="3" customFormat="1" ht="13.5" customHeight="1">
      <c r="A149"/>
      <c r="B149"/>
      <c r="C149"/>
      <c r="D149"/>
      <c r="E149"/>
      <c r="F149"/>
      <c r="G149"/>
      <c r="H149"/>
      <c r="W149" s="78"/>
      <c r="X149" s="78"/>
      <c r="Y149" s="5"/>
      <c r="AF149" s="79"/>
      <c r="AP149"/>
      <c r="AQ149"/>
      <c r="AR149" s="5"/>
    </row>
    <row r="150" s="3" customFormat="1" ht="13.5" customHeight="1">
      <c r="A150"/>
      <c r="B150"/>
      <c r="C150"/>
      <c r="D150"/>
      <c r="E150"/>
      <c r="F150"/>
      <c r="G150"/>
      <c r="H150"/>
      <c r="W150" s="78"/>
      <c r="X150" s="78"/>
      <c r="Y150" s="5"/>
      <c r="AF150" s="79"/>
      <c r="AP150"/>
      <c r="AQ150"/>
      <c r="AR150" s="5"/>
    </row>
    <row r="151" s="3" customFormat="1" ht="13.5" customHeight="1">
      <c r="A151"/>
      <c r="B151"/>
      <c r="C151"/>
      <c r="D151"/>
      <c r="E151"/>
      <c r="F151"/>
      <c r="G151"/>
      <c r="H151"/>
      <c r="W151" s="78"/>
      <c r="X151" s="78"/>
      <c r="Y151" s="5"/>
      <c r="AF151" s="79"/>
      <c r="AP151"/>
      <c r="AQ151"/>
      <c r="AR151" s="5"/>
    </row>
    <row r="152" s="3" customFormat="1" ht="13.5" customHeight="1">
      <c r="A152"/>
      <c r="B152"/>
      <c r="C152"/>
      <c r="D152"/>
      <c r="G152"/>
      <c r="H152"/>
      <c r="W152" s="78"/>
      <c r="X152" s="78"/>
      <c r="Y152" s="5"/>
      <c r="AF152" s="79"/>
      <c r="AP152"/>
      <c r="AQ152"/>
      <c r="AR152" s="5"/>
      <c r="AS152"/>
    </row>
    <row r="153" thickBot="1" s="3" customFormat="1" ht="13.5" customHeight="1">
      <c r="A153" s="80"/>
      <c r="B153" s="80"/>
      <c r="C153" s="80"/>
      <c r="D153" s="81"/>
      <c r="E153" s="82"/>
      <c r="F153" s="82"/>
      <c r="G153" s="81"/>
      <c r="H153" s="81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83"/>
      <c r="X153" s="84"/>
      <c r="Y153" s="85"/>
      <c r="Z153" s="82"/>
      <c r="AA153" s="82"/>
      <c r="AB153" s="82"/>
      <c r="AC153" s="82"/>
      <c r="AD153" s="82"/>
      <c r="AE153" s="82"/>
      <c r="AF153" s="86"/>
      <c r="AG153" s="82"/>
      <c r="AH153" s="82"/>
      <c r="AI153" s="82"/>
      <c r="AJ153" s="82"/>
      <c r="AK153" s="82"/>
      <c r="AL153" s="82"/>
      <c r="AM153" s="82"/>
      <c r="AN153" s="82"/>
      <c r="AO153" s="82"/>
      <c r="AP153" s="80"/>
      <c r="AQ153" s="80"/>
      <c r="AR153" s="5"/>
      <c r="AS153" s="87"/>
    </row>
    <row r="154" thickTop="1" s="3" customFormat="1" ht="13.5" customHeight="1">
      <c r="A154"/>
      <c r="B154"/>
      <c r="C154"/>
      <c r="D154" s="87"/>
      <c r="G154" s="87"/>
      <c r="H154" s="87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9"/>
      <c r="X154" s="78"/>
      <c r="Y154" s="5"/>
      <c r="AF154" s="79"/>
      <c r="AP154"/>
      <c r="AQ154"/>
      <c r="AR154" s="5"/>
      <c r="AS154" s="87"/>
    </row>
    <row r="155" s="3" customFormat="1" ht="13.5" customHeight="1">
      <c r="A155"/>
      <c r="B155"/>
      <c r="C155"/>
      <c r="D155" s="87"/>
      <c r="G155" s="87"/>
      <c r="H155" s="87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9"/>
      <c r="X155" s="78"/>
      <c r="Y155" s="5"/>
      <c r="AF155" s="79"/>
      <c r="AP155"/>
      <c r="AQ155"/>
      <c r="AR155" s="5"/>
      <c r="AS155" s="87"/>
    </row>
    <row r="156" s="3" customFormat="1" ht="13.5" customHeight="1">
      <c r="A156"/>
      <c r="B156"/>
      <c r="C156"/>
      <c r="D156" s="87"/>
      <c r="G156" s="87"/>
      <c r="H156" s="87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9"/>
      <c r="X156" s="78"/>
      <c r="Y156" s="5"/>
      <c r="AF156" s="79"/>
      <c r="AP156"/>
      <c r="AQ156"/>
      <c r="AR156" s="5"/>
      <c r="AS156" s="87"/>
    </row>
    <row r="157" s="3" customFormat="1" ht="13.5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 s="5"/>
    </row>
    <row r="158" s="3" customFormat="1" ht="13.5" customHeight="1">
      <c r="A158"/>
      <c r="B158"/>
      <c r="C158"/>
      <c r="D158"/>
      <c r="E158"/>
      <c r="F158"/>
      <c r="G158"/>
      <c r="H158"/>
      <c r="W158" s="78"/>
      <c r="X158" s="78"/>
      <c r="Y158" s="5"/>
      <c r="AF158" s="79"/>
      <c r="AQ158"/>
      <c r="AR158" s="5"/>
    </row>
    <row r="159" s="3" customFormat="1" ht="13.5" customHeight="1">
      <c r="A159"/>
      <c r="B159"/>
      <c r="C159"/>
      <c r="D159"/>
      <c r="E159"/>
      <c r="F159"/>
      <c r="G159"/>
      <c r="H159"/>
      <c r="W159" s="78"/>
      <c r="X159" s="78"/>
      <c r="Y159" s="5"/>
      <c r="AF159" s="79"/>
      <c r="AQ159"/>
      <c r="AR159" s="5"/>
    </row>
    <row r="160" s="3" customFormat="1" ht="13.5" customHeight="1">
      <c r="A160"/>
      <c r="B160"/>
      <c r="C160"/>
      <c r="D160"/>
      <c r="E160"/>
      <c r="F160"/>
      <c r="G160"/>
      <c r="H160"/>
      <c r="W160" s="78"/>
      <c r="X160" s="78"/>
      <c r="Y160" s="5"/>
      <c r="AF160" s="79"/>
      <c r="AP160"/>
      <c r="AQ160"/>
      <c r="AR160" s="5"/>
    </row>
    <row r="161" s="3" customFormat="1" ht="13.5" customHeight="1">
      <c r="A161"/>
      <c r="B161"/>
      <c r="C161"/>
      <c r="D161"/>
      <c r="E161"/>
      <c r="F161"/>
      <c r="G161"/>
      <c r="H161"/>
      <c r="W161" s="78"/>
      <c r="X161" s="78"/>
      <c r="Y161" s="5"/>
      <c r="AF161" s="79"/>
      <c r="AP161"/>
      <c r="AQ161"/>
      <c r="AR161" s="5"/>
    </row>
    <row r="162" s="3" customFormat="1" ht="13.5" customHeight="1">
      <c r="A162"/>
      <c r="B162"/>
      <c r="C162"/>
      <c r="D162"/>
      <c r="E162"/>
      <c r="F162"/>
      <c r="G162"/>
      <c r="H162"/>
      <c r="W162" s="78"/>
      <c r="X162" s="78"/>
      <c r="Y162" s="5"/>
      <c r="AF162" s="79"/>
      <c r="AP162"/>
      <c r="AQ162"/>
      <c r="AR162" s="5"/>
    </row>
    <row r="163" s="3" customFormat="1" ht="13.5" customHeight="1">
      <c r="A163"/>
      <c r="B163"/>
      <c r="C163"/>
      <c r="D163"/>
      <c r="E163"/>
      <c r="F163"/>
      <c r="G163"/>
      <c r="H163"/>
      <c r="W163" s="78"/>
      <c r="X163" s="78"/>
      <c r="AQ163"/>
      <c r="AR163" s="5"/>
      <c r="AW163"/>
      <c r="AX163"/>
      <c r="AY163"/>
      <c r="AZ163"/>
      <c r="BA163"/>
    </row>
    <row r="164" s="3" customFormat="1" ht="13.5" customHeight="1">
      <c r="A164"/>
      <c r="B164"/>
      <c r="C164"/>
      <c r="D164"/>
      <c r="E164"/>
      <c r="F164"/>
      <c r="G164"/>
      <c r="H164"/>
      <c r="W164" s="78"/>
      <c r="X164" s="78"/>
      <c r="Y164" s="5"/>
      <c r="AI164" s="90" t="s">
        <v>42</v>
      </c>
      <c r="AO164"/>
      <c r="AP164"/>
      <c r="AQ164"/>
      <c r="AR164" s="5"/>
      <c r="AW164"/>
      <c r="AX164"/>
      <c r="AY164"/>
      <c r="AZ164"/>
      <c r="BA164"/>
    </row>
    <row r="165" s="3" customFormat="1" ht="13.5" customHeight="1">
      <c r="A165"/>
      <c r="B165"/>
      <c r="C165"/>
      <c r="D165"/>
      <c r="E165"/>
      <c r="F165"/>
      <c r="G165"/>
      <c r="H165"/>
      <c r="W165" s="78"/>
      <c r="X165" s="78"/>
      <c r="Y165" s="5"/>
      <c r="AI165" s="79" t="s">
        <v>43</v>
      </c>
      <c r="AO165"/>
      <c r="AP165"/>
      <c r="AQ165"/>
      <c r="AR165" s="5"/>
      <c r="AW165"/>
      <c r="AX165"/>
      <c r="AY165"/>
      <c r="AZ165"/>
      <c r="BA165"/>
    </row>
    <row r="166" s="3" customFormat="1" ht="13.5" customHeight="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W166"/>
      <c r="AX166"/>
      <c r="AY166"/>
      <c r="AZ166"/>
      <c r="BA166"/>
    </row>
    <row r="167" customFormat="1" ht="13.5" customHeight="1"/>
    <row r="168" s="1" customFormat="1" ht="13.5" customHeight="1">
      <c r="A168" s="5"/>
      <c r="B168" s="5"/>
      <c r="C168" s="5"/>
      <c r="H168" s="5"/>
      <c r="I168" s="5"/>
      <c r="J168" s="5"/>
      <c r="K168" s="5"/>
      <c r="AF168" s="5"/>
      <c r="AG168" s="5"/>
      <c r="AH168" s="5"/>
      <c r="AI168" s="5"/>
      <c r="AJ168" s="5"/>
      <c r="AK168" s="11"/>
      <c r="AL168" s="11"/>
      <c r="AM168" s="11"/>
      <c r="AN168" s="11"/>
      <c r="AO168" s="11"/>
      <c r="AP168" s="11"/>
      <c r="AQ168" s="11"/>
      <c r="AR168" s="5"/>
      <c r="AX168" s="4"/>
      <c r="AY168" s="4"/>
      <c r="AZ168" s="4"/>
      <c r="BA168" s="4"/>
      <c r="BB168" s="4"/>
      <c r="BC168" s="5"/>
      <c r="BD168" s="5"/>
      <c r="BE168" s="5"/>
      <c r="BF168" s="5"/>
      <c r="BG168" s="5"/>
      <c r="BH168" s="4"/>
      <c r="BI168" s="4"/>
      <c r="BJ168" s="4"/>
      <c r="BK168" s="4"/>
      <c r="BL168" s="4"/>
      <c r="BM168" s="4"/>
    </row>
    <row r="169" s="1" customFormat="1" ht="13.5" customHeight="1">
      <c r="A169" s="5"/>
      <c r="B169" s="5"/>
      <c r="C169" s="5"/>
      <c r="H169" s="5"/>
      <c r="I169" s="5"/>
      <c r="J169" s="5"/>
      <c r="K169" s="5"/>
      <c r="AG169" s="5"/>
      <c r="AH169" s="5"/>
      <c r="AI169" s="5"/>
      <c r="AJ169" s="5"/>
      <c r="AK169" s="11"/>
      <c r="AL169" s="11"/>
      <c r="AM169" s="11"/>
      <c r="AN169" s="11"/>
      <c r="AO169" s="11"/>
      <c r="AP169" s="11"/>
      <c r="AQ169" s="11"/>
      <c r="AR169" s="5"/>
      <c r="AX169" s="91"/>
      <c r="AY169" s="4"/>
      <c r="AZ169" s="91"/>
      <c r="BA169" s="4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4"/>
      <c r="BM169" s="4"/>
    </row>
    <row r="170" s="1" customFormat="1" ht="13.5" customHeight="1">
      <c r="A170" s="5"/>
      <c r="B170" s="5"/>
      <c r="C170" s="5"/>
      <c r="H170" s="5"/>
      <c r="I170" s="5"/>
      <c r="J170" s="5"/>
      <c r="K170" s="5"/>
      <c r="L170" s="92" t="s">
        <v>44</v>
      </c>
      <c r="M170" s="93"/>
      <c r="N170" s="5"/>
      <c r="O170" s="5"/>
      <c r="P170" s="5"/>
      <c r="Q170" s="5"/>
      <c r="R170" s="5"/>
      <c r="S170" s="5"/>
      <c r="U170" s="5"/>
      <c r="V170" s="5"/>
      <c r="W170" s="92" t="s">
        <v>45</v>
      </c>
      <c r="AI170" s="92" t="s">
        <v>46</v>
      </c>
      <c r="AJ170" s="5"/>
      <c r="AK170" s="5"/>
      <c r="AL170" s="5"/>
      <c r="AM170" s="5"/>
      <c r="AN170" s="5"/>
      <c r="AO170" s="11"/>
      <c r="AP170" s="11"/>
      <c r="AQ170" s="11"/>
      <c r="AR170" s="5"/>
      <c r="AX170" s="91"/>
      <c r="AY170" s="4"/>
      <c r="AZ170" s="91"/>
      <c r="BA170" s="4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4"/>
      <c r="BM170" s="4"/>
    </row>
    <row r="171" s="1" customFormat="1" ht="13.5" customHeight="1">
      <c r="A171" s="5"/>
      <c r="B171" s="5"/>
      <c r="C171" s="5"/>
      <c r="H171" s="5"/>
      <c r="I171" s="5"/>
      <c r="J171" s="5"/>
      <c r="K171" s="5"/>
      <c r="L171" s="94" t="str">
        <f>IF(cod&lt;&gt;"",cod,"")</f>
        <v>ASDFGHJKL</v>
      </c>
      <c r="M171" s="94"/>
      <c r="N171" s="94"/>
      <c r="O171" s="94"/>
      <c r="P171" s="94"/>
      <c r="Q171" s="94"/>
      <c r="R171" s="92"/>
      <c r="S171" s="92"/>
      <c r="T171" s="92"/>
      <c r="U171" s="92"/>
      <c r="V171" s="92"/>
      <c r="W171" s="95" t="str">
        <f>IF(num&lt;&gt;"",num,"")</f>
        <v>9999</v>
      </c>
      <c r="X171" s="95"/>
      <c r="Y171" s="95"/>
      <c r="Z171" s="95"/>
      <c r="AA171" s="95"/>
      <c r="AB171" s="95"/>
      <c r="AI171" s="96" t="str">
        <f>IF(dat&lt;&gt;"",dat,"")</f>
        <v>05/06/2026</v>
      </c>
      <c r="AJ171" s="96"/>
      <c r="AK171" s="96"/>
      <c r="AL171" s="96"/>
      <c r="AM171" s="96"/>
      <c r="AN171" s="96"/>
      <c r="AQ171" s="11"/>
      <c r="AR171" s="5"/>
      <c r="AX171" s="4"/>
      <c r="AY171" s="4"/>
      <c r="AZ171" s="4"/>
      <c r="BA171" s="4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4"/>
      <c r="BM171" s="4"/>
    </row>
    <row r="172" s="1" customFormat="1" ht="13.5" customHeight="1">
      <c r="A172" s="5"/>
      <c r="B172" s="5"/>
      <c r="C172" s="5"/>
      <c r="H172" s="5"/>
      <c r="I172" s="5"/>
      <c r="J172" s="5"/>
      <c r="K172" s="5"/>
      <c r="L172" s="97"/>
      <c r="M172" s="97"/>
      <c r="N172" s="97"/>
      <c r="O172" s="97"/>
      <c r="P172" s="97"/>
      <c r="Q172" s="97"/>
      <c r="R172" s="92"/>
      <c r="S172" s="92"/>
      <c r="T172" s="92"/>
      <c r="U172" s="92"/>
      <c r="V172" s="92"/>
      <c r="W172" s="98"/>
      <c r="X172" s="98"/>
      <c r="Y172" s="98"/>
      <c r="Z172" s="98"/>
      <c r="AA172" s="98"/>
      <c r="AB172" s="98"/>
      <c r="AI172" s="99"/>
      <c r="AJ172" s="99"/>
      <c r="AK172" s="99"/>
      <c r="AL172" s="99"/>
      <c r="AM172" s="99"/>
      <c r="AN172" s="99"/>
      <c r="AQ172" s="11"/>
      <c r="AR172" s="5"/>
      <c r="AX172" s="4"/>
      <c r="AY172" s="4"/>
      <c r="AZ172" s="4"/>
      <c r="BA172" s="4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4"/>
      <c r="BM172" s="4"/>
    </row>
    <row r="173" s="1" customFormat="1" ht="13.5" customHeight="1">
      <c r="A173" s="5"/>
      <c r="B173" s="5"/>
      <c r="C173" s="5"/>
      <c r="H173" s="5"/>
      <c r="I173" s="5"/>
      <c r="J173" s="5"/>
      <c r="K173" s="5"/>
      <c r="L173" s="94"/>
      <c r="M173" s="94"/>
      <c r="N173" s="94"/>
      <c r="O173" s="94"/>
      <c r="P173" s="94"/>
      <c r="Q173" s="94"/>
      <c r="R173" s="92"/>
      <c r="S173" s="92"/>
      <c r="T173" s="92"/>
      <c r="U173" s="92"/>
      <c r="V173" s="92"/>
      <c r="W173" s="94"/>
      <c r="X173" s="94"/>
      <c r="Y173" s="94"/>
      <c r="Z173" s="94"/>
      <c r="AA173" s="94"/>
      <c r="AB173" s="94"/>
      <c r="AI173" s="100"/>
      <c r="AJ173" s="100"/>
      <c r="AK173" s="100"/>
      <c r="AL173" s="100"/>
      <c r="AM173" s="100"/>
      <c r="AN173" s="100"/>
      <c r="AQ173" s="11"/>
      <c r="AR173" s="5"/>
      <c r="AX173" s="4"/>
      <c r="AY173" s="4"/>
      <c r="AZ173" s="4"/>
      <c r="BA173" s="4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4"/>
      <c r="BM173" s="4"/>
    </row>
    <row r="174" thickBot="1" s="1" customFormat="1" ht="13.5" customHeight="1">
      <c r="A174" s="25"/>
      <c r="B174" s="25"/>
      <c r="C174" s="25"/>
      <c r="D174" s="26"/>
      <c r="E174" s="26"/>
      <c r="F174" s="26"/>
      <c r="G174" s="26"/>
      <c r="H174" s="25"/>
      <c r="I174" s="25"/>
      <c r="J174" s="25"/>
      <c r="K174" s="25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5"/>
      <c r="AG174" s="25"/>
      <c r="AH174" s="25"/>
      <c r="AI174" s="25"/>
      <c r="AJ174" s="25"/>
      <c r="AK174" s="101"/>
      <c r="AL174" s="101"/>
      <c r="AM174" s="101"/>
      <c r="AN174" s="101"/>
      <c r="AO174" s="101"/>
      <c r="AP174" s="101"/>
      <c r="AQ174" s="101"/>
      <c r="AR174" s="5"/>
      <c r="AX174" s="4"/>
      <c r="AY174" s="4"/>
      <c r="AZ174" s="4"/>
      <c r="BA174" s="4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4"/>
      <c r="BM174" s="4"/>
    </row>
    <row r="175" thickTop="1" s="4" customFormat="1" ht="12.75" customHeight="1">
      <c r="B175" s="102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4"/>
      <c r="AN175" s="104"/>
      <c r="AO175" s="104"/>
      <c r="AP175" s="104"/>
      <c r="AQ175" s="104"/>
      <c r="AR175" s="5"/>
      <c r="AT175" s="5"/>
      <c r="AU175" s="5"/>
      <c r="AV175" s="5"/>
      <c r="AX175"/>
      <c r="AZ175"/>
      <c r="BB175" s="5"/>
      <c r="BC175" s="5"/>
      <c r="BD175" s="5"/>
      <c r="BE175" s="5"/>
      <c r="BF175" s="5"/>
      <c r="BG175" s="5"/>
      <c r="BH175" s="5"/>
      <c r="BI175" s="5"/>
      <c r="BJ175" s="5"/>
      <c r="BK175" s="5"/>
    </row>
    <row r="176" customFormat="1" ht="9.75" customHeight="1"/>
    <row r="177" customFormat="1" ht="13.5" customHeight="1"/>
    <row r="178" thickBot="1" ht="8.2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5"/>
      <c r="AS178" s="5"/>
      <c r="AT178" s="5"/>
    </row>
    <row r="179" thickTop="1" ht="7.5" customHeight="1">
      <c r="AR179" s="5"/>
      <c r="AS179" s="5"/>
      <c r="AT179" s="5"/>
      <c r="AY179" s="5"/>
    </row>
    <row r="180" ht="13.5" customHeight="1">
      <c r="A180" s="106" t="s">
        <v>47</v>
      </c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5"/>
      <c r="AS180" s="5"/>
      <c r="AT180" s="5"/>
    </row>
    <row r="181" ht="12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5"/>
      <c r="AS181" s="5"/>
      <c r="AT181" s="5"/>
      <c r="AY181" s="5"/>
    </row>
    <row r="182" thickBot="1" ht="7.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</row>
    <row r="183" thickTop="1" ht="7.5" customHeight="1">
      <c r="AR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</row>
    <row r="184" thickBot="1" ht="13.5" customHeight="1">
      <c r="AR184" s="5"/>
      <c r="AU184" s="5"/>
      <c r="AV184" s="5"/>
      <c r="AW184" s="5"/>
      <c r="AX184" s="5"/>
      <c r="AY184" s="5"/>
      <c r="AZ184" s="5"/>
      <c r="BA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</row>
    <row r="185" thickBot="1" ht="13.5" customHeight="1">
      <c r="A185" s="107" t="s">
        <v>48</v>
      </c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9"/>
      <c r="AR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</row>
    <row r="186" ht="13.5" customHeight="1">
      <c r="AR186" s="5"/>
      <c r="AU186" s="5"/>
      <c r="AV186" s="5"/>
      <c r="AW186" s="5"/>
      <c r="AX186" s="5"/>
      <c r="AY186" s="5"/>
      <c r="AZ186" s="5"/>
      <c r="BA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</row>
    <row r="187" s="4" customFormat="1" ht="13.95" customHeight="1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R187" s="110" t="s">
        <v>49</v>
      </c>
      <c r="S187" s="111"/>
      <c r="T187" s="112"/>
      <c r="U187" s="112"/>
      <c r="V187" s="112"/>
      <c r="X187" s="5"/>
      <c r="Y187" s="5"/>
      <c r="Z187" s="5"/>
      <c r="AA187" s="5"/>
      <c r="AB187" s="113" t="s">
        <v>50</v>
      </c>
      <c r="AC187" s="113"/>
      <c r="AD187" s="113"/>
      <c r="AE187" s="113"/>
      <c r="AF187" s="110"/>
      <c r="AG187" s="5"/>
      <c r="AH187" s="5"/>
      <c r="AI187" s="5"/>
      <c r="AJ187" s="5"/>
      <c r="AK187" s="113"/>
      <c r="AL187" s="114"/>
      <c r="AM187" s="113" t="s">
        <v>51</v>
      </c>
      <c r="AN187" s="113"/>
      <c r="AO187" s="113"/>
      <c r="AP187" s="113"/>
      <c r="AQ187" s="110"/>
      <c r="AR187" s="113"/>
      <c r="AS187" s="5"/>
      <c r="AT187" s="5"/>
      <c r="AU187" s="5"/>
      <c r="AV187" s="5"/>
      <c r="BC187" s="91" t="s">
        <v>52</v>
      </c>
      <c r="BD187" s="91" t="s">
        <v>53</v>
      </c>
      <c r="BE187" s="91" t="s">
        <v>54</v>
      </c>
    </row>
    <row r="188" s="4" customFormat="1" ht="13.2">
      <c r="B188" s="5"/>
      <c r="G188" s="5"/>
      <c r="H188" s="5"/>
      <c r="R188" s="111"/>
      <c r="S188" s="111"/>
      <c r="T188" s="111"/>
      <c r="U188" s="111"/>
      <c r="V188" s="111"/>
      <c r="W188" s="115"/>
      <c r="X188" s="5"/>
      <c r="Y188" s="5"/>
      <c r="Z188" s="5"/>
      <c r="AA188" s="5"/>
      <c r="AB188" s="110" t="s">
        <v>55</v>
      </c>
      <c r="AC188" s="110"/>
      <c r="AD188" s="116"/>
      <c r="AE188" s="111"/>
      <c r="AF188" s="111"/>
      <c r="AG188" s="5"/>
      <c r="AH188" s="5"/>
      <c r="AI188" s="5"/>
      <c r="AJ188" s="5"/>
      <c r="AK188" s="117"/>
      <c r="AL188" s="117"/>
      <c r="AM188" s="110" t="s">
        <v>55</v>
      </c>
      <c r="AN188" s="111"/>
      <c r="AO188" s="116"/>
      <c r="AP188" s="111"/>
      <c r="AQ188" s="111"/>
      <c r="AR188" s="115"/>
      <c r="AS188" s="118" t="s">
        <v>56</v>
      </c>
      <c r="AT188" s="5"/>
      <c r="AU188" s="5"/>
      <c r="AV188" s="5"/>
      <c r="AW188" s="5"/>
      <c r="AX188" s="5"/>
      <c r="AY188" s="5"/>
      <c r="AZ188" s="5"/>
      <c r="BA188" s="5"/>
      <c r="BB188" s="5"/>
      <c r="BC188" s="91">
        <v>2</v>
      </c>
      <c r="BD188" s="91">
        <v>47</v>
      </c>
      <c r="BE188" s="91">
        <v>98</v>
      </c>
      <c r="BF188" s="5"/>
      <c r="BG188" s="5"/>
      <c r="BH188" s="5"/>
      <c r="BI188" s="5"/>
      <c r="BJ188" s="5"/>
      <c r="BK188" s="5"/>
      <c r="BL188" s="5"/>
      <c r="BM188" s="5"/>
    </row>
    <row r="189" s="4" customFormat="1" ht="6.6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Q189" s="5"/>
      <c r="R189" s="118"/>
      <c r="S189" s="5"/>
      <c r="T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</row>
    <row r="190" s="4" customFormat="1" ht="3" customHeight="1">
      <c r="A190" s="5"/>
      <c r="B190" s="5"/>
      <c r="C190" s="5"/>
      <c r="G190" s="5"/>
      <c r="H190" s="5"/>
      <c r="P190" s="5"/>
      <c r="Q190" s="5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  <c r="AO190" s="120"/>
      <c r="AP190" s="120"/>
      <c r="AQ190" s="120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</row>
    <row r="191" s="4" customFormat="1" ht="6" customHeight="1">
      <c r="A191" s="121"/>
      <c r="B191" s="122"/>
      <c r="C191" s="123" t="s">
        <v>57</v>
      </c>
      <c r="D191" s="123" t="s">
        <v>58</v>
      </c>
      <c r="E191" s="123" t="s">
        <v>58</v>
      </c>
      <c r="F191" s="123" t="s">
        <v>58</v>
      </c>
      <c r="G191" s="123" t="s">
        <v>58</v>
      </c>
      <c r="H191" s="123" t="s">
        <v>58</v>
      </c>
      <c r="I191" s="123" t="s">
        <v>58</v>
      </c>
      <c r="J191" s="123" t="s">
        <v>58</v>
      </c>
      <c r="K191" s="123" t="s">
        <v>58</v>
      </c>
      <c r="L191" s="123" t="s">
        <v>58</v>
      </c>
      <c r="M191" s="123" t="s">
        <v>58</v>
      </c>
      <c r="N191" s="123" t="s">
        <v>58</v>
      </c>
      <c r="O191" s="123" t="s">
        <v>58</v>
      </c>
      <c r="P191" s="124" t="s">
        <v>52</v>
      </c>
      <c r="Q191" s="5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  <c r="AO191" s="120"/>
      <c r="AP191" s="120"/>
      <c r="AQ191" s="120"/>
      <c r="AR191" s="5"/>
      <c r="AS191" s="125">
        <f>SUM(BC191:BF192)</f>
        <v>2</v>
      </c>
      <c r="AT191" s="126"/>
      <c r="AU191" s="115">
        <v>50</v>
      </c>
      <c r="AV191" s="5"/>
      <c r="AW191" s="5"/>
      <c r="AX191" s="5"/>
      <c r="AY191" s="5"/>
      <c r="AZ191" s="5"/>
      <c r="BA191" s="5"/>
      <c r="BB191" s="5"/>
      <c r="BC191" s="125">
        <f>IF($P191=$BC$187,$BC$188,0)</f>
        <v>2</v>
      </c>
      <c r="BD191" s="125">
        <f>IF($P191=$BD$187,$BD$188,0)</f>
        <v>0</v>
      </c>
      <c r="BE191" s="125">
        <f>IF($P191=$BE$187,$BE$188,0)</f>
        <v>0</v>
      </c>
      <c r="BF191" s="125">
        <f>IF($P191=$BF$177,$BF$178,0)</f>
        <v>0</v>
      </c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</row>
    <row r="192" s="4" customFormat="1" ht="6" customHeight="1">
      <c r="A192" s="121"/>
      <c r="B192" s="122"/>
      <c r="C192" s="123" t="s">
        <v>58</v>
      </c>
      <c r="D192" s="123" t="s">
        <v>58</v>
      </c>
      <c r="E192" s="123" t="s">
        <v>58</v>
      </c>
      <c r="F192" s="123" t="s">
        <v>58</v>
      </c>
      <c r="G192" s="123" t="s">
        <v>58</v>
      </c>
      <c r="H192" s="123" t="s">
        <v>58</v>
      </c>
      <c r="I192" s="123" t="s">
        <v>58</v>
      </c>
      <c r="J192" s="123" t="s">
        <v>58</v>
      </c>
      <c r="K192" s="123" t="s">
        <v>58</v>
      </c>
      <c r="L192" s="123" t="s">
        <v>58</v>
      </c>
      <c r="M192" s="123" t="s">
        <v>58</v>
      </c>
      <c r="N192" s="123" t="s">
        <v>58</v>
      </c>
      <c r="O192" s="123" t="s">
        <v>58</v>
      </c>
      <c r="P192" s="124"/>
      <c r="Q192" s="5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  <c r="AO192" s="120"/>
      <c r="AP192" s="120"/>
      <c r="AQ192" s="120"/>
      <c r="AR192" s="5"/>
      <c r="AS192" s="125"/>
      <c r="AT192" s="126"/>
      <c r="AU192" s="115"/>
      <c r="AV192" s="5"/>
      <c r="AW192" s="5"/>
      <c r="AX192" s="5"/>
      <c r="AY192" s="5"/>
      <c r="AZ192" s="5"/>
      <c r="BA192" s="5"/>
      <c r="BB192" s="5"/>
      <c r="BC192" s="125"/>
      <c r="BD192" s="125"/>
      <c r="BE192" s="125"/>
      <c r="BF192" s="12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</row>
    <row r="193" s="4" customFormat="1" ht="3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8"/>
      <c r="O193" s="128"/>
      <c r="P193" s="5"/>
      <c r="Q193" s="5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  <c r="AO193" s="120"/>
      <c r="AP193" s="120"/>
      <c r="AQ193" s="120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</row>
    <row r="194" s="4" customFormat="1" ht="6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8"/>
      <c r="O194" s="128"/>
      <c r="P194" s="5"/>
      <c r="Q194" s="5"/>
      <c r="S194" s="115" t="s">
        <v>52</v>
      </c>
      <c r="T194" s="5"/>
      <c r="U194" s="5"/>
      <c r="V194" s="5"/>
      <c r="W194" s="5"/>
      <c r="Z194" s="5"/>
      <c r="AB194" s="5"/>
      <c r="AC194" s="5"/>
      <c r="AD194" s="115" t="s">
        <v>53</v>
      </c>
      <c r="AE194" s="5"/>
      <c r="AF194" s="5"/>
      <c r="AG194" s="5"/>
      <c r="AH194" s="5"/>
      <c r="AJ194" s="5"/>
      <c r="AL194" s="5"/>
      <c r="AM194" s="5"/>
      <c r="AN194" s="5"/>
      <c r="AO194" s="5"/>
      <c r="AP194" s="115" t="s">
        <v>54</v>
      </c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</row>
    <row r="195" s="4" customFormat="1" ht="7.95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8"/>
      <c r="O195" s="128"/>
      <c r="Q195" s="5"/>
      <c r="S195" s="115"/>
      <c r="T195" s="5"/>
      <c r="V195" s="5"/>
      <c r="W195" s="5"/>
      <c r="Y195" s="5"/>
      <c r="Z195" s="5"/>
      <c r="AB195" s="5"/>
      <c r="AC195" s="5"/>
      <c r="AD195" s="115"/>
      <c r="AE195" s="5"/>
      <c r="AF195" s="5"/>
      <c r="AG195" s="5"/>
      <c r="AH195" s="5"/>
      <c r="AJ195" s="5"/>
      <c r="AL195" s="5"/>
      <c r="AM195" s="5"/>
      <c r="AN195" s="5"/>
      <c r="AO195" s="5"/>
      <c r="AP195" s="11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</row>
    <row r="196" s="4" customFormat="1" ht="3.6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8"/>
      <c r="O196" s="128"/>
      <c r="Q196" s="5"/>
      <c r="R196" s="118"/>
      <c r="S196" s="5"/>
      <c r="T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</row>
    <row r="197" s="4" customFormat="1" ht="3" customHeight="1">
      <c r="A197" s="129"/>
      <c r="B197" s="129"/>
      <c r="C197" s="129"/>
      <c r="D197" s="128"/>
      <c r="E197" s="128"/>
      <c r="F197" s="128"/>
      <c r="G197" s="129"/>
      <c r="H197" s="129"/>
      <c r="I197" s="128"/>
      <c r="J197" s="128"/>
      <c r="K197" s="128"/>
      <c r="L197" s="128"/>
      <c r="M197" s="128"/>
      <c r="N197" s="128"/>
      <c r="O197" s="128"/>
      <c r="P197" s="5"/>
      <c r="Q197" s="5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  <c r="AP197" s="120"/>
      <c r="AQ197" s="120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</row>
    <row r="198" s="4" customFormat="1" ht="6" customHeight="1">
      <c r="A198" s="121"/>
      <c r="B198" s="122"/>
      <c r="C198" s="123" t="s">
        <v>59</v>
      </c>
      <c r="D198" s="123" t="s">
        <v>58</v>
      </c>
      <c r="E198" s="123" t="s">
        <v>58</v>
      </c>
      <c r="F198" s="123" t="s">
        <v>58</v>
      </c>
      <c r="G198" s="123" t="s">
        <v>58</v>
      </c>
      <c r="H198" s="123" t="s">
        <v>58</v>
      </c>
      <c r="I198" s="123" t="s">
        <v>58</v>
      </c>
      <c r="J198" s="123" t="s">
        <v>58</v>
      </c>
      <c r="K198" s="123" t="s">
        <v>58</v>
      </c>
      <c r="L198" s="123" t="s">
        <v>58</v>
      </c>
      <c r="M198" s="123" t="s">
        <v>58</v>
      </c>
      <c r="N198" s="123" t="s">
        <v>58</v>
      </c>
      <c r="O198" s="123" t="s">
        <v>58</v>
      </c>
      <c r="P198" s="124" t="s">
        <v>53</v>
      </c>
      <c r="Q198" s="5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  <c r="AO198" s="120"/>
      <c r="AP198" s="120"/>
      <c r="AQ198" s="120"/>
      <c r="AR198" s="5"/>
      <c r="AS198" s="125">
        <f>SUM(BC198:BF199)</f>
        <v>47</v>
      </c>
      <c r="AT198" s="126"/>
      <c r="AU198" s="115">
        <v>50</v>
      </c>
      <c r="AV198" s="5"/>
      <c r="AW198" s="5"/>
      <c r="AX198" s="5"/>
      <c r="AY198" s="5"/>
      <c r="AZ198" s="5"/>
      <c r="BA198" s="5"/>
      <c r="BB198" s="5"/>
      <c r="BC198" s="125">
        <f>IF($P198=$BC$187,$BC$188,0)</f>
        <v>0</v>
      </c>
      <c r="BD198" s="125">
        <f>IF($P198=$BD$187,$BD$188,0)</f>
        <v>47</v>
      </c>
      <c r="BE198" s="125">
        <f>IF($P198=$BE$187,$BE$188,0)</f>
        <v>0</v>
      </c>
      <c r="BF198" s="125">
        <f>IF($P198=$BF$177,$BF$178,0)</f>
        <v>0</v>
      </c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</row>
    <row r="199" s="4" customFormat="1" ht="6" customHeight="1">
      <c r="A199" s="121"/>
      <c r="B199" s="122"/>
      <c r="C199" s="123" t="s">
        <v>58</v>
      </c>
      <c r="D199" s="123" t="s">
        <v>58</v>
      </c>
      <c r="E199" s="123" t="s">
        <v>58</v>
      </c>
      <c r="F199" s="123" t="s">
        <v>58</v>
      </c>
      <c r="G199" s="123" t="s">
        <v>58</v>
      </c>
      <c r="H199" s="123" t="s">
        <v>58</v>
      </c>
      <c r="I199" s="123" t="s">
        <v>58</v>
      </c>
      <c r="J199" s="123" t="s">
        <v>58</v>
      </c>
      <c r="K199" s="123" t="s">
        <v>58</v>
      </c>
      <c r="L199" s="123" t="s">
        <v>58</v>
      </c>
      <c r="M199" s="123" t="s">
        <v>58</v>
      </c>
      <c r="N199" s="123" t="s">
        <v>58</v>
      </c>
      <c r="O199" s="123" t="s">
        <v>58</v>
      </c>
      <c r="P199" s="124"/>
      <c r="Q199" s="5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  <c r="AO199" s="120"/>
      <c r="AP199" s="120"/>
      <c r="AQ199" s="120"/>
      <c r="AR199" s="5"/>
      <c r="AS199" s="125"/>
      <c r="AT199" s="126"/>
      <c r="AU199" s="115"/>
      <c r="AV199" s="5"/>
      <c r="AW199" s="5"/>
      <c r="AX199" s="5"/>
      <c r="AY199" s="5"/>
      <c r="AZ199" s="5"/>
      <c r="BA199" s="5"/>
      <c r="BB199" s="5"/>
      <c r="BC199" s="125"/>
      <c r="BD199" s="125"/>
      <c r="BE199" s="125"/>
      <c r="BF199" s="12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</row>
    <row r="200" s="4" customFormat="1" ht="3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P200" s="5"/>
      <c r="Q200" s="5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  <c r="AO200" s="120"/>
      <c r="AP200" s="120"/>
      <c r="AQ200" s="120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</row>
    <row r="201" s="4" customFormat="1" ht="6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P201" s="5"/>
      <c r="Q201" s="5"/>
      <c r="S201" s="115" t="s">
        <v>52</v>
      </c>
      <c r="T201" s="5"/>
      <c r="U201" s="5"/>
      <c r="V201" s="5"/>
      <c r="W201" s="5"/>
      <c r="Z201" s="5"/>
      <c r="AB201" s="5"/>
      <c r="AC201" s="5"/>
      <c r="AD201" s="115" t="s">
        <v>53</v>
      </c>
      <c r="AE201" s="5"/>
      <c r="AF201" s="5"/>
      <c r="AG201" s="5"/>
      <c r="AH201" s="5"/>
      <c r="AJ201" s="5"/>
      <c r="AL201" s="5"/>
      <c r="AM201" s="5"/>
      <c r="AN201" s="5"/>
      <c r="AO201" s="5"/>
      <c r="AP201" s="115" t="s">
        <v>54</v>
      </c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</row>
    <row r="202" s="4" customFormat="1" ht="7.9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Q202" s="5"/>
      <c r="S202" s="115"/>
      <c r="T202" s="5"/>
      <c r="V202" s="5"/>
      <c r="W202" s="5"/>
      <c r="Y202" s="5"/>
      <c r="Z202" s="5"/>
      <c r="AB202" s="5"/>
      <c r="AC202" s="5"/>
      <c r="AD202" s="115"/>
      <c r="AE202" s="5"/>
      <c r="AF202" s="5"/>
      <c r="AG202" s="5"/>
      <c r="AH202" s="5"/>
      <c r="AJ202" s="5"/>
      <c r="AL202" s="5"/>
      <c r="AM202" s="5"/>
      <c r="AN202" s="5"/>
      <c r="AO202" s="5"/>
      <c r="AP202" s="11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</row>
    <row r="203" s="4" customFormat="1" ht="6.6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Q203" s="5"/>
      <c r="R203" s="118"/>
      <c r="S203" s="5"/>
      <c r="T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</row>
    <row r="204" s="4" customFormat="1" ht="3" customHeight="1">
      <c r="A204" s="5"/>
      <c r="B204" s="5"/>
      <c r="C204" s="5"/>
      <c r="G204" s="5"/>
      <c r="H204" s="5"/>
      <c r="P204" s="5"/>
      <c r="Q204" s="5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  <c r="AP204" s="120"/>
      <c r="AQ204" s="120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</row>
    <row r="205" s="4" customFormat="1" ht="6" customHeight="1">
      <c r="A205" s="121"/>
      <c r="B205" s="122"/>
      <c r="C205" s="123" t="s">
        <v>60</v>
      </c>
      <c r="D205" s="123" t="s">
        <v>58</v>
      </c>
      <c r="E205" s="123" t="s">
        <v>58</v>
      </c>
      <c r="F205" s="123" t="s">
        <v>58</v>
      </c>
      <c r="G205" s="123" t="s">
        <v>58</v>
      </c>
      <c r="H205" s="123" t="s">
        <v>58</v>
      </c>
      <c r="I205" s="123" t="s">
        <v>58</v>
      </c>
      <c r="J205" s="123" t="s">
        <v>58</v>
      </c>
      <c r="K205" s="123" t="s">
        <v>58</v>
      </c>
      <c r="L205" s="123" t="s">
        <v>58</v>
      </c>
      <c r="M205" s="123" t="s">
        <v>58</v>
      </c>
      <c r="N205" s="123" t="s">
        <v>58</v>
      </c>
      <c r="O205" s="123" t="s">
        <v>58</v>
      </c>
      <c r="P205" s="124" t="s">
        <v>54</v>
      </c>
      <c r="Q205" s="5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  <c r="AP205" s="120"/>
      <c r="AQ205" s="120"/>
      <c r="AR205" s="5"/>
      <c r="AS205" s="125">
        <f>SUM(BC205:BF206)</f>
        <v>98</v>
      </c>
      <c r="AT205" s="126"/>
      <c r="AU205" s="115">
        <v>50</v>
      </c>
      <c r="AV205" s="5"/>
      <c r="AW205" s="5"/>
      <c r="AX205" s="5"/>
      <c r="AY205" s="5"/>
      <c r="AZ205" s="5"/>
      <c r="BA205" s="5"/>
      <c r="BB205" s="5"/>
      <c r="BC205" s="125">
        <f>IF($P205=$BC$187,$BC$188,0)</f>
        <v>0</v>
      </c>
      <c r="BD205" s="125">
        <f>IF($P205=$BD$187,$BD$188,0)</f>
        <v>0</v>
      </c>
      <c r="BE205" s="125">
        <f>IF($P205=$BE$187,$BE$188,0)</f>
        <v>98</v>
      </c>
      <c r="BF205" s="125">
        <f>IF($P205=$BF$177,$BF$178,0)</f>
        <v>0</v>
      </c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</row>
    <row r="206" s="4" customFormat="1" ht="6" customHeight="1">
      <c r="A206" s="121"/>
      <c r="B206" s="122"/>
      <c r="C206" s="123" t="s">
        <v>58</v>
      </c>
      <c r="D206" s="123" t="s">
        <v>58</v>
      </c>
      <c r="E206" s="123" t="s">
        <v>58</v>
      </c>
      <c r="F206" s="123" t="s">
        <v>58</v>
      </c>
      <c r="G206" s="123" t="s">
        <v>58</v>
      </c>
      <c r="H206" s="123" t="s">
        <v>58</v>
      </c>
      <c r="I206" s="123" t="s">
        <v>58</v>
      </c>
      <c r="J206" s="123" t="s">
        <v>58</v>
      </c>
      <c r="K206" s="123" t="s">
        <v>58</v>
      </c>
      <c r="L206" s="123" t="s">
        <v>58</v>
      </c>
      <c r="M206" s="123" t="s">
        <v>58</v>
      </c>
      <c r="N206" s="123" t="s">
        <v>58</v>
      </c>
      <c r="O206" s="123" t="s">
        <v>58</v>
      </c>
      <c r="P206" s="124"/>
      <c r="Q206" s="5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  <c r="AP206" s="120"/>
      <c r="AQ206" s="120"/>
      <c r="AR206" s="5"/>
      <c r="AS206" s="125"/>
      <c r="AT206" s="126"/>
      <c r="AU206" s="115"/>
      <c r="AV206" s="5"/>
      <c r="AW206" s="5"/>
      <c r="AX206" s="5"/>
      <c r="AY206" s="5"/>
      <c r="AZ206" s="5"/>
      <c r="BA206" s="5"/>
      <c r="BB206" s="5"/>
      <c r="BC206" s="125"/>
      <c r="BD206" s="125"/>
      <c r="BE206" s="125"/>
      <c r="BF206" s="12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</row>
    <row r="207" s="4" customFormat="1" ht="3" customHeight="1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8"/>
      <c r="O207" s="128"/>
      <c r="P207" s="5"/>
      <c r="Q207" s="5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  <c r="AO207" s="120"/>
      <c r="AP207" s="120"/>
      <c r="AQ207" s="120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</row>
    <row r="208" s="4" customFormat="1" ht="6" customHeight="1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8"/>
      <c r="O208" s="128"/>
      <c r="P208" s="5"/>
      <c r="Q208" s="5"/>
      <c r="S208" s="115" t="s">
        <v>52</v>
      </c>
      <c r="T208" s="5"/>
      <c r="U208" s="5"/>
      <c r="V208" s="5"/>
      <c r="W208" s="5"/>
      <c r="Z208" s="5"/>
      <c r="AB208" s="5"/>
      <c r="AC208" s="5"/>
      <c r="AD208" s="115" t="s">
        <v>53</v>
      </c>
      <c r="AE208" s="5"/>
      <c r="AF208" s="5"/>
      <c r="AG208" s="5"/>
      <c r="AH208" s="5"/>
      <c r="AJ208" s="5"/>
      <c r="AL208" s="5"/>
      <c r="AM208" s="5"/>
      <c r="AN208" s="5"/>
      <c r="AO208" s="5"/>
      <c r="AP208" s="115" t="s">
        <v>54</v>
      </c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</row>
    <row r="209" s="4" customFormat="1" ht="7.95" customHeight="1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8"/>
      <c r="O209" s="128"/>
      <c r="Q209" s="5"/>
      <c r="S209" s="115"/>
      <c r="T209" s="5"/>
      <c r="V209" s="5"/>
      <c r="W209" s="5"/>
      <c r="Y209" s="5"/>
      <c r="Z209" s="5"/>
      <c r="AB209" s="5"/>
      <c r="AC209" s="5"/>
      <c r="AD209" s="115"/>
      <c r="AE209" s="5"/>
      <c r="AF209" s="5"/>
      <c r="AG209" s="5"/>
      <c r="AH209" s="5"/>
      <c r="AJ209" s="5"/>
      <c r="AL209" s="5"/>
      <c r="AM209" s="5"/>
      <c r="AN209" s="5"/>
      <c r="AO209" s="5"/>
      <c r="AP209" s="11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</row>
    <row r="210" s="4" customFormat="1" ht="3.6" customHeight="1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8"/>
      <c r="O210" s="128"/>
      <c r="Q210" s="5"/>
      <c r="R210" s="118"/>
      <c r="S210" s="5"/>
      <c r="T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</row>
    <row r="211" s="4" customFormat="1" ht="3" customHeight="1">
      <c r="A211" s="129"/>
      <c r="B211" s="129"/>
      <c r="C211" s="129"/>
      <c r="D211" s="128"/>
      <c r="E211" s="128"/>
      <c r="F211" s="128"/>
      <c r="G211" s="129"/>
      <c r="H211" s="129"/>
      <c r="I211" s="128"/>
      <c r="J211" s="128"/>
      <c r="K211" s="128"/>
      <c r="L211" s="128"/>
      <c r="M211" s="128"/>
      <c r="N211" s="128"/>
      <c r="O211" s="128"/>
      <c r="P211" s="5"/>
      <c r="Q211" s="5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  <c r="AP211" s="120"/>
      <c r="AQ211" s="120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</row>
    <row r="212" s="4" customFormat="1" ht="6" customHeight="1">
      <c r="A212" s="121"/>
      <c r="B212" s="122"/>
      <c r="C212" s="123" t="s">
        <v>61</v>
      </c>
      <c r="D212" s="123" t="s">
        <v>58</v>
      </c>
      <c r="E212" s="123" t="s">
        <v>58</v>
      </c>
      <c r="F212" s="123" t="s">
        <v>58</v>
      </c>
      <c r="G212" s="123" t="s">
        <v>58</v>
      </c>
      <c r="H212" s="123" t="s">
        <v>58</v>
      </c>
      <c r="I212" s="123" t="s">
        <v>58</v>
      </c>
      <c r="J212" s="123" t="s">
        <v>58</v>
      </c>
      <c r="K212" s="123" t="s">
        <v>58</v>
      </c>
      <c r="L212" s="123" t="s">
        <v>58</v>
      </c>
      <c r="M212" s="123" t="s">
        <v>58</v>
      </c>
      <c r="N212" s="123" t="s">
        <v>58</v>
      </c>
      <c r="O212" s="123" t="s">
        <v>58</v>
      </c>
      <c r="P212" s="124" t="s">
        <v>53</v>
      </c>
      <c r="Q212" s="5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  <c r="AP212" s="120"/>
      <c r="AQ212" s="120"/>
      <c r="AR212" s="5"/>
      <c r="AS212" s="125">
        <f>SUM(BC212:BF213)</f>
        <v>47</v>
      </c>
      <c r="AT212" s="126"/>
      <c r="AU212" s="115">
        <v>50</v>
      </c>
      <c r="AV212" s="5"/>
      <c r="AW212" s="5"/>
      <c r="AX212" s="5"/>
      <c r="AY212" s="5"/>
      <c r="AZ212" s="5"/>
      <c r="BA212" s="5"/>
      <c r="BB212" s="5"/>
      <c r="BC212" s="125">
        <f>IF($P212=$BC$187,$BC$188,0)</f>
        <v>0</v>
      </c>
      <c r="BD212" s="125">
        <f>IF($P212=$BD$187,$BD$188,0)</f>
        <v>47</v>
      </c>
      <c r="BE212" s="125">
        <f>IF($P212=$BE$187,$BE$188,0)</f>
        <v>0</v>
      </c>
      <c r="BF212" s="125">
        <f>IF($P212=$BF$177,$BF$178,0)</f>
        <v>0</v>
      </c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</row>
    <row r="213" s="4" customFormat="1" ht="6" customHeight="1">
      <c r="A213" s="121"/>
      <c r="B213" s="122"/>
      <c r="C213" s="123" t="s">
        <v>58</v>
      </c>
      <c r="D213" s="123" t="s">
        <v>58</v>
      </c>
      <c r="E213" s="123" t="s">
        <v>58</v>
      </c>
      <c r="F213" s="123" t="s">
        <v>58</v>
      </c>
      <c r="G213" s="123" t="s">
        <v>58</v>
      </c>
      <c r="H213" s="123" t="s">
        <v>58</v>
      </c>
      <c r="I213" s="123" t="s">
        <v>58</v>
      </c>
      <c r="J213" s="123" t="s">
        <v>58</v>
      </c>
      <c r="K213" s="123" t="s">
        <v>58</v>
      </c>
      <c r="L213" s="123" t="s">
        <v>58</v>
      </c>
      <c r="M213" s="123" t="s">
        <v>58</v>
      </c>
      <c r="N213" s="123" t="s">
        <v>58</v>
      </c>
      <c r="O213" s="123" t="s">
        <v>58</v>
      </c>
      <c r="P213" s="124"/>
      <c r="Q213" s="5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  <c r="AP213" s="120"/>
      <c r="AQ213" s="120"/>
      <c r="AR213" s="5"/>
      <c r="AS213" s="125"/>
      <c r="AT213" s="126"/>
      <c r="AU213" s="115"/>
      <c r="AV213" s="5"/>
      <c r="AW213" s="5"/>
      <c r="AX213" s="5"/>
      <c r="AY213" s="5"/>
      <c r="AZ213" s="5"/>
      <c r="BA213" s="5"/>
      <c r="BB213" s="5"/>
      <c r="BC213" s="125"/>
      <c r="BD213" s="125"/>
      <c r="BE213" s="125"/>
      <c r="BF213" s="12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</row>
    <row r="214" s="4" customFormat="1" ht="3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P214" s="5"/>
      <c r="Q214" s="5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  <c r="AP214" s="120"/>
      <c r="AQ214" s="120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</row>
    <row r="215" s="4" customFormat="1" ht="6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P215" s="5"/>
      <c r="Q215" s="5"/>
      <c r="S215" s="115" t="s">
        <v>52</v>
      </c>
      <c r="T215" s="5"/>
      <c r="U215" s="5"/>
      <c r="V215" s="5"/>
      <c r="W215" s="5"/>
      <c r="Z215" s="5"/>
      <c r="AB215" s="5"/>
      <c r="AC215" s="5"/>
      <c r="AD215" s="115" t="s">
        <v>53</v>
      </c>
      <c r="AE215" s="5"/>
      <c r="AF215" s="5"/>
      <c r="AG215" s="5"/>
      <c r="AH215" s="5"/>
      <c r="AJ215" s="5"/>
      <c r="AL215" s="5"/>
      <c r="AM215" s="5"/>
      <c r="AN215" s="5"/>
      <c r="AO215" s="5"/>
      <c r="AP215" s="115" t="s">
        <v>54</v>
      </c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</row>
    <row r="216" s="4" customFormat="1" ht="7.9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Q216" s="5"/>
      <c r="S216" s="115"/>
      <c r="T216" s="5"/>
      <c r="V216" s="5"/>
      <c r="W216" s="5"/>
      <c r="Y216" s="5"/>
      <c r="Z216" s="5"/>
      <c r="AB216" s="5"/>
      <c r="AC216" s="5"/>
      <c r="AD216" s="115"/>
      <c r="AE216" s="5"/>
      <c r="AF216" s="5"/>
      <c r="AG216" s="5"/>
      <c r="AH216" s="5"/>
      <c r="AJ216" s="5"/>
      <c r="AL216" s="5"/>
      <c r="AM216" s="5"/>
      <c r="AN216" s="5"/>
      <c r="AO216" s="5"/>
      <c r="AP216" s="11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</row>
    <row r="217" s="4" customFormat="1" ht="13.2">
      <c r="A217" s="4" t="s">
        <v>62</v>
      </c>
      <c r="B217" s="5"/>
      <c r="F217" s="4" t="s">
        <v>63</v>
      </c>
      <c r="G217" s="5"/>
      <c r="H217" s="110" t="s">
        <v>64</v>
      </c>
      <c r="L217" s="5"/>
      <c r="M217" s="5"/>
      <c r="Q217" s="110"/>
      <c r="U217" s="5"/>
      <c r="W217" s="115"/>
      <c r="Z217" s="115" t="s">
        <v>65</v>
      </c>
      <c r="AA217" s="110" t="s">
        <v>66</v>
      </c>
    </row>
    <row r="218" s="4" customFormat="1" ht="13.2">
      <c r="B218" s="5"/>
      <c r="F218" s="4" t="s">
        <v>67</v>
      </c>
      <c r="G218" s="5"/>
      <c r="H218" s="110" t="s">
        <v>68</v>
      </c>
      <c r="I218" s="115"/>
      <c r="W218" s="115"/>
      <c r="Z218" s="115"/>
    </row>
    <row r="219" s="4" customFormat="1" ht="13.2">
      <c r="B219" s="5"/>
      <c r="G219" s="5"/>
      <c r="H219" s="110"/>
      <c r="I219" s="115"/>
      <c r="W219" s="115"/>
      <c r="Z219" s="115"/>
      <c r="AX219" s="5"/>
      <c r="AY219" s="5"/>
      <c r="AZ219" s="5"/>
      <c r="BA219" s="5"/>
      <c r="BD219" s="6"/>
      <c r="BE219" s="5"/>
      <c r="BF219" s="5"/>
    </row>
    <row r="220" thickBot="1" ht="13.5" customHeight="1">
      <c r="AR220" s="5"/>
      <c r="AU220" s="5"/>
      <c r="AV220" s="5"/>
      <c r="AW220" s="5"/>
      <c r="AX220" s="5"/>
      <c r="AY220" s="5"/>
      <c r="AZ220" s="5"/>
      <c r="BA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</row>
    <row r="221" thickBot="1" ht="13.5" customHeight="1">
      <c r="A221" s="107" t="s">
        <v>69</v>
      </c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  <c r="AO221" s="108"/>
      <c r="AP221" s="108"/>
      <c r="AQ221" s="109"/>
      <c r="AR221" s="5"/>
      <c r="AU221" s="5"/>
      <c r="AV221" s="5"/>
      <c r="AW221" s="5"/>
      <c r="AX221" s="5"/>
      <c r="AY221" s="5"/>
      <c r="AZ221" s="5"/>
      <c r="BA221" s="5"/>
      <c r="BB221" s="4"/>
      <c r="BC221" s="4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</row>
    <row r="222" thickBot="1" ht="13.5" customHeight="1">
      <c r="AR222" s="5"/>
      <c r="AU222" s="5"/>
      <c r="AV222" s="5"/>
      <c r="AW222" s="5"/>
      <c r="AX222" s="5"/>
      <c r="AY222" s="5"/>
      <c r="AZ222" s="5"/>
      <c r="BA222" s="5"/>
      <c r="BB222" s="115" t="s">
        <v>52</v>
      </c>
      <c r="BC222" s="115" t="s">
        <v>70</v>
      </c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</row>
    <row r="223" s="5" customFormat="1" ht="13.2">
      <c r="Q223" s="130" t="s">
        <v>49</v>
      </c>
      <c r="R223" s="130"/>
      <c r="S223" s="130"/>
      <c r="AJ223" s="130" t="s">
        <v>71</v>
      </c>
      <c r="AK223" s="130"/>
      <c r="AL223" s="118"/>
      <c r="AM223" s="118"/>
      <c r="AN223" s="118"/>
      <c r="AW223" s="115"/>
      <c r="AX223" s="131"/>
      <c r="BB223" s="115">
        <v>7</v>
      </c>
      <c r="BC223" s="115">
        <v>94</v>
      </c>
      <c r="BS223" s="6"/>
      <c r="BT223" s="6"/>
    </row>
    <row r="224" s="4" customFormat="1" ht="6.6" customHeight="1"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U224" s="5"/>
      <c r="V224" s="118"/>
      <c r="W224" s="5"/>
      <c r="X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132"/>
      <c r="AY224" s="5"/>
      <c r="AZ224" s="5"/>
      <c r="BA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S224" s="6"/>
      <c r="BT224" s="6"/>
    </row>
    <row r="225" s="4" customFormat="1" ht="3" customHeight="1">
      <c r="C225" s="5"/>
      <c r="D225" s="5"/>
      <c r="E225" s="5"/>
      <c r="I225" s="5"/>
      <c r="J225" s="5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  <c r="AO225" s="5"/>
      <c r="AP225" s="5"/>
      <c r="AQ225" s="5"/>
      <c r="AR225" s="5"/>
      <c r="AS225" s="5"/>
      <c r="AT225" s="5"/>
      <c r="AU225" s="5"/>
      <c r="AV225" s="5"/>
      <c r="AW225" s="5"/>
      <c r="AX225" s="132"/>
      <c r="AY225" s="5"/>
      <c r="AZ225" s="5"/>
      <c r="BA225" s="5"/>
      <c r="BB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S225" s="6"/>
      <c r="BT225" s="6"/>
    </row>
    <row r="226" s="4" customFormat="1" ht="6" customHeight="1">
      <c r="C226" s="133" t="s">
        <v>72</v>
      </c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23"/>
      <c r="O226" s="123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34"/>
      <c r="AC226" s="135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  <c r="AO226" s="5"/>
      <c r="AP226" s="5"/>
      <c r="AQ226" s="136" t="s">
        <v>73</v>
      </c>
      <c r="AR226" s="5"/>
      <c r="AS226" s="5"/>
      <c r="AT226" s="5"/>
      <c r="AU226" s="5"/>
      <c r="AV226" s="5"/>
      <c r="AW226" s="5"/>
      <c r="AX226" s="137" t="s">
        <v>70</v>
      </c>
      <c r="AY226" s="5"/>
      <c r="AZ226" s="91"/>
      <c r="BB226" s="115">
        <f>IF($AX226=$BB$222,$BB$223,0)</f>
        <v>0</v>
      </c>
      <c r="BC226" s="115">
        <f>IF($AX226=$BC$222,$BC$223,0)</f>
        <v>94</v>
      </c>
      <c r="BD226" s="138">
        <f>IF($AZ226=$BS$178,$BS$179,0)</f>
        <v>0</v>
      </c>
      <c r="BE226" s="115">
        <f>IF($AZ226=$BT$178,$BT$179,0)</f>
        <v>0</v>
      </c>
      <c r="BH226" s="115">
        <f>SUM(BB226:BC227)</f>
        <v>94</v>
      </c>
      <c r="BJ226" s="115">
        <v>50</v>
      </c>
      <c r="BK226" s="5"/>
      <c r="BL226" s="115">
        <f>SUM(BD226:BE227)</f>
        <v>0</v>
      </c>
      <c r="BN226" s="115">
        <v>50</v>
      </c>
      <c r="BO226" s="5"/>
      <c r="BP226" s="5"/>
      <c r="BQ226" s="5"/>
      <c r="BR226" s="5"/>
      <c r="BS226" s="6"/>
      <c r="BT226" s="6"/>
    </row>
    <row r="227" s="4" customFormat="1" ht="6" customHeight="1"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23"/>
      <c r="O227" s="123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34"/>
      <c r="AC227" s="135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  <c r="AO227" s="5"/>
      <c r="AP227" s="5"/>
      <c r="AQ227" s="139"/>
      <c r="AR227" s="5"/>
      <c r="AS227" s="5"/>
      <c r="AT227" s="5"/>
      <c r="AU227" s="5"/>
      <c r="AV227" s="5"/>
      <c r="AW227" s="5"/>
      <c r="AX227" s="137"/>
      <c r="AY227" s="5"/>
      <c r="AZ227" s="91"/>
      <c r="BB227" s="115"/>
      <c r="BC227" s="115"/>
      <c r="BD227" s="138"/>
      <c r="BE227" s="115"/>
      <c r="BH227" s="115"/>
      <c r="BJ227" s="115"/>
      <c r="BK227" s="5"/>
      <c r="BL227" s="115"/>
      <c r="BN227" s="115"/>
      <c r="BO227" s="5"/>
      <c r="BP227" s="5"/>
      <c r="BS227" s="6"/>
      <c r="BT227" s="6"/>
    </row>
    <row r="228" s="4" customFormat="1" ht="3" customHeight="1">
      <c r="C228" s="5"/>
      <c r="D228" s="5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0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  <c r="AO228" s="5"/>
      <c r="AP228" s="5"/>
      <c r="AQ228" s="5"/>
      <c r="AR228" s="5"/>
      <c r="AS228" s="5"/>
      <c r="AT228" s="5"/>
      <c r="AU228" s="5"/>
      <c r="AV228" s="5"/>
      <c r="AW228" s="5"/>
      <c r="AX228" s="141"/>
      <c r="AY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S228" s="6"/>
      <c r="BT228" s="6"/>
      <c r="BZ228" s="5"/>
      <c r="CA228" s="5"/>
      <c r="CB228" s="5"/>
      <c r="CC228" s="5"/>
      <c r="CD228" s="5"/>
      <c r="CE228" s="5"/>
      <c r="CF228" s="5"/>
      <c r="CG228" s="5"/>
    </row>
    <row r="229" s="4" customFormat="1" ht="6" customHeight="1">
      <c r="C229" s="5"/>
      <c r="D229" s="5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141"/>
      <c r="AY229" s="5"/>
      <c r="BD229" s="5"/>
      <c r="BE229" s="5"/>
      <c r="BF229" s="5"/>
      <c r="BG229" s="5"/>
      <c r="BH229" s="5"/>
      <c r="BI229" s="5"/>
      <c r="BJ229" s="5"/>
      <c r="BS229" s="6"/>
      <c r="BT229" s="6"/>
      <c r="BU229" s="5"/>
      <c r="BV229" s="5"/>
      <c r="BW229" s="5"/>
      <c r="BX229" s="5"/>
      <c r="BY229" s="5"/>
      <c r="BZ229" s="5"/>
    </row>
    <row r="230" s="4" customFormat="1" ht="6.6" customHeight="1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142"/>
      <c r="O230" s="142"/>
      <c r="P230" s="119"/>
      <c r="Q230" s="119"/>
      <c r="R230" s="119"/>
      <c r="V230" s="5"/>
      <c r="W230" s="118"/>
      <c r="X230" s="5"/>
      <c r="Y230" s="5"/>
      <c r="AA230" s="5"/>
      <c r="AB230" s="119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141"/>
      <c r="AY230" s="5"/>
      <c r="BD230" s="5"/>
      <c r="BE230" s="5"/>
      <c r="BF230" s="5"/>
      <c r="BG230" s="5"/>
      <c r="BH230" s="5"/>
      <c r="BI230" s="5"/>
      <c r="BJ230" s="5"/>
      <c r="BS230" s="119"/>
      <c r="BT230" s="119"/>
      <c r="BU230" s="119"/>
      <c r="BV230" s="119"/>
      <c r="BW230" s="119"/>
      <c r="BX230" s="119"/>
      <c r="BY230" s="119"/>
      <c r="BZ230" s="119"/>
    </row>
    <row r="231" s="4" customFormat="1" ht="3" customHeight="1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140"/>
      <c r="O231" s="14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0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  <c r="AO231" s="5"/>
      <c r="AP231" s="5"/>
      <c r="AQ231" s="5"/>
      <c r="AR231" s="5"/>
      <c r="AS231" s="5"/>
      <c r="AT231" s="5"/>
      <c r="AU231" s="5"/>
      <c r="AV231" s="5"/>
      <c r="AW231" s="5"/>
      <c r="AX231" s="141"/>
      <c r="AY231" s="5"/>
      <c r="BD231" s="5"/>
      <c r="BE231" s="5"/>
      <c r="BF231" s="5"/>
      <c r="BG231" s="5"/>
      <c r="BH231" s="5"/>
      <c r="BI231" s="5"/>
      <c r="BJ231" s="5"/>
      <c r="BS231" s="5"/>
      <c r="BW231" s="5"/>
      <c r="BX231" s="5"/>
    </row>
    <row r="232" s="4" customFormat="1" ht="6" customHeight="1">
      <c r="C232" s="133" t="s">
        <v>74</v>
      </c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23"/>
      <c r="O232" s="123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34"/>
      <c r="AC232" s="135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  <c r="AO232" s="5"/>
      <c r="AP232" s="5"/>
      <c r="AQ232" s="136" t="s">
        <v>73</v>
      </c>
      <c r="AR232" s="5"/>
      <c r="AS232" s="5"/>
      <c r="AT232" s="5"/>
      <c r="AU232" s="5"/>
      <c r="AV232" s="5"/>
      <c r="AW232" s="5"/>
      <c r="AX232" s="137" t="s">
        <v>52</v>
      </c>
      <c r="AY232" s="5"/>
      <c r="AZ232" s="91"/>
      <c r="BB232" s="115">
        <f>IF($AX232=$BB$222,$BB$223,0)</f>
        <v>7</v>
      </c>
      <c r="BC232" s="115">
        <f>IF($AX232=$BC$222,$BC$223,0)</f>
        <v>0</v>
      </c>
      <c r="BD232" s="138">
        <f>IF($AZ232=$BS$178,$BS$179,0)</f>
        <v>0</v>
      </c>
      <c r="BE232" s="115">
        <f>IF($AZ232=$BT$178,$BT$179,0)</f>
        <v>0</v>
      </c>
      <c r="BH232" s="115">
        <f>SUM(BB232:BC233)</f>
        <v>7</v>
      </c>
      <c r="BJ232" s="115">
        <v>60</v>
      </c>
      <c r="BK232" s="5"/>
      <c r="BL232" s="115">
        <f>SUM(BD232:BE233)</f>
        <v>0</v>
      </c>
      <c r="BN232" s="115">
        <v>50</v>
      </c>
    </row>
    <row r="233" s="4" customFormat="1" ht="6" customHeight="1"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23"/>
      <c r="O233" s="123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34"/>
      <c r="AC233" s="135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  <c r="AO233" s="5"/>
      <c r="AP233" s="5"/>
      <c r="AQ233" s="139"/>
      <c r="AR233" s="5"/>
      <c r="AS233" s="5"/>
      <c r="AT233" s="5"/>
      <c r="AU233" s="5"/>
      <c r="AV233" s="5"/>
      <c r="AW233" s="5"/>
      <c r="AX233" s="137"/>
      <c r="AY233" s="5"/>
      <c r="AZ233" s="91"/>
      <c r="BB233" s="115"/>
      <c r="BC233" s="115"/>
      <c r="BD233" s="138"/>
      <c r="BE233" s="115"/>
      <c r="BH233" s="115"/>
      <c r="BJ233" s="115"/>
      <c r="BK233" s="5"/>
      <c r="BL233" s="115"/>
      <c r="BN233" s="115"/>
    </row>
    <row r="234" s="4" customFormat="1" ht="3" customHeight="1">
      <c r="C234" s="143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140"/>
      <c r="O234" s="14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  <c r="AO234" s="5"/>
      <c r="AP234" s="5"/>
      <c r="AQ234" s="5"/>
      <c r="AR234" s="5"/>
      <c r="AS234" s="5"/>
      <c r="AT234" s="5"/>
      <c r="AU234" s="5"/>
      <c r="AV234" s="5"/>
      <c r="AW234" s="5"/>
      <c r="AX234" s="141"/>
      <c r="BD234" s="5"/>
      <c r="BE234" s="5"/>
      <c r="BF234" s="5"/>
      <c r="BG234" s="5"/>
      <c r="BH234" s="5"/>
      <c r="BI234" s="5"/>
      <c r="BJ234" s="5"/>
      <c r="BS234" s="5"/>
      <c r="BT234" s="5"/>
      <c r="BU234" s="5"/>
      <c r="BV234" s="5"/>
      <c r="BW234" s="5"/>
      <c r="BX234" s="5"/>
      <c r="BY234" s="5"/>
      <c r="BZ234" s="5"/>
    </row>
    <row r="235" s="4" customFormat="1" ht="6" customHeight="1"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140"/>
      <c r="O235" s="140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141"/>
      <c r="BD235" s="5"/>
      <c r="BE235" s="5"/>
      <c r="BF235" s="5"/>
      <c r="BG235" s="5"/>
      <c r="BS235" s="5"/>
      <c r="BT235" s="5"/>
      <c r="BU235" s="5"/>
      <c r="BV235" s="5"/>
      <c r="BW235" s="5"/>
      <c r="BX235" s="5"/>
      <c r="BY235" s="5"/>
      <c r="BZ235" s="5"/>
    </row>
    <row r="236" s="4" customFormat="1" ht="6.6" customHeight="1">
      <c r="C236" s="143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142"/>
      <c r="O236" s="142"/>
      <c r="P236" s="119"/>
      <c r="Q236" s="119"/>
      <c r="R236" s="119"/>
      <c r="V236" s="5"/>
      <c r="W236" s="118"/>
      <c r="X236" s="5"/>
      <c r="Y236" s="5"/>
      <c r="AA236" s="5"/>
      <c r="AB236" s="119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141"/>
      <c r="BD236" s="5"/>
      <c r="BE236" s="5"/>
      <c r="BF236" s="5"/>
      <c r="BG236" s="5"/>
      <c r="BS236" s="119"/>
      <c r="BT236" s="119"/>
      <c r="BU236" s="119"/>
      <c r="BV236" s="119"/>
      <c r="BW236" s="119"/>
      <c r="BX236" s="119"/>
      <c r="BY236" s="119"/>
      <c r="BZ236" s="119"/>
    </row>
    <row r="237" s="4" customFormat="1" ht="3" customHeight="1">
      <c r="C237" s="143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140"/>
      <c r="O237" s="14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  <c r="AC237" s="120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  <c r="AO237" s="5"/>
      <c r="AP237" s="5"/>
      <c r="AQ237" s="5"/>
      <c r="AR237" s="5"/>
      <c r="AS237" s="5"/>
      <c r="AT237" s="5"/>
      <c r="AU237" s="5"/>
      <c r="AV237" s="5"/>
      <c r="AW237" s="5"/>
      <c r="AX237" s="141"/>
      <c r="BD237" s="5"/>
      <c r="BE237" s="5"/>
      <c r="BF237" s="5"/>
      <c r="BG237" s="5"/>
      <c r="BS237" s="5"/>
      <c r="BW237" s="5"/>
      <c r="BX237" s="5"/>
    </row>
    <row r="238" s="4" customFormat="1" ht="6" customHeight="1">
      <c r="C238" s="133" t="s">
        <v>75</v>
      </c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23"/>
      <c r="O238" s="123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34"/>
      <c r="AC238" s="135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  <c r="AO238" s="5"/>
      <c r="AP238" s="5"/>
      <c r="AQ238" s="136" t="s">
        <v>76</v>
      </c>
      <c r="AR238" s="5"/>
      <c r="AS238" s="5"/>
      <c r="AT238" s="5"/>
      <c r="AU238" s="5"/>
      <c r="AV238" s="5"/>
      <c r="AW238" s="5"/>
      <c r="AX238" s="137" t="s">
        <v>52</v>
      </c>
      <c r="AZ238" s="91"/>
      <c r="BB238" s="115">
        <f>IF($AX238=$BB$222,$BB$223,0)</f>
        <v>7</v>
      </c>
      <c r="BC238" s="115">
        <f>IF($AX238=$BC$222,$BC$223,0)</f>
        <v>0</v>
      </c>
      <c r="BD238" s="138">
        <f>IF($AZ238=$BS$178,$BS$179,0)</f>
        <v>0</v>
      </c>
      <c r="BE238" s="115">
        <f>IF($AZ238=$BT$178,$BT$179,0)</f>
        <v>0</v>
      </c>
      <c r="BH238" s="115">
        <f>SUM(BB238:BC239)</f>
        <v>7</v>
      </c>
      <c r="BJ238" s="115">
        <v>60</v>
      </c>
      <c r="BK238" s="5"/>
      <c r="BL238" s="115">
        <f>SUM(BD238:BE239)</f>
        <v>0</v>
      </c>
      <c r="BN238" s="115">
        <v>50</v>
      </c>
    </row>
    <row r="239" s="4" customFormat="1" ht="6" customHeight="1"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23"/>
      <c r="O239" s="123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34"/>
      <c r="AC239" s="135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  <c r="AO239" s="5"/>
      <c r="AP239" s="5"/>
      <c r="AQ239" s="139"/>
      <c r="AR239" s="5"/>
      <c r="AS239" s="5"/>
      <c r="AT239" s="5"/>
      <c r="AU239" s="5"/>
      <c r="AV239" s="5"/>
      <c r="AW239" s="5"/>
      <c r="AX239" s="137"/>
      <c r="AZ239" s="91"/>
      <c r="BB239" s="115"/>
      <c r="BC239" s="115"/>
      <c r="BD239" s="138"/>
      <c r="BE239" s="115"/>
      <c r="BH239" s="115"/>
      <c r="BJ239" s="115"/>
      <c r="BK239" s="5"/>
      <c r="BL239" s="115"/>
      <c r="BN239" s="115"/>
    </row>
    <row r="240" s="4" customFormat="1" ht="3" customHeight="1">
      <c r="C240" s="143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140"/>
      <c r="O240" s="14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  <c r="AC240" s="120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  <c r="AO240" s="5"/>
      <c r="AP240" s="5"/>
      <c r="AQ240" s="5"/>
      <c r="AR240" s="5"/>
      <c r="AS240" s="5"/>
      <c r="AT240" s="5"/>
      <c r="AU240" s="5"/>
      <c r="AV240" s="5"/>
      <c r="AW240" s="5"/>
      <c r="AX240" s="141"/>
      <c r="BD240" s="5"/>
      <c r="BE240" s="5"/>
      <c r="BF240" s="5"/>
      <c r="BG240" s="5"/>
      <c r="BS240" s="5"/>
      <c r="BT240" s="5"/>
      <c r="BU240" s="5"/>
      <c r="BV240" s="5"/>
      <c r="BW240" s="5"/>
      <c r="BX240" s="5"/>
      <c r="BY240" s="5"/>
      <c r="BZ240" s="5"/>
    </row>
    <row r="241" s="4" customFormat="1" ht="6" customHeight="1"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140"/>
      <c r="O241" s="140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141"/>
      <c r="BD241" s="5"/>
      <c r="BE241" s="5"/>
      <c r="BF241" s="5"/>
      <c r="BG241" s="5"/>
      <c r="BS241" s="5"/>
      <c r="BT241" s="5"/>
      <c r="BU241" s="5"/>
      <c r="BV241" s="5"/>
      <c r="BW241" s="5"/>
      <c r="BX241" s="5"/>
      <c r="BY241" s="5"/>
      <c r="BZ241" s="5"/>
    </row>
    <row r="242" s="4" customFormat="1" ht="6.6" customHeight="1">
      <c r="C242" s="143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142"/>
      <c r="O242" s="142"/>
      <c r="P242" s="119"/>
      <c r="Q242" s="119"/>
      <c r="R242" s="119"/>
      <c r="V242" s="5"/>
      <c r="W242" s="118"/>
      <c r="X242" s="5"/>
      <c r="Y242" s="5"/>
      <c r="AA242" s="5"/>
      <c r="AB242" s="119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141"/>
      <c r="BD242" s="5"/>
      <c r="BE242" s="5"/>
      <c r="BF242" s="5"/>
      <c r="BG242" s="5"/>
      <c r="BS242" s="119"/>
      <c r="BT242" s="119"/>
      <c r="BU242" s="119"/>
      <c r="BV242" s="119"/>
      <c r="BW242" s="119"/>
      <c r="BX242" s="119"/>
      <c r="BY242" s="119"/>
      <c r="BZ242" s="119"/>
    </row>
    <row r="243" s="4" customFormat="1" ht="3" customHeight="1">
      <c r="C243" s="143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140"/>
      <c r="O243" s="14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  <c r="AO243" s="5"/>
      <c r="AP243" s="5"/>
      <c r="AQ243" s="5"/>
      <c r="AR243" s="5"/>
      <c r="AS243" s="5"/>
      <c r="AT243" s="5"/>
      <c r="AU243" s="5"/>
      <c r="AV243" s="5"/>
      <c r="AW243" s="5"/>
      <c r="AX243" s="141"/>
      <c r="BD243" s="5"/>
      <c r="BE243" s="5"/>
      <c r="BF243" s="5"/>
      <c r="BG243" s="5"/>
      <c r="BS243" s="5"/>
      <c r="BW243" s="5"/>
      <c r="BX243" s="5"/>
    </row>
    <row r="244" s="4" customFormat="1" ht="6" customHeight="1">
      <c r="C244" s="133" t="s">
        <v>77</v>
      </c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23"/>
      <c r="O244" s="123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34"/>
      <c r="AC244" s="135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  <c r="AO244" s="5"/>
      <c r="AP244" s="5"/>
      <c r="AQ244" s="136" t="s">
        <v>78</v>
      </c>
      <c r="AR244" s="5"/>
      <c r="AS244" s="5"/>
      <c r="AT244" s="5"/>
      <c r="AU244" s="5"/>
      <c r="AV244" s="5"/>
      <c r="AW244" s="5"/>
      <c r="AX244" s="137" t="s">
        <v>52</v>
      </c>
      <c r="AZ244" s="91"/>
      <c r="BB244" s="115">
        <f>IF($AX244=$BB$222,$BB$223,0)</f>
        <v>7</v>
      </c>
      <c r="BC244" s="115">
        <f>IF($AX244=$BC$222,$BC$223,0)</f>
        <v>0</v>
      </c>
      <c r="BD244" s="138">
        <f>IF($AZ244=$BS$178,$BS$179,0)</f>
        <v>0</v>
      </c>
      <c r="BE244" s="115">
        <f>IF($AZ244=$BT$178,$BT$179,0)</f>
        <v>0</v>
      </c>
      <c r="BH244" s="115">
        <f>SUM(BB244:BC245)</f>
        <v>7</v>
      </c>
      <c r="BJ244" s="115">
        <v>60</v>
      </c>
      <c r="BK244" s="5"/>
      <c r="BL244" s="115">
        <f>SUM(BD244:BE245)</f>
        <v>0</v>
      </c>
      <c r="BN244" s="115">
        <v>50</v>
      </c>
    </row>
    <row r="245" s="4" customFormat="1" ht="6" customHeight="1"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23"/>
      <c r="O245" s="123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34"/>
      <c r="AC245" s="135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  <c r="AO245" s="5"/>
      <c r="AP245" s="5"/>
      <c r="AQ245" s="139"/>
      <c r="AR245" s="5"/>
      <c r="AS245" s="5"/>
      <c r="AT245" s="5"/>
      <c r="AU245" s="5"/>
      <c r="AV245" s="5"/>
      <c r="AW245" s="5"/>
      <c r="AX245" s="137"/>
      <c r="AZ245" s="91"/>
      <c r="BB245" s="115"/>
      <c r="BC245" s="115"/>
      <c r="BD245" s="138"/>
      <c r="BE245" s="115"/>
      <c r="BH245" s="115"/>
      <c r="BJ245" s="115"/>
      <c r="BK245" s="5"/>
      <c r="BL245" s="115"/>
      <c r="BN245" s="115"/>
    </row>
    <row r="246" s="4" customFormat="1" ht="3" customHeight="1">
      <c r="C246" s="143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140"/>
      <c r="O246" s="14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0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  <c r="AO246" s="5"/>
      <c r="AP246" s="5"/>
      <c r="AQ246" s="5"/>
      <c r="AR246" s="5"/>
      <c r="AS246" s="5"/>
      <c r="AT246" s="5"/>
      <c r="AU246" s="5"/>
      <c r="AV246" s="5"/>
      <c r="AW246" s="5"/>
      <c r="AX246" s="141"/>
      <c r="BD246" s="5"/>
      <c r="BE246" s="5"/>
      <c r="BF246" s="5"/>
      <c r="BG246" s="5"/>
      <c r="BS246" s="5"/>
      <c r="BT246" s="5"/>
      <c r="BU246" s="5"/>
      <c r="BV246" s="5"/>
      <c r="BW246" s="5"/>
      <c r="BX246" s="5"/>
      <c r="BY246" s="5"/>
      <c r="BZ246" s="5"/>
    </row>
    <row r="247" s="4" customFormat="1" ht="6" customHeight="1"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140"/>
      <c r="O247" s="140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141"/>
      <c r="BD247" s="5"/>
      <c r="BE247" s="5"/>
      <c r="BF247" s="5"/>
      <c r="BG247" s="5"/>
      <c r="BS247" s="5"/>
      <c r="BT247" s="5"/>
      <c r="BU247" s="5"/>
      <c r="BV247" s="5"/>
      <c r="BW247" s="5"/>
      <c r="BX247" s="5"/>
      <c r="BY247" s="5"/>
      <c r="BZ247" s="5"/>
    </row>
    <row r="248" s="4" customFormat="1" ht="6.6" customHeight="1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119"/>
      <c r="O248" s="119"/>
      <c r="P248" s="119"/>
      <c r="Q248" s="119"/>
      <c r="U248" s="5"/>
      <c r="V248" s="118"/>
      <c r="W248" s="5"/>
      <c r="X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141"/>
      <c r="BD248" s="5"/>
      <c r="BE248" s="5"/>
      <c r="BF248" s="5"/>
      <c r="BG248" s="5"/>
    </row>
    <row r="249" s="4" customFormat="1" ht="3" customHeight="1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  <c r="AO249" s="5"/>
      <c r="AP249" s="5"/>
      <c r="AQ249" s="5"/>
      <c r="AR249" s="5"/>
      <c r="AS249" s="5"/>
      <c r="AT249" s="5"/>
      <c r="AU249" s="5"/>
      <c r="AV249" s="5"/>
      <c r="AW249" s="5"/>
      <c r="AX249" s="141"/>
      <c r="BD249" s="5"/>
      <c r="BE249" s="5"/>
      <c r="BF249" s="5"/>
      <c r="BG249" s="5"/>
    </row>
    <row r="250" s="4" customFormat="1" ht="6" customHeight="1">
      <c r="C250" s="133" t="s">
        <v>79</v>
      </c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23"/>
      <c r="O250" s="123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34"/>
      <c r="AC250" s="135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  <c r="AO250" s="5"/>
      <c r="AP250" s="5"/>
      <c r="AQ250" s="136" t="s">
        <v>73</v>
      </c>
      <c r="AR250" s="5"/>
      <c r="AS250" s="5"/>
      <c r="AT250" s="5"/>
      <c r="AU250" s="5"/>
      <c r="AV250" s="5"/>
      <c r="AW250" s="5"/>
      <c r="AX250" s="137" t="s">
        <v>52</v>
      </c>
      <c r="AZ250" s="91"/>
      <c r="BB250" s="115">
        <f>IF($AX250=$BB$222,$BB$223,0)</f>
        <v>7</v>
      </c>
      <c r="BC250" s="115">
        <f>IF($AX250=$BC$222,$BC$223,0)</f>
        <v>0</v>
      </c>
      <c r="BD250" s="138">
        <f>IF($AZ250=$BS$178,$BS$179,0)</f>
        <v>0</v>
      </c>
      <c r="BE250" s="115">
        <f>IF($AZ250=$BT$178,$BT$179,0)</f>
        <v>0</v>
      </c>
      <c r="BH250" s="115">
        <f>SUM(BB250:BC251)</f>
        <v>7</v>
      </c>
      <c r="BJ250" s="115">
        <v>60</v>
      </c>
      <c r="BK250" s="5"/>
      <c r="BL250" s="115">
        <f>SUM(BD250:BE251)</f>
        <v>0</v>
      </c>
      <c r="BN250" s="115">
        <v>50</v>
      </c>
    </row>
    <row r="251" s="4" customFormat="1" ht="6" customHeight="1"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23"/>
      <c r="O251" s="123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34"/>
      <c r="AC251" s="135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  <c r="AO251" s="5"/>
      <c r="AP251" s="5"/>
      <c r="AQ251" s="139"/>
      <c r="AR251" s="5"/>
      <c r="AS251" s="5"/>
      <c r="AT251" s="5"/>
      <c r="AU251" s="5"/>
      <c r="AV251" s="5"/>
      <c r="AW251" s="5"/>
      <c r="AX251" s="137"/>
      <c r="AZ251" s="91"/>
      <c r="BB251" s="115"/>
      <c r="BC251" s="115"/>
      <c r="BD251" s="138"/>
      <c r="BE251" s="115"/>
      <c r="BH251" s="115"/>
      <c r="BJ251" s="115"/>
      <c r="BK251" s="5"/>
      <c r="BL251" s="115"/>
      <c r="BN251" s="115"/>
    </row>
    <row r="252" s="4" customFormat="1" ht="3" customHeight="1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140"/>
      <c r="O252" s="14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0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  <c r="AO252" s="5"/>
      <c r="AP252" s="5"/>
      <c r="AQ252" s="5"/>
      <c r="AR252" s="5"/>
      <c r="AS252" s="5"/>
      <c r="AT252" s="5"/>
      <c r="AU252" s="5"/>
      <c r="AV252" s="5"/>
      <c r="AW252" s="5"/>
      <c r="AX252" s="141"/>
      <c r="BD252" s="5"/>
      <c r="BE252" s="5"/>
      <c r="BF252" s="5"/>
      <c r="BG252" s="5"/>
      <c r="BS252" s="5"/>
      <c r="BT252" s="5"/>
      <c r="BU252" s="5"/>
      <c r="BV252" s="5"/>
      <c r="BW252" s="5"/>
      <c r="BX252" s="5"/>
      <c r="BY252" s="5"/>
      <c r="BZ252" s="5"/>
    </row>
    <row r="253" s="4" customFormat="1" ht="6" customHeight="1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140"/>
      <c r="O253" s="140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141"/>
      <c r="BD253" s="5"/>
      <c r="BE253" s="5"/>
      <c r="BF253" s="5"/>
      <c r="BG253" s="5"/>
      <c r="BS253" s="5"/>
      <c r="BT253" s="5"/>
      <c r="BU253" s="5"/>
      <c r="BV253" s="5"/>
      <c r="BW253" s="5"/>
      <c r="BX253" s="5"/>
      <c r="BY253" s="5"/>
      <c r="BZ253" s="5"/>
    </row>
    <row r="254" s="4" customFormat="1" ht="6.6" customHeight="1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142"/>
      <c r="O254" s="142"/>
      <c r="P254" s="119"/>
      <c r="Q254" s="119"/>
      <c r="R254" s="119"/>
      <c r="V254" s="5"/>
      <c r="W254" s="118"/>
      <c r="X254" s="5"/>
      <c r="Y254" s="5"/>
      <c r="AA254" s="5"/>
      <c r="AB254" s="119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141"/>
      <c r="BD254" s="5"/>
      <c r="BE254" s="5"/>
      <c r="BF254" s="5"/>
      <c r="BG254" s="5"/>
      <c r="BS254" s="119"/>
      <c r="BT254" s="119"/>
      <c r="BU254" s="119"/>
      <c r="BV254" s="119"/>
      <c r="BW254" s="119"/>
      <c r="BX254" s="119"/>
      <c r="BY254" s="119"/>
      <c r="BZ254" s="119"/>
    </row>
    <row r="255" s="4" customFormat="1" ht="3" customHeight="1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140"/>
      <c r="O255" s="14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  <c r="AC255" s="120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  <c r="AO255" s="5"/>
      <c r="AP255" s="5"/>
      <c r="AQ255" s="5"/>
      <c r="AR255" s="5"/>
      <c r="AS255" s="5"/>
      <c r="AT255" s="5"/>
      <c r="AU255" s="5"/>
      <c r="AV255" s="5"/>
      <c r="AW255" s="5"/>
      <c r="AX255" s="141"/>
      <c r="BD255" s="5"/>
      <c r="BE255" s="5"/>
      <c r="BF255" s="5"/>
      <c r="BG255" s="5"/>
      <c r="BS255" s="5"/>
      <c r="BW255" s="5"/>
      <c r="BX255" s="5"/>
    </row>
    <row r="256" s="4" customFormat="1" ht="6" customHeight="1">
      <c r="C256" s="133" t="s">
        <v>80</v>
      </c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23"/>
      <c r="O256" s="123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34"/>
      <c r="AC256" s="135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  <c r="AO256" s="5"/>
      <c r="AP256" s="5"/>
      <c r="AQ256" s="136" t="s">
        <v>76</v>
      </c>
      <c r="AR256" s="5"/>
      <c r="AS256" s="5"/>
      <c r="AT256" s="5"/>
      <c r="AU256" s="5"/>
      <c r="AV256" s="5"/>
      <c r="AW256" s="5"/>
      <c r="AX256" s="137" t="s">
        <v>70</v>
      </c>
      <c r="AZ256" s="91"/>
      <c r="BB256" s="115">
        <f>IF($AX256=$BB$222,$BB$223,0)</f>
        <v>0</v>
      </c>
      <c r="BC256" s="115">
        <f>IF($AX256=$BC$222,$BC$223,0)</f>
        <v>94</v>
      </c>
      <c r="BD256" s="138">
        <f>IF($AZ256=$BS$178,$BS$179,0)</f>
        <v>0</v>
      </c>
      <c r="BE256" s="115">
        <f>IF($AZ256=$BT$178,$BT$179,0)</f>
        <v>0</v>
      </c>
      <c r="BH256" s="115">
        <f>SUM(BB256:BC257)</f>
        <v>94</v>
      </c>
      <c r="BJ256" s="115">
        <v>60</v>
      </c>
      <c r="BK256" s="5"/>
      <c r="BL256" s="115">
        <f>SUM(BD256:BE257)</f>
        <v>0</v>
      </c>
      <c r="BN256" s="115">
        <v>50</v>
      </c>
    </row>
    <row r="257" s="4" customFormat="1" ht="6" customHeight="1"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23"/>
      <c r="O257" s="123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  <c r="AB257" s="134"/>
      <c r="AC257" s="135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  <c r="AO257" s="5"/>
      <c r="AP257" s="5"/>
      <c r="AQ257" s="139"/>
      <c r="AR257" s="5"/>
      <c r="AS257" s="5"/>
      <c r="AT257" s="5"/>
      <c r="AU257" s="5"/>
      <c r="AV257" s="5"/>
      <c r="AW257" s="5"/>
      <c r="AX257" s="137"/>
      <c r="AZ257" s="91"/>
      <c r="BB257" s="115"/>
      <c r="BC257" s="115"/>
      <c r="BD257" s="138"/>
      <c r="BE257" s="115"/>
      <c r="BH257" s="115"/>
      <c r="BJ257" s="115"/>
      <c r="BK257" s="5"/>
      <c r="BL257" s="115"/>
      <c r="BN257" s="115"/>
    </row>
    <row r="258" s="4" customFormat="1" ht="3" customHeight="1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140"/>
      <c r="O258" s="14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  <c r="AB258" s="120"/>
      <c r="AC258" s="120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  <c r="AO258" s="5"/>
      <c r="AP258" s="5"/>
      <c r="AQ258" s="5"/>
      <c r="AR258" s="5"/>
      <c r="AS258" s="5"/>
      <c r="AT258" s="5"/>
      <c r="AU258" s="5"/>
      <c r="AV258" s="5"/>
      <c r="AW258" s="5"/>
      <c r="AX258" s="141"/>
      <c r="BC258" s="5"/>
      <c r="BD258" s="5"/>
      <c r="BE258" s="5"/>
      <c r="BF258" s="5"/>
      <c r="BG258" s="5"/>
      <c r="BS258" s="5"/>
      <c r="BT258" s="5"/>
      <c r="BU258" s="5"/>
      <c r="BV258" s="5"/>
      <c r="BW258" s="5"/>
      <c r="BX258" s="5"/>
      <c r="BY258" s="5"/>
      <c r="BZ258" s="5"/>
    </row>
    <row r="259" s="4" customFormat="1" ht="6" customHeight="1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140"/>
      <c r="O259" s="140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141"/>
      <c r="BC259" s="5"/>
      <c r="BD259" s="5"/>
      <c r="BE259" s="5"/>
      <c r="BF259" s="5"/>
      <c r="BG259" s="5"/>
      <c r="BS259" s="5"/>
      <c r="BT259" s="5"/>
      <c r="BU259" s="5"/>
      <c r="BV259" s="5"/>
      <c r="BW259" s="5"/>
      <c r="BX259" s="5"/>
      <c r="BY259" s="5"/>
      <c r="BZ259" s="5"/>
    </row>
    <row r="260" s="4" customFormat="1" ht="6.6" customHeight="1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142"/>
      <c r="O260" s="142"/>
      <c r="P260" s="119"/>
      <c r="Q260" s="119"/>
      <c r="R260" s="119"/>
      <c r="V260" s="5"/>
      <c r="W260" s="118"/>
      <c r="X260" s="5"/>
      <c r="Y260" s="5"/>
      <c r="AA260" s="5"/>
      <c r="AB260" s="119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141"/>
      <c r="BC260" s="5"/>
      <c r="BD260" s="5"/>
      <c r="BE260" s="5"/>
      <c r="BF260" s="5"/>
      <c r="BG260" s="5"/>
      <c r="BS260" s="119"/>
      <c r="BT260" s="119"/>
      <c r="BU260" s="119"/>
      <c r="BV260" s="119"/>
      <c r="BW260" s="119"/>
      <c r="BX260" s="119"/>
      <c r="BY260" s="119"/>
      <c r="BZ260" s="119"/>
    </row>
    <row r="261" s="4" customFormat="1" ht="3" customHeight="1"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140"/>
      <c r="O261" s="14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  <c r="AC261" s="120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  <c r="AO261" s="5"/>
      <c r="AP261" s="5"/>
      <c r="AQ261" s="5"/>
      <c r="AR261" s="5"/>
      <c r="AS261" s="5"/>
      <c r="AT261" s="5"/>
      <c r="AU261" s="5"/>
      <c r="AV261" s="5"/>
      <c r="AW261" s="5"/>
      <c r="AX261" s="141"/>
      <c r="BC261" s="5"/>
      <c r="BD261" s="5"/>
      <c r="BE261" s="5"/>
      <c r="BF261" s="5"/>
      <c r="BG261" s="5"/>
      <c r="BS261" s="5"/>
      <c r="BW261" s="5"/>
      <c r="BX261" s="5"/>
    </row>
    <row r="262" s="4" customFormat="1" ht="6" customHeight="1">
      <c r="C262" s="133" t="s">
        <v>81</v>
      </c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23"/>
      <c r="O262" s="123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  <c r="AB262" s="134"/>
      <c r="AC262" s="135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  <c r="AO262" s="5"/>
      <c r="AP262" s="5"/>
      <c r="AQ262" s="136" t="s">
        <v>78</v>
      </c>
      <c r="AR262" s="5"/>
      <c r="AS262" s="5"/>
      <c r="AT262" s="5"/>
      <c r="AU262" s="5"/>
      <c r="AV262" s="5"/>
      <c r="AW262" s="5"/>
      <c r="AX262" s="137" t="s">
        <v>52</v>
      </c>
      <c r="AZ262" s="91"/>
      <c r="BB262" s="115">
        <f>IF($AX262=$BB$222,$BB$223,0)</f>
        <v>7</v>
      </c>
      <c r="BC262" s="115">
        <f>IF($AX262=$BC$222,$BC$223,0)</f>
        <v>0</v>
      </c>
      <c r="BD262" s="138">
        <f>IF($AZ262=$BS$178,$BS$179,0)</f>
        <v>0</v>
      </c>
      <c r="BE262" s="115">
        <f>IF($AZ262=$BT$178,$BT$179,0)</f>
        <v>0</v>
      </c>
      <c r="BH262" s="115">
        <f>SUM(BB262:BC263)</f>
        <v>7</v>
      </c>
      <c r="BJ262" s="115">
        <v>60</v>
      </c>
      <c r="BK262" s="5"/>
      <c r="BL262" s="115">
        <f>SUM(BD262:BE263)</f>
        <v>0</v>
      </c>
      <c r="BN262" s="115">
        <v>50</v>
      </c>
    </row>
    <row r="263" s="4" customFormat="1" ht="6" customHeight="1"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23"/>
      <c r="O263" s="123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34"/>
      <c r="AC263" s="135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  <c r="AO263" s="5"/>
      <c r="AP263" s="5"/>
      <c r="AQ263" s="139"/>
      <c r="AR263" s="5"/>
      <c r="AS263" s="5"/>
      <c r="AT263" s="5"/>
      <c r="AU263" s="5"/>
      <c r="AV263" s="5"/>
      <c r="AW263" s="5"/>
      <c r="AX263" s="137"/>
      <c r="AZ263" s="91"/>
      <c r="BB263" s="115"/>
      <c r="BC263" s="115"/>
      <c r="BD263" s="138"/>
      <c r="BE263" s="115"/>
      <c r="BH263" s="115"/>
      <c r="BJ263" s="115"/>
      <c r="BK263" s="5"/>
      <c r="BL263" s="115"/>
      <c r="BN263" s="115"/>
    </row>
    <row r="264" s="4" customFormat="1" ht="3" customHeight="1"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140"/>
      <c r="O264" s="14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  <c r="AB264" s="120"/>
      <c r="AC264" s="120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  <c r="AO264" s="5"/>
      <c r="AP264" s="5"/>
      <c r="AQ264" s="5"/>
      <c r="AR264" s="5"/>
      <c r="AS264" s="5"/>
      <c r="AT264" s="5"/>
      <c r="AU264" s="5"/>
      <c r="AV264" s="5"/>
      <c r="AW264" s="5"/>
      <c r="AX264" s="141"/>
      <c r="BC264" s="5"/>
      <c r="BD264" s="5"/>
      <c r="BE264" s="5"/>
      <c r="BF264" s="5"/>
      <c r="BG264" s="5"/>
      <c r="BS264" s="5"/>
      <c r="BT264" s="5"/>
      <c r="BU264" s="5"/>
      <c r="BV264" s="5"/>
      <c r="BW264" s="5"/>
      <c r="BX264" s="5"/>
      <c r="BY264" s="5"/>
      <c r="BZ264" s="5"/>
    </row>
    <row r="265" ht="13.5" customHeight="1">
      <c r="AR265" s="5"/>
      <c r="AU265" s="5"/>
      <c r="AV265" s="5"/>
      <c r="AW265" s="5"/>
      <c r="AX265" s="4"/>
      <c r="AY265" s="4"/>
      <c r="AZ265" s="4"/>
      <c r="BA265" s="4"/>
      <c r="BB265" s="4"/>
      <c r="BC265" s="5"/>
      <c r="BD265" s="5"/>
      <c r="BE265" s="5"/>
      <c r="BF265" s="5"/>
      <c r="BG265" s="5"/>
      <c r="BH265" s="4"/>
      <c r="BI265" s="4"/>
      <c r="BJ265" s="4"/>
      <c r="BK265" s="4"/>
      <c r="BL265" s="4"/>
      <c r="BM265" s="4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</row>
    <row r="266" s="1" customFormat="1" ht="13.5" customHeight="1">
      <c r="F266" s="4" t="s">
        <v>82</v>
      </c>
      <c r="G266" s="144" t="s">
        <v>83</v>
      </c>
      <c r="H266" s="22"/>
      <c r="I266" s="22"/>
      <c r="J266" s="22"/>
      <c r="K266" s="22"/>
      <c r="L266" s="22"/>
      <c r="M266" s="22"/>
      <c r="N266" s="22"/>
      <c r="T266" s="4" t="s">
        <v>84</v>
      </c>
      <c r="U266" s="144" t="s">
        <v>85</v>
      </c>
      <c r="AG266" s="4" t="s">
        <v>86</v>
      </c>
      <c r="AH266" s="144" t="s">
        <v>87</v>
      </c>
      <c r="AP266" s="4"/>
      <c r="AQ266" s="5"/>
      <c r="AR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</row>
    <row r="267" ht="13.5" customHeight="1">
      <c r="AR267" s="5"/>
      <c r="AU267" s="5"/>
      <c r="AV267" s="5"/>
      <c r="AW267" s="5"/>
      <c r="AX267" s="4"/>
      <c r="AY267" s="4"/>
      <c r="AZ267" s="4"/>
      <c r="BA267" s="4"/>
      <c r="BB267" s="4"/>
      <c r="BC267" s="5"/>
      <c r="BD267" s="5"/>
      <c r="BE267" s="5"/>
      <c r="BF267" s="5"/>
      <c r="BG267" s="5"/>
      <c r="BH267" s="4"/>
      <c r="BI267" s="4"/>
      <c r="BJ267" s="4"/>
      <c r="BK267" s="4"/>
      <c r="BL267" s="4"/>
      <c r="BM267" s="4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</row>
    <row r="268" ht="13.5" customHeight="1">
      <c r="AR268" s="5"/>
      <c r="AU268" s="5"/>
      <c r="AV268" s="5"/>
      <c r="AW268" s="5"/>
      <c r="AX268" s="4"/>
      <c r="AY268" s="4"/>
      <c r="AZ268" s="4"/>
      <c r="BA268" s="4"/>
      <c r="BB268" s="4"/>
      <c r="BC268" s="5"/>
      <c r="BD268" s="5"/>
      <c r="BE268" s="5"/>
      <c r="BF268" s="5"/>
      <c r="BG268" s="5"/>
      <c r="BH268" s="4"/>
      <c r="BI268" s="4"/>
      <c r="BJ268" s="4"/>
      <c r="BK268" s="4"/>
      <c r="BL268" s="4"/>
      <c r="BM268" s="4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</row>
    <row r="269" s="1" customFormat="1" ht="13.5" customHeight="1">
      <c r="A269" s="5"/>
      <c r="B269" s="5"/>
      <c r="C269" s="5"/>
      <c r="H269" s="5"/>
      <c r="I269" s="5"/>
      <c r="J269" s="5"/>
      <c r="K269" s="5"/>
      <c r="AF269" s="5"/>
      <c r="AG269" s="5"/>
      <c r="AH269" s="5"/>
      <c r="AI269" s="5"/>
      <c r="AJ269" s="5"/>
      <c r="AK269" s="11"/>
      <c r="AL269" s="11"/>
      <c r="AM269" s="11"/>
      <c r="AN269" s="11"/>
      <c r="AO269" s="11"/>
      <c r="AP269" s="11"/>
      <c r="AQ269" s="11"/>
      <c r="AR269" s="5"/>
      <c r="AX269" s="4"/>
      <c r="AY269" s="4"/>
      <c r="AZ269" s="4"/>
      <c r="BA269" s="4"/>
      <c r="BB269" s="4"/>
      <c r="BC269" s="5"/>
      <c r="BD269" s="5"/>
      <c r="BE269" s="5"/>
      <c r="BF269" s="5"/>
      <c r="BG269" s="5"/>
      <c r="BH269" s="4"/>
      <c r="BI269" s="4"/>
      <c r="BJ269" s="4"/>
      <c r="BK269" s="4"/>
      <c r="BL269" s="4"/>
      <c r="BM269" s="4"/>
    </row>
    <row r="270" s="1" customFormat="1" ht="13.5" customHeight="1">
      <c r="A270" s="5"/>
      <c r="B270" s="5"/>
      <c r="C270" s="5"/>
      <c r="H270" s="5"/>
      <c r="I270" s="5"/>
      <c r="J270" s="5"/>
      <c r="K270" s="5"/>
      <c r="AG270" s="5"/>
      <c r="AH270" s="5"/>
      <c r="AI270" s="5"/>
      <c r="AJ270" s="5"/>
      <c r="AK270" s="11"/>
      <c r="AL270" s="11"/>
      <c r="AM270" s="11"/>
      <c r="AN270" s="11"/>
      <c r="AO270" s="11"/>
      <c r="AP270" s="11"/>
      <c r="AQ270" s="11"/>
      <c r="AR270" s="5"/>
      <c r="AX270" s="91"/>
      <c r="AY270" s="4"/>
      <c r="AZ270" s="91"/>
      <c r="BA270" s="4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4"/>
      <c r="BM270" s="4"/>
    </row>
    <row r="271" s="1" customFormat="1" ht="13.5" customHeight="1">
      <c r="A271" s="5"/>
      <c r="B271" s="5"/>
      <c r="C271" s="5"/>
      <c r="H271" s="5"/>
      <c r="I271" s="5"/>
      <c r="J271" s="5"/>
      <c r="K271" s="5"/>
      <c r="L271" s="92" t="s">
        <v>44</v>
      </c>
      <c r="M271" s="93"/>
      <c r="N271" s="5"/>
      <c r="O271" s="5"/>
      <c r="P271" s="5"/>
      <c r="Q271" s="5"/>
      <c r="R271" s="5"/>
      <c r="S271" s="5"/>
      <c r="U271" s="5"/>
      <c r="V271" s="5"/>
      <c r="W271" s="92" t="s">
        <v>45</v>
      </c>
      <c r="AI271" s="92" t="s">
        <v>46</v>
      </c>
      <c r="AJ271" s="5"/>
      <c r="AK271" s="5"/>
      <c r="AL271" s="5"/>
      <c r="AM271" s="5"/>
      <c r="AN271" s="5"/>
      <c r="AO271" s="11"/>
      <c r="AP271" s="11"/>
      <c r="AQ271" s="11"/>
      <c r="AR271" s="5"/>
      <c r="AX271" s="91"/>
      <c r="AY271" s="4"/>
      <c r="AZ271" s="91"/>
      <c r="BA271" s="4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4"/>
      <c r="BM271" s="4"/>
    </row>
    <row r="272" s="1" customFormat="1" ht="13.5" customHeight="1">
      <c r="A272" s="5"/>
      <c r="B272" s="5"/>
      <c r="C272" s="5"/>
      <c r="H272" s="5"/>
      <c r="I272" s="5"/>
      <c r="J272" s="5"/>
      <c r="K272" s="5"/>
      <c r="L272" s="94" t="str">
        <f>IF(cod&lt;&gt;"",cod,"")</f>
        <v>ASDFGHJKL</v>
      </c>
      <c r="M272" s="94"/>
      <c r="N272" s="94"/>
      <c r="O272" s="94"/>
      <c r="P272" s="94"/>
      <c r="Q272" s="94"/>
      <c r="R272" s="92"/>
      <c r="S272" s="92"/>
      <c r="T272" s="92"/>
      <c r="U272" s="92"/>
      <c r="V272" s="92"/>
      <c r="W272" s="95" t="str">
        <f>IF(num&lt;&gt;"",num,"")</f>
        <v>9999</v>
      </c>
      <c r="X272" s="95"/>
      <c r="Y272" s="95"/>
      <c r="Z272" s="95"/>
      <c r="AA272" s="95"/>
      <c r="AB272" s="95"/>
      <c r="AI272" s="96" t="str">
        <f>IF(dat&lt;&gt;"",dat,"")</f>
        <v>05/06/2026</v>
      </c>
      <c r="AJ272" s="96"/>
      <c r="AK272" s="96"/>
      <c r="AL272" s="96"/>
      <c r="AM272" s="96"/>
      <c r="AN272" s="96"/>
      <c r="AQ272" s="11"/>
      <c r="AR272" s="5"/>
      <c r="AX272" s="4"/>
      <c r="AY272" s="4"/>
      <c r="AZ272" s="4"/>
      <c r="BA272" s="4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4"/>
      <c r="BM272" s="4"/>
    </row>
    <row r="273" s="1" customFormat="1" ht="13.5" customHeight="1">
      <c r="A273" s="5"/>
      <c r="B273" s="5"/>
      <c r="C273" s="5"/>
      <c r="H273" s="5"/>
      <c r="I273" s="5"/>
      <c r="J273" s="5"/>
      <c r="K273" s="5"/>
      <c r="L273" s="97"/>
      <c r="M273" s="97"/>
      <c r="N273" s="97"/>
      <c r="O273" s="97"/>
      <c r="P273" s="97"/>
      <c r="Q273" s="97"/>
      <c r="R273" s="92"/>
      <c r="S273" s="92"/>
      <c r="T273" s="92"/>
      <c r="U273" s="92"/>
      <c r="V273" s="92"/>
      <c r="W273" s="98"/>
      <c r="X273" s="98"/>
      <c r="Y273" s="98"/>
      <c r="Z273" s="98"/>
      <c r="AA273" s="98"/>
      <c r="AB273" s="98"/>
      <c r="AI273" s="99"/>
      <c r="AJ273" s="99"/>
      <c r="AK273" s="99"/>
      <c r="AL273" s="99"/>
      <c r="AM273" s="99"/>
      <c r="AN273" s="99"/>
      <c r="AQ273" s="11"/>
      <c r="AR273" s="5"/>
      <c r="AX273" s="4"/>
      <c r="AY273" s="4"/>
      <c r="AZ273" s="4"/>
      <c r="BA273" s="4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4"/>
      <c r="BM273" s="4"/>
    </row>
    <row r="274" s="1" customFormat="1" ht="13.5" customHeight="1">
      <c r="A274" s="5"/>
      <c r="B274" s="5"/>
      <c r="C274" s="5"/>
      <c r="H274" s="5"/>
      <c r="I274" s="5"/>
      <c r="J274" s="5"/>
      <c r="K274" s="5"/>
      <c r="L274" s="94"/>
      <c r="M274" s="94"/>
      <c r="N274" s="94"/>
      <c r="O274" s="94"/>
      <c r="P274" s="94"/>
      <c r="Q274" s="94"/>
      <c r="R274" s="92"/>
      <c r="S274" s="92"/>
      <c r="T274" s="92"/>
      <c r="U274" s="92"/>
      <c r="V274" s="92"/>
      <c r="W274" s="94"/>
      <c r="X274" s="94"/>
      <c r="Y274" s="94"/>
      <c r="Z274" s="94"/>
      <c r="AA274" s="94"/>
      <c r="AB274" s="94"/>
      <c r="AI274" s="100"/>
      <c r="AJ274" s="100"/>
      <c r="AK274" s="100"/>
      <c r="AL274" s="100"/>
      <c r="AM274" s="100"/>
      <c r="AN274" s="100"/>
      <c r="AQ274" s="11"/>
      <c r="AR274" s="5"/>
      <c r="AX274" s="4"/>
      <c r="AY274" s="4"/>
      <c r="AZ274" s="4"/>
      <c r="BA274" s="4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4"/>
      <c r="BM274" s="4"/>
    </row>
    <row r="275" thickBot="1" s="1" customFormat="1" ht="13.5" customHeight="1">
      <c r="A275" s="25"/>
      <c r="B275" s="25"/>
      <c r="C275" s="25"/>
      <c r="D275" s="26"/>
      <c r="E275" s="26"/>
      <c r="F275" s="26"/>
      <c r="G275" s="26"/>
      <c r="H275" s="25"/>
      <c r="I275" s="25"/>
      <c r="J275" s="25"/>
      <c r="K275" s="25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5"/>
      <c r="AG275" s="25"/>
      <c r="AH275" s="25"/>
      <c r="AI275" s="25"/>
      <c r="AJ275" s="25"/>
      <c r="AK275" s="101"/>
      <c r="AL275" s="101"/>
      <c r="AM275" s="101"/>
      <c r="AN275" s="101"/>
      <c r="AO275" s="101"/>
      <c r="AP275" s="101"/>
      <c r="AQ275" s="101"/>
      <c r="AR275" s="5"/>
      <c r="AX275" s="4"/>
      <c r="AY275" s="4"/>
      <c r="AZ275" s="4"/>
      <c r="BA275" s="4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4"/>
      <c r="BM275" s="4"/>
    </row>
    <row r="276" thickTop="1" s="4" customFormat="1" ht="12.75" customHeight="1">
      <c r="B276" s="102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  <c r="AM276" s="104"/>
      <c r="AN276" s="104"/>
      <c r="AO276" s="104"/>
      <c r="AP276" s="104"/>
      <c r="AQ276" s="104"/>
      <c r="AR276" s="5"/>
      <c r="BD276" s="5"/>
      <c r="BE276" s="5"/>
      <c r="BF276" s="5"/>
      <c r="BG276" s="5"/>
      <c r="BH276" s="5"/>
      <c r="BI276" s="5"/>
      <c r="BJ276" s="5"/>
      <c r="BK276" s="5"/>
    </row>
    <row r="277" thickBot="1" s="4" customFormat="1" ht="12.6" customHeight="1">
      <c r="B277" s="102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3"/>
      <c r="AM277" s="104"/>
      <c r="AN277" s="104"/>
      <c r="AO277" s="104"/>
      <c r="AP277" s="104"/>
      <c r="AQ277" s="104"/>
      <c r="AR277" s="5"/>
      <c r="BD277" s="5"/>
      <c r="BE277" s="5"/>
      <c r="BF277" s="5"/>
      <c r="BG277" s="5"/>
      <c r="BH277" s="5"/>
      <c r="BI277" s="5"/>
      <c r="BJ277" s="5"/>
      <c r="BK277" s="5"/>
    </row>
    <row r="278" thickBot="1" s="4" customFormat="1" ht="15.6" customHeight="1">
      <c r="A278" s="145" t="s">
        <v>88</v>
      </c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7"/>
      <c r="AR278" s="5"/>
      <c r="AW278"/>
      <c r="AX278"/>
      <c r="AY278"/>
      <c r="AZ278"/>
      <c r="BD278" s="5"/>
      <c r="BE278" s="5"/>
      <c r="BF278" s="5"/>
      <c r="BG278" s="5"/>
      <c r="BH278" s="5"/>
      <c r="BI278" s="5"/>
      <c r="BJ278" s="5"/>
      <c r="BK278" s="5"/>
    </row>
    <row r="279" s="4" customFormat="1" ht="9" customHeight="1">
      <c r="A279" s="114"/>
      <c r="B279" s="148"/>
      <c r="D279" s="5"/>
      <c r="P279" s="124"/>
      <c r="Q279" s="124"/>
      <c r="R279" s="124"/>
      <c r="T279" s="124"/>
      <c r="U279" s="124"/>
      <c r="V279" s="124"/>
      <c r="W279" s="124"/>
      <c r="AO279" s="5"/>
      <c r="AP279" s="5"/>
      <c r="AQ279" s="5"/>
      <c r="AW279"/>
      <c r="AX279"/>
      <c r="AY279"/>
      <c r="AZ279"/>
      <c r="BD279" s="5"/>
      <c r="BE279" s="5"/>
      <c r="BF279" s="5"/>
      <c r="BG279" s="5"/>
      <c r="BH279" s="5"/>
      <c r="BI279" s="5"/>
      <c r="BJ279" s="5"/>
      <c r="BK279" s="5"/>
    </row>
    <row r="280" s="5" customFormat="1" ht="13.2">
      <c r="S280" s="149" t="s">
        <v>89</v>
      </c>
      <c r="T280" s="149"/>
      <c r="U280" s="149"/>
      <c r="AN280" s="149" t="s">
        <v>90</v>
      </c>
      <c r="AO280" s="149"/>
      <c r="AP280" s="149"/>
      <c r="AW280"/>
      <c r="AX280"/>
      <c r="AY280"/>
      <c r="AZ280"/>
      <c r="BA280" s="4"/>
      <c r="BL280" s="4"/>
      <c r="BM280" s="4"/>
    </row>
    <row r="281" s="4" customFormat="1" ht="6.6" customHeight="1"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U281" s="5"/>
      <c r="V281" s="118"/>
      <c r="W281" s="5"/>
      <c r="X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/>
      <c r="AW281"/>
      <c r="AX281"/>
      <c r="AY281"/>
      <c r="AZ281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</row>
    <row r="282" s="4" customFormat="1" ht="3" customHeight="1">
      <c r="C282" s="5"/>
      <c r="D282" s="5"/>
      <c r="E282" s="5"/>
      <c r="I282" s="5"/>
      <c r="J282" s="5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  <c r="AP282" s="120"/>
      <c r="AQ282" s="120"/>
      <c r="AR282" s="5"/>
      <c r="AS282" s="5"/>
      <c r="AT282" s="5"/>
      <c r="AU282" s="5"/>
      <c r="AV282"/>
      <c r="AW282"/>
      <c r="AX282"/>
      <c r="AY282"/>
      <c r="AZ282"/>
      <c r="BB282" s="5"/>
      <c r="BC282" s="5"/>
      <c r="BD282" s="5"/>
      <c r="BE282" s="5"/>
      <c r="BF282" s="5"/>
      <c r="BG282" s="5"/>
      <c r="BH282" s="5"/>
      <c r="BI282" s="5"/>
      <c r="BJ282" s="5"/>
      <c r="BK282" s="5"/>
    </row>
    <row r="283" s="4" customFormat="1" ht="6" customHeight="1">
      <c r="C283" s="133" t="s">
        <v>91</v>
      </c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23"/>
      <c r="O283" s="123"/>
      <c r="P283" s="123"/>
      <c r="Q283" s="123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34"/>
      <c r="AC283" s="135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  <c r="AP283" s="120"/>
      <c r="AQ283" s="120"/>
      <c r="AR283" s="5"/>
      <c r="AS283" s="5"/>
      <c r="AT283" s="5"/>
      <c r="AU283" s="5"/>
      <c r="AV283"/>
      <c r="AW283"/>
      <c r="AX283" s="137" t="s">
        <v>52</v>
      </c>
      <c r="AY283"/>
      <c r="AZ283"/>
      <c r="BB283" s="115">
        <f>IF($AX283=$BB$222,$BB$223,0)</f>
        <v>7</v>
      </c>
      <c r="BC283" s="115">
        <f>IF($AX283=$BC$222,$BC$223,0)</f>
        <v>0</v>
      </c>
      <c r="BD283" s="138">
        <f>IF($AZ283=$BS$178,$BS$179,0)</f>
        <v>0</v>
      </c>
      <c r="BE283" s="115">
        <f>IF($AZ283=$BT$178,$BT$179,0)</f>
        <v>0</v>
      </c>
      <c r="BH283" s="115">
        <f>SUM(BB283:BC284)</f>
        <v>7</v>
      </c>
      <c r="BJ283" s="115">
        <v>60</v>
      </c>
      <c r="BK283" s="5"/>
      <c r="BL283" s="115">
        <f>SUM(BD283:BE284)</f>
        <v>0</v>
      </c>
      <c r="BN283" s="115">
        <v>50</v>
      </c>
      <c r="BO283" s="5"/>
      <c r="BP283" s="5"/>
    </row>
    <row r="284" s="4" customFormat="1" ht="6" customHeight="1"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23"/>
      <c r="O284" s="123"/>
      <c r="P284" s="123"/>
      <c r="Q284" s="123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34"/>
      <c r="AC284" s="135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  <c r="AP284" s="120"/>
      <c r="AQ284" s="120"/>
      <c r="AR284" s="5"/>
      <c r="AS284" s="5"/>
      <c r="AT284" s="5"/>
      <c r="AU284" s="5"/>
      <c r="AV284"/>
      <c r="AW284"/>
      <c r="AX284" s="137"/>
      <c r="AY284"/>
      <c r="AZ284"/>
      <c r="BB284" s="115"/>
      <c r="BC284" s="115"/>
      <c r="BD284" s="138"/>
      <c r="BE284" s="115"/>
      <c r="BH284" s="115"/>
      <c r="BJ284" s="115"/>
      <c r="BK284" s="5"/>
      <c r="BL284" s="115"/>
      <c r="BN284" s="115"/>
      <c r="BO284" s="5"/>
      <c r="BP284" s="5"/>
    </row>
    <row r="285" s="4" customFormat="1" ht="3" customHeight="1">
      <c r="C285" s="5"/>
      <c r="D285" s="5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  <c r="AO285" s="120"/>
      <c r="AP285" s="120"/>
      <c r="AQ285" s="120"/>
      <c r="AR285" s="5"/>
      <c r="AS285" s="5"/>
      <c r="AT285" s="5"/>
      <c r="AU285" s="5"/>
      <c r="AV285"/>
      <c r="AW285"/>
      <c r="AX285" s="137"/>
      <c r="AY285"/>
      <c r="AZ28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S285" s="5"/>
      <c r="BT285" s="5"/>
      <c r="BU285" s="5"/>
      <c r="BV285" s="5"/>
      <c r="BW285" s="5"/>
      <c r="BX285" s="5"/>
      <c r="BY285" s="5"/>
      <c r="BZ285" s="5"/>
    </row>
    <row r="286" s="4" customFormat="1" ht="6" customHeight="1">
      <c r="C286" s="5"/>
      <c r="D286" s="5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/>
      <c r="AW286"/>
      <c r="AX286" s="137"/>
      <c r="AY286"/>
      <c r="AZ286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</row>
    <row r="287" s="4" customFormat="1" ht="6.6" customHeight="1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142"/>
      <c r="O287" s="142"/>
      <c r="P287" s="119"/>
      <c r="Q287" s="119"/>
      <c r="R287" s="119"/>
      <c r="V287" s="5"/>
      <c r="W287" s="118"/>
      <c r="X287" s="5"/>
      <c r="Y287" s="5"/>
      <c r="AA287" s="5"/>
      <c r="AB287" s="119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/>
      <c r="AW287"/>
      <c r="AX287" s="137"/>
      <c r="AY287"/>
      <c r="AZ287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</row>
    <row r="288" s="4" customFormat="1" ht="3" customHeight="1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14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  <c r="AO288" s="120"/>
      <c r="AP288" s="120"/>
      <c r="AQ288" s="120"/>
      <c r="AR288" s="5"/>
      <c r="AS288" s="5"/>
      <c r="AT288" s="5"/>
      <c r="AU288" s="5"/>
      <c r="AV288"/>
      <c r="AW288"/>
      <c r="AX288" s="137"/>
      <c r="AY288"/>
      <c r="AZ288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</row>
    <row r="289" s="4" customFormat="1" ht="6" customHeight="1">
      <c r="C289" s="133" t="s">
        <v>92</v>
      </c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23"/>
      <c r="O289" s="123"/>
      <c r="P289" s="123"/>
      <c r="Q289" s="123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34"/>
      <c r="AC289" s="135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  <c r="AO289" s="120"/>
      <c r="AP289" s="120"/>
      <c r="AQ289" s="120"/>
      <c r="AR289" s="5"/>
      <c r="AS289" s="5"/>
      <c r="AT289" s="5"/>
      <c r="AU289" s="5"/>
      <c r="AV289"/>
      <c r="AW289"/>
      <c r="AX289" s="137" t="s">
        <v>52</v>
      </c>
      <c r="AY289"/>
      <c r="AZ289"/>
      <c r="BB289" s="115">
        <f>IF($AX289=$BB$222,$BB$223,0)</f>
        <v>7</v>
      </c>
      <c r="BC289" s="150">
        <f>IF($AX289=$BC$222,$BC$223,0)</f>
        <v>0</v>
      </c>
      <c r="BD289" s="138">
        <f>IF($AZ289=$BS$178,$BS$179,0)</f>
        <v>0</v>
      </c>
      <c r="BE289" s="115">
        <f>IF($AZ289=$BT$178,$BT$179,0)</f>
        <v>0</v>
      </c>
      <c r="BH289" s="115">
        <f>SUM(BB289:BC290)</f>
        <v>7</v>
      </c>
      <c r="BJ289" s="115">
        <v>60</v>
      </c>
      <c r="BK289" s="5"/>
      <c r="BL289" s="115">
        <f>SUM(BD289:BE290)</f>
        <v>0</v>
      </c>
      <c r="BN289" s="115">
        <v>50</v>
      </c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</row>
    <row r="290" s="4" customFormat="1" ht="6" customHeight="1"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23"/>
      <c r="O290" s="123"/>
      <c r="P290" s="123"/>
      <c r="Q290" s="123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34"/>
      <c r="AC290" s="135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  <c r="AO290" s="120"/>
      <c r="AP290" s="120"/>
      <c r="AQ290" s="120"/>
      <c r="AR290" s="5"/>
      <c r="AS290" s="5"/>
      <c r="AT290" s="5"/>
      <c r="AU290" s="5"/>
      <c r="AV290"/>
      <c r="AW290"/>
      <c r="AX290" s="137"/>
      <c r="AY290"/>
      <c r="AZ290"/>
      <c r="BB290" s="115"/>
      <c r="BC290" s="150"/>
      <c r="BD290" s="138"/>
      <c r="BE290" s="115"/>
      <c r="BH290" s="115"/>
      <c r="BJ290" s="115"/>
      <c r="BK290" s="5"/>
      <c r="BL290" s="115"/>
      <c r="BN290" s="11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</row>
    <row r="291" s="4" customFormat="1" ht="3" customHeight="1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140"/>
      <c r="O291" s="140"/>
      <c r="P291" s="140"/>
      <c r="Q291" s="14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  <c r="AO291" s="120"/>
      <c r="AP291" s="120"/>
      <c r="AQ291" s="120"/>
      <c r="AR291" s="5"/>
      <c r="AS291" s="5"/>
      <c r="AT291" s="5"/>
      <c r="AU291" s="5"/>
      <c r="AV291"/>
      <c r="AW291"/>
      <c r="AX291" s="137"/>
      <c r="AY291"/>
      <c r="AZ291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</row>
    <row r="292" s="4" customFormat="1" ht="6" customHeight="1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140"/>
      <c r="O292" s="140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/>
      <c r="AW292"/>
      <c r="AX292" s="137"/>
      <c r="AY292"/>
      <c r="AZ292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</row>
    <row r="293" s="4" customFormat="1" ht="6.6" customHeight="1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142"/>
      <c r="O293" s="142"/>
      <c r="P293" s="119"/>
      <c r="Q293" s="119"/>
      <c r="R293" s="119"/>
      <c r="V293" s="5"/>
      <c r="W293" s="118"/>
      <c r="X293" s="5"/>
      <c r="Y293" s="5"/>
      <c r="AA293" s="5"/>
      <c r="AB293" s="119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/>
      <c r="AW293"/>
      <c r="AX293" s="137"/>
      <c r="AY293"/>
      <c r="AZ293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</row>
    <row r="294" s="4" customFormat="1" ht="3" customHeight="1"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14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  <c r="AB294" s="120"/>
      <c r="AC294" s="120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  <c r="AO294" s="120"/>
      <c r="AP294" s="120"/>
      <c r="AQ294" s="120"/>
      <c r="AR294" s="5"/>
      <c r="AS294" s="5"/>
      <c r="AT294" s="5"/>
      <c r="AU294" s="5"/>
      <c r="AV294"/>
      <c r="AW294"/>
      <c r="AX294" s="137"/>
      <c r="AY294"/>
      <c r="AZ294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</row>
    <row r="295" s="4" customFormat="1" ht="6" customHeight="1">
      <c r="C295" s="133" t="s">
        <v>93</v>
      </c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23"/>
      <c r="O295" s="123"/>
      <c r="P295" s="123"/>
      <c r="Q295" s="123"/>
      <c r="R295" s="120"/>
      <c r="S295" s="120"/>
      <c r="T295" s="120"/>
      <c r="U295" s="120"/>
      <c r="V295" s="120"/>
      <c r="W295" s="120"/>
      <c r="X295" s="120"/>
      <c r="Y295" s="120"/>
      <c r="Z295" s="120"/>
      <c r="AA295" s="120"/>
      <c r="AB295" s="134"/>
      <c r="AC295" s="135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  <c r="AO295" s="120"/>
      <c r="AP295" s="120"/>
      <c r="AQ295" s="120"/>
      <c r="AR295" s="5"/>
      <c r="AS295" s="5"/>
      <c r="AT295" s="5"/>
      <c r="AU295" s="5"/>
      <c r="AV295"/>
      <c r="AW295"/>
      <c r="AX295" s="137" t="s">
        <v>70</v>
      </c>
      <c r="AY295"/>
      <c r="AZ295"/>
      <c r="BB295" s="115">
        <f>IF($AX295=$BB$222,$BB$223,0)</f>
        <v>0</v>
      </c>
      <c r="BC295" s="115">
        <f>IF($AX295=$BC$222,$BC$223,0)</f>
        <v>94</v>
      </c>
      <c r="BD295" s="138">
        <f>IF($AZ295=$BS$178,$BS$179,0)</f>
        <v>0</v>
      </c>
      <c r="BE295" s="115">
        <f>IF($AZ295=$BT$178,$BT$179,0)</f>
        <v>0</v>
      </c>
      <c r="BH295" s="115">
        <f>SUM(BB295:BC296)</f>
        <v>94</v>
      </c>
      <c r="BJ295" s="115">
        <v>60</v>
      </c>
      <c r="BK295" s="5"/>
      <c r="BL295" s="115">
        <f>SUM(BD295:BE296)</f>
        <v>0</v>
      </c>
      <c r="BN295" s="115">
        <v>50</v>
      </c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</row>
    <row r="296" s="4" customFormat="1" ht="6" customHeight="1"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23"/>
      <c r="O296" s="123"/>
      <c r="P296" s="123"/>
      <c r="Q296" s="123"/>
      <c r="R296" s="120"/>
      <c r="S296" s="120"/>
      <c r="T296" s="120"/>
      <c r="U296" s="120"/>
      <c r="V296" s="120"/>
      <c r="W296" s="120"/>
      <c r="X296" s="120"/>
      <c r="Y296" s="120"/>
      <c r="Z296" s="120"/>
      <c r="AA296" s="120"/>
      <c r="AB296" s="134"/>
      <c r="AC296" s="135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  <c r="AO296" s="120"/>
      <c r="AP296" s="120"/>
      <c r="AQ296" s="120"/>
      <c r="AR296" s="5"/>
      <c r="AS296" s="5"/>
      <c r="AT296" s="5"/>
      <c r="AU296" s="5"/>
      <c r="AV296"/>
      <c r="AW296"/>
      <c r="AX296" s="137"/>
      <c r="AY296"/>
      <c r="AZ296"/>
      <c r="BB296" s="115"/>
      <c r="BC296" s="115"/>
      <c r="BD296" s="138"/>
      <c r="BE296" s="115"/>
      <c r="BH296" s="115"/>
      <c r="BJ296" s="115"/>
      <c r="BK296" s="5"/>
      <c r="BL296" s="115"/>
      <c r="BN296" s="11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</row>
    <row r="297" s="4" customFormat="1" ht="3" customHeight="1"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140"/>
      <c r="O297" s="140"/>
      <c r="P297" s="140"/>
      <c r="Q297" s="140"/>
      <c r="R297" s="120"/>
      <c r="S297" s="120"/>
      <c r="T297" s="120"/>
      <c r="U297" s="120"/>
      <c r="V297" s="120"/>
      <c r="W297" s="120"/>
      <c r="X297" s="120"/>
      <c r="Y297" s="120"/>
      <c r="Z297" s="120"/>
      <c r="AA297" s="120"/>
      <c r="AB297" s="120"/>
      <c r="AC297" s="120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  <c r="AO297" s="120"/>
      <c r="AP297" s="120"/>
      <c r="AQ297" s="120"/>
      <c r="AR297" s="5"/>
      <c r="AS297" s="5"/>
      <c r="AT297" s="5"/>
      <c r="AU297" s="5"/>
      <c r="AV297"/>
      <c r="AW297"/>
      <c r="AX297"/>
      <c r="AY297"/>
      <c r="AZ297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</row>
    <row r="298" s="4" customFormat="1" ht="6" customHeight="1"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140"/>
      <c r="O298" s="140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/>
      <c r="AW298"/>
      <c r="AX298"/>
      <c r="AY298"/>
      <c r="AZ298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</row>
    <row r="299" s="4" customFormat="1" ht="6" customHeight="1"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140"/>
      <c r="O299" s="140"/>
      <c r="AO299" s="5"/>
      <c r="AP299" s="5"/>
      <c r="AQ299" s="5"/>
      <c r="AR299" s="5"/>
      <c r="AS299" s="5"/>
      <c r="AT299" s="5"/>
      <c r="AU299" s="5"/>
      <c r="AV299"/>
      <c r="AW299"/>
      <c r="AX299"/>
      <c r="AY299"/>
      <c r="AZ299"/>
      <c r="BA299" s="5"/>
      <c r="BB299" s="5"/>
      <c r="BC299" s="5"/>
      <c r="BD299" s="5"/>
      <c r="BE299" s="5"/>
      <c r="BF299" s="5"/>
      <c r="BG299" s="5"/>
      <c r="BH299" s="91" t="s">
        <v>52</v>
      </c>
      <c r="BI299" s="91" t="s">
        <v>53</v>
      </c>
      <c r="BJ299" s="91" t="s">
        <v>54</v>
      </c>
      <c r="BK299" s="91" t="s">
        <v>94</v>
      </c>
      <c r="BL299" s="91" t="s">
        <v>78</v>
      </c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</row>
    <row r="300" s="4" customFormat="1" ht="7.95" customHeight="1"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140"/>
      <c r="O300" s="140"/>
      <c r="AO300" s="5"/>
      <c r="AP300" s="5"/>
      <c r="AQ300" s="5"/>
      <c r="AR300" s="5"/>
      <c r="AS300" s="5"/>
      <c r="AT300" s="5"/>
      <c r="AU300" s="5"/>
      <c r="AV300"/>
      <c r="AW300"/>
      <c r="AX300"/>
      <c r="AY300"/>
      <c r="AZ300"/>
      <c r="BA300" s="5"/>
      <c r="BB300" s="5"/>
      <c r="BC300" s="5"/>
      <c r="BD300" s="5"/>
      <c r="BE300" s="5"/>
      <c r="BF300" s="5"/>
      <c r="BG300" s="5"/>
      <c r="BH300" s="91"/>
      <c r="BI300" s="91"/>
      <c r="BJ300" s="91"/>
      <c r="BK300" s="91"/>
      <c r="BL300" s="91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</row>
    <row r="301" s="4" customFormat="1" ht="6" customHeight="1"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140"/>
      <c r="O301" s="140"/>
      <c r="P301" s="5"/>
      <c r="R301" s="5"/>
      <c r="S301" s="115" t="s">
        <v>52</v>
      </c>
      <c r="T301" s="5"/>
      <c r="X301" s="5"/>
      <c r="Y301" s="115" t="s">
        <v>53</v>
      </c>
      <c r="Z301" s="5"/>
      <c r="AA301" s="5"/>
      <c r="AE301" s="115" t="s">
        <v>54</v>
      </c>
      <c r="AH301" s="5"/>
      <c r="AJ301" s="5"/>
      <c r="AK301" s="115" t="s">
        <v>94</v>
      </c>
      <c r="AM301" s="5"/>
      <c r="AO301" s="5"/>
      <c r="AP301" s="115" t="s">
        <v>78</v>
      </c>
      <c r="AQ301" s="5"/>
      <c r="AR301" s="5"/>
      <c r="AS301" s="5"/>
      <c r="AT301" s="5"/>
      <c r="AU301" s="5"/>
      <c r="AV301"/>
      <c r="AW301"/>
      <c r="AX301"/>
      <c r="AY301"/>
      <c r="AZ301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</row>
    <row r="302" s="4" customFormat="1" ht="6" customHeight="1"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140"/>
      <c r="O302" s="140"/>
      <c r="P302" s="5"/>
      <c r="R302" s="5"/>
      <c r="S302" s="115"/>
      <c r="T302" s="5"/>
      <c r="X302" s="5"/>
      <c r="Y302" s="115"/>
      <c r="Z302" s="5"/>
      <c r="AA302" s="5"/>
      <c r="AE302" s="115"/>
      <c r="AH302" s="5"/>
      <c r="AJ302" s="5"/>
      <c r="AK302" s="115"/>
      <c r="AM302" s="5"/>
      <c r="AO302" s="5"/>
      <c r="AP302" s="115"/>
      <c r="AQ302" s="5"/>
      <c r="AR302" s="5"/>
      <c r="AS302" s="5"/>
      <c r="AT302" s="5"/>
      <c r="AU302" s="5"/>
      <c r="AV302"/>
      <c r="AW302"/>
      <c r="AX302"/>
      <c r="AY302"/>
      <c r="AZ302"/>
      <c r="BA302" s="5"/>
      <c r="BB302" s="5"/>
      <c r="BC302" s="5"/>
      <c r="BD302" s="5"/>
      <c r="BE302" s="5"/>
      <c r="BF302" s="5"/>
      <c r="BG302" s="5"/>
      <c r="BH302" s="91">
        <v>2</v>
      </c>
      <c r="BI302" s="91">
        <v>26</v>
      </c>
      <c r="BJ302" s="91">
        <v>52</v>
      </c>
      <c r="BK302" s="91">
        <v>78</v>
      </c>
      <c r="BL302" s="91">
        <v>98</v>
      </c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</row>
    <row r="303" s="4" customFormat="1" ht="6.6" customHeight="1"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142"/>
      <c r="O303" s="142"/>
      <c r="P303" s="119"/>
      <c r="Q303" s="119"/>
      <c r="R303" s="119"/>
      <c r="V303" s="5"/>
      <c r="W303" s="118"/>
      <c r="X303" s="5"/>
      <c r="Y303" s="5"/>
      <c r="AA303" s="5"/>
      <c r="AB303" s="119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/>
      <c r="AW303"/>
      <c r="AX303"/>
      <c r="AY303"/>
      <c r="AZ303"/>
      <c r="BA303" s="5"/>
      <c r="BB303" s="5"/>
      <c r="BC303" s="5"/>
      <c r="BD303" s="5"/>
      <c r="BE303" s="5"/>
      <c r="BF303" s="5"/>
      <c r="BG303" s="5"/>
      <c r="BH303" s="91"/>
      <c r="BI303" s="91"/>
      <c r="BJ303" s="91"/>
      <c r="BK303" s="91"/>
      <c r="BL303" s="91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</row>
    <row r="304" s="4" customFormat="1" ht="3" customHeight="1"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140"/>
      <c r="R304" s="120"/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  <c r="AC304" s="120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  <c r="AO304" s="120"/>
      <c r="AP304" s="120"/>
      <c r="AQ304" s="5"/>
      <c r="AR304" s="5"/>
      <c r="AS304" s="5"/>
      <c r="AT304" s="5"/>
      <c r="AU304" s="5"/>
      <c r="AV304"/>
      <c r="AW304"/>
      <c r="AX304"/>
      <c r="AY304"/>
      <c r="AZ304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</row>
    <row r="305" s="4" customFormat="1" ht="6" customHeight="1">
      <c r="C305" s="133" t="s">
        <v>95</v>
      </c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23"/>
      <c r="O305" s="123"/>
      <c r="P305" s="124" t="s">
        <v>94</v>
      </c>
      <c r="R305" s="120"/>
      <c r="S305" s="120"/>
      <c r="T305" s="120"/>
      <c r="U305" s="120"/>
      <c r="V305" s="120"/>
      <c r="W305" s="120"/>
      <c r="X305" s="120"/>
      <c r="Y305" s="120"/>
      <c r="Z305" s="120"/>
      <c r="AA305" s="120"/>
      <c r="AB305" s="134"/>
      <c r="AC305" s="135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  <c r="AO305" s="120"/>
      <c r="AP305" s="120"/>
      <c r="AQ305" s="136" t="s">
        <v>73</v>
      </c>
      <c r="AR305" s="5"/>
      <c r="AS305" s="5"/>
      <c r="AT305" s="5"/>
      <c r="AU305" s="5"/>
      <c r="AV305"/>
      <c r="AW305"/>
      <c r="AX305"/>
      <c r="AY305"/>
      <c r="AZ305"/>
      <c r="BA305" s="115">
        <f>IF($P305=BH$299,BH$302,0)</f>
        <v>0</v>
      </c>
      <c r="BB305" s="115">
        <f>IF($P305=BI$299,BI$302,0)</f>
        <v>0</v>
      </c>
      <c r="BC305" s="115">
        <f>IF($P305=BJ$299,BJ$302,0)</f>
        <v>0</v>
      </c>
      <c r="BD305" s="115">
        <f>IF($P305=BK$299,BK$302,0)</f>
        <v>78</v>
      </c>
      <c r="BE305" s="115">
        <f>IF($P305=BL$299,BL$302,0)</f>
        <v>0</v>
      </c>
      <c r="BH305" s="115">
        <f>SUM(BA305:BE306)</f>
        <v>78</v>
      </c>
      <c r="BJ305" s="115">
        <v>60</v>
      </c>
      <c r="BK305" s="5"/>
      <c r="BL305" s="115"/>
      <c r="BN305" s="11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</row>
    <row r="306" s="4" customFormat="1" ht="6" customHeight="1"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23"/>
      <c r="O306" s="123"/>
      <c r="P306" s="124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34"/>
      <c r="AC306" s="135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  <c r="AO306" s="120"/>
      <c r="AP306" s="120"/>
      <c r="AQ306" s="139"/>
      <c r="AR306" s="5"/>
      <c r="AS306" s="5"/>
      <c r="AT306" s="5"/>
      <c r="AU306" s="5"/>
      <c r="AV306"/>
      <c r="AW306"/>
      <c r="AX306"/>
      <c r="AY306"/>
      <c r="AZ306"/>
      <c r="BA306" s="115"/>
      <c r="BB306" s="115"/>
      <c r="BC306" s="115"/>
      <c r="BD306" s="115"/>
      <c r="BE306" s="115"/>
      <c r="BH306" s="115"/>
      <c r="BJ306" s="115"/>
      <c r="BK306" s="5"/>
      <c r="BL306" s="115"/>
      <c r="BN306" s="11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</row>
    <row r="307" s="4" customFormat="1" ht="3" customHeight="1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140"/>
      <c r="O307" s="140"/>
      <c r="P307" s="140"/>
      <c r="Q307" s="5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  <c r="AC307" s="120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  <c r="AO307" s="120"/>
      <c r="AP307" s="120"/>
      <c r="AQ307" s="5"/>
      <c r="AR307" s="5"/>
      <c r="AS307" s="5"/>
      <c r="AT307" s="5"/>
      <c r="AU307" s="5"/>
      <c r="AV307"/>
      <c r="AW307"/>
      <c r="AX307"/>
      <c r="AY307"/>
      <c r="AZ307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</row>
    <row r="308" s="4" customFormat="1" ht="6" customHeight="1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140"/>
      <c r="O308" s="140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/>
      <c r="AW308"/>
      <c r="AX308"/>
      <c r="AY308"/>
      <c r="AZ308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</row>
    <row r="309" s="4" customFormat="1" ht="6.6" customHeight="1"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142"/>
      <c r="O309" s="142"/>
      <c r="P309" s="119"/>
      <c r="R309" s="119"/>
      <c r="V309" s="5"/>
      <c r="W309" s="118"/>
      <c r="X309" s="5"/>
      <c r="Y309" s="5"/>
      <c r="AA309" s="5"/>
      <c r="AB309" s="119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/>
      <c r="AW309"/>
      <c r="AX309"/>
      <c r="AY309"/>
      <c r="AZ309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</row>
    <row r="310" s="4" customFormat="1" ht="3" customHeight="1"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140"/>
      <c r="R310" s="120"/>
      <c r="S310" s="120"/>
      <c r="T310" s="120"/>
      <c r="U310" s="120"/>
      <c r="V310" s="120"/>
      <c r="W310" s="120"/>
      <c r="X310" s="120"/>
      <c r="Y310" s="120"/>
      <c r="Z310" s="120"/>
      <c r="AA310" s="120"/>
      <c r="AB310" s="120"/>
      <c r="AC310" s="120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  <c r="AO310" s="120"/>
      <c r="AP310" s="120"/>
      <c r="AQ310" s="5"/>
      <c r="AR310" s="5"/>
      <c r="AS310" s="5"/>
      <c r="AT310" s="5"/>
      <c r="AU310" s="5"/>
      <c r="AV310"/>
      <c r="AW310"/>
      <c r="AX310"/>
      <c r="AY310"/>
      <c r="AZ310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</row>
    <row r="311" s="4" customFormat="1" ht="6" customHeight="1">
      <c r="C311" s="133" t="s">
        <v>96</v>
      </c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23"/>
      <c r="P311" s="124" t="s">
        <v>94</v>
      </c>
      <c r="Q311" s="5"/>
      <c r="R311" s="120"/>
      <c r="S311" s="120"/>
      <c r="T311" s="120"/>
      <c r="U311" s="120"/>
      <c r="V311" s="120"/>
      <c r="W311" s="120"/>
      <c r="X311" s="120"/>
      <c r="Y311" s="120"/>
      <c r="Z311" s="120"/>
      <c r="AA311" s="120"/>
      <c r="AB311" s="134"/>
      <c r="AC311" s="135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  <c r="AO311" s="120"/>
      <c r="AP311" s="120"/>
      <c r="AQ311" s="136" t="s">
        <v>34</v>
      </c>
      <c r="AR311" s="5"/>
      <c r="AS311" s="5"/>
      <c r="AT311" s="5"/>
      <c r="AU311" s="5"/>
      <c r="AV311"/>
      <c r="AW311"/>
      <c r="AX311"/>
      <c r="AY311"/>
      <c r="AZ311"/>
      <c r="BA311" s="115">
        <f>IF($P311=BH$299,BH$302,0)</f>
        <v>0</v>
      </c>
      <c r="BB311" s="115">
        <f>IF($P311=BI$299,BI$302,0)</f>
        <v>0</v>
      </c>
      <c r="BC311" s="115">
        <f>IF($P311=BJ$299,BJ$302,0)</f>
        <v>0</v>
      </c>
      <c r="BD311" s="115">
        <f>IF($P311=BK$299,BK$302,0)</f>
        <v>78</v>
      </c>
      <c r="BE311" s="115">
        <f>IF($P311=BL$299,BL$302,0)</f>
        <v>0</v>
      </c>
      <c r="BH311" s="115">
        <f>SUM(BA311:BE312)</f>
        <v>78</v>
      </c>
      <c r="BJ311" s="115">
        <v>60</v>
      </c>
      <c r="BK311" s="5"/>
      <c r="BL311" s="115"/>
      <c r="BN311" s="11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</row>
    <row r="312" s="4" customFormat="1" ht="6" customHeight="1"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23"/>
      <c r="P312" s="124"/>
      <c r="Q312" s="124"/>
      <c r="R312" s="120"/>
      <c r="S312" s="120"/>
      <c r="T312" s="120"/>
      <c r="U312" s="120"/>
      <c r="V312" s="120"/>
      <c r="W312" s="120"/>
      <c r="X312" s="120"/>
      <c r="Y312" s="120"/>
      <c r="Z312" s="120"/>
      <c r="AA312" s="120"/>
      <c r="AB312" s="134"/>
      <c r="AC312" s="135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  <c r="AO312" s="120"/>
      <c r="AP312" s="120"/>
      <c r="AQ312" s="139"/>
      <c r="AR312" s="5"/>
      <c r="AS312" s="5"/>
      <c r="AT312" s="5"/>
      <c r="AU312" s="5"/>
      <c r="AV312"/>
      <c r="AW312"/>
      <c r="AX312"/>
      <c r="AY312"/>
      <c r="AZ312"/>
      <c r="BA312" s="115"/>
      <c r="BB312" s="115"/>
      <c r="BC312" s="115"/>
      <c r="BD312" s="115"/>
      <c r="BE312" s="115"/>
      <c r="BH312" s="115"/>
      <c r="BJ312" s="115"/>
      <c r="BK312" s="5"/>
      <c r="BL312" s="115"/>
      <c r="BN312" s="11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</row>
    <row r="313" s="4" customFormat="1" ht="3" customHeight="1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140"/>
      <c r="O313" s="140"/>
      <c r="P313" s="140"/>
      <c r="Q313" s="124"/>
      <c r="R313" s="120"/>
      <c r="S313" s="120"/>
      <c r="T313" s="120"/>
      <c r="U313" s="120"/>
      <c r="V313" s="120"/>
      <c r="W313" s="120"/>
      <c r="X313" s="120"/>
      <c r="Y313" s="120"/>
      <c r="Z313" s="120"/>
      <c r="AA313" s="120"/>
      <c r="AB313" s="120"/>
      <c r="AC313" s="120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  <c r="AO313" s="120"/>
      <c r="AP313" s="120"/>
      <c r="AQ313" s="5"/>
      <c r="AR313" s="5"/>
      <c r="AS313" s="5"/>
      <c r="AT313" s="5"/>
      <c r="AU313" s="5"/>
      <c r="AV313"/>
      <c r="AW313"/>
      <c r="AX313"/>
      <c r="AY313"/>
      <c r="AZ313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</row>
    <row r="314" s="4" customFormat="1" ht="6" customHeight="1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140"/>
      <c r="O314" s="140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/>
      <c r="AW314"/>
      <c r="AX314"/>
      <c r="AY314"/>
      <c r="AZ314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</row>
    <row r="315" s="4" customFormat="1" ht="6.6" customHeight="1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142"/>
      <c r="O315" s="142"/>
      <c r="P315" s="119"/>
      <c r="Q315" s="5"/>
      <c r="R315" s="119"/>
      <c r="V315" s="5"/>
      <c r="W315" s="118"/>
      <c r="X315" s="5"/>
      <c r="Y315" s="5"/>
      <c r="AA315" s="5"/>
      <c r="AB315" s="119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/>
      <c r="AW315"/>
      <c r="AX315"/>
      <c r="AY315"/>
      <c r="AZ31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</row>
    <row r="316" s="4" customFormat="1" ht="3" customHeight="1"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14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  <c r="AC316" s="120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  <c r="AO316" s="120"/>
      <c r="AP316" s="120"/>
      <c r="AQ316" s="5"/>
      <c r="AR316" s="5"/>
      <c r="AS316" s="5"/>
      <c r="AT316" s="5"/>
      <c r="AU316" s="5"/>
      <c r="AV316"/>
      <c r="AW316"/>
      <c r="AX316"/>
      <c r="AY316"/>
      <c r="AZ316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</row>
    <row r="317" s="4" customFormat="1" ht="6" customHeight="1">
      <c r="C317" s="133" t="s">
        <v>97</v>
      </c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23"/>
      <c r="O317" s="123"/>
      <c r="P317" s="124" t="s">
        <v>53</v>
      </c>
      <c r="R317" s="120"/>
      <c r="S317" s="120"/>
      <c r="T317" s="120"/>
      <c r="U317" s="120"/>
      <c r="V317" s="120"/>
      <c r="W317" s="120"/>
      <c r="X317" s="120"/>
      <c r="Y317" s="120"/>
      <c r="Z317" s="120"/>
      <c r="AA317" s="120"/>
      <c r="AB317" s="134"/>
      <c r="AC317" s="135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  <c r="AO317" s="120"/>
      <c r="AP317" s="120"/>
      <c r="AQ317" s="136" t="s">
        <v>78</v>
      </c>
      <c r="AR317" s="5"/>
      <c r="AS317" s="5"/>
      <c r="AT317" s="5"/>
      <c r="AU317" s="5"/>
      <c r="AV317"/>
      <c r="AW317"/>
      <c r="AX317"/>
      <c r="AY317"/>
      <c r="AZ317"/>
      <c r="BA317" s="115">
        <f>IF($P317=BH$299,BH$302,0)</f>
        <v>0</v>
      </c>
      <c r="BB317" s="115">
        <f>IF($P317=BI$299,BI$302,0)</f>
        <v>26</v>
      </c>
      <c r="BC317" s="115">
        <f>IF($P317=BJ$299,BJ$302,0)</f>
        <v>0</v>
      </c>
      <c r="BD317" s="115">
        <f>IF($P317=BK$299,BK$302,0)</f>
        <v>0</v>
      </c>
      <c r="BE317" s="115">
        <f>IF($P317=BL$299,BL$302,0)</f>
        <v>0</v>
      </c>
      <c r="BH317" s="115">
        <f>SUM(BA317:BE318)</f>
        <v>26</v>
      </c>
      <c r="BJ317" s="115">
        <v>60</v>
      </c>
      <c r="BK317" s="5"/>
      <c r="BL317" s="115"/>
      <c r="BN317" s="11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</row>
    <row r="318" s="4" customFormat="1" ht="6" customHeight="1"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23"/>
      <c r="O318" s="123"/>
      <c r="P318" s="124"/>
      <c r="Q318" s="5"/>
      <c r="R318" s="120"/>
      <c r="S318" s="120"/>
      <c r="T318" s="120"/>
      <c r="U318" s="120"/>
      <c r="V318" s="120"/>
      <c r="W318" s="120"/>
      <c r="X318" s="120"/>
      <c r="Y318" s="120"/>
      <c r="Z318" s="120"/>
      <c r="AA318" s="120"/>
      <c r="AB318" s="134"/>
      <c r="AC318" s="135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  <c r="AO318" s="120"/>
      <c r="AP318" s="120"/>
      <c r="AQ318" s="139"/>
      <c r="AR318" s="5"/>
      <c r="AS318" s="5"/>
      <c r="AT318" s="5"/>
      <c r="AU318" s="5"/>
      <c r="AV318"/>
      <c r="AW318"/>
      <c r="AX318"/>
      <c r="AY318"/>
      <c r="AZ318"/>
      <c r="BA318" s="115"/>
      <c r="BB318" s="115"/>
      <c r="BC318" s="115"/>
      <c r="BD318" s="115"/>
      <c r="BE318" s="115"/>
      <c r="BH318" s="115"/>
      <c r="BJ318" s="115"/>
      <c r="BK318" s="5"/>
      <c r="BL318" s="115"/>
      <c r="BN318" s="11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</row>
    <row r="319" s="4" customFormat="1" ht="3" customHeight="1"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140"/>
      <c r="O319" s="140"/>
      <c r="P319" s="140"/>
      <c r="Q319" s="124"/>
      <c r="R319" s="120"/>
      <c r="S319" s="120"/>
      <c r="T319" s="120"/>
      <c r="U319" s="120"/>
      <c r="V319" s="120"/>
      <c r="W319" s="120"/>
      <c r="X319" s="120"/>
      <c r="Y319" s="120"/>
      <c r="Z319" s="120"/>
      <c r="AA319" s="120"/>
      <c r="AB319" s="120"/>
      <c r="AC319" s="120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  <c r="AO319" s="120"/>
      <c r="AP319" s="120"/>
      <c r="AQ319" s="5"/>
      <c r="AR319" s="5"/>
      <c r="AS319" s="5"/>
      <c r="AT319" s="5"/>
      <c r="AU319" s="5"/>
      <c r="AV319"/>
      <c r="AW319"/>
      <c r="AX319"/>
      <c r="AY319"/>
      <c r="AZ319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</row>
    <row r="320" s="4" customFormat="1" ht="6" customHeight="1"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140"/>
      <c r="O320" s="140"/>
      <c r="P320" s="5"/>
      <c r="Q320" s="124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/>
      <c r="AW320"/>
      <c r="AX320"/>
      <c r="AY320"/>
      <c r="AZ320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</row>
    <row r="321" s="4" customFormat="1" ht="6.6" customHeight="1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142"/>
      <c r="O321" s="142"/>
      <c r="P321" s="119"/>
      <c r="Q321" s="5"/>
      <c r="R321" s="119"/>
      <c r="V321" s="5"/>
      <c r="W321" s="118"/>
      <c r="X321" s="5"/>
      <c r="Y321" s="5"/>
      <c r="AA321" s="5"/>
      <c r="AB321" s="119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/>
      <c r="AW321"/>
      <c r="AX321"/>
      <c r="AY321"/>
      <c r="AZ321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</row>
    <row r="322" s="4" customFormat="1" ht="3" customHeight="1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140"/>
      <c r="Q322" s="5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  <c r="AC322" s="120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  <c r="AO322" s="120"/>
      <c r="AP322" s="120"/>
      <c r="AQ322" s="5"/>
      <c r="AR322" s="5"/>
      <c r="AS322" s="5"/>
      <c r="AT322" s="5"/>
      <c r="AU322" s="5"/>
      <c r="AV322"/>
      <c r="AW322"/>
      <c r="AX322"/>
      <c r="AY322"/>
      <c r="AZ322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</row>
    <row r="323" s="4" customFormat="1" ht="6" customHeight="1">
      <c r="C323" s="133" t="s">
        <v>98</v>
      </c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51"/>
      <c r="O323" s="123"/>
      <c r="P323" s="124" t="s">
        <v>52</v>
      </c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  <c r="AB323" s="134"/>
      <c r="AC323" s="135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  <c r="AO323" s="120"/>
      <c r="AP323" s="120"/>
      <c r="AQ323" s="136" t="s">
        <v>34</v>
      </c>
      <c r="AR323" s="5"/>
      <c r="AS323" s="5"/>
      <c r="AT323" s="5"/>
      <c r="AU323" s="5"/>
      <c r="AV323"/>
      <c r="AW323"/>
      <c r="AX323"/>
      <c r="AY323"/>
      <c r="AZ323"/>
      <c r="BA323" s="115">
        <f>IF($P323=BH$299,BH$302,0)</f>
        <v>2</v>
      </c>
      <c r="BB323" s="115">
        <f>IF($P323=BI$299,BI$302,0)</f>
        <v>0</v>
      </c>
      <c r="BC323" s="115">
        <f>IF($P323=BJ$299,BJ$302,0)</f>
        <v>0</v>
      </c>
      <c r="BD323" s="115">
        <f>IF($P323=BK$299,BK$302,0)</f>
        <v>0</v>
      </c>
      <c r="BE323" s="115">
        <f>IF($P323=BL$299,BL$302,0)</f>
        <v>0</v>
      </c>
      <c r="BH323" s="115">
        <f>SUM(BA323:BE324)</f>
        <v>2</v>
      </c>
      <c r="BJ323" s="115">
        <v>60</v>
      </c>
      <c r="BK323" s="5"/>
      <c r="BL323" s="115"/>
      <c r="BN323" s="11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</row>
    <row r="324" s="4" customFormat="1" ht="6" customHeight="1">
      <c r="B324" s="152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51"/>
      <c r="O324" s="123"/>
      <c r="P324" s="124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34"/>
      <c r="AC324" s="135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  <c r="AO324" s="120"/>
      <c r="AP324" s="120"/>
      <c r="AQ324" s="139"/>
      <c r="AR324" s="5"/>
      <c r="AS324" s="5"/>
      <c r="AT324" s="5"/>
      <c r="AU324" s="5"/>
      <c r="AV324"/>
      <c r="AW324"/>
      <c r="AX324"/>
      <c r="AY324"/>
      <c r="AZ324"/>
      <c r="BA324" s="115"/>
      <c r="BB324" s="115"/>
      <c r="BC324" s="115"/>
      <c r="BD324" s="115"/>
      <c r="BE324" s="115"/>
      <c r="BH324" s="115"/>
      <c r="BJ324" s="115"/>
      <c r="BK324" s="5"/>
      <c r="BL324" s="115"/>
      <c r="BN324" s="11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</row>
    <row r="325" s="4" customFormat="1" ht="3" customHeight="1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140"/>
      <c r="O325" s="140"/>
      <c r="P325" s="140"/>
      <c r="Q325" s="5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  <c r="AC325" s="120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  <c r="AO325" s="120"/>
      <c r="AP325" s="120"/>
      <c r="AQ325" s="5"/>
      <c r="AR325" s="5"/>
      <c r="AS325" s="5"/>
      <c r="AT325" s="5"/>
      <c r="AU325" s="5"/>
      <c r="AV325"/>
      <c r="AW325"/>
      <c r="AX325"/>
      <c r="AY325"/>
      <c r="AZ32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</row>
    <row r="326" s="4" customFormat="1" ht="6" customHeight="1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140"/>
      <c r="O326" s="140"/>
      <c r="P326" s="5"/>
      <c r="Q326" s="124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/>
      <c r="AW326"/>
      <c r="AX326"/>
      <c r="AY326"/>
      <c r="AZ326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</row>
    <row r="327" s="4" customFormat="1" ht="6.6" customHeight="1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142"/>
      <c r="O327" s="142"/>
      <c r="P327" s="119"/>
      <c r="Q327" s="124"/>
      <c r="R327" s="119"/>
      <c r="V327" s="5"/>
      <c r="W327" s="118"/>
      <c r="X327" s="5"/>
      <c r="Y327" s="5"/>
      <c r="AA327" s="5"/>
      <c r="AB327" s="119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/>
      <c r="AW327"/>
      <c r="AX327"/>
      <c r="AY327"/>
      <c r="AZ327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</row>
    <row r="328" s="4" customFormat="1" ht="3" customHeight="1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153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  <c r="AC328" s="120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  <c r="AO328" s="120"/>
      <c r="AP328" s="120"/>
      <c r="AQ328" s="5"/>
      <c r="AR328" s="5"/>
      <c r="AS328" s="5"/>
      <c r="AT328" s="5"/>
      <c r="AU328" s="5"/>
      <c r="AV328"/>
      <c r="AW328"/>
      <c r="AX328"/>
      <c r="AY328"/>
      <c r="AZ328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</row>
    <row r="329" s="4" customFormat="1" ht="6" customHeight="1">
      <c r="C329" s="133" t="s">
        <v>99</v>
      </c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53"/>
      <c r="O329" s="123"/>
      <c r="P329" s="124" t="s">
        <v>53</v>
      </c>
      <c r="Q329" s="123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34"/>
      <c r="AC329" s="135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  <c r="AO329" s="120"/>
      <c r="AP329" s="120"/>
      <c r="AQ329" s="136" t="s">
        <v>34</v>
      </c>
      <c r="AR329" s="5"/>
      <c r="AS329" s="5"/>
      <c r="AT329" s="5"/>
      <c r="AU329" s="5"/>
      <c r="AV329"/>
      <c r="AW329"/>
      <c r="AX329"/>
      <c r="AY329"/>
      <c r="AZ329"/>
      <c r="BA329" s="115">
        <f>IF($P329=BH$299,BH$302,0)</f>
        <v>0</v>
      </c>
      <c r="BB329" s="115">
        <f>IF($P329=BI$299,BI$302,0)</f>
        <v>26</v>
      </c>
      <c r="BC329" s="115">
        <f>IF($P329=BJ$299,BJ$302,0)</f>
        <v>0</v>
      </c>
      <c r="BD329" s="115">
        <f>IF($P329=BK$299,BK$302,0)</f>
        <v>0</v>
      </c>
      <c r="BE329" s="115">
        <f>IF($P329=BL$299,BL$302,0)</f>
        <v>0</v>
      </c>
      <c r="BH329" s="115">
        <f>SUM(BA329:BE330)</f>
        <v>26</v>
      </c>
      <c r="BJ329" s="115">
        <v>60</v>
      </c>
      <c r="BK329" s="5"/>
      <c r="BL329" s="115"/>
      <c r="BN329" s="11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</row>
    <row r="330" s="4" customFormat="1" ht="6" customHeight="1"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53"/>
      <c r="O330" s="123"/>
      <c r="P330" s="124"/>
      <c r="Q330" s="123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34"/>
      <c r="AC330" s="135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  <c r="AO330" s="120"/>
      <c r="AP330" s="120"/>
      <c r="AQ330" s="139"/>
      <c r="AR330" s="5"/>
      <c r="AS330" s="5"/>
      <c r="AT330" s="5"/>
      <c r="AU330" s="5"/>
      <c r="AV330"/>
      <c r="AW330"/>
      <c r="AX330"/>
      <c r="AY330"/>
      <c r="AZ330"/>
      <c r="BA330" s="115"/>
      <c r="BB330" s="115"/>
      <c r="BC330" s="115"/>
      <c r="BD330" s="115"/>
      <c r="BE330" s="115"/>
      <c r="BH330" s="115"/>
      <c r="BJ330" s="115"/>
      <c r="BK330" s="5"/>
      <c r="BL330" s="115"/>
      <c r="BN330" s="11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</row>
    <row r="331" s="4" customFormat="1" ht="3" customHeight="1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153"/>
      <c r="O331" s="140"/>
      <c r="P331" s="140"/>
      <c r="Q331" s="14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  <c r="AO331" s="120"/>
      <c r="AP331" s="120"/>
      <c r="AQ331" s="5"/>
      <c r="AR331" s="5"/>
      <c r="AS331" s="5"/>
      <c r="AT331" s="5"/>
      <c r="AU331" s="5"/>
      <c r="AV331"/>
      <c r="AW331"/>
      <c r="AX331"/>
      <c r="AY331"/>
      <c r="AZ331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</row>
    <row r="332" s="4" customFormat="1" ht="6" customHeight="1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153"/>
      <c r="O332" s="140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/>
      <c r="AW332"/>
      <c r="AX332"/>
      <c r="AY332"/>
      <c r="AZ332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</row>
    <row r="333" s="4" customFormat="1" ht="6.6" customHeight="1"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119"/>
      <c r="O333" s="119"/>
      <c r="P333" s="119"/>
      <c r="Q333" s="119"/>
      <c r="R333" s="119"/>
      <c r="V333" s="5"/>
      <c r="W333" s="118"/>
      <c r="X333" s="5"/>
      <c r="Y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/>
      <c r="AW333"/>
      <c r="AX333"/>
      <c r="AY333"/>
      <c r="AZ333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</row>
    <row r="334" s="4" customFormat="1" ht="3" customHeight="1"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  <c r="AC334" s="120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  <c r="AO334" s="120"/>
      <c r="AP334" s="120"/>
      <c r="AQ334" s="5"/>
      <c r="AR334" s="5"/>
      <c r="AS334" s="5"/>
      <c r="AT334" s="5"/>
      <c r="AU334" s="5"/>
      <c r="AV334"/>
      <c r="AW334"/>
      <c r="AX334"/>
      <c r="AY334"/>
      <c r="AZ334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</row>
    <row r="335" s="4" customFormat="1" ht="6" customHeight="1">
      <c r="C335" s="133" t="s">
        <v>100</v>
      </c>
      <c r="D335" s="133"/>
      <c r="E335" s="133"/>
      <c r="F335" s="133"/>
      <c r="G335" s="133"/>
      <c r="H335" s="133"/>
      <c r="I335" s="133"/>
      <c r="J335" s="133"/>
      <c r="K335" s="133"/>
      <c r="L335" s="133"/>
      <c r="N335" s="123"/>
      <c r="O335" s="123"/>
      <c r="P335" s="124" t="s">
        <v>52</v>
      </c>
      <c r="Q335" s="123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34"/>
      <c r="AC335" s="135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  <c r="AO335" s="120"/>
      <c r="AP335" s="120"/>
      <c r="AQ335" s="136" t="s">
        <v>34</v>
      </c>
      <c r="AR335" s="5"/>
      <c r="AS335" s="5"/>
      <c r="AT335" s="5"/>
      <c r="AU335" s="5"/>
      <c r="AV335"/>
      <c r="AW335"/>
      <c r="AX335"/>
      <c r="AY335"/>
      <c r="AZ335"/>
      <c r="BA335" s="115">
        <f>IF($P335=BH$299,BH$302,0)</f>
        <v>2</v>
      </c>
      <c r="BB335" s="115">
        <f>IF($P335=BI$299,BI$302,0)</f>
        <v>0</v>
      </c>
      <c r="BC335" s="115">
        <f>IF($P335=BJ$299,BJ$302,0)</f>
        <v>0</v>
      </c>
      <c r="BD335" s="115">
        <f>IF($P335=BK$299,BK$302,0)</f>
        <v>0</v>
      </c>
      <c r="BE335" s="115">
        <f>IF($P335=BL$299,BL$302,0)</f>
        <v>0</v>
      </c>
      <c r="BH335" s="115">
        <f>SUM(BA335:BE336)</f>
        <v>2</v>
      </c>
      <c r="BJ335" s="115">
        <v>60</v>
      </c>
      <c r="BK335" s="5"/>
      <c r="BL335" s="115"/>
      <c r="BN335" s="11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</row>
    <row r="336" s="4" customFormat="1" ht="6" customHeight="1"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N336" s="123"/>
      <c r="O336" s="123"/>
      <c r="P336" s="124"/>
      <c r="Q336" s="123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34"/>
      <c r="AC336" s="135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  <c r="AO336" s="120"/>
      <c r="AP336" s="120"/>
      <c r="AQ336" s="139"/>
      <c r="AR336" s="5"/>
      <c r="AS336" s="5"/>
      <c r="AT336" s="5"/>
      <c r="AU336" s="5"/>
      <c r="AV336"/>
      <c r="AW336"/>
      <c r="AX336"/>
      <c r="AY336"/>
      <c r="AZ336"/>
      <c r="BA336" s="115"/>
      <c r="BB336" s="115"/>
      <c r="BC336" s="115"/>
      <c r="BD336" s="115"/>
      <c r="BE336" s="115"/>
      <c r="BH336" s="115"/>
      <c r="BJ336" s="115"/>
      <c r="BK336" s="5"/>
      <c r="BL336" s="115"/>
      <c r="BN336" s="11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</row>
    <row r="337" s="4" customFormat="1" ht="3" customHeight="1">
      <c r="C337" s="143"/>
      <c r="D337" s="5"/>
      <c r="E337" s="5"/>
      <c r="F337" s="5"/>
      <c r="G337" s="5"/>
      <c r="H337" s="5"/>
      <c r="I337" s="5"/>
      <c r="J337" s="5"/>
      <c r="K337" s="5"/>
      <c r="L337" s="5"/>
      <c r="M337" s="140"/>
      <c r="N337" s="140"/>
      <c r="O337" s="140"/>
      <c r="P337" s="140"/>
      <c r="Q337" s="14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  <c r="AB337" s="120"/>
      <c r="AC337" s="120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  <c r="AO337" s="120"/>
      <c r="AP337" s="120"/>
      <c r="AQ337" s="5"/>
      <c r="AR337" s="5"/>
      <c r="AS337" s="5"/>
      <c r="AT337" s="5"/>
      <c r="AU337" s="5"/>
      <c r="AV337"/>
      <c r="AW337"/>
      <c r="AX337"/>
      <c r="AY337"/>
      <c r="AZ337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</row>
    <row r="338" s="4" customFormat="1" ht="6" customHeight="1">
      <c r="D338" s="5"/>
      <c r="E338" s="5"/>
      <c r="F338" s="5"/>
      <c r="G338" s="5"/>
      <c r="H338" s="5"/>
      <c r="I338" s="5"/>
      <c r="J338" s="5"/>
      <c r="K338" s="5"/>
      <c r="L338" s="5"/>
      <c r="M338" s="140"/>
      <c r="N338" s="140"/>
      <c r="O338" s="140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/>
      <c r="AW338"/>
      <c r="AX338"/>
      <c r="AY338"/>
      <c r="AZ338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</row>
    <row r="339" s="4" customFormat="1" ht="6.6" customHeight="1">
      <c r="C339" s="143"/>
      <c r="D339" s="5"/>
      <c r="E339" s="5"/>
      <c r="F339" s="5"/>
      <c r="G339" s="5"/>
      <c r="H339" s="5"/>
      <c r="I339" s="5"/>
      <c r="J339" s="5"/>
      <c r="K339" s="5"/>
      <c r="L339" s="5"/>
      <c r="M339" s="142"/>
      <c r="N339" s="142"/>
      <c r="O339" s="142"/>
      <c r="P339" s="119"/>
      <c r="Q339" s="119"/>
      <c r="R339" s="119"/>
      <c r="V339" s="5"/>
      <c r="W339" s="118"/>
      <c r="X339" s="5"/>
      <c r="Y339" s="5"/>
      <c r="AA339" s="5"/>
      <c r="AB339" s="119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/>
      <c r="AW339"/>
      <c r="AX339"/>
      <c r="AY339"/>
      <c r="AZ339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</row>
    <row r="340" s="4" customFormat="1" ht="3" customHeight="1">
      <c r="D340" s="5"/>
      <c r="E340" s="5"/>
      <c r="F340" s="5"/>
      <c r="G340" s="5"/>
      <c r="H340" s="5"/>
      <c r="I340" s="5"/>
      <c r="J340" s="5"/>
      <c r="K340" s="5"/>
      <c r="L340" s="5"/>
      <c r="M340" s="140"/>
      <c r="N340" s="14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  <c r="AC340" s="120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  <c r="AO340" s="120"/>
      <c r="AP340" s="120"/>
      <c r="AQ340" s="5"/>
      <c r="AR340" s="5"/>
      <c r="AS340" s="5"/>
      <c r="AT340" s="5"/>
      <c r="AU340" s="5"/>
      <c r="AV340"/>
      <c r="AW340"/>
      <c r="AX340"/>
      <c r="AY340"/>
      <c r="AZ340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</row>
    <row r="341" s="4" customFormat="1" ht="6" customHeight="1">
      <c r="C341" s="133" t="s">
        <v>101</v>
      </c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23"/>
      <c r="O341" s="123"/>
      <c r="P341" s="124" t="s">
        <v>52</v>
      </c>
      <c r="Q341" s="123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  <c r="AB341" s="134"/>
      <c r="AC341" s="135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  <c r="AO341" s="120"/>
      <c r="AP341" s="120"/>
      <c r="AQ341" s="136" t="s">
        <v>34</v>
      </c>
      <c r="AR341" s="5"/>
      <c r="AS341" s="5"/>
      <c r="AT341" s="5"/>
      <c r="AU341" s="5"/>
      <c r="AV341"/>
      <c r="AW341"/>
      <c r="AX341"/>
      <c r="AY341"/>
      <c r="AZ341"/>
      <c r="BA341" s="115">
        <f>IF($P341=BH$299,BH$302,0)</f>
        <v>2</v>
      </c>
      <c r="BB341" s="115">
        <f>IF($P341=BI$299,BI$302,0)</f>
        <v>0</v>
      </c>
      <c r="BC341" s="115">
        <f>IF($P341=BJ$299,BJ$302,0)</f>
        <v>0</v>
      </c>
      <c r="BD341" s="115">
        <f>IF($P341=BK$299,BK$302,0)</f>
        <v>0</v>
      </c>
      <c r="BE341" s="115">
        <f>IF($P341=BL$299,BL$302,0)</f>
        <v>0</v>
      </c>
      <c r="BH341" s="115">
        <f>SUM(BA341:BE342)</f>
        <v>2</v>
      </c>
      <c r="BJ341" s="115">
        <v>60</v>
      </c>
      <c r="BK341" s="5"/>
      <c r="BL341" s="115"/>
      <c r="BN341" s="11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</row>
    <row r="342" s="4" customFormat="1" ht="6" customHeight="1"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23"/>
      <c r="O342" s="123"/>
      <c r="P342" s="124"/>
      <c r="Q342" s="123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  <c r="AB342" s="134"/>
      <c r="AC342" s="135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  <c r="AO342" s="120"/>
      <c r="AP342" s="120"/>
      <c r="AQ342" s="139"/>
      <c r="AR342" s="5"/>
      <c r="AS342" s="5"/>
      <c r="AT342" s="5"/>
      <c r="AU342" s="5"/>
      <c r="AV342"/>
      <c r="AW342"/>
      <c r="AX342"/>
      <c r="AY342"/>
      <c r="AZ342"/>
      <c r="BA342" s="115"/>
      <c r="BB342" s="115"/>
      <c r="BC342" s="115"/>
      <c r="BD342" s="115"/>
      <c r="BE342" s="115"/>
      <c r="BH342" s="115"/>
      <c r="BJ342" s="115"/>
      <c r="BK342" s="5"/>
      <c r="BL342" s="115"/>
      <c r="BN342" s="11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</row>
    <row r="343" s="4" customFormat="1" ht="3" customHeight="1">
      <c r="C343" s="143"/>
      <c r="D343" s="5"/>
      <c r="E343" s="5"/>
      <c r="F343" s="5"/>
      <c r="G343" s="5"/>
      <c r="H343" s="5"/>
      <c r="I343" s="5"/>
      <c r="J343" s="5"/>
      <c r="K343" s="5"/>
      <c r="L343" s="5"/>
      <c r="M343" s="140"/>
      <c r="N343" s="140"/>
      <c r="O343" s="140"/>
      <c r="P343" s="140"/>
      <c r="Q343" s="14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  <c r="AB343" s="120"/>
      <c r="AC343" s="120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  <c r="AO343" s="120"/>
      <c r="AP343" s="120"/>
      <c r="AQ343" s="5"/>
      <c r="AR343" s="5"/>
      <c r="AS343" s="5"/>
      <c r="AT343" s="5"/>
      <c r="AU343" s="5"/>
      <c r="AV343"/>
      <c r="AW343"/>
      <c r="AX343"/>
      <c r="AY343"/>
      <c r="AZ343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</row>
    <row r="344" s="4" customFormat="1" ht="6" customHeight="1">
      <c r="D344" s="5"/>
      <c r="E344" s="5"/>
      <c r="F344" s="5"/>
      <c r="G344" s="5"/>
      <c r="H344" s="5"/>
      <c r="I344" s="5"/>
      <c r="J344" s="5"/>
      <c r="K344" s="5"/>
      <c r="L344" s="5"/>
      <c r="M344" s="140"/>
      <c r="N344" s="140"/>
      <c r="O344" s="140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/>
      <c r="AW344"/>
      <c r="AX344"/>
      <c r="AY344"/>
      <c r="AZ344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</row>
    <row r="345" s="4" customFormat="1" ht="6.6" customHeight="1">
      <c r="C345" s="143"/>
      <c r="D345" s="5"/>
      <c r="E345" s="5"/>
      <c r="F345" s="5"/>
      <c r="G345" s="5"/>
      <c r="H345" s="5"/>
      <c r="I345" s="5"/>
      <c r="J345" s="5"/>
      <c r="K345" s="5"/>
      <c r="L345" s="5"/>
      <c r="M345" s="142"/>
      <c r="N345" s="142"/>
      <c r="O345" s="142"/>
      <c r="P345" s="119"/>
      <c r="Q345" s="119"/>
      <c r="R345" s="119"/>
      <c r="V345" s="5"/>
      <c r="W345" s="118"/>
      <c r="X345" s="5"/>
      <c r="Y345" s="5"/>
      <c r="AA345" s="5"/>
      <c r="AB345" s="119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/>
      <c r="AW345"/>
      <c r="AX345"/>
      <c r="AY345"/>
      <c r="AZ34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</row>
    <row r="346" s="4" customFormat="1" ht="3" customHeight="1">
      <c r="D346" s="5"/>
      <c r="E346" s="5"/>
      <c r="F346" s="5"/>
      <c r="G346" s="5"/>
      <c r="H346" s="5"/>
      <c r="I346" s="5"/>
      <c r="J346" s="5"/>
      <c r="K346" s="5"/>
      <c r="L346" s="5"/>
      <c r="M346" s="140"/>
      <c r="N346" s="140"/>
      <c r="R346" s="120"/>
      <c r="S346" s="120"/>
      <c r="T346" s="120"/>
      <c r="U346" s="120"/>
      <c r="V346" s="120"/>
      <c r="W346" s="120"/>
      <c r="X346" s="120"/>
      <c r="Y346" s="120"/>
      <c r="Z346" s="120"/>
      <c r="AA346" s="120"/>
      <c r="AB346" s="120"/>
      <c r="AC346" s="120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  <c r="AO346" s="120"/>
      <c r="AP346" s="120"/>
      <c r="AQ346" s="5"/>
      <c r="AR346" s="5"/>
      <c r="AS346" s="5"/>
      <c r="AT346" s="5"/>
      <c r="AU346" s="5"/>
      <c r="AV346"/>
      <c r="AW346"/>
      <c r="AX346"/>
      <c r="AY346"/>
      <c r="AZ346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</row>
    <row r="347" s="4" customFormat="1" ht="6" customHeight="1">
      <c r="C347" s="133" t="s">
        <v>102</v>
      </c>
      <c r="D347" s="133"/>
      <c r="E347" s="133"/>
      <c r="F347" s="133"/>
      <c r="G347" s="133"/>
      <c r="H347" s="133"/>
      <c r="I347" s="133"/>
      <c r="J347" s="133"/>
      <c r="K347" s="133"/>
      <c r="L347" s="133"/>
      <c r="M347" s="123"/>
      <c r="N347" s="123"/>
      <c r="O347" s="123"/>
      <c r="P347" s="124" t="s">
        <v>52</v>
      </c>
      <c r="Q347" s="123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  <c r="AB347" s="134"/>
      <c r="AC347" s="135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  <c r="AO347" s="120"/>
      <c r="AP347" s="120"/>
      <c r="AQ347" s="136" t="s">
        <v>34</v>
      </c>
      <c r="AR347" s="5"/>
      <c r="AS347" s="5"/>
      <c r="AT347" s="5"/>
      <c r="AU347" s="5"/>
      <c r="AV347"/>
      <c r="AW347"/>
      <c r="AX347"/>
      <c r="AY347"/>
      <c r="AZ347"/>
      <c r="BA347" s="115">
        <f>IF($P347=BH$299,BH$302,0)</f>
        <v>2</v>
      </c>
      <c r="BB347" s="115">
        <f>IF($P347=BI$299,BI$302,0)</f>
        <v>0</v>
      </c>
      <c r="BC347" s="115">
        <f>IF($P347=BJ$299,BJ$302,0)</f>
        <v>0</v>
      </c>
      <c r="BD347" s="115">
        <f>IF($P347=BK$299,BK$302,0)</f>
        <v>0</v>
      </c>
      <c r="BE347" s="115">
        <f>IF($P347=BL$299,BL$302,0)</f>
        <v>0</v>
      </c>
      <c r="BH347" s="115">
        <f>SUM(BA347:BE348)</f>
        <v>2</v>
      </c>
      <c r="BJ347" s="115">
        <v>60</v>
      </c>
      <c r="BK347" s="5"/>
      <c r="BL347" s="115"/>
      <c r="BN347" s="11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</row>
    <row r="348" s="4" customFormat="1" ht="6" customHeight="1"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23"/>
      <c r="N348" s="123"/>
      <c r="O348" s="123"/>
      <c r="P348" s="124"/>
      <c r="Q348" s="123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  <c r="AB348" s="134"/>
      <c r="AC348" s="135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  <c r="AO348" s="120"/>
      <c r="AP348" s="120"/>
      <c r="AQ348" s="139"/>
      <c r="AR348" s="5"/>
      <c r="AS348" s="5"/>
      <c r="AT348" s="5"/>
      <c r="AU348" s="5"/>
      <c r="AV348"/>
      <c r="AW348"/>
      <c r="AX348"/>
      <c r="AY348"/>
      <c r="AZ348"/>
      <c r="BA348" s="115"/>
      <c r="BB348" s="115"/>
      <c r="BC348" s="115"/>
      <c r="BD348" s="115"/>
      <c r="BE348" s="115"/>
      <c r="BH348" s="115"/>
      <c r="BJ348" s="115"/>
      <c r="BK348" s="5"/>
      <c r="BL348" s="115"/>
      <c r="BN348" s="11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</row>
    <row r="349" s="4" customFormat="1" ht="3" customHeight="1">
      <c r="C349" s="143"/>
      <c r="D349" s="5"/>
      <c r="E349" s="5"/>
      <c r="F349" s="5"/>
      <c r="G349" s="5"/>
      <c r="H349" s="5"/>
      <c r="I349" s="5"/>
      <c r="J349" s="5"/>
      <c r="K349" s="5"/>
      <c r="L349" s="5"/>
      <c r="M349" s="140"/>
      <c r="N349" s="140"/>
      <c r="O349" s="140"/>
      <c r="P349" s="140"/>
      <c r="Q349" s="14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  <c r="AB349" s="120"/>
      <c r="AC349" s="120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  <c r="AO349" s="120"/>
      <c r="AP349" s="120"/>
      <c r="AQ349" s="5"/>
      <c r="AR349" s="5"/>
      <c r="AS349" s="5"/>
      <c r="AT349" s="5"/>
      <c r="AU349" s="5"/>
      <c r="AV349"/>
      <c r="AW349"/>
      <c r="AX349"/>
      <c r="AY349"/>
      <c r="AZ349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</row>
    <row r="350" s="4" customFormat="1" ht="6" customHeight="1">
      <c r="D350" s="5"/>
      <c r="E350" s="5"/>
      <c r="F350" s="5"/>
      <c r="G350" s="5"/>
      <c r="H350" s="5"/>
      <c r="I350" s="5"/>
      <c r="J350" s="5"/>
      <c r="K350" s="5"/>
      <c r="L350" s="5"/>
      <c r="M350" s="140"/>
      <c r="N350" s="140"/>
      <c r="O350" s="140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/>
      <c r="AW350"/>
      <c r="AX350"/>
      <c r="AY350"/>
      <c r="AZ350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</row>
    <row r="351" s="4" customFormat="1" ht="6.6" customHeight="1">
      <c r="C351" s="143"/>
      <c r="D351" s="5"/>
      <c r="E351" s="5"/>
      <c r="F351" s="5"/>
      <c r="G351" s="5"/>
      <c r="H351" s="5"/>
      <c r="I351" s="5"/>
      <c r="J351" s="5"/>
      <c r="K351" s="5"/>
      <c r="L351" s="5"/>
      <c r="M351" s="142"/>
      <c r="N351" s="142"/>
      <c r="O351" s="142"/>
      <c r="P351" s="119"/>
      <c r="Q351" s="119"/>
      <c r="R351" s="119"/>
      <c r="V351" s="5"/>
      <c r="W351" s="118"/>
      <c r="X351" s="5"/>
      <c r="Y351" s="5"/>
      <c r="AA351" s="5"/>
      <c r="AB351" s="119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/>
      <c r="AW351"/>
      <c r="AX351"/>
      <c r="AY351"/>
      <c r="AZ351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</row>
    <row r="352" s="4" customFormat="1" ht="3" customHeight="1">
      <c r="D352" s="5"/>
      <c r="E352" s="5"/>
      <c r="F352" s="5"/>
      <c r="G352" s="5"/>
      <c r="H352" s="5"/>
      <c r="I352" s="5"/>
      <c r="J352" s="5"/>
      <c r="K352" s="5"/>
      <c r="L352" s="5"/>
      <c r="M352" s="140"/>
      <c r="N352" s="14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  <c r="AC352" s="120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  <c r="AO352" s="120"/>
      <c r="AP352" s="120"/>
      <c r="AQ352" s="5"/>
      <c r="AR352" s="5"/>
      <c r="AS352" s="5"/>
      <c r="AT352" s="5"/>
      <c r="AU352" s="5"/>
      <c r="AV352"/>
      <c r="AW352"/>
      <c r="AX352"/>
      <c r="AY352"/>
      <c r="AZ352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</row>
    <row r="353" s="4" customFormat="1" ht="6" customHeight="1">
      <c r="C353" s="133" t="s">
        <v>103</v>
      </c>
      <c r="D353" s="133"/>
      <c r="E353" s="133"/>
      <c r="F353" s="133"/>
      <c r="G353" s="133"/>
      <c r="H353" s="133"/>
      <c r="I353" s="133"/>
      <c r="J353" s="133"/>
      <c r="K353" s="133"/>
      <c r="L353" s="133"/>
      <c r="M353" s="123"/>
      <c r="N353" s="123"/>
      <c r="O353" s="123"/>
      <c r="P353" s="124" t="s">
        <v>52</v>
      </c>
      <c r="Q353" s="123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34"/>
      <c r="AC353" s="135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  <c r="AO353" s="120"/>
      <c r="AP353" s="120"/>
      <c r="AQ353" s="136" t="s">
        <v>34</v>
      </c>
      <c r="AR353" s="5"/>
      <c r="AS353" s="5"/>
      <c r="AT353" s="5"/>
      <c r="AU353" s="5"/>
      <c r="AV353"/>
      <c r="AW353"/>
      <c r="AX353"/>
      <c r="AY353"/>
      <c r="AZ353"/>
      <c r="BA353" s="115">
        <f>IF($P353=BH$299,BH$302,0)</f>
        <v>2</v>
      </c>
      <c r="BB353" s="115">
        <f>IF($P353=BI$299,BI$302,0)</f>
        <v>0</v>
      </c>
      <c r="BC353" s="115">
        <f>IF($P353=BJ$299,BJ$302,0)</f>
        <v>0</v>
      </c>
      <c r="BD353" s="115">
        <f>IF($P353=BK$299,BK$302,0)</f>
        <v>0</v>
      </c>
      <c r="BE353" s="115">
        <f>IF($P353=BL$299,BL$302,0)</f>
        <v>0</v>
      </c>
      <c r="BH353" s="115">
        <f>SUM(BA353:BE354)</f>
        <v>2</v>
      </c>
      <c r="BJ353" s="115">
        <v>60</v>
      </c>
      <c r="BK353" s="5"/>
      <c r="BL353" s="115"/>
      <c r="BN353" s="11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</row>
    <row r="354" s="4" customFormat="1" ht="6" customHeight="1"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23"/>
      <c r="N354" s="123"/>
      <c r="O354" s="123"/>
      <c r="P354" s="124"/>
      <c r="Q354" s="123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34"/>
      <c r="AC354" s="135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  <c r="AO354" s="120"/>
      <c r="AP354" s="120"/>
      <c r="AQ354" s="139"/>
      <c r="AR354" s="5"/>
      <c r="AS354" s="5"/>
      <c r="AT354" s="5"/>
      <c r="AU354" s="5"/>
      <c r="AV354"/>
      <c r="AW354"/>
      <c r="AX354"/>
      <c r="AY354"/>
      <c r="AZ354"/>
      <c r="BA354" s="115"/>
      <c r="BB354" s="115"/>
      <c r="BC354" s="115"/>
      <c r="BD354" s="115"/>
      <c r="BE354" s="115"/>
      <c r="BH354" s="115"/>
      <c r="BJ354" s="115"/>
      <c r="BK354" s="5"/>
      <c r="BL354" s="115"/>
      <c r="BN354" s="11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</row>
    <row r="355" s="4" customFormat="1" ht="3" customHeight="1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140"/>
      <c r="N355" s="140"/>
      <c r="O355" s="140"/>
      <c r="P355" s="140"/>
      <c r="Q355" s="14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  <c r="AC355" s="120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  <c r="AO355" s="120"/>
      <c r="AP355" s="120"/>
      <c r="AQ355" s="5"/>
      <c r="AR355" s="5"/>
      <c r="AS355" s="5"/>
      <c r="AT355" s="5"/>
      <c r="AU355" s="5"/>
      <c r="AV355"/>
      <c r="AW355"/>
      <c r="AX355"/>
      <c r="AY355"/>
      <c r="AZ35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</row>
    <row r="356" s="4" customFormat="1" ht="6" customHeight="1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140"/>
      <c r="N356" s="140"/>
      <c r="O356" s="140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/>
      <c r="AW356"/>
      <c r="AX356"/>
      <c r="AY356"/>
      <c r="AZ356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</row>
    <row r="357" s="4" customFormat="1" ht="6.6" customHeight="1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142"/>
      <c r="N357" s="142"/>
      <c r="O357" s="142"/>
      <c r="P357" s="119"/>
      <c r="Q357" s="119"/>
      <c r="R357" s="119"/>
      <c r="V357" s="5"/>
      <c r="W357" s="118"/>
      <c r="X357" s="5"/>
      <c r="Y357" s="5"/>
      <c r="AA357" s="5"/>
      <c r="AB357" s="119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/>
      <c r="AW357"/>
      <c r="AX357"/>
      <c r="AY357"/>
      <c r="AZ357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</row>
    <row r="358" s="4" customFormat="1" ht="3" customHeight="1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140"/>
      <c r="N358" s="14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  <c r="AC358" s="120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  <c r="AO358" s="120"/>
      <c r="AP358" s="120"/>
      <c r="AQ358" s="5"/>
      <c r="AR358" s="5"/>
      <c r="AS358" s="5"/>
      <c r="AT358" s="5"/>
      <c r="AU358" s="5"/>
      <c r="AV358"/>
      <c r="AW358"/>
      <c r="AX358"/>
      <c r="AY358"/>
      <c r="AZ358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</row>
    <row r="359" s="4" customFormat="1" ht="6" customHeight="1">
      <c r="C359" s="133" t="s">
        <v>104</v>
      </c>
      <c r="D359" s="133"/>
      <c r="E359" s="133"/>
      <c r="F359" s="133"/>
      <c r="G359" s="133"/>
      <c r="H359" s="133"/>
      <c r="I359" s="133"/>
      <c r="J359" s="133"/>
      <c r="K359" s="133"/>
      <c r="L359" s="133"/>
      <c r="M359" s="123"/>
      <c r="N359" s="123"/>
      <c r="O359" s="123"/>
      <c r="P359" s="124" t="s">
        <v>54</v>
      </c>
      <c r="Q359" s="123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34"/>
      <c r="AC359" s="135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  <c r="AO359" s="120"/>
      <c r="AP359" s="120"/>
      <c r="AQ359" s="136" t="s">
        <v>34</v>
      </c>
      <c r="AR359" s="5"/>
      <c r="AS359" s="5"/>
      <c r="AT359" s="5"/>
      <c r="AU359" s="5"/>
      <c r="AV359"/>
      <c r="AW359"/>
      <c r="AX359"/>
      <c r="AY359"/>
      <c r="AZ359"/>
      <c r="BA359" s="115">
        <f>IF($P359=BH$299,BH$302,0)</f>
        <v>0</v>
      </c>
      <c r="BB359" s="115">
        <f>IF($P359=BI$299,BI$302,0)</f>
        <v>0</v>
      </c>
      <c r="BC359" s="115">
        <f>IF($P359=BJ$299,BJ$302,0)</f>
        <v>52</v>
      </c>
      <c r="BD359" s="115">
        <f>IF($P359=BK$299,BK$302,0)</f>
        <v>0</v>
      </c>
      <c r="BE359" s="115">
        <f>IF($P359=BL$299,BL$302,0)</f>
        <v>0</v>
      </c>
      <c r="BH359" s="115">
        <f>SUM(BA359:BE360)</f>
        <v>52</v>
      </c>
      <c r="BJ359" s="115">
        <v>60</v>
      </c>
      <c r="BK359" s="5"/>
      <c r="BL359" s="115"/>
      <c r="BN359" s="11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</row>
    <row r="360" s="4" customFormat="1" ht="6" customHeight="1"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23"/>
      <c r="N360" s="123"/>
      <c r="O360" s="123"/>
      <c r="P360" s="124"/>
      <c r="Q360" s="123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34"/>
      <c r="AC360" s="135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  <c r="AO360" s="120"/>
      <c r="AP360" s="120"/>
      <c r="AQ360" s="139"/>
      <c r="AR360" s="5"/>
      <c r="AS360" s="5"/>
      <c r="AT360" s="5"/>
      <c r="AU360" s="5"/>
      <c r="AV360"/>
      <c r="AW360"/>
      <c r="AX360"/>
      <c r="AY360"/>
      <c r="AZ360"/>
      <c r="BA360" s="115"/>
      <c r="BB360" s="115"/>
      <c r="BC360" s="115"/>
      <c r="BD360" s="115"/>
      <c r="BE360" s="115"/>
      <c r="BH360" s="115"/>
      <c r="BJ360" s="115"/>
      <c r="BK360" s="5"/>
      <c r="BL360" s="115"/>
      <c r="BN360" s="11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</row>
    <row r="361" s="4" customFormat="1" ht="3" customHeight="1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140"/>
      <c r="N361" s="140"/>
      <c r="O361" s="140"/>
      <c r="P361" s="140"/>
      <c r="Q361" s="14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  <c r="AC361" s="120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  <c r="AO361" s="120"/>
      <c r="AP361" s="120"/>
      <c r="AQ361" s="5"/>
      <c r="AR361" s="5"/>
      <c r="AS361" s="5"/>
      <c r="AT361" s="5"/>
      <c r="AU361" s="5"/>
      <c r="AV361"/>
      <c r="AW361"/>
      <c r="AX361"/>
      <c r="AY361"/>
      <c r="AZ361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</row>
    <row r="362" s="4" customFormat="1" ht="6" customHeight="1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140"/>
      <c r="N362" s="140"/>
      <c r="O362" s="140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/>
      <c r="AW362"/>
      <c r="AX362"/>
      <c r="AY362"/>
      <c r="AZ362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</row>
    <row r="363" s="4" customFormat="1" ht="6.6" customHeight="1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142"/>
      <c r="N363" s="142"/>
      <c r="O363" s="142"/>
      <c r="P363" s="119"/>
      <c r="Q363" s="119"/>
      <c r="R363" s="119"/>
      <c r="V363" s="5"/>
      <c r="W363" s="118"/>
      <c r="X363" s="5"/>
      <c r="Y363" s="5"/>
      <c r="AA363" s="5"/>
      <c r="AB363" s="119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/>
      <c r="AW363"/>
      <c r="AX363"/>
      <c r="AY363"/>
      <c r="AZ363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</row>
    <row r="364" s="4" customFormat="1" ht="3" customHeight="1"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140"/>
      <c r="N364" s="14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0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  <c r="AO364" s="120"/>
      <c r="AP364" s="120"/>
      <c r="AQ364" s="5"/>
      <c r="AR364" s="5"/>
      <c r="AS364" s="5"/>
      <c r="AT364" s="5"/>
      <c r="AU364" s="5"/>
      <c r="AV364"/>
      <c r="AW364"/>
      <c r="AX364"/>
      <c r="AY364"/>
      <c r="AZ364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</row>
    <row r="365" s="4" customFormat="1" ht="6" customHeight="1">
      <c r="C365" s="133" t="s">
        <v>105</v>
      </c>
      <c r="D365" s="133"/>
      <c r="E365" s="133"/>
      <c r="F365" s="133"/>
      <c r="G365" s="133"/>
      <c r="H365" s="133"/>
      <c r="I365" s="133"/>
      <c r="J365" s="133"/>
      <c r="K365" s="133"/>
      <c r="L365" s="133"/>
      <c r="M365" s="123"/>
      <c r="N365" s="123"/>
      <c r="O365" s="123"/>
      <c r="P365" s="124" t="s">
        <v>94</v>
      </c>
      <c r="Q365" s="123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34"/>
      <c r="AC365" s="135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  <c r="AO365" s="120"/>
      <c r="AP365" s="120"/>
      <c r="AQ365" s="136" t="s">
        <v>34</v>
      </c>
      <c r="AR365" s="5"/>
      <c r="AS365" s="5"/>
      <c r="AT365" s="5"/>
      <c r="AU365" s="5"/>
      <c r="AV365"/>
      <c r="AW365"/>
      <c r="AX365"/>
      <c r="AY365"/>
      <c r="AZ365"/>
      <c r="BA365" s="115">
        <f>IF($P365=BH$299,BH$302,0)</f>
        <v>0</v>
      </c>
      <c r="BB365" s="115">
        <f>IF($P365=BI$299,BI$302,0)</f>
        <v>0</v>
      </c>
      <c r="BC365" s="115">
        <f>IF($P365=BJ$299,BJ$302,0)</f>
        <v>0</v>
      </c>
      <c r="BD365" s="115">
        <f>IF($P365=BK$299,BK$302,0)</f>
        <v>78</v>
      </c>
      <c r="BE365" s="115">
        <f>IF($P365=BL$299,BL$302,0)</f>
        <v>0</v>
      </c>
      <c r="BH365" s="115">
        <f>SUM(BA365:BE366)</f>
        <v>78</v>
      </c>
      <c r="BJ365" s="115">
        <v>60</v>
      </c>
      <c r="BK365" s="5"/>
      <c r="BL365" s="115"/>
      <c r="BN365" s="11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</row>
    <row r="366" s="4" customFormat="1" ht="6" customHeight="1"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23"/>
      <c r="N366" s="123"/>
      <c r="O366" s="123"/>
      <c r="P366" s="124"/>
      <c r="Q366" s="123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34"/>
      <c r="AC366" s="135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  <c r="AO366" s="120"/>
      <c r="AP366" s="120"/>
      <c r="AQ366" s="139"/>
      <c r="AR366" s="5"/>
      <c r="AS366" s="5"/>
      <c r="AT366" s="5"/>
      <c r="AU366" s="5"/>
      <c r="AV366"/>
      <c r="AW366"/>
      <c r="AX366"/>
      <c r="AY366"/>
      <c r="AZ366"/>
      <c r="BA366" s="115"/>
      <c r="BB366" s="115"/>
      <c r="BC366" s="115"/>
      <c r="BD366" s="115"/>
      <c r="BE366" s="115"/>
      <c r="BH366" s="115"/>
      <c r="BJ366" s="115"/>
      <c r="BK366" s="5"/>
      <c r="BL366" s="115"/>
      <c r="BN366" s="11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</row>
    <row r="367" s="4" customFormat="1" ht="3" customHeight="1"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140"/>
      <c r="N367" s="140"/>
      <c r="O367" s="140"/>
      <c r="P367" s="140"/>
      <c r="Q367" s="14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  <c r="AC367" s="120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  <c r="AO367" s="120"/>
      <c r="AP367" s="120"/>
      <c r="AQ367" s="5"/>
      <c r="AR367" s="5"/>
      <c r="AS367" s="5"/>
      <c r="AT367" s="5"/>
      <c r="AU367" s="5"/>
      <c r="AV367"/>
      <c r="AW367"/>
      <c r="AX367"/>
      <c r="AY367"/>
      <c r="AZ367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</row>
    <row r="368" s="4" customFormat="1" ht="6" customHeight="1"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140"/>
      <c r="N368" s="140"/>
      <c r="O368" s="140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/>
      <c r="AW368"/>
      <c r="AX368"/>
      <c r="AY368"/>
      <c r="AZ368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</row>
    <row r="369" s="4" customFormat="1" ht="6.6" customHeight="1"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119"/>
      <c r="N369" s="142"/>
      <c r="O369" s="142"/>
      <c r="P369" s="119"/>
      <c r="Q369" s="119"/>
      <c r="R369" s="119"/>
      <c r="V369" s="5"/>
      <c r="W369" s="118"/>
      <c r="X369" s="5"/>
      <c r="Y369" s="5"/>
      <c r="AA369" s="5"/>
      <c r="AB369" s="119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/>
      <c r="AW369"/>
      <c r="AX369"/>
      <c r="AY369"/>
      <c r="AZ369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</row>
    <row r="370" s="4" customFormat="1" ht="3" customHeight="1">
      <c r="C370" s="5"/>
      <c r="D370" s="5"/>
      <c r="E370" s="5"/>
      <c r="F370" s="5"/>
      <c r="G370" s="5"/>
      <c r="H370" s="5"/>
      <c r="I370" s="5"/>
      <c r="J370" s="5"/>
      <c r="K370" s="5"/>
      <c r="L370" s="5"/>
      <c r="N370" s="14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  <c r="AC370" s="120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  <c r="AO370" s="120"/>
      <c r="AP370" s="120"/>
      <c r="AQ370" s="5"/>
      <c r="AR370" s="5"/>
      <c r="AS370" s="5"/>
      <c r="AT370" s="5"/>
      <c r="AU370" s="5"/>
      <c r="AV370"/>
      <c r="AW370"/>
      <c r="AX370"/>
      <c r="AY370"/>
      <c r="AZ370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</row>
    <row r="371" s="4" customFormat="1" ht="6" customHeight="1">
      <c r="C371" s="133" t="s">
        <v>106</v>
      </c>
      <c r="D371" s="133"/>
      <c r="E371" s="133"/>
      <c r="F371" s="133"/>
      <c r="G371" s="133"/>
      <c r="H371" s="133"/>
      <c r="I371" s="133"/>
      <c r="J371" s="133"/>
      <c r="K371" s="133"/>
      <c r="L371" s="133"/>
      <c r="M371" s="123"/>
      <c r="N371" s="123"/>
      <c r="O371" s="123"/>
      <c r="P371" s="124" t="s">
        <v>53</v>
      </c>
      <c r="Q371" s="123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34"/>
      <c r="AC371" s="135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  <c r="AO371" s="120"/>
      <c r="AP371" s="120"/>
      <c r="AQ371" s="136" t="s">
        <v>34</v>
      </c>
      <c r="AR371" s="5"/>
      <c r="AS371" s="5"/>
      <c r="AT371" s="5"/>
      <c r="AU371" s="5"/>
      <c r="AV371"/>
      <c r="AW371"/>
      <c r="AX371"/>
      <c r="AY371"/>
      <c r="AZ371"/>
      <c r="BA371" s="115">
        <f>IF($P371=BH$299,BH$302,0)</f>
        <v>0</v>
      </c>
      <c r="BB371" s="115">
        <f>IF($P371=BI$299,BI$302,0)</f>
        <v>26</v>
      </c>
      <c r="BC371" s="115">
        <f>IF($P371=BJ$299,BJ$302,0)</f>
        <v>0</v>
      </c>
      <c r="BD371" s="115">
        <f>IF($P371=BK$299,BK$302,0)</f>
        <v>0</v>
      </c>
      <c r="BE371" s="115">
        <f>IF($P371=BL$299,BL$302,0)</f>
        <v>0</v>
      </c>
      <c r="BH371" s="115">
        <f>SUM(BA371:BE372)</f>
        <v>26</v>
      </c>
      <c r="BJ371" s="115">
        <v>60</v>
      </c>
      <c r="BK371" s="5"/>
      <c r="BL371" s="115"/>
      <c r="BN371" s="11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</row>
    <row r="372" s="4" customFormat="1" ht="6" customHeight="1"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23"/>
      <c r="N372" s="123"/>
      <c r="O372" s="123"/>
      <c r="P372" s="124"/>
      <c r="Q372" s="123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34"/>
      <c r="AC372" s="135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  <c r="AO372" s="120"/>
      <c r="AP372" s="120"/>
      <c r="AQ372" s="139"/>
      <c r="AR372" s="5"/>
      <c r="AS372" s="5"/>
      <c r="AT372" s="5"/>
      <c r="AU372" s="5"/>
      <c r="AV372"/>
      <c r="AW372"/>
      <c r="AX372"/>
      <c r="AY372"/>
      <c r="AZ372"/>
      <c r="BA372" s="115"/>
      <c r="BB372" s="115"/>
      <c r="BC372" s="115"/>
      <c r="BD372" s="115"/>
      <c r="BE372" s="115"/>
      <c r="BH372" s="115"/>
      <c r="BJ372" s="115"/>
      <c r="BK372" s="5"/>
      <c r="BL372" s="115"/>
      <c r="BN372" s="11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</row>
    <row r="373" s="4" customFormat="1" ht="3" customHeight="1"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140"/>
      <c r="N373" s="140"/>
      <c r="O373" s="140"/>
      <c r="P373" s="140"/>
      <c r="Q373" s="14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  <c r="AC373" s="120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  <c r="AO373" s="120"/>
      <c r="AP373" s="120"/>
      <c r="AQ373" s="5"/>
      <c r="AR373" s="5"/>
      <c r="AS373" s="5"/>
      <c r="AT373" s="5"/>
      <c r="AU373" s="5"/>
      <c r="AV373"/>
      <c r="AW373"/>
      <c r="AX373"/>
      <c r="AY373"/>
      <c r="AZ373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</row>
    <row r="374" s="4" customFormat="1" ht="6" customHeight="1"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140"/>
      <c r="N374" s="140"/>
      <c r="O374" s="140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/>
      <c r="AW374"/>
      <c r="AX374"/>
      <c r="AY374"/>
      <c r="AZ374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</row>
    <row r="375" s="4" customFormat="1" ht="6.6" customHeight="1"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142"/>
      <c r="N375" s="142"/>
      <c r="O375" s="142"/>
      <c r="P375" s="119"/>
      <c r="Q375" s="119"/>
      <c r="R375" s="119"/>
      <c r="V375" s="5"/>
      <c r="W375" s="118"/>
      <c r="X375" s="5"/>
      <c r="Y375" s="5"/>
      <c r="AA375" s="5"/>
      <c r="AB375" s="119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/>
      <c r="AW375"/>
      <c r="AX375"/>
      <c r="AY375"/>
      <c r="AZ37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</row>
    <row r="376" s="4" customFormat="1" ht="3" customHeight="1"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140"/>
      <c r="N376" s="14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0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  <c r="AO376" s="120"/>
      <c r="AP376" s="120"/>
      <c r="AQ376" s="5"/>
      <c r="AR376" s="5"/>
      <c r="AS376" s="5"/>
      <c r="AT376" s="5"/>
      <c r="AU376" s="5"/>
      <c r="AV376"/>
      <c r="AW376"/>
      <c r="AX376"/>
      <c r="AY376"/>
      <c r="AZ376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</row>
    <row r="377" s="4" customFormat="1" ht="6" customHeight="1">
      <c r="C377" s="133" t="s">
        <v>107</v>
      </c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23"/>
      <c r="O377" s="123"/>
      <c r="P377" s="124" t="s">
        <v>78</v>
      </c>
      <c r="Q377" s="123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34"/>
      <c r="AC377" s="135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  <c r="AO377" s="120"/>
      <c r="AP377" s="120"/>
      <c r="AQ377" s="136" t="s">
        <v>34</v>
      </c>
      <c r="AR377" s="5"/>
      <c r="AS377" s="5"/>
      <c r="AT377" s="5"/>
      <c r="AU377" s="5"/>
      <c r="AV377"/>
      <c r="AW377"/>
      <c r="AX377"/>
      <c r="AY377"/>
      <c r="AZ377"/>
      <c r="BA377" s="115">
        <f>IF($P377=BH$299,BH$302,0)</f>
        <v>0</v>
      </c>
      <c r="BB377" s="115">
        <f>IF($P377=BI$299,BI$302,0)</f>
        <v>0</v>
      </c>
      <c r="BC377" s="115">
        <f>IF($P377=BJ$299,BJ$302,0)</f>
        <v>0</v>
      </c>
      <c r="BD377" s="115">
        <f>IF($P377=BK$299,BK$302,0)</f>
        <v>0</v>
      </c>
      <c r="BE377" s="115">
        <f>IF($P377=BL$299,BL$302,0)</f>
        <v>98</v>
      </c>
      <c r="BH377" s="115">
        <f>SUM(BA377:BE378)</f>
        <v>98</v>
      </c>
      <c r="BJ377" s="115">
        <v>60</v>
      </c>
      <c r="BK377" s="5"/>
      <c r="BL377" s="115"/>
      <c r="BN377" s="11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</row>
    <row r="378" s="4" customFormat="1" ht="6" customHeight="1"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23"/>
      <c r="O378" s="123"/>
      <c r="P378" s="124"/>
      <c r="Q378" s="123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34"/>
      <c r="AC378" s="135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  <c r="AO378" s="120"/>
      <c r="AP378" s="120"/>
      <c r="AQ378" s="139"/>
      <c r="AR378" s="5"/>
      <c r="AS378" s="5"/>
      <c r="AT378" s="5"/>
      <c r="AU378" s="5"/>
      <c r="AV378"/>
      <c r="AW378"/>
      <c r="AX378"/>
      <c r="AY378"/>
      <c r="AZ378"/>
      <c r="BA378" s="115"/>
      <c r="BB378" s="115"/>
      <c r="BC378" s="115"/>
      <c r="BD378" s="115"/>
      <c r="BE378" s="115"/>
      <c r="BH378" s="115"/>
      <c r="BJ378" s="115"/>
      <c r="BK378" s="5"/>
      <c r="BL378" s="115"/>
      <c r="BN378" s="11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</row>
    <row r="379" s="4" customFormat="1" ht="3" customHeight="1"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140"/>
      <c r="N379" s="140"/>
      <c r="O379" s="140"/>
      <c r="P379" s="140"/>
      <c r="Q379" s="14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  <c r="AB379" s="120"/>
      <c r="AC379" s="120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  <c r="AO379" s="120"/>
      <c r="AP379" s="120"/>
      <c r="AQ379" s="5"/>
      <c r="AR379" s="5"/>
      <c r="AS379" s="5"/>
      <c r="AT379" s="5"/>
      <c r="AU379" s="5"/>
      <c r="AV379"/>
      <c r="AW379"/>
      <c r="AX379"/>
      <c r="AY379"/>
      <c r="AZ379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</row>
    <row r="380" s="4" customFormat="1" ht="6" customHeight="1"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140"/>
      <c r="N380" s="140"/>
      <c r="O380" s="140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/>
      <c r="AW380"/>
      <c r="AX380"/>
      <c r="AY380"/>
      <c r="AZ380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</row>
    <row r="381" s="4" customFormat="1" ht="6.6" customHeight="1"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142"/>
      <c r="N381" s="142"/>
      <c r="O381" s="142"/>
      <c r="P381" s="119"/>
      <c r="Q381" s="119"/>
      <c r="R381" s="119"/>
      <c r="V381" s="5"/>
      <c r="W381" s="118"/>
      <c r="X381" s="5"/>
      <c r="Y381" s="5"/>
      <c r="AA381" s="5"/>
      <c r="AB381" s="119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/>
      <c r="AW381"/>
      <c r="AX381"/>
      <c r="AY381"/>
      <c r="AZ381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</row>
    <row r="382" s="4" customFormat="1" ht="3" customHeight="1"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140"/>
      <c r="N382" s="14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  <c r="AB382" s="120"/>
      <c r="AC382" s="120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  <c r="AO382" s="120"/>
      <c r="AP382" s="120"/>
      <c r="AQ382" s="5"/>
      <c r="AR382" s="5"/>
      <c r="AS382" s="5"/>
      <c r="AT382" s="5"/>
      <c r="AU382" s="5"/>
      <c r="AV382"/>
      <c r="AW382"/>
      <c r="AX382"/>
      <c r="AY382"/>
      <c r="AZ382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</row>
    <row r="383" s="4" customFormat="1" ht="6" customHeight="1">
      <c r="C383" s="133" t="s">
        <v>108</v>
      </c>
      <c r="D383" s="133"/>
      <c r="E383" s="133"/>
      <c r="F383" s="133"/>
      <c r="G383" s="133"/>
      <c r="H383" s="133"/>
      <c r="I383" s="133"/>
      <c r="J383" s="133"/>
      <c r="K383" s="133"/>
      <c r="L383" s="133"/>
      <c r="M383" s="123"/>
      <c r="N383" s="123"/>
      <c r="O383" s="123"/>
      <c r="P383" s="124" t="s">
        <v>53</v>
      </c>
      <c r="Q383" s="123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  <c r="AB383" s="134"/>
      <c r="AC383" s="135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  <c r="AO383" s="120"/>
      <c r="AP383" s="120"/>
      <c r="AQ383" s="136" t="s">
        <v>78</v>
      </c>
      <c r="AR383" s="5"/>
      <c r="AS383" s="5"/>
      <c r="AT383" s="5"/>
      <c r="AU383" s="5"/>
      <c r="AV383"/>
      <c r="AW383"/>
      <c r="AX383"/>
      <c r="AY383"/>
      <c r="AZ383"/>
      <c r="BA383" s="115">
        <f>IF($P383=BH$299,BH$302,0)</f>
        <v>0</v>
      </c>
      <c r="BB383" s="115">
        <f>IF($P383=BI$299,BI$302,0)</f>
        <v>26</v>
      </c>
      <c r="BC383" s="115">
        <f>IF($P383=BJ$299,BJ$302,0)</f>
        <v>0</v>
      </c>
      <c r="BD383" s="115">
        <f>IF($P383=BK$299,BK$302,0)</f>
        <v>0</v>
      </c>
      <c r="BE383" s="115">
        <f>IF($P383=BL$299,BL$302,0)</f>
        <v>0</v>
      </c>
      <c r="BH383" s="115">
        <f>SUM(BA383:BE384)</f>
        <v>26</v>
      </c>
      <c r="BJ383" s="115">
        <v>60</v>
      </c>
      <c r="BK383" s="5"/>
      <c r="BL383" s="115"/>
      <c r="BN383" s="11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</row>
    <row r="384" s="4" customFormat="1" ht="6" customHeight="1"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23"/>
      <c r="N384" s="123"/>
      <c r="O384" s="123"/>
      <c r="P384" s="124"/>
      <c r="Q384" s="123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  <c r="AB384" s="134"/>
      <c r="AC384" s="135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  <c r="AO384" s="120"/>
      <c r="AP384" s="120"/>
      <c r="AQ384" s="139"/>
      <c r="AR384" s="5"/>
      <c r="AS384" s="5"/>
      <c r="AT384" s="5"/>
      <c r="AU384" s="5"/>
      <c r="AV384"/>
      <c r="AW384"/>
      <c r="AX384"/>
      <c r="AY384"/>
      <c r="AZ384"/>
      <c r="BA384" s="115"/>
      <c r="BB384" s="115"/>
      <c r="BC384" s="115"/>
      <c r="BD384" s="115"/>
      <c r="BE384" s="115"/>
      <c r="BH384" s="115"/>
      <c r="BJ384" s="115"/>
      <c r="BK384" s="5"/>
      <c r="BL384" s="115"/>
      <c r="BN384" s="11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</row>
    <row r="385" s="4" customFormat="1" ht="3" customHeight="1">
      <c r="C385" s="154"/>
      <c r="D385" s="5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  <c r="AC385" s="120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  <c r="AO385" s="120"/>
      <c r="AP385" s="120"/>
      <c r="AQ385" s="5"/>
      <c r="AR385" s="5"/>
      <c r="AS385" s="5"/>
      <c r="AT385" s="5"/>
      <c r="AU385" s="5"/>
      <c r="AV385"/>
      <c r="AW385"/>
      <c r="AX385"/>
      <c r="AY385"/>
      <c r="AZ38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</row>
    <row r="386" s="4" customFormat="1" ht="6" customHeight="1">
      <c r="C386" s="154"/>
      <c r="D386" s="5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  <c r="AA386" s="140"/>
      <c r="AB386" s="140"/>
      <c r="AC386" s="140"/>
      <c r="AD386" s="140"/>
      <c r="AE386" s="140"/>
      <c r="AF386" s="140"/>
      <c r="AG386" s="140"/>
      <c r="AH386" s="140"/>
      <c r="AI386" s="140"/>
      <c r="AJ386" s="140"/>
      <c r="AK386" s="140"/>
      <c r="AL386" s="140"/>
      <c r="AM386" s="140"/>
      <c r="AN386" s="140"/>
      <c r="AO386" s="140"/>
      <c r="AP386" s="140"/>
      <c r="AQ386" s="5"/>
      <c r="AV386"/>
      <c r="AW386"/>
      <c r="AX386"/>
      <c r="AY386"/>
      <c r="AZ386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</row>
    <row r="387" s="4" customFormat="1" ht="6" customHeight="1">
      <c r="C387" s="154"/>
      <c r="D387" s="5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  <c r="AA387" s="140"/>
      <c r="AB387" s="140"/>
      <c r="AC387" s="140"/>
      <c r="AD387" s="140"/>
      <c r="AE387" s="140"/>
      <c r="AF387" s="140"/>
      <c r="AG387" s="140"/>
      <c r="AH387" s="140"/>
      <c r="AI387" s="140"/>
      <c r="AJ387" s="140"/>
      <c r="AK387" s="140"/>
      <c r="AL387" s="140"/>
      <c r="AM387" s="140"/>
      <c r="AN387" s="140"/>
      <c r="AO387" s="140"/>
      <c r="AP387" s="140"/>
      <c r="AQ387" s="5"/>
      <c r="AV387"/>
      <c r="AW387"/>
      <c r="AX387"/>
      <c r="AY387"/>
      <c r="AZ387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</row>
    <row r="388" s="4" customFormat="1" ht="3" customHeight="1"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140"/>
      <c r="N388" s="14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  <c r="AB388" s="120"/>
      <c r="AC388" s="120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  <c r="AO388" s="120"/>
      <c r="AP388" s="120"/>
      <c r="AQ388" s="5"/>
      <c r="AR388" s="5"/>
      <c r="AS388" s="5"/>
      <c r="AT388" s="5"/>
      <c r="AU388" s="5"/>
      <c r="AV388"/>
      <c r="AW388"/>
      <c r="AX388"/>
      <c r="AY388"/>
      <c r="AZ388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</row>
    <row r="389" s="4" customFormat="1" ht="6" customHeight="1">
      <c r="C389" s="133" t="s">
        <v>109</v>
      </c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23"/>
      <c r="O389" s="123"/>
      <c r="P389" s="124" t="s">
        <v>78</v>
      </c>
      <c r="Q389" s="123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  <c r="AB389" s="134"/>
      <c r="AC389" s="135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  <c r="AO389" s="120"/>
      <c r="AP389" s="120"/>
      <c r="AQ389" s="136" t="s">
        <v>34</v>
      </c>
      <c r="AR389" s="5"/>
      <c r="AS389" s="5"/>
      <c r="AT389" s="5"/>
      <c r="AU389" s="5"/>
      <c r="AV389"/>
      <c r="AW389"/>
      <c r="AX389"/>
      <c r="AY389"/>
      <c r="AZ389"/>
      <c r="BA389" s="115">
        <f>IF($P389=BH$299,BH$302,0)</f>
        <v>0</v>
      </c>
      <c r="BB389" s="115">
        <f>IF($P389=BI$299,BI$302,0)</f>
        <v>0</v>
      </c>
      <c r="BC389" s="115">
        <f>IF($P389=BJ$299,BJ$302,0)</f>
        <v>0</v>
      </c>
      <c r="BD389" s="115">
        <f>IF($P389=BK$299,BK$302,0)</f>
        <v>0</v>
      </c>
      <c r="BE389" s="115">
        <f>IF($P389=BL$299,BL$302,0)</f>
        <v>98</v>
      </c>
      <c r="BH389" s="115">
        <f>SUM(BA389:BE390)</f>
        <v>98</v>
      </c>
      <c r="BJ389" s="115">
        <v>60</v>
      </c>
      <c r="BK389" s="5"/>
      <c r="BL389" s="115"/>
      <c r="BN389" s="11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</row>
    <row r="390" s="4" customFormat="1" ht="6" customHeight="1"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23"/>
      <c r="O390" s="123"/>
      <c r="P390" s="124"/>
      <c r="Q390" s="123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  <c r="AB390" s="134"/>
      <c r="AC390" s="135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  <c r="AO390" s="120"/>
      <c r="AP390" s="120"/>
      <c r="AQ390" s="139"/>
      <c r="AR390" s="5"/>
      <c r="AS390" s="5"/>
      <c r="AT390" s="5"/>
      <c r="AU390" s="5"/>
      <c r="AV390"/>
      <c r="AW390"/>
      <c r="AX390"/>
      <c r="AY390"/>
      <c r="AZ390"/>
      <c r="BA390" s="115"/>
      <c r="BB390" s="115"/>
      <c r="BC390" s="115"/>
      <c r="BD390" s="115"/>
      <c r="BE390" s="115"/>
      <c r="BH390" s="115"/>
      <c r="BJ390" s="115"/>
      <c r="BK390" s="5"/>
      <c r="BL390" s="115"/>
      <c r="BN390" s="11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</row>
    <row r="391" s="4" customFormat="1" ht="3" customHeight="1">
      <c r="C391" s="154"/>
      <c r="D391" s="5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  <c r="AB391" s="120"/>
      <c r="AC391" s="120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  <c r="AO391" s="120"/>
      <c r="AP391" s="120"/>
      <c r="AQ391" s="5"/>
      <c r="AR391" s="5"/>
      <c r="AS391" s="5"/>
      <c r="AT391" s="5"/>
      <c r="AU391" s="5"/>
      <c r="AV391"/>
      <c r="AW391"/>
      <c r="AX391"/>
      <c r="AY391"/>
      <c r="AZ391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</row>
    <row r="392" s="4" customFormat="1" ht="6" customHeight="1">
      <c r="C392" s="154"/>
      <c r="D392" s="5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  <c r="AA392" s="140"/>
      <c r="AB392" s="140"/>
      <c r="AC392" s="140"/>
      <c r="AD392" s="140"/>
      <c r="AE392" s="140"/>
      <c r="AF392" s="140"/>
      <c r="AG392" s="140"/>
      <c r="AH392" s="140"/>
      <c r="AI392" s="140"/>
      <c r="AJ392" s="140"/>
      <c r="AK392" s="140"/>
      <c r="AL392" s="140"/>
      <c r="AM392" s="140"/>
      <c r="AN392" s="140"/>
      <c r="AO392" s="140"/>
      <c r="AP392" s="140"/>
      <c r="AQ392" s="5"/>
      <c r="AV392"/>
      <c r="AW392"/>
      <c r="AX392"/>
      <c r="AY392"/>
      <c r="AZ392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</row>
    <row r="393" s="4" customFormat="1" ht="6" customHeight="1">
      <c r="C393" s="154"/>
      <c r="D393" s="5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  <c r="AA393" s="140"/>
      <c r="AB393" s="140"/>
      <c r="AC393" s="140"/>
      <c r="AD393" s="140"/>
      <c r="AE393" s="140"/>
      <c r="AF393" s="140"/>
      <c r="AG393" s="140"/>
      <c r="AH393" s="140"/>
      <c r="AI393" s="140"/>
      <c r="AJ393" s="140"/>
      <c r="AK393" s="140"/>
      <c r="AL393" s="140"/>
      <c r="AM393" s="140"/>
      <c r="AN393" s="140"/>
      <c r="AO393" s="140"/>
      <c r="AP393" s="140"/>
      <c r="AQ393" s="5"/>
      <c r="AV393"/>
      <c r="AW393"/>
      <c r="AX393"/>
      <c r="AY393"/>
      <c r="AZ393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</row>
    <row r="394" s="4" customFormat="1" ht="3" customHeight="1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140"/>
      <c r="N394" s="14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  <c r="AC394" s="120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  <c r="AO394" s="120"/>
      <c r="AP394" s="120"/>
      <c r="AQ394" s="5"/>
      <c r="AR394" s="5"/>
      <c r="AS394" s="5"/>
      <c r="AT394" s="5"/>
      <c r="AU394" s="5"/>
      <c r="AV394"/>
      <c r="AW394"/>
      <c r="AX394"/>
      <c r="AY394"/>
      <c r="AZ394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</row>
    <row r="395" s="4" customFormat="1" ht="6" customHeight="1">
      <c r="C395" s="133" t="s">
        <v>110</v>
      </c>
      <c r="D395" s="133"/>
      <c r="E395" s="133"/>
      <c r="F395" s="133"/>
      <c r="G395" s="133"/>
      <c r="H395" s="133"/>
      <c r="I395" s="133"/>
      <c r="J395" s="133"/>
      <c r="K395" s="133"/>
      <c r="L395" s="133"/>
      <c r="M395" s="123"/>
      <c r="N395" s="123"/>
      <c r="O395" s="123"/>
      <c r="P395" s="124" t="s">
        <v>52</v>
      </c>
      <c r="Q395" s="123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  <c r="AB395" s="134"/>
      <c r="AC395" s="135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  <c r="AO395" s="120"/>
      <c r="AP395" s="120"/>
      <c r="AQ395" s="136" t="s">
        <v>34</v>
      </c>
      <c r="AR395" s="5"/>
      <c r="AS395" s="5"/>
      <c r="AT395" s="5"/>
      <c r="AU395" s="5"/>
      <c r="AV395"/>
      <c r="AW395"/>
      <c r="AX395"/>
      <c r="AY395"/>
      <c r="AZ395"/>
      <c r="BA395" s="115">
        <f>IF($P395=BH$299,BH$302,0)</f>
        <v>2</v>
      </c>
      <c r="BB395" s="115">
        <f>IF($P395=BI$299,BI$302,0)</f>
        <v>0</v>
      </c>
      <c r="BC395" s="115">
        <f>IF($P395=BJ$299,BJ$302,0)</f>
        <v>0</v>
      </c>
      <c r="BD395" s="115">
        <f>IF($P395=BK$299,BK$302,0)</f>
        <v>0</v>
      </c>
      <c r="BE395" s="115">
        <f>IF($P395=BL$299,BL$302,0)</f>
        <v>0</v>
      </c>
      <c r="BH395" s="115">
        <f>SUM(BA395:BE396)</f>
        <v>2</v>
      </c>
      <c r="BJ395" s="115">
        <v>60</v>
      </c>
      <c r="BK395" s="5"/>
      <c r="BL395" s="115"/>
      <c r="BN395" s="11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</row>
    <row r="396" s="4" customFormat="1" ht="6" customHeight="1"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23"/>
      <c r="N396" s="123"/>
      <c r="O396" s="123"/>
      <c r="P396" s="124"/>
      <c r="Q396" s="123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  <c r="AB396" s="134"/>
      <c r="AC396" s="135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  <c r="AO396" s="120"/>
      <c r="AP396" s="120"/>
      <c r="AQ396" s="139"/>
      <c r="AR396" s="5"/>
      <c r="AS396" s="5"/>
      <c r="AT396" s="5"/>
      <c r="AU396" s="5"/>
      <c r="AV396"/>
      <c r="AW396"/>
      <c r="AX396"/>
      <c r="AY396"/>
      <c r="AZ396"/>
      <c r="BA396" s="115"/>
      <c r="BB396" s="115"/>
      <c r="BC396" s="115"/>
      <c r="BD396" s="115"/>
      <c r="BE396" s="115"/>
      <c r="BH396" s="115"/>
      <c r="BJ396" s="115"/>
      <c r="BK396" s="5"/>
      <c r="BL396" s="115"/>
      <c r="BN396" s="11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</row>
    <row r="397" s="4" customFormat="1" ht="3" customHeight="1">
      <c r="C397" s="154"/>
      <c r="D397" s="5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  <c r="AC397" s="120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  <c r="AO397" s="120"/>
      <c r="AP397" s="120"/>
      <c r="AQ397" s="5"/>
      <c r="AR397" s="5"/>
      <c r="AS397" s="5"/>
      <c r="AT397" s="5"/>
      <c r="AU397" s="5"/>
      <c r="AV397"/>
      <c r="AW397"/>
      <c r="AX397"/>
      <c r="AY397"/>
      <c r="AZ397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</row>
    <row r="398" s="4" customFormat="1" ht="6" customHeight="1">
      <c r="C398" s="154"/>
      <c r="D398" s="5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  <c r="AA398" s="140"/>
      <c r="AB398" s="140"/>
      <c r="AC398" s="140"/>
      <c r="AD398" s="140"/>
      <c r="AE398" s="140"/>
      <c r="AF398" s="140"/>
      <c r="AG398" s="140"/>
      <c r="AH398" s="140"/>
      <c r="AI398" s="140"/>
      <c r="AJ398" s="140"/>
      <c r="AK398" s="140"/>
      <c r="AL398" s="140"/>
      <c r="AM398" s="140"/>
      <c r="AN398" s="140"/>
      <c r="AO398" s="140"/>
      <c r="AP398" s="140"/>
      <c r="AQ398" s="5"/>
      <c r="AV398"/>
      <c r="AW398"/>
      <c r="AX398"/>
      <c r="AY398"/>
      <c r="AZ398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</row>
    <row r="399" s="4" customFormat="1" ht="6" customHeight="1">
      <c r="C399" s="154"/>
      <c r="D399" s="5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  <c r="AA399" s="140"/>
      <c r="AB399" s="140"/>
      <c r="AC399" s="140"/>
      <c r="AD399" s="140"/>
      <c r="AE399" s="140"/>
      <c r="AF399" s="140"/>
      <c r="AG399" s="140"/>
      <c r="AH399" s="140"/>
      <c r="AI399" s="140"/>
      <c r="AJ399" s="140"/>
      <c r="AK399" s="140"/>
      <c r="AL399" s="140"/>
      <c r="AM399" s="140"/>
      <c r="AN399" s="140"/>
      <c r="AO399" s="140"/>
      <c r="AP399" s="140"/>
      <c r="AQ399" s="5"/>
      <c r="AV399"/>
      <c r="AW399"/>
      <c r="AX399"/>
      <c r="AY399"/>
      <c r="AZ399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</row>
    <row r="400" s="4" customFormat="1" ht="3" customHeight="1"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140"/>
      <c r="N400" s="14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  <c r="AB400" s="120"/>
      <c r="AC400" s="120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  <c r="AO400" s="120"/>
      <c r="AP400" s="120"/>
      <c r="AQ400" s="5"/>
      <c r="AR400" s="5"/>
      <c r="AS400" s="5"/>
      <c r="AT400" s="5"/>
      <c r="AU400" s="5"/>
      <c r="AV400"/>
      <c r="AW400"/>
      <c r="AX400"/>
      <c r="AY400"/>
      <c r="AZ400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</row>
    <row r="401" s="4" customFormat="1" ht="6" customHeight="1">
      <c r="C401" s="133" t="s">
        <v>111</v>
      </c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/>
      <c r="P401" s="124" t="s">
        <v>52</v>
      </c>
      <c r="Q401" s="123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34"/>
      <c r="AC401" s="135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  <c r="AO401" s="120"/>
      <c r="AP401" s="120"/>
      <c r="AQ401" s="136" t="s">
        <v>78</v>
      </c>
      <c r="AR401" s="5"/>
      <c r="AS401" s="5"/>
      <c r="AT401" s="5"/>
      <c r="AU401" s="5"/>
      <c r="AV401"/>
      <c r="AW401"/>
      <c r="AX401"/>
      <c r="AY401"/>
      <c r="AZ401"/>
      <c r="BA401" s="115">
        <f>IF($P401=BH$299,BH$302,0)</f>
        <v>2</v>
      </c>
      <c r="BB401" s="115">
        <f>IF($P401=BI$299,BI$302,0)</f>
        <v>0</v>
      </c>
      <c r="BC401" s="115">
        <f>IF($P401=BJ$299,BJ$302,0)</f>
        <v>0</v>
      </c>
      <c r="BD401" s="115">
        <f>IF($P401=BK$299,BK$302,0)</f>
        <v>0</v>
      </c>
      <c r="BE401" s="115">
        <f>IF($P401=BL$299,BL$302,0)</f>
        <v>0</v>
      </c>
      <c r="BH401" s="115">
        <f>SUM(BA401:BE402)</f>
        <v>2</v>
      </c>
      <c r="BJ401" s="115">
        <v>60</v>
      </c>
      <c r="BK401" s="5"/>
      <c r="BL401" s="115"/>
      <c r="BN401" s="11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</row>
    <row r="402" s="4" customFormat="1" ht="6" customHeight="1"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/>
      <c r="P402" s="124"/>
      <c r="Q402" s="123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  <c r="AB402" s="134"/>
      <c r="AC402" s="135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39"/>
      <c r="AR402" s="5"/>
      <c r="AS402" s="5"/>
      <c r="AT402" s="5"/>
      <c r="AU402" s="5"/>
      <c r="AV402"/>
      <c r="AW402"/>
      <c r="AX402"/>
      <c r="AY402"/>
      <c r="AZ402"/>
      <c r="BA402" s="115"/>
      <c r="BB402" s="115"/>
      <c r="BC402" s="115"/>
      <c r="BD402" s="115"/>
      <c r="BE402" s="115"/>
      <c r="BH402" s="115"/>
      <c r="BJ402" s="115"/>
      <c r="BK402" s="5"/>
      <c r="BL402" s="115"/>
      <c r="BN402" s="11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</row>
    <row r="403" s="4" customFormat="1" ht="3" customHeight="1"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 s="14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5"/>
      <c r="AR403" s="5"/>
      <c r="AS403" s="5"/>
      <c r="AT403" s="5"/>
      <c r="AU403" s="5"/>
      <c r="AV403"/>
      <c r="AW403"/>
      <c r="AX403"/>
      <c r="AY403"/>
      <c r="AZ403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</row>
    <row r="404" ht="13.5" customHeight="1">
      <c r="A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115"/>
      <c r="Y404" s="4"/>
      <c r="Z404" s="4"/>
      <c r="AA404" s="115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V404"/>
      <c r="AW404"/>
      <c r="AX404"/>
      <c r="AY404"/>
      <c r="AZ404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</row>
    <row r="405" ht="13.5" customHeight="1">
      <c r="A405" s="4" t="s">
        <v>62</v>
      </c>
      <c r="C405" s="4"/>
      <c r="D405" s="4"/>
      <c r="E405" s="4"/>
      <c r="F405" s="4" t="s">
        <v>63</v>
      </c>
      <c r="H405" s="155" t="s">
        <v>112</v>
      </c>
      <c r="I405" s="4"/>
      <c r="J405" s="4"/>
      <c r="K405" s="4"/>
      <c r="L405" s="4" t="s">
        <v>67</v>
      </c>
      <c r="N405" s="155" t="s">
        <v>113</v>
      </c>
      <c r="O405" s="115"/>
      <c r="P405" s="4"/>
      <c r="Q405" s="4"/>
      <c r="R405" s="4"/>
      <c r="S405" s="4"/>
      <c r="T405" s="115" t="s">
        <v>65</v>
      </c>
      <c r="U405" s="155" t="s">
        <v>114</v>
      </c>
      <c r="V405" s="4"/>
      <c r="W405" s="4"/>
      <c r="X405" s="4"/>
      <c r="Y405" s="4"/>
      <c r="Z405" s="1"/>
      <c r="AA405" s="1"/>
      <c r="AB405" s="115" t="s">
        <v>115</v>
      </c>
      <c r="AC405" s="155" t="s">
        <v>116</v>
      </c>
      <c r="AD405" s="4"/>
      <c r="AE405" s="4"/>
      <c r="AF405" s="4"/>
      <c r="AG405" s="4"/>
      <c r="AH405" s="4"/>
      <c r="AI405" s="4"/>
      <c r="AJ405" s="115" t="s">
        <v>86</v>
      </c>
      <c r="AK405" s="155" t="s">
        <v>117</v>
      </c>
      <c r="AL405" s="4"/>
      <c r="AM405" s="4"/>
      <c r="AN405" s="4"/>
      <c r="AO405" s="4"/>
      <c r="AP405" s="4"/>
      <c r="AV405"/>
      <c r="AW405"/>
      <c r="AX405"/>
      <c r="AY405"/>
      <c r="AZ40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</row>
    <row r="406" ht="6.6" customHeight="1">
      <c r="A406" s="4"/>
      <c r="C406" s="4"/>
      <c r="D406" s="4"/>
      <c r="E406" s="4"/>
      <c r="F406" s="4"/>
      <c r="H406" s="155"/>
      <c r="I406" s="4"/>
      <c r="J406" s="4"/>
      <c r="K406" s="4"/>
      <c r="L406" s="4"/>
      <c r="N406" s="155"/>
      <c r="O406" s="115"/>
      <c r="P406" s="4"/>
      <c r="Q406" s="4"/>
      <c r="R406" s="4"/>
      <c r="S406" s="4"/>
      <c r="T406" s="115"/>
      <c r="U406" s="155"/>
      <c r="V406" s="4"/>
      <c r="W406" s="4"/>
      <c r="X406" s="4"/>
      <c r="Y406" s="4"/>
      <c r="Z406" s="1"/>
      <c r="AA406" s="1"/>
      <c r="AB406" s="115"/>
      <c r="AC406" s="155"/>
      <c r="AD406" s="4"/>
      <c r="AE406" s="4"/>
      <c r="AF406" s="4"/>
      <c r="AG406" s="4"/>
      <c r="AH406" s="4"/>
      <c r="AI406" s="4"/>
      <c r="AJ406" s="115"/>
      <c r="AK406" s="155"/>
      <c r="AL406" s="4"/>
      <c r="AM406" s="4"/>
      <c r="AN406" s="4"/>
      <c r="AO406" s="4"/>
      <c r="AP406" s="4"/>
      <c r="AV406"/>
      <c r="AW406"/>
      <c r="AX406"/>
      <c r="AY406"/>
      <c r="AZ406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</row>
    <row r="407" s="1" customFormat="1" ht="13.5" customHeight="1">
      <c r="F407" s="4" t="s">
        <v>82</v>
      </c>
      <c r="G407" s="144" t="s">
        <v>83</v>
      </c>
      <c r="H407" s="22"/>
      <c r="I407" s="22"/>
      <c r="J407" s="22"/>
      <c r="K407" s="22"/>
      <c r="L407" s="22"/>
      <c r="M407" s="22"/>
      <c r="N407" s="22"/>
      <c r="T407" s="4" t="s">
        <v>84</v>
      </c>
      <c r="U407" s="144" t="s">
        <v>85</v>
      </c>
      <c r="AG407" s="4" t="s">
        <v>86</v>
      </c>
      <c r="AH407" s="144" t="s">
        <v>87</v>
      </c>
      <c r="AP407" s="4"/>
      <c r="AQ407" s="5"/>
      <c r="AR407" s="5"/>
      <c r="AV407"/>
      <c r="AW407"/>
      <c r="AX407"/>
      <c r="AY407"/>
      <c r="AZ407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</row>
    <row r="408" s="1" customFormat="1" ht="13.5" customHeight="1">
      <c r="A408" s="4"/>
      <c r="B408" s="5"/>
      <c r="C408" s="4"/>
      <c r="D408" s="4"/>
      <c r="E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115"/>
      <c r="X408" s="4"/>
      <c r="Y408" s="4"/>
      <c r="Z408" s="115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156"/>
      <c r="AR408" s="5"/>
      <c r="AV408"/>
      <c r="AW408"/>
      <c r="AX408"/>
      <c r="AY408"/>
      <c r="AZ408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</row>
    <row r="409" s="1" customFormat="1" ht="13.5" customHeight="1">
      <c r="A409" s="4"/>
      <c r="B409" s="5"/>
      <c r="C409" s="4"/>
      <c r="D409" s="4"/>
      <c r="E409" s="4"/>
      <c r="F409" s="4"/>
      <c r="G409" s="5"/>
      <c r="H409" s="110"/>
      <c r="I409" s="11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115"/>
      <c r="X409" s="4"/>
      <c r="Y409" s="4"/>
      <c r="Z409" s="115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156"/>
      <c r="AR409" s="5"/>
      <c r="AV409"/>
      <c r="AW409"/>
      <c r="AX409"/>
      <c r="AY409"/>
      <c r="AZ409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</row>
    <row r="410" s="1" customFormat="1" ht="13.5" customHeight="1">
      <c r="A410" s="5"/>
      <c r="B410" s="5"/>
      <c r="C410" s="5"/>
      <c r="H410" s="5"/>
      <c r="I410" s="5"/>
      <c r="J410" s="5"/>
      <c r="K410" s="5"/>
      <c r="AF410" s="5"/>
      <c r="AG410" s="5"/>
      <c r="AH410" s="5"/>
      <c r="AI410" s="5"/>
      <c r="AJ410" s="5"/>
      <c r="AK410" s="11"/>
      <c r="AL410" s="11"/>
      <c r="AM410" s="11"/>
      <c r="AN410" s="11"/>
      <c r="AO410" s="11"/>
      <c r="AP410" s="11"/>
      <c r="AQ410"/>
      <c r="AR410" s="5"/>
      <c r="AV410"/>
      <c r="AW410"/>
      <c r="AX410"/>
      <c r="AY410"/>
      <c r="AZ410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</row>
    <row r="411" s="1" customFormat="1" ht="13.5" customHeight="1">
      <c r="A411" s="5"/>
      <c r="B411" s="5"/>
      <c r="C411" s="5"/>
      <c r="H411" s="5"/>
      <c r="I411" s="5"/>
      <c r="J411" s="5"/>
      <c r="K411" s="5"/>
      <c r="AG411" s="5"/>
      <c r="AH411" s="5"/>
      <c r="AI411" s="5"/>
      <c r="AJ411" s="5"/>
      <c r="AK411" s="11"/>
      <c r="AL411" s="11"/>
      <c r="AM411" s="11"/>
      <c r="AN411" s="11"/>
      <c r="AO411" s="11"/>
      <c r="AP411" s="11"/>
      <c r="AQ411"/>
      <c r="AR411" s="5"/>
      <c r="AV411"/>
      <c r="AW411"/>
      <c r="AX411"/>
      <c r="AY411"/>
      <c r="AZ411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</row>
    <row r="412" s="1" customFormat="1" ht="13.5" customHeight="1">
      <c r="A412" s="5"/>
      <c r="B412" s="5"/>
      <c r="C412" s="5"/>
      <c r="H412" s="5"/>
      <c r="I412" s="5"/>
      <c r="J412" s="5"/>
      <c r="K412" s="5"/>
      <c r="L412" s="92" t="s">
        <v>44</v>
      </c>
      <c r="M412" s="93"/>
      <c r="N412" s="5"/>
      <c r="O412" s="5"/>
      <c r="P412" s="5"/>
      <c r="Q412" s="5"/>
      <c r="R412" s="5"/>
      <c r="S412" s="5"/>
      <c r="U412" s="5"/>
      <c r="V412" s="5"/>
      <c r="W412" s="92" t="s">
        <v>45</v>
      </c>
      <c r="AI412" s="92" t="s">
        <v>46</v>
      </c>
      <c r="AJ412" s="5"/>
      <c r="AK412" s="5"/>
      <c r="AL412" s="5"/>
      <c r="AM412" s="5"/>
      <c r="AN412" s="5"/>
      <c r="AO412" s="11"/>
      <c r="AP412" s="11"/>
      <c r="AQ412"/>
      <c r="AR412" s="5"/>
      <c r="AV412"/>
      <c r="AW412"/>
      <c r="AX412"/>
      <c r="AY412"/>
      <c r="AZ412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</row>
    <row r="413" s="1" customFormat="1" ht="13.5" customHeight="1">
      <c r="A413" s="5"/>
      <c r="B413" s="5"/>
      <c r="C413" s="5"/>
      <c r="H413" s="5"/>
      <c r="I413" s="5"/>
      <c r="J413" s="5"/>
      <c r="K413" s="5"/>
      <c r="L413" s="94" t="str">
        <f>IF(cod&lt;&gt;"",cod,"")</f>
        <v>ASDFGHJKL</v>
      </c>
      <c r="M413" s="94"/>
      <c r="N413" s="94"/>
      <c r="O413" s="94"/>
      <c r="P413" s="94"/>
      <c r="Q413" s="94"/>
      <c r="R413" s="92"/>
      <c r="S413" s="92"/>
      <c r="T413" s="92"/>
      <c r="U413" s="92"/>
      <c r="V413" s="92"/>
      <c r="W413" s="95" t="str">
        <f>IF(num&lt;&gt;"",num,"")</f>
        <v>9999</v>
      </c>
      <c r="X413" s="95"/>
      <c r="Y413" s="95"/>
      <c r="Z413" s="95"/>
      <c r="AA413" s="95"/>
      <c r="AB413" s="95"/>
      <c r="AI413" s="96" t="str">
        <f>IF(dat&lt;&gt;"",dat,"")</f>
        <v>05/06/2026</v>
      </c>
      <c r="AJ413" s="96"/>
      <c r="AK413" s="96"/>
      <c r="AL413" s="96"/>
      <c r="AM413" s="96"/>
      <c r="AN413" s="96"/>
      <c r="AQ413"/>
      <c r="AR413" s="5"/>
      <c r="AV413"/>
      <c r="AW413"/>
      <c r="AX413"/>
      <c r="AY413"/>
      <c r="AZ413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</row>
    <row r="414" s="5" customFormat="1" ht="13.2" customHeight="1">
      <c r="D414" s="1"/>
      <c r="E414" s="1"/>
      <c r="F414" s="1"/>
      <c r="G414" s="1"/>
      <c r="L414" s="97"/>
      <c r="M414" s="97"/>
      <c r="N414" s="97"/>
      <c r="O414" s="97"/>
      <c r="P414" s="97"/>
      <c r="Q414" s="97"/>
      <c r="R414" s="92"/>
      <c r="S414" s="92"/>
      <c r="T414" s="92"/>
      <c r="U414" s="92"/>
      <c r="V414" s="92"/>
      <c r="W414" s="98"/>
      <c r="X414" s="98"/>
      <c r="Y414" s="98"/>
      <c r="Z414" s="98"/>
      <c r="AA414" s="98"/>
      <c r="AB414" s="98"/>
      <c r="AC414" s="1"/>
      <c r="AD414" s="1"/>
      <c r="AE414" s="1"/>
      <c r="AF414" s="1"/>
      <c r="AG414" s="1"/>
      <c r="AH414" s="1"/>
      <c r="AI414" s="99"/>
      <c r="AJ414" s="99"/>
      <c r="AK414" s="99"/>
      <c r="AL414" s="99"/>
      <c r="AM414" s="99"/>
      <c r="AN414" s="99"/>
      <c r="AO414" s="1"/>
      <c r="AP414" s="1"/>
      <c r="AQ414"/>
      <c r="AV414"/>
      <c r="AW414"/>
      <c r="AX414"/>
      <c r="AY414"/>
      <c r="AZ414"/>
    </row>
    <row r="415" s="5" customFormat="1" ht="9.6" customHeight="1">
      <c r="D415" s="1"/>
      <c r="E415" s="1"/>
      <c r="F415" s="1"/>
      <c r="G415" s="1"/>
      <c r="L415" s="94"/>
      <c r="M415" s="94"/>
      <c r="N415" s="94"/>
      <c r="O415" s="94"/>
      <c r="P415" s="94"/>
      <c r="Q415" s="94"/>
      <c r="R415" s="92"/>
      <c r="S415" s="92"/>
      <c r="T415" s="92"/>
      <c r="U415" s="92"/>
      <c r="V415" s="92"/>
      <c r="W415" s="94"/>
      <c r="X415" s="94"/>
      <c r="Y415" s="94"/>
      <c r="Z415" s="94"/>
      <c r="AA415" s="94"/>
      <c r="AB415" s="94"/>
      <c r="AC415" s="1"/>
      <c r="AD415" s="1"/>
      <c r="AE415" s="1"/>
      <c r="AF415" s="1"/>
      <c r="AG415" s="1"/>
      <c r="AH415" s="1"/>
      <c r="AI415" s="100"/>
      <c r="AJ415" s="100"/>
      <c r="AK415" s="100"/>
      <c r="AL415" s="100"/>
      <c r="AM415" s="100"/>
      <c r="AN415" s="100"/>
      <c r="AO415" s="1"/>
      <c r="AP415" s="1"/>
    </row>
    <row r="416" thickBot="1" s="5" customFormat="1" ht="13.2" customHeight="1">
      <c r="A416" s="25"/>
      <c r="B416" s="25"/>
      <c r="C416" s="25"/>
      <c r="D416" s="26"/>
      <c r="E416" s="26"/>
      <c r="F416" s="26"/>
      <c r="G416" s="26"/>
      <c r="H416" s="25"/>
      <c r="I416" s="25"/>
      <c r="J416" s="25"/>
      <c r="K416" s="25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5"/>
      <c r="AG416" s="25"/>
      <c r="AH416" s="25"/>
      <c r="AI416" s="25"/>
      <c r="AJ416" s="25"/>
      <c r="AK416" s="101"/>
      <c r="AL416" s="101"/>
      <c r="AM416" s="101"/>
      <c r="AN416" s="101"/>
      <c r="AO416" s="101"/>
      <c r="AP416" s="101"/>
    </row>
    <row r="417" thickTop="1" s="5" customFormat="1" ht="13.2" customHeight="1">
      <c r="D417" s="1"/>
      <c r="E417" s="1"/>
      <c r="F417" s="1"/>
      <c r="G417" s="1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1"/>
      <c r="AD417" s="1"/>
      <c r="AE417" s="1"/>
      <c r="AF417" s="1"/>
      <c r="AG417" s="1"/>
      <c r="AH417" s="1"/>
      <c r="AI417" s="100"/>
      <c r="AJ417" s="100"/>
      <c r="AK417" s="100"/>
      <c r="AL417" s="100"/>
      <c r="AM417" s="100"/>
      <c r="AN417" s="100"/>
      <c r="AO417" s="1"/>
      <c r="AP417" s="1"/>
    </row>
    <row r="418" thickBot="1" s="5" customFormat="1" ht="13.2" customHeight="1">
      <c r="D418" s="1"/>
      <c r="E418" s="1"/>
      <c r="F418" s="1"/>
      <c r="G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K418" s="11"/>
      <c r="AL418" s="11"/>
      <c r="AM418" s="11"/>
      <c r="AN418" s="11"/>
      <c r="AO418" s="11"/>
      <c r="AP418" s="11"/>
      <c r="AQ418"/>
    </row>
    <row r="419" thickBot="1" s="5" customFormat="1" ht="13.2" customHeight="1">
      <c r="C419" s="157" t="s">
        <v>118</v>
      </c>
      <c r="D419" s="158"/>
      <c r="E419" s="158"/>
      <c r="F419" s="158"/>
      <c r="G419" s="158"/>
      <c r="H419" s="158"/>
      <c r="I419" s="158"/>
      <c r="J419" s="158"/>
      <c r="K419" s="158"/>
      <c r="L419" s="158"/>
      <c r="M419" s="159"/>
      <c r="Q419" s="157" t="s">
        <v>119</v>
      </c>
      <c r="R419" s="158"/>
      <c r="S419" s="158"/>
      <c r="T419" s="158"/>
      <c r="U419" s="158"/>
      <c r="V419" s="158"/>
      <c r="W419" s="158"/>
      <c r="X419" s="158"/>
      <c r="Y419" s="158"/>
      <c r="Z419" s="158"/>
      <c r="AA419" s="159"/>
      <c r="AF419" s="157" t="s">
        <v>120</v>
      </c>
      <c r="AG419" s="158"/>
      <c r="AH419" s="158"/>
      <c r="AI419" s="158"/>
      <c r="AJ419" s="158"/>
      <c r="AK419" s="158"/>
      <c r="AL419" s="158"/>
      <c r="AM419" s="158"/>
      <c r="AN419" s="158"/>
      <c r="AO419" s="158"/>
      <c r="AP419" s="159"/>
      <c r="AQ419"/>
    </row>
    <row r="420" s="5" customFormat="1" ht="13.2" customHeight="1"/>
    <row r="421" s="5" customFormat="1" ht="13.2" customHeight="1">
      <c r="C421" s="160" t="s">
        <v>121</v>
      </c>
      <c r="D421" s="161"/>
      <c r="E421" s="161"/>
      <c r="F421" s="161"/>
      <c r="G421" s="161"/>
      <c r="H421" s="161"/>
      <c r="I421" s="161"/>
      <c r="J421" s="162"/>
      <c r="K421" s="163">
        <v>1</v>
      </c>
      <c r="L421" s="163">
        <v>1</v>
      </c>
      <c r="M421" s="163">
        <v>1</v>
      </c>
      <c r="N421" s="5">
        <f>SUM(K421:M421)</f>
        <v>3</v>
      </c>
      <c r="Q421" s="160" t="s">
        <v>122</v>
      </c>
      <c r="R421" s="161"/>
      <c r="S421" s="161"/>
      <c r="T421" s="161"/>
      <c r="U421" s="161"/>
      <c r="V421" s="161"/>
      <c r="W421" s="161"/>
      <c r="X421" s="162"/>
      <c r="Y421" s="163">
        <v>1</v>
      </c>
      <c r="Z421" s="163">
        <v>1</v>
      </c>
      <c r="AA421" s="163"/>
      <c r="AB421" s="5">
        <f>SUM(Y421:AA421)</f>
        <v>2</v>
      </c>
      <c r="AF421" s="160" t="s">
        <v>123</v>
      </c>
      <c r="AG421" s="161"/>
      <c r="AH421" s="161"/>
      <c r="AI421" s="161"/>
      <c r="AJ421" s="161"/>
      <c r="AK421" s="161"/>
      <c r="AL421" s="161"/>
      <c r="AM421" s="162"/>
      <c r="AN421" s="163">
        <v>1</v>
      </c>
      <c r="AO421" s="163">
        <v>1</v>
      </c>
      <c r="AP421" s="163">
        <v>1</v>
      </c>
      <c r="AQ421" s="5">
        <f>SUM(AN421:AP421)</f>
        <v>3</v>
      </c>
    </row>
    <row r="422" s="5" customFormat="1" ht="13.2" customHeight="1"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</row>
    <row r="423" s="5" customFormat="1" ht="13.2" customHeight="1">
      <c r="C423" s="160" t="s">
        <v>124</v>
      </c>
      <c r="D423" s="161"/>
      <c r="E423" s="161"/>
      <c r="F423" s="161"/>
      <c r="G423" s="161"/>
      <c r="H423" s="161"/>
      <c r="I423" s="161"/>
      <c r="J423" s="162"/>
      <c r="K423" s="163">
        <v>1</v>
      </c>
      <c r="L423" s="163"/>
      <c r="M423" s="163"/>
      <c r="N423" s="5">
        <f t="shared" ref="N423:N456" si="0">SUM(K423:M423)</f>
        <v>1</v>
      </c>
      <c r="Q423" s="160" t="s">
        <v>125</v>
      </c>
      <c r="R423" s="161"/>
      <c r="S423" s="161"/>
      <c r="T423" s="161"/>
      <c r="U423" s="161"/>
      <c r="V423" s="161"/>
      <c r="W423" s="161"/>
      <c r="X423" s="162"/>
      <c r="Y423" s="163">
        <v>1</v>
      </c>
      <c r="Z423" s="163">
        <v>1</v>
      </c>
      <c r="AA423" s="163"/>
      <c r="AB423" s="5">
        <f t="shared" ref="AB423" si="1">SUM(Y423:AA423)</f>
        <v>2</v>
      </c>
      <c r="AF423" s="160" t="s">
        <v>126</v>
      </c>
      <c r="AG423" s="161"/>
      <c r="AH423" s="161"/>
      <c r="AI423" s="161"/>
      <c r="AJ423" s="161"/>
      <c r="AK423" s="161"/>
      <c r="AL423" s="161"/>
      <c r="AM423" s="162"/>
      <c r="AN423" s="163">
        <v>1</v>
      </c>
      <c r="AO423" s="163">
        <v>1</v>
      </c>
      <c r="AP423" s="163"/>
      <c r="AQ423" s="5">
        <f t="shared" ref="AQ423" si="2">SUM(AN423:AP423)</f>
        <v>2</v>
      </c>
    </row>
    <row r="424" s="5" customFormat="1" ht="13.2" customHeight="1"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</row>
    <row r="425" s="5" customFormat="1" ht="13.2" customHeight="1">
      <c r="C425" s="160" t="s">
        <v>127</v>
      </c>
      <c r="D425" s="161"/>
      <c r="E425" s="161"/>
      <c r="F425" s="161"/>
      <c r="G425" s="161"/>
      <c r="H425" s="161"/>
      <c r="I425" s="161"/>
      <c r="J425" s="162"/>
      <c r="K425" s="163">
        <v>1</v>
      </c>
      <c r="L425" s="163">
        <v>1</v>
      </c>
      <c r="M425" s="163"/>
      <c r="N425" s="5">
        <f t="shared" si="0"/>
        <v>2</v>
      </c>
      <c r="Q425" s="160" t="s">
        <v>128</v>
      </c>
      <c r="R425" s="161"/>
      <c r="S425" s="161"/>
      <c r="T425" s="161"/>
      <c r="U425" s="161"/>
      <c r="V425" s="161"/>
      <c r="W425" s="161"/>
      <c r="X425" s="162"/>
      <c r="Y425" s="163">
        <v>1</v>
      </c>
      <c r="Z425" s="163">
        <v>1</v>
      </c>
      <c r="AA425" s="163">
        <v>1</v>
      </c>
      <c r="AB425" s="5">
        <f t="shared" ref="AB425" si="3">SUM(Y425:AA425)</f>
        <v>3</v>
      </c>
      <c r="AF425" s="160" t="s">
        <v>129</v>
      </c>
      <c r="AG425" s="161"/>
      <c r="AH425" s="161"/>
      <c r="AI425" s="161"/>
      <c r="AJ425" s="161"/>
      <c r="AK425" s="161"/>
      <c r="AL425" s="161"/>
      <c r="AM425" s="162"/>
      <c r="AN425" s="163">
        <v>1</v>
      </c>
      <c r="AO425" s="163">
        <v>1</v>
      </c>
      <c r="AP425" s="163">
        <v>1</v>
      </c>
      <c r="AQ425" s="5">
        <f t="shared" ref="AQ425" si="4">SUM(AN425:AP425)</f>
        <v>3</v>
      </c>
    </row>
    <row r="426" s="5" customFormat="1" ht="13.2" customHeight="1"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</row>
    <row r="427" s="5" customFormat="1" ht="13.2" customHeight="1">
      <c r="C427" s="160" t="s">
        <v>130</v>
      </c>
      <c r="D427" s="161"/>
      <c r="E427" s="161"/>
      <c r="F427" s="161"/>
      <c r="G427" s="161"/>
      <c r="H427" s="161"/>
      <c r="I427" s="161"/>
      <c r="J427" s="162"/>
      <c r="K427" s="163">
        <v>1</v>
      </c>
      <c r="L427" s="163">
        <v>1</v>
      </c>
      <c r="M427" s="163"/>
      <c r="N427" s="5">
        <f t="shared" si="0"/>
        <v>2</v>
      </c>
      <c r="Q427" s="160" t="s">
        <v>131</v>
      </c>
      <c r="R427" s="161"/>
      <c r="S427" s="161"/>
      <c r="T427" s="161"/>
      <c r="U427" s="161"/>
      <c r="V427" s="161"/>
      <c r="W427" s="161"/>
      <c r="X427" s="162"/>
      <c r="Y427" s="163">
        <v>1</v>
      </c>
      <c r="Z427" s="163"/>
      <c r="AA427" s="163"/>
      <c r="AB427" s="5">
        <f t="shared" ref="AB427" si="5">SUM(Y427:AA427)</f>
        <v>1</v>
      </c>
      <c r="AF427" s="160" t="s">
        <v>132</v>
      </c>
      <c r="AG427" s="161"/>
      <c r="AH427" s="161"/>
      <c r="AI427" s="161"/>
      <c r="AJ427" s="161"/>
      <c r="AK427" s="161"/>
      <c r="AL427" s="161"/>
      <c r="AM427" s="162"/>
      <c r="AN427" s="163">
        <v>1</v>
      </c>
      <c r="AO427" s="163">
        <v>1</v>
      </c>
      <c r="AP427" s="163">
        <v>1</v>
      </c>
      <c r="AQ427" s="5">
        <f t="shared" ref="AQ427" si="6">SUM(AN427:AP427)</f>
        <v>3</v>
      </c>
    </row>
    <row r="428" s="5" customFormat="1" ht="13.2" customHeight="1"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</row>
    <row r="429" s="5" customFormat="1" ht="13.2" customHeight="1">
      <c r="C429" s="160" t="s">
        <v>133</v>
      </c>
      <c r="D429" s="161"/>
      <c r="E429" s="161"/>
      <c r="F429" s="161"/>
      <c r="G429" s="161"/>
      <c r="H429" s="161"/>
      <c r="I429" s="161"/>
      <c r="J429" s="162"/>
      <c r="K429" s="163">
        <v>1</v>
      </c>
      <c r="L429" s="163">
        <v>1</v>
      </c>
      <c r="M429" s="163">
        <v>1</v>
      </c>
      <c r="N429" s="5">
        <f t="shared" si="0"/>
        <v>3</v>
      </c>
      <c r="Q429" s="160" t="s">
        <v>134</v>
      </c>
      <c r="R429" s="161"/>
      <c r="S429" s="161"/>
      <c r="T429" s="161"/>
      <c r="U429" s="161"/>
      <c r="V429" s="161"/>
      <c r="W429" s="161"/>
      <c r="X429" s="162"/>
      <c r="Y429" s="163">
        <v>1</v>
      </c>
      <c r="Z429" s="163">
        <v>1</v>
      </c>
      <c r="AA429" s="163"/>
      <c r="AB429" s="5">
        <f t="shared" ref="AB429" si="7">SUM(Y429:AA429)</f>
        <v>2</v>
      </c>
      <c r="AF429" s="160" t="s">
        <v>135</v>
      </c>
      <c r="AG429" s="161"/>
      <c r="AH429" s="161"/>
      <c r="AI429" s="161"/>
      <c r="AJ429" s="161"/>
      <c r="AK429" s="161"/>
      <c r="AL429" s="161"/>
      <c r="AM429" s="162"/>
      <c r="AN429" s="163">
        <v>1</v>
      </c>
      <c r="AO429" s="163">
        <v>1</v>
      </c>
      <c r="AP429" s="163">
        <v>1</v>
      </c>
      <c r="AQ429" s="5">
        <f t="shared" ref="AQ429" si="8">SUM(AN429:AP429)</f>
        <v>3</v>
      </c>
    </row>
    <row r="430" s="5" customFormat="1" ht="13.2" customHeight="1"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</row>
    <row r="431" s="5" customFormat="1" ht="13.2" customHeight="1">
      <c r="C431" s="160" t="s">
        <v>136</v>
      </c>
      <c r="D431" s="161"/>
      <c r="E431" s="161"/>
      <c r="F431" s="161"/>
      <c r="G431" s="161"/>
      <c r="H431" s="161"/>
      <c r="I431" s="161"/>
      <c r="J431" s="162"/>
      <c r="K431" s="163">
        <v>1</v>
      </c>
      <c r="L431" s="163">
        <v>1</v>
      </c>
      <c r="M431" s="163">
        <v>1</v>
      </c>
      <c r="N431" s="5">
        <f t="shared" si="0"/>
        <v>3</v>
      </c>
      <c r="Q431" s="160" t="s">
        <v>137</v>
      </c>
      <c r="R431" s="161"/>
      <c r="S431" s="161"/>
      <c r="T431" s="161"/>
      <c r="U431" s="161"/>
      <c r="V431" s="161"/>
      <c r="W431" s="161"/>
      <c r="X431" s="162"/>
      <c r="Y431" s="163">
        <v>1</v>
      </c>
      <c r="Z431" s="163"/>
      <c r="AA431" s="163"/>
      <c r="AB431" s="5">
        <f t="shared" ref="AB431" si="9">SUM(Y431:AA431)</f>
        <v>1</v>
      </c>
      <c r="AF431" s="160" t="s">
        <v>138</v>
      </c>
      <c r="AG431" s="161"/>
      <c r="AH431" s="161"/>
      <c r="AI431" s="161"/>
      <c r="AJ431" s="161"/>
      <c r="AK431" s="161"/>
      <c r="AL431" s="161"/>
      <c r="AM431" s="162"/>
      <c r="AN431" s="163">
        <v>1</v>
      </c>
      <c r="AO431" s="163"/>
      <c r="AP431" s="163"/>
      <c r="AQ431" s="5">
        <f t="shared" ref="AQ431" si="10">SUM(AN431:AP431)</f>
        <v>1</v>
      </c>
    </row>
    <row r="432" s="5" customFormat="1" ht="13.2" customHeight="1"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</row>
    <row r="433" s="5" customFormat="1" ht="13.2" customHeight="1">
      <c r="C433" s="160" t="s">
        <v>139</v>
      </c>
      <c r="D433" s="161"/>
      <c r="E433" s="161"/>
      <c r="F433" s="161"/>
      <c r="G433" s="161"/>
      <c r="H433" s="161"/>
      <c r="I433" s="161"/>
      <c r="J433" s="162"/>
      <c r="K433" s="163">
        <v>1</v>
      </c>
      <c r="L433" s="163"/>
      <c r="M433" s="163"/>
      <c r="N433" s="5">
        <f t="shared" si="0"/>
        <v>1</v>
      </c>
      <c r="Q433" s="160" t="s">
        <v>140</v>
      </c>
      <c r="R433" s="161"/>
      <c r="S433" s="161"/>
      <c r="T433" s="161"/>
      <c r="U433" s="161"/>
      <c r="V433" s="161"/>
      <c r="W433" s="161"/>
      <c r="X433" s="162"/>
      <c r="Y433" s="163">
        <v>1</v>
      </c>
      <c r="Z433" s="163"/>
      <c r="AA433" s="163"/>
      <c r="AB433" s="5">
        <f t="shared" ref="AB433" si="11">SUM(Y433:AA433)</f>
        <v>1</v>
      </c>
      <c r="AF433" s="160" t="s">
        <v>141</v>
      </c>
      <c r="AG433" s="161"/>
      <c r="AH433" s="161"/>
      <c r="AI433" s="161"/>
      <c r="AJ433" s="161"/>
      <c r="AK433" s="161"/>
      <c r="AL433" s="161"/>
      <c r="AM433" s="162"/>
      <c r="AN433" s="163">
        <v>1</v>
      </c>
      <c r="AO433" s="163">
        <v>1</v>
      </c>
      <c r="AP433" s="163"/>
      <c r="AQ433" s="5">
        <f t="shared" ref="AQ433" si="12">SUM(AN433:AP433)</f>
        <v>2</v>
      </c>
    </row>
    <row r="434" s="5" customFormat="1" ht="13.2" customHeight="1"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</row>
    <row r="435" s="5" customFormat="1" ht="13.2" customHeight="1">
      <c r="C435" s="160" t="s">
        <v>142</v>
      </c>
      <c r="D435" s="161"/>
      <c r="E435" s="161"/>
      <c r="F435" s="161"/>
      <c r="G435" s="161"/>
      <c r="H435" s="161"/>
      <c r="I435" s="161"/>
      <c r="J435" s="162"/>
      <c r="K435" s="163">
        <v>1</v>
      </c>
      <c r="L435" s="163">
        <v>1</v>
      </c>
      <c r="M435" s="163">
        <v>1</v>
      </c>
      <c r="N435" s="5">
        <f t="shared" si="0"/>
        <v>3</v>
      </c>
      <c r="Q435" s="160" t="s">
        <v>143</v>
      </c>
      <c r="R435" s="161"/>
      <c r="S435" s="161"/>
      <c r="T435" s="161"/>
      <c r="U435" s="161"/>
      <c r="V435" s="161"/>
      <c r="W435" s="161"/>
      <c r="X435" s="162"/>
      <c r="Y435" s="163">
        <v>1</v>
      </c>
      <c r="Z435" s="163"/>
      <c r="AA435" s="163"/>
      <c r="AB435" s="5">
        <f t="shared" ref="AB435" si="13">SUM(Y435:AA435)</f>
        <v>1</v>
      </c>
      <c r="AF435" s="160" t="s">
        <v>144</v>
      </c>
      <c r="AG435" s="161"/>
      <c r="AH435" s="161"/>
      <c r="AI435" s="161"/>
      <c r="AJ435" s="161"/>
      <c r="AK435" s="161"/>
      <c r="AL435" s="161"/>
      <c r="AM435" s="162"/>
      <c r="AN435" s="163">
        <v>1</v>
      </c>
      <c r="AO435" s="163"/>
      <c r="AP435" s="163"/>
      <c r="AQ435" s="5">
        <f t="shared" ref="AQ435" si="14">SUM(AN435:AP435)</f>
        <v>1</v>
      </c>
    </row>
    <row r="436" thickBot="1" s="5" customFormat="1" ht="13.2" customHeight="1"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F436"/>
      <c r="AG436"/>
      <c r="AH436"/>
      <c r="AI436"/>
      <c r="AJ436"/>
      <c r="AK436"/>
      <c r="AL436"/>
      <c r="AM436"/>
      <c r="AN436"/>
      <c r="AO436"/>
      <c r="AP436"/>
      <c r="AQ436"/>
    </row>
    <row r="437" s="5" customFormat="1" ht="13.2" customHeight="1">
      <c r="C437" s="164" t="s">
        <v>145</v>
      </c>
      <c r="D437" s="165"/>
      <c r="E437" s="165"/>
      <c r="F437" s="165"/>
      <c r="G437" s="165"/>
      <c r="H437" s="165"/>
      <c r="I437" s="165"/>
      <c r="J437" s="165"/>
      <c r="K437" s="165"/>
      <c r="L437" s="165"/>
      <c r="M437" s="166"/>
      <c r="Q437" s="160" t="s">
        <v>146</v>
      </c>
      <c r="R437" s="161"/>
      <c r="S437" s="161"/>
      <c r="T437" s="161"/>
      <c r="U437" s="161"/>
      <c r="V437" s="161"/>
      <c r="W437" s="161"/>
      <c r="X437" s="162"/>
      <c r="Y437" s="163">
        <v>1</v>
      </c>
      <c r="Z437" s="163">
        <v>1</v>
      </c>
      <c r="AA437" s="163"/>
      <c r="AB437" s="5">
        <f t="shared" ref="AB437" si="15">SUM(Y437:AA437)</f>
        <v>2</v>
      </c>
      <c r="AF437" s="164" t="s">
        <v>120</v>
      </c>
      <c r="AG437" s="165"/>
      <c r="AH437" s="165"/>
      <c r="AI437" s="165"/>
      <c r="AJ437" s="165"/>
      <c r="AK437" s="165"/>
      <c r="AL437" s="165"/>
      <c r="AM437" s="165"/>
      <c r="AN437" s="165"/>
      <c r="AO437" s="165"/>
      <c r="AP437" s="166"/>
      <c r="AQ437"/>
    </row>
    <row r="438" thickBot="1" s="5" customFormat="1" ht="13.2" customHeight="1">
      <c r="C438" s="167" t="s">
        <v>147</v>
      </c>
      <c r="D438" s="168"/>
      <c r="E438" s="168"/>
      <c r="F438" s="168"/>
      <c r="G438" s="168"/>
      <c r="H438" s="168"/>
      <c r="I438" s="168"/>
      <c r="J438" s="168"/>
      <c r="K438" s="168"/>
      <c r="L438" s="168"/>
      <c r="M438" s="169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  <c r="AF438" s="170" t="s">
        <v>148</v>
      </c>
      <c r="AG438" s="171"/>
      <c r="AH438" s="171"/>
      <c r="AI438" s="171"/>
      <c r="AJ438" s="171"/>
      <c r="AK438" s="171"/>
      <c r="AL438" s="171"/>
      <c r="AM438" s="171"/>
      <c r="AN438" s="171"/>
      <c r="AO438" s="171"/>
      <c r="AP438" s="172"/>
      <c r="AQ438"/>
    </row>
    <row r="439" thickBot="1" s="5" customFormat="1" ht="13.2" customHeight="1">
      <c r="Q439" s="160" t="s">
        <v>149</v>
      </c>
      <c r="R439" s="161"/>
      <c r="S439" s="161"/>
      <c r="T439" s="161"/>
      <c r="U439" s="161"/>
      <c r="V439" s="161"/>
      <c r="W439" s="161"/>
      <c r="X439" s="162"/>
      <c r="Y439" s="163">
        <v>1</v>
      </c>
      <c r="Z439" s="163"/>
      <c r="AA439" s="163"/>
      <c r="AB439" s="5">
        <f t="shared" ref="AB439" si="16">SUM(Y439:AA439)</f>
        <v>1</v>
      </c>
      <c r="AF439" s="167" t="s">
        <v>150</v>
      </c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9"/>
      <c r="AQ439"/>
    </row>
    <row r="440" s="5" customFormat="1" ht="13.2" customHeight="1">
      <c r="C440" s="160" t="s">
        <v>151</v>
      </c>
      <c r="D440" s="161"/>
      <c r="E440" s="161"/>
      <c r="F440" s="161"/>
      <c r="G440" s="161"/>
      <c r="H440" s="161"/>
      <c r="I440" s="161"/>
      <c r="J440" s="162"/>
      <c r="K440" s="163">
        <v>1</v>
      </c>
      <c r="L440" s="163"/>
      <c r="M440" s="163"/>
      <c r="N440" s="5">
        <f t="shared" si="0"/>
        <v>1</v>
      </c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</row>
    <row r="441" s="5" customFormat="1" ht="13.2" customHeight="1"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Q441" s="160" t="s">
        <v>152</v>
      </c>
      <c r="R441" s="161"/>
      <c r="S441" s="161"/>
      <c r="T441" s="161"/>
      <c r="U441" s="161"/>
      <c r="V441" s="161"/>
      <c r="W441" s="161"/>
      <c r="X441" s="162"/>
      <c r="Y441" s="163">
        <v>1</v>
      </c>
      <c r="Z441" s="163">
        <v>1</v>
      </c>
      <c r="AA441" s="163"/>
      <c r="AB441" s="5">
        <f t="shared" ref="AB441" si="17">SUM(Y441:AA441)</f>
        <v>2</v>
      </c>
      <c r="AF441" s="160" t="s">
        <v>153</v>
      </c>
      <c r="AG441" s="161"/>
      <c r="AH441" s="161"/>
      <c r="AI441" s="161"/>
      <c r="AJ441" s="161"/>
      <c r="AK441" s="161"/>
      <c r="AL441" s="161"/>
      <c r="AM441" s="162"/>
      <c r="AN441" s="163"/>
      <c r="AO441" s="163"/>
      <c r="AP441" s="163"/>
      <c r="AQ441" s="5">
        <f>SUM(AN441:AP441)</f>
        <v>0</v>
      </c>
    </row>
    <row r="442" s="5" customFormat="1" ht="13.2" customHeight="1">
      <c r="B442" s="173"/>
      <c r="C442" s="160" t="s">
        <v>154</v>
      </c>
      <c r="D442" s="161"/>
      <c r="E442" s="161"/>
      <c r="F442" s="161"/>
      <c r="G442" s="161"/>
      <c r="H442" s="161"/>
      <c r="I442" s="161"/>
      <c r="J442" s="162"/>
      <c r="K442" s="163">
        <v>1</v>
      </c>
      <c r="L442" s="163"/>
      <c r="M442" s="163"/>
      <c r="N442" s="5">
        <f t="shared" si="0"/>
        <v>1</v>
      </c>
      <c r="O442" s="173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  <c r="AO442" s="120"/>
      <c r="AP442" s="120"/>
    </row>
    <row r="443" s="5" customFormat="1" ht="13.2" customHeight="1">
      <c r="B443" s="173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O443" s="173"/>
      <c r="Q443" s="160" t="s">
        <v>155</v>
      </c>
      <c r="R443" s="161"/>
      <c r="S443" s="161"/>
      <c r="T443" s="161"/>
      <c r="U443" s="161"/>
      <c r="V443" s="161"/>
      <c r="W443" s="161"/>
      <c r="X443" s="162"/>
      <c r="Y443" s="163">
        <v>1</v>
      </c>
      <c r="Z443" s="163">
        <v>1</v>
      </c>
      <c r="AA443" s="163">
        <v>1</v>
      </c>
      <c r="AB443" s="5">
        <f t="shared" ref="AB443" si="18">SUM(Y443:AA443)</f>
        <v>3</v>
      </c>
      <c r="AF443" s="160" t="s">
        <v>132</v>
      </c>
      <c r="AG443" s="161"/>
      <c r="AH443" s="161"/>
      <c r="AI443" s="161"/>
      <c r="AJ443" s="161"/>
      <c r="AK443" s="161"/>
      <c r="AL443" s="161"/>
      <c r="AM443" s="162"/>
      <c r="AN443" s="163"/>
      <c r="AO443" s="163"/>
      <c r="AP443" s="163"/>
      <c r="AQ443" s="5">
        <f t="shared" ref="AQ443" si="19">SUM(AN443:AP443)</f>
        <v>0</v>
      </c>
    </row>
    <row r="444" s="5" customFormat="1" ht="13.2" customHeight="1">
      <c r="B444" s="173"/>
      <c r="C444" s="160" t="s">
        <v>156</v>
      </c>
      <c r="D444" s="161"/>
      <c r="E444" s="161"/>
      <c r="F444" s="161"/>
      <c r="G444" s="161"/>
      <c r="H444" s="161"/>
      <c r="I444" s="161"/>
      <c r="J444" s="162"/>
      <c r="K444" s="163">
        <v>1</v>
      </c>
      <c r="L444" s="163">
        <v>1</v>
      </c>
      <c r="M444" s="163"/>
      <c r="N444" s="5">
        <f t="shared" si="0"/>
        <v>2</v>
      </c>
      <c r="O444" s="173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  <c r="AO444" s="120"/>
      <c r="AP444" s="120"/>
    </row>
    <row r="445" s="5" customFormat="1" ht="13.2" customHeight="1">
      <c r="B445" s="173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O445" s="173"/>
      <c r="Q445" s="160" t="s">
        <v>157</v>
      </c>
      <c r="R445" s="161"/>
      <c r="S445" s="161"/>
      <c r="T445" s="161"/>
      <c r="U445" s="161"/>
      <c r="V445" s="161"/>
      <c r="W445" s="161"/>
      <c r="X445" s="162"/>
      <c r="Y445" s="163">
        <v>1</v>
      </c>
      <c r="Z445" s="163">
        <v>1</v>
      </c>
      <c r="AA445" s="163"/>
      <c r="AB445" s="5">
        <f t="shared" ref="AB445" si="20">SUM(Y445:AA445)</f>
        <v>2</v>
      </c>
      <c r="AF445" s="160" t="s">
        <v>158</v>
      </c>
      <c r="AG445" s="161"/>
      <c r="AH445" s="161"/>
      <c r="AI445" s="161"/>
      <c r="AJ445" s="161"/>
      <c r="AK445" s="161"/>
      <c r="AL445" s="161"/>
      <c r="AM445" s="162"/>
      <c r="AN445" s="163"/>
      <c r="AO445" s="163"/>
      <c r="AP445" s="163"/>
      <c r="AQ445" s="5">
        <f t="shared" ref="AQ445" si="21">SUM(AN445:AP445)</f>
        <v>0</v>
      </c>
    </row>
    <row r="446" s="5" customFormat="1" ht="13.2" customHeight="1">
      <c r="B446" s="173"/>
      <c r="C446" s="160" t="s">
        <v>159</v>
      </c>
      <c r="D446" s="161"/>
      <c r="E446" s="161"/>
      <c r="F446" s="161"/>
      <c r="G446" s="161"/>
      <c r="H446" s="161"/>
      <c r="I446" s="161"/>
      <c r="J446" s="162"/>
      <c r="K446" s="163">
        <v>1</v>
      </c>
      <c r="L446" s="163">
        <v>1</v>
      </c>
      <c r="M446" s="163"/>
      <c r="N446" s="5">
        <f t="shared" si="0"/>
        <v>2</v>
      </c>
      <c r="O446" s="173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  <c r="AO446" s="120"/>
      <c r="AP446" s="120"/>
    </row>
    <row r="447" s="5" customFormat="1" ht="13.2" customHeight="1">
      <c r="B447" s="173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O447" s="173"/>
      <c r="Q447" s="160" t="s">
        <v>160</v>
      </c>
      <c r="R447" s="161"/>
      <c r="S447" s="161"/>
      <c r="T447" s="161"/>
      <c r="U447" s="161"/>
      <c r="V447" s="161"/>
      <c r="W447" s="161"/>
      <c r="X447" s="162"/>
      <c r="Y447" s="163">
        <v>1</v>
      </c>
      <c r="Z447" s="163">
        <v>1</v>
      </c>
      <c r="AA447" s="163"/>
      <c r="AB447" s="5">
        <f t="shared" ref="AB447" si="22">SUM(Y447:AA447)</f>
        <v>2</v>
      </c>
      <c r="AF447" s="160" t="s">
        <v>161</v>
      </c>
      <c r="AG447" s="161"/>
      <c r="AH447" s="161"/>
      <c r="AI447" s="161"/>
      <c r="AJ447" s="161"/>
      <c r="AK447" s="161"/>
      <c r="AL447" s="161"/>
      <c r="AM447" s="162"/>
      <c r="AN447" s="163"/>
      <c r="AO447" s="163"/>
      <c r="AP447" s="163"/>
      <c r="AQ447" s="5">
        <f t="shared" ref="AQ447" si="23">SUM(AN447:AP447)</f>
        <v>0</v>
      </c>
    </row>
    <row r="448" s="5" customFormat="1" ht="13.2" customHeight="1">
      <c r="B448" s="173"/>
      <c r="C448" s="160" t="s">
        <v>162</v>
      </c>
      <c r="D448" s="161"/>
      <c r="E448" s="161"/>
      <c r="F448" s="161"/>
      <c r="G448" s="161"/>
      <c r="H448" s="161"/>
      <c r="I448" s="161"/>
      <c r="J448" s="162"/>
      <c r="K448" s="163">
        <v>1</v>
      </c>
      <c r="L448" s="163">
        <v>1</v>
      </c>
      <c r="M448" s="163"/>
      <c r="N448" s="5">
        <f t="shared" si="0"/>
        <v>2</v>
      </c>
      <c r="O448" s="173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  <c r="AO448" s="120"/>
      <c r="AP448" s="120"/>
    </row>
    <row r="449" s="5" customFormat="1" ht="13.2" customHeight="1"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Q449" s="160" t="s">
        <v>163</v>
      </c>
      <c r="R449" s="161"/>
      <c r="S449" s="161"/>
      <c r="T449" s="161"/>
      <c r="U449" s="161"/>
      <c r="V449" s="161"/>
      <c r="W449" s="161"/>
      <c r="X449" s="162"/>
      <c r="Y449" s="163">
        <v>1</v>
      </c>
      <c r="Z449" s="163"/>
      <c r="AA449" s="163"/>
      <c r="AB449" s="5">
        <f t="shared" ref="AB449" si="24">SUM(Y449:AA449)</f>
        <v>1</v>
      </c>
      <c r="AF449" s="160" t="s">
        <v>164</v>
      </c>
      <c r="AG449" s="161"/>
      <c r="AH449" s="161"/>
      <c r="AI449" s="161"/>
      <c r="AJ449" s="161"/>
      <c r="AK449" s="161"/>
      <c r="AL449" s="161"/>
      <c r="AM449" s="162"/>
      <c r="AN449" s="163"/>
      <c r="AO449" s="163"/>
      <c r="AP449" s="163"/>
      <c r="AQ449" s="5">
        <f t="shared" ref="AQ449" si="25">SUM(AN449:AP449)</f>
        <v>0</v>
      </c>
    </row>
    <row r="450" s="5" customFormat="1" ht="13.2" customHeight="1">
      <c r="C450" s="160" t="s">
        <v>165</v>
      </c>
      <c r="D450" s="161"/>
      <c r="E450" s="161"/>
      <c r="F450" s="161"/>
      <c r="G450" s="161"/>
      <c r="H450" s="161"/>
      <c r="I450" s="161"/>
      <c r="J450" s="162"/>
      <c r="K450" s="163">
        <v>1</v>
      </c>
      <c r="L450" s="163">
        <v>1</v>
      </c>
      <c r="M450" s="163">
        <v>1</v>
      </c>
      <c r="N450" s="5">
        <f t="shared" si="0"/>
        <v>3</v>
      </c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  <c r="AO450" s="120"/>
      <c r="AP450" s="120"/>
    </row>
    <row r="451" s="5" customFormat="1" ht="13.2" customHeight="1">
      <c r="B451" s="1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Q451" s="160" t="s">
        <v>166</v>
      </c>
      <c r="R451" s="161"/>
      <c r="S451" s="161"/>
      <c r="T451" s="161"/>
      <c r="U451" s="161"/>
      <c r="V451" s="161"/>
      <c r="W451" s="161"/>
      <c r="X451" s="162"/>
      <c r="Y451" s="163">
        <v>1</v>
      </c>
      <c r="Z451" s="163">
        <v>1</v>
      </c>
      <c r="AA451" s="163">
        <v>1</v>
      </c>
      <c r="AB451" s="5">
        <f>SUM(Y451:AA451)</f>
        <v>3</v>
      </c>
      <c r="AF451" s="160" t="s">
        <v>167</v>
      </c>
      <c r="AG451" s="161"/>
      <c r="AH451" s="161"/>
      <c r="AI451" s="161"/>
      <c r="AJ451" s="161"/>
      <c r="AK451" s="161"/>
      <c r="AL451" s="161"/>
      <c r="AM451" s="162"/>
      <c r="AN451" s="163"/>
      <c r="AO451" s="163"/>
      <c r="AP451" s="163"/>
      <c r="AQ451" s="5">
        <f t="shared" ref="AQ451" si="26">SUM(AN451:AP451)</f>
        <v>0</v>
      </c>
    </row>
    <row r="452" s="5" customFormat="1" ht="13.2" customHeight="1">
      <c r="B452" s="1"/>
      <c r="C452" s="160" t="s">
        <v>168</v>
      </c>
      <c r="D452" s="161"/>
      <c r="E452" s="161"/>
      <c r="F452" s="161"/>
      <c r="G452" s="161"/>
      <c r="H452" s="161"/>
      <c r="I452" s="161"/>
      <c r="J452" s="162"/>
      <c r="K452" s="163">
        <v>1</v>
      </c>
      <c r="L452" s="163"/>
      <c r="M452" s="163"/>
      <c r="N452" s="5">
        <f t="shared" si="0"/>
        <v>1</v>
      </c>
      <c r="Q452"/>
      <c r="R452"/>
      <c r="S452"/>
      <c r="T452"/>
      <c r="U452"/>
      <c r="V452"/>
      <c r="W452"/>
      <c r="X452"/>
      <c r="Y452"/>
      <c r="Z452"/>
      <c r="AA452"/>
      <c r="AB452"/>
      <c r="AF452" s="120"/>
      <c r="AG452" s="120"/>
      <c r="AH452" s="120"/>
      <c r="AI452" s="120"/>
      <c r="AJ452" s="120"/>
      <c r="AK452" s="120"/>
      <c r="AL452" s="120"/>
      <c r="AM452" s="120"/>
      <c r="AN452" s="120"/>
      <c r="AO452" s="120"/>
      <c r="AP452" s="120"/>
    </row>
    <row r="453" s="5" customFormat="1" ht="13.2" customHeight="1"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Q453"/>
      <c r="R453"/>
      <c r="S453"/>
      <c r="T453"/>
      <c r="U453"/>
      <c r="V453"/>
      <c r="W453"/>
      <c r="X453"/>
      <c r="Y453"/>
      <c r="Z453"/>
      <c r="AA453"/>
      <c r="AB453"/>
      <c r="AF453" s="160" t="s">
        <v>169</v>
      </c>
      <c r="AG453" s="161"/>
      <c r="AH453" s="161"/>
      <c r="AI453" s="161"/>
      <c r="AJ453" s="161"/>
      <c r="AK453" s="161"/>
      <c r="AL453" s="161"/>
      <c r="AM453" s="162"/>
      <c r="AN453" s="163"/>
      <c r="AO453" s="163"/>
      <c r="AP453" s="163"/>
      <c r="AQ453" s="5">
        <f t="shared" ref="AQ453" si="27">SUM(AN453:AP453)</f>
        <v>0</v>
      </c>
    </row>
    <row r="454" s="5" customFormat="1" ht="13.2" customHeight="1">
      <c r="C454" s="160" t="s">
        <v>170</v>
      </c>
      <c r="D454" s="161"/>
      <c r="E454" s="161"/>
      <c r="F454" s="161"/>
      <c r="G454" s="161"/>
      <c r="H454" s="161"/>
      <c r="I454" s="161"/>
      <c r="J454" s="162"/>
      <c r="K454" s="163">
        <v>1</v>
      </c>
      <c r="L454" s="163">
        <v>1</v>
      </c>
      <c r="M454" s="163"/>
      <c r="N454" s="5">
        <f t="shared" si="0"/>
        <v>2</v>
      </c>
      <c r="Q454" s="174" t="s">
        <v>171</v>
      </c>
      <c r="R454" s="175"/>
      <c r="X454"/>
      <c r="Y454"/>
      <c r="Z454"/>
      <c r="AA454"/>
      <c r="AB454"/>
      <c r="AF454" s="120"/>
      <c r="AG454" s="120"/>
      <c r="AH454" s="120"/>
      <c r="AI454" s="120"/>
      <c r="AJ454" s="120"/>
      <c r="AK454" s="120"/>
      <c r="AL454" s="120"/>
      <c r="AM454" s="120"/>
      <c r="AN454" s="120"/>
      <c r="AO454" s="120"/>
      <c r="AP454" s="120"/>
    </row>
    <row r="455" s="5" customFormat="1" ht="13.2" customHeight="1"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Q455" s="174" t="s">
        <v>172</v>
      </c>
      <c r="R455" s="175"/>
      <c r="X455"/>
      <c r="Y455"/>
      <c r="Z455"/>
      <c r="AA455"/>
      <c r="AB455"/>
      <c r="AF455" s="160" t="s">
        <v>173</v>
      </c>
      <c r="AG455" s="161"/>
      <c r="AH455" s="161"/>
      <c r="AI455" s="161"/>
      <c r="AJ455" s="161"/>
      <c r="AK455" s="161"/>
      <c r="AL455" s="161"/>
      <c r="AM455" s="162"/>
      <c r="AN455" s="163"/>
      <c r="AO455" s="163"/>
      <c r="AP455" s="163"/>
      <c r="AQ455" s="5">
        <f t="shared" ref="AQ455" si="28">SUM(AN455:AP455)</f>
        <v>0</v>
      </c>
    </row>
    <row r="456" s="5" customFormat="1" ht="13.2" customHeight="1">
      <c r="C456" s="160" t="s">
        <v>174</v>
      </c>
      <c r="D456" s="161"/>
      <c r="E456" s="161"/>
      <c r="F456" s="161"/>
      <c r="G456" s="161"/>
      <c r="H456" s="161"/>
      <c r="I456" s="161"/>
      <c r="J456" s="162"/>
      <c r="K456" s="163">
        <v>1</v>
      </c>
      <c r="L456" s="163">
        <v>1</v>
      </c>
      <c r="M456" s="163">
        <v>1</v>
      </c>
      <c r="N456" s="5">
        <f t="shared" si="0"/>
        <v>3</v>
      </c>
      <c r="Q456" s="174" t="s">
        <v>175</v>
      </c>
      <c r="R456" s="175"/>
      <c r="X456"/>
      <c r="Y456"/>
      <c r="Z456"/>
      <c r="AA456"/>
      <c r="AB456"/>
    </row>
    <row r="457" s="5" customFormat="1" ht="13.2" customHeight="1">
      <c r="Q457" s="174" t="s">
        <v>176</v>
      </c>
      <c r="R457" s="175"/>
    </row>
    <row r="458" s="5" customFormat="1" ht="13.2" customHeight="1">
      <c r="AE458" s="176" t="s">
        <v>62</v>
      </c>
      <c r="AF458" s="177"/>
      <c r="AG458" s="177"/>
      <c r="AH458" s="177"/>
      <c r="AI458" s="177"/>
      <c r="AJ458" s="177"/>
      <c r="AK458" s="177"/>
      <c r="AL458" s="177"/>
      <c r="AM458" s="177"/>
      <c r="AN458" s="177"/>
    </row>
    <row r="459" s="5" customFormat="1" ht="13.2" customHeight="1">
      <c r="AE459" s="178"/>
      <c r="AF459" s="179"/>
      <c r="AG459" s="179"/>
      <c r="AH459" s="179"/>
      <c r="AI459" s="179"/>
      <c r="AJ459" s="179"/>
      <c r="AK459" s="179"/>
      <c r="AL459" s="179"/>
      <c r="AM459" s="179"/>
    </row>
    <row r="460" s="5" customFormat="1" ht="13.2" customHeight="1">
      <c r="AE460" s="180"/>
      <c r="AF460" s="181"/>
      <c r="AG460" s="181"/>
      <c r="AI460" s="182" t="s">
        <v>177</v>
      </c>
    </row>
    <row r="461" s="5" customFormat="1" ht="13.2" customHeight="1">
      <c r="AE461" s="183"/>
      <c r="AI461" s="182"/>
    </row>
    <row r="462" s="5" customFormat="1" ht="13.5" customHeight="1">
      <c r="AE462" s="180"/>
      <c r="AF462" s="181"/>
      <c r="AI462" s="182" t="s">
        <v>178</v>
      </c>
    </row>
    <row r="463" s="5" customFormat="1" ht="13.5" customHeight="1">
      <c r="AE463" s="183"/>
      <c r="AI463" s="182"/>
    </row>
    <row r="464" s="5" customFormat="1" ht="13.5" customHeight="1">
      <c r="B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AE464" s="180"/>
      <c r="AI464" s="182" t="s">
        <v>179</v>
      </c>
    </row>
    <row r="465" s="5" customFormat="1" ht="13.5" customHeight="1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AE465" s="183"/>
    </row>
    <row r="466" s="5" customFormat="1" ht="13.5" customHeight="1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AE466" s="183" t="s">
        <v>180</v>
      </c>
    </row>
    <row r="467" s="5" customFormat="1" ht="13.5" customHeight="1">
      <c r="AE467" s="184"/>
      <c r="AF467" s="177"/>
      <c r="AG467" s="177"/>
      <c r="AH467" s="177"/>
      <c r="AI467" s="177"/>
      <c r="AJ467" s="177"/>
      <c r="AK467" s="177"/>
      <c r="AL467" s="177"/>
      <c r="AM467" s="177"/>
      <c r="AN467" s="177"/>
      <c r="AX467" s="6"/>
      <c r="AY467" s="6"/>
      <c r="AZ467" s="6"/>
      <c r="BA467" s="6"/>
      <c r="BB467" s="6"/>
      <c r="BC467" s="6"/>
    </row>
    <row r="468" ht="13.5" customHeight="1">
      <c r="Q468" s="6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BD468" s="5"/>
      <c r="BE468" s="5"/>
      <c r="BF468" s="5"/>
      <c r="BG468" s="5"/>
      <c r="BH468" s="5"/>
      <c r="BI468" s="5"/>
    </row>
    <row r="469" ht="13.5" customHeight="1">
      <c r="A469" s="110" t="s">
        <v>181</v>
      </c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BG469" s="5"/>
      <c r="BH469" s="5"/>
      <c r="BI469" s="5"/>
    </row>
    <row r="470" ht="13.5" customHeight="1">
      <c r="A470" s="110" t="s">
        <v>182</v>
      </c>
      <c r="S470" s="140"/>
      <c r="T470" s="140"/>
      <c r="U470" s="140"/>
      <c r="V470" s="140"/>
      <c r="W470" s="140"/>
      <c r="X470" s="140"/>
      <c r="Y470" s="140"/>
      <c r="Z470" s="140"/>
      <c r="AA470" s="140"/>
      <c r="AN470" s="6"/>
      <c r="AO470" s="6"/>
      <c r="AP470" s="6"/>
      <c r="AQ470" s="6"/>
    </row>
    <row r="471" ht="13.5" customHeight="1">
      <c r="S471" s="140"/>
      <c r="T471" s="140"/>
      <c r="U471" s="140"/>
      <c r="V471" s="140"/>
      <c r="W471" s="140"/>
      <c r="X471" s="140"/>
      <c r="Y471" s="140"/>
      <c r="Z471" s="140"/>
      <c r="AA471" s="140"/>
    </row>
    <row r="474" ht="13.5" customHeight="1"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</row>
    <row r="475" ht="13.5" customHeight="1"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</row>
    <row r="480" ht="13.5" customHeight="1"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</row>
    <row r="481" ht="13.5" customHeight="1"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</row>
  </sheetData>
  <mergeCells count="524">
    <mergeCell ref="E67:AM68"/>
    <mergeCell ref="H89:AQ89"/>
    <mergeCell ref="H90:AQ91"/>
    <mergeCell ref="H92:AQ93"/>
    <mergeCell ref="H94:AQ95"/>
    <mergeCell ref="E103:AN109"/>
    <mergeCell ref="G123:AN124"/>
    <mergeCell ref="H138:O140"/>
    <mergeCell ref="Q139:AI139"/>
    <mergeCell ref="H141:O143"/>
    <mergeCell ref="Q142:AI142"/>
    <mergeCell ref="A180:AQ181"/>
    <mergeCell ref="A185:AQ185"/>
    <mergeCell ref="AB187:AE187"/>
    <mergeCell ref="AM187:AP187"/>
    <mergeCell ref="P191:P192"/>
    <mergeCell ref="A191:A192"/>
    <mergeCell ref="C191:O192"/>
    <mergeCell ref="A193:M194"/>
    <mergeCell ref="AD194:AD195"/>
    <mergeCell ref="AP194:AP195"/>
    <mergeCell ref="S194:S195"/>
    <mergeCell ref="E11:AM12"/>
    <mergeCell ref="E3:AM6"/>
    <mergeCell ref="E9:AM10"/>
    <mergeCell ref="E57:AM60"/>
    <mergeCell ref="E63:AM64"/>
    <mergeCell ref="E65:AM66"/>
    <mergeCell ref="H126:O128"/>
    <mergeCell ref="Q127:AI127"/>
    <mergeCell ref="H129:O131"/>
    <mergeCell ref="Q130:AI130"/>
    <mergeCell ref="H132:O134"/>
    <mergeCell ref="Q133:AI133"/>
    <mergeCell ref="L171:Q172"/>
    <mergeCell ref="W171:AB172"/>
    <mergeCell ref="AI171:AN172"/>
    <mergeCell ref="H135:O137"/>
    <mergeCell ref="Q136:AI136"/>
    <mergeCell ref="A200:M201"/>
    <mergeCell ref="AD201:AD202"/>
    <mergeCell ref="AP201:AP202"/>
    <mergeCell ref="S201:S202"/>
    <mergeCell ref="C205:O206"/>
    <mergeCell ref="A205:A206"/>
    <mergeCell ref="P205:P206"/>
    <mergeCell ref="A207:M208"/>
    <mergeCell ref="AD208:AD209"/>
    <mergeCell ref="AP208:AP209"/>
    <mergeCell ref="S208:S209"/>
    <mergeCell ref="P212:P213"/>
    <mergeCell ref="A212:A213"/>
    <mergeCell ref="C212:O213"/>
    <mergeCell ref="A214:M215"/>
    <mergeCell ref="S215:S216"/>
    <mergeCell ref="AP215:AP216"/>
    <mergeCell ref="AD215:AD216"/>
    <mergeCell ref="A221:AQ221"/>
    <mergeCell ref="Q223:S223"/>
    <mergeCell ref="C226:M227"/>
    <mergeCell ref="AB226:AB227"/>
    <mergeCell ref="AQ226:AQ227"/>
    <mergeCell ref="AB232:AB233"/>
    <mergeCell ref="AQ232:AQ233"/>
    <mergeCell ref="C232:M233"/>
    <mergeCell ref="C238:M239"/>
    <mergeCell ref="AQ238:AQ239"/>
    <mergeCell ref="AB238:AB239"/>
    <mergeCell ref="A198:A199"/>
    <mergeCell ref="C198:O199"/>
    <mergeCell ref="P198:P199"/>
    <mergeCell ref="AS205:AS206"/>
    <mergeCell ref="AU205:AU206"/>
    <mergeCell ref="BC205:BC206"/>
    <mergeCell ref="BE212:BE213"/>
    <mergeCell ref="BD212:BD213"/>
    <mergeCell ref="BC212:BC213"/>
    <mergeCell ref="BF212:BF213"/>
    <mergeCell ref="AS212:AS213"/>
    <mergeCell ref="AU212:AU213"/>
    <mergeCell ref="AX226:AX227"/>
    <mergeCell ref="BE226:BE227"/>
    <mergeCell ref="BD226:BD227"/>
    <mergeCell ref="BB226:BB227"/>
    <mergeCell ref="AZ226:AZ227"/>
    <mergeCell ref="BC226:BC227"/>
    <mergeCell ref="BE232:BE233"/>
    <mergeCell ref="BB232:BB233"/>
    <mergeCell ref="AX232:AX233"/>
    <mergeCell ref="AZ232:AZ233"/>
    <mergeCell ref="BD232:BD233"/>
    <mergeCell ref="BC232:BC233"/>
    <mergeCell ref="BD205:BD206"/>
    <mergeCell ref="BE205:BE206"/>
    <mergeCell ref="BF205:BF206"/>
    <mergeCell ref="BF191:BF192"/>
    <mergeCell ref="AS198:AS199"/>
    <mergeCell ref="AU198:AU199"/>
    <mergeCell ref="BC198:BC199"/>
    <mergeCell ref="BD198:BD199"/>
    <mergeCell ref="BE198:BE199"/>
    <mergeCell ref="BF198:BF199"/>
    <mergeCell ref="AS191:AS192"/>
    <mergeCell ref="AU191:AU192"/>
    <mergeCell ref="BC191:BC192"/>
    <mergeCell ref="BD191:BD192"/>
    <mergeCell ref="BE191:BE192"/>
    <mergeCell ref="AX169:AX170"/>
    <mergeCell ref="AZ169:AZ170"/>
    <mergeCell ref="C244:M245"/>
    <mergeCell ref="AB244:AB245"/>
    <mergeCell ref="AQ244:AQ245"/>
    <mergeCell ref="AB250:AB251"/>
    <mergeCell ref="C250:M251"/>
    <mergeCell ref="AQ250:AQ251"/>
    <mergeCell ref="AB256:AB257"/>
    <mergeCell ref="C256:M257"/>
    <mergeCell ref="AQ256:AQ257"/>
    <mergeCell ref="AQ262:AQ263"/>
    <mergeCell ref="C262:M263"/>
    <mergeCell ref="AB262:AB263"/>
    <mergeCell ref="L272:Q273"/>
    <mergeCell ref="AI272:AN273"/>
    <mergeCell ref="W272:AB273"/>
    <mergeCell ref="A278:AQ278"/>
    <mergeCell ref="AN280:AP280"/>
    <mergeCell ref="S280:U280"/>
    <mergeCell ref="C283:M284"/>
    <mergeCell ref="AB283:AB284"/>
    <mergeCell ref="AB289:AB290"/>
    <mergeCell ref="C289:M290"/>
    <mergeCell ref="AB295:AB296"/>
    <mergeCell ref="C295:M296"/>
    <mergeCell ref="AE301:AE302"/>
    <mergeCell ref="AK301:AK302"/>
    <mergeCell ref="AP301:AP302"/>
    <mergeCell ref="Y301:Y302"/>
    <mergeCell ref="S301:S302"/>
    <mergeCell ref="BC238:BC239"/>
    <mergeCell ref="AZ238:AZ239"/>
    <mergeCell ref="BE238:BE239"/>
    <mergeCell ref="BB238:BB239"/>
    <mergeCell ref="AX238:AX239"/>
    <mergeCell ref="BD238:BD239"/>
    <mergeCell ref="AX244:AX245"/>
    <mergeCell ref="BE244:BE245"/>
    <mergeCell ref="BD244:BD245"/>
    <mergeCell ref="AZ244:AZ245"/>
    <mergeCell ref="BB244:BB245"/>
    <mergeCell ref="BC244:BC245"/>
    <mergeCell ref="BC250:BC251"/>
    <mergeCell ref="AZ250:AZ251"/>
    <mergeCell ref="BB250:BB251"/>
    <mergeCell ref="AX250:AX251"/>
    <mergeCell ref="BE250:BE251"/>
    <mergeCell ref="BD250:BD251"/>
    <mergeCell ref="BB256:BB257"/>
    <mergeCell ref="BD256:BD257"/>
    <mergeCell ref="BE256:BE257"/>
    <mergeCell ref="AX256:AX257"/>
    <mergeCell ref="AZ256:AZ257"/>
    <mergeCell ref="BC256:BC257"/>
    <mergeCell ref="BE262:BE263"/>
    <mergeCell ref="BD262:BD263"/>
    <mergeCell ref="BC262:BC263"/>
    <mergeCell ref="AX262:AX263"/>
    <mergeCell ref="AZ262:AZ263"/>
    <mergeCell ref="BB262:BB263"/>
    <mergeCell ref="AZ270:AZ271"/>
    <mergeCell ref="AX270:AX271"/>
    <mergeCell ref="BB283:BB284"/>
    <mergeCell ref="AX283:AX284"/>
    <mergeCell ref="BE283:BE284"/>
    <mergeCell ref="BC283:BC284"/>
    <mergeCell ref="BD283:BD284"/>
    <mergeCell ref="AX285:AX286"/>
    <mergeCell ref="AX287:AX288"/>
    <mergeCell ref="BD289:BD290"/>
    <mergeCell ref="BB289:BB290"/>
    <mergeCell ref="BE289:BE290"/>
    <mergeCell ref="AX289:AX290"/>
    <mergeCell ref="BC289:BC290"/>
    <mergeCell ref="AX291:AX292"/>
    <mergeCell ref="AX293:AX294"/>
    <mergeCell ref="BC295:BC296"/>
    <mergeCell ref="BD295:BD296"/>
    <mergeCell ref="AX295:AX296"/>
    <mergeCell ref="BE295:BE296"/>
    <mergeCell ref="BB295:BB296"/>
    <mergeCell ref="C323:M324"/>
    <mergeCell ref="C353:L354"/>
    <mergeCell ref="C359:L360"/>
    <mergeCell ref="C335:L336"/>
    <mergeCell ref="C329:M330"/>
    <mergeCell ref="C341:M342"/>
    <mergeCell ref="P329:P330"/>
    <mergeCell ref="P341:P342"/>
    <mergeCell ref="P359:P360"/>
    <mergeCell ref="P335:P336"/>
    <mergeCell ref="P323:P324"/>
    <mergeCell ref="Q326:Q327"/>
    <mergeCell ref="AB341:AB342"/>
    <mergeCell ref="AB323:AB324"/>
    <mergeCell ref="AB353:AB354"/>
    <mergeCell ref="AB335:AB336"/>
    <mergeCell ref="AB359:AB360"/>
    <mergeCell ref="AQ341:AQ342"/>
    <mergeCell ref="AQ347:AQ348"/>
    <mergeCell ref="AQ335:AQ336"/>
    <mergeCell ref="AQ359:AQ360"/>
    <mergeCell ref="AQ329:AQ330"/>
    <mergeCell ref="AQ323:AQ324"/>
    <mergeCell ref="P353:P354"/>
    <mergeCell ref="C347:L348"/>
    <mergeCell ref="AB347:AB348"/>
    <mergeCell ref="P347:P348"/>
    <mergeCell ref="AQ353:AQ354"/>
    <mergeCell ref="AB329:AB330"/>
    <mergeCell ref="BH289:BH290"/>
    <mergeCell ref="BH256:BH257"/>
    <mergeCell ref="BH295:BH296"/>
    <mergeCell ref="BH299:BH300"/>
    <mergeCell ref="BH283:BH284"/>
    <mergeCell ref="BH302:BH303"/>
    <mergeCell ref="BI302:BI303"/>
    <mergeCell ref="BI299:BI300"/>
    <mergeCell ref="BJ289:BJ290"/>
    <mergeCell ref="BJ299:BJ300"/>
    <mergeCell ref="BJ283:BJ284"/>
    <mergeCell ref="BJ302:BJ303"/>
    <mergeCell ref="BJ256:BJ257"/>
    <mergeCell ref="BJ295:BJ296"/>
    <mergeCell ref="BK299:BK300"/>
    <mergeCell ref="BK302:BK303"/>
    <mergeCell ref="BL299:BL300"/>
    <mergeCell ref="BL256:BL257"/>
    <mergeCell ref="BL289:BL290"/>
    <mergeCell ref="BL283:BL284"/>
    <mergeCell ref="BL262:BL263"/>
    <mergeCell ref="BL295:BL296"/>
    <mergeCell ref="BL302:BL303"/>
    <mergeCell ref="BN295:BN296"/>
    <mergeCell ref="BN289:BN290"/>
    <mergeCell ref="BN283:BN284"/>
    <mergeCell ref="BN262:BN263"/>
    <mergeCell ref="BH262:BH263"/>
    <mergeCell ref="BJ262:BJ263"/>
    <mergeCell ref="BN256:BN257"/>
    <mergeCell ref="BL250:BL251"/>
    <mergeCell ref="BN250:BN251"/>
    <mergeCell ref="BH250:BH251"/>
    <mergeCell ref="BJ250:BJ251"/>
    <mergeCell ref="BH244:BH245"/>
    <mergeCell ref="BJ244:BJ245"/>
    <mergeCell ref="BL244:BL245"/>
    <mergeCell ref="BN244:BN245"/>
    <mergeCell ref="BH238:BH239"/>
    <mergeCell ref="BJ238:BJ239"/>
    <mergeCell ref="BL238:BL239"/>
    <mergeCell ref="BN238:BN239"/>
    <mergeCell ref="BH232:BH233"/>
    <mergeCell ref="BJ232:BJ233"/>
    <mergeCell ref="BL232:BL233"/>
    <mergeCell ref="BN232:BN233"/>
    <mergeCell ref="BH226:BH227"/>
    <mergeCell ref="BJ226:BJ227"/>
    <mergeCell ref="BL226:BL227"/>
    <mergeCell ref="BN226:BN227"/>
    <mergeCell ref="BE323:BE324"/>
    <mergeCell ref="BC323:BC324"/>
    <mergeCell ref="BD323:BD324"/>
    <mergeCell ref="BB323:BB324"/>
    <mergeCell ref="BL323:BL324"/>
    <mergeCell ref="BJ323:BJ324"/>
    <mergeCell ref="BH323:BH324"/>
    <mergeCell ref="BA323:BA324"/>
    <mergeCell ref="BA329:BA330"/>
    <mergeCell ref="BA335:BA336"/>
    <mergeCell ref="BJ335:BJ336"/>
    <mergeCell ref="BL335:BL336"/>
    <mergeCell ref="BB335:BB336"/>
    <mergeCell ref="BH335:BH336"/>
    <mergeCell ref="BN335:BN336"/>
    <mergeCell ref="BD341:BD342"/>
    <mergeCell ref="BH341:BH342"/>
    <mergeCell ref="BE341:BE342"/>
    <mergeCell ref="BJ341:BJ342"/>
    <mergeCell ref="BB341:BB342"/>
    <mergeCell ref="BL341:BL342"/>
    <mergeCell ref="BA341:BA342"/>
    <mergeCell ref="BC341:BC342"/>
    <mergeCell ref="BN341:BN342"/>
    <mergeCell ref="BN323:BN324"/>
    <mergeCell ref="BB329:BB330"/>
    <mergeCell ref="BC329:BC330"/>
    <mergeCell ref="BD329:BD330"/>
    <mergeCell ref="BE329:BE330"/>
    <mergeCell ref="BH329:BH330"/>
    <mergeCell ref="BJ329:BJ330"/>
    <mergeCell ref="BL329:BL330"/>
    <mergeCell ref="BN329:BN330"/>
    <mergeCell ref="BC335:BC336"/>
    <mergeCell ref="BD335:BD336"/>
    <mergeCell ref="BE335:BE336"/>
    <mergeCell ref="AQ305:AQ306"/>
    <mergeCell ref="C305:M306"/>
    <mergeCell ref="BH311:BH312"/>
    <mergeCell ref="BA311:BA312"/>
    <mergeCell ref="AQ311:AQ312"/>
    <mergeCell ref="BD311:BD312"/>
    <mergeCell ref="C311:N312"/>
    <mergeCell ref="BC311:BC312"/>
    <mergeCell ref="BB311:BB312"/>
    <mergeCell ref="P311:P312"/>
    <mergeCell ref="BE311:BE312"/>
    <mergeCell ref="Q312:Q313"/>
    <mergeCell ref="BL317:BL318"/>
    <mergeCell ref="P317:P318"/>
    <mergeCell ref="BJ317:BJ318"/>
    <mergeCell ref="BE317:BE318"/>
    <mergeCell ref="AQ317:AQ318"/>
    <mergeCell ref="BA317:BA318"/>
    <mergeCell ref="BH317:BH318"/>
    <mergeCell ref="BD317:BD318"/>
    <mergeCell ref="C317:M318"/>
    <mergeCell ref="Q319:Q320"/>
    <mergeCell ref="P305:P306"/>
    <mergeCell ref="BL311:BL312"/>
    <mergeCell ref="BJ311:BJ312"/>
    <mergeCell ref="BN311:BN312"/>
    <mergeCell ref="AB317:AB318"/>
    <mergeCell ref="BB317:BB318"/>
    <mergeCell ref="BN317:BN318"/>
    <mergeCell ref="BC317:BC318"/>
    <mergeCell ref="AB311:AB312"/>
    <mergeCell ref="AB305:AB306"/>
    <mergeCell ref="BB305:BB306"/>
    <mergeCell ref="BC305:BC306"/>
    <mergeCell ref="BD305:BD306"/>
    <mergeCell ref="BE305:BE306"/>
    <mergeCell ref="BH305:BH306"/>
    <mergeCell ref="BJ305:BJ306"/>
    <mergeCell ref="BL305:BL306"/>
    <mergeCell ref="BN305:BN306"/>
    <mergeCell ref="BA305:BA306"/>
    <mergeCell ref="BH347:BH348"/>
    <mergeCell ref="BJ347:BJ348"/>
    <mergeCell ref="BL347:BL348"/>
    <mergeCell ref="BE347:BE348"/>
    <mergeCell ref="BN347:BN348"/>
    <mergeCell ref="BA347:BA348"/>
    <mergeCell ref="BB347:BB348"/>
    <mergeCell ref="BD347:BD348"/>
    <mergeCell ref="BC347:BC348"/>
    <mergeCell ref="BN353:BN354"/>
    <mergeCell ref="BA353:BA354"/>
    <mergeCell ref="BL353:BL354"/>
    <mergeCell ref="BB353:BB354"/>
    <mergeCell ref="BJ353:BJ354"/>
    <mergeCell ref="BC353:BC354"/>
    <mergeCell ref="BH353:BH354"/>
    <mergeCell ref="BD353:BD354"/>
    <mergeCell ref="BE353:BE354"/>
    <mergeCell ref="BE359:BE360"/>
    <mergeCell ref="BC359:BC360"/>
    <mergeCell ref="BL359:BL360"/>
    <mergeCell ref="BD359:BD360"/>
    <mergeCell ref="BB359:BB360"/>
    <mergeCell ref="BH359:BH360"/>
    <mergeCell ref="BN359:BN360"/>
    <mergeCell ref="BJ359:BJ360"/>
    <mergeCell ref="BA359:BA360"/>
    <mergeCell ref="AF419:AP419"/>
    <mergeCell ref="Q419:AA419"/>
    <mergeCell ref="C419:M419"/>
    <mergeCell ref="AF421:AL421"/>
    <mergeCell ref="Q421:W421"/>
    <mergeCell ref="C421:I421"/>
    <mergeCell ref="AF423:AL423"/>
    <mergeCell ref="C423:I423"/>
    <mergeCell ref="Q423:W423"/>
    <mergeCell ref="AF425:AL425"/>
    <mergeCell ref="Q425:W425"/>
    <mergeCell ref="C425:I425"/>
    <mergeCell ref="AF427:AL427"/>
    <mergeCell ref="Q427:W427"/>
    <mergeCell ref="C427:I427"/>
    <mergeCell ref="Q429:W429"/>
    <mergeCell ref="C429:I429"/>
    <mergeCell ref="AF429:AL429"/>
    <mergeCell ref="C431:I431"/>
    <mergeCell ref="Q431:W431"/>
    <mergeCell ref="AF431:AL431"/>
    <mergeCell ref="L413:Q414"/>
    <mergeCell ref="W413:AB414"/>
    <mergeCell ref="AI413:AN414"/>
    <mergeCell ref="AQ408:AQ409"/>
    <mergeCell ref="C365:L366"/>
    <mergeCell ref="C383:L384"/>
    <mergeCell ref="C371:L372"/>
    <mergeCell ref="C377:M378"/>
    <mergeCell ref="P371:P372"/>
    <mergeCell ref="P365:P366"/>
    <mergeCell ref="P383:P384"/>
    <mergeCell ref="P377:P378"/>
    <mergeCell ref="AB383:AB384"/>
    <mergeCell ref="AB371:AB372"/>
    <mergeCell ref="AB365:AB366"/>
    <mergeCell ref="AB377:AB378"/>
    <mergeCell ref="AQ377:AQ378"/>
    <mergeCell ref="AQ383:AQ384"/>
    <mergeCell ref="AQ371:AQ372"/>
    <mergeCell ref="BA377:BA378"/>
    <mergeCell ref="BA365:BA366"/>
    <mergeCell ref="BA383:BA384"/>
    <mergeCell ref="BA371:BA372"/>
    <mergeCell ref="BB377:BB378"/>
    <mergeCell ref="BB371:BB372"/>
    <mergeCell ref="BB383:BB384"/>
    <mergeCell ref="BB365:BB366"/>
    <mergeCell ref="AQ365:AQ366"/>
    <mergeCell ref="C433:I433"/>
    <mergeCell ref="AF433:AL433"/>
    <mergeCell ref="Q433:W433"/>
    <mergeCell ref="C435:I435"/>
    <mergeCell ref="Q435:W435"/>
    <mergeCell ref="AF435:AL435"/>
    <mergeCell ref="Q437:W437"/>
    <mergeCell ref="C437:M437"/>
    <mergeCell ref="AF437:AP437"/>
    <mergeCell ref="AF438:AP438"/>
    <mergeCell ref="C438:M438"/>
    <mergeCell ref="Q439:W439"/>
    <mergeCell ref="AF439:AP439"/>
    <mergeCell ref="C440:I440"/>
    <mergeCell ref="AF441:AL441"/>
    <mergeCell ref="C442:I442"/>
    <mergeCell ref="AF443:AL443"/>
    <mergeCell ref="Q445:W445"/>
    <mergeCell ref="AF445:AL445"/>
    <mergeCell ref="C446:I446"/>
    <mergeCell ref="AF447:AL447"/>
    <mergeCell ref="Q447:W447"/>
    <mergeCell ref="C448:I448"/>
    <mergeCell ref="AF449:AL449"/>
    <mergeCell ref="Q449:W449"/>
    <mergeCell ref="C450:I450"/>
    <mergeCell ref="AF451:AL451"/>
    <mergeCell ref="AF453:AL453"/>
    <mergeCell ref="AF455:AL455"/>
    <mergeCell ref="C456:I456"/>
    <mergeCell ref="Q441:W441"/>
    <mergeCell ref="C444:I444"/>
    <mergeCell ref="Q443:W443"/>
    <mergeCell ref="C452:I452"/>
    <mergeCell ref="Q451:W451"/>
    <mergeCell ref="C454:I454"/>
    <mergeCell ref="BC383:BC384"/>
    <mergeCell ref="BC365:BC366"/>
    <mergeCell ref="BC377:BC378"/>
    <mergeCell ref="BC371:BC372"/>
    <mergeCell ref="BD371:BD372"/>
    <mergeCell ref="BD383:BD384"/>
    <mergeCell ref="BD377:BD378"/>
    <mergeCell ref="BD365:BD366"/>
    <mergeCell ref="BE377:BE378"/>
    <mergeCell ref="BE371:BE372"/>
    <mergeCell ref="BE365:BE366"/>
    <mergeCell ref="BE383:BE384"/>
    <mergeCell ref="BH371:BH372"/>
    <mergeCell ref="BH365:BH366"/>
    <mergeCell ref="BH383:BH384"/>
    <mergeCell ref="BH377:BH378"/>
    <mergeCell ref="BJ365:BJ366"/>
    <mergeCell ref="BJ383:BJ384"/>
    <mergeCell ref="BJ371:BJ372"/>
    <mergeCell ref="BJ377:BJ378"/>
    <mergeCell ref="BL377:BL378"/>
    <mergeCell ref="BL371:BL372"/>
    <mergeCell ref="BL383:BL384"/>
    <mergeCell ref="BL365:BL366"/>
    <mergeCell ref="BN371:BN372"/>
    <mergeCell ref="BN365:BN366"/>
    <mergeCell ref="BN383:BN384"/>
    <mergeCell ref="BN377:BN378"/>
    <mergeCell ref="BH389:BH390"/>
    <mergeCell ref="BE389:BE390"/>
    <mergeCell ref="BD389:BD390"/>
    <mergeCell ref="BC389:BC390"/>
    <mergeCell ref="BB389:BB390"/>
    <mergeCell ref="BA389:BA390"/>
    <mergeCell ref="BL389:BL390"/>
    <mergeCell ref="BN389:BN390"/>
    <mergeCell ref="C389:M390"/>
    <mergeCell ref="AQ389:AQ390"/>
    <mergeCell ref="C395:L396"/>
    <mergeCell ref="BH395:BH396"/>
    <mergeCell ref="BL395:BL396"/>
    <mergeCell ref="BN395:BN396"/>
    <mergeCell ref="BE395:BE396"/>
    <mergeCell ref="BD395:BD396"/>
    <mergeCell ref="AB395:AB396"/>
    <mergeCell ref="BC395:BC396"/>
    <mergeCell ref="AQ395:AQ396"/>
    <mergeCell ref="BB395:BB396"/>
    <mergeCell ref="P395:P396"/>
    <mergeCell ref="BA395:BA396"/>
    <mergeCell ref="BJ395:BJ396"/>
    <mergeCell ref="BN401:BN402"/>
    <mergeCell ref="BL401:BL402"/>
    <mergeCell ref="AQ401:AQ402"/>
    <mergeCell ref="AB401:AB402"/>
    <mergeCell ref="BH401:BH402"/>
    <mergeCell ref="C401:N402"/>
    <mergeCell ref="BJ401:BJ402"/>
    <mergeCell ref="P401:P402"/>
    <mergeCell ref="P389:P390"/>
    <mergeCell ref="AB389:AB390"/>
    <mergeCell ref="BJ389:BJ390"/>
    <mergeCell ref="BA401:BA402"/>
    <mergeCell ref="BB401:BB402"/>
    <mergeCell ref="BC401:BC402"/>
    <mergeCell ref="BD401:BD402"/>
    <mergeCell ref="BE401:BE402"/>
  </mergeCells>
  <conditionalFormatting sqref="AO455:AP455">
    <cfRule priority="1" stopIfTrue="1" dxfId="0" type="cellIs" operator="greaterThan">
      <formula>0</formula>
    </cfRule>
  </conditionalFormatting>
  <conditionalFormatting sqref="AN455">
    <cfRule priority="2" stopIfTrue="1" dxfId="0" type="cellIs" operator="greaterThan">
      <formula>0</formula>
    </cfRule>
  </conditionalFormatting>
  <conditionalFormatting sqref="AO453:AP453">
    <cfRule priority="3" stopIfTrue="1" dxfId="0" type="cellIs" operator="greaterThan">
      <formula>0</formula>
    </cfRule>
  </conditionalFormatting>
  <conditionalFormatting sqref="AN453">
    <cfRule priority="4" stopIfTrue="1" dxfId="0" type="cellIs" operator="greaterThan">
      <formula>0</formula>
    </cfRule>
  </conditionalFormatting>
  <conditionalFormatting sqref="AO451:AP451">
    <cfRule priority="5" stopIfTrue="1" dxfId="0" type="cellIs" operator="greaterThan">
      <formula>0</formula>
    </cfRule>
  </conditionalFormatting>
  <conditionalFormatting sqref="AN451">
    <cfRule priority="6" stopIfTrue="1" dxfId="0" type="cellIs" operator="greaterThan">
      <formula>0</formula>
    </cfRule>
  </conditionalFormatting>
  <conditionalFormatting sqref="AO449:AP449">
    <cfRule priority="7" stopIfTrue="1" dxfId="0" type="cellIs" operator="greaterThan">
      <formula>0</formula>
    </cfRule>
  </conditionalFormatting>
  <conditionalFormatting sqref="AN449">
    <cfRule priority="8" stopIfTrue="1" dxfId="0" type="cellIs" operator="greaterThan">
      <formula>0</formula>
    </cfRule>
  </conditionalFormatting>
  <conditionalFormatting sqref="AO447:AP447">
    <cfRule priority="9" stopIfTrue="1" dxfId="0" type="cellIs" operator="greaterThan">
      <formula>0</formula>
    </cfRule>
  </conditionalFormatting>
  <conditionalFormatting sqref="AN447">
    <cfRule priority="10" stopIfTrue="1" dxfId="0" type="cellIs" operator="greaterThan">
      <formula>0</formula>
    </cfRule>
  </conditionalFormatting>
  <conditionalFormatting sqref="AO445:AP445">
    <cfRule priority="11" stopIfTrue="1" dxfId="0" type="cellIs" operator="greaterThan">
      <formula>0</formula>
    </cfRule>
  </conditionalFormatting>
  <conditionalFormatting sqref="AN445">
    <cfRule priority="12" stopIfTrue="1" dxfId="0" type="cellIs" operator="greaterThan">
      <formula>0</formula>
    </cfRule>
  </conditionalFormatting>
  <conditionalFormatting sqref="AO443:AP443">
    <cfRule priority="13" stopIfTrue="1" dxfId="0" type="cellIs" operator="greaterThan">
      <formula>0</formula>
    </cfRule>
  </conditionalFormatting>
  <conditionalFormatting sqref="AN443">
    <cfRule priority="14" stopIfTrue="1" dxfId="0" type="cellIs" operator="greaterThan">
      <formula>0</formula>
    </cfRule>
  </conditionalFormatting>
  <conditionalFormatting sqref="AO441:AP441">
    <cfRule priority="15" stopIfTrue="1" dxfId="0" type="cellIs" operator="greaterThan">
      <formula>0</formula>
    </cfRule>
  </conditionalFormatting>
  <conditionalFormatting sqref="AN441">
    <cfRule priority="16" stopIfTrue="1" dxfId="0" type="cellIs" operator="greaterThan">
      <formula>0</formula>
    </cfRule>
  </conditionalFormatting>
  <conditionalFormatting sqref="L456:M456">
    <cfRule priority="17" stopIfTrue="1" dxfId="0" type="cellIs" operator="greaterThan">
      <formula>0</formula>
    </cfRule>
  </conditionalFormatting>
  <conditionalFormatting sqref="K456">
    <cfRule priority="18" stopIfTrue="1" dxfId="0" type="cellIs" operator="greaterThan">
      <formula>0</formula>
    </cfRule>
  </conditionalFormatting>
  <conditionalFormatting sqref="L454:M454">
    <cfRule priority="19" stopIfTrue="1" dxfId="0" type="cellIs" operator="greaterThan">
      <formula>0</formula>
    </cfRule>
  </conditionalFormatting>
  <conditionalFormatting sqref="K454">
    <cfRule priority="20" stopIfTrue="1" dxfId="0" type="cellIs" operator="greaterThan">
      <formula>0</formula>
    </cfRule>
  </conditionalFormatting>
  <conditionalFormatting sqref="L452:M452">
    <cfRule priority="21" stopIfTrue="1" dxfId="0" type="cellIs" operator="greaterThan">
      <formula>0</formula>
    </cfRule>
  </conditionalFormatting>
  <conditionalFormatting sqref="K452">
    <cfRule priority="22" stopIfTrue="1" dxfId="0" type="cellIs" operator="greaterThan">
      <formula>0</formula>
    </cfRule>
  </conditionalFormatting>
  <conditionalFormatting sqref="L450:M450">
    <cfRule priority="23" stopIfTrue="1" dxfId="0" type="cellIs" operator="greaterThan">
      <formula>0</formula>
    </cfRule>
  </conditionalFormatting>
  <conditionalFormatting sqref="K450">
    <cfRule priority="24" stopIfTrue="1" dxfId="0" type="cellIs" operator="greaterThan">
      <formula>0</formula>
    </cfRule>
  </conditionalFormatting>
  <conditionalFormatting sqref="L448:M448">
    <cfRule priority="25" stopIfTrue="1" dxfId="0" type="cellIs" operator="greaterThan">
      <formula>0</formula>
    </cfRule>
  </conditionalFormatting>
  <conditionalFormatting sqref="K448">
    <cfRule priority="26" stopIfTrue="1" dxfId="0" type="cellIs" operator="greaterThan">
      <formula>0</formula>
    </cfRule>
  </conditionalFormatting>
  <conditionalFormatting sqref="L446:M446">
    <cfRule priority="27" stopIfTrue="1" dxfId="0" type="cellIs" operator="greaterThan">
      <formula>0</formula>
    </cfRule>
  </conditionalFormatting>
  <conditionalFormatting sqref="K446">
    <cfRule priority="28" stopIfTrue="1" dxfId="0" type="cellIs" operator="greaterThan">
      <formula>0</formula>
    </cfRule>
  </conditionalFormatting>
  <conditionalFormatting sqref="L444:M444">
    <cfRule priority="29" stopIfTrue="1" dxfId="0" type="cellIs" operator="greaterThan">
      <formula>0</formula>
    </cfRule>
  </conditionalFormatting>
  <conditionalFormatting sqref="K444">
    <cfRule priority="30" stopIfTrue="1" dxfId="0" type="cellIs" operator="greaterThan">
      <formula>0</formula>
    </cfRule>
  </conditionalFormatting>
  <conditionalFormatting sqref="L442:M442">
    <cfRule priority="31" stopIfTrue="1" dxfId="0" type="cellIs" operator="greaterThan">
      <formula>0</formula>
    </cfRule>
  </conditionalFormatting>
  <conditionalFormatting sqref="K442">
    <cfRule priority="32" stopIfTrue="1" dxfId="0" type="cellIs" operator="greaterThan">
      <formula>0</formula>
    </cfRule>
  </conditionalFormatting>
  <conditionalFormatting sqref="L440:M440">
    <cfRule priority="33" stopIfTrue="1" dxfId="0" type="cellIs" operator="greaterThan">
      <formula>0</formula>
    </cfRule>
  </conditionalFormatting>
  <conditionalFormatting sqref="K440">
    <cfRule priority="34" stopIfTrue="1" dxfId="0" type="cellIs" operator="greaterThan">
      <formula>0</formula>
    </cfRule>
  </conditionalFormatting>
  <conditionalFormatting sqref="L435:M435">
    <cfRule priority="35" stopIfTrue="1" dxfId="0" type="cellIs" operator="greaterThan">
      <formula>0</formula>
    </cfRule>
  </conditionalFormatting>
  <conditionalFormatting sqref="K435">
    <cfRule priority="36" stopIfTrue="1" dxfId="0" type="cellIs" operator="greaterThan">
      <formula>0</formula>
    </cfRule>
  </conditionalFormatting>
  <conditionalFormatting sqref="Z451:AA451">
    <cfRule priority="37" stopIfTrue="1" dxfId="0" type="cellIs" operator="greaterThan">
      <formula>0</formula>
    </cfRule>
  </conditionalFormatting>
  <conditionalFormatting sqref="Y451">
    <cfRule priority="38" stopIfTrue="1" dxfId="0" type="cellIs" operator="greaterThan">
      <formula>0</formula>
    </cfRule>
  </conditionalFormatting>
  <conditionalFormatting sqref="Z449:AA449">
    <cfRule priority="39" stopIfTrue="1" dxfId="0" type="cellIs" operator="greaterThan">
      <formula>0</formula>
    </cfRule>
  </conditionalFormatting>
  <conditionalFormatting sqref="Y449">
    <cfRule priority="40" stopIfTrue="1" dxfId="0" type="cellIs" operator="greaterThan">
      <formula>0</formula>
    </cfRule>
  </conditionalFormatting>
  <conditionalFormatting sqref="Z447:AA447">
    <cfRule priority="41" stopIfTrue="1" dxfId="0" type="cellIs" operator="greaterThan">
      <formula>0</formula>
    </cfRule>
  </conditionalFormatting>
  <conditionalFormatting sqref="Y447">
    <cfRule priority="42" stopIfTrue="1" dxfId="0" type="cellIs" operator="greaterThan">
      <formula>0</formula>
    </cfRule>
  </conditionalFormatting>
  <conditionalFormatting sqref="Z445:AA445">
    <cfRule priority="43" stopIfTrue="1" dxfId="0" type="cellIs" operator="greaterThan">
      <formula>0</formula>
    </cfRule>
  </conditionalFormatting>
  <conditionalFormatting sqref="Y445">
    <cfRule priority="44" stopIfTrue="1" dxfId="0" type="cellIs" operator="greaterThan">
      <formula>0</formula>
    </cfRule>
  </conditionalFormatting>
  <conditionalFormatting sqref="Z443:AA443">
    <cfRule priority="45" stopIfTrue="1" dxfId="0" type="cellIs" operator="greaterThan">
      <formula>0</formula>
    </cfRule>
  </conditionalFormatting>
  <conditionalFormatting sqref="Y443">
    <cfRule priority="46" stopIfTrue="1" dxfId="0" type="cellIs" operator="greaterThan">
      <formula>0</formula>
    </cfRule>
  </conditionalFormatting>
  <conditionalFormatting sqref="Z441:AA441">
    <cfRule priority="47" stopIfTrue="1" dxfId="0" type="cellIs" operator="greaterThan">
      <formula>0</formula>
    </cfRule>
  </conditionalFormatting>
  <conditionalFormatting sqref="Y441">
    <cfRule priority="48" stopIfTrue="1" dxfId="0" type="cellIs" operator="greaterThan">
      <formula>0</formula>
    </cfRule>
  </conditionalFormatting>
  <conditionalFormatting sqref="Z439:AA439">
    <cfRule priority="49" stopIfTrue="1" dxfId="0" type="cellIs" operator="greaterThan">
      <formula>0</formula>
    </cfRule>
  </conditionalFormatting>
  <conditionalFormatting sqref="Y439">
    <cfRule priority="50" stopIfTrue="1" dxfId="0" type="cellIs" operator="greaterThan">
      <formula>0</formula>
    </cfRule>
  </conditionalFormatting>
  <conditionalFormatting sqref="Z437:AA437">
    <cfRule priority="51" stopIfTrue="1" dxfId="0" type="cellIs" operator="greaterThan">
      <formula>0</formula>
    </cfRule>
  </conditionalFormatting>
  <conditionalFormatting sqref="Y437">
    <cfRule priority="52" stopIfTrue="1" dxfId="0" type="cellIs" operator="greaterThan">
      <formula>0</formula>
    </cfRule>
  </conditionalFormatting>
  <conditionalFormatting sqref="Z435:AA435">
    <cfRule priority="53" stopIfTrue="1" dxfId="0" type="cellIs" operator="greaterThan">
      <formula>0</formula>
    </cfRule>
  </conditionalFormatting>
  <conditionalFormatting sqref="Y435">
    <cfRule priority="54" stopIfTrue="1" dxfId="0" type="cellIs" operator="greaterThan">
      <formula>0</formula>
    </cfRule>
  </conditionalFormatting>
  <conditionalFormatting sqref="AO435:AP435">
    <cfRule priority="55" stopIfTrue="1" dxfId="0" type="cellIs" operator="greaterThan">
      <formula>0</formula>
    </cfRule>
  </conditionalFormatting>
  <conditionalFormatting sqref="AN435">
    <cfRule priority="56" stopIfTrue="1" dxfId="0" type="cellIs" operator="greaterThan">
      <formula>0</formula>
    </cfRule>
  </conditionalFormatting>
  <conditionalFormatting sqref="AO433:AP433">
    <cfRule priority="57" stopIfTrue="1" dxfId="0" type="cellIs" operator="greaterThan">
      <formula>0</formula>
    </cfRule>
  </conditionalFormatting>
  <conditionalFormatting sqref="AN433">
    <cfRule priority="58" stopIfTrue="1" dxfId="0" type="cellIs" operator="greaterThan">
      <formula>0</formula>
    </cfRule>
  </conditionalFormatting>
  <conditionalFormatting sqref="AO431:AP431">
    <cfRule priority="59" stopIfTrue="1" dxfId="0" type="cellIs" operator="greaterThan">
      <formula>0</formula>
    </cfRule>
  </conditionalFormatting>
  <conditionalFormatting sqref="AN431">
    <cfRule priority="60" stopIfTrue="1" dxfId="0" type="cellIs" operator="greaterThan">
      <formula>0</formula>
    </cfRule>
  </conditionalFormatting>
  <conditionalFormatting sqref="AO429:AP429">
    <cfRule priority="61" stopIfTrue="1" dxfId="0" type="cellIs" operator="greaterThan">
      <formula>0</formula>
    </cfRule>
  </conditionalFormatting>
  <conditionalFormatting sqref="AN429">
    <cfRule priority="62" stopIfTrue="1" dxfId="0" type="cellIs" operator="greaterThan">
      <formula>0</formula>
    </cfRule>
  </conditionalFormatting>
  <conditionalFormatting sqref="AO427:AP427">
    <cfRule priority="63" stopIfTrue="1" dxfId="0" type="cellIs" operator="greaterThan">
      <formula>0</formula>
    </cfRule>
  </conditionalFormatting>
  <conditionalFormatting sqref="AN427">
    <cfRule priority="64" stopIfTrue="1" dxfId="0" type="cellIs" operator="greaterThan">
      <formula>0</formula>
    </cfRule>
  </conditionalFormatting>
  <conditionalFormatting sqref="AO425:AP425">
    <cfRule priority="65" stopIfTrue="1" dxfId="0" type="cellIs" operator="greaterThan">
      <formula>0</formula>
    </cfRule>
  </conditionalFormatting>
  <conditionalFormatting sqref="AN425">
    <cfRule priority="66" stopIfTrue="1" dxfId="0" type="cellIs" operator="greaterThan">
      <formula>0</formula>
    </cfRule>
  </conditionalFormatting>
  <conditionalFormatting sqref="AO423:AP423">
    <cfRule priority="67" stopIfTrue="1" dxfId="0" type="cellIs" operator="greaterThan">
      <formula>0</formula>
    </cfRule>
  </conditionalFormatting>
  <conditionalFormatting sqref="AN423">
    <cfRule priority="68" stopIfTrue="1" dxfId="0" type="cellIs" operator="greaterThan">
      <formula>0</formula>
    </cfRule>
  </conditionalFormatting>
  <conditionalFormatting sqref="AO421:AP421">
    <cfRule priority="69" stopIfTrue="1" dxfId="0" type="cellIs" operator="greaterThan">
      <formula>0</formula>
    </cfRule>
  </conditionalFormatting>
  <conditionalFormatting sqref="AN421">
    <cfRule priority="70" stopIfTrue="1" dxfId="0" type="cellIs" operator="greaterThan">
      <formula>0</formula>
    </cfRule>
  </conditionalFormatting>
  <conditionalFormatting sqref="Z433:AA433">
    <cfRule priority="71" stopIfTrue="1" dxfId="0" type="cellIs" operator="greaterThan">
      <formula>0</formula>
    </cfRule>
  </conditionalFormatting>
  <conditionalFormatting sqref="Y433">
    <cfRule priority="72" stopIfTrue="1" dxfId="0" type="cellIs" operator="greaterThan">
      <formula>0</formula>
    </cfRule>
  </conditionalFormatting>
  <conditionalFormatting sqref="Z431:AA431">
    <cfRule priority="73" stopIfTrue="1" dxfId="0" type="cellIs" operator="greaterThan">
      <formula>0</formula>
    </cfRule>
  </conditionalFormatting>
  <conditionalFormatting sqref="Y431">
    <cfRule priority="74" stopIfTrue="1" dxfId="0" type="cellIs" operator="greaterThan">
      <formula>0</formula>
    </cfRule>
  </conditionalFormatting>
  <conditionalFormatting sqref="Z429:AA429">
    <cfRule priority="75" stopIfTrue="1" dxfId="0" type="cellIs" operator="greaterThan">
      <formula>0</formula>
    </cfRule>
  </conditionalFormatting>
  <conditionalFormatting sqref="Y429">
    <cfRule priority="76" stopIfTrue="1" dxfId="0" type="cellIs" operator="greaterThan">
      <formula>0</formula>
    </cfRule>
  </conditionalFormatting>
  <conditionalFormatting sqref="Z427:AA427">
    <cfRule priority="77" stopIfTrue="1" dxfId="0" type="cellIs" operator="greaterThan">
      <formula>0</formula>
    </cfRule>
  </conditionalFormatting>
  <conditionalFormatting sqref="Y427">
    <cfRule priority="78" stopIfTrue="1" dxfId="0" type="cellIs" operator="greaterThan">
      <formula>0</formula>
    </cfRule>
  </conditionalFormatting>
  <conditionalFormatting sqref="Z425:AA425">
    <cfRule priority="79" stopIfTrue="1" dxfId="0" type="cellIs" operator="greaterThan">
      <formula>0</formula>
    </cfRule>
  </conditionalFormatting>
  <conditionalFormatting sqref="Y425">
    <cfRule priority="80" stopIfTrue="1" dxfId="0" type="cellIs" operator="greaterThan">
      <formula>0</formula>
    </cfRule>
  </conditionalFormatting>
  <conditionalFormatting sqref="Z423:AA423">
    <cfRule priority="81" stopIfTrue="1" dxfId="0" type="cellIs" operator="greaterThan">
      <formula>0</formula>
    </cfRule>
  </conditionalFormatting>
  <conditionalFormatting sqref="Y423">
    <cfRule priority="82" stopIfTrue="1" dxfId="0" type="cellIs" operator="greaterThan">
      <formula>0</formula>
    </cfRule>
  </conditionalFormatting>
  <conditionalFormatting sqref="Z421:AA421">
    <cfRule priority="83" stopIfTrue="1" dxfId="0" type="cellIs" operator="greaterThan">
      <formula>0</formula>
    </cfRule>
  </conditionalFormatting>
  <conditionalFormatting sqref="Y421">
    <cfRule priority="84" stopIfTrue="1" dxfId="0" type="cellIs" operator="greaterThan">
      <formula>0</formula>
    </cfRule>
  </conditionalFormatting>
  <conditionalFormatting sqref="L433:M433">
    <cfRule priority="85" stopIfTrue="1" dxfId="0" type="cellIs" operator="greaterThan">
      <formula>0</formula>
    </cfRule>
  </conditionalFormatting>
  <conditionalFormatting sqref="K433">
    <cfRule priority="86" stopIfTrue="1" dxfId="0" type="cellIs" operator="greaterThan">
      <formula>0</formula>
    </cfRule>
  </conditionalFormatting>
  <conditionalFormatting sqref="L431:M431">
    <cfRule priority="87" stopIfTrue="1" dxfId="0" type="cellIs" operator="greaterThan">
      <formula>0</formula>
    </cfRule>
  </conditionalFormatting>
  <conditionalFormatting sqref="K431">
    <cfRule priority="88" stopIfTrue="1" dxfId="0" type="cellIs" operator="greaterThan">
      <formula>0</formula>
    </cfRule>
  </conditionalFormatting>
  <conditionalFormatting sqref="L429:M429">
    <cfRule priority="89" stopIfTrue="1" dxfId="0" type="cellIs" operator="greaterThan">
      <formula>0</formula>
    </cfRule>
  </conditionalFormatting>
  <conditionalFormatting sqref="K429">
    <cfRule priority="90" stopIfTrue="1" dxfId="0" type="cellIs" operator="greaterThan">
      <formula>0</formula>
    </cfRule>
  </conditionalFormatting>
  <conditionalFormatting sqref="L427:M427">
    <cfRule priority="91" stopIfTrue="1" dxfId="0" type="cellIs" operator="greaterThan">
      <formula>0</formula>
    </cfRule>
  </conditionalFormatting>
  <conditionalFormatting sqref="K427">
    <cfRule priority="92" stopIfTrue="1" dxfId="0" type="cellIs" operator="greaterThan">
      <formula>0</formula>
    </cfRule>
  </conditionalFormatting>
  <conditionalFormatting sqref="L425:M425">
    <cfRule priority="93" stopIfTrue="1" dxfId="0" type="cellIs" operator="greaterThan">
      <formula>0</formula>
    </cfRule>
  </conditionalFormatting>
  <conditionalFormatting sqref="K425">
    <cfRule priority="94" stopIfTrue="1" dxfId="0" type="cellIs" operator="greaterThan">
      <formula>0</formula>
    </cfRule>
  </conditionalFormatting>
  <conditionalFormatting sqref="L423:M423">
    <cfRule priority="95" stopIfTrue="1" dxfId="0" type="cellIs" operator="greaterThan">
      <formula>0</formula>
    </cfRule>
  </conditionalFormatting>
  <conditionalFormatting sqref="K423">
    <cfRule priority="96" stopIfTrue="1" dxfId="0" type="cellIs" operator="greaterThan">
      <formula>0</formula>
    </cfRule>
  </conditionalFormatting>
  <conditionalFormatting sqref="L421:M421">
    <cfRule priority="97" stopIfTrue="1" dxfId="0" type="cellIs" operator="greaterThan">
      <formula>0</formula>
    </cfRule>
  </conditionalFormatting>
  <conditionalFormatting sqref="K421">
    <cfRule priority="98" stopIfTrue="1" dxfId="0" type="cellIs" operator="greaterThan">
      <formula>0</formula>
    </cfRule>
  </conditionalFormatting>
  <printOptions horizontalCentered="1"/>
  <pageMargins left="0" right="0" top="0.39375" bottom="0.3541667" header="0.1965278" footer="0.1180556"/>
  <pageSetup r:id="rId1" paperSize="9" orientation="portrait" scale="95"/>
  <headerFooter differentFirst="1">
    <oddFooter xml:space="preserve">&amp;C&amp;"-,Normale"&amp;9&amp;K084C7DValsambro S.r.L. Via Cairoli, 2 - 40121 Bologna - Tel +39 051 240218 -  valsambro@valsambro.it  - www.valsambro.it
&amp;K00+000ppp&amp;R&amp;"-,Normale"&amp;9&amp;K084C7DPagina &amp;P di &amp;N  &amp;K00+000 p</oddFooter>
    <firstHeader>&amp;C
&amp;G</firstHeader>
    <firstFooter xml:space="preserve">&amp;L     &amp;G &amp;"-,Normale"&amp;9&amp;K084C7DVia Cairoli,2 Bologna&amp;C&amp;"-,Normale"&amp;9&amp;K084C7Dvalsambro@valsambro.it&amp;R&amp;"-,Normale"&amp;9&amp;K084C7D+39 051 240218&amp;K00+000000</firstFooter>
  </headerFooter>
  <rowBreaks count="5" manualBreakCount="5">
    <brk id="53" man="1" max="42"/>
    <brk id="114" man="1" max="42"/>
    <brk id="167" man="1" max="42"/>
    <brk id="268" man="1" max="42"/>
    <brk id="408" man="1" max="42"/>
  </rowBreaks>
  <drawing r:id="rId2"/>
  <legacyDrawing r:id="rId3"/>
  <legacyDrawingHF r:id="rId4"/>
  <mc:AlternateContent xmlns:mc="http://schemas.openxmlformats.org/markup-compatibility/2006">
    <mc:Choice xmlns:x14="http://schemas.microsoft.com/office/spreadsheetml/2009/9/main" Requires="x14">
      <controls>
        <mc:AlternateContent xmlns:mc="http://schemas.openxmlformats.org/markup-compatibility/2006">
          <mc:Choice xmlns:x14="http://schemas.microsoft.com/office/spreadsheetml/2009/9/main" Requires="x14">
            <control r:id="rId5" name="Pulsante 4080" shapeId="21507">
              <controlPr autoFill="0" autoPict="0" macro="[0]!Emissione_Referto" print="0">
                <anchor xmlns:xdr="http://schemas.openxmlformats.org/drawingml/2006/spreadsheetDrawing" moveWithCells="1" sizeWithCells="1">
                  <from>
                    <xdr:col>43</xdr:col>
                    <xdr:colOff>518160</xdr:colOff>
                    <xdr:row>21</xdr:row>
                    <xdr:rowOff>144780</xdr:rowOff>
                  </from>
                  <to>
                    <xdr:col>45</xdr:col>
                    <xdr:colOff>403860</xdr:colOff>
                    <xdr:row>23</xdr:row>
                    <xdr:rowOff>137160</xdr:rowOff>
                  </to>
                </anchor>
              </controlPr>
            </control>
          </mc:Choice>
          <mc:Fallback/>
        </mc:AlternateContent>
      </controls>
    </mc:Choice>
    <mc:Fallback/>
  </mc:AlternateContent>
</worksheet>
</file>

<file path=xl/worksheets/sheet2.xml><?xml version="1.0" encoding="utf-8"?>
<worksheet xmlns:r="http://schemas.openxmlformats.org/officeDocument/2006/relationships" xmlns="http://schemas.openxmlformats.org/spreadsheetml/2006/main">
  <sheetPr codeName="Foglio2"/>
  <sheetViews>
    <sheetView tabSelected="1" workbookViewId="0">
      <selection activeCell="G11" sqref="G11"/>
    </sheetView>
  </sheetViews>
  <sheetFormatPr defaultRowHeight="13.2"/>
  <cols>
    <col min="1" max="1" width="15.88672" style="5" bestFit="1" customWidth="1"/>
    <col min="2" max="2" width="13.44141" style="5" bestFit="1" customWidth="1"/>
    <col min="3" max="3" width="19.66406" style="5" bestFit="1" customWidth="1"/>
    <col min="4" max="4" width="10" style="5" customWidth="1"/>
    <col min="5" max="6" style="5" hidden="1" customWidth="1"/>
    <col min="7" max="7" width="17.55469" style="5" bestFit="1" customWidth="1"/>
    <col min="8" max="8" width="18.55469" style="5" bestFit="1" customWidth="1"/>
    <col min="9" max="9" width="16" style="5" bestFit="1" customWidth="1"/>
    <col min="10" max="20" style="5" hidden="1" customWidth="1"/>
    <col min="21" max="23" width="3.109375" style="5" bestFit="1" customWidth="1"/>
    <col min="24" max="24" width="3.109375" style="5" customWidth="1"/>
    <col min="25" max="31" width="3.664063" style="5" customWidth="1"/>
    <col min="32" max="34" width="3.109375" style="5" customWidth="1"/>
    <col min="35" max="51" width="3.664063" style="5" customWidth="1"/>
    <col min="52" max="52" width="3.109375" style="5" bestFit="1" customWidth="1"/>
    <col min="53" max="84" width="3" style="5" bestFit="1" customWidth="1"/>
    <col min="85" max="92" width="4" style="5" bestFit="1" customWidth="1"/>
    <col min="93" max="100" width="4" style="5" customWidth="1"/>
    <col min="101" max="133" width="4" style="5" bestFit="1" customWidth="1"/>
    <col min="134" max="176" width="9.109375" style="5"/>
    <col min="177" max="177" width="15.88672" style="5" bestFit="1" customWidth="1"/>
    <col min="178" max="178" width="13.44141" style="5" bestFit="1" customWidth="1"/>
    <col min="179" max="179" width="19.66406" style="5" bestFit="1" customWidth="1"/>
    <col min="180" max="180" width="2.664063" style="5" customWidth="1"/>
    <col min="181" max="182" style="5" hidden="1" customWidth="1"/>
    <col min="183" max="183" width="17.55469" style="5" bestFit="1" customWidth="1"/>
    <col min="184" max="184" width="18.55469" style="5" bestFit="1" customWidth="1"/>
    <col min="185" max="185" width="16" style="5" bestFit="1" customWidth="1"/>
    <col min="186" max="196" style="5" hidden="1" customWidth="1"/>
    <col min="197" max="432" width="9.109375" style="5"/>
    <col min="433" max="433" width="15.88672" style="5" bestFit="1" customWidth="1"/>
    <col min="434" max="434" width="13.44141" style="5" bestFit="1" customWidth="1"/>
    <col min="435" max="435" width="19.66406" style="5" bestFit="1" customWidth="1"/>
    <col min="436" max="436" width="2.664063" style="5" customWidth="1"/>
    <col min="437" max="438" style="5" hidden="1" customWidth="1"/>
    <col min="439" max="439" width="17.55469" style="5" bestFit="1" customWidth="1"/>
    <col min="440" max="440" width="18.55469" style="5" bestFit="1" customWidth="1"/>
    <col min="441" max="441" width="16" style="5" bestFit="1" customWidth="1"/>
    <col min="442" max="452" style="5" hidden="1" customWidth="1"/>
    <col min="453" max="688" width="9.109375" style="5"/>
    <col min="689" max="689" width="15.88672" style="5" bestFit="1" customWidth="1"/>
    <col min="690" max="690" width="13.44141" style="5" bestFit="1" customWidth="1"/>
    <col min="691" max="691" width="19.66406" style="5" bestFit="1" customWidth="1"/>
    <col min="692" max="692" width="2.664063" style="5" customWidth="1"/>
    <col min="693" max="694" style="5" hidden="1" customWidth="1"/>
    <col min="695" max="695" width="17.55469" style="5" bestFit="1" customWidth="1"/>
    <col min="696" max="696" width="18.55469" style="5" bestFit="1" customWidth="1"/>
    <col min="697" max="697" width="16" style="5" bestFit="1" customWidth="1"/>
    <col min="698" max="708" style="5" hidden="1" customWidth="1"/>
    <col min="709" max="944" width="9.109375" style="5"/>
    <col min="945" max="945" width="15.88672" style="5" bestFit="1" customWidth="1"/>
    <col min="946" max="946" width="13.44141" style="5" bestFit="1" customWidth="1"/>
    <col min="947" max="947" width="19.66406" style="5" bestFit="1" customWidth="1"/>
    <col min="948" max="948" width="2.664063" style="5" customWidth="1"/>
    <col min="949" max="950" style="5" hidden="1" customWidth="1"/>
    <col min="951" max="951" width="17.55469" style="5" bestFit="1" customWidth="1"/>
    <col min="952" max="952" width="18.55469" style="5" bestFit="1" customWidth="1"/>
    <col min="953" max="953" width="16" style="5" bestFit="1" customWidth="1"/>
    <col min="954" max="964" style="5" hidden="1" customWidth="1"/>
    <col min="965" max="1200" width="9.109375" style="5"/>
    <col min="1201" max="1201" width="15.88672" style="5" bestFit="1" customWidth="1"/>
    <col min="1202" max="1202" width="13.44141" style="5" bestFit="1" customWidth="1"/>
    <col min="1203" max="1203" width="19.66406" style="5" bestFit="1" customWidth="1"/>
    <col min="1204" max="1204" width="2.664063" style="5" customWidth="1"/>
    <col min="1205" max="1206" style="5" hidden="1" customWidth="1"/>
    <col min="1207" max="1207" width="17.55469" style="5" bestFit="1" customWidth="1"/>
    <col min="1208" max="1208" width="18.55469" style="5" bestFit="1" customWidth="1"/>
    <col min="1209" max="1209" width="16" style="5" bestFit="1" customWidth="1"/>
    <col min="1210" max="1220" style="5" hidden="1" customWidth="1"/>
    <col min="1221" max="1456" width="9.109375" style="5"/>
    <col min="1457" max="1457" width="15.88672" style="5" bestFit="1" customWidth="1"/>
    <col min="1458" max="1458" width="13.44141" style="5" bestFit="1" customWidth="1"/>
    <col min="1459" max="1459" width="19.66406" style="5" bestFit="1" customWidth="1"/>
    <col min="1460" max="1460" width="2.664063" style="5" customWidth="1"/>
    <col min="1461" max="1462" style="5" hidden="1" customWidth="1"/>
    <col min="1463" max="1463" width="17.55469" style="5" bestFit="1" customWidth="1"/>
    <col min="1464" max="1464" width="18.55469" style="5" bestFit="1" customWidth="1"/>
    <col min="1465" max="1465" width="16" style="5" bestFit="1" customWidth="1"/>
    <col min="1466" max="1476" style="5" hidden="1" customWidth="1"/>
    <col min="1477" max="1712" width="9.109375" style="5"/>
    <col min="1713" max="1713" width="15.88672" style="5" bestFit="1" customWidth="1"/>
    <col min="1714" max="1714" width="13.44141" style="5" bestFit="1" customWidth="1"/>
    <col min="1715" max="1715" width="19.66406" style="5" bestFit="1" customWidth="1"/>
    <col min="1716" max="1716" width="2.664063" style="5" customWidth="1"/>
    <col min="1717" max="1718" style="5" hidden="1" customWidth="1"/>
    <col min="1719" max="1719" width="17.55469" style="5" bestFit="1" customWidth="1"/>
    <col min="1720" max="1720" width="18.55469" style="5" bestFit="1" customWidth="1"/>
    <col min="1721" max="1721" width="16" style="5" bestFit="1" customWidth="1"/>
    <col min="1722" max="1732" style="5" hidden="1" customWidth="1"/>
    <col min="1733" max="1968" width="9.109375" style="5"/>
    <col min="1969" max="1969" width="15.88672" style="5" bestFit="1" customWidth="1"/>
    <col min="1970" max="1970" width="13.44141" style="5" bestFit="1" customWidth="1"/>
    <col min="1971" max="1971" width="19.66406" style="5" bestFit="1" customWidth="1"/>
    <col min="1972" max="1972" width="2.664063" style="5" customWidth="1"/>
    <col min="1973" max="1974" style="5" hidden="1" customWidth="1"/>
    <col min="1975" max="1975" width="17.55469" style="5" bestFit="1" customWidth="1"/>
    <col min="1976" max="1976" width="18.55469" style="5" bestFit="1" customWidth="1"/>
    <col min="1977" max="1977" width="16" style="5" bestFit="1" customWidth="1"/>
    <col min="1978" max="1988" style="5" hidden="1" customWidth="1"/>
    <col min="1989" max="2224" width="9.109375" style="5"/>
    <col min="2225" max="2225" width="15.88672" style="5" bestFit="1" customWidth="1"/>
    <col min="2226" max="2226" width="13.44141" style="5" bestFit="1" customWidth="1"/>
    <col min="2227" max="2227" width="19.66406" style="5" bestFit="1" customWidth="1"/>
    <col min="2228" max="2228" width="2.664063" style="5" customWidth="1"/>
    <col min="2229" max="2230" style="5" hidden="1" customWidth="1"/>
    <col min="2231" max="2231" width="17.55469" style="5" bestFit="1" customWidth="1"/>
    <col min="2232" max="2232" width="18.55469" style="5" bestFit="1" customWidth="1"/>
    <col min="2233" max="2233" width="16" style="5" bestFit="1" customWidth="1"/>
    <col min="2234" max="2244" style="5" hidden="1" customWidth="1"/>
    <col min="2245" max="2480" width="9.109375" style="5"/>
    <col min="2481" max="2481" width="15.88672" style="5" bestFit="1" customWidth="1"/>
    <col min="2482" max="2482" width="13.44141" style="5" bestFit="1" customWidth="1"/>
    <col min="2483" max="2483" width="19.66406" style="5" bestFit="1" customWidth="1"/>
    <col min="2484" max="2484" width="2.664063" style="5" customWidth="1"/>
    <col min="2485" max="2486" style="5" hidden="1" customWidth="1"/>
    <col min="2487" max="2487" width="17.55469" style="5" bestFit="1" customWidth="1"/>
    <col min="2488" max="2488" width="18.55469" style="5" bestFit="1" customWidth="1"/>
    <col min="2489" max="2489" width="16" style="5" bestFit="1" customWidth="1"/>
    <col min="2490" max="2500" style="5" hidden="1" customWidth="1"/>
    <col min="2501" max="2736" width="9.109375" style="5"/>
    <col min="2737" max="2737" width="15.88672" style="5" bestFit="1" customWidth="1"/>
    <col min="2738" max="2738" width="13.44141" style="5" bestFit="1" customWidth="1"/>
    <col min="2739" max="2739" width="19.66406" style="5" bestFit="1" customWidth="1"/>
    <col min="2740" max="2740" width="2.664063" style="5" customWidth="1"/>
    <col min="2741" max="2742" style="5" hidden="1" customWidth="1"/>
    <col min="2743" max="2743" width="17.55469" style="5" bestFit="1" customWidth="1"/>
    <col min="2744" max="2744" width="18.55469" style="5" bestFit="1" customWidth="1"/>
    <col min="2745" max="2745" width="16" style="5" bestFit="1" customWidth="1"/>
    <col min="2746" max="2756" style="5" hidden="1" customWidth="1"/>
    <col min="2757" max="2992" width="9.109375" style="5"/>
    <col min="2993" max="2993" width="15.88672" style="5" bestFit="1" customWidth="1"/>
    <col min="2994" max="2994" width="13.44141" style="5" bestFit="1" customWidth="1"/>
    <col min="2995" max="2995" width="19.66406" style="5" bestFit="1" customWidth="1"/>
    <col min="2996" max="2996" width="2.664063" style="5" customWidth="1"/>
    <col min="2997" max="2998" style="5" hidden="1" customWidth="1"/>
    <col min="2999" max="2999" width="17.55469" style="5" bestFit="1" customWidth="1"/>
    <col min="3000" max="3000" width="18.55469" style="5" bestFit="1" customWidth="1"/>
    <col min="3001" max="3001" width="16" style="5" bestFit="1" customWidth="1"/>
    <col min="3002" max="3012" style="5" hidden="1" customWidth="1"/>
    <col min="3013" max="3248" width="9.109375" style="5"/>
    <col min="3249" max="3249" width="15.88672" style="5" bestFit="1" customWidth="1"/>
    <col min="3250" max="3250" width="13.44141" style="5" bestFit="1" customWidth="1"/>
    <col min="3251" max="3251" width="19.66406" style="5" bestFit="1" customWidth="1"/>
    <col min="3252" max="3252" width="2.664063" style="5" customWidth="1"/>
    <col min="3253" max="3254" style="5" hidden="1" customWidth="1"/>
    <col min="3255" max="3255" width="17.55469" style="5" bestFit="1" customWidth="1"/>
    <col min="3256" max="3256" width="18.55469" style="5" bestFit="1" customWidth="1"/>
    <col min="3257" max="3257" width="16" style="5" bestFit="1" customWidth="1"/>
    <col min="3258" max="3268" style="5" hidden="1" customWidth="1"/>
    <col min="3269" max="3504" width="9.109375" style="5"/>
    <col min="3505" max="3505" width="15.88672" style="5" bestFit="1" customWidth="1"/>
    <col min="3506" max="3506" width="13.44141" style="5" bestFit="1" customWidth="1"/>
    <col min="3507" max="3507" width="19.66406" style="5" bestFit="1" customWidth="1"/>
    <col min="3508" max="3508" width="2.664063" style="5" customWidth="1"/>
    <col min="3509" max="3510" style="5" hidden="1" customWidth="1"/>
    <col min="3511" max="3511" width="17.55469" style="5" bestFit="1" customWidth="1"/>
    <col min="3512" max="3512" width="18.55469" style="5" bestFit="1" customWidth="1"/>
    <col min="3513" max="3513" width="16" style="5" bestFit="1" customWidth="1"/>
    <col min="3514" max="3524" style="5" hidden="1" customWidth="1"/>
    <col min="3525" max="3760" width="9.109375" style="5"/>
    <col min="3761" max="3761" width="15.88672" style="5" bestFit="1" customWidth="1"/>
    <col min="3762" max="3762" width="13.44141" style="5" bestFit="1" customWidth="1"/>
    <col min="3763" max="3763" width="19.66406" style="5" bestFit="1" customWidth="1"/>
    <col min="3764" max="3764" width="2.664063" style="5" customWidth="1"/>
    <col min="3765" max="3766" style="5" hidden="1" customWidth="1"/>
    <col min="3767" max="3767" width="17.55469" style="5" bestFit="1" customWidth="1"/>
    <col min="3768" max="3768" width="18.55469" style="5" bestFit="1" customWidth="1"/>
    <col min="3769" max="3769" width="16" style="5" bestFit="1" customWidth="1"/>
    <col min="3770" max="3780" style="5" hidden="1" customWidth="1"/>
    <col min="3781" max="4016" width="9.109375" style="5"/>
    <col min="4017" max="4017" width="15.88672" style="5" bestFit="1" customWidth="1"/>
    <col min="4018" max="4018" width="13.44141" style="5" bestFit="1" customWidth="1"/>
    <col min="4019" max="4019" width="19.66406" style="5" bestFit="1" customWidth="1"/>
    <col min="4020" max="4020" width="2.664063" style="5" customWidth="1"/>
    <col min="4021" max="4022" style="5" hidden="1" customWidth="1"/>
    <col min="4023" max="4023" width="17.55469" style="5" bestFit="1" customWidth="1"/>
    <col min="4024" max="4024" width="18.55469" style="5" bestFit="1" customWidth="1"/>
    <col min="4025" max="4025" width="16" style="5" bestFit="1" customWidth="1"/>
    <col min="4026" max="4036" style="5" hidden="1" customWidth="1"/>
    <col min="4037" max="4272" width="9.109375" style="5"/>
    <col min="4273" max="4273" width="15.88672" style="5" bestFit="1" customWidth="1"/>
    <col min="4274" max="4274" width="13.44141" style="5" bestFit="1" customWidth="1"/>
    <col min="4275" max="4275" width="19.66406" style="5" bestFit="1" customWidth="1"/>
    <col min="4276" max="4276" width="2.664063" style="5" customWidth="1"/>
    <col min="4277" max="4278" style="5" hidden="1" customWidth="1"/>
    <col min="4279" max="4279" width="17.55469" style="5" bestFit="1" customWidth="1"/>
    <col min="4280" max="4280" width="18.55469" style="5" bestFit="1" customWidth="1"/>
    <col min="4281" max="4281" width="16" style="5" bestFit="1" customWidth="1"/>
    <col min="4282" max="4292" style="5" hidden="1" customWidth="1"/>
    <col min="4293" max="4528" width="9.109375" style="5"/>
    <col min="4529" max="4529" width="15.88672" style="5" bestFit="1" customWidth="1"/>
    <col min="4530" max="4530" width="13.44141" style="5" bestFit="1" customWidth="1"/>
    <col min="4531" max="4531" width="19.66406" style="5" bestFit="1" customWidth="1"/>
    <col min="4532" max="4532" width="2.664063" style="5" customWidth="1"/>
    <col min="4533" max="4534" style="5" hidden="1" customWidth="1"/>
    <col min="4535" max="4535" width="17.55469" style="5" bestFit="1" customWidth="1"/>
    <col min="4536" max="4536" width="18.55469" style="5" bestFit="1" customWidth="1"/>
    <col min="4537" max="4537" width="16" style="5" bestFit="1" customWidth="1"/>
    <col min="4538" max="4548" style="5" hidden="1" customWidth="1"/>
    <col min="4549" max="4784" width="9.109375" style="5"/>
    <col min="4785" max="4785" width="15.88672" style="5" bestFit="1" customWidth="1"/>
    <col min="4786" max="4786" width="13.44141" style="5" bestFit="1" customWidth="1"/>
    <col min="4787" max="4787" width="19.66406" style="5" bestFit="1" customWidth="1"/>
    <col min="4788" max="4788" width="2.664063" style="5" customWidth="1"/>
    <col min="4789" max="4790" style="5" hidden="1" customWidth="1"/>
    <col min="4791" max="4791" width="17.55469" style="5" bestFit="1" customWidth="1"/>
    <col min="4792" max="4792" width="18.55469" style="5" bestFit="1" customWidth="1"/>
    <col min="4793" max="4793" width="16" style="5" bestFit="1" customWidth="1"/>
    <col min="4794" max="4804" style="5" hidden="1" customWidth="1"/>
    <col min="4805" max="5040" width="9.109375" style="5"/>
    <col min="5041" max="5041" width="15.88672" style="5" bestFit="1" customWidth="1"/>
    <col min="5042" max="5042" width="13.44141" style="5" bestFit="1" customWidth="1"/>
    <col min="5043" max="5043" width="19.66406" style="5" bestFit="1" customWidth="1"/>
    <col min="5044" max="5044" width="2.664063" style="5" customWidth="1"/>
    <col min="5045" max="5046" style="5" hidden="1" customWidth="1"/>
    <col min="5047" max="5047" width="17.55469" style="5" bestFit="1" customWidth="1"/>
    <col min="5048" max="5048" width="18.55469" style="5" bestFit="1" customWidth="1"/>
    <col min="5049" max="5049" width="16" style="5" bestFit="1" customWidth="1"/>
    <col min="5050" max="5060" style="5" hidden="1" customWidth="1"/>
    <col min="5061" max="5296" width="9.109375" style="5"/>
    <col min="5297" max="5297" width="15.88672" style="5" bestFit="1" customWidth="1"/>
    <col min="5298" max="5298" width="13.44141" style="5" bestFit="1" customWidth="1"/>
    <col min="5299" max="5299" width="19.66406" style="5" bestFit="1" customWidth="1"/>
    <col min="5300" max="5300" width="2.664063" style="5" customWidth="1"/>
    <col min="5301" max="5302" style="5" hidden="1" customWidth="1"/>
    <col min="5303" max="5303" width="17.55469" style="5" bestFit="1" customWidth="1"/>
    <col min="5304" max="5304" width="18.55469" style="5" bestFit="1" customWidth="1"/>
    <col min="5305" max="5305" width="16" style="5" bestFit="1" customWidth="1"/>
    <col min="5306" max="5316" style="5" hidden="1" customWidth="1"/>
    <col min="5317" max="5552" width="9.109375" style="5"/>
    <col min="5553" max="5553" width="15.88672" style="5" bestFit="1" customWidth="1"/>
    <col min="5554" max="5554" width="13.44141" style="5" bestFit="1" customWidth="1"/>
    <col min="5555" max="5555" width="19.66406" style="5" bestFit="1" customWidth="1"/>
    <col min="5556" max="5556" width="2.664063" style="5" customWidth="1"/>
    <col min="5557" max="5558" style="5" hidden="1" customWidth="1"/>
    <col min="5559" max="5559" width="17.55469" style="5" bestFit="1" customWidth="1"/>
    <col min="5560" max="5560" width="18.55469" style="5" bestFit="1" customWidth="1"/>
    <col min="5561" max="5561" width="16" style="5" bestFit="1" customWidth="1"/>
    <col min="5562" max="5572" style="5" hidden="1" customWidth="1"/>
    <col min="5573" max="5808" width="9.109375" style="5"/>
    <col min="5809" max="5809" width="15.88672" style="5" bestFit="1" customWidth="1"/>
    <col min="5810" max="5810" width="13.44141" style="5" bestFit="1" customWidth="1"/>
    <col min="5811" max="5811" width="19.66406" style="5" bestFit="1" customWidth="1"/>
    <col min="5812" max="5812" width="2.664063" style="5" customWidth="1"/>
    <col min="5813" max="5814" style="5" hidden="1" customWidth="1"/>
    <col min="5815" max="5815" width="17.55469" style="5" bestFit="1" customWidth="1"/>
    <col min="5816" max="5816" width="18.55469" style="5" bestFit="1" customWidth="1"/>
    <col min="5817" max="5817" width="16" style="5" bestFit="1" customWidth="1"/>
    <col min="5818" max="5828" style="5" hidden="1" customWidth="1"/>
    <col min="5829" max="6064" width="9.109375" style="5"/>
    <col min="6065" max="6065" width="15.88672" style="5" bestFit="1" customWidth="1"/>
    <col min="6066" max="6066" width="13.44141" style="5" bestFit="1" customWidth="1"/>
    <col min="6067" max="6067" width="19.66406" style="5" bestFit="1" customWidth="1"/>
    <col min="6068" max="6068" width="2.664063" style="5" customWidth="1"/>
    <col min="6069" max="6070" style="5" hidden="1" customWidth="1"/>
    <col min="6071" max="6071" width="17.55469" style="5" bestFit="1" customWidth="1"/>
    <col min="6072" max="6072" width="18.55469" style="5" bestFit="1" customWidth="1"/>
    <col min="6073" max="6073" width="16" style="5" bestFit="1" customWidth="1"/>
    <col min="6074" max="6084" style="5" hidden="1" customWidth="1"/>
    <col min="6085" max="6320" width="9.109375" style="5"/>
    <col min="6321" max="6321" width="15.88672" style="5" bestFit="1" customWidth="1"/>
    <col min="6322" max="6322" width="13.44141" style="5" bestFit="1" customWidth="1"/>
    <col min="6323" max="6323" width="19.66406" style="5" bestFit="1" customWidth="1"/>
    <col min="6324" max="6324" width="2.664063" style="5" customWidth="1"/>
    <col min="6325" max="6326" style="5" hidden="1" customWidth="1"/>
    <col min="6327" max="6327" width="17.55469" style="5" bestFit="1" customWidth="1"/>
    <col min="6328" max="6328" width="18.55469" style="5" bestFit="1" customWidth="1"/>
    <col min="6329" max="6329" width="16" style="5" bestFit="1" customWidth="1"/>
    <col min="6330" max="6340" style="5" hidden="1" customWidth="1"/>
    <col min="6341" max="6576" width="9.109375" style="5"/>
    <col min="6577" max="6577" width="15.88672" style="5" bestFit="1" customWidth="1"/>
    <col min="6578" max="6578" width="13.44141" style="5" bestFit="1" customWidth="1"/>
    <col min="6579" max="6579" width="19.66406" style="5" bestFit="1" customWidth="1"/>
    <col min="6580" max="6580" width="2.664063" style="5" customWidth="1"/>
    <col min="6581" max="6582" style="5" hidden="1" customWidth="1"/>
    <col min="6583" max="6583" width="17.55469" style="5" bestFit="1" customWidth="1"/>
    <col min="6584" max="6584" width="18.55469" style="5" bestFit="1" customWidth="1"/>
    <col min="6585" max="6585" width="16" style="5" bestFit="1" customWidth="1"/>
    <col min="6586" max="6596" style="5" hidden="1" customWidth="1"/>
    <col min="6597" max="6832" width="9.109375" style="5"/>
    <col min="6833" max="6833" width="15.88672" style="5" bestFit="1" customWidth="1"/>
    <col min="6834" max="6834" width="13.44141" style="5" bestFit="1" customWidth="1"/>
    <col min="6835" max="6835" width="19.66406" style="5" bestFit="1" customWidth="1"/>
    <col min="6836" max="6836" width="2.664063" style="5" customWidth="1"/>
    <col min="6837" max="6838" style="5" hidden="1" customWidth="1"/>
    <col min="6839" max="6839" width="17.55469" style="5" bestFit="1" customWidth="1"/>
    <col min="6840" max="6840" width="18.55469" style="5" bestFit="1" customWidth="1"/>
    <col min="6841" max="6841" width="16" style="5" bestFit="1" customWidth="1"/>
    <col min="6842" max="6852" style="5" hidden="1" customWidth="1"/>
    <col min="6853" max="7088" width="9.109375" style="5"/>
    <col min="7089" max="7089" width="15.88672" style="5" bestFit="1" customWidth="1"/>
    <col min="7090" max="7090" width="13.44141" style="5" bestFit="1" customWidth="1"/>
    <col min="7091" max="7091" width="19.66406" style="5" bestFit="1" customWidth="1"/>
    <col min="7092" max="7092" width="2.664063" style="5" customWidth="1"/>
    <col min="7093" max="7094" style="5" hidden="1" customWidth="1"/>
    <col min="7095" max="7095" width="17.55469" style="5" bestFit="1" customWidth="1"/>
    <col min="7096" max="7096" width="18.55469" style="5" bestFit="1" customWidth="1"/>
    <col min="7097" max="7097" width="16" style="5" bestFit="1" customWidth="1"/>
    <col min="7098" max="7108" style="5" hidden="1" customWidth="1"/>
    <col min="7109" max="7344" width="9.109375" style="5"/>
    <col min="7345" max="7345" width="15.88672" style="5" bestFit="1" customWidth="1"/>
    <col min="7346" max="7346" width="13.44141" style="5" bestFit="1" customWidth="1"/>
    <col min="7347" max="7347" width="19.66406" style="5" bestFit="1" customWidth="1"/>
    <col min="7348" max="7348" width="2.664063" style="5" customWidth="1"/>
    <col min="7349" max="7350" style="5" hidden="1" customWidth="1"/>
    <col min="7351" max="7351" width="17.55469" style="5" bestFit="1" customWidth="1"/>
    <col min="7352" max="7352" width="18.55469" style="5" bestFit="1" customWidth="1"/>
    <col min="7353" max="7353" width="16" style="5" bestFit="1" customWidth="1"/>
    <col min="7354" max="7364" style="5" hidden="1" customWidth="1"/>
    <col min="7365" max="7600" width="9.109375" style="5"/>
    <col min="7601" max="7601" width="15.88672" style="5" bestFit="1" customWidth="1"/>
    <col min="7602" max="7602" width="13.44141" style="5" bestFit="1" customWidth="1"/>
    <col min="7603" max="7603" width="19.66406" style="5" bestFit="1" customWidth="1"/>
    <col min="7604" max="7604" width="2.664063" style="5" customWidth="1"/>
    <col min="7605" max="7606" style="5" hidden="1" customWidth="1"/>
    <col min="7607" max="7607" width="17.55469" style="5" bestFit="1" customWidth="1"/>
    <col min="7608" max="7608" width="18.55469" style="5" bestFit="1" customWidth="1"/>
    <col min="7609" max="7609" width="16" style="5" bestFit="1" customWidth="1"/>
    <col min="7610" max="7620" style="5" hidden="1" customWidth="1"/>
    <col min="7621" max="7856" width="9.109375" style="5"/>
    <col min="7857" max="7857" width="15.88672" style="5" bestFit="1" customWidth="1"/>
    <col min="7858" max="7858" width="13.44141" style="5" bestFit="1" customWidth="1"/>
    <col min="7859" max="7859" width="19.66406" style="5" bestFit="1" customWidth="1"/>
    <col min="7860" max="7860" width="2.664063" style="5" customWidth="1"/>
    <col min="7861" max="7862" style="5" hidden="1" customWidth="1"/>
    <col min="7863" max="7863" width="17.55469" style="5" bestFit="1" customWidth="1"/>
    <col min="7864" max="7864" width="18.55469" style="5" bestFit="1" customWidth="1"/>
    <col min="7865" max="7865" width="16" style="5" bestFit="1" customWidth="1"/>
    <col min="7866" max="7876" style="5" hidden="1" customWidth="1"/>
    <col min="7877" max="8112" width="9.109375" style="5"/>
    <col min="8113" max="8113" width="15.88672" style="5" bestFit="1" customWidth="1"/>
    <col min="8114" max="8114" width="13.44141" style="5" bestFit="1" customWidth="1"/>
    <col min="8115" max="8115" width="19.66406" style="5" bestFit="1" customWidth="1"/>
    <col min="8116" max="8116" width="2.664063" style="5" customWidth="1"/>
    <col min="8117" max="8118" style="5" hidden="1" customWidth="1"/>
    <col min="8119" max="8119" width="17.55469" style="5" bestFit="1" customWidth="1"/>
    <col min="8120" max="8120" width="18.55469" style="5" bestFit="1" customWidth="1"/>
    <col min="8121" max="8121" width="16" style="5" bestFit="1" customWidth="1"/>
    <col min="8122" max="8132" style="5" hidden="1" customWidth="1"/>
    <col min="8133" max="8368" width="9.109375" style="5"/>
    <col min="8369" max="8369" width="15.88672" style="5" bestFit="1" customWidth="1"/>
    <col min="8370" max="8370" width="13.44141" style="5" bestFit="1" customWidth="1"/>
    <col min="8371" max="8371" width="19.66406" style="5" bestFit="1" customWidth="1"/>
    <col min="8372" max="8372" width="2.664063" style="5" customWidth="1"/>
    <col min="8373" max="8374" style="5" hidden="1" customWidth="1"/>
    <col min="8375" max="8375" width="17.55469" style="5" bestFit="1" customWidth="1"/>
    <col min="8376" max="8376" width="18.55469" style="5" bestFit="1" customWidth="1"/>
    <col min="8377" max="8377" width="16" style="5" bestFit="1" customWidth="1"/>
    <col min="8378" max="8388" style="5" hidden="1" customWidth="1"/>
    <col min="8389" max="8624" width="9.109375" style="5"/>
    <col min="8625" max="8625" width="15.88672" style="5" bestFit="1" customWidth="1"/>
    <col min="8626" max="8626" width="13.44141" style="5" bestFit="1" customWidth="1"/>
    <col min="8627" max="8627" width="19.66406" style="5" bestFit="1" customWidth="1"/>
    <col min="8628" max="8628" width="2.664063" style="5" customWidth="1"/>
    <col min="8629" max="8630" style="5" hidden="1" customWidth="1"/>
    <col min="8631" max="8631" width="17.55469" style="5" bestFit="1" customWidth="1"/>
    <col min="8632" max="8632" width="18.55469" style="5" bestFit="1" customWidth="1"/>
    <col min="8633" max="8633" width="16" style="5" bestFit="1" customWidth="1"/>
    <col min="8634" max="8644" style="5" hidden="1" customWidth="1"/>
    <col min="8645" max="8880" width="9.109375" style="5"/>
    <col min="8881" max="8881" width="15.88672" style="5" bestFit="1" customWidth="1"/>
    <col min="8882" max="8882" width="13.44141" style="5" bestFit="1" customWidth="1"/>
    <col min="8883" max="8883" width="19.66406" style="5" bestFit="1" customWidth="1"/>
    <col min="8884" max="8884" width="2.664063" style="5" customWidth="1"/>
    <col min="8885" max="8886" style="5" hidden="1" customWidth="1"/>
    <col min="8887" max="8887" width="17.55469" style="5" bestFit="1" customWidth="1"/>
    <col min="8888" max="8888" width="18.55469" style="5" bestFit="1" customWidth="1"/>
    <col min="8889" max="8889" width="16" style="5" bestFit="1" customWidth="1"/>
    <col min="8890" max="8900" style="5" hidden="1" customWidth="1"/>
    <col min="8901" max="9136" width="9.109375" style="5"/>
    <col min="9137" max="9137" width="15.88672" style="5" bestFit="1" customWidth="1"/>
    <col min="9138" max="9138" width="13.44141" style="5" bestFit="1" customWidth="1"/>
    <col min="9139" max="9139" width="19.66406" style="5" bestFit="1" customWidth="1"/>
    <col min="9140" max="9140" width="2.664063" style="5" customWidth="1"/>
    <col min="9141" max="9142" style="5" hidden="1" customWidth="1"/>
    <col min="9143" max="9143" width="17.55469" style="5" bestFit="1" customWidth="1"/>
    <col min="9144" max="9144" width="18.55469" style="5" bestFit="1" customWidth="1"/>
    <col min="9145" max="9145" width="16" style="5" bestFit="1" customWidth="1"/>
    <col min="9146" max="9156" style="5" hidden="1" customWidth="1"/>
    <col min="9157" max="9392" width="9.109375" style="5"/>
    <col min="9393" max="9393" width="15.88672" style="5" bestFit="1" customWidth="1"/>
    <col min="9394" max="9394" width="13.44141" style="5" bestFit="1" customWidth="1"/>
    <col min="9395" max="9395" width="19.66406" style="5" bestFit="1" customWidth="1"/>
    <col min="9396" max="9396" width="2.664063" style="5" customWidth="1"/>
    <col min="9397" max="9398" style="5" hidden="1" customWidth="1"/>
    <col min="9399" max="9399" width="17.55469" style="5" bestFit="1" customWidth="1"/>
    <col min="9400" max="9400" width="18.55469" style="5" bestFit="1" customWidth="1"/>
    <col min="9401" max="9401" width="16" style="5" bestFit="1" customWidth="1"/>
    <col min="9402" max="9412" style="5" hidden="1" customWidth="1"/>
    <col min="9413" max="9648" width="9.109375" style="5"/>
    <col min="9649" max="9649" width="15.88672" style="5" bestFit="1" customWidth="1"/>
    <col min="9650" max="9650" width="13.44141" style="5" bestFit="1" customWidth="1"/>
    <col min="9651" max="9651" width="19.66406" style="5" bestFit="1" customWidth="1"/>
    <col min="9652" max="9652" width="2.664063" style="5" customWidth="1"/>
    <col min="9653" max="9654" style="5" hidden="1" customWidth="1"/>
    <col min="9655" max="9655" width="17.55469" style="5" bestFit="1" customWidth="1"/>
    <col min="9656" max="9656" width="18.55469" style="5" bestFit="1" customWidth="1"/>
    <col min="9657" max="9657" width="16" style="5" bestFit="1" customWidth="1"/>
    <col min="9658" max="9668" style="5" hidden="1" customWidth="1"/>
    <col min="9669" max="9904" width="9.109375" style="5"/>
    <col min="9905" max="9905" width="15.88672" style="5" bestFit="1" customWidth="1"/>
    <col min="9906" max="9906" width="13.44141" style="5" bestFit="1" customWidth="1"/>
    <col min="9907" max="9907" width="19.66406" style="5" bestFit="1" customWidth="1"/>
    <col min="9908" max="9908" width="2.664063" style="5" customWidth="1"/>
    <col min="9909" max="9910" style="5" hidden="1" customWidth="1"/>
    <col min="9911" max="9911" width="17.55469" style="5" bestFit="1" customWidth="1"/>
    <col min="9912" max="9912" width="18.55469" style="5" bestFit="1" customWidth="1"/>
    <col min="9913" max="9913" width="16" style="5" bestFit="1" customWidth="1"/>
    <col min="9914" max="9924" style="5" hidden="1" customWidth="1"/>
    <col min="9925" max="10160" width="9.109375" style="5"/>
    <col min="10161" max="10161" width="15.88672" style="5" bestFit="1" customWidth="1"/>
    <col min="10162" max="10162" width="13.44141" style="5" bestFit="1" customWidth="1"/>
    <col min="10163" max="10163" width="19.66406" style="5" bestFit="1" customWidth="1"/>
    <col min="10164" max="10164" width="2.664063" style="5" customWidth="1"/>
    <col min="10165" max="10166" style="5" hidden="1" customWidth="1"/>
    <col min="10167" max="10167" width="17.55469" style="5" bestFit="1" customWidth="1"/>
    <col min="10168" max="10168" width="18.55469" style="5" bestFit="1" customWidth="1"/>
    <col min="10169" max="10169" width="16" style="5" bestFit="1" customWidth="1"/>
    <col min="10170" max="10180" style="5" hidden="1" customWidth="1"/>
    <col min="10181" max="10416" width="9.109375" style="5"/>
    <col min="10417" max="10417" width="15.88672" style="5" bestFit="1" customWidth="1"/>
    <col min="10418" max="10418" width="13.44141" style="5" bestFit="1" customWidth="1"/>
    <col min="10419" max="10419" width="19.66406" style="5" bestFit="1" customWidth="1"/>
    <col min="10420" max="10420" width="2.664063" style="5" customWidth="1"/>
    <col min="10421" max="10422" style="5" hidden="1" customWidth="1"/>
    <col min="10423" max="10423" width="17.55469" style="5" bestFit="1" customWidth="1"/>
    <col min="10424" max="10424" width="18.55469" style="5" bestFit="1" customWidth="1"/>
    <col min="10425" max="10425" width="16" style="5" bestFit="1" customWidth="1"/>
    <col min="10426" max="10436" style="5" hidden="1" customWidth="1"/>
    <col min="10437" max="10672" width="9.109375" style="5"/>
    <col min="10673" max="10673" width="15.88672" style="5" bestFit="1" customWidth="1"/>
    <col min="10674" max="10674" width="13.44141" style="5" bestFit="1" customWidth="1"/>
    <col min="10675" max="10675" width="19.66406" style="5" bestFit="1" customWidth="1"/>
    <col min="10676" max="10676" width="2.664063" style="5" customWidth="1"/>
    <col min="10677" max="10678" style="5" hidden="1" customWidth="1"/>
    <col min="10679" max="10679" width="17.55469" style="5" bestFit="1" customWidth="1"/>
    <col min="10680" max="10680" width="18.55469" style="5" bestFit="1" customWidth="1"/>
    <col min="10681" max="10681" width="16" style="5" bestFit="1" customWidth="1"/>
    <col min="10682" max="10692" style="5" hidden="1" customWidth="1"/>
    <col min="10693" max="10928" width="9.109375" style="5"/>
    <col min="10929" max="10929" width="15.88672" style="5" bestFit="1" customWidth="1"/>
    <col min="10930" max="10930" width="13.44141" style="5" bestFit="1" customWidth="1"/>
    <col min="10931" max="10931" width="19.66406" style="5" bestFit="1" customWidth="1"/>
    <col min="10932" max="10932" width="2.664063" style="5" customWidth="1"/>
    <col min="10933" max="10934" style="5" hidden="1" customWidth="1"/>
    <col min="10935" max="10935" width="17.55469" style="5" bestFit="1" customWidth="1"/>
    <col min="10936" max="10936" width="18.55469" style="5" bestFit="1" customWidth="1"/>
    <col min="10937" max="10937" width="16" style="5" bestFit="1" customWidth="1"/>
    <col min="10938" max="10948" style="5" hidden="1" customWidth="1"/>
    <col min="10949" max="11184" width="9.109375" style="5"/>
    <col min="11185" max="11185" width="15.88672" style="5" bestFit="1" customWidth="1"/>
    <col min="11186" max="11186" width="13.44141" style="5" bestFit="1" customWidth="1"/>
    <col min="11187" max="11187" width="19.66406" style="5" bestFit="1" customWidth="1"/>
    <col min="11188" max="11188" width="2.664063" style="5" customWidth="1"/>
    <col min="11189" max="11190" style="5" hidden="1" customWidth="1"/>
    <col min="11191" max="11191" width="17.55469" style="5" bestFit="1" customWidth="1"/>
    <col min="11192" max="11192" width="18.55469" style="5" bestFit="1" customWidth="1"/>
    <col min="11193" max="11193" width="16" style="5" bestFit="1" customWidth="1"/>
    <col min="11194" max="11204" style="5" hidden="1" customWidth="1"/>
    <col min="11205" max="11440" width="9.109375" style="5"/>
    <col min="11441" max="11441" width="15.88672" style="5" bestFit="1" customWidth="1"/>
    <col min="11442" max="11442" width="13.44141" style="5" bestFit="1" customWidth="1"/>
    <col min="11443" max="11443" width="19.66406" style="5" bestFit="1" customWidth="1"/>
    <col min="11444" max="11444" width="2.664063" style="5" customWidth="1"/>
    <col min="11445" max="11446" style="5" hidden="1" customWidth="1"/>
    <col min="11447" max="11447" width="17.55469" style="5" bestFit="1" customWidth="1"/>
    <col min="11448" max="11448" width="18.55469" style="5" bestFit="1" customWidth="1"/>
    <col min="11449" max="11449" width="16" style="5" bestFit="1" customWidth="1"/>
    <col min="11450" max="11460" style="5" hidden="1" customWidth="1"/>
    <col min="11461" max="11696" width="9.109375" style="5"/>
    <col min="11697" max="11697" width="15.88672" style="5" bestFit="1" customWidth="1"/>
    <col min="11698" max="11698" width="13.44141" style="5" bestFit="1" customWidth="1"/>
    <col min="11699" max="11699" width="19.66406" style="5" bestFit="1" customWidth="1"/>
    <col min="11700" max="11700" width="2.664063" style="5" customWidth="1"/>
    <col min="11701" max="11702" style="5" hidden="1" customWidth="1"/>
    <col min="11703" max="11703" width="17.55469" style="5" bestFit="1" customWidth="1"/>
    <col min="11704" max="11704" width="18.55469" style="5" bestFit="1" customWidth="1"/>
    <col min="11705" max="11705" width="16" style="5" bestFit="1" customWidth="1"/>
    <col min="11706" max="11716" style="5" hidden="1" customWidth="1"/>
    <col min="11717" max="11952" width="9.109375" style="5"/>
    <col min="11953" max="11953" width="15.88672" style="5" bestFit="1" customWidth="1"/>
    <col min="11954" max="11954" width="13.44141" style="5" bestFit="1" customWidth="1"/>
    <col min="11955" max="11955" width="19.66406" style="5" bestFit="1" customWidth="1"/>
    <col min="11956" max="11956" width="2.664063" style="5" customWidth="1"/>
    <col min="11957" max="11958" style="5" hidden="1" customWidth="1"/>
    <col min="11959" max="11959" width="17.55469" style="5" bestFit="1" customWidth="1"/>
    <col min="11960" max="11960" width="18.55469" style="5" bestFit="1" customWidth="1"/>
    <col min="11961" max="11961" width="16" style="5" bestFit="1" customWidth="1"/>
    <col min="11962" max="11972" style="5" hidden="1" customWidth="1"/>
    <col min="11973" max="12208" width="9.109375" style="5"/>
    <col min="12209" max="12209" width="15.88672" style="5" bestFit="1" customWidth="1"/>
    <col min="12210" max="12210" width="13.44141" style="5" bestFit="1" customWidth="1"/>
    <col min="12211" max="12211" width="19.66406" style="5" bestFit="1" customWidth="1"/>
    <col min="12212" max="12212" width="2.664063" style="5" customWidth="1"/>
    <col min="12213" max="12214" style="5" hidden="1" customWidth="1"/>
    <col min="12215" max="12215" width="17.55469" style="5" bestFit="1" customWidth="1"/>
    <col min="12216" max="12216" width="18.55469" style="5" bestFit="1" customWidth="1"/>
    <col min="12217" max="12217" width="16" style="5" bestFit="1" customWidth="1"/>
    <col min="12218" max="12228" style="5" hidden="1" customWidth="1"/>
    <col min="12229" max="12464" width="9.109375" style="5"/>
    <col min="12465" max="12465" width="15.88672" style="5" bestFit="1" customWidth="1"/>
    <col min="12466" max="12466" width="13.44141" style="5" bestFit="1" customWidth="1"/>
    <col min="12467" max="12467" width="19.66406" style="5" bestFit="1" customWidth="1"/>
    <col min="12468" max="12468" width="2.664063" style="5" customWidth="1"/>
    <col min="12469" max="12470" style="5" hidden="1" customWidth="1"/>
    <col min="12471" max="12471" width="17.55469" style="5" bestFit="1" customWidth="1"/>
    <col min="12472" max="12472" width="18.55469" style="5" bestFit="1" customWidth="1"/>
    <col min="12473" max="12473" width="16" style="5" bestFit="1" customWidth="1"/>
    <col min="12474" max="12484" style="5" hidden="1" customWidth="1"/>
    <col min="12485" max="12720" width="9.109375" style="5"/>
    <col min="12721" max="12721" width="15.88672" style="5" bestFit="1" customWidth="1"/>
    <col min="12722" max="12722" width="13.44141" style="5" bestFit="1" customWidth="1"/>
    <col min="12723" max="12723" width="19.66406" style="5" bestFit="1" customWidth="1"/>
    <col min="12724" max="12724" width="2.664063" style="5" customWidth="1"/>
    <col min="12725" max="12726" style="5" hidden="1" customWidth="1"/>
    <col min="12727" max="12727" width="17.55469" style="5" bestFit="1" customWidth="1"/>
    <col min="12728" max="12728" width="18.55469" style="5" bestFit="1" customWidth="1"/>
    <col min="12729" max="12729" width="16" style="5" bestFit="1" customWidth="1"/>
    <col min="12730" max="12740" style="5" hidden="1" customWidth="1"/>
    <col min="12741" max="12976" width="9.109375" style="5"/>
    <col min="12977" max="12977" width="15.88672" style="5" bestFit="1" customWidth="1"/>
    <col min="12978" max="12978" width="13.44141" style="5" bestFit="1" customWidth="1"/>
    <col min="12979" max="12979" width="19.66406" style="5" bestFit="1" customWidth="1"/>
    <col min="12980" max="12980" width="2.664063" style="5" customWidth="1"/>
    <col min="12981" max="12982" style="5" hidden="1" customWidth="1"/>
    <col min="12983" max="12983" width="17.55469" style="5" bestFit="1" customWidth="1"/>
    <col min="12984" max="12984" width="18.55469" style="5" bestFit="1" customWidth="1"/>
    <col min="12985" max="12985" width="16" style="5" bestFit="1" customWidth="1"/>
    <col min="12986" max="12996" style="5" hidden="1" customWidth="1"/>
    <col min="12997" max="13232" width="9.109375" style="5"/>
    <col min="13233" max="13233" width="15.88672" style="5" bestFit="1" customWidth="1"/>
    <col min="13234" max="13234" width="13.44141" style="5" bestFit="1" customWidth="1"/>
    <col min="13235" max="13235" width="19.66406" style="5" bestFit="1" customWidth="1"/>
    <col min="13236" max="13236" width="2.664063" style="5" customWidth="1"/>
    <col min="13237" max="13238" style="5" hidden="1" customWidth="1"/>
    <col min="13239" max="13239" width="17.55469" style="5" bestFit="1" customWidth="1"/>
    <col min="13240" max="13240" width="18.55469" style="5" bestFit="1" customWidth="1"/>
    <col min="13241" max="13241" width="16" style="5" bestFit="1" customWidth="1"/>
    <col min="13242" max="13252" style="5" hidden="1" customWidth="1"/>
    <col min="13253" max="13488" width="9.109375" style="5"/>
    <col min="13489" max="13489" width="15.88672" style="5" bestFit="1" customWidth="1"/>
    <col min="13490" max="13490" width="13.44141" style="5" bestFit="1" customWidth="1"/>
    <col min="13491" max="13491" width="19.66406" style="5" bestFit="1" customWidth="1"/>
    <col min="13492" max="13492" width="2.664063" style="5" customWidth="1"/>
    <col min="13493" max="13494" style="5" hidden="1" customWidth="1"/>
    <col min="13495" max="13495" width="17.55469" style="5" bestFit="1" customWidth="1"/>
    <col min="13496" max="13496" width="18.55469" style="5" bestFit="1" customWidth="1"/>
    <col min="13497" max="13497" width="16" style="5" bestFit="1" customWidth="1"/>
    <col min="13498" max="13508" style="5" hidden="1" customWidth="1"/>
    <col min="13509" max="13744" width="9.109375" style="5"/>
    <col min="13745" max="13745" width="15.88672" style="5" bestFit="1" customWidth="1"/>
    <col min="13746" max="13746" width="13.44141" style="5" bestFit="1" customWidth="1"/>
    <col min="13747" max="13747" width="19.66406" style="5" bestFit="1" customWidth="1"/>
    <col min="13748" max="13748" width="2.664063" style="5" customWidth="1"/>
    <col min="13749" max="13750" style="5" hidden="1" customWidth="1"/>
    <col min="13751" max="13751" width="17.55469" style="5" bestFit="1" customWidth="1"/>
    <col min="13752" max="13752" width="18.55469" style="5" bestFit="1" customWidth="1"/>
    <col min="13753" max="13753" width="16" style="5" bestFit="1" customWidth="1"/>
    <col min="13754" max="13764" style="5" hidden="1" customWidth="1"/>
    <col min="13765" max="14000" width="9.109375" style="5"/>
    <col min="14001" max="14001" width="15.88672" style="5" bestFit="1" customWidth="1"/>
    <col min="14002" max="14002" width="13.44141" style="5" bestFit="1" customWidth="1"/>
    <col min="14003" max="14003" width="19.66406" style="5" bestFit="1" customWidth="1"/>
    <col min="14004" max="14004" width="2.664063" style="5" customWidth="1"/>
    <col min="14005" max="14006" style="5" hidden="1" customWidth="1"/>
    <col min="14007" max="14007" width="17.55469" style="5" bestFit="1" customWidth="1"/>
    <col min="14008" max="14008" width="18.55469" style="5" bestFit="1" customWidth="1"/>
    <col min="14009" max="14009" width="16" style="5" bestFit="1" customWidth="1"/>
    <col min="14010" max="14020" style="5" hidden="1" customWidth="1"/>
    <col min="14021" max="14256" width="9.109375" style="5"/>
    <col min="14257" max="14257" width="15.88672" style="5" bestFit="1" customWidth="1"/>
    <col min="14258" max="14258" width="13.44141" style="5" bestFit="1" customWidth="1"/>
    <col min="14259" max="14259" width="19.66406" style="5" bestFit="1" customWidth="1"/>
    <col min="14260" max="14260" width="2.664063" style="5" customWidth="1"/>
    <col min="14261" max="14262" style="5" hidden="1" customWidth="1"/>
    <col min="14263" max="14263" width="17.55469" style="5" bestFit="1" customWidth="1"/>
    <col min="14264" max="14264" width="18.55469" style="5" bestFit="1" customWidth="1"/>
    <col min="14265" max="14265" width="16" style="5" bestFit="1" customWidth="1"/>
    <col min="14266" max="14276" style="5" hidden="1" customWidth="1"/>
    <col min="14277" max="14512" width="9.109375" style="5"/>
    <col min="14513" max="14513" width="15.88672" style="5" bestFit="1" customWidth="1"/>
    <col min="14514" max="14514" width="13.44141" style="5" bestFit="1" customWidth="1"/>
    <col min="14515" max="14515" width="19.66406" style="5" bestFit="1" customWidth="1"/>
    <col min="14516" max="14516" width="2.664063" style="5" customWidth="1"/>
    <col min="14517" max="14518" style="5" hidden="1" customWidth="1"/>
    <col min="14519" max="14519" width="17.55469" style="5" bestFit="1" customWidth="1"/>
    <col min="14520" max="14520" width="18.55469" style="5" bestFit="1" customWidth="1"/>
    <col min="14521" max="14521" width="16" style="5" bestFit="1" customWidth="1"/>
    <col min="14522" max="14532" style="5" hidden="1" customWidth="1"/>
    <col min="14533" max="14768" width="9.109375" style="5"/>
    <col min="14769" max="14769" width="15.88672" style="5" bestFit="1" customWidth="1"/>
    <col min="14770" max="14770" width="13.44141" style="5" bestFit="1" customWidth="1"/>
    <col min="14771" max="14771" width="19.66406" style="5" bestFit="1" customWidth="1"/>
    <col min="14772" max="14772" width="2.664063" style="5" customWidth="1"/>
    <col min="14773" max="14774" style="5" hidden="1" customWidth="1"/>
    <col min="14775" max="14775" width="17.55469" style="5" bestFit="1" customWidth="1"/>
    <col min="14776" max="14776" width="18.55469" style="5" bestFit="1" customWidth="1"/>
    <col min="14777" max="14777" width="16" style="5" bestFit="1" customWidth="1"/>
    <col min="14778" max="14788" style="5" hidden="1" customWidth="1"/>
    <col min="14789" max="15024" width="9.109375" style="5"/>
    <col min="15025" max="15025" width="15.88672" style="5" bestFit="1" customWidth="1"/>
    <col min="15026" max="15026" width="13.44141" style="5" bestFit="1" customWidth="1"/>
    <col min="15027" max="15027" width="19.66406" style="5" bestFit="1" customWidth="1"/>
    <col min="15028" max="15028" width="2.664063" style="5" customWidth="1"/>
    <col min="15029" max="15030" style="5" hidden="1" customWidth="1"/>
    <col min="15031" max="15031" width="17.55469" style="5" bestFit="1" customWidth="1"/>
    <col min="15032" max="15032" width="18.55469" style="5" bestFit="1" customWidth="1"/>
    <col min="15033" max="15033" width="16" style="5" bestFit="1" customWidth="1"/>
    <col min="15034" max="15044" style="5" hidden="1" customWidth="1"/>
    <col min="15045" max="15280" width="9.109375" style="5"/>
    <col min="15281" max="15281" width="15.88672" style="5" bestFit="1" customWidth="1"/>
    <col min="15282" max="15282" width="13.44141" style="5" bestFit="1" customWidth="1"/>
    <col min="15283" max="15283" width="19.66406" style="5" bestFit="1" customWidth="1"/>
    <col min="15284" max="15284" width="2.664063" style="5" customWidth="1"/>
    <col min="15285" max="15286" style="5" hidden="1" customWidth="1"/>
    <col min="15287" max="15287" width="17.55469" style="5" bestFit="1" customWidth="1"/>
    <col min="15288" max="15288" width="18.55469" style="5" bestFit="1" customWidth="1"/>
    <col min="15289" max="15289" width="16" style="5" bestFit="1" customWidth="1"/>
    <col min="15290" max="15300" style="5" hidden="1" customWidth="1"/>
    <col min="15301" max="15536" width="9.109375" style="5"/>
    <col min="15537" max="15537" width="15.88672" style="5" bestFit="1" customWidth="1"/>
    <col min="15538" max="15538" width="13.44141" style="5" bestFit="1" customWidth="1"/>
    <col min="15539" max="15539" width="19.66406" style="5" bestFit="1" customWidth="1"/>
    <col min="15540" max="15540" width="2.664063" style="5" customWidth="1"/>
    <col min="15541" max="15542" style="5" hidden="1" customWidth="1"/>
    <col min="15543" max="15543" width="17.55469" style="5" bestFit="1" customWidth="1"/>
    <col min="15544" max="15544" width="18.55469" style="5" bestFit="1" customWidth="1"/>
    <col min="15545" max="15545" width="16" style="5" bestFit="1" customWidth="1"/>
    <col min="15546" max="15556" style="5" hidden="1" customWidth="1"/>
    <col min="15557" max="15792" width="9.109375" style="5"/>
    <col min="15793" max="15793" width="15.88672" style="5" bestFit="1" customWidth="1"/>
    <col min="15794" max="15794" width="13.44141" style="5" bestFit="1" customWidth="1"/>
    <col min="15795" max="15795" width="19.66406" style="5" bestFit="1" customWidth="1"/>
    <col min="15796" max="15796" width="2.664063" style="5" customWidth="1"/>
    <col min="15797" max="15798" style="5" hidden="1" customWidth="1"/>
    <col min="15799" max="15799" width="17.55469" style="5" bestFit="1" customWidth="1"/>
    <col min="15800" max="15800" width="18.55469" style="5" bestFit="1" customWidth="1"/>
    <col min="15801" max="15801" width="16" style="5" bestFit="1" customWidth="1"/>
    <col min="15802" max="15812" style="5" hidden="1" customWidth="1"/>
    <col min="15813" max="16048" width="9.109375" style="5"/>
    <col min="16049" max="16049" width="15.88672" style="5" bestFit="1" customWidth="1"/>
    <col min="16050" max="16050" width="13.44141" style="5" bestFit="1" customWidth="1"/>
    <col min="16051" max="16051" width="19.66406" style="5" bestFit="1" customWidth="1"/>
    <col min="16052" max="16052" width="2.664063" style="5" customWidth="1"/>
    <col min="16053" max="16054" style="5" hidden="1" customWidth="1"/>
    <col min="16055" max="16055" width="17.55469" style="5" bestFit="1" customWidth="1"/>
    <col min="16056" max="16056" width="18.55469" style="5" bestFit="1" customWidth="1"/>
    <col min="16057" max="16057" width="16" style="5" bestFit="1" customWidth="1"/>
    <col min="16058" max="16068" style="5" hidden="1" customWidth="1"/>
    <col min="16069" max="16384" width="9.109375" style="5"/>
  </cols>
  <sheetData>
    <row r="1" thickBot="1" ht="14.55">
      <c r="A1" s="185" t="s">
        <v>183</v>
      </c>
      <c r="B1" s="185" t="s">
        <v>184</v>
      </c>
      <c r="C1" s="185" t="s">
        <v>185</v>
      </c>
      <c r="D1" s="185" t="s">
        <v>186</v>
      </c>
      <c r="E1" s="186"/>
      <c r="F1" s="187"/>
      <c r="G1" s="185" t="s">
        <v>187</v>
      </c>
      <c r="H1" s="185" t="s">
        <v>188</v>
      </c>
      <c r="I1" s="185" t="s">
        <v>189</v>
      </c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  <c r="U1" s="5">
        <v>1</v>
      </c>
      <c r="V1" s="5">
        <v>2</v>
      </c>
      <c r="W1" s="5">
        <v>3</v>
      </c>
      <c r="X1" s="189">
        <v>4</v>
      </c>
      <c r="Y1" s="5">
        <v>5</v>
      </c>
      <c r="Z1" s="5">
        <v>6</v>
      </c>
      <c r="AA1" s="5">
        <v>7</v>
      </c>
      <c r="AB1" s="5">
        <v>8</v>
      </c>
      <c r="AC1" s="5">
        <v>9</v>
      </c>
      <c r="AD1" s="5">
        <v>10</v>
      </c>
      <c r="AE1" s="189">
        <v>11</v>
      </c>
      <c r="AF1" s="5">
        <v>12</v>
      </c>
      <c r="AG1" s="5">
        <v>13</v>
      </c>
      <c r="AH1" s="189">
        <v>14</v>
      </c>
      <c r="AI1" s="5">
        <v>15</v>
      </c>
      <c r="AJ1" s="5">
        <v>16</v>
      </c>
      <c r="AK1" s="5">
        <v>17</v>
      </c>
      <c r="AL1" s="5">
        <v>18</v>
      </c>
      <c r="AM1" s="5">
        <v>19</v>
      </c>
      <c r="AN1" s="5">
        <v>20</v>
      </c>
      <c r="AO1" s="5">
        <v>21</v>
      </c>
      <c r="AP1" s="5">
        <v>22</v>
      </c>
      <c r="AQ1" s="5">
        <v>23</v>
      </c>
      <c r="AR1" s="5">
        <v>24</v>
      </c>
      <c r="AS1" s="5">
        <v>25</v>
      </c>
      <c r="AT1" s="5">
        <v>26</v>
      </c>
      <c r="AU1" s="5">
        <v>27</v>
      </c>
      <c r="AV1" s="5">
        <v>28</v>
      </c>
      <c r="AW1" s="5">
        <v>29</v>
      </c>
      <c r="AX1" s="5">
        <v>30</v>
      </c>
      <c r="AY1" s="189">
        <v>31</v>
      </c>
      <c r="AZ1" s="5">
        <v>48</v>
      </c>
      <c r="BA1" s="5">
        <v>49</v>
      </c>
      <c r="BB1" s="5">
        <v>50</v>
      </c>
      <c r="BC1" s="5">
        <v>51</v>
      </c>
      <c r="BD1" s="5">
        <v>52</v>
      </c>
      <c r="BE1" s="5">
        <v>53</v>
      </c>
      <c r="BF1" s="5">
        <v>54</v>
      </c>
      <c r="BG1" s="189">
        <v>55</v>
      </c>
      <c r="BH1" s="5">
        <v>56</v>
      </c>
      <c r="BI1" s="5">
        <v>57</v>
      </c>
      <c r="BJ1" s="5">
        <v>58</v>
      </c>
      <c r="BK1" s="5">
        <v>59</v>
      </c>
      <c r="BL1" s="5">
        <v>60</v>
      </c>
      <c r="BM1" s="5">
        <v>61</v>
      </c>
      <c r="BN1" s="5">
        <v>62</v>
      </c>
      <c r="BO1" s="5">
        <v>63</v>
      </c>
      <c r="BP1" s="189">
        <v>64</v>
      </c>
      <c r="BQ1" s="5">
        <v>65</v>
      </c>
      <c r="BR1" s="5">
        <v>66</v>
      </c>
      <c r="BS1" s="5">
        <v>67</v>
      </c>
      <c r="BT1" s="5">
        <v>68</v>
      </c>
      <c r="BU1" s="5">
        <v>69</v>
      </c>
      <c r="BV1" s="5">
        <v>70</v>
      </c>
      <c r="BW1" s="5">
        <v>71</v>
      </c>
      <c r="BX1" s="5">
        <v>72</v>
      </c>
      <c r="BY1" s="5">
        <v>73</v>
      </c>
      <c r="BZ1" s="5">
        <v>74</v>
      </c>
      <c r="CA1" s="5">
        <v>75</v>
      </c>
      <c r="CB1" s="5">
        <v>76</v>
      </c>
      <c r="CC1" s="5">
        <v>77</v>
      </c>
      <c r="CD1" s="5">
        <v>78</v>
      </c>
      <c r="CE1" s="5">
        <v>79</v>
      </c>
      <c r="CF1" s="189">
        <v>80</v>
      </c>
      <c r="CG1" s="5">
        <v>81</v>
      </c>
      <c r="CH1" s="5">
        <v>82</v>
      </c>
      <c r="CI1" s="5">
        <v>83</v>
      </c>
      <c r="CJ1" s="5">
        <v>84</v>
      </c>
      <c r="CK1" s="5">
        <v>85</v>
      </c>
      <c r="CL1" s="5">
        <v>86</v>
      </c>
      <c r="CM1" s="5">
        <v>87</v>
      </c>
      <c r="CN1" s="189">
        <v>88</v>
      </c>
      <c r="CO1" s="5">
        <v>89</v>
      </c>
      <c r="CP1" s="5">
        <v>90</v>
      </c>
      <c r="CQ1" s="5">
        <v>91</v>
      </c>
      <c r="CR1" s="5">
        <v>92</v>
      </c>
      <c r="CS1" s="189">
        <v>93</v>
      </c>
      <c r="CT1" s="5">
        <v>94</v>
      </c>
      <c r="CU1" s="5">
        <v>95</v>
      </c>
      <c r="CV1" s="189">
        <v>96</v>
      </c>
      <c r="CW1" s="189">
        <v>97</v>
      </c>
      <c r="CX1" s="5">
        <v>98</v>
      </c>
      <c r="CY1" s="5">
        <v>99</v>
      </c>
      <c r="CZ1" s="5">
        <v>100</v>
      </c>
      <c r="DA1" s="189">
        <v>101</v>
      </c>
      <c r="DB1" s="5">
        <v>102</v>
      </c>
      <c r="DC1" s="189">
        <v>103</v>
      </c>
    </row>
    <row r="2" ht="15.75" customHeight="1">
      <c r="A2" s="190" t="s">
        <v>34</v>
      </c>
      <c r="B2" s="191" t="s">
        <v>34</v>
      </c>
      <c r="C2" s="186">
        <f>COLUMN(U3)</f>
        <v>21</v>
      </c>
      <c r="D2" s="186"/>
      <c r="E2" s="192"/>
      <c r="F2" s="193" t="s">
        <v>190</v>
      </c>
      <c r="J2" s="194" t="s">
        <v>191</v>
      </c>
      <c r="K2" s="195"/>
      <c r="L2" s="196"/>
      <c r="M2" s="194" t="s">
        <v>192</v>
      </c>
      <c r="N2" s="195"/>
      <c r="O2" s="195"/>
      <c r="P2" s="196"/>
      <c r="Q2" s="194" t="s">
        <v>193</v>
      </c>
      <c r="R2" s="195"/>
      <c r="S2" s="196"/>
      <c r="T2" s="197"/>
      <c r="U2" s="198"/>
      <c r="X2" s="189"/>
      <c r="AE2" s="189"/>
      <c r="AH2" s="189"/>
      <c r="AY2" s="189"/>
      <c r="BG2" s="189"/>
      <c r="BP2" s="189"/>
      <c r="CF2" s="189"/>
      <c r="CN2" s="189"/>
      <c r="CV2" s="189"/>
      <c r="DC2" s="189"/>
    </row>
    <row r="3" thickBot="1" ht="14.55">
      <c r="A3" s="187"/>
      <c r="B3" s="187"/>
      <c r="C3" s="187"/>
      <c r="D3" s="187"/>
      <c r="E3" s="199"/>
      <c r="F3" s="200"/>
      <c r="J3" s="200"/>
      <c r="K3" s="201"/>
      <c r="L3" s="202"/>
      <c r="M3" s="200"/>
      <c r="N3" s="201"/>
      <c r="O3" s="201"/>
      <c r="P3" s="202"/>
      <c r="Q3" s="200"/>
      <c r="R3" s="201"/>
      <c r="S3" s="202"/>
      <c r="T3" s="203">
        <v>5</v>
      </c>
      <c r="U3" s="204">
        <v>191</v>
      </c>
      <c r="V3" s="204">
        <f>+U3+7</f>
        <v>198</v>
      </c>
      <c r="W3" s="204">
        <f t="shared" ref="W3:X3" si="0">+V3+7</f>
        <v>205</v>
      </c>
      <c r="X3" s="205">
        <f t="shared" si="0"/>
        <v>212</v>
      </c>
      <c r="Y3" s="204">
        <v>226</v>
      </c>
      <c r="Z3" s="204">
        <f>+Y3+6</f>
        <v>232</v>
      </c>
      <c r="AA3" s="204">
        <f t="shared" ref="AA3:AH3" si="1">+Z3+6</f>
        <v>238</v>
      </c>
      <c r="AB3" s="204">
        <f t="shared" si="1"/>
        <v>244</v>
      </c>
      <c r="AC3" s="204">
        <f t="shared" si="1"/>
        <v>250</v>
      </c>
      <c r="AD3" s="204">
        <f t="shared" si="1"/>
        <v>256</v>
      </c>
      <c r="AE3" s="205">
        <f t="shared" si="1"/>
        <v>262</v>
      </c>
      <c r="AF3" s="204">
        <v>283</v>
      </c>
      <c r="AG3" s="204">
        <f t="shared" si="1"/>
        <v>289</v>
      </c>
      <c r="AH3" s="205">
        <f t="shared" si="1"/>
        <v>295</v>
      </c>
      <c r="AI3" s="204">
        <v>305</v>
      </c>
      <c r="AJ3" s="204">
        <f>+AI3+6</f>
        <v>311</v>
      </c>
      <c r="AK3" s="204">
        <f t="shared" ref="AK3:AY3" si="2">+AJ3+6</f>
        <v>317</v>
      </c>
      <c r="AL3" s="204">
        <f t="shared" si="2"/>
        <v>323</v>
      </c>
      <c r="AM3" s="204">
        <f t="shared" si="2"/>
        <v>329</v>
      </c>
      <c r="AN3" s="204">
        <f t="shared" si="2"/>
        <v>335</v>
      </c>
      <c r="AO3" s="204">
        <f t="shared" si="2"/>
        <v>341</v>
      </c>
      <c r="AP3" s="204">
        <f t="shared" si="2"/>
        <v>347</v>
      </c>
      <c r="AQ3" s="204">
        <f t="shared" si="2"/>
        <v>353</v>
      </c>
      <c r="AR3" s="204">
        <f t="shared" si="2"/>
        <v>359</v>
      </c>
      <c r="AS3" s="204">
        <f t="shared" si="2"/>
        <v>365</v>
      </c>
      <c r="AT3" s="204">
        <f t="shared" si="2"/>
        <v>371</v>
      </c>
      <c r="AU3" s="204">
        <f t="shared" si="2"/>
        <v>377</v>
      </c>
      <c r="AV3" s="204">
        <f>+AU3+6</f>
        <v>383</v>
      </c>
      <c r="AW3" s="204">
        <f t="shared" si="2"/>
        <v>389</v>
      </c>
      <c r="AX3" s="204">
        <f>+AW3+6</f>
        <v>395</v>
      </c>
      <c r="AY3" s="205">
        <f t="shared" si="2"/>
        <v>401</v>
      </c>
      <c r="AZ3" s="204">
        <v>423</v>
      </c>
      <c r="BA3" s="204">
        <f>+AZ3+2</f>
        <v>425</v>
      </c>
      <c r="BB3" s="204">
        <f t="shared" ref="BB3:BV3" si="3">+BA3+2</f>
        <v>427</v>
      </c>
      <c r="BC3" s="204">
        <f t="shared" si="3"/>
        <v>429</v>
      </c>
      <c r="BD3" s="204">
        <f t="shared" si="3"/>
        <v>431</v>
      </c>
      <c r="BE3" s="204">
        <f t="shared" si="3"/>
        <v>433</v>
      </c>
      <c r="BF3" s="204">
        <f t="shared" si="3"/>
        <v>435</v>
      </c>
      <c r="BG3" s="205">
        <f t="shared" si="3"/>
        <v>437</v>
      </c>
      <c r="BH3" s="204">
        <v>440</v>
      </c>
      <c r="BI3" s="204">
        <f t="shared" si="3"/>
        <v>442</v>
      </c>
      <c r="BJ3" s="204">
        <f t="shared" si="3"/>
        <v>444</v>
      </c>
      <c r="BK3" s="204">
        <f t="shared" si="3"/>
        <v>446</v>
      </c>
      <c r="BL3" s="204">
        <f t="shared" si="3"/>
        <v>448</v>
      </c>
      <c r="BM3" s="204">
        <f t="shared" si="3"/>
        <v>450</v>
      </c>
      <c r="BN3" s="204">
        <f t="shared" si="3"/>
        <v>452</v>
      </c>
      <c r="BO3" s="204">
        <f t="shared" si="3"/>
        <v>454</v>
      </c>
      <c r="BP3" s="205">
        <f t="shared" si="3"/>
        <v>456</v>
      </c>
      <c r="BQ3" s="204">
        <v>421</v>
      </c>
      <c r="BR3" s="204">
        <f t="shared" si="3"/>
        <v>423</v>
      </c>
      <c r="BS3" s="204">
        <f t="shared" si="3"/>
        <v>425</v>
      </c>
      <c r="BT3" s="204">
        <f t="shared" si="3"/>
        <v>427</v>
      </c>
      <c r="BU3" s="204">
        <f t="shared" si="3"/>
        <v>429</v>
      </c>
      <c r="BV3" s="204">
        <f t="shared" si="3"/>
        <v>431</v>
      </c>
      <c r="BW3" s="204">
        <f t="shared" ref="BW3" si="4">+BV3+2</f>
        <v>433</v>
      </c>
      <c r="BX3" s="204">
        <f t="shared" ref="BX3" si="5">+BW3+2</f>
        <v>435</v>
      </c>
      <c r="BY3" s="204">
        <f t="shared" ref="BY3" si="6">+BX3+2</f>
        <v>437</v>
      </c>
      <c r="BZ3" s="204">
        <f t="shared" ref="BZ3" si="7">+BY3+2</f>
        <v>439</v>
      </c>
      <c r="CA3" s="204">
        <f t="shared" ref="CA3" si="8">+BZ3+2</f>
        <v>441</v>
      </c>
      <c r="CB3" s="204">
        <f t="shared" ref="CB3" si="9">+CA3+2</f>
        <v>443</v>
      </c>
      <c r="CC3" s="204">
        <f t="shared" ref="CC3" si="10">+CB3+2</f>
        <v>445</v>
      </c>
      <c r="CD3" s="204">
        <f t="shared" ref="CD3" si="11">+CC3+2</f>
        <v>447</v>
      </c>
      <c r="CE3" s="204">
        <f t="shared" ref="CE3" si="12">+CD3+2</f>
        <v>449</v>
      </c>
      <c r="CF3" s="205">
        <f t="shared" ref="CF3" si="13">+CE3+2</f>
        <v>451</v>
      </c>
      <c r="CG3" s="204">
        <v>421</v>
      </c>
      <c r="CH3" s="204">
        <f t="shared" ref="CH3" si="14">+CG3+2</f>
        <v>423</v>
      </c>
      <c r="CI3" s="204">
        <f t="shared" ref="CI3" si="15">+CH3+2</f>
        <v>425</v>
      </c>
      <c r="CJ3" s="204">
        <f t="shared" ref="CJ3" si="16">+CI3+2</f>
        <v>427</v>
      </c>
      <c r="CK3" s="204">
        <f t="shared" ref="CK3" si="17">+CJ3+2</f>
        <v>429</v>
      </c>
      <c r="CL3" s="204">
        <f t="shared" ref="CL3" si="18">+CK3+2</f>
        <v>431</v>
      </c>
      <c r="CM3" s="204">
        <f t="shared" ref="CM3" si="19">+CL3+2</f>
        <v>433</v>
      </c>
      <c r="CN3" s="205">
        <f t="shared" ref="CN3" si="20">+CM3+2</f>
        <v>435</v>
      </c>
      <c r="CO3" s="204">
        <v>441</v>
      </c>
      <c r="CP3" s="204">
        <f t="shared" ref="CP3" si="21">+CO3+2</f>
        <v>443</v>
      </c>
      <c r="CQ3" s="204">
        <f t="shared" ref="CQ3" si="22">+CP3+2</f>
        <v>445</v>
      </c>
      <c r="CR3" s="204">
        <f t="shared" ref="CR3" si="23">+CQ3+2</f>
        <v>447</v>
      </c>
      <c r="CS3" s="204">
        <f t="shared" ref="CS3" si="24">+CR3+2</f>
        <v>449</v>
      </c>
      <c r="CT3" s="204">
        <f t="shared" ref="CT3" si="25">+CS3+2</f>
        <v>451</v>
      </c>
      <c r="CU3" s="204">
        <f t="shared" ref="CU3" si="26">+CT3+2</f>
        <v>453</v>
      </c>
      <c r="CV3" s="205">
        <f t="shared" ref="CV3" si="27">+CU3+2</f>
        <v>455</v>
      </c>
      <c r="CW3" s="204">
        <v>226</v>
      </c>
      <c r="CX3" s="204">
        <f>+CW3+6</f>
        <v>232</v>
      </c>
      <c r="CY3" s="204">
        <f t="shared" ref="CY3" si="28">+CX3+6</f>
        <v>238</v>
      </c>
      <c r="CZ3" s="204">
        <f t="shared" ref="CZ3" si="29">+CY3+6</f>
        <v>244</v>
      </c>
      <c r="DA3" s="204">
        <f t="shared" ref="DA3" si="30">+CZ3+6</f>
        <v>250</v>
      </c>
      <c r="DB3" s="204">
        <f t="shared" ref="DB3" si="31">+DA3+6</f>
        <v>256</v>
      </c>
      <c r="DC3" s="205">
        <f t="shared" ref="DC3" si="32">+DB3+6</f>
        <v>262</v>
      </c>
      <c r="DD3" s="204"/>
      <c r="DE3" s="204"/>
      <c r="DF3" s="204"/>
      <c r="DG3" s="204"/>
      <c r="DH3" s="204"/>
      <c r="DI3" s="204"/>
      <c r="DJ3" s="204"/>
      <c r="DK3" s="204"/>
      <c r="DL3" s="204"/>
      <c r="DM3" s="204"/>
      <c r="DN3" s="204"/>
      <c r="DO3" s="204"/>
      <c r="DP3" s="204"/>
      <c r="DQ3" s="204"/>
      <c r="DR3" s="204"/>
      <c r="DS3" s="204"/>
      <c r="DT3" s="204"/>
      <c r="DU3" s="204"/>
      <c r="DV3" s="204"/>
      <c r="DW3" s="204"/>
      <c r="DX3" s="204"/>
      <c r="DY3" s="204"/>
      <c r="DZ3" s="204"/>
      <c r="EA3" s="204"/>
      <c r="EB3" s="204"/>
      <c r="EC3" s="204"/>
    </row>
    <row r="4">
      <c r="A4" s="206" t="s">
        <v>39</v>
      </c>
      <c r="B4" s="206" t="s">
        <v>194</v>
      </c>
      <c r="C4" s="206" t="s">
        <v>195</v>
      </c>
      <c r="D4" s="206" t="s">
        <v>196</v>
      </c>
      <c r="E4" s="207" t="s">
        <v>197</v>
      </c>
      <c r="F4" s="208" t="s">
        <v>198</v>
      </c>
      <c r="G4" s="209" t="s">
        <v>187</v>
      </c>
      <c r="H4" s="206" t="s">
        <v>37</v>
      </c>
      <c r="I4" s="207" t="s">
        <v>199</v>
      </c>
      <c r="J4" s="208" t="s">
        <v>198</v>
      </c>
      <c r="K4" s="209" t="s">
        <v>187</v>
      </c>
      <c r="L4" s="207" t="s">
        <v>37</v>
      </c>
      <c r="M4" s="208" t="s">
        <v>198</v>
      </c>
      <c r="N4" s="209" t="s">
        <v>187</v>
      </c>
      <c r="O4" s="209" t="s">
        <v>200</v>
      </c>
      <c r="P4" s="210" t="s">
        <v>201</v>
      </c>
      <c r="Q4" s="208" t="s">
        <v>198</v>
      </c>
      <c r="R4" s="209" t="s">
        <v>187</v>
      </c>
      <c r="S4" s="210" t="s">
        <v>200</v>
      </c>
      <c r="T4" s="211" t="s">
        <v>202</v>
      </c>
      <c r="X4" s="189"/>
      <c r="AE4" s="189"/>
      <c r="AH4" s="189"/>
      <c r="AY4" s="189"/>
      <c r="BG4" s="189"/>
      <c r="BP4" s="189"/>
      <c r="CF4" s="189"/>
      <c r="CN4" s="189"/>
      <c r="CV4" s="189"/>
      <c r="DC4" s="189"/>
    </row>
    <row r="5" ht="15.75" customHeight="1">
      <c r="A5" s="212" t="s">
        <v>203</v>
      </c>
      <c r="B5" t="str">
        <f>+cod</f>
        <v>ASDFGHJKL</v>
      </c>
      <c r="C5" t="s">
        <v>204</v>
      </c>
      <c r="D5">
        <v>2</v>
      </c>
      <c r="E5"/>
      <c r="F5"/>
      <c r="G5" t="str">
        <f>+Referto!Q127</f>
        <v>BAUDO GIUSEPPE</v>
      </c>
      <c r="H5">
        <v>5632</v>
      </c>
      <c r="I5" s="212" t="s">
        <v>203</v>
      </c>
      <c r="U5" s="213" t="str" cm="1">
        <f ca="1" t="array" ref="U5">INDIRECT("Referto!P" &amp; U3)</f>
        <v>A</v>
      </c>
      <c r="V5" s="213" t="str" cm="1">
        <f ca="1" t="array" ref="V5">INDIRECT("Referto!P" &amp; V3)</f>
        <v>B</v>
      </c>
      <c r="W5" s="213" t="str" cm="1">
        <f ca="1" t="array" ref="W5">INDIRECT("Referto!P" &amp; W3)</f>
        <v>C</v>
      </c>
      <c r="X5" s="214" t="str" cm="1">
        <f ca="1" t="array" ref="X5">INDIRECT("Referto!P" &amp; X3)</f>
        <v>B</v>
      </c>
      <c r="Y5" s="213" t="str" cm="1">
        <f ca="1" t="array" ref="Y5">INDIRECT("Referto!AX" &amp; Y3) &amp; "-" &amp; INDIRECT("Referto!AQ" &amp; Y3)</f>
        <v>P-T</v>
      </c>
      <c r="Z5" s="213" t="str" cm="1">
        <f ca="1" t="array" ref="Z5">INDIRECT("Referto!AX" &amp; Z3) &amp; "-" &amp; INDIRECT("Referto!AQ" &amp; Z3)</f>
        <v>A-T</v>
      </c>
      <c r="AA5" s="213" t="str" cm="1">
        <f ca="1" t="array" ref="AA5">INDIRECT("Referto!AX" &amp; AA3) &amp; "-" &amp; INDIRECT("Referto!AQ" &amp; AA3)</f>
        <v>A-U</v>
      </c>
      <c r="AB5" s="213" t="str" cm="1">
        <f ca="1" t="array" ref="AB5">INDIRECT("Referto!AX" &amp; AB3) &amp; "-" &amp; INDIRECT("Referto!AQ" &amp; AB3)</f>
        <v>A-E</v>
      </c>
      <c r="AC5" s="213" t="str" cm="1">
        <f ca="1" t="array" ref="AC5">INDIRECT("Referto!AX" &amp; AC3) &amp; "-" &amp; INDIRECT("Referto!AQ" &amp; AC3)</f>
        <v>A-T</v>
      </c>
      <c r="AD5" s="213" t="str" cm="1">
        <f ca="1" t="array" ref="AD5">INDIRECT("Referto!AX" &amp; AD3) &amp; "-" &amp; INDIRECT("Referto!AQ" &amp; AD3)</f>
        <v>P-U</v>
      </c>
      <c r="AE5" s="214" t="str" cm="1">
        <f ca="1" t="array" ref="AE5">INDIRECT("Referto!AX" &amp; AE3) &amp; "-" &amp; INDIRECT("Referto!AQ" &amp; AE3)</f>
        <v>A-E</v>
      </c>
      <c r="AF5" s="213" t="str" cm="1">
        <f ca="1" t="array" ref="AF5">INDIRECT("Referto!AX" &amp; AF3)</f>
        <v>A</v>
      </c>
      <c r="AG5" s="213" t="str" cm="1">
        <f ca="1" t="array" ref="AG5">INDIRECT("Referto!AX" &amp; AG3)</f>
        <v>A</v>
      </c>
      <c r="AH5" s="214" t="str" cm="1">
        <f ca="1" t="array" ref="AH5">INDIRECT("Referto!AX" &amp; AH3)</f>
        <v>P</v>
      </c>
      <c r="AI5" s="213" t="str" cm="1">
        <f ca="1" t="array" ref="AI5">INDIRECT("Referto!P" &amp; AI3) &amp; "-" &amp; INDIRECT("Referto!AQ" &amp; AI3)</f>
        <v>D-T</v>
      </c>
      <c r="AJ5" s="213" t="s">
        <v>205</v>
      </c>
      <c r="AK5" s="213" t="str" cm="1">
        <f ca="1" t="array" ref="AK5">INDIRECT("Referto!P" &amp; AK3) &amp; "-" &amp; INDIRECT("Referto!AQ" &amp; AK3)</f>
        <v>B-E</v>
      </c>
      <c r="AL5" s="213" t="s">
        <v>205</v>
      </c>
      <c r="AM5" s="213" t="s">
        <v>206</v>
      </c>
      <c r="AN5" s="213" t="str" cm="1">
        <f ca="1" t="array" ref="AN5">INDIRECT("Referto!P" &amp; AN3) &amp; "-U"</f>
        <v>A-U</v>
      </c>
      <c r="AO5" s="213" t="str" cm="1">
        <f ca="1" t="array" ref="AO5">INDIRECT("Referto!P" &amp; AO3) &amp; "-E"</f>
        <v>A-E</v>
      </c>
      <c r="AP5" s="213" t="s">
        <v>206</v>
      </c>
      <c r="AQ5" s="213" t="s">
        <v>205</v>
      </c>
      <c r="AR5" s="213" t="str" cm="1">
        <f ca="1" t="array" ref="AR5">INDIRECT("Referto!P" &amp; AR3) &amp; "-T"</f>
        <v>C-T</v>
      </c>
      <c r="AS5" s="213" t="s">
        <v>206</v>
      </c>
      <c r="AT5" s="213" t="str" cm="1">
        <f ca="1" t="array" ref="AT5">INDIRECT("Referto!P" &amp; AT3) &amp; "-T"</f>
        <v>B-T</v>
      </c>
      <c r="AU5" s="213" t="s">
        <v>205</v>
      </c>
      <c r="AV5" s="213" t="str" cm="1">
        <f ca="1" t="array" ref="AV5">INDIRECT("Referto!P" &amp; AV3) &amp; "-" &amp; INDIRECT("Referto!AQ" &amp; AV3)</f>
        <v>B-E</v>
      </c>
      <c r="AW5" s="213" t="s">
        <v>206</v>
      </c>
      <c r="AX5" s="213" t="s">
        <v>205</v>
      </c>
      <c r="AY5" s="214" t="str" cm="1">
        <f ca="1" t="array" ref="AY5">INDIRECT("Referto!P" &amp; AY3) &amp; "-" &amp; INDIRECT("Referto!AQ" &amp; AY3)</f>
        <v>A-E</v>
      </c>
      <c r="AZ5" s="213" cm="1">
        <f ca="1" t="array" ref="AZ5">INDIRECT("referto!N" &amp; AZ3)</f>
        <v>1</v>
      </c>
      <c r="BA5" s="213" cm="1">
        <f ca="1" t="array" ref="BA5">INDIRECT("referto!N" &amp; BA3)</f>
        <v>2</v>
      </c>
      <c r="BB5" s="213" cm="1">
        <f ca="1" t="array" ref="BB5">INDIRECT("referto!N" &amp; BB3)</f>
        <v>2</v>
      </c>
      <c r="BC5" s="213" cm="1">
        <f ca="1" t="array" ref="BC5">INDIRECT("referto!N" &amp; BC3)</f>
        <v>3</v>
      </c>
      <c r="BD5" s="213" cm="1">
        <f ca="1" t="array" ref="BD5">INDIRECT("referto!N" &amp; BD3)</f>
        <v>3</v>
      </c>
      <c r="BE5" s="213" cm="1">
        <f ca="1" t="array" ref="BE5">INDIRECT("referto!N" &amp; BE3)</f>
        <v>1</v>
      </c>
      <c r="BF5" s="213" cm="1">
        <f ca="1" t="array" ref="BF5">INDIRECT("referto!N" &amp; BF3)</f>
        <v>3</v>
      </c>
      <c r="BG5" s="214" cm="1">
        <f ca="1" t="array" ref="BG5">INDIRECT("referto!N" &amp; BG3)</f>
        <v>0</v>
      </c>
      <c r="BH5" s="213" cm="1">
        <f ca="1" t="array" ref="BH5">INDIRECT("referto!N" &amp; BH3)</f>
        <v>1</v>
      </c>
      <c r="BI5" s="213" cm="1">
        <f ca="1" t="array" ref="BI5">INDIRECT("referto!N" &amp; BI3)</f>
        <v>1</v>
      </c>
      <c r="BJ5" s="213" cm="1">
        <f ca="1" t="array" ref="BJ5">INDIRECT("referto!N" &amp; BJ3)</f>
        <v>2</v>
      </c>
      <c r="BK5" s="213" cm="1">
        <f ca="1" t="array" ref="BK5">INDIRECT("referto!N" &amp; BK3)</f>
        <v>2</v>
      </c>
      <c r="BL5" s="213" cm="1">
        <f ca="1" t="array" ref="BL5">INDIRECT("referto!N" &amp; BL3)</f>
        <v>2</v>
      </c>
      <c r="BM5" s="213" cm="1">
        <f ca="1" t="array" ref="BM5">INDIRECT("referto!N" &amp; BM3)</f>
        <v>3</v>
      </c>
      <c r="BN5" s="213" cm="1">
        <f ca="1" t="array" ref="BN5">INDIRECT("referto!N" &amp; BN3)</f>
        <v>1</v>
      </c>
      <c r="BO5" s="213" cm="1">
        <f ca="1" t="array" ref="BO5">INDIRECT("referto!N" &amp; BO3)</f>
        <v>2</v>
      </c>
      <c r="BP5" s="214" cm="1">
        <f ca="1" t="array" ref="BP5">INDIRECT("referto!N" &amp; BP3)</f>
        <v>3</v>
      </c>
      <c r="BQ5" s="213" cm="1">
        <f ca="1" t="array" ref="BQ5">INDIRECT("referto!AB" &amp; BQ3)</f>
        <v>2</v>
      </c>
      <c r="BR5" s="213" cm="1">
        <f ca="1" t="array" ref="BR5">INDIRECT("referto!AB" &amp; BR3)</f>
        <v>2</v>
      </c>
      <c r="BS5" s="213" cm="1">
        <f ca="1" t="array" ref="BS5">INDIRECT("referto!AB" &amp; BS3)</f>
        <v>3</v>
      </c>
      <c r="BT5" s="213" cm="1">
        <f ca="1" t="array" ref="BT5">INDIRECT("referto!AB" &amp; BT3)</f>
        <v>1</v>
      </c>
      <c r="BU5" s="213" cm="1">
        <f ca="1" t="array" ref="BU5">INDIRECT("referto!AB" &amp; BU3)</f>
        <v>2</v>
      </c>
      <c r="BV5" s="213" cm="1">
        <f ca="1" t="array" ref="BV5">INDIRECT("referto!AB" &amp; BV3)</f>
        <v>1</v>
      </c>
      <c r="BW5" s="213" cm="1">
        <f ca="1" t="array" ref="BW5">INDIRECT("referto!AB" &amp; BW3)</f>
        <v>1</v>
      </c>
      <c r="BX5" s="213" cm="1">
        <f ca="1" t="array" ref="BX5">INDIRECT("referto!AB" &amp; BX3)</f>
        <v>1</v>
      </c>
      <c r="BY5" s="213" cm="1">
        <f ca="1" t="array" ref="BY5">INDIRECT("referto!AB" &amp; BY3)</f>
        <v>2</v>
      </c>
      <c r="BZ5" s="213" cm="1">
        <f ca="1" t="array" ref="BZ5">INDIRECT("referto!AB" &amp; BZ3)</f>
        <v>1</v>
      </c>
      <c r="CA5" s="213" cm="1">
        <f ca="1" t="array" ref="CA5">INDIRECT("referto!AB" &amp; CA3)</f>
        <v>2</v>
      </c>
      <c r="CB5" s="213" cm="1">
        <f ca="1" t="array" ref="CB5">INDIRECT("referto!AB" &amp; CB3)</f>
        <v>3</v>
      </c>
      <c r="CC5" s="213" cm="1">
        <f ca="1" t="array" ref="CC5">INDIRECT("referto!AB" &amp; CC3)</f>
        <v>2</v>
      </c>
      <c r="CD5" s="213" cm="1">
        <f ca="1" t="array" ref="CD5">INDIRECT("referto!AB" &amp; CD3)</f>
        <v>2</v>
      </c>
      <c r="CE5" s="213" cm="1">
        <f ca="1" t="array" ref="CE5">INDIRECT("referto!AB" &amp; CE3)</f>
        <v>1</v>
      </c>
      <c r="CF5" s="214" cm="1">
        <f ca="1" t="array" ref="CF5">INDIRECT("referto!AB" &amp; CF3)</f>
        <v>3</v>
      </c>
      <c r="CG5" s="213" cm="1">
        <f ca="1" t="array" ref="CG5">INDIRECT("referto!AQ" &amp; CG3)</f>
        <v>3</v>
      </c>
      <c r="CH5" s="213" cm="1">
        <f ca="1" t="array" ref="CH5">INDIRECT("referto!AQ" &amp; CH3)</f>
        <v>2</v>
      </c>
      <c r="CI5" s="213" cm="1">
        <f ca="1" t="array" ref="CI5">INDIRECT("referto!AQ" &amp; CI3)</f>
        <v>3</v>
      </c>
      <c r="CJ5" s="213" cm="1">
        <f ca="1" t="array" ref="CJ5">INDIRECT("referto!AQ" &amp; CJ3)</f>
        <v>3</v>
      </c>
      <c r="CK5" s="213" cm="1">
        <f ca="1" t="array" ref="CK5">INDIRECT("referto!AQ" &amp; CK3)</f>
        <v>3</v>
      </c>
      <c r="CL5" s="213" cm="1">
        <f ca="1" t="array" ref="CL5">INDIRECT("referto!AQ" &amp; CL3)</f>
        <v>1</v>
      </c>
      <c r="CM5" s="213" cm="1">
        <f ca="1" t="array" ref="CM5">INDIRECT("referto!AQ" &amp; CM3)</f>
        <v>2</v>
      </c>
      <c r="CN5" s="214" cm="1">
        <f ca="1" t="array" ref="CN5">INDIRECT("referto!AQ" &amp; CN3)</f>
        <v>1</v>
      </c>
      <c r="CO5" s="213" cm="1">
        <f ca="1" t="array" ref="CO5">INDIRECT("referto!AQ" &amp; CO3)</f>
        <v>0</v>
      </c>
      <c r="CP5" s="213" cm="1">
        <f ca="1" t="array" ref="CP5">INDIRECT("referto!AQ" &amp; CP3)</f>
        <v>0</v>
      </c>
      <c r="CQ5" s="213" cm="1">
        <f ca="1" t="array" ref="CQ5">INDIRECT("referto!AQ" &amp; CQ3)</f>
        <v>0</v>
      </c>
      <c r="CR5" s="213" cm="1">
        <f ca="1" t="array" ref="CR5">INDIRECT("referto!AQ" &amp; CR3)</f>
        <v>0</v>
      </c>
      <c r="CS5" s="213" cm="1">
        <f ca="1" t="array" ref="CS5">INDIRECT("referto!AQ" &amp; CS3)</f>
        <v>0</v>
      </c>
      <c r="CT5" s="213" cm="1">
        <f ca="1" t="array" ref="CT5">INDIRECT("referto!AQ" &amp; CT3)</f>
        <v>0</v>
      </c>
      <c r="CU5" s="213" cm="1">
        <f ca="1" t="array" ref="CU5">INDIRECT("referto!AQ" &amp; CU3)</f>
        <v>0</v>
      </c>
      <c r="CV5" s="214" cm="1">
        <f ca="1" t="array" ref="CV5">INDIRECT("referto!AQ" &amp; CV3)</f>
        <v>0</v>
      </c>
      <c r="CW5" s="213" t="str" cm="1">
        <f ca="1" t="array" ref="CW5">INDIRECT("Referto!AQ" &amp; CW3)</f>
        <v>T</v>
      </c>
      <c r="CX5" s="213" t="str" cm="1">
        <f ca="1" t="array" ref="CX5">INDIRECT("Referto!AQ" &amp; CX3)</f>
        <v>T</v>
      </c>
      <c r="CY5" s="213" t="str" cm="1">
        <f ca="1" t="array" ref="CY5">INDIRECT("Referto!AQ" &amp; CY3)</f>
        <v>U</v>
      </c>
      <c r="CZ5" s="213" t="str" cm="1">
        <f ca="1" t="array" ref="CZ5">INDIRECT("Referto!AQ" &amp; CZ3)</f>
        <v>E</v>
      </c>
      <c r="DA5" s="213" t="str" cm="1">
        <f ca="1" t="array" ref="DA5">INDIRECT("Referto!AQ" &amp; DA3)</f>
        <v>T</v>
      </c>
      <c r="DB5" s="213" t="str" cm="1">
        <f ca="1" t="array" ref="DB5">INDIRECT("Referto!AQ" &amp; DB3)</f>
        <v>U</v>
      </c>
      <c r="DC5" s="214" t="str" cm="1">
        <f ca="1" t="array" ref="DC5">INDIRECT("Referto!AQ" &amp; DC3)</f>
        <v>E</v>
      </c>
    </row>
    <row r="6">
      <c r="X6" s="189"/>
      <c r="AE6" s="189"/>
      <c r="AH6" s="189"/>
      <c r="AY6" s="189"/>
      <c r="BG6" s="189"/>
      <c r="BP6" s="189"/>
      <c r="CF6" s="189"/>
      <c r="CN6" s="189"/>
      <c r="CV6" s="189"/>
      <c r="DC6" s="189"/>
    </row>
  </sheetData>
  <mergeCells count="3">
    <mergeCell ref="J2:L3"/>
    <mergeCell ref="M2:P3"/>
    <mergeCell ref="Q2:S3"/>
  </mergeCells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A2E31681C4434EAE8B39D83691A76B" ma:contentTypeVersion="9" ma:contentTypeDescription="Creare un nuovo documento." ma:contentTypeScope="" ma:versionID="1947848a9ab235077a4daff6d6cca8fa">
  <xsd:schema xmlns:xsd="http://www.w3.org/2001/XMLSchema" xmlns:xs="http://www.w3.org/2001/XMLSchema" xmlns:p="http://schemas.microsoft.com/office/2006/metadata/properties" xmlns:ns3="f07c0e2a-de7f-454d-a64d-a8f945ecc089" targetNamespace="http://schemas.microsoft.com/office/2006/metadata/properties" ma:root="true" ma:fieldsID="676f0e6112eadb2e205b9922d686e24d" ns3:_="">
    <xsd:import namespace="f07c0e2a-de7f-454d-a64d-a8f945ecc0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0e2a-de7f-454d-a64d-a8f945ecc0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817A4-4CE8-4F02-AE95-F5CCC98D01B8}">
  <ds:schemaRefs>
    <ds:schemaRef ds:uri="http://schemas.microsoft.com/vsto/samples"/>
  </ds:schemaRefs>
</ds:datastoreItem>
</file>

<file path=customXml/itemProps2.xml><?xml version="1.0" encoding="utf-8"?>
<ds:datastoreItem xmlns:ds="http://schemas.openxmlformats.org/officeDocument/2006/customXml" ds:itemID="{FED9D458-CEAA-40F4-A6DA-3AF31BD6362F}">
  <ds:schemaRefs>
    <ds:schemaRef ds:uri="http://schemas.microsoft.com/vsto/samples"/>
  </ds:schemaRefs>
</ds:datastoreItem>
</file>

<file path=customXml/itemProps3.xml><?xml version="1.0" encoding="utf-8"?>
<ds:datastoreItem xmlns:ds="http://schemas.openxmlformats.org/officeDocument/2006/customXml" ds:itemID="{965D78B9-3BD5-4D41-8BD2-B6E8767BB35C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API/22.1.4.0</Application>
  <Company>Bonus.inc</Company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The Bonus</dc:creator>
  <cp:lastModifiedBy>Dario Uderzo</cp:lastModifiedBy>
  <cp:lastPrinted>2026-05-29T14:15:14Z</cp:lastPrinted>
  <dcterms:created xsi:type="dcterms:W3CDTF">2004-01-18T19:58:30Z</dcterms:created>
  <dcterms:modified xsi:type="dcterms:W3CDTF">2026-07-23T08:59:22Z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0x01010067A2E31681C4434EAE8B39D83691A76B</vt:lpwstr>
  </property>
</Properties>
</file>