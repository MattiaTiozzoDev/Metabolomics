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TheBonus\Desktop\"/>
    </mc:Choice>
  </mc:AlternateContent>
  <xr:revisionPtr revIDLastSave="0" documentId="13_ncr:1_{2CB7CA94-B382-47FD-8FA9-BC39C6A4179F}" xr6:coauthVersionLast="47" xr6:coauthVersionMax="47" xr10:uidLastSave="{00000000-0000-0000-0000-000000000000}"/>
  <bookViews>
    <workbookView xWindow="4080" yWindow="1800" windowWidth="21600" windowHeight="11235" xr2:uid="{00000000-000D-0000-FFFF-FFFF00000000}"/>
  </bookViews>
  <sheets>
    <sheet name="Calcoli" sheetId="5" r:id="rId1"/>
    <sheet name="Foglio1" sheetId="4" state="hidden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4" i="5" l="1" a="1"/>
  <c r="CL4" i="5" s="1"/>
  <c r="CK4" i="5" a="1"/>
  <c r="CK4" i="5" s="1"/>
  <c r="CJ4" i="5" a="1"/>
  <c r="CJ4" i="5" s="1"/>
  <c r="CI4" i="5" a="1"/>
  <c r="CI4" i="5" s="1"/>
  <c r="CH4" i="5" a="1"/>
  <c r="CH4" i="5" s="1"/>
  <c r="CG4" i="5" a="1"/>
  <c r="CG4" i="5" s="1"/>
  <c r="CF4" i="5" a="1"/>
  <c r="CF4" i="5" s="1"/>
  <c r="CE4" i="5" a="1"/>
  <c r="CE4" i="5" s="1"/>
  <c r="CD4" i="5" a="1"/>
  <c r="CD4" i="5" s="1"/>
  <c r="CC4" i="5" a="1"/>
  <c r="CC4" i="5" s="1"/>
  <c r="CB4" i="5" a="1"/>
  <c r="CB4" i="5" s="1"/>
  <c r="CA4" i="5" a="1"/>
  <c r="CA4" i="5" s="1"/>
  <c r="BZ4" i="5" a="1"/>
  <c r="BZ4" i="5" s="1"/>
  <c r="BY4" i="5" a="1"/>
  <c r="BY4" i="5" s="1"/>
  <c r="BX4" i="5" a="1"/>
  <c r="BX4" i="5" s="1"/>
  <c r="BW4" i="5" a="1"/>
  <c r="BW4" i="5" s="1"/>
  <c r="BV4" i="5" a="1"/>
  <c r="BV4" i="5" s="1"/>
  <c r="BU4" i="5" a="1"/>
  <c r="BU4" i="5" s="1"/>
  <c r="BT4" i="5" a="1"/>
  <c r="BT4" i="5" s="1"/>
  <c r="BS4" i="5" a="1"/>
  <c r="BS4" i="5" s="1"/>
  <c r="BR4" i="5" a="1"/>
  <c r="BR4" i="5" s="1"/>
  <c r="BQ4" i="5" a="1"/>
  <c r="BQ4" i="5" s="1"/>
  <c r="BP4" i="5" a="1"/>
  <c r="BP4" i="5" s="1"/>
  <c r="BO4" i="5" a="1"/>
  <c r="BO4" i="5" s="1"/>
  <c r="BN4" i="5" a="1"/>
  <c r="BN4" i="5" s="1"/>
  <c r="BK4" i="5" a="1"/>
  <c r="BK4" i="5" s="1"/>
  <c r="BJ4" i="5" a="1"/>
  <c r="BJ4" i="5" s="1"/>
  <c r="BI4" i="5" a="1"/>
  <c r="BI4" i="5" s="1"/>
  <c r="BH4" i="5" a="1"/>
  <c r="BH4" i="5" s="1"/>
  <c r="BG4" i="5" a="1"/>
  <c r="BG4" i="5" s="1"/>
  <c r="BF4" i="5" a="1"/>
  <c r="BF4" i="5" s="1"/>
  <c r="BE4" i="5" a="1"/>
  <c r="BE4" i="5" s="1"/>
  <c r="BD4" i="5" a="1"/>
  <c r="BD4" i="5" s="1"/>
  <c r="BC4" i="5" a="1"/>
  <c r="BC4" i="5" s="1"/>
  <c r="BB4" i="5" a="1"/>
  <c r="BB4" i="5" s="1"/>
  <c r="BA4" i="5" a="1"/>
  <c r="BA4" i="5" s="1"/>
  <c r="AZ4" i="5" a="1"/>
  <c r="AZ4" i="5" s="1"/>
  <c r="AY4" i="5" a="1"/>
  <c r="AY4" i="5" s="1"/>
  <c r="AX4" i="5" a="1"/>
  <c r="AX4" i="5" s="1"/>
  <c r="AW4" i="5" a="1"/>
  <c r="AW4" i="5" s="1"/>
  <c r="AV4" i="5" a="1"/>
  <c r="AV4" i="5" s="1"/>
  <c r="AU4" i="5" a="1"/>
  <c r="AU4" i="5" s="1"/>
  <c r="AT4" i="5" a="1"/>
  <c r="AT4" i="5" s="1"/>
  <c r="AS4" i="5" a="1"/>
  <c r="AS4" i="5" s="1"/>
  <c r="AR4" i="5" a="1"/>
  <c r="AR4" i="5" s="1"/>
  <c r="AQ4" i="5" a="1"/>
  <c r="AQ4" i="5" s="1"/>
  <c r="AP4" i="5" a="1"/>
  <c r="AP4" i="5" s="1"/>
  <c r="AO4" i="5" a="1"/>
  <c r="AO4" i="5" s="1"/>
  <c r="AN4" i="5" a="1"/>
  <c r="AN4" i="5" s="1"/>
  <c r="AM4" i="5" a="1"/>
  <c r="AM4" i="5" s="1"/>
  <c r="AL4" i="5" a="1"/>
  <c r="AL4" i="5" s="1"/>
  <c r="AK4" i="5" a="1"/>
  <c r="AK4" i="5" s="1"/>
  <c r="AJ4" i="5" a="1"/>
  <c r="AJ4" i="5" s="1"/>
  <c r="AI4" i="5" a="1"/>
  <c r="AI4" i="5" s="1"/>
  <c r="AH4" i="5" a="1"/>
  <c r="AH4" i="5" s="1"/>
  <c r="AG4" i="5" a="1"/>
  <c r="AG4" i="5" s="1"/>
  <c r="AF4" i="5" a="1"/>
  <c r="AF4" i="5" s="1"/>
  <c r="AE4" i="5" a="1"/>
  <c r="AE4" i="5" s="1"/>
  <c r="AD4" i="5" a="1"/>
  <c r="AD4" i="5" s="1"/>
  <c r="AC4" i="5" a="1"/>
  <c r="AC4" i="5" s="1"/>
  <c r="AB4" i="5" a="1"/>
  <c r="AB4" i="5" s="1"/>
  <c r="AA4" i="5" a="1"/>
  <c r="AA4" i="5" s="1"/>
  <c r="Z4" i="5" a="1"/>
  <c r="Z4" i="5" s="1"/>
  <c r="Y4" i="5" a="1"/>
  <c r="Y4" i="5" s="1"/>
  <c r="X4" i="5" a="1"/>
  <c r="X4" i="5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1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10" i="4"/>
  <c r="I2" i="4"/>
  <c r="I3" i="4"/>
  <c r="I4" i="4"/>
  <c r="I5" i="4"/>
  <c r="I6" i="4"/>
  <c r="I7" i="4"/>
  <c r="I8" i="4"/>
  <c r="I9" i="4"/>
  <c r="I1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10" i="4"/>
  <c r="F2" i="4"/>
  <c r="F3" i="4"/>
  <c r="F4" i="4"/>
  <c r="F5" i="4"/>
  <c r="F6" i="4"/>
  <c r="F7" i="4"/>
  <c r="F8" i="4"/>
  <c r="F9" i="4"/>
  <c r="F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<sst xmlns="http://schemas.openxmlformats.org/spreadsheetml/2006/main" count="1002" uniqueCount="564">
  <si>
    <t>GLICOLICO</t>
  </si>
  <si>
    <t>LATTICO</t>
  </si>
  <si>
    <t>METIL MALONICO</t>
  </si>
  <si>
    <t>BENZOICO</t>
  </si>
  <si>
    <t>ETIL MALONICO</t>
  </si>
  <si>
    <t>GLUTARICO</t>
  </si>
  <si>
    <t>ARABINOSIO</t>
  </si>
  <si>
    <t>3OH FENILACETICO</t>
  </si>
  <si>
    <t>3OH 3 METIL GLUTARICO</t>
  </si>
  <si>
    <t>3 INDOLACETICO</t>
  </si>
  <si>
    <t>IPPURICO</t>
  </si>
  <si>
    <t>OMOVANILLICO</t>
  </si>
  <si>
    <t>5OH INDOLO 3 ACETICO</t>
  </si>
  <si>
    <t>VANILMANDELICO</t>
  </si>
  <si>
    <t>SUCCINICO</t>
  </si>
  <si>
    <t>ACIDO PIROGLUTAMMICO</t>
  </si>
  <si>
    <t>ACIDO TRICARBALLILICO</t>
  </si>
  <si>
    <t>ACIDO ADIPICO</t>
  </si>
  <si>
    <t>ACIDO SUBERICO</t>
  </si>
  <si>
    <t>ACIDO N - ACETIL - ASPARTICO</t>
  </si>
  <si>
    <t>ACIDO PANTOTENICO</t>
  </si>
  <si>
    <t>ACIDO 2 - IDROSSI - ISOCAPROICO</t>
  </si>
  <si>
    <t>ACIDO 4 - IDROSSI - FENIL - ACETICO</t>
  </si>
  <si>
    <t>ACIDO 4 - IDROSSI - IPPURICO</t>
  </si>
  <si>
    <t>ACIDO 5 IDROSSI METIL 2 FURAN CARBOSSILICO</t>
  </si>
  <si>
    <t>FURAN CARBONIL GLICINA</t>
  </si>
  <si>
    <t>ACIDO GLICERICO</t>
  </si>
  <si>
    <t>ACIDO SEBACICO</t>
  </si>
  <si>
    <t>ACIDO 4 PIRIDOSSICO</t>
  </si>
  <si>
    <t>N-ACETIL-CISTEINA</t>
  </si>
  <si>
    <t>ACIDO ORTO IDROSSI IPPURICO</t>
  </si>
  <si>
    <t>ACIDO 2 IDROSSI 3 METIL BUTIRRICO</t>
  </si>
  <si>
    <t>ACIDO OMOGENTISICO</t>
  </si>
  <si>
    <t>NOME</t>
  </si>
  <si>
    <t>Acido TARTARICO</t>
  </si>
  <si>
    <t>Acido CITRICO</t>
  </si>
  <si>
    <t>Acido MALONICO</t>
  </si>
  <si>
    <t>Acido MALICO</t>
  </si>
  <si>
    <t>Acido ISOCITRICO</t>
  </si>
  <si>
    <t>Acido CITRAMALICO</t>
  </si>
  <si>
    <t>Acido PIRUVICO</t>
  </si>
  <si>
    <t>Acido ASCORBICO</t>
  </si>
  <si>
    <t>Acido OROTICO</t>
  </si>
  <si>
    <t>Acido 4OH FENILPIRUVICO</t>
  </si>
  <si>
    <t>Acido ACONITICO</t>
  </si>
  <si>
    <t>Acido ALFA CHETO GLUTARICO</t>
  </si>
  <si>
    <t>ARABITOLO</t>
  </si>
  <si>
    <t>Acido ALFA OH GLUTARICO</t>
  </si>
  <si>
    <t>DATA</t>
  </si>
  <si>
    <t>FUMARICO</t>
  </si>
  <si>
    <t>MANDELICO</t>
  </si>
  <si>
    <t>Acido 2,5 furandicarbossilico</t>
  </si>
  <si>
    <t>Acido chinurenico</t>
  </si>
  <si>
    <t>Acido 4-metil-2-ossovalerico</t>
  </si>
  <si>
    <t>Timina</t>
  </si>
  <si>
    <t>Uracile</t>
  </si>
  <si>
    <t>Acido 2-idrossi-butirrico</t>
  </si>
  <si>
    <t>DOPAC</t>
  </si>
  <si>
    <t>HPHPA</t>
  </si>
  <si>
    <t>CHINOLINICO</t>
  </si>
  <si>
    <t>NUMERO</t>
  </si>
  <si>
    <t>RIGA</t>
  </si>
  <si>
    <t>1=39</t>
  </si>
  <si>
    <t>2=49</t>
  </si>
  <si>
    <t>3=42</t>
  </si>
  <si>
    <t>4=50</t>
  </si>
  <si>
    <t>5=17</t>
  </si>
  <si>
    <t>6=3</t>
  </si>
  <si>
    <t>7=41</t>
  </si>
  <si>
    <t>8=52</t>
  </si>
  <si>
    <t>9=14</t>
  </si>
  <si>
    <t>10=16</t>
  </si>
  <si>
    <t>11=37</t>
  </si>
  <si>
    <t>12=59</t>
  </si>
  <si>
    <t>13=15</t>
  </si>
  <si>
    <t>14=54</t>
  </si>
  <si>
    <t>15=61</t>
  </si>
  <si>
    <t>16=23</t>
  </si>
  <si>
    <t>17=7</t>
  </si>
  <si>
    <t>18=4</t>
  </si>
  <si>
    <t>19=32</t>
  </si>
  <si>
    <t>20=45</t>
  </si>
  <si>
    <t>21=31</t>
  </si>
  <si>
    <t>22=11</t>
  </si>
  <si>
    <t>23=55</t>
  </si>
  <si>
    <t>24=10</t>
  </si>
  <si>
    <t>25=35</t>
  </si>
  <si>
    <t>26=24</t>
  </si>
  <si>
    <t>27=22</t>
  </si>
  <si>
    <t>28=40</t>
  </si>
  <si>
    <t>29=48</t>
  </si>
  <si>
    <t>30=34</t>
  </si>
  <si>
    <t>31=57</t>
  </si>
  <si>
    <t>32=56</t>
  </si>
  <si>
    <t>33=43</t>
  </si>
  <si>
    <t>34=27</t>
  </si>
  <si>
    <t>35=38</t>
  </si>
  <si>
    <t>36=28</t>
  </si>
  <si>
    <t>37=19</t>
  </si>
  <si>
    <t>38=8</t>
  </si>
  <si>
    <t>39=51</t>
  </si>
  <si>
    <t>40=47</t>
  </si>
  <si>
    <t>41=26</t>
  </si>
  <si>
    <t>42=13</t>
  </si>
  <si>
    <t>43=5</t>
  </si>
  <si>
    <t>44=64</t>
  </si>
  <si>
    <t>45=25</t>
  </si>
  <si>
    <t>46=12</t>
  </si>
  <si>
    <t>47=53</t>
  </si>
  <si>
    <t>48=9</t>
  </si>
  <si>
    <t>49=60</t>
  </si>
  <si>
    <t>50=1</t>
  </si>
  <si>
    <t>51=29</t>
  </si>
  <si>
    <t>52=63</t>
  </si>
  <si>
    <t>53=30</t>
  </si>
  <si>
    <t>54=20</t>
  </si>
  <si>
    <t>55=21</t>
  </si>
  <si>
    <t>56=6</t>
  </si>
  <si>
    <t>57=36</t>
  </si>
  <si>
    <t>58=44</t>
  </si>
  <si>
    <t>59=2</t>
  </si>
  <si>
    <t>60=33</t>
  </si>
  <si>
    <t>61=46</t>
  </si>
  <si>
    <t>62=18</t>
  </si>
  <si>
    <t>63=58</t>
  </si>
  <si>
    <t>64=62</t>
  </si>
  <si>
    <t>p1=21</t>
  </si>
  <si>
    <t>p2=26</t>
  </si>
  <si>
    <t>p3=31</t>
  </si>
  <si>
    <t>p4=36</t>
  </si>
  <si>
    <t>p5=41</t>
  </si>
  <si>
    <t>p6=46</t>
  </si>
  <si>
    <t>p7=51</t>
  </si>
  <si>
    <t>p8=59</t>
  </si>
  <si>
    <t>p9=68</t>
  </si>
  <si>
    <t>p10=73</t>
  </si>
  <si>
    <t>p11=78</t>
  </si>
  <si>
    <t>p12=83</t>
  </si>
  <si>
    <t>p13=90</t>
  </si>
  <si>
    <t>p14=95</t>
  </si>
  <si>
    <t>p15=100</t>
  </si>
  <si>
    <t>p16=115</t>
  </si>
  <si>
    <t>p17=120</t>
  </si>
  <si>
    <t>p18=125</t>
  </si>
  <si>
    <t>p19=130</t>
  </si>
  <si>
    <t>p20=135</t>
  </si>
  <si>
    <t>p21=140</t>
  </si>
  <si>
    <t>p22=145</t>
  </si>
  <si>
    <t>p23=152</t>
  </si>
  <si>
    <t>p24=157</t>
  </si>
  <si>
    <t>p25=162</t>
  </si>
  <si>
    <t>p26=167</t>
  </si>
  <si>
    <t>p27=172</t>
  </si>
  <si>
    <t>p28=177</t>
  </si>
  <si>
    <t>p29=182</t>
  </si>
  <si>
    <t>p30=187</t>
  </si>
  <si>
    <t>p31=195</t>
  </si>
  <si>
    <t>p32=200</t>
  </si>
  <si>
    <t>p33=219</t>
  </si>
  <si>
    <t>p34=224</t>
  </si>
  <si>
    <t>p35=229</t>
  </si>
  <si>
    <t>p36=234</t>
  </si>
  <si>
    <t>p37=239</t>
  </si>
  <si>
    <t>p38=244</t>
  </si>
  <si>
    <t>p39=249</t>
  </si>
  <si>
    <t>p40=254</t>
  </si>
  <si>
    <t>p41=262</t>
  </si>
  <si>
    <t>p42=267</t>
  </si>
  <si>
    <t>p43=272</t>
  </si>
  <si>
    <t>p44=277</t>
  </si>
  <si>
    <t>p45=285</t>
  </si>
  <si>
    <t>p46=290</t>
  </si>
  <si>
    <t>p47=295</t>
  </si>
  <si>
    <t>p48=300</t>
  </si>
  <si>
    <t>p49=305</t>
  </si>
  <si>
    <t>p50=321</t>
  </si>
  <si>
    <t>p51=326</t>
  </si>
  <si>
    <t>p52=331</t>
  </si>
  <si>
    <t>p53=339</t>
  </si>
  <si>
    <t>p54=344</t>
  </si>
  <si>
    <t>p55=349</t>
  </si>
  <si>
    <t>p56=354</t>
  </si>
  <si>
    <t>p57=359</t>
  </si>
  <si>
    <t>p58=367</t>
  </si>
  <si>
    <t>p59=372</t>
  </si>
  <si>
    <t>p60=382</t>
  </si>
  <si>
    <t>p61=390</t>
  </si>
  <si>
    <t>p62=398</t>
  </si>
  <si>
    <t>p63=403</t>
  </si>
  <si>
    <t>p64=410</t>
  </si>
  <si>
    <t>39</t>
  </si>
  <si>
    <t>21</t>
  </si>
  <si>
    <t>49</t>
  </si>
  <si>
    <t>26</t>
  </si>
  <si>
    <t>42</t>
  </si>
  <si>
    <t>31</t>
  </si>
  <si>
    <t>50</t>
  </si>
  <si>
    <t>36</t>
  </si>
  <si>
    <t>17</t>
  </si>
  <si>
    <t>41</t>
  </si>
  <si>
    <t>3</t>
  </si>
  <si>
    <t>46</t>
  </si>
  <si>
    <t>51</t>
  </si>
  <si>
    <t>52</t>
  </si>
  <si>
    <t>59</t>
  </si>
  <si>
    <t>14</t>
  </si>
  <si>
    <t>68</t>
  </si>
  <si>
    <t>16</t>
  </si>
  <si>
    <t>73</t>
  </si>
  <si>
    <t>37</t>
  </si>
  <si>
    <t>78</t>
  </si>
  <si>
    <t>83</t>
  </si>
  <si>
    <t>15</t>
  </si>
  <si>
    <t>90</t>
  </si>
  <si>
    <t>54</t>
  </si>
  <si>
    <t>95</t>
  </si>
  <si>
    <t>61</t>
  </si>
  <si>
    <t>100</t>
  </si>
  <si>
    <t>23</t>
  </si>
  <si>
    <t>115</t>
  </si>
  <si>
    <t>7</t>
  </si>
  <si>
    <t>120</t>
  </si>
  <si>
    <t>4</t>
  </si>
  <si>
    <t>125</t>
  </si>
  <si>
    <t>32</t>
  </si>
  <si>
    <t>130</t>
  </si>
  <si>
    <t>45</t>
  </si>
  <si>
    <t>135</t>
  </si>
  <si>
    <t>140</t>
  </si>
  <si>
    <t>11</t>
  </si>
  <si>
    <t>145</t>
  </si>
  <si>
    <t>55</t>
  </si>
  <si>
    <t>152</t>
  </si>
  <si>
    <t>10</t>
  </si>
  <si>
    <t>157</t>
  </si>
  <si>
    <t>35</t>
  </si>
  <si>
    <t>162</t>
  </si>
  <si>
    <t>24</t>
  </si>
  <si>
    <t>167</t>
  </si>
  <si>
    <t>22</t>
  </si>
  <si>
    <t>172</t>
  </si>
  <si>
    <t>40</t>
  </si>
  <si>
    <t>177</t>
  </si>
  <si>
    <t>48</t>
  </si>
  <si>
    <t>182</t>
  </si>
  <si>
    <t>34</t>
  </si>
  <si>
    <t>187</t>
  </si>
  <si>
    <t>57</t>
  </si>
  <si>
    <t>195</t>
  </si>
  <si>
    <t>56</t>
  </si>
  <si>
    <t>200</t>
  </si>
  <si>
    <t>43</t>
  </si>
  <si>
    <t>219</t>
  </si>
  <si>
    <t>27</t>
  </si>
  <si>
    <t>224</t>
  </si>
  <si>
    <t>38</t>
  </si>
  <si>
    <t>229</t>
  </si>
  <si>
    <t>28</t>
  </si>
  <si>
    <t>234</t>
  </si>
  <si>
    <t>19</t>
  </si>
  <si>
    <t>239</t>
  </si>
  <si>
    <t>8</t>
  </si>
  <si>
    <t>244</t>
  </si>
  <si>
    <t>249</t>
  </si>
  <si>
    <t>47</t>
  </si>
  <si>
    <t>254</t>
  </si>
  <si>
    <t>262</t>
  </si>
  <si>
    <t>13</t>
  </si>
  <si>
    <t>267</t>
  </si>
  <si>
    <t>5</t>
  </si>
  <si>
    <t>272</t>
  </si>
  <si>
    <t>64</t>
  </si>
  <si>
    <t>277</t>
  </si>
  <si>
    <t>25</t>
  </si>
  <si>
    <t>285</t>
  </si>
  <si>
    <t>12</t>
  </si>
  <si>
    <t>290</t>
  </si>
  <si>
    <t>53</t>
  </si>
  <si>
    <t>295</t>
  </si>
  <si>
    <t>9</t>
  </si>
  <si>
    <t>300</t>
  </si>
  <si>
    <t>60</t>
  </si>
  <si>
    <t>305</t>
  </si>
  <si>
    <t>1</t>
  </si>
  <si>
    <t>321</t>
  </si>
  <si>
    <t>29</t>
  </si>
  <si>
    <t>326</t>
  </si>
  <si>
    <t>63</t>
  </si>
  <si>
    <t>331</t>
  </si>
  <si>
    <t>30</t>
  </si>
  <si>
    <t>339</t>
  </si>
  <si>
    <t>20</t>
  </si>
  <si>
    <t>344</t>
  </si>
  <si>
    <t>349</t>
  </si>
  <si>
    <t>6</t>
  </si>
  <si>
    <t>354</t>
  </si>
  <si>
    <t>359</t>
  </si>
  <si>
    <t>44</t>
  </si>
  <si>
    <t>367</t>
  </si>
  <si>
    <t>2</t>
  </si>
  <si>
    <t>372</t>
  </si>
  <si>
    <t>33</t>
  </si>
  <si>
    <t>382</t>
  </si>
  <si>
    <t>390</t>
  </si>
  <si>
    <t>18</t>
  </si>
  <si>
    <t>398</t>
  </si>
  <si>
    <t>58</t>
  </si>
  <si>
    <t>403</t>
  </si>
  <si>
    <t>62</t>
  </si>
  <si>
    <t>410</t>
  </si>
  <si>
    <t>pos(</t>
  </si>
  <si>
    <t>)=</t>
  </si>
  <si>
    <t>Citrico</t>
  </si>
  <si>
    <t>Aconitico</t>
  </si>
  <si>
    <t>Isocitrico</t>
  </si>
  <si>
    <t>2-Ossoglutarico</t>
  </si>
  <si>
    <t>Succinico</t>
  </si>
  <si>
    <t>Fumarico</t>
  </si>
  <si>
    <t>Malico</t>
  </si>
  <si>
    <t>2-Idrossiglutarico</t>
  </si>
  <si>
    <t>Omovanillico (HVA)</t>
  </si>
  <si>
    <t>Vanilmandelico (VMA)</t>
  </si>
  <si>
    <t>Ratio HVA/VMA</t>
  </si>
  <si>
    <t>3,4-Diidrossifenilacetico</t>
  </si>
  <si>
    <t>5-Idrossiindolacetico </t>
  </si>
  <si>
    <t>Chinurenico</t>
  </si>
  <si>
    <t>Chinolinico</t>
  </si>
  <si>
    <t>Pantotenico (B5)</t>
  </si>
  <si>
    <t>Glutarico*</t>
  </si>
  <si>
    <t>Metilmalonico*</t>
  </si>
  <si>
    <t>N-Acetil-L-Cisteina (NAC)</t>
  </si>
  <si>
    <t>Ascorbico ( C )</t>
  </si>
  <si>
    <t>4-Piridossico (B6)</t>
  </si>
  <si>
    <t>3-Idrossi-3-Metilglutarico*</t>
  </si>
  <si>
    <t>4-Metil-2-Ossovalerico</t>
  </si>
  <si>
    <t>Mandelico</t>
  </si>
  <si>
    <t>Omogentisico</t>
  </si>
  <si>
    <t>2-Idrossiisocaproico</t>
  </si>
  <si>
    <t>N-Acetilaspartico</t>
  </si>
  <si>
    <t>Malonico</t>
  </si>
  <si>
    <t>4-Idrossifenilpiruvico</t>
  </si>
  <si>
    <t>2-Idrossi-3-Metilbutirrico</t>
  </si>
  <si>
    <t>Citramalico</t>
  </si>
  <si>
    <t>5-Idrossimetil-2-Furancarbossilico</t>
  </si>
  <si>
    <t>Tartarico</t>
  </si>
  <si>
    <t>Furancarbonilglicina</t>
  </si>
  <si>
    <t>Tricarballilico</t>
  </si>
  <si>
    <t>Arabinosio</t>
  </si>
  <si>
    <t>Arabitolo</t>
  </si>
  <si>
    <t>Furan-2,5-Dicarbossilico</t>
  </si>
  <si>
    <t>4-Idrossiippurico</t>
  </si>
  <si>
    <t>Ippurico</t>
  </si>
  <si>
    <t>Benzoico</t>
  </si>
  <si>
    <t>Indacano    (mg/dL)</t>
  </si>
  <si>
    <t>4-Idrossifenilacetico</t>
  </si>
  <si>
    <t>3-Indolacetico</t>
  </si>
  <si>
    <t>P-Cresolo</t>
  </si>
  <si>
    <t>3-Idrossifenilacetico</t>
  </si>
  <si>
    <t>Glicolico</t>
  </si>
  <si>
    <t>Glicerico</t>
  </si>
  <si>
    <t>Ossalico</t>
  </si>
  <si>
    <t>Sebacico</t>
  </si>
  <si>
    <t>Adipico</t>
  </si>
  <si>
    <t>Suberico</t>
  </si>
  <si>
    <t>Etilmalonico</t>
  </si>
  <si>
    <t>3-Idrossibutirrico</t>
  </si>
  <si>
    <t>Piruvico</t>
  </si>
  <si>
    <t>Lattico</t>
  </si>
  <si>
    <t>2-Idrossiippurico</t>
  </si>
  <si>
    <t>Orotico</t>
  </si>
  <si>
    <t>Piroglutammico</t>
  </si>
  <si>
    <t>2-Idrossibutirrico</t>
  </si>
  <si>
    <t>Creatinina (mg/dL)</t>
  </si>
  <si>
    <t>CREATININA</t>
  </si>
  <si>
    <t>OSSALICO</t>
  </si>
  <si>
    <t>INDACANO</t>
  </si>
  <si>
    <t>RATIO HMA / VMA</t>
  </si>
  <si>
    <t>CONTROLLO</t>
  </si>
  <si>
    <t>DATA ACCETTAZIONE</t>
  </si>
  <si>
    <t>DATA REFERTAZIONE</t>
  </si>
  <si>
    <t>NUMERO ACCETTAZIONE</t>
  </si>
  <si>
    <t>CODICE D'ORDINE</t>
  </si>
  <si>
    <t>CODICE FISCALE</t>
  </si>
  <si>
    <t>VARIABILE POPOLAZIONE</t>
  </si>
  <si>
    <t>DISPONIBILE</t>
  </si>
  <si>
    <t>p-Cresolo</t>
  </si>
  <si>
    <t>Atlantys</t>
  </si>
  <si>
    <t>Trypto in Atlantis</t>
  </si>
  <si>
    <t>Phenyl - Hexyl</t>
  </si>
  <si>
    <t>Trypto in Phenyl Exyl</t>
  </si>
  <si>
    <t>SEMIONOV OLGA</t>
  </si>
  <si>
    <t>BOTTEGA ENZO</t>
  </si>
  <si>
    <t>BONFIGLIOLI ELISA</t>
  </si>
  <si>
    <t>WOLFHARDT CLAUDIA CHRISTINE</t>
  </si>
  <si>
    <t>AGOSTINI MICHELANGELO</t>
  </si>
  <si>
    <t>BOSCOLO SAMANTA</t>
  </si>
  <si>
    <t>WEITHALER CLAUDIA</t>
  </si>
  <si>
    <t>OLIVIERI SILVIA</t>
  </si>
  <si>
    <t>CIPRIANI PAOLA</t>
  </si>
  <si>
    <t>GIOBBE FEDERICA</t>
  </si>
  <si>
    <t>DEMARCH FRANCESCO</t>
  </si>
  <si>
    <t>PREZIUSI CHIARA</t>
  </si>
  <si>
    <t>RADICI CRISTOPHER ANDREY</t>
  </si>
  <si>
    <t>INCICCO ALBINA</t>
  </si>
  <si>
    <t>MANCUSO ANNA</t>
  </si>
  <si>
    <t>MORO PAOLA</t>
  </si>
  <si>
    <t>BREDA TIZIANA</t>
  </si>
  <si>
    <t>CAPRARO GIULIA</t>
  </si>
  <si>
    <t>GAMBACORTA SONIA</t>
  </si>
  <si>
    <t>CALEARO ROSALIA</t>
  </si>
  <si>
    <t>CARLIN ALBERTO</t>
  </si>
  <si>
    <t>SOPRANI CHIARA</t>
  </si>
  <si>
    <t>CANTARINI ELISA</t>
  </si>
  <si>
    <t>CASCIELLO ROSA</t>
  </si>
  <si>
    <t>BASTONI LORENZA</t>
  </si>
  <si>
    <t>PIRACCINI CARLOTTA</t>
  </si>
  <si>
    <t>CASCIELLO ALESSANDRO</t>
  </si>
  <si>
    <t>DE BOER LISA</t>
  </si>
  <si>
    <t xml:space="preserve">PISACANE ANNUNZIATA </t>
  </si>
  <si>
    <t>ROSANNA MEZZOPAN</t>
  </si>
  <si>
    <t xml:space="preserve">CIVOLANI LEOPOLDO  </t>
  </si>
  <si>
    <t>DE BOER JOKE</t>
  </si>
  <si>
    <t>FILIPPIS ELISABETTA</t>
  </si>
  <si>
    <t>MARZORATI GIANLUCA</t>
  </si>
  <si>
    <t>FELLETTI ANDREA</t>
  </si>
  <si>
    <t>SMNLGO75P42Z140S</t>
  </si>
  <si>
    <t>REUVZLDRH</t>
  </si>
  <si>
    <t>BTTNZE19M09B563S</t>
  </si>
  <si>
    <t>TPFZSSRTE</t>
  </si>
  <si>
    <t>BNFLSE65M69C469A</t>
  </si>
  <si>
    <t>PXIIFJLYT</t>
  </si>
  <si>
    <t>WLFCDC67A51Z404Y</t>
  </si>
  <si>
    <t>GLLWRPNII</t>
  </si>
  <si>
    <t>GSTMHL73P21A944Q</t>
  </si>
  <si>
    <t>HSEMWYITW</t>
  </si>
  <si>
    <t>BSCSNT91C59Z133M</t>
  </si>
  <si>
    <t>VBFIUUYXF</t>
  </si>
  <si>
    <t>WTHCLD67D47F132A</t>
  </si>
  <si>
    <t>WBZNRFAPT</t>
  </si>
  <si>
    <t>LVRSLV86P69L219N</t>
  </si>
  <si>
    <t>TVTZHGCXO</t>
  </si>
  <si>
    <t>CPRPLA44L71H642Y</t>
  </si>
  <si>
    <t>GHNFJTCIC</t>
  </si>
  <si>
    <t>GBBFRC81M53F205A</t>
  </si>
  <si>
    <t>DFNTNJPWA</t>
  </si>
  <si>
    <t>DMRFNC63T23L424W</t>
  </si>
  <si>
    <t>OEVTEHGSR</t>
  </si>
  <si>
    <t>PRZCHR70H56C514C</t>
  </si>
  <si>
    <t>DSPNTCJQX</t>
  </si>
  <si>
    <t>RDCCST15R18F205B</t>
  </si>
  <si>
    <t>WEGIOFKMY</t>
  </si>
  <si>
    <t>NCCLBN65A70Z112H</t>
  </si>
  <si>
    <t>HNJSBDWGR</t>
  </si>
  <si>
    <t>MNCNNA50L42H428C</t>
  </si>
  <si>
    <t>XECXNKEKY</t>
  </si>
  <si>
    <t>MROPLA68L52G914J</t>
  </si>
  <si>
    <t>MDAMKSRQU</t>
  </si>
  <si>
    <t>BRDTZN78T45A794O</t>
  </si>
  <si>
    <t>GRZCRBBHJ</t>
  </si>
  <si>
    <t>CPRGLI97H55C665P</t>
  </si>
  <si>
    <t>BKWVOKNSE</t>
  </si>
  <si>
    <t>GMBSNO64M49H501F</t>
  </si>
  <si>
    <t>FFYYGEFNZ</t>
  </si>
  <si>
    <t>CLRRSL66R47F964Z</t>
  </si>
  <si>
    <t>JXABQOHWE</t>
  </si>
  <si>
    <t>CRLLRT85T31D325A</t>
  </si>
  <si>
    <t>BPUIKCVXT</t>
  </si>
  <si>
    <t>SPRCHR11P47H223N</t>
  </si>
  <si>
    <t>LXKRNPQAA</t>
  </si>
  <si>
    <t>CNTLSE15L53F205Z</t>
  </si>
  <si>
    <t>BBBPLBEMQ</t>
  </si>
  <si>
    <t>CSCRSO03A63I483R</t>
  </si>
  <si>
    <t>YKGLCZVCV</t>
  </si>
  <si>
    <t>BSTLNZ62R42F205P</t>
  </si>
  <si>
    <t>POGELZVUR</t>
  </si>
  <si>
    <t>PRCCLT66E71C573M</t>
  </si>
  <si>
    <t>YHULGWEZC</t>
  </si>
  <si>
    <t>CSCLSN05A44I483M</t>
  </si>
  <si>
    <t>BOUEYEBQN</t>
  </si>
  <si>
    <t>PSCNNZ84S63L845X</t>
  </si>
  <si>
    <t>VNTZQSTFV</t>
  </si>
  <si>
    <t>BSCRNN62M63C638E</t>
  </si>
  <si>
    <t>WVQNWYHDD</t>
  </si>
  <si>
    <t>CVLLLD65P29D086R</t>
  </si>
  <si>
    <t>SKOULQABY</t>
  </si>
  <si>
    <t>FLPLBT59P57A944I</t>
  </si>
  <si>
    <t>FATNIAHUA</t>
  </si>
  <si>
    <t>MRZGLC67D28E063I</t>
  </si>
  <si>
    <t>RCLYLXGXJ</t>
  </si>
  <si>
    <t>FLLNDR76A29C912L</t>
  </si>
  <si>
    <t>ZYZRBESSQ</t>
  </si>
  <si>
    <t>SMDHDANOF</t>
  </si>
  <si>
    <t>FKXDJLLQD</t>
  </si>
  <si>
    <t>23_3_2026</t>
  </si>
  <si>
    <t xml:space="preserve"> 30_03_2026</t>
  </si>
  <si>
    <t>1450</t>
  </si>
  <si>
    <t xml:space="preserve"> 31_03_2026</t>
  </si>
  <si>
    <t>1451</t>
  </si>
  <si>
    <t>24_3_2026</t>
  </si>
  <si>
    <t>1459</t>
  </si>
  <si>
    <t>BONFIGLIOLI EL</t>
  </si>
  <si>
    <t>1460</t>
  </si>
  <si>
    <t>WOLFHARDT CLAU</t>
  </si>
  <si>
    <t>1461</t>
  </si>
  <si>
    <t>AGOSTINI MICHE</t>
  </si>
  <si>
    <t>1464</t>
  </si>
  <si>
    <t>BOSCOLO SAMANT</t>
  </si>
  <si>
    <t>1465</t>
  </si>
  <si>
    <t>WEITHALER CLAU</t>
  </si>
  <si>
    <t>1480</t>
  </si>
  <si>
    <t>OLIVIERI SILVI</t>
  </si>
  <si>
    <t>1482</t>
  </si>
  <si>
    <t>1486</t>
  </si>
  <si>
    <t>GIOBBE FEDERIC</t>
  </si>
  <si>
    <t>1494</t>
  </si>
  <si>
    <t>DEMARCH FRANCE</t>
  </si>
  <si>
    <t>25_3_2026</t>
  </si>
  <si>
    <t>1504</t>
  </si>
  <si>
    <t>PREZIUSI CHIAR</t>
  </si>
  <si>
    <t>1522</t>
  </si>
  <si>
    <t>1527</t>
  </si>
  <si>
    <t>26_3_2026</t>
  </si>
  <si>
    <t>1533</t>
  </si>
  <si>
    <t>1541</t>
  </si>
  <si>
    <t>1547</t>
  </si>
  <si>
    <t>1549</t>
  </si>
  <si>
    <t>1551</t>
  </si>
  <si>
    <t>1554</t>
  </si>
  <si>
    <t>1560</t>
  </si>
  <si>
    <t>1565</t>
  </si>
  <si>
    <t>1572</t>
  </si>
  <si>
    <t>1573</t>
  </si>
  <si>
    <t>1594</t>
  </si>
  <si>
    <t>1594 BASTONI L</t>
  </si>
  <si>
    <t>1600</t>
  </si>
  <si>
    <t>1600 PIRACCINI</t>
  </si>
  <si>
    <t>27_3_2026</t>
  </si>
  <si>
    <t>1605</t>
  </si>
  <si>
    <t>1605 CASCIELLO</t>
  </si>
  <si>
    <t>1623</t>
  </si>
  <si>
    <t>1623 DE BOER L</t>
  </si>
  <si>
    <t>PISACANE ANNUNZIATA</t>
  </si>
  <si>
    <t>1604</t>
  </si>
  <si>
    <t xml:space="preserve">1604 PISACANE </t>
  </si>
  <si>
    <t>30_3_2026</t>
  </si>
  <si>
    <t>1624</t>
  </si>
  <si>
    <t>1624 ROSANNA M</t>
  </si>
  <si>
    <t>CIVOLANI LEOPOLDO</t>
  </si>
  <si>
    <t>1607</t>
  </si>
  <si>
    <t xml:space="preserve">1607 CIVOLANI </t>
  </si>
  <si>
    <t>1622</t>
  </si>
  <si>
    <t>1622 DE BOER J</t>
  </si>
  <si>
    <t>1608</t>
  </si>
  <si>
    <t xml:space="preserve">1608 FILIPPIS </t>
  </si>
  <si>
    <t>1616</t>
  </si>
  <si>
    <t>1616 MARZORATI</t>
  </si>
  <si>
    <t>1618</t>
  </si>
  <si>
    <t xml:space="preserve">1618 FELLETTI </t>
  </si>
  <si>
    <t>DATA_ACCETTAZIONE</t>
  </si>
  <si>
    <t>CODICE_ORDINE</t>
  </si>
  <si>
    <t>CODICE_FISCALE</t>
  </si>
  <si>
    <t>VARIABILE_POPOLAZIONE</t>
  </si>
  <si>
    <t>NUMERO_ACCETTAZIONE</t>
  </si>
  <si>
    <t>DATA_REFERTAZIONE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</si>
</sst>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Arial"/>
      <family val="2"/>
    </font>
    <font>
      <sz val="8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rgb="FFFF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/>
  </cellStyleXfs>
  <cellXfs count="29">
    <xf numFmtId="0" fontId="0" fillId="0" borderId="0" xfId="0"/>
    <xf numFmtId="0" fontId="0" fillId="0" borderId="0" xfId="0" quotePrefix="1"/>
    <xf numFmtId="0" fontId="19" fillId="0" borderId="0" xfId="0" applyFont="1"/>
    <xf numFmtId="0" fontId="18" fillId="0" borderId="12" xfId="0" applyFont="1" applyBorder="1" applyAlignment="1">
      <alignment horizontal="center" textRotation="90"/>
    </xf>
    <xf numFmtId="0" fontId="18" fillId="0" borderId="13" xfId="0" applyFont="1" applyBorder="1" applyAlignment="1">
      <alignment horizontal="center" textRotation="90"/>
    </xf>
    <xf numFmtId="0" fontId="18" fillId="0" borderId="14" xfId="0" applyFont="1" applyBorder="1" applyAlignment="1">
      <alignment horizontal="center" textRotation="90"/>
    </xf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14" xfId="0" applyBorder="1"/>
    <xf numFmtId="0" fontId="0" fillId="0" borderId="18" xfId="0" applyBorder="1" applyAlignment="1">
      <alignment horizontal="center"/>
    </xf>
    <xf numFmtId="0" fontId="18" fillId="0" borderId="19" xfId="0" applyFont="1" applyBorder="1" applyAlignment="1">
      <alignment horizontal="center" textRotation="90"/>
    </xf>
    <xf numFmtId="0" fontId="0" fillId="34" borderId="0" xfId="0" applyFill="1"/>
    <xf numFmtId="0" fontId="0" fillId="33" borderId="10" xfId="0" applyFill="1" applyBorder="1"/>
    <xf numFmtId="0" fontId="0" fillId="0" borderId="24" xfId="0" applyBorder="1"/>
    <xf numFmtId="0" fontId="0" fillId="0" borderId="25" xfId="0" applyBorder="1"/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2" fillId="0" borderId="26" xfId="42" applyFont="1" applyBorder="1" applyAlignment="1">
      <alignment horizontal="center"/>
    </xf>
    <xf numFmtId="0" fontId="22" fillId="0" borderId="27" xfId="42" applyFont="1" applyBorder="1" applyAlignment="1">
      <alignment horizontal="center"/>
    </xf>
    <xf numFmtId="0" fontId="23" fillId="0" borderId="28" xfId="42" applyFont="1" applyBorder="1" applyAlignment="1">
      <alignment horizontal="center"/>
    </xf>
    <xf numFmtId="0" fontId="23" fillId="0" borderId="26" xfId="42" applyFont="1" applyBorder="1" applyAlignment="1">
      <alignment horizontal="center"/>
    </xf>
    <xf numFmtId="0" fontId="22" fillId="33" borderId="26" xfId="42" applyFont="1" applyFill="1" applyBorder="1" applyAlignment="1">
      <alignment horizontal="center"/>
    </xf>
  </cellXfs>
  <cellStyles count="43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rmale 2" xfId="42" xr:uid="{343EC20A-A27B-416F-87E8-55A1131153A4}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22/11/relationships/FeaturePropertyBag" Target="featurePropertyBag/featurePropertyBag.xml"/><Relationship Id="rId4" Type="http://schemas.openxmlformats.org/officeDocument/2006/relationships/styles" Target="style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F27E3-AABE-492C-A570-3A1AD5087232}">
  <sheetPr codeName="Foglio4"/>
  <dimension ref="A1:DB39"/>
  <sheetViews>
    <sheetView tabSelected="1" zoomScale="80" zoomScaleNormal="80" workbookViewId="0"/>
  </sheetViews>
  <sheetFormatPr defaultRowHeight="15" x14ac:dyDescent="0.25"/>
  <cols>
    <col min="1" max="1" width="12" bestFit="1" customWidth="1"/>
    <col min="2" max="3" width="21.5703125" bestFit="1" customWidth="1"/>
    <col min="4" max="5" width="4.42578125" bestFit="1" customWidth="1"/>
    <col min="7" max="7" width="33.42578125" customWidth="1"/>
    <col min="8" max="8" width="10.7109375" customWidth="1"/>
    <col min="9" max="9" width="14" bestFit="1" customWidth="1"/>
    <col min="11" max="11" width="33.42578125" customWidth="1"/>
    <col min="12" max="12" width="10.7109375" customWidth="1"/>
    <col min="14" max="14" width="33.42578125" customWidth="1"/>
    <col min="15" max="15" width="10.7109375" customWidth="1"/>
    <col min="16" max="16" width="14" bestFit="1" customWidth="1"/>
    <col min="18" max="18" width="33.42578125" customWidth="1"/>
    <col min="19" max="19" width="10.7109375" customWidth="1"/>
    <col min="20" max="20" width="21.28515625" customWidth="1"/>
    <col min="21" max="90" width="6.140625" customWidth="1"/>
  </cols>
  <sheetData>
    <row r="1" spans="1:106" ht="15.75" thickBot="1" x14ac:dyDescent="0.3">
      <c r="A1" s="28" t="s">
        <v>558</v>
      </c>
      <c r="B1" s="24" t="s">
        <v>559</v>
      </c>
      <c r="C1" s="24" t="s">
        <v>560</v>
      </c>
      <c r="D1" s="24" t="s">
        <v>561</v>
      </c>
      <c r="E1" s="25" t="s">
        <v>384</v>
      </c>
      <c r="F1" s="26" t="s">
        <v>61</v>
      </c>
      <c r="G1" s="27" t="s">
        <v>33</v>
      </c>
      <c r="H1" s="24" t="s">
        <v>562</v>
      </c>
      <c r="I1" s="25" t="s">
        <v>563</v>
      </c>
      <c r="U1" s="14">
        <v>70</v>
      </c>
      <c r="V1" s="14">
        <v>48</v>
      </c>
      <c r="W1" s="14">
        <v>40</v>
      </c>
      <c r="X1" s="14">
        <v>46</v>
      </c>
      <c r="Y1" s="14">
        <v>2</v>
      </c>
      <c r="Z1" s="14">
        <v>13</v>
      </c>
      <c r="AA1" s="14">
        <v>51</v>
      </c>
      <c r="AB1" s="14">
        <v>39</v>
      </c>
      <c r="AC1" s="14">
        <v>6</v>
      </c>
      <c r="AD1" s="14">
        <v>50</v>
      </c>
      <c r="AE1" s="14">
        <v>34</v>
      </c>
      <c r="AF1" s="14">
        <v>44</v>
      </c>
      <c r="AG1" s="14">
        <v>63</v>
      </c>
      <c r="AH1" s="14">
        <v>55</v>
      </c>
      <c r="AI1" s="14">
        <v>42</v>
      </c>
      <c r="AJ1" s="14">
        <v>38</v>
      </c>
      <c r="AK1" s="14">
        <v>16</v>
      </c>
      <c r="AL1" s="14">
        <v>24</v>
      </c>
      <c r="AM1" s="14">
        <v>17</v>
      </c>
      <c r="AN1" s="14">
        <v>12</v>
      </c>
      <c r="AO1" s="14">
        <v>60</v>
      </c>
      <c r="AP1" s="14">
        <v>33</v>
      </c>
      <c r="AQ1" s="14">
        <v>4</v>
      </c>
      <c r="AR1" s="14">
        <v>5</v>
      </c>
      <c r="AS1" s="14">
        <v>66</v>
      </c>
      <c r="AT1" s="14">
        <v>49</v>
      </c>
      <c r="AU1" s="14">
        <v>65</v>
      </c>
      <c r="AV1" s="14">
        <v>41</v>
      </c>
      <c r="AW1" s="14">
        <v>37</v>
      </c>
      <c r="AX1" s="14">
        <v>30</v>
      </c>
      <c r="AY1" s="14">
        <v>32</v>
      </c>
      <c r="AZ1" s="14">
        <v>47</v>
      </c>
      <c r="BA1" s="14">
        <v>3</v>
      </c>
      <c r="BB1" s="14">
        <v>54</v>
      </c>
      <c r="BC1" s="14">
        <v>52</v>
      </c>
      <c r="BD1" s="14">
        <v>58</v>
      </c>
      <c r="BE1" s="14">
        <v>69</v>
      </c>
      <c r="BF1" s="14">
        <v>64</v>
      </c>
      <c r="BG1" s="14">
        <v>7</v>
      </c>
      <c r="BH1" s="14">
        <v>22</v>
      </c>
      <c r="BI1" s="14">
        <v>20</v>
      </c>
      <c r="BJ1" s="14">
        <v>21</v>
      </c>
      <c r="BK1" s="14">
        <v>23</v>
      </c>
      <c r="BL1" s="14">
        <v>43</v>
      </c>
      <c r="BM1" s="14">
        <v>18</v>
      </c>
      <c r="BN1" s="14">
        <v>31</v>
      </c>
      <c r="BO1" s="14">
        <v>8</v>
      </c>
      <c r="BP1" s="14">
        <v>67</v>
      </c>
      <c r="BQ1" s="14">
        <v>14</v>
      </c>
      <c r="BR1" s="14">
        <v>10</v>
      </c>
      <c r="BS1" s="14">
        <v>29</v>
      </c>
      <c r="BT1" s="14">
        <v>1</v>
      </c>
      <c r="BU1" s="14">
        <v>53</v>
      </c>
      <c r="BV1" s="14">
        <v>59</v>
      </c>
      <c r="BW1" s="14">
        <v>36</v>
      </c>
      <c r="BX1" s="14">
        <v>68</v>
      </c>
      <c r="BY1" s="14">
        <v>9</v>
      </c>
      <c r="BZ1" s="14">
        <v>11</v>
      </c>
      <c r="CA1" s="14">
        <v>35</v>
      </c>
      <c r="CB1" s="14">
        <v>15</v>
      </c>
      <c r="CC1" s="14">
        <v>26</v>
      </c>
      <c r="CD1" s="14">
        <v>62</v>
      </c>
      <c r="CE1" s="14">
        <v>56</v>
      </c>
      <c r="CF1" s="14">
        <v>57</v>
      </c>
      <c r="CG1" s="14">
        <v>61</v>
      </c>
      <c r="CH1" s="14">
        <v>19</v>
      </c>
      <c r="CI1" s="14">
        <v>45</v>
      </c>
      <c r="CJ1" s="14">
        <v>27</v>
      </c>
      <c r="CK1" s="14">
        <v>28</v>
      </c>
      <c r="CL1" s="14">
        <v>25</v>
      </c>
    </row>
    <row r="2" spans="1:106" ht="15" customHeight="1" x14ac:dyDescent="0.25">
      <c r="F2" s="18" t="s">
        <v>386</v>
      </c>
      <c r="G2" s="19"/>
      <c r="H2" s="19"/>
      <c r="I2" s="20"/>
      <c r="J2" s="18" t="s">
        <v>387</v>
      </c>
      <c r="K2" s="19"/>
      <c r="L2" s="20"/>
      <c r="M2" s="18" t="s">
        <v>388</v>
      </c>
      <c r="N2" s="19"/>
      <c r="O2" s="19"/>
      <c r="P2" s="20"/>
      <c r="Q2" s="18" t="s">
        <v>389</v>
      </c>
      <c r="R2" s="19"/>
      <c r="S2" s="20"/>
      <c r="BN2" s="7">
        <v>1</v>
      </c>
      <c r="BO2" s="8">
        <v>2</v>
      </c>
      <c r="BP2" s="8">
        <v>3</v>
      </c>
      <c r="BQ2" s="8">
        <v>4</v>
      </c>
      <c r="BR2" s="8">
        <v>5</v>
      </c>
      <c r="BS2" s="8">
        <v>6</v>
      </c>
      <c r="BT2" s="8">
        <v>7</v>
      </c>
      <c r="BU2" s="8">
        <v>8</v>
      </c>
      <c r="BV2" s="8">
        <v>9</v>
      </c>
      <c r="BW2" s="7">
        <v>10</v>
      </c>
      <c r="BX2" s="8">
        <v>11</v>
      </c>
      <c r="BY2" s="8">
        <v>12</v>
      </c>
      <c r="BZ2" s="8">
        <v>13</v>
      </c>
      <c r="CA2" s="8">
        <v>14</v>
      </c>
      <c r="CB2" s="8">
        <v>15</v>
      </c>
      <c r="CC2" s="8">
        <v>16</v>
      </c>
      <c r="CD2" s="8">
        <v>17</v>
      </c>
      <c r="CE2" s="8">
        <v>18</v>
      </c>
      <c r="CF2" s="7">
        <v>19</v>
      </c>
      <c r="CG2" s="8">
        <v>20</v>
      </c>
      <c r="CH2" s="8">
        <v>21</v>
      </c>
      <c r="CI2" s="8">
        <v>22</v>
      </c>
      <c r="CJ2" s="8">
        <v>23</v>
      </c>
      <c r="CK2" s="8">
        <v>24</v>
      </c>
      <c r="CL2" s="8">
        <v>25</v>
      </c>
    </row>
    <row r="3" spans="1:106" ht="15.75" customHeight="1" thickBot="1" x14ac:dyDescent="0.3">
      <c r="A3" s="16"/>
      <c r="B3" s="16"/>
      <c r="C3" s="16"/>
      <c r="D3" s="16"/>
      <c r="E3" s="17"/>
      <c r="F3" s="21"/>
      <c r="G3" s="22"/>
      <c r="H3" s="22"/>
      <c r="I3" s="23"/>
      <c r="J3" s="21"/>
      <c r="K3" s="22"/>
      <c r="L3" s="23"/>
      <c r="M3" s="21"/>
      <c r="N3" s="22"/>
      <c r="O3" s="22"/>
      <c r="P3" s="23"/>
      <c r="Q3" s="21"/>
      <c r="R3" s="22"/>
      <c r="S3" s="23"/>
      <c r="T3" s="11"/>
      <c r="U3" s="7"/>
      <c r="V3" s="8"/>
      <c r="W3" s="9"/>
      <c r="X3" s="6">
        <v>1</v>
      </c>
      <c r="Y3" s="6">
        <v>2</v>
      </c>
      <c r="Z3" s="6">
        <v>3</v>
      </c>
      <c r="AA3" s="6">
        <v>4</v>
      </c>
      <c r="AB3" s="6">
        <v>5</v>
      </c>
      <c r="AC3" s="6">
        <v>6</v>
      </c>
      <c r="AD3" s="6">
        <v>7</v>
      </c>
      <c r="AE3" s="6">
        <v>8</v>
      </c>
      <c r="AF3" s="6">
        <v>9</v>
      </c>
      <c r="AG3" s="6">
        <v>10</v>
      </c>
      <c r="AH3" s="6">
        <v>11</v>
      </c>
      <c r="AI3" s="6">
        <v>12</v>
      </c>
      <c r="AJ3" s="6">
        <v>13</v>
      </c>
      <c r="AK3" s="15">
        <v>14</v>
      </c>
      <c r="AL3" s="6">
        <v>15</v>
      </c>
      <c r="AM3" s="15">
        <v>16</v>
      </c>
      <c r="AN3" s="6">
        <v>17</v>
      </c>
      <c r="AO3" s="6">
        <v>18</v>
      </c>
      <c r="AP3" s="6">
        <v>19</v>
      </c>
      <c r="AQ3" s="6">
        <v>20</v>
      </c>
      <c r="AR3" s="6">
        <v>21</v>
      </c>
      <c r="AS3" s="6">
        <v>22</v>
      </c>
      <c r="AT3" s="6">
        <v>23</v>
      </c>
      <c r="AU3" s="6">
        <v>24</v>
      </c>
      <c r="AV3" s="6">
        <v>25</v>
      </c>
      <c r="AW3" s="6">
        <v>26</v>
      </c>
      <c r="AX3" s="6">
        <v>27</v>
      </c>
      <c r="AY3" s="6">
        <v>28</v>
      </c>
      <c r="AZ3" s="6">
        <v>29</v>
      </c>
      <c r="BA3" s="6">
        <v>30</v>
      </c>
      <c r="BB3" s="6">
        <v>31</v>
      </c>
      <c r="BC3" s="6">
        <v>32</v>
      </c>
      <c r="BD3" s="6">
        <v>33</v>
      </c>
      <c r="BE3" s="6">
        <v>34</v>
      </c>
      <c r="BF3" s="6">
        <v>35</v>
      </c>
      <c r="BG3" s="6">
        <v>36</v>
      </c>
      <c r="BH3" s="6">
        <v>37</v>
      </c>
      <c r="BI3" s="6">
        <v>38</v>
      </c>
      <c r="BJ3" s="6">
        <v>39</v>
      </c>
      <c r="BK3" s="6">
        <v>40</v>
      </c>
      <c r="BL3" s="6"/>
      <c r="BM3" s="6"/>
      <c r="BN3" s="7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9"/>
    </row>
    <row r="4" spans="1:106" ht="241.15" customHeight="1" x14ac:dyDescent="0.25">
      <c r="A4" s="3" t="s">
        <v>378</v>
      </c>
      <c r="B4" s="3" t="s">
        <v>381</v>
      </c>
      <c r="C4" s="3" t="s">
        <v>382</v>
      </c>
      <c r="D4" s="3" t="s">
        <v>383</v>
      </c>
      <c r="E4" s="3" t="s">
        <v>384</v>
      </c>
      <c r="F4" s="12" t="s">
        <v>61</v>
      </c>
      <c r="G4" s="10" t="s">
        <v>33</v>
      </c>
      <c r="H4" s="3" t="s">
        <v>380</v>
      </c>
      <c r="I4" s="3" t="s">
        <v>379</v>
      </c>
      <c r="J4" s="12" t="s">
        <v>61</v>
      </c>
      <c r="K4" s="10" t="s">
        <v>33</v>
      </c>
      <c r="L4" s="3" t="s">
        <v>380</v>
      </c>
      <c r="M4" s="12" t="s">
        <v>61</v>
      </c>
      <c r="N4" s="10" t="s">
        <v>33</v>
      </c>
      <c r="O4" s="3" t="s">
        <v>60</v>
      </c>
      <c r="P4" s="3" t="s">
        <v>48</v>
      </c>
      <c r="Q4" s="12" t="s">
        <v>61</v>
      </c>
      <c r="R4" s="10" t="s">
        <v>33</v>
      </c>
      <c r="S4" s="10" t="s">
        <v>60</v>
      </c>
      <c r="T4" s="12" t="s">
        <v>377</v>
      </c>
      <c r="U4" s="3" t="s">
        <v>373</v>
      </c>
      <c r="V4" s="3" t="s">
        <v>374</v>
      </c>
      <c r="W4" s="13" t="s">
        <v>375</v>
      </c>
      <c r="X4" s="3" t="e" cm="1">
        <f t="array" ref="X4">IF(X$3&lt;&gt;"",INDEX(#REF!,X$3),"")</f>
        <v>#REF!</v>
      </c>
      <c r="Y4" s="3" t="e" cm="1">
        <f t="array" ref="Y4">IF(Y$3&lt;&gt;"",INDEX(#REF!,Y$3),"")</f>
        <v>#REF!</v>
      </c>
      <c r="Z4" s="3" t="e" cm="1">
        <f t="array" ref="Z4">IF(Z$3&lt;&gt;"",INDEX(#REF!,Z$3),"")</f>
        <v>#REF!</v>
      </c>
      <c r="AA4" s="3" t="e" cm="1">
        <f t="array" ref="AA4">IF(AA$3&lt;&gt;"",INDEX(#REF!,AA$3),"")</f>
        <v>#REF!</v>
      </c>
      <c r="AB4" s="3" t="e" cm="1">
        <f t="array" ref="AB4">IF(AB$3&lt;&gt;"",INDEX(#REF!,AB$3),"")</f>
        <v>#REF!</v>
      </c>
      <c r="AC4" s="3" t="e" cm="1">
        <f t="array" ref="AC4">IF(AC$3&lt;&gt;"",INDEX(#REF!,AC$3),"")</f>
        <v>#REF!</v>
      </c>
      <c r="AD4" s="3" t="e" cm="1">
        <f t="array" ref="AD4">IF(AD$3&lt;&gt;"",INDEX(#REF!,AD$3),"")</f>
        <v>#REF!</v>
      </c>
      <c r="AE4" s="3" t="e" cm="1">
        <f t="array" ref="AE4">IF(AE$3&lt;&gt;"",INDEX(#REF!,AE$3),"")</f>
        <v>#REF!</v>
      </c>
      <c r="AF4" s="3" t="e" cm="1">
        <f t="array" ref="AF4">IF(AF$3&lt;&gt;"",INDEX(#REF!,AF$3),"")</f>
        <v>#REF!</v>
      </c>
      <c r="AG4" s="3" t="e" cm="1">
        <f t="array" ref="AG4">IF(AG$3&lt;&gt;"",INDEX(#REF!,AG$3),"")</f>
        <v>#REF!</v>
      </c>
      <c r="AH4" s="3" t="e" cm="1">
        <f t="array" ref="AH4">IF(AH$3&lt;&gt;"",INDEX(#REF!,AH$3),"")</f>
        <v>#REF!</v>
      </c>
      <c r="AI4" s="3" t="e" cm="1">
        <f t="array" ref="AI4">IF(AI$3&lt;&gt;"",INDEX(#REF!,AI$3),"")</f>
        <v>#REF!</v>
      </c>
      <c r="AJ4" s="3" t="e" cm="1">
        <f t="array" ref="AJ4">IF(AJ$3&lt;&gt;"",INDEX(#REF!,AJ$3),"")</f>
        <v>#REF!</v>
      </c>
      <c r="AK4" s="3" t="e" cm="1">
        <f t="array" ref="AK4">IF(AK$3&lt;&gt;"",INDEX(#REF!,AK$3),"")</f>
        <v>#REF!</v>
      </c>
      <c r="AL4" s="3" t="e" cm="1">
        <f t="array" ref="AL4">IF(AL$3&lt;&gt;"",INDEX(#REF!,AL$3),"")</f>
        <v>#REF!</v>
      </c>
      <c r="AM4" s="3" t="e" cm="1">
        <f t="array" ref="AM4">IF(AM$3&lt;&gt;"",INDEX(#REF!,AM$3),"")</f>
        <v>#REF!</v>
      </c>
      <c r="AN4" s="3" t="e" cm="1">
        <f t="array" ref="AN4">IF(AN$3&lt;&gt;"",INDEX(#REF!,AN$3),"")</f>
        <v>#REF!</v>
      </c>
      <c r="AO4" s="3" t="e" cm="1">
        <f t="array" ref="AO4">IF(AO$3&lt;&gt;"",INDEX(#REF!,AO$3),"")</f>
        <v>#REF!</v>
      </c>
      <c r="AP4" s="3" t="e" cm="1">
        <f t="array" ref="AP4">IF(AP$3&lt;&gt;"",INDEX(#REF!,AP$3),"")</f>
        <v>#REF!</v>
      </c>
      <c r="AQ4" s="3" t="e" cm="1">
        <f t="array" ref="AQ4">IF(AQ$3&lt;&gt;"",INDEX(#REF!,AQ$3),"")</f>
        <v>#REF!</v>
      </c>
      <c r="AR4" s="3" t="e" cm="1">
        <f t="array" ref="AR4">IF(AR$3&lt;&gt;"",INDEX(#REF!,AR$3),"")</f>
        <v>#REF!</v>
      </c>
      <c r="AS4" s="3" t="e" cm="1">
        <f t="array" ref="AS4">IF(AS$3&lt;&gt;"",INDEX(#REF!,AS$3),"")</f>
        <v>#REF!</v>
      </c>
      <c r="AT4" s="3" t="e" cm="1">
        <f t="array" ref="AT4">IF(AT$3&lt;&gt;"",INDEX(#REF!,AT$3),"")</f>
        <v>#REF!</v>
      </c>
      <c r="AU4" s="3" t="e" cm="1">
        <f t="array" ref="AU4">IF(AU$3&lt;&gt;"",INDEX(#REF!,AU$3),"")</f>
        <v>#REF!</v>
      </c>
      <c r="AV4" s="3" t="e" cm="1">
        <f t="array" ref="AV4">IF(AV$3&lt;&gt;"",INDEX(#REF!,AV$3),"")</f>
        <v>#REF!</v>
      </c>
      <c r="AW4" s="3" t="e" cm="1">
        <f t="array" ref="AW4">IF(AW$3&lt;&gt;"",INDEX(#REF!,AW$3),"")</f>
        <v>#REF!</v>
      </c>
      <c r="AX4" s="3" t="e" cm="1">
        <f t="array" ref="AX4">IF(AX$3&lt;&gt;"",INDEX(#REF!,AX$3),"")</f>
        <v>#REF!</v>
      </c>
      <c r="AY4" s="3" t="e" cm="1">
        <f t="array" ref="AY4">IF(AY$3&lt;&gt;"",INDEX(#REF!,AY$3),"")</f>
        <v>#REF!</v>
      </c>
      <c r="AZ4" s="3" t="e" cm="1">
        <f t="array" ref="AZ4">IF(AZ$3&lt;&gt;"",INDEX(#REF!,AZ$3),"")</f>
        <v>#REF!</v>
      </c>
      <c r="BA4" s="3" t="e" cm="1">
        <f t="array" ref="BA4">IF(BA$3&lt;&gt;"",INDEX(#REF!,BA$3),"")</f>
        <v>#REF!</v>
      </c>
      <c r="BB4" s="3" t="e" cm="1">
        <f t="array" ref="BB4">IF(BB$3&lt;&gt;"",INDEX(#REF!,BB$3),"")</f>
        <v>#REF!</v>
      </c>
      <c r="BC4" s="3" t="e" cm="1">
        <f t="array" ref="BC4">IF(BC$3&lt;&gt;"",INDEX(#REF!,BC$3),"")</f>
        <v>#REF!</v>
      </c>
      <c r="BD4" s="3" t="e" cm="1">
        <f t="array" ref="BD4">IF(BD$3&lt;&gt;"",INDEX(#REF!,BD$3),"")</f>
        <v>#REF!</v>
      </c>
      <c r="BE4" s="3" t="e" cm="1">
        <f t="array" ref="BE4">IF(BE$3&lt;&gt;"",INDEX(#REF!,BE$3),"")</f>
        <v>#REF!</v>
      </c>
      <c r="BF4" s="3" t="e" cm="1">
        <f t="array" ref="BF4">IF(BF$3&lt;&gt;"",INDEX(#REF!,BF$3),"")</f>
        <v>#REF!</v>
      </c>
      <c r="BG4" s="3" t="e" cm="1">
        <f t="array" ref="BG4">IF(BG$3&lt;&gt;"",INDEX(#REF!,BG$3),"")</f>
        <v>#REF!</v>
      </c>
      <c r="BH4" s="3" t="e" cm="1">
        <f t="array" ref="BH4">IF(BH$3&lt;&gt;"",INDEX(#REF!,BH$3),"")</f>
        <v>#REF!</v>
      </c>
      <c r="BI4" s="3" t="e" cm="1">
        <f t="array" ref="BI4">IF(BI$3&lt;&gt;"",INDEX(#REF!,BI$3),"")</f>
        <v>#REF!</v>
      </c>
      <c r="BJ4" s="3" t="e" cm="1">
        <f t="array" ref="BJ4">IF(BJ$3&lt;&gt;"",INDEX(#REF!,BJ$3),"")</f>
        <v>#REF!</v>
      </c>
      <c r="BK4" s="3" t="e" cm="1">
        <f t="array" ref="BK4">IF(BK$3&lt;&gt;"",INDEX(#REF!,BK$3),"")</f>
        <v>#REF!</v>
      </c>
      <c r="BL4" s="3" t="s">
        <v>385</v>
      </c>
      <c r="BM4" s="4" t="s">
        <v>376</v>
      </c>
      <c r="BN4" s="5" t="e" cm="1">
        <f t="array" ref="BN4">IF(BN2&lt;&gt;"",INDEX(#REF!,BN2),"")</f>
        <v>#REF!</v>
      </c>
      <c r="BO4" s="5" t="e" cm="1">
        <f t="array" ref="BO4">IF(BO2&lt;&gt;"",INDEX(#REF!,BO2),"")</f>
        <v>#REF!</v>
      </c>
      <c r="BP4" s="5" t="e" cm="1">
        <f t="array" ref="BP4">IF(BP2&lt;&gt;"",INDEX(#REF!,BP2),"")</f>
        <v>#REF!</v>
      </c>
      <c r="BQ4" s="5" t="e" cm="1">
        <f t="array" ref="BQ4">IF(BQ2&lt;&gt;"",INDEX(#REF!,BQ2),"")</f>
        <v>#REF!</v>
      </c>
      <c r="BR4" s="5" t="e" cm="1">
        <f t="array" ref="BR4">IF(BR2&lt;&gt;"",INDEX(#REF!,BR2),"")</f>
        <v>#REF!</v>
      </c>
      <c r="BS4" s="5" t="e" cm="1">
        <f t="array" ref="BS4">IF(BS2&lt;&gt;"",INDEX(#REF!,BS2),"")</f>
        <v>#REF!</v>
      </c>
      <c r="BT4" s="5" t="e" cm="1">
        <f t="array" ref="BT4">IF(BT2&lt;&gt;"",INDEX(#REF!,BT2),"")</f>
        <v>#REF!</v>
      </c>
      <c r="BU4" s="5" t="e" cm="1">
        <f t="array" ref="BU4">IF(BU2&lt;&gt;"",INDEX(#REF!,BU2),"")</f>
        <v>#REF!</v>
      </c>
      <c r="BV4" s="5" t="e" cm="1">
        <f t="array" ref="BV4">IF(BV2&lt;&gt;"",INDEX(#REF!,BV2),"")</f>
        <v>#REF!</v>
      </c>
      <c r="BW4" s="5" t="e" cm="1">
        <f t="array" ref="BW4">IF(BW2&lt;&gt;"",INDEX(#REF!,BW2),"")</f>
        <v>#REF!</v>
      </c>
      <c r="BX4" s="5" t="e" cm="1">
        <f t="array" ref="BX4">IF(BX2&lt;&gt;"",INDEX(#REF!,BX2),"")</f>
        <v>#REF!</v>
      </c>
      <c r="BY4" s="5" t="e" cm="1">
        <f t="array" ref="BY4">IF(BY2&lt;&gt;"",INDEX(#REF!,BY2),"")</f>
        <v>#REF!</v>
      </c>
      <c r="BZ4" s="5" t="e" cm="1">
        <f t="array" ref="BZ4">IF(BZ2&lt;&gt;"",INDEX(#REF!,BZ2),"")</f>
        <v>#REF!</v>
      </c>
      <c r="CA4" s="5" t="e" cm="1">
        <f t="array" ref="CA4">IF(CA2&lt;&gt;"",INDEX(#REF!,CA2),"")</f>
        <v>#REF!</v>
      </c>
      <c r="CB4" s="5" t="e" cm="1">
        <f t="array" ref="CB4">IF(CB2&lt;&gt;"",INDEX(#REF!,CB2),"")</f>
        <v>#REF!</v>
      </c>
      <c r="CC4" s="5" t="e" cm="1">
        <f t="array" ref="CC4">IF(CC2&lt;&gt;"",INDEX(#REF!,CC2),"")</f>
        <v>#REF!</v>
      </c>
      <c r="CD4" s="5" t="e" cm="1">
        <f t="array" ref="CD4">IF(CD2&lt;&gt;"",INDEX(#REF!,CD2),"")</f>
        <v>#REF!</v>
      </c>
      <c r="CE4" s="5" t="e" cm="1">
        <f t="array" ref="CE4">IF(CE2&lt;&gt;"",INDEX(#REF!,CE2),"")</f>
        <v>#REF!</v>
      </c>
      <c r="CF4" s="5" t="e" cm="1">
        <f t="array" ref="CF4">IF(CF2&lt;&gt;"",INDEX(#REF!,CF2),"")</f>
        <v>#REF!</v>
      </c>
      <c r="CG4" s="5" t="e" cm="1">
        <f t="array" ref="CG4">IF(CG2&lt;&gt;"",INDEX(#REF!,CG2),"")</f>
        <v>#REF!</v>
      </c>
      <c r="CH4" s="5" t="e" cm="1">
        <f t="array" ref="CH4">IF(CH2&lt;&gt;"",INDEX(#REF!,CH2),"")</f>
        <v>#REF!</v>
      </c>
      <c r="CI4" s="5" t="e" cm="1">
        <f t="array" ref="CI4">IF(CI2&lt;&gt;"",INDEX(#REF!,CI2),"")</f>
        <v>#REF!</v>
      </c>
      <c r="CJ4" s="5" t="e" cm="1">
        <f t="array" ref="CJ4">IF(CJ2&lt;&gt;"",INDEX(#REF!,CJ2),"")</f>
        <v>#REF!</v>
      </c>
      <c r="CK4" s="5" t="e" cm="1">
        <f t="array" ref="CK4">IF(CK2&lt;&gt;"",INDEX(#REF!,CK2),"")</f>
        <v>#REF!</v>
      </c>
      <c r="CL4" s="5" t="e" cm="1">
        <f t="array" ref="CL4">IF(CL2&lt;&gt;"",INDEX(#REF!,CL2),"")</f>
        <v>#REF!</v>
      </c>
    </row>
    <row r="5" spans="1:106" x14ac:dyDescent="0.25">
      <c r="A5" t="s">
        <v>493</v>
      </c>
      <c r="B5" t="s">
        <v>426</v>
      </c>
      <c r="C5" t="s">
        <v>425</v>
      </c>
      <c r="D5">
        <v>2</v>
      </c>
      <c r="F5">
        <v>5</v>
      </c>
      <c r="G5" t="s">
        <v>390</v>
      </c>
      <c r="H5">
        <v>1450</v>
      </c>
      <c r="I5" t="s">
        <v>494</v>
      </c>
      <c r="J5">
        <v>5</v>
      </c>
      <c r="K5" t="s">
        <v>390</v>
      </c>
      <c r="L5" t="s">
        <v>495</v>
      </c>
      <c r="M5">
        <v>5</v>
      </c>
      <c r="N5" t="s">
        <v>390</v>
      </c>
      <c r="O5" t="s">
        <v>495</v>
      </c>
      <c r="P5" t="s">
        <v>496</v>
      </c>
      <c r="Q5">
        <v>5</v>
      </c>
      <c r="R5" t="s">
        <v>390</v>
      </c>
      <c r="S5" t="s">
        <v>495</v>
      </c>
      <c r="T5" t="s">
        <v>390</v>
      </c>
      <c r="U5">
        <v>39.999999999999993</v>
      </c>
      <c r="V5">
        <v>68.214375042633989</v>
      </c>
      <c r="W5">
        <v>146.19791666666669</v>
      </c>
      <c r="X5">
        <v>25.78</v>
      </c>
      <c r="Y5">
        <v>4.2699999999999996</v>
      </c>
      <c r="Z5">
        <v>0.76</v>
      </c>
      <c r="AA5">
        <v>1.64</v>
      </c>
      <c r="AB5">
        <v>0.23</v>
      </c>
      <c r="AC5">
        <v>1.0900000000000001</v>
      </c>
      <c r="AD5">
        <v>0.17</v>
      </c>
      <c r="AE5">
        <v>6.35</v>
      </c>
      <c r="AF5">
        <v>1.42</v>
      </c>
      <c r="AG5">
        <v>0.5</v>
      </c>
      <c r="AH5">
        <v>7.0000000000000007E-2</v>
      </c>
      <c r="AI5">
        <v>0.41</v>
      </c>
      <c r="AJ5">
        <v>22.95</v>
      </c>
      <c r="AK5">
        <v>0.1</v>
      </c>
      <c r="AL5">
        <v>0.63</v>
      </c>
      <c r="AM5">
        <v>1.94</v>
      </c>
      <c r="AN5">
        <v>0.21</v>
      </c>
      <c r="AO5">
        <v>3.35</v>
      </c>
      <c r="AP5">
        <v>0.05</v>
      </c>
      <c r="AQ5">
        <v>0.03</v>
      </c>
      <c r="AR5">
        <v>0.32</v>
      </c>
      <c r="AS5">
        <v>0.69</v>
      </c>
      <c r="AT5">
        <v>0.91</v>
      </c>
      <c r="AU5">
        <v>0.04</v>
      </c>
      <c r="AV5">
        <v>2.78</v>
      </c>
      <c r="AW5">
        <v>5.01</v>
      </c>
      <c r="AX5">
        <v>0.32</v>
      </c>
      <c r="AY5">
        <v>0.5</v>
      </c>
      <c r="AZ5">
        <v>1.1000000000000001</v>
      </c>
      <c r="BA5">
        <v>0.01</v>
      </c>
      <c r="BB5">
        <v>0.1</v>
      </c>
      <c r="BC5">
        <v>0.21</v>
      </c>
      <c r="BD5">
        <v>6.28</v>
      </c>
      <c r="BE5">
        <v>0.15</v>
      </c>
      <c r="BF5">
        <v>0.05</v>
      </c>
      <c r="BG5">
        <v>0.44</v>
      </c>
      <c r="BH5">
        <v>47.36</v>
      </c>
      <c r="BI5">
        <v>1.43</v>
      </c>
      <c r="BJ5">
        <v>0.1</v>
      </c>
      <c r="BK5">
        <v>0.1</v>
      </c>
      <c r="BM5">
        <v>5.1546391752577324E-2</v>
      </c>
      <c r="BN5">
        <v>40.03</v>
      </c>
      <c r="BO5">
        <v>245.21</v>
      </c>
      <c r="BP5">
        <v>0.56999999999999995</v>
      </c>
      <c r="BQ5">
        <v>0.91</v>
      </c>
      <c r="BR5">
        <v>30</v>
      </c>
      <c r="BS5">
        <v>1.79</v>
      </c>
      <c r="BT5">
        <v>2.52</v>
      </c>
      <c r="BU5">
        <v>46.47</v>
      </c>
      <c r="BV5">
        <v>0.15</v>
      </c>
      <c r="BW5">
        <v>0.1</v>
      </c>
      <c r="BX5">
        <v>0.18</v>
      </c>
      <c r="BY5">
        <v>18.97</v>
      </c>
      <c r="BZ5">
        <v>43.62</v>
      </c>
      <c r="CA5">
        <v>59.55</v>
      </c>
      <c r="CB5">
        <v>2.6</v>
      </c>
      <c r="CC5">
        <v>0.44</v>
      </c>
      <c r="CD5">
        <v>0.05</v>
      </c>
      <c r="CE5">
        <v>7.0000000000000007E-2</v>
      </c>
      <c r="CF5">
        <v>0.25</v>
      </c>
      <c r="CG5">
        <v>0.06</v>
      </c>
      <c r="CH5">
        <v>0.03</v>
      </c>
      <c r="CI5">
        <v>0.32</v>
      </c>
      <c r="CJ5">
        <v>2.67</v>
      </c>
      <c r="CK5">
        <v>15.24</v>
      </c>
      <c r="CL5">
        <v>0.09</v>
      </c>
      <c r="CZ5" t="e">
        <v>#VALUE!</v>
      </c>
      <c r="DA5" t="e">
        <v>#VALUE!</v>
      </c>
      <c r="DB5">
        <v>46104</v>
      </c>
    </row>
    <row r="6" spans="1:106" x14ac:dyDescent="0.25">
      <c r="A6" t="s">
        <v>493</v>
      </c>
      <c r="B6" t="s">
        <v>428</v>
      </c>
      <c r="C6" t="s">
        <v>427</v>
      </c>
      <c r="D6">
        <v>3</v>
      </c>
      <c r="F6">
        <v>53</v>
      </c>
      <c r="G6" t="s">
        <v>391</v>
      </c>
      <c r="H6">
        <v>1451</v>
      </c>
      <c r="I6" t="s">
        <v>494</v>
      </c>
      <c r="J6">
        <v>53</v>
      </c>
      <c r="K6" t="s">
        <v>391</v>
      </c>
      <c r="L6" t="s">
        <v>497</v>
      </c>
      <c r="M6">
        <v>38</v>
      </c>
      <c r="N6" t="s">
        <v>391</v>
      </c>
      <c r="O6" t="s">
        <v>497</v>
      </c>
      <c r="P6" t="s">
        <v>496</v>
      </c>
      <c r="Q6">
        <v>38</v>
      </c>
      <c r="R6" t="s">
        <v>391</v>
      </c>
      <c r="S6" t="s">
        <v>497</v>
      </c>
      <c r="T6" t="s">
        <v>391</v>
      </c>
      <c r="U6">
        <v>77.85714285714289</v>
      </c>
      <c r="V6">
        <v>37.966410574187705</v>
      </c>
      <c r="W6">
        <v>129.60937499999997</v>
      </c>
      <c r="X6">
        <v>13.38</v>
      </c>
      <c r="Y6">
        <v>4.3099999999999996</v>
      </c>
      <c r="Z6">
        <v>0.37</v>
      </c>
      <c r="AA6">
        <v>1.44</v>
      </c>
      <c r="AB6">
        <v>0.1</v>
      </c>
      <c r="AC6">
        <v>1.61</v>
      </c>
      <c r="AD6">
        <v>0.09</v>
      </c>
      <c r="AE6">
        <v>14.82</v>
      </c>
      <c r="AF6">
        <v>2.38</v>
      </c>
      <c r="AG6">
        <v>0.37</v>
      </c>
      <c r="AH6">
        <v>1.44</v>
      </c>
      <c r="AI6">
        <v>0.57999999999999996</v>
      </c>
      <c r="AJ6">
        <v>2.23</v>
      </c>
      <c r="AK6">
        <v>0.1</v>
      </c>
      <c r="AL6">
        <v>1.05</v>
      </c>
      <c r="AM6">
        <v>1.69</v>
      </c>
      <c r="AN6">
        <v>0.53</v>
      </c>
      <c r="AO6">
        <v>5.81</v>
      </c>
      <c r="AP6">
        <v>0.03</v>
      </c>
      <c r="AQ6">
        <v>0.91</v>
      </c>
      <c r="AR6">
        <v>0.65</v>
      </c>
      <c r="AS6">
        <v>1.23</v>
      </c>
      <c r="AT6">
        <v>0.73</v>
      </c>
      <c r="AU6">
        <v>0.02</v>
      </c>
      <c r="AV6">
        <v>6.56</v>
      </c>
      <c r="AW6">
        <v>1.77</v>
      </c>
      <c r="AX6">
        <v>0.95</v>
      </c>
      <c r="AY6">
        <v>1.17</v>
      </c>
      <c r="AZ6">
        <v>0.45</v>
      </c>
      <c r="BA6">
        <v>0.02</v>
      </c>
      <c r="BB6">
        <v>0.21</v>
      </c>
      <c r="BC6">
        <v>0.33</v>
      </c>
      <c r="BD6">
        <v>0.84</v>
      </c>
      <c r="BE6">
        <v>0.08</v>
      </c>
      <c r="BF6">
        <v>0.01</v>
      </c>
      <c r="BG6">
        <v>0.14000000000000001</v>
      </c>
      <c r="BH6">
        <v>72.5</v>
      </c>
      <c r="BI6">
        <v>7.48</v>
      </c>
      <c r="BJ6">
        <v>0.78</v>
      </c>
      <c r="BK6">
        <v>0</v>
      </c>
      <c r="BM6">
        <v>5.9171597633136098E-2</v>
      </c>
      <c r="BN6">
        <v>20.329999999999998</v>
      </c>
      <c r="BO6">
        <v>202.45</v>
      </c>
      <c r="BP6">
        <v>0.4</v>
      </c>
      <c r="BQ6">
        <v>0.79</v>
      </c>
      <c r="BR6">
        <v>29.47</v>
      </c>
      <c r="BS6">
        <v>2.11</v>
      </c>
      <c r="BT6">
        <v>4.09</v>
      </c>
      <c r="BU6">
        <v>33.270000000000003</v>
      </c>
      <c r="BV6">
        <v>0.15</v>
      </c>
      <c r="BW6">
        <v>2.5</v>
      </c>
      <c r="BX6">
        <v>0.56000000000000005</v>
      </c>
      <c r="BY6">
        <v>34.75</v>
      </c>
      <c r="BZ6">
        <v>28.93</v>
      </c>
      <c r="CA6">
        <v>13.96</v>
      </c>
      <c r="CB6">
        <v>3.85</v>
      </c>
      <c r="CC6">
        <v>0.97</v>
      </c>
      <c r="CD6">
        <v>0.12</v>
      </c>
      <c r="CE6">
        <v>0.04</v>
      </c>
      <c r="CF6">
        <v>0.1</v>
      </c>
      <c r="CG6">
        <v>0.26</v>
      </c>
      <c r="CH6">
        <v>0.1</v>
      </c>
      <c r="CI6">
        <v>0.51</v>
      </c>
      <c r="CJ6">
        <v>3.56</v>
      </c>
      <c r="CK6">
        <v>68.900000000000006</v>
      </c>
      <c r="CL6">
        <v>1.3</v>
      </c>
      <c r="CZ6" t="e">
        <v>#VALUE!</v>
      </c>
      <c r="DA6" t="e">
        <v>#VALUE!</v>
      </c>
      <c r="DB6">
        <v>46104</v>
      </c>
    </row>
    <row r="7" spans="1:106" x14ac:dyDescent="0.25">
      <c r="A7" t="s">
        <v>498</v>
      </c>
      <c r="B7" t="s">
        <v>430</v>
      </c>
      <c r="C7" t="s">
        <v>429</v>
      </c>
      <c r="D7">
        <v>2</v>
      </c>
      <c r="F7">
        <v>101</v>
      </c>
      <c r="G7" t="s">
        <v>392</v>
      </c>
      <c r="H7">
        <v>1459</v>
      </c>
      <c r="I7" t="s">
        <v>494</v>
      </c>
      <c r="J7">
        <v>101</v>
      </c>
      <c r="K7" t="s">
        <v>392</v>
      </c>
      <c r="L7" t="s">
        <v>499</v>
      </c>
      <c r="M7">
        <v>71</v>
      </c>
      <c r="N7" t="s">
        <v>392</v>
      </c>
      <c r="O7" t="s">
        <v>499</v>
      </c>
      <c r="P7" t="s">
        <v>496</v>
      </c>
      <c r="Q7">
        <v>71</v>
      </c>
      <c r="R7" t="s">
        <v>392</v>
      </c>
      <c r="S7" t="s">
        <v>499</v>
      </c>
      <c r="T7" t="s">
        <v>500</v>
      </c>
      <c r="U7">
        <v>35.172413793103459</v>
      </c>
      <c r="V7">
        <v>107.74601722420395</v>
      </c>
      <c r="W7">
        <v>50.3125</v>
      </c>
      <c r="X7">
        <v>0.1</v>
      </c>
      <c r="Y7">
        <v>4.5199999999999996</v>
      </c>
      <c r="Z7">
        <v>0.59</v>
      </c>
      <c r="AA7">
        <v>1.56</v>
      </c>
      <c r="AB7">
        <v>0.12</v>
      </c>
      <c r="AC7">
        <v>1.54</v>
      </c>
      <c r="AD7">
        <v>0.34</v>
      </c>
      <c r="AE7">
        <v>19.3</v>
      </c>
      <c r="AF7">
        <v>2.6</v>
      </c>
      <c r="AG7">
        <v>0.5</v>
      </c>
      <c r="AH7">
        <v>0.1</v>
      </c>
      <c r="AI7">
        <v>0.15</v>
      </c>
      <c r="AJ7">
        <v>0.1</v>
      </c>
      <c r="AK7">
        <v>0.1</v>
      </c>
      <c r="AL7">
        <v>0.1</v>
      </c>
      <c r="AM7">
        <v>1.94</v>
      </c>
      <c r="AN7">
        <v>0.66</v>
      </c>
      <c r="AO7">
        <v>5.0999999999999996</v>
      </c>
      <c r="AP7">
        <v>0.01</v>
      </c>
      <c r="AQ7">
        <v>0.1</v>
      </c>
      <c r="AR7">
        <v>0.34</v>
      </c>
      <c r="AS7">
        <v>0.2</v>
      </c>
      <c r="AT7">
        <v>0.49</v>
      </c>
      <c r="AU7">
        <v>0.04</v>
      </c>
      <c r="AV7">
        <v>1.97</v>
      </c>
      <c r="AW7">
        <v>4.28</v>
      </c>
      <c r="AX7">
        <v>0.39</v>
      </c>
      <c r="AY7">
        <v>0.66</v>
      </c>
      <c r="AZ7">
        <v>1.1100000000000001</v>
      </c>
      <c r="BA7">
        <v>0.01</v>
      </c>
      <c r="BB7">
        <v>1.9</v>
      </c>
      <c r="BC7">
        <v>0.15</v>
      </c>
      <c r="BD7">
        <v>1.32</v>
      </c>
      <c r="BE7">
        <v>0.13</v>
      </c>
      <c r="BF7">
        <v>0.06</v>
      </c>
      <c r="BG7">
        <v>0.66</v>
      </c>
      <c r="BH7">
        <v>61.49</v>
      </c>
      <c r="BI7">
        <v>2.99</v>
      </c>
      <c r="BJ7">
        <v>0.1</v>
      </c>
      <c r="BK7">
        <v>0.1</v>
      </c>
      <c r="BM7">
        <v>5.1546391752577324E-2</v>
      </c>
      <c r="BN7">
        <v>45.23</v>
      </c>
      <c r="BO7">
        <v>268.11</v>
      </c>
      <c r="BP7">
        <v>0.67</v>
      </c>
      <c r="BQ7">
        <v>1</v>
      </c>
      <c r="BR7">
        <v>32.22</v>
      </c>
      <c r="BS7">
        <v>1.91</v>
      </c>
      <c r="BT7">
        <v>1.2</v>
      </c>
      <c r="BU7">
        <v>32.65</v>
      </c>
      <c r="BV7">
        <v>0.32</v>
      </c>
      <c r="BW7">
        <v>0.1</v>
      </c>
      <c r="BX7">
        <v>0.21</v>
      </c>
      <c r="BY7">
        <v>12.93</v>
      </c>
      <c r="BZ7">
        <v>42.46</v>
      </c>
      <c r="CA7">
        <v>8.92</v>
      </c>
      <c r="CB7">
        <v>1.85</v>
      </c>
      <c r="CC7">
        <v>0.51</v>
      </c>
      <c r="CD7">
        <v>0.08</v>
      </c>
      <c r="CE7">
        <v>0.23</v>
      </c>
      <c r="CF7">
        <v>3.82</v>
      </c>
      <c r="CG7">
        <v>0.22</v>
      </c>
      <c r="CH7">
        <v>0.06</v>
      </c>
      <c r="CI7">
        <v>24.68</v>
      </c>
      <c r="CJ7">
        <v>2.9</v>
      </c>
      <c r="CK7">
        <v>16.23</v>
      </c>
      <c r="CL7">
        <v>0.27</v>
      </c>
      <c r="CZ7" t="e">
        <v>#VALUE!</v>
      </c>
      <c r="DA7" t="e">
        <v>#VALUE!</v>
      </c>
      <c r="DB7">
        <v>46105</v>
      </c>
    </row>
    <row r="8" spans="1:106" x14ac:dyDescent="0.25">
      <c r="A8" t="s">
        <v>498</v>
      </c>
      <c r="B8" t="s">
        <v>432</v>
      </c>
      <c r="C8" t="s">
        <v>431</v>
      </c>
      <c r="D8">
        <v>2</v>
      </c>
      <c r="F8">
        <v>149</v>
      </c>
      <c r="G8" t="s">
        <v>393</v>
      </c>
      <c r="H8">
        <v>1460</v>
      </c>
      <c r="I8" t="s">
        <v>494</v>
      </c>
      <c r="J8">
        <v>149</v>
      </c>
      <c r="K8" t="s">
        <v>393</v>
      </c>
      <c r="L8" t="s">
        <v>501</v>
      </c>
      <c r="M8">
        <v>104</v>
      </c>
      <c r="N8" t="s">
        <v>393</v>
      </c>
      <c r="O8" t="s">
        <v>501</v>
      </c>
      <c r="P8" t="s">
        <v>496</v>
      </c>
      <c r="Q8">
        <v>104</v>
      </c>
      <c r="R8" t="s">
        <v>393</v>
      </c>
      <c r="S8" t="s">
        <v>501</v>
      </c>
      <c r="T8" t="s">
        <v>502</v>
      </c>
      <c r="U8">
        <v>92.41379310344827</v>
      </c>
      <c r="V8">
        <v>40.39269533774543</v>
      </c>
      <c r="W8">
        <v>62.708333333333329</v>
      </c>
      <c r="X8">
        <v>5.27</v>
      </c>
      <c r="Y8">
        <v>5.21</v>
      </c>
      <c r="Z8">
        <v>0.4</v>
      </c>
      <c r="AA8">
        <v>1.89</v>
      </c>
      <c r="AB8">
        <v>0.02</v>
      </c>
      <c r="AC8">
        <v>2.75</v>
      </c>
      <c r="AD8">
        <v>0.02</v>
      </c>
      <c r="AE8">
        <v>17.350000000000001</v>
      </c>
      <c r="AF8">
        <v>3.77</v>
      </c>
      <c r="AG8">
        <v>0.55000000000000004</v>
      </c>
      <c r="AH8">
        <v>1.28</v>
      </c>
      <c r="AI8">
        <v>0.86</v>
      </c>
      <c r="AJ8">
        <v>116.13</v>
      </c>
      <c r="AK8">
        <v>0.1</v>
      </c>
      <c r="AL8">
        <v>1.4</v>
      </c>
      <c r="AM8">
        <v>1.27</v>
      </c>
      <c r="AN8">
        <v>1.56</v>
      </c>
      <c r="AO8">
        <v>7.14</v>
      </c>
      <c r="AP8">
        <v>0.13</v>
      </c>
      <c r="AQ8">
        <v>1.9</v>
      </c>
      <c r="AR8">
        <v>0.39</v>
      </c>
      <c r="AS8">
        <v>1.46</v>
      </c>
      <c r="AT8">
        <v>0.51</v>
      </c>
      <c r="AU8">
        <v>0.02</v>
      </c>
      <c r="AV8">
        <v>5.82</v>
      </c>
      <c r="AW8">
        <v>2.12</v>
      </c>
      <c r="AX8">
        <v>2.46</v>
      </c>
      <c r="AY8">
        <v>0.53</v>
      </c>
      <c r="AZ8">
        <v>0.4</v>
      </c>
      <c r="BA8">
        <v>0</v>
      </c>
      <c r="BB8">
        <v>0.01</v>
      </c>
      <c r="BC8">
        <v>0.2</v>
      </c>
      <c r="BD8">
        <v>0.69</v>
      </c>
      <c r="BE8">
        <v>0.06</v>
      </c>
      <c r="BF8">
        <v>0</v>
      </c>
      <c r="BG8">
        <v>0.28999999999999998</v>
      </c>
      <c r="BH8">
        <v>63.83</v>
      </c>
      <c r="BI8">
        <v>2.0299999999999998</v>
      </c>
      <c r="BJ8">
        <v>0.1</v>
      </c>
      <c r="BK8">
        <v>0.1</v>
      </c>
      <c r="BM8">
        <v>7.874015748031496E-2</v>
      </c>
      <c r="BN8">
        <v>19.39</v>
      </c>
      <c r="BO8">
        <v>603.74</v>
      </c>
      <c r="BP8">
        <v>0.39</v>
      </c>
      <c r="BQ8">
        <v>1.06</v>
      </c>
      <c r="BR8">
        <v>26.8</v>
      </c>
      <c r="BS8">
        <v>3.79</v>
      </c>
      <c r="BT8">
        <v>3.04</v>
      </c>
      <c r="BU8">
        <v>11.3</v>
      </c>
      <c r="BV8">
        <v>0.18</v>
      </c>
      <c r="BW8">
        <v>9.8000000000000007</v>
      </c>
      <c r="BX8">
        <v>0.18</v>
      </c>
      <c r="BY8">
        <v>35.94</v>
      </c>
      <c r="BZ8">
        <v>24.24</v>
      </c>
      <c r="CA8">
        <v>16.600000000000001</v>
      </c>
      <c r="CB8">
        <v>2.79</v>
      </c>
      <c r="CC8">
        <v>0.59</v>
      </c>
      <c r="CD8">
        <v>0.08</v>
      </c>
      <c r="CE8">
        <v>0.06</v>
      </c>
      <c r="CF8">
        <v>1.18</v>
      </c>
      <c r="CG8">
        <v>0.15</v>
      </c>
      <c r="CH8">
        <v>0.1</v>
      </c>
      <c r="CI8">
        <v>2.08</v>
      </c>
      <c r="CJ8">
        <v>2.6</v>
      </c>
      <c r="CK8">
        <v>8.5399999999999991</v>
      </c>
      <c r="CL8">
        <v>0.13</v>
      </c>
      <c r="CZ8" t="e">
        <v>#VALUE!</v>
      </c>
      <c r="DA8" t="e">
        <v>#VALUE!</v>
      </c>
      <c r="DB8">
        <v>46105</v>
      </c>
    </row>
    <row r="9" spans="1:106" x14ac:dyDescent="0.25">
      <c r="A9" t="s">
        <v>498</v>
      </c>
      <c r="B9" t="s">
        <v>434</v>
      </c>
      <c r="C9" t="s">
        <v>433</v>
      </c>
      <c r="D9">
        <v>1</v>
      </c>
      <c r="F9">
        <v>197</v>
      </c>
      <c r="G9" t="s">
        <v>394</v>
      </c>
      <c r="H9">
        <v>1461</v>
      </c>
      <c r="I9" t="s">
        <v>494</v>
      </c>
      <c r="J9">
        <v>197</v>
      </c>
      <c r="K9" t="s">
        <v>394</v>
      </c>
      <c r="L9" t="s">
        <v>503</v>
      </c>
      <c r="M9">
        <v>137</v>
      </c>
      <c r="N9" t="s">
        <v>394</v>
      </c>
      <c r="O9" t="s">
        <v>503</v>
      </c>
      <c r="P9" t="s">
        <v>496</v>
      </c>
      <c r="Q9">
        <v>137</v>
      </c>
      <c r="R9" t="s">
        <v>394</v>
      </c>
      <c r="S9" t="s">
        <v>503</v>
      </c>
      <c r="T9" t="s">
        <v>504</v>
      </c>
      <c r="U9">
        <v>119.79310344827583</v>
      </c>
      <c r="V9">
        <v>28.788098211717383</v>
      </c>
      <c r="W9">
        <v>143.46354166666666</v>
      </c>
      <c r="X9">
        <v>3.23</v>
      </c>
      <c r="Y9">
        <v>19.25</v>
      </c>
      <c r="Z9">
        <v>0.46</v>
      </c>
      <c r="AA9">
        <v>1.08</v>
      </c>
      <c r="AB9">
        <v>51.11</v>
      </c>
      <c r="AC9">
        <v>1.66</v>
      </c>
      <c r="AD9">
        <v>0</v>
      </c>
      <c r="AE9">
        <v>12.61</v>
      </c>
      <c r="AF9">
        <v>1.9</v>
      </c>
      <c r="AG9">
        <v>0.27</v>
      </c>
      <c r="AH9">
        <v>0.79</v>
      </c>
      <c r="AI9">
        <v>0.27</v>
      </c>
      <c r="AJ9">
        <v>20.98</v>
      </c>
      <c r="AK9">
        <v>0.1</v>
      </c>
      <c r="AL9">
        <v>0.68</v>
      </c>
      <c r="AM9">
        <v>0.94</v>
      </c>
      <c r="AN9">
        <v>0.16</v>
      </c>
      <c r="AO9">
        <v>14.39</v>
      </c>
      <c r="AP9">
        <v>0.06</v>
      </c>
      <c r="AQ9">
        <v>0.86</v>
      </c>
      <c r="AR9">
        <v>0.75</v>
      </c>
      <c r="AS9">
        <v>0.47</v>
      </c>
      <c r="AT9">
        <v>0.11</v>
      </c>
      <c r="AU9">
        <v>0.25</v>
      </c>
      <c r="AV9">
        <v>3.12</v>
      </c>
      <c r="AW9">
        <v>1.64</v>
      </c>
      <c r="AX9">
        <v>0.6</v>
      </c>
      <c r="AY9">
        <v>0.59</v>
      </c>
      <c r="AZ9">
        <v>0.27</v>
      </c>
      <c r="BA9">
        <v>0.04</v>
      </c>
      <c r="BB9">
        <v>0.21</v>
      </c>
      <c r="BC9">
        <v>0.16</v>
      </c>
      <c r="BD9">
        <v>0.41</v>
      </c>
      <c r="BE9">
        <v>0.13</v>
      </c>
      <c r="BF9">
        <v>0.01</v>
      </c>
      <c r="BG9">
        <v>0.18</v>
      </c>
      <c r="BH9">
        <v>38.729999999999997</v>
      </c>
      <c r="BI9">
        <v>1.88</v>
      </c>
      <c r="BJ9">
        <v>0.17</v>
      </c>
      <c r="BK9">
        <v>0.02</v>
      </c>
      <c r="BM9">
        <v>0.10638297872340427</v>
      </c>
      <c r="BN9">
        <v>13.27</v>
      </c>
      <c r="BO9">
        <v>131.27000000000001</v>
      </c>
      <c r="BP9">
        <v>0.25</v>
      </c>
      <c r="BQ9">
        <v>0.36</v>
      </c>
      <c r="BR9">
        <v>17.84</v>
      </c>
      <c r="BS9">
        <v>1.43</v>
      </c>
      <c r="BT9">
        <v>0.23</v>
      </c>
      <c r="BU9">
        <v>19.059999999999999</v>
      </c>
      <c r="BV9">
        <v>0.08</v>
      </c>
      <c r="BW9">
        <v>2.16</v>
      </c>
      <c r="BX9">
        <v>0.1</v>
      </c>
      <c r="BY9">
        <v>24.21</v>
      </c>
      <c r="BZ9">
        <v>13.72</v>
      </c>
      <c r="CA9">
        <v>6.72</v>
      </c>
      <c r="CB9">
        <v>0.89</v>
      </c>
      <c r="CC9">
        <v>0.42</v>
      </c>
      <c r="CD9">
        <v>0.01</v>
      </c>
      <c r="CE9">
        <v>0.05</v>
      </c>
      <c r="CF9">
        <v>0.32</v>
      </c>
      <c r="CG9">
        <v>0.26</v>
      </c>
      <c r="CH9">
        <v>0.05</v>
      </c>
      <c r="CI9">
        <v>4.6500000000000004</v>
      </c>
      <c r="CJ9">
        <v>1.41</v>
      </c>
      <c r="CK9">
        <v>11.54</v>
      </c>
      <c r="CL9">
        <v>7.0000000000000007E-2</v>
      </c>
      <c r="CZ9" t="e">
        <v>#VALUE!</v>
      </c>
      <c r="DA9" t="e">
        <v>#VALUE!</v>
      </c>
      <c r="DB9">
        <v>46105</v>
      </c>
    </row>
    <row r="10" spans="1:106" x14ac:dyDescent="0.25">
      <c r="A10" t="s">
        <v>498</v>
      </c>
      <c r="B10" t="s">
        <v>436</v>
      </c>
      <c r="C10" t="s">
        <v>435</v>
      </c>
      <c r="D10">
        <v>2</v>
      </c>
      <c r="F10">
        <v>293</v>
      </c>
      <c r="G10" t="s">
        <v>395</v>
      </c>
      <c r="H10">
        <v>1464</v>
      </c>
      <c r="I10" t="s">
        <v>494</v>
      </c>
      <c r="J10">
        <v>293</v>
      </c>
      <c r="K10" t="s">
        <v>395</v>
      </c>
      <c r="L10" t="s">
        <v>505</v>
      </c>
      <c r="M10">
        <v>203</v>
      </c>
      <c r="N10" t="s">
        <v>395</v>
      </c>
      <c r="O10" t="s">
        <v>505</v>
      </c>
      <c r="P10" t="s">
        <v>496</v>
      </c>
      <c r="Q10">
        <v>203</v>
      </c>
      <c r="R10" t="s">
        <v>395</v>
      </c>
      <c r="S10" t="s">
        <v>505</v>
      </c>
      <c r="T10" t="s">
        <v>506</v>
      </c>
      <c r="U10">
        <v>136.89655172413794</v>
      </c>
      <c r="V10">
        <v>29.343827159397822</v>
      </c>
      <c r="W10">
        <v>152.03125</v>
      </c>
      <c r="X10">
        <v>5.74</v>
      </c>
      <c r="Y10">
        <v>6.18</v>
      </c>
      <c r="Z10">
        <v>0.25</v>
      </c>
      <c r="AA10">
        <v>2.4300000000000002</v>
      </c>
      <c r="AB10">
        <v>1.64</v>
      </c>
      <c r="AC10">
        <v>1.64</v>
      </c>
      <c r="AD10">
        <v>0.09</v>
      </c>
      <c r="AE10">
        <v>12.62</v>
      </c>
      <c r="AF10">
        <v>0.99</v>
      </c>
      <c r="AG10">
        <v>0.25</v>
      </c>
      <c r="AH10">
        <v>0.96</v>
      </c>
      <c r="AI10">
        <v>0.52</v>
      </c>
      <c r="AJ10">
        <v>91.9</v>
      </c>
      <c r="AK10">
        <v>0.1</v>
      </c>
      <c r="AL10">
        <v>0.62</v>
      </c>
      <c r="AM10">
        <v>0.87</v>
      </c>
      <c r="AN10">
        <v>1.25</v>
      </c>
      <c r="AO10">
        <v>5.39</v>
      </c>
      <c r="AP10">
        <v>0.06</v>
      </c>
      <c r="AQ10">
        <v>2.19</v>
      </c>
      <c r="AR10">
        <v>0.88</v>
      </c>
      <c r="AS10">
        <v>1.1000000000000001</v>
      </c>
      <c r="AT10">
        <v>0.26</v>
      </c>
      <c r="AU10">
        <v>0.02</v>
      </c>
      <c r="AV10">
        <v>2.69</v>
      </c>
      <c r="AW10">
        <v>1.48</v>
      </c>
      <c r="AX10">
        <v>0.61</v>
      </c>
      <c r="AY10">
        <v>0.77</v>
      </c>
      <c r="AZ10">
        <v>0.49</v>
      </c>
      <c r="BA10">
        <v>0.02</v>
      </c>
      <c r="BB10">
        <v>0.1</v>
      </c>
      <c r="BC10">
        <v>0.14000000000000001</v>
      </c>
      <c r="BD10">
        <v>0.66</v>
      </c>
      <c r="BE10">
        <v>0.05</v>
      </c>
      <c r="BF10">
        <v>0.02</v>
      </c>
      <c r="BG10">
        <v>0.21</v>
      </c>
      <c r="BH10">
        <v>35.78</v>
      </c>
      <c r="BI10">
        <v>1.96</v>
      </c>
      <c r="BJ10">
        <v>0.1</v>
      </c>
      <c r="BK10">
        <v>0.01</v>
      </c>
      <c r="BM10">
        <v>0.1149425287356322</v>
      </c>
      <c r="BN10">
        <v>11.59</v>
      </c>
      <c r="BO10">
        <v>264.42</v>
      </c>
      <c r="BP10">
        <v>0.26</v>
      </c>
      <c r="BQ10">
        <v>0.66</v>
      </c>
      <c r="BR10">
        <v>19.14</v>
      </c>
      <c r="BS10">
        <v>0.84</v>
      </c>
      <c r="BT10">
        <v>2.66</v>
      </c>
      <c r="BU10">
        <v>7.65</v>
      </c>
      <c r="BV10">
        <v>0.09</v>
      </c>
      <c r="BW10">
        <v>0.83</v>
      </c>
      <c r="BX10">
        <v>0.21</v>
      </c>
      <c r="BY10">
        <v>31.78</v>
      </c>
      <c r="BZ10">
        <v>18.13</v>
      </c>
      <c r="CA10">
        <v>10.33</v>
      </c>
      <c r="CB10">
        <v>3.08</v>
      </c>
      <c r="CC10">
        <v>0.48</v>
      </c>
      <c r="CD10">
        <v>0.05</v>
      </c>
      <c r="CE10">
        <v>0.04</v>
      </c>
      <c r="CF10">
        <v>0.45</v>
      </c>
      <c r="CG10">
        <v>0.08</v>
      </c>
      <c r="CH10">
        <v>0.08</v>
      </c>
      <c r="CI10">
        <v>11.83</v>
      </c>
      <c r="CJ10">
        <v>1.38</v>
      </c>
      <c r="CK10">
        <v>9.1</v>
      </c>
      <c r="CL10">
        <v>0.08</v>
      </c>
      <c r="CZ10" t="e">
        <v>#VALUE!</v>
      </c>
      <c r="DA10" t="e">
        <v>#VALUE!</v>
      </c>
      <c r="DB10">
        <v>46105</v>
      </c>
    </row>
    <row r="11" spans="1:106" x14ac:dyDescent="0.25">
      <c r="A11" t="s">
        <v>498</v>
      </c>
      <c r="B11" t="s">
        <v>438</v>
      </c>
      <c r="C11" t="s">
        <v>437</v>
      </c>
      <c r="D11">
        <v>2</v>
      </c>
      <c r="F11">
        <v>341</v>
      </c>
      <c r="G11" t="s">
        <v>396</v>
      </c>
      <c r="H11">
        <v>1465</v>
      </c>
      <c r="I11" t="s">
        <v>494</v>
      </c>
      <c r="J11">
        <v>341</v>
      </c>
      <c r="K11" t="s">
        <v>396</v>
      </c>
      <c r="L11" t="s">
        <v>507</v>
      </c>
      <c r="M11">
        <v>236</v>
      </c>
      <c r="N11" t="s">
        <v>396</v>
      </c>
      <c r="O11" t="s">
        <v>507</v>
      </c>
      <c r="P11" t="s">
        <v>496</v>
      </c>
      <c r="Q11">
        <v>236</v>
      </c>
      <c r="R11" t="s">
        <v>396</v>
      </c>
      <c r="S11" t="s">
        <v>507</v>
      </c>
      <c r="T11" t="s">
        <v>508</v>
      </c>
      <c r="U11">
        <v>32.758620689655181</v>
      </c>
      <c r="V11">
        <v>80.979638208506984</v>
      </c>
      <c r="W11">
        <v>162.78645833333334</v>
      </c>
      <c r="X11">
        <v>0.1</v>
      </c>
      <c r="Y11">
        <v>4.3899999999999997</v>
      </c>
      <c r="Z11">
        <v>0.72</v>
      </c>
      <c r="AA11">
        <v>3.09</v>
      </c>
      <c r="AB11">
        <v>0.1</v>
      </c>
      <c r="AC11">
        <v>3.73</v>
      </c>
      <c r="AD11">
        <v>0.01</v>
      </c>
      <c r="AE11">
        <v>18.61</v>
      </c>
      <c r="AF11">
        <v>1.37</v>
      </c>
      <c r="AG11">
        <v>0.57999999999999996</v>
      </c>
      <c r="AH11">
        <v>0.03</v>
      </c>
      <c r="AI11">
        <v>0.15</v>
      </c>
      <c r="AJ11">
        <v>155.11000000000001</v>
      </c>
      <c r="AK11">
        <v>0.1</v>
      </c>
      <c r="AL11">
        <v>0.41</v>
      </c>
      <c r="AM11">
        <v>2</v>
      </c>
      <c r="AN11">
        <v>0.1</v>
      </c>
      <c r="AO11">
        <v>5.13</v>
      </c>
      <c r="AP11">
        <v>0.1</v>
      </c>
      <c r="AQ11">
        <v>0.1</v>
      </c>
      <c r="AR11">
        <v>0.46</v>
      </c>
      <c r="AS11">
        <v>0.23</v>
      </c>
      <c r="AT11">
        <v>0.34</v>
      </c>
      <c r="AU11">
        <v>0.05</v>
      </c>
      <c r="AV11">
        <v>7.01</v>
      </c>
      <c r="AW11">
        <v>3.39</v>
      </c>
      <c r="AX11">
        <v>0.49</v>
      </c>
      <c r="AY11">
        <v>1.1499999999999999</v>
      </c>
      <c r="AZ11">
        <v>1.22</v>
      </c>
      <c r="BA11">
        <v>0.1</v>
      </c>
      <c r="BB11">
        <v>0.1</v>
      </c>
      <c r="BC11">
        <v>0.31</v>
      </c>
      <c r="BD11">
        <v>0.59</v>
      </c>
      <c r="BE11">
        <v>0.18</v>
      </c>
      <c r="BF11">
        <v>0.04</v>
      </c>
      <c r="BG11">
        <v>0.32</v>
      </c>
      <c r="BH11">
        <v>59.98</v>
      </c>
      <c r="BI11">
        <v>3.32</v>
      </c>
      <c r="BJ11">
        <v>0.1</v>
      </c>
      <c r="BK11">
        <v>0.1</v>
      </c>
      <c r="BM11">
        <v>0.05</v>
      </c>
      <c r="BN11">
        <v>48.33</v>
      </c>
      <c r="BO11">
        <v>302.52999999999997</v>
      </c>
      <c r="BP11">
        <v>0.66</v>
      </c>
      <c r="BQ11">
        <v>1.04</v>
      </c>
      <c r="BR11">
        <v>37.270000000000003</v>
      </c>
      <c r="BS11">
        <v>2.3199999999999998</v>
      </c>
      <c r="BT11">
        <v>2.38</v>
      </c>
      <c r="BU11">
        <v>31.86</v>
      </c>
      <c r="BV11">
        <v>0.14000000000000001</v>
      </c>
      <c r="BW11">
        <v>0.15</v>
      </c>
      <c r="BX11">
        <v>0.46</v>
      </c>
      <c r="BY11">
        <v>25.99</v>
      </c>
      <c r="BZ11">
        <v>57.48</v>
      </c>
      <c r="CA11">
        <v>15.25</v>
      </c>
      <c r="CB11">
        <v>3.72</v>
      </c>
      <c r="CC11">
        <v>1.1499999999999999</v>
      </c>
      <c r="CD11">
        <v>0.09</v>
      </c>
      <c r="CE11">
        <v>0.12</v>
      </c>
      <c r="CF11">
        <v>2.2799999999999998</v>
      </c>
      <c r="CG11">
        <v>0.04</v>
      </c>
      <c r="CH11">
        <v>0.1</v>
      </c>
      <c r="CI11">
        <v>26.19</v>
      </c>
      <c r="CJ11">
        <v>3.2</v>
      </c>
      <c r="CK11">
        <v>39.36</v>
      </c>
      <c r="CL11">
        <v>0.27</v>
      </c>
      <c r="CZ11" t="e">
        <v>#VALUE!</v>
      </c>
      <c r="DA11">
        <v>2</v>
      </c>
      <c r="DB11">
        <v>46105</v>
      </c>
    </row>
    <row r="12" spans="1:106" x14ac:dyDescent="0.25">
      <c r="A12" t="s">
        <v>498</v>
      </c>
      <c r="B12" t="s">
        <v>440</v>
      </c>
      <c r="C12" t="s">
        <v>439</v>
      </c>
      <c r="D12">
        <v>2</v>
      </c>
      <c r="F12">
        <v>389</v>
      </c>
      <c r="G12" t="s">
        <v>397</v>
      </c>
      <c r="H12">
        <v>1480</v>
      </c>
      <c r="I12" t="s">
        <v>494</v>
      </c>
      <c r="J12">
        <v>389</v>
      </c>
      <c r="K12" t="s">
        <v>397</v>
      </c>
      <c r="L12" t="s">
        <v>509</v>
      </c>
      <c r="M12">
        <v>269</v>
      </c>
      <c r="N12" t="s">
        <v>397</v>
      </c>
      <c r="O12" t="s">
        <v>509</v>
      </c>
      <c r="P12" t="s">
        <v>496</v>
      </c>
      <c r="Q12">
        <v>269</v>
      </c>
      <c r="R12" t="s">
        <v>397</v>
      </c>
      <c r="S12" t="s">
        <v>509</v>
      </c>
      <c r="T12" t="s">
        <v>510</v>
      </c>
      <c r="U12">
        <v>97.24137931034484</v>
      </c>
      <c r="V12">
        <v>23.383178206103846</v>
      </c>
      <c r="W12">
        <v>76.927083333333329</v>
      </c>
      <c r="X12">
        <v>5</v>
      </c>
      <c r="Y12">
        <v>5.46</v>
      </c>
      <c r="Z12">
        <v>0.28000000000000003</v>
      </c>
      <c r="AA12">
        <v>1.21</v>
      </c>
      <c r="AB12">
        <v>0.54</v>
      </c>
      <c r="AC12">
        <v>1.36</v>
      </c>
      <c r="AD12">
        <v>0.05</v>
      </c>
      <c r="AE12">
        <v>25.76</v>
      </c>
      <c r="AF12">
        <v>1.05</v>
      </c>
      <c r="AG12">
        <v>0.3</v>
      </c>
      <c r="AH12">
        <v>0.62</v>
      </c>
      <c r="AI12">
        <v>0.44</v>
      </c>
      <c r="AJ12">
        <v>12.39</v>
      </c>
      <c r="AK12">
        <v>0.1</v>
      </c>
      <c r="AL12">
        <v>1.44</v>
      </c>
      <c r="AM12">
        <v>0.89</v>
      </c>
      <c r="AN12">
        <v>0.35</v>
      </c>
      <c r="AO12">
        <v>3.51</v>
      </c>
      <c r="AP12">
        <v>0.02</v>
      </c>
      <c r="AQ12">
        <v>0.25</v>
      </c>
      <c r="AR12">
        <v>0.31</v>
      </c>
      <c r="AS12">
        <v>0.64</v>
      </c>
      <c r="AT12">
        <v>0.2</v>
      </c>
      <c r="AU12">
        <v>0.02</v>
      </c>
      <c r="AV12">
        <v>1.98</v>
      </c>
      <c r="AW12">
        <v>3.42</v>
      </c>
      <c r="AX12">
        <v>1.6</v>
      </c>
      <c r="AY12">
        <v>0.82</v>
      </c>
      <c r="AZ12">
        <v>0.49</v>
      </c>
      <c r="BA12">
        <v>0.1</v>
      </c>
      <c r="BB12">
        <v>0.1</v>
      </c>
      <c r="BC12">
        <v>0.09</v>
      </c>
      <c r="BD12">
        <v>0.87</v>
      </c>
      <c r="BE12">
        <v>0.05</v>
      </c>
      <c r="BF12">
        <v>0.02</v>
      </c>
      <c r="BG12">
        <v>0.13</v>
      </c>
      <c r="BH12">
        <v>48.17</v>
      </c>
      <c r="BI12">
        <v>3.2</v>
      </c>
      <c r="BJ12">
        <v>0.1</v>
      </c>
      <c r="BK12">
        <v>0.1</v>
      </c>
      <c r="BM12">
        <v>0.11235955056179776</v>
      </c>
      <c r="BN12">
        <v>16.32</v>
      </c>
      <c r="BO12">
        <v>166.4</v>
      </c>
      <c r="BP12">
        <v>0.34</v>
      </c>
      <c r="BQ12">
        <v>0.48</v>
      </c>
      <c r="BR12">
        <v>16.95</v>
      </c>
      <c r="BS12">
        <v>1.48</v>
      </c>
      <c r="BT12">
        <v>2.16</v>
      </c>
      <c r="BU12">
        <v>10.74</v>
      </c>
      <c r="BV12">
        <v>0.09</v>
      </c>
      <c r="BW12">
        <v>4.25</v>
      </c>
      <c r="BX12">
        <v>0.5</v>
      </c>
      <c r="BY12">
        <v>19.95</v>
      </c>
      <c r="BZ12">
        <v>19.079999999999998</v>
      </c>
      <c r="CA12">
        <v>11.46</v>
      </c>
      <c r="CB12">
        <v>1.72</v>
      </c>
      <c r="CC12">
        <v>0.43</v>
      </c>
      <c r="CD12">
        <v>0.04</v>
      </c>
      <c r="CE12">
        <v>0.04</v>
      </c>
      <c r="CF12">
        <v>0.1</v>
      </c>
      <c r="CG12">
        <v>0.1</v>
      </c>
      <c r="CH12">
        <v>7.0000000000000007E-2</v>
      </c>
      <c r="CI12">
        <v>6.36</v>
      </c>
      <c r="CJ12">
        <v>1.43</v>
      </c>
      <c r="CK12">
        <v>12.02</v>
      </c>
      <c r="CL12">
        <v>0.19</v>
      </c>
      <c r="CZ12" t="e">
        <v>#VALUE!</v>
      </c>
      <c r="DA12" t="e">
        <v>#VALUE!</v>
      </c>
      <c r="DB12">
        <v>46105</v>
      </c>
    </row>
    <row r="13" spans="1:106" x14ac:dyDescent="0.25">
      <c r="A13" t="s">
        <v>498</v>
      </c>
      <c r="B13" t="s">
        <v>442</v>
      </c>
      <c r="C13" t="s">
        <v>441</v>
      </c>
      <c r="D13">
        <v>2</v>
      </c>
      <c r="F13">
        <v>437</v>
      </c>
      <c r="G13" t="s">
        <v>398</v>
      </c>
      <c r="H13">
        <v>1482</v>
      </c>
      <c r="I13" t="s">
        <v>494</v>
      </c>
      <c r="J13">
        <v>437</v>
      </c>
      <c r="K13" t="s">
        <v>398</v>
      </c>
      <c r="L13" t="s">
        <v>511</v>
      </c>
      <c r="M13">
        <v>302</v>
      </c>
      <c r="N13" t="s">
        <v>398</v>
      </c>
      <c r="O13" t="s">
        <v>511</v>
      </c>
      <c r="P13" t="s">
        <v>496</v>
      </c>
      <c r="Q13">
        <v>302</v>
      </c>
      <c r="R13" t="s">
        <v>398</v>
      </c>
      <c r="S13" t="s">
        <v>511</v>
      </c>
      <c r="T13" t="s">
        <v>398</v>
      </c>
      <c r="U13">
        <v>68.620689655172427</v>
      </c>
      <c r="V13">
        <v>80.630838618233454</v>
      </c>
      <c r="W13">
        <v>36.458333333333336</v>
      </c>
      <c r="X13">
        <v>5.71</v>
      </c>
      <c r="Y13">
        <v>161.79</v>
      </c>
      <c r="Z13">
        <v>0.71</v>
      </c>
      <c r="AA13">
        <v>1.49</v>
      </c>
      <c r="AB13">
        <v>14.62</v>
      </c>
      <c r="AC13">
        <v>4.8499999999999996</v>
      </c>
      <c r="AD13">
        <v>7.0000000000000007E-2</v>
      </c>
      <c r="AE13">
        <v>6.89</v>
      </c>
      <c r="AF13">
        <v>5.25</v>
      </c>
      <c r="AG13">
        <v>0.59</v>
      </c>
      <c r="AH13">
        <v>4.9800000000000004</v>
      </c>
      <c r="AI13">
        <v>0.45</v>
      </c>
      <c r="AJ13">
        <v>16.53</v>
      </c>
      <c r="AK13">
        <v>0.1</v>
      </c>
      <c r="AL13">
        <v>0.31</v>
      </c>
      <c r="AM13">
        <v>1.75</v>
      </c>
      <c r="AN13">
        <v>5.22</v>
      </c>
      <c r="AO13">
        <v>27.67</v>
      </c>
      <c r="AP13">
        <v>0.08</v>
      </c>
      <c r="AQ13">
        <v>5.28</v>
      </c>
      <c r="AR13">
        <v>1.08</v>
      </c>
      <c r="AS13">
        <v>0.88</v>
      </c>
      <c r="AT13">
        <v>0.44</v>
      </c>
      <c r="AU13">
        <v>0.71</v>
      </c>
      <c r="AV13">
        <v>12.66</v>
      </c>
      <c r="AW13">
        <v>3.13</v>
      </c>
      <c r="AX13">
        <v>0.28999999999999998</v>
      </c>
      <c r="AY13">
        <v>0.5</v>
      </c>
      <c r="AZ13">
        <v>0.57999999999999996</v>
      </c>
      <c r="BA13">
        <v>0.32</v>
      </c>
      <c r="BB13">
        <v>1.68</v>
      </c>
      <c r="BC13">
        <v>0.25</v>
      </c>
      <c r="BD13">
        <v>23.96</v>
      </c>
      <c r="BE13">
        <v>0.33</v>
      </c>
      <c r="BF13">
        <v>0.05</v>
      </c>
      <c r="BG13">
        <v>1.1499999999999999</v>
      </c>
      <c r="BH13">
        <v>52.59</v>
      </c>
      <c r="BI13">
        <v>2.42</v>
      </c>
      <c r="BJ13">
        <v>0.1</v>
      </c>
      <c r="BK13">
        <v>0.09</v>
      </c>
      <c r="BM13">
        <v>5.7142857142857148E-2</v>
      </c>
      <c r="BN13">
        <v>23.22</v>
      </c>
      <c r="BO13">
        <v>329.88</v>
      </c>
      <c r="BP13">
        <v>0.56000000000000005</v>
      </c>
      <c r="BQ13">
        <v>2.2000000000000002</v>
      </c>
      <c r="BR13">
        <v>30.41</v>
      </c>
      <c r="BS13">
        <v>3.26</v>
      </c>
      <c r="BT13">
        <v>9.7799999999999994</v>
      </c>
      <c r="BU13">
        <v>15.19</v>
      </c>
      <c r="BV13">
        <v>0.28000000000000003</v>
      </c>
      <c r="BW13">
        <v>0.01</v>
      </c>
      <c r="BX13">
        <v>0.86</v>
      </c>
      <c r="BY13">
        <v>34.18</v>
      </c>
      <c r="BZ13">
        <v>26.27</v>
      </c>
      <c r="CA13">
        <v>52.61</v>
      </c>
      <c r="CB13">
        <v>8.67</v>
      </c>
      <c r="CC13">
        <v>0.46</v>
      </c>
      <c r="CD13">
        <v>0.17</v>
      </c>
      <c r="CE13">
        <v>0.08</v>
      </c>
      <c r="CF13">
        <v>2.31</v>
      </c>
      <c r="CG13">
        <v>0.55000000000000004</v>
      </c>
      <c r="CH13">
        <v>0.11</v>
      </c>
      <c r="CI13">
        <v>3.85</v>
      </c>
      <c r="CJ13">
        <v>2.89</v>
      </c>
      <c r="CK13">
        <v>0.1</v>
      </c>
      <c r="CL13">
        <v>0.01</v>
      </c>
      <c r="CZ13" t="e">
        <v>#VALUE!</v>
      </c>
      <c r="DA13" t="e">
        <v>#VALUE!</v>
      </c>
      <c r="DB13">
        <v>46105</v>
      </c>
    </row>
    <row r="14" spans="1:106" x14ac:dyDescent="0.25">
      <c r="A14" t="s">
        <v>498</v>
      </c>
      <c r="B14" t="s">
        <v>444</v>
      </c>
      <c r="C14" t="s">
        <v>443</v>
      </c>
      <c r="D14">
        <v>2</v>
      </c>
      <c r="F14">
        <v>485</v>
      </c>
      <c r="G14" t="s">
        <v>399</v>
      </c>
      <c r="H14">
        <v>1486</v>
      </c>
      <c r="I14" t="s">
        <v>494</v>
      </c>
      <c r="J14">
        <v>485</v>
      </c>
      <c r="K14" t="s">
        <v>399</v>
      </c>
      <c r="L14" t="s">
        <v>512</v>
      </c>
      <c r="M14">
        <v>335</v>
      </c>
      <c r="N14" t="s">
        <v>399</v>
      </c>
      <c r="O14" t="s">
        <v>512</v>
      </c>
      <c r="P14" t="s">
        <v>496</v>
      </c>
      <c r="Q14">
        <v>335</v>
      </c>
      <c r="R14" t="s">
        <v>399</v>
      </c>
      <c r="S14" t="s">
        <v>512</v>
      </c>
      <c r="T14" t="s">
        <v>513</v>
      </c>
      <c r="U14">
        <v>84.827586206896541</v>
      </c>
      <c r="V14">
        <v>35.293390520025852</v>
      </c>
      <c r="W14">
        <v>122.68229166666667</v>
      </c>
      <c r="X14">
        <v>9.86</v>
      </c>
      <c r="Y14">
        <v>8.32</v>
      </c>
      <c r="Z14">
        <v>0.39</v>
      </c>
      <c r="AA14">
        <v>1.71</v>
      </c>
      <c r="AB14">
        <v>0.1</v>
      </c>
      <c r="AC14">
        <v>2.4900000000000002</v>
      </c>
      <c r="AD14">
        <v>0.06</v>
      </c>
      <c r="AE14">
        <v>23.47</v>
      </c>
      <c r="AF14">
        <v>1.68</v>
      </c>
      <c r="AG14">
        <v>0.41</v>
      </c>
      <c r="AH14">
        <v>1.1200000000000001</v>
      </c>
      <c r="AI14">
        <v>0.64</v>
      </c>
      <c r="AJ14">
        <v>53.9</v>
      </c>
      <c r="AK14">
        <v>0.1</v>
      </c>
      <c r="AL14">
        <v>0.87</v>
      </c>
      <c r="AM14">
        <v>1.18</v>
      </c>
      <c r="AN14">
        <v>2.65</v>
      </c>
      <c r="AO14">
        <v>17.559999999999999</v>
      </c>
      <c r="AP14">
        <v>0.09</v>
      </c>
      <c r="AQ14">
        <v>2.69</v>
      </c>
      <c r="AR14">
        <v>0.53</v>
      </c>
      <c r="AS14">
        <v>1.41</v>
      </c>
      <c r="AT14">
        <v>0.52</v>
      </c>
      <c r="AU14">
        <v>0.04</v>
      </c>
      <c r="AV14">
        <v>6.37</v>
      </c>
      <c r="AW14">
        <v>2.8</v>
      </c>
      <c r="AX14">
        <v>0.16</v>
      </c>
      <c r="AY14">
        <v>0.25</v>
      </c>
      <c r="AZ14">
        <v>0.8</v>
      </c>
      <c r="BA14">
        <v>0.02</v>
      </c>
      <c r="BB14">
        <v>0.1</v>
      </c>
      <c r="BC14">
        <v>0.12</v>
      </c>
      <c r="BD14">
        <v>1.1000000000000001</v>
      </c>
      <c r="BE14">
        <v>0.11</v>
      </c>
      <c r="BF14">
        <v>0.03</v>
      </c>
      <c r="BG14">
        <v>1.64</v>
      </c>
      <c r="BH14">
        <v>48.26</v>
      </c>
      <c r="BI14">
        <v>4.43</v>
      </c>
      <c r="BJ14">
        <v>0.85</v>
      </c>
      <c r="BK14">
        <v>0.1</v>
      </c>
      <c r="BM14">
        <v>8.4745762711864417E-2</v>
      </c>
      <c r="BN14">
        <v>19.21</v>
      </c>
      <c r="BO14">
        <v>752.18</v>
      </c>
      <c r="BP14">
        <v>0.48</v>
      </c>
      <c r="BQ14">
        <v>1.1599999999999999</v>
      </c>
      <c r="BR14">
        <v>29.01</v>
      </c>
      <c r="BS14">
        <v>6.33</v>
      </c>
      <c r="BT14">
        <v>2.97</v>
      </c>
      <c r="BU14">
        <v>12.39</v>
      </c>
      <c r="BV14">
        <v>0.21</v>
      </c>
      <c r="BW14">
        <v>0.1</v>
      </c>
      <c r="BX14">
        <v>0.34</v>
      </c>
      <c r="BY14">
        <v>44.19</v>
      </c>
      <c r="BZ14">
        <v>28.43</v>
      </c>
      <c r="CA14">
        <v>25.68</v>
      </c>
      <c r="CB14">
        <v>4.74</v>
      </c>
      <c r="CC14">
        <v>0.57999999999999996</v>
      </c>
      <c r="CD14">
        <v>0.15</v>
      </c>
      <c r="CE14">
        <v>0.15</v>
      </c>
      <c r="CF14">
        <v>4.5599999999999996</v>
      </c>
      <c r="CG14">
        <v>0.35</v>
      </c>
      <c r="CH14">
        <v>7.0000000000000007E-2</v>
      </c>
      <c r="CI14">
        <v>1.55</v>
      </c>
      <c r="CJ14">
        <v>2.4</v>
      </c>
      <c r="CK14">
        <v>34.08</v>
      </c>
      <c r="CL14">
        <v>0.2</v>
      </c>
      <c r="CZ14" t="e">
        <v>#VALUE!</v>
      </c>
      <c r="DA14" t="e">
        <v>#VALUE!</v>
      </c>
      <c r="DB14">
        <v>46105</v>
      </c>
    </row>
    <row r="15" spans="1:106" x14ac:dyDescent="0.25">
      <c r="A15" t="s">
        <v>498</v>
      </c>
      <c r="B15" t="s">
        <v>446</v>
      </c>
      <c r="C15" t="s">
        <v>445</v>
      </c>
      <c r="D15">
        <v>1</v>
      </c>
      <c r="F15">
        <v>581</v>
      </c>
      <c r="G15" t="s">
        <v>400</v>
      </c>
      <c r="H15">
        <v>1494</v>
      </c>
      <c r="I15" t="s">
        <v>494</v>
      </c>
      <c r="J15">
        <v>581</v>
      </c>
      <c r="K15" t="s">
        <v>400</v>
      </c>
      <c r="L15" t="s">
        <v>514</v>
      </c>
      <c r="M15">
        <v>401</v>
      </c>
      <c r="N15" t="s">
        <v>400</v>
      </c>
      <c r="O15" t="s">
        <v>514</v>
      </c>
      <c r="P15" t="s">
        <v>496</v>
      </c>
      <c r="Q15">
        <v>401</v>
      </c>
      <c r="R15" t="s">
        <v>400</v>
      </c>
      <c r="S15" t="s">
        <v>514</v>
      </c>
      <c r="T15" t="s">
        <v>515</v>
      </c>
      <c r="U15">
        <v>74.137931034482733</v>
      </c>
      <c r="V15">
        <v>51.372298723968171</v>
      </c>
      <c r="W15">
        <v>174.27083333333331</v>
      </c>
      <c r="X15">
        <v>6.31</v>
      </c>
      <c r="Y15">
        <v>2.95</v>
      </c>
      <c r="Z15">
        <v>0.46</v>
      </c>
      <c r="AA15">
        <v>1.64</v>
      </c>
      <c r="AB15">
        <v>7.0000000000000007E-2</v>
      </c>
      <c r="AC15">
        <v>3.15</v>
      </c>
      <c r="AD15">
        <v>0.05</v>
      </c>
      <c r="AE15">
        <v>19.91</v>
      </c>
      <c r="AF15">
        <v>3.45</v>
      </c>
      <c r="AG15">
        <v>0.5</v>
      </c>
      <c r="AH15">
        <v>1.08</v>
      </c>
      <c r="AI15">
        <v>0.39</v>
      </c>
      <c r="AJ15">
        <v>150.51</v>
      </c>
      <c r="AK15">
        <v>0.1</v>
      </c>
      <c r="AL15">
        <v>1.07</v>
      </c>
      <c r="AM15">
        <v>1.5</v>
      </c>
      <c r="AN15">
        <v>0.27</v>
      </c>
      <c r="AO15">
        <v>8.41</v>
      </c>
      <c r="AP15">
        <v>0.08</v>
      </c>
      <c r="AQ15">
        <v>1.18</v>
      </c>
      <c r="AR15">
        <v>0.51</v>
      </c>
      <c r="AS15">
        <v>0.74</v>
      </c>
      <c r="AT15">
        <v>0.51</v>
      </c>
      <c r="AU15">
        <v>0.04</v>
      </c>
      <c r="AV15">
        <v>12.82</v>
      </c>
      <c r="AW15">
        <v>2.16</v>
      </c>
      <c r="AX15">
        <v>1.03</v>
      </c>
      <c r="AY15">
        <v>1.0900000000000001</v>
      </c>
      <c r="AZ15">
        <v>0.64</v>
      </c>
      <c r="BA15">
        <v>0.19</v>
      </c>
      <c r="BB15">
        <v>1.54</v>
      </c>
      <c r="BC15">
        <v>0.34</v>
      </c>
      <c r="BD15">
        <v>1.17</v>
      </c>
      <c r="BE15">
        <v>0.17</v>
      </c>
      <c r="BF15">
        <v>0.15</v>
      </c>
      <c r="BG15">
        <v>2.34</v>
      </c>
      <c r="BH15">
        <v>41.22</v>
      </c>
      <c r="BI15">
        <v>2.78</v>
      </c>
      <c r="BJ15">
        <v>0.56000000000000005</v>
      </c>
      <c r="BK15">
        <v>0.27</v>
      </c>
      <c r="BM15">
        <v>6.6666666666666666E-2</v>
      </c>
      <c r="BN15">
        <v>26.08</v>
      </c>
      <c r="BO15">
        <v>250.96</v>
      </c>
      <c r="BP15">
        <v>0.44</v>
      </c>
      <c r="BQ15">
        <v>0.8</v>
      </c>
      <c r="BR15">
        <v>23.64</v>
      </c>
      <c r="BS15">
        <v>1.92</v>
      </c>
      <c r="BT15">
        <v>1.55</v>
      </c>
      <c r="BU15">
        <v>14.04</v>
      </c>
      <c r="BV15">
        <v>0.18</v>
      </c>
      <c r="BW15">
        <v>3.23</v>
      </c>
      <c r="BX15">
        <v>0.48</v>
      </c>
      <c r="BY15">
        <v>27.43</v>
      </c>
      <c r="BZ15">
        <v>24.95</v>
      </c>
      <c r="CA15">
        <v>13.62</v>
      </c>
      <c r="CB15">
        <v>2.92</v>
      </c>
      <c r="CC15">
        <v>0.85</v>
      </c>
      <c r="CD15">
        <v>0.15</v>
      </c>
      <c r="CE15">
        <v>0.19</v>
      </c>
      <c r="CF15">
        <v>1.52</v>
      </c>
      <c r="CG15">
        <v>0.59</v>
      </c>
      <c r="CH15">
        <v>0.11</v>
      </c>
      <c r="CI15">
        <v>5.34</v>
      </c>
      <c r="CJ15">
        <v>2.4500000000000002</v>
      </c>
      <c r="CK15">
        <v>15.69</v>
      </c>
      <c r="CL15">
        <v>0.39</v>
      </c>
      <c r="CZ15" t="e">
        <v>#VALUE!</v>
      </c>
      <c r="DA15" t="e">
        <v>#VALUE!</v>
      </c>
      <c r="DB15">
        <v>46105</v>
      </c>
    </row>
    <row r="16" spans="1:106" x14ac:dyDescent="0.25">
      <c r="A16" t="s">
        <v>516</v>
      </c>
      <c r="B16" t="s">
        <v>448</v>
      </c>
      <c r="C16" t="s">
        <v>447</v>
      </c>
      <c r="D16">
        <v>2</v>
      </c>
      <c r="F16">
        <v>677</v>
      </c>
      <c r="G16" t="s">
        <v>401</v>
      </c>
      <c r="H16">
        <v>1504</v>
      </c>
      <c r="I16" t="s">
        <v>494</v>
      </c>
      <c r="J16">
        <v>677</v>
      </c>
      <c r="K16" t="s">
        <v>401</v>
      </c>
      <c r="L16" t="s">
        <v>517</v>
      </c>
      <c r="M16">
        <v>467</v>
      </c>
      <c r="N16" t="s">
        <v>401</v>
      </c>
      <c r="O16" t="s">
        <v>517</v>
      </c>
      <c r="P16" t="s">
        <v>496</v>
      </c>
      <c r="Q16">
        <v>467</v>
      </c>
      <c r="R16" t="s">
        <v>401</v>
      </c>
      <c r="S16" t="s">
        <v>517</v>
      </c>
      <c r="T16" t="s">
        <v>518</v>
      </c>
      <c r="U16">
        <v>75.333333333333329</v>
      </c>
      <c r="V16">
        <v>42.759748367432813</v>
      </c>
      <c r="W16">
        <v>78.75</v>
      </c>
      <c r="X16">
        <v>16.239999999999998</v>
      </c>
      <c r="Y16">
        <v>7.13</v>
      </c>
      <c r="Z16">
        <v>0.36</v>
      </c>
      <c r="AA16">
        <v>2.39</v>
      </c>
      <c r="AB16">
        <v>0.02</v>
      </c>
      <c r="AC16">
        <v>6.25</v>
      </c>
      <c r="AD16">
        <v>0.13</v>
      </c>
      <c r="AE16">
        <v>23.33</v>
      </c>
      <c r="AF16">
        <v>1.6</v>
      </c>
      <c r="AG16">
        <v>0.5</v>
      </c>
      <c r="AH16">
        <v>0.72</v>
      </c>
      <c r="AI16">
        <v>0.7</v>
      </c>
      <c r="AJ16">
        <v>110.46</v>
      </c>
      <c r="AK16">
        <v>0.1</v>
      </c>
      <c r="AL16">
        <v>1.93</v>
      </c>
      <c r="AM16">
        <v>1.45</v>
      </c>
      <c r="AN16">
        <v>2.16</v>
      </c>
      <c r="AO16">
        <v>8.1</v>
      </c>
      <c r="AP16">
        <v>0.02</v>
      </c>
      <c r="AQ16">
        <v>1.29</v>
      </c>
      <c r="AR16">
        <v>0.95</v>
      </c>
      <c r="AS16">
        <v>1.46</v>
      </c>
      <c r="AT16">
        <v>0.46</v>
      </c>
      <c r="AU16">
        <v>0.04</v>
      </c>
      <c r="AV16">
        <v>13.08</v>
      </c>
      <c r="AW16">
        <v>2.04</v>
      </c>
      <c r="AX16">
        <v>0.23</v>
      </c>
      <c r="AY16">
        <v>0.79</v>
      </c>
      <c r="AZ16">
        <v>0.92</v>
      </c>
      <c r="BA16">
        <v>0.06</v>
      </c>
      <c r="BB16">
        <v>0.1</v>
      </c>
      <c r="BC16">
        <v>0.22</v>
      </c>
      <c r="BD16">
        <v>4.3</v>
      </c>
      <c r="BE16">
        <v>0.16</v>
      </c>
      <c r="BF16">
        <v>0.04</v>
      </c>
      <c r="BG16">
        <v>0.63</v>
      </c>
      <c r="BH16">
        <v>67.86</v>
      </c>
      <c r="BI16">
        <v>4.9800000000000004</v>
      </c>
      <c r="BJ16">
        <v>0.2</v>
      </c>
      <c r="BK16">
        <v>0.01</v>
      </c>
      <c r="BM16">
        <v>6.8965517241379309E-2</v>
      </c>
      <c r="BN16">
        <v>22.55</v>
      </c>
      <c r="BO16">
        <v>427.11</v>
      </c>
      <c r="BP16">
        <v>0.38</v>
      </c>
      <c r="BQ16">
        <v>1.2</v>
      </c>
      <c r="BR16">
        <v>24.62</v>
      </c>
      <c r="BS16">
        <v>2.14</v>
      </c>
      <c r="BT16">
        <v>2.37</v>
      </c>
      <c r="BU16">
        <v>13.79</v>
      </c>
      <c r="BV16">
        <v>0.14000000000000001</v>
      </c>
      <c r="BW16">
        <v>0.04</v>
      </c>
      <c r="BX16">
        <v>0.25</v>
      </c>
      <c r="BY16">
        <v>33.5</v>
      </c>
      <c r="BZ16">
        <v>29.06</v>
      </c>
      <c r="CA16">
        <v>12.7</v>
      </c>
      <c r="CB16">
        <v>5.89</v>
      </c>
      <c r="CC16">
        <v>0.89</v>
      </c>
      <c r="CD16">
        <v>0.17</v>
      </c>
      <c r="CE16">
        <v>0.08</v>
      </c>
      <c r="CF16">
        <v>0.56000000000000005</v>
      </c>
      <c r="CG16">
        <v>0.35</v>
      </c>
      <c r="CH16">
        <v>0.08</v>
      </c>
      <c r="CI16">
        <v>5.82</v>
      </c>
      <c r="CJ16">
        <v>1.82</v>
      </c>
      <c r="CK16">
        <v>26.08</v>
      </c>
      <c r="CL16">
        <v>0.23</v>
      </c>
      <c r="CZ16" t="e">
        <v>#VALUE!</v>
      </c>
      <c r="DA16" t="e">
        <v>#VALUE!</v>
      </c>
      <c r="DB16">
        <v>46106</v>
      </c>
    </row>
    <row r="17" spans="1:106" x14ac:dyDescent="0.25">
      <c r="A17" t="s">
        <v>516</v>
      </c>
      <c r="B17" t="s">
        <v>450</v>
      </c>
      <c r="C17" t="s">
        <v>449</v>
      </c>
      <c r="D17">
        <v>3</v>
      </c>
      <c r="F17">
        <v>725</v>
      </c>
      <c r="G17" t="s">
        <v>402</v>
      </c>
      <c r="H17">
        <v>1522</v>
      </c>
      <c r="I17" t="s">
        <v>494</v>
      </c>
      <c r="J17">
        <v>725</v>
      </c>
      <c r="K17" t="s">
        <v>402</v>
      </c>
      <c r="L17" t="s">
        <v>519</v>
      </c>
      <c r="M17">
        <v>500</v>
      </c>
      <c r="N17" t="s">
        <v>402</v>
      </c>
      <c r="O17" t="s">
        <v>519</v>
      </c>
      <c r="P17" t="s">
        <v>496</v>
      </c>
      <c r="Q17">
        <v>500</v>
      </c>
      <c r="R17" t="s">
        <v>402</v>
      </c>
      <c r="S17" t="s">
        <v>519</v>
      </c>
      <c r="T17" t="s">
        <v>402</v>
      </c>
      <c r="U17">
        <v>124</v>
      </c>
      <c r="V17">
        <v>75.33532010756845</v>
      </c>
      <c r="W17">
        <v>161.69270833333334</v>
      </c>
      <c r="X17">
        <v>8.6199999999999992</v>
      </c>
      <c r="Y17">
        <v>3.29</v>
      </c>
      <c r="Z17">
        <v>0.24</v>
      </c>
      <c r="AA17">
        <v>1.36</v>
      </c>
      <c r="AB17">
        <v>0.1</v>
      </c>
      <c r="AC17">
        <v>1.64</v>
      </c>
      <c r="AD17">
        <v>0.15</v>
      </c>
      <c r="AE17">
        <v>11.99</v>
      </c>
      <c r="AF17">
        <v>1.06</v>
      </c>
      <c r="AG17">
        <v>0.28000000000000003</v>
      </c>
      <c r="AH17">
        <v>1.87</v>
      </c>
      <c r="AI17">
        <v>0.77</v>
      </c>
      <c r="AJ17">
        <v>208.31</v>
      </c>
      <c r="AK17">
        <v>0.1</v>
      </c>
      <c r="AL17">
        <v>4.16</v>
      </c>
      <c r="AM17">
        <v>1.1000000000000001</v>
      </c>
      <c r="AN17">
        <v>0.93</v>
      </c>
      <c r="AO17">
        <v>8.11</v>
      </c>
      <c r="AP17">
        <v>0.12</v>
      </c>
      <c r="AQ17">
        <v>2.13</v>
      </c>
      <c r="AR17">
        <v>0.72</v>
      </c>
      <c r="AS17">
        <v>1.55</v>
      </c>
      <c r="AT17">
        <v>0.41</v>
      </c>
      <c r="AU17">
        <v>0.02</v>
      </c>
      <c r="AV17">
        <v>3.02</v>
      </c>
      <c r="AW17">
        <v>2.14</v>
      </c>
      <c r="AX17">
        <v>0.17</v>
      </c>
      <c r="AY17">
        <v>0.56000000000000005</v>
      </c>
      <c r="AZ17">
        <v>0.53</v>
      </c>
      <c r="BA17">
        <v>0.02</v>
      </c>
      <c r="BB17">
        <v>0.69</v>
      </c>
      <c r="BC17">
        <v>0.38</v>
      </c>
      <c r="BD17">
        <v>3.32</v>
      </c>
      <c r="BE17">
        <v>7.0000000000000007E-2</v>
      </c>
      <c r="BF17">
        <v>0</v>
      </c>
      <c r="BG17">
        <v>0.17</v>
      </c>
      <c r="BH17">
        <v>31.45</v>
      </c>
      <c r="BI17">
        <v>2.64</v>
      </c>
      <c r="BJ17">
        <v>0.39</v>
      </c>
      <c r="BK17">
        <v>0.1</v>
      </c>
      <c r="BM17">
        <v>9.0909090909090912E-2</v>
      </c>
      <c r="BN17">
        <v>14.37</v>
      </c>
      <c r="BO17">
        <v>162.11000000000001</v>
      </c>
      <c r="BP17">
        <v>0.35</v>
      </c>
      <c r="BQ17">
        <v>0.59</v>
      </c>
      <c r="BR17">
        <v>35.94</v>
      </c>
      <c r="BS17">
        <v>2.68</v>
      </c>
      <c r="BT17">
        <v>3.41</v>
      </c>
      <c r="BU17">
        <v>20.21</v>
      </c>
      <c r="BV17">
        <v>0.11</v>
      </c>
      <c r="BW17">
        <v>0.13</v>
      </c>
      <c r="BX17">
        <v>0.28000000000000003</v>
      </c>
      <c r="BY17">
        <v>55.38</v>
      </c>
      <c r="BZ17">
        <v>24</v>
      </c>
      <c r="CA17">
        <v>11.28</v>
      </c>
      <c r="CB17">
        <v>5.16</v>
      </c>
      <c r="CC17">
        <v>1.31</v>
      </c>
      <c r="CD17">
        <v>0.02</v>
      </c>
      <c r="CE17">
        <v>0.08</v>
      </c>
      <c r="CF17">
        <v>1.07</v>
      </c>
      <c r="CG17">
        <v>0.31</v>
      </c>
      <c r="CH17">
        <v>0.15</v>
      </c>
      <c r="CI17">
        <v>6.61</v>
      </c>
      <c r="CJ17">
        <v>2.85</v>
      </c>
      <c r="CK17">
        <v>27.97</v>
      </c>
      <c r="CL17">
        <v>0.17</v>
      </c>
      <c r="CZ17" t="e">
        <v>#VALUE!</v>
      </c>
      <c r="DA17" t="e">
        <v>#VALUE!</v>
      </c>
      <c r="DB17">
        <v>46106</v>
      </c>
    </row>
    <row r="18" spans="1:106" x14ac:dyDescent="0.25">
      <c r="A18" t="s">
        <v>516</v>
      </c>
      <c r="B18" t="s">
        <v>452</v>
      </c>
      <c r="C18" t="s">
        <v>451</v>
      </c>
      <c r="D18">
        <v>2</v>
      </c>
      <c r="F18">
        <v>773</v>
      </c>
      <c r="G18" t="s">
        <v>403</v>
      </c>
      <c r="H18">
        <v>1527</v>
      </c>
      <c r="I18" t="s">
        <v>494</v>
      </c>
      <c r="J18">
        <v>773</v>
      </c>
      <c r="K18" t="s">
        <v>403</v>
      </c>
      <c r="L18" t="s">
        <v>520</v>
      </c>
      <c r="M18">
        <v>533</v>
      </c>
      <c r="N18" t="s">
        <v>403</v>
      </c>
      <c r="O18" t="s">
        <v>520</v>
      </c>
      <c r="P18" t="s">
        <v>496</v>
      </c>
      <c r="Q18">
        <v>533</v>
      </c>
      <c r="R18" t="s">
        <v>403</v>
      </c>
      <c r="S18" t="s">
        <v>520</v>
      </c>
      <c r="T18" t="s">
        <v>403</v>
      </c>
      <c r="U18">
        <v>123.33333333333331</v>
      </c>
      <c r="V18">
        <v>28.11538430811266</v>
      </c>
      <c r="W18">
        <v>137.44791666666669</v>
      </c>
      <c r="X18">
        <v>10.61</v>
      </c>
      <c r="Y18">
        <v>2.25</v>
      </c>
      <c r="Z18">
        <v>0.4</v>
      </c>
      <c r="AA18">
        <v>0.82</v>
      </c>
      <c r="AB18">
        <v>0.17</v>
      </c>
      <c r="AC18">
        <v>2.41</v>
      </c>
      <c r="AD18">
        <v>0.01</v>
      </c>
      <c r="AE18">
        <v>13.1</v>
      </c>
      <c r="AF18">
        <v>0.42</v>
      </c>
      <c r="AG18">
        <v>0.42</v>
      </c>
      <c r="AH18">
        <v>1.26</v>
      </c>
      <c r="AI18">
        <v>0.15</v>
      </c>
      <c r="AJ18">
        <v>98.08</v>
      </c>
      <c r="AK18">
        <v>0.1</v>
      </c>
      <c r="AL18">
        <v>0.97</v>
      </c>
      <c r="AM18">
        <v>0.88</v>
      </c>
      <c r="AN18">
        <v>0.43</v>
      </c>
      <c r="AO18">
        <v>10.34</v>
      </c>
      <c r="AP18">
        <v>0.08</v>
      </c>
      <c r="AQ18">
        <v>0.47</v>
      </c>
      <c r="AR18">
        <v>0.33</v>
      </c>
      <c r="AS18">
        <v>0.37</v>
      </c>
      <c r="AT18">
        <v>0.18</v>
      </c>
      <c r="AU18">
        <v>0.02</v>
      </c>
      <c r="AV18">
        <v>1.62</v>
      </c>
      <c r="AW18">
        <v>1.32</v>
      </c>
      <c r="AX18">
        <v>0.22</v>
      </c>
      <c r="AY18">
        <v>0.53</v>
      </c>
      <c r="AZ18">
        <v>0.28999999999999998</v>
      </c>
      <c r="BA18">
        <v>0.01</v>
      </c>
      <c r="BB18">
        <v>0.06</v>
      </c>
      <c r="BC18">
        <v>0.25</v>
      </c>
      <c r="BD18">
        <v>0.45</v>
      </c>
      <c r="BE18">
        <v>7.0000000000000007E-2</v>
      </c>
      <c r="BF18">
        <v>0.03</v>
      </c>
      <c r="BG18">
        <v>0.2</v>
      </c>
      <c r="BH18">
        <v>28.36</v>
      </c>
      <c r="BI18">
        <v>0.93</v>
      </c>
      <c r="BJ18">
        <v>0.17</v>
      </c>
      <c r="BK18">
        <v>0.1</v>
      </c>
      <c r="BM18">
        <v>0.11363636363636365</v>
      </c>
      <c r="BN18">
        <v>13.09</v>
      </c>
      <c r="BO18">
        <v>132.72999999999999</v>
      </c>
      <c r="BP18">
        <v>0.22</v>
      </c>
      <c r="BQ18">
        <v>0.33</v>
      </c>
      <c r="BR18">
        <v>19.57</v>
      </c>
      <c r="BS18">
        <v>0.95</v>
      </c>
      <c r="BT18">
        <v>0.88</v>
      </c>
      <c r="BU18">
        <v>8.65</v>
      </c>
      <c r="BV18">
        <v>0.11</v>
      </c>
      <c r="BW18">
        <v>0.56000000000000005</v>
      </c>
      <c r="BX18">
        <v>0.23</v>
      </c>
      <c r="BY18">
        <v>27.86</v>
      </c>
      <c r="BZ18">
        <v>14.93</v>
      </c>
      <c r="CA18">
        <v>17.34</v>
      </c>
      <c r="CB18">
        <v>1.82</v>
      </c>
      <c r="CC18">
        <v>0.85</v>
      </c>
      <c r="CD18">
        <v>0.05</v>
      </c>
      <c r="CE18">
        <v>0.03</v>
      </c>
      <c r="CF18">
        <v>0.26</v>
      </c>
      <c r="CG18">
        <v>0.13</v>
      </c>
      <c r="CH18">
        <v>0.08</v>
      </c>
      <c r="CI18">
        <v>1.91</v>
      </c>
      <c r="CJ18">
        <v>1.68</v>
      </c>
      <c r="CK18">
        <v>11.04</v>
      </c>
      <c r="CL18">
        <v>0.1</v>
      </c>
      <c r="CZ18" t="e">
        <v>#VALUE!</v>
      </c>
      <c r="DA18" t="e">
        <v>#VALUE!</v>
      </c>
      <c r="DB18">
        <v>46106</v>
      </c>
    </row>
    <row r="19" spans="1:106" x14ac:dyDescent="0.25">
      <c r="A19" t="s">
        <v>521</v>
      </c>
      <c r="B19" t="s">
        <v>454</v>
      </c>
      <c r="C19" t="s">
        <v>453</v>
      </c>
      <c r="D19">
        <v>2</v>
      </c>
      <c r="F19">
        <v>869</v>
      </c>
      <c r="G19" t="s">
        <v>404</v>
      </c>
      <c r="H19">
        <v>1533</v>
      </c>
      <c r="I19" t="s">
        <v>494</v>
      </c>
      <c r="J19">
        <v>869</v>
      </c>
      <c r="K19" t="s">
        <v>404</v>
      </c>
      <c r="L19" t="s">
        <v>522</v>
      </c>
      <c r="M19">
        <v>599</v>
      </c>
      <c r="N19" t="s">
        <v>404</v>
      </c>
      <c r="O19" t="s">
        <v>522</v>
      </c>
      <c r="P19" t="s">
        <v>496</v>
      </c>
      <c r="Q19">
        <v>599</v>
      </c>
      <c r="R19" t="s">
        <v>404</v>
      </c>
      <c r="S19" t="s">
        <v>522</v>
      </c>
      <c r="T19" t="s">
        <v>404</v>
      </c>
      <c r="U19">
        <v>121.42857142857142</v>
      </c>
      <c r="V19">
        <v>33.549880535674568</v>
      </c>
      <c r="W19">
        <v>189.76562499999997</v>
      </c>
      <c r="X19">
        <v>0.1</v>
      </c>
      <c r="Y19">
        <v>2.76</v>
      </c>
      <c r="Z19">
        <v>0.3</v>
      </c>
      <c r="AA19">
        <v>1</v>
      </c>
      <c r="AB19">
        <v>0.1</v>
      </c>
      <c r="AC19">
        <v>1.2</v>
      </c>
      <c r="AD19">
        <v>0.06</v>
      </c>
      <c r="AE19">
        <v>8.16</v>
      </c>
      <c r="AF19">
        <v>0.27</v>
      </c>
      <c r="AG19">
        <v>0.21</v>
      </c>
      <c r="AH19">
        <v>0.66</v>
      </c>
      <c r="AI19">
        <v>0.36</v>
      </c>
      <c r="AJ19">
        <v>45.41</v>
      </c>
      <c r="AK19">
        <v>0.1</v>
      </c>
      <c r="AL19">
        <v>0.67</v>
      </c>
      <c r="AM19">
        <v>0.83</v>
      </c>
      <c r="AN19">
        <v>0.55000000000000004</v>
      </c>
      <c r="AO19">
        <v>11.05</v>
      </c>
      <c r="AP19">
        <v>0.04</v>
      </c>
      <c r="AQ19">
        <v>0.41</v>
      </c>
      <c r="AR19">
        <v>0.34</v>
      </c>
      <c r="AS19">
        <v>0.59</v>
      </c>
      <c r="AT19">
        <v>0.2</v>
      </c>
      <c r="AU19">
        <v>0.01</v>
      </c>
      <c r="AV19">
        <v>9.43</v>
      </c>
      <c r="AW19">
        <v>1.39</v>
      </c>
      <c r="AX19">
        <v>0.34</v>
      </c>
      <c r="AY19">
        <v>0.59</v>
      </c>
      <c r="AZ19">
        <v>0.28000000000000003</v>
      </c>
      <c r="BA19">
        <v>0</v>
      </c>
      <c r="BB19">
        <v>0.3</v>
      </c>
      <c r="BC19">
        <v>0.13</v>
      </c>
      <c r="BD19">
        <v>0.24</v>
      </c>
      <c r="BE19">
        <v>7.0000000000000007E-2</v>
      </c>
      <c r="BF19">
        <v>0.03</v>
      </c>
      <c r="BG19">
        <v>0.09</v>
      </c>
      <c r="BH19">
        <v>17.420000000000002</v>
      </c>
      <c r="BI19">
        <v>1.94</v>
      </c>
      <c r="BJ19">
        <v>0.1</v>
      </c>
      <c r="BK19">
        <v>0.33</v>
      </c>
      <c r="BM19">
        <v>0.12048192771084339</v>
      </c>
      <c r="BN19">
        <v>15.57</v>
      </c>
      <c r="BO19">
        <v>270.97000000000003</v>
      </c>
      <c r="BP19">
        <v>0.31</v>
      </c>
      <c r="BQ19">
        <v>0.7</v>
      </c>
      <c r="BR19">
        <v>17.46</v>
      </c>
      <c r="BS19">
        <v>2.0299999999999998</v>
      </c>
      <c r="BT19">
        <v>2.56</v>
      </c>
      <c r="BU19">
        <v>8.64</v>
      </c>
      <c r="BV19">
        <v>0.15</v>
      </c>
      <c r="BW19">
        <v>0.47</v>
      </c>
      <c r="BX19">
        <v>2.67</v>
      </c>
      <c r="BY19">
        <v>19.89</v>
      </c>
      <c r="BZ19">
        <v>18.27</v>
      </c>
      <c r="CA19">
        <v>4.21</v>
      </c>
      <c r="CB19">
        <v>2.06</v>
      </c>
      <c r="CC19">
        <v>0.8</v>
      </c>
      <c r="CD19">
        <v>0.11</v>
      </c>
      <c r="CE19">
        <v>0.02</v>
      </c>
      <c r="CF19">
        <v>0.1</v>
      </c>
      <c r="CG19">
        <v>0.3</v>
      </c>
      <c r="CH19">
        <v>7.0000000000000007E-2</v>
      </c>
      <c r="CI19">
        <v>3.03</v>
      </c>
      <c r="CJ19">
        <v>2.02</v>
      </c>
      <c r="CK19">
        <v>8.86</v>
      </c>
      <c r="CL19">
        <v>0.28000000000000003</v>
      </c>
      <c r="CZ19" t="e">
        <v>#VALUE!</v>
      </c>
      <c r="DA19" t="e">
        <v>#VALUE!</v>
      </c>
      <c r="DB19">
        <v>46107</v>
      </c>
    </row>
    <row r="20" spans="1:106" x14ac:dyDescent="0.25">
      <c r="A20" t="s">
        <v>521</v>
      </c>
      <c r="B20" t="s">
        <v>456</v>
      </c>
      <c r="C20" t="s">
        <v>455</v>
      </c>
      <c r="D20">
        <v>2</v>
      </c>
      <c r="F20">
        <v>917</v>
      </c>
      <c r="G20" t="s">
        <v>405</v>
      </c>
      <c r="H20">
        <v>1541</v>
      </c>
      <c r="I20" t="s">
        <v>494</v>
      </c>
      <c r="J20">
        <v>917</v>
      </c>
      <c r="K20" t="s">
        <v>405</v>
      </c>
      <c r="L20" t="s">
        <v>523</v>
      </c>
      <c r="M20">
        <v>632</v>
      </c>
      <c r="N20" t="s">
        <v>405</v>
      </c>
      <c r="O20" t="s">
        <v>523</v>
      </c>
      <c r="P20" t="s">
        <v>496</v>
      </c>
      <c r="Q20">
        <v>632</v>
      </c>
      <c r="R20" t="s">
        <v>405</v>
      </c>
      <c r="S20" t="s">
        <v>523</v>
      </c>
      <c r="T20" t="s">
        <v>405</v>
      </c>
      <c r="U20">
        <v>57.857142857142861</v>
      </c>
      <c r="V20">
        <v>56.658167473682944</v>
      </c>
      <c r="W20">
        <v>45.755208333333336</v>
      </c>
      <c r="X20">
        <v>0.04</v>
      </c>
      <c r="Y20">
        <v>3.16</v>
      </c>
      <c r="Z20">
        <v>0.51</v>
      </c>
      <c r="AA20">
        <v>1.32</v>
      </c>
      <c r="AB20">
        <v>7.0000000000000007E-2</v>
      </c>
      <c r="AC20">
        <v>1.45</v>
      </c>
      <c r="AD20">
        <v>0.03</v>
      </c>
      <c r="AE20">
        <v>15.46</v>
      </c>
      <c r="AF20">
        <v>0.66</v>
      </c>
      <c r="AG20">
        <v>0.49</v>
      </c>
      <c r="AH20">
        <v>0.97</v>
      </c>
      <c r="AI20">
        <v>0.48</v>
      </c>
      <c r="AJ20">
        <v>158.69</v>
      </c>
      <c r="AK20">
        <v>0.1</v>
      </c>
      <c r="AL20">
        <v>0.76</v>
      </c>
      <c r="AM20">
        <v>1.42</v>
      </c>
      <c r="AN20">
        <v>1.41</v>
      </c>
      <c r="AO20">
        <v>4.99</v>
      </c>
      <c r="AP20">
        <v>0.02</v>
      </c>
      <c r="AQ20">
        <v>0.2</v>
      </c>
      <c r="AR20">
        <v>0.28000000000000003</v>
      </c>
      <c r="AS20">
        <v>0.95</v>
      </c>
      <c r="AT20">
        <v>0.46</v>
      </c>
      <c r="AU20">
        <v>0.02</v>
      </c>
      <c r="AV20">
        <v>3.86</v>
      </c>
      <c r="AW20">
        <v>1.69</v>
      </c>
      <c r="AX20">
        <v>0.39</v>
      </c>
      <c r="AY20">
        <v>0.53</v>
      </c>
      <c r="AZ20">
        <v>0.68</v>
      </c>
      <c r="BA20">
        <v>0</v>
      </c>
      <c r="BB20">
        <v>0.01</v>
      </c>
      <c r="BC20">
        <v>0.62</v>
      </c>
      <c r="BD20">
        <v>0.88</v>
      </c>
      <c r="BE20">
        <v>0.09</v>
      </c>
      <c r="BF20">
        <v>0.04</v>
      </c>
      <c r="BG20">
        <v>0.38</v>
      </c>
      <c r="BH20">
        <v>39.99</v>
      </c>
      <c r="BI20">
        <v>2.87</v>
      </c>
      <c r="BJ20">
        <v>0.1</v>
      </c>
      <c r="BK20">
        <v>0.1</v>
      </c>
      <c r="BM20">
        <v>7.0422535211267609E-2</v>
      </c>
      <c r="BN20">
        <v>27.65</v>
      </c>
      <c r="BO20">
        <v>387.75</v>
      </c>
      <c r="BP20">
        <v>0.46</v>
      </c>
      <c r="BQ20">
        <v>1</v>
      </c>
      <c r="BR20">
        <v>25.15</v>
      </c>
      <c r="BS20">
        <v>1.74</v>
      </c>
      <c r="BT20">
        <v>1.72</v>
      </c>
      <c r="BU20">
        <v>35.700000000000003</v>
      </c>
      <c r="BV20">
        <v>0.1</v>
      </c>
      <c r="BW20">
        <v>1.46</v>
      </c>
      <c r="BX20">
        <v>0.28000000000000003</v>
      </c>
      <c r="BY20">
        <v>19.25</v>
      </c>
      <c r="BZ20">
        <v>35.11</v>
      </c>
      <c r="CA20">
        <v>20.39</v>
      </c>
      <c r="CB20">
        <v>2.4900000000000002</v>
      </c>
      <c r="CC20">
        <v>0.75</v>
      </c>
      <c r="CD20">
        <v>0.09</v>
      </c>
      <c r="CE20">
        <v>7.0000000000000007E-2</v>
      </c>
      <c r="CF20">
        <v>0.89</v>
      </c>
      <c r="CG20">
        <v>0.17</v>
      </c>
      <c r="CH20">
        <v>0.05</v>
      </c>
      <c r="CI20">
        <v>41.33</v>
      </c>
      <c r="CJ20">
        <v>1.95</v>
      </c>
      <c r="CK20">
        <v>14.4</v>
      </c>
      <c r="CL20">
        <v>0.16</v>
      </c>
      <c r="CZ20" t="e">
        <v>#VALUE!</v>
      </c>
      <c r="DA20" t="e">
        <v>#VALUE!</v>
      </c>
      <c r="DB20">
        <v>46107</v>
      </c>
    </row>
    <row r="21" spans="1:106" x14ac:dyDescent="0.25">
      <c r="A21" t="s">
        <v>521</v>
      </c>
      <c r="B21" t="s">
        <v>458</v>
      </c>
      <c r="C21" t="s">
        <v>457</v>
      </c>
      <c r="D21">
        <v>2</v>
      </c>
      <c r="F21">
        <v>965</v>
      </c>
      <c r="G21" t="s">
        <v>406</v>
      </c>
      <c r="H21">
        <v>1547</v>
      </c>
      <c r="I21" t="s">
        <v>494</v>
      </c>
      <c r="J21">
        <v>965</v>
      </c>
      <c r="K21" t="s">
        <v>406</v>
      </c>
      <c r="L21" t="s">
        <v>524</v>
      </c>
      <c r="M21">
        <v>665</v>
      </c>
      <c r="N21" t="s">
        <v>406</v>
      </c>
      <c r="O21" t="s">
        <v>524</v>
      </c>
      <c r="P21" t="s">
        <v>496</v>
      </c>
      <c r="Q21">
        <v>665</v>
      </c>
      <c r="R21" t="s">
        <v>406</v>
      </c>
      <c r="S21" t="s">
        <v>524</v>
      </c>
      <c r="T21" t="s">
        <v>406</v>
      </c>
      <c r="U21">
        <v>93.571428571428598</v>
      </c>
      <c r="V21">
        <v>30.982865000280313</v>
      </c>
      <c r="W21">
        <v>142.91666666666666</v>
      </c>
      <c r="X21">
        <v>5.46</v>
      </c>
      <c r="Y21">
        <v>3.4</v>
      </c>
      <c r="Z21">
        <v>0.39</v>
      </c>
      <c r="AA21">
        <v>1.29</v>
      </c>
      <c r="AB21">
        <v>0.04</v>
      </c>
      <c r="AC21">
        <v>8.39</v>
      </c>
      <c r="AD21">
        <v>0.02</v>
      </c>
      <c r="AE21">
        <v>18.010000000000002</v>
      </c>
      <c r="AF21">
        <v>2.08</v>
      </c>
      <c r="AG21">
        <v>0.42</v>
      </c>
      <c r="AH21">
        <v>1.35</v>
      </c>
      <c r="AI21">
        <v>0.78</v>
      </c>
      <c r="AJ21">
        <v>21.57</v>
      </c>
      <c r="AK21">
        <v>0.1</v>
      </c>
      <c r="AL21">
        <v>1.64</v>
      </c>
      <c r="AM21">
        <v>1.3</v>
      </c>
      <c r="AN21">
        <v>0.88</v>
      </c>
      <c r="AO21">
        <v>8.24</v>
      </c>
      <c r="AP21">
        <v>0.08</v>
      </c>
      <c r="AQ21">
        <v>2.36</v>
      </c>
      <c r="AR21">
        <v>0.61</v>
      </c>
      <c r="AS21">
        <v>1.69</v>
      </c>
      <c r="AT21">
        <v>0.36</v>
      </c>
      <c r="AU21">
        <v>0.04</v>
      </c>
      <c r="AV21">
        <v>5.42</v>
      </c>
      <c r="AW21">
        <v>1.82</v>
      </c>
      <c r="AX21">
        <v>0.32</v>
      </c>
      <c r="AY21">
        <v>0.33</v>
      </c>
      <c r="AZ21">
        <v>0.44</v>
      </c>
      <c r="BA21">
        <v>0</v>
      </c>
      <c r="BB21">
        <v>0.51</v>
      </c>
      <c r="BC21">
        <v>0.2</v>
      </c>
      <c r="BD21">
        <v>0.38</v>
      </c>
      <c r="BE21">
        <v>0.11</v>
      </c>
      <c r="BF21">
        <v>0.02</v>
      </c>
      <c r="BG21">
        <v>1.36</v>
      </c>
      <c r="BH21">
        <v>32.68</v>
      </c>
      <c r="BI21">
        <v>3.73</v>
      </c>
      <c r="BJ21">
        <v>0.39</v>
      </c>
      <c r="BK21">
        <v>0.1</v>
      </c>
      <c r="BM21">
        <v>7.6923076923076927E-2</v>
      </c>
      <c r="BN21">
        <v>16.989999999999998</v>
      </c>
      <c r="BO21">
        <v>329.74</v>
      </c>
      <c r="BP21">
        <v>0.38</v>
      </c>
      <c r="BQ21">
        <v>0.87</v>
      </c>
      <c r="BR21">
        <v>26.13</v>
      </c>
      <c r="BS21">
        <v>1.87</v>
      </c>
      <c r="BT21">
        <v>4.2</v>
      </c>
      <c r="BU21">
        <v>11.22</v>
      </c>
      <c r="BV21">
        <v>0.15</v>
      </c>
      <c r="BW21">
        <v>1.22</v>
      </c>
      <c r="BX21">
        <v>0.27</v>
      </c>
      <c r="BY21">
        <v>52.06</v>
      </c>
      <c r="BZ21">
        <v>26.79</v>
      </c>
      <c r="CA21">
        <v>13.94</v>
      </c>
      <c r="CB21">
        <v>3.7</v>
      </c>
      <c r="CC21">
        <v>0.94</v>
      </c>
      <c r="CD21">
        <v>0.15</v>
      </c>
      <c r="CE21">
        <v>0.14000000000000001</v>
      </c>
      <c r="CF21">
        <v>2.74</v>
      </c>
      <c r="CG21">
        <v>0.47</v>
      </c>
      <c r="CH21">
        <v>0.11</v>
      </c>
      <c r="CI21">
        <v>0.98</v>
      </c>
      <c r="CJ21">
        <v>2.39</v>
      </c>
      <c r="CK21">
        <v>11.24</v>
      </c>
      <c r="CL21">
        <v>0.14000000000000001</v>
      </c>
      <c r="CZ21" t="e">
        <v>#VALUE!</v>
      </c>
      <c r="DA21" t="e">
        <v>#VALUE!</v>
      </c>
      <c r="DB21">
        <v>46107</v>
      </c>
    </row>
    <row r="22" spans="1:106" x14ac:dyDescent="0.25">
      <c r="A22" t="s">
        <v>521</v>
      </c>
      <c r="B22" t="s">
        <v>460</v>
      </c>
      <c r="C22" t="s">
        <v>459</v>
      </c>
      <c r="D22">
        <v>2</v>
      </c>
      <c r="F22">
        <v>1013</v>
      </c>
      <c r="G22" t="s">
        <v>407</v>
      </c>
      <c r="H22">
        <v>1549</v>
      </c>
      <c r="I22" t="s">
        <v>494</v>
      </c>
      <c r="J22">
        <v>1013</v>
      </c>
      <c r="K22" t="s">
        <v>407</v>
      </c>
      <c r="L22" t="s">
        <v>525</v>
      </c>
      <c r="M22">
        <v>698</v>
      </c>
      <c r="N22" t="s">
        <v>407</v>
      </c>
      <c r="O22" t="s">
        <v>525</v>
      </c>
      <c r="P22" t="s">
        <v>496</v>
      </c>
      <c r="Q22">
        <v>698</v>
      </c>
      <c r="R22" t="s">
        <v>407</v>
      </c>
      <c r="S22" t="s">
        <v>525</v>
      </c>
      <c r="T22" t="s">
        <v>407</v>
      </c>
      <c r="U22">
        <v>94.285714285714278</v>
      </c>
      <c r="V22">
        <v>44.413989137607231</v>
      </c>
      <c r="W22">
        <v>147.83854166666669</v>
      </c>
      <c r="X22">
        <v>8.4</v>
      </c>
      <c r="Y22">
        <v>3.3</v>
      </c>
      <c r="Z22">
        <v>0.35</v>
      </c>
      <c r="AA22">
        <v>1.06</v>
      </c>
      <c r="AB22">
        <v>0.02</v>
      </c>
      <c r="AC22">
        <v>1.37</v>
      </c>
      <c r="AD22">
        <v>0.1</v>
      </c>
      <c r="AE22">
        <v>10.87</v>
      </c>
      <c r="AF22">
        <v>1.18</v>
      </c>
      <c r="AG22">
        <v>0.43</v>
      </c>
      <c r="AH22">
        <v>0.45</v>
      </c>
      <c r="AI22">
        <v>0.32</v>
      </c>
      <c r="AJ22">
        <v>1</v>
      </c>
      <c r="AK22">
        <v>0.1</v>
      </c>
      <c r="AL22">
        <v>0.62</v>
      </c>
      <c r="AM22">
        <v>0.86</v>
      </c>
      <c r="AN22">
        <v>0.81</v>
      </c>
      <c r="AO22">
        <v>5</v>
      </c>
      <c r="AP22">
        <v>0.02</v>
      </c>
      <c r="AQ22">
        <v>0.59</v>
      </c>
      <c r="AR22">
        <v>0.15</v>
      </c>
      <c r="AS22">
        <v>0.6</v>
      </c>
      <c r="AT22">
        <v>0.26</v>
      </c>
      <c r="AU22">
        <v>0.02</v>
      </c>
      <c r="AV22">
        <v>2.88</v>
      </c>
      <c r="AW22">
        <v>8.1300000000000008</v>
      </c>
      <c r="AX22">
        <v>0.21</v>
      </c>
      <c r="AY22">
        <v>0.32</v>
      </c>
      <c r="AZ22">
        <v>0.76</v>
      </c>
      <c r="BA22">
        <v>0.1</v>
      </c>
      <c r="BB22">
        <v>0.1</v>
      </c>
      <c r="BC22">
        <v>0.11</v>
      </c>
      <c r="BD22">
        <v>3.07</v>
      </c>
      <c r="BE22">
        <v>0.11</v>
      </c>
      <c r="BF22">
        <v>0.02</v>
      </c>
      <c r="BG22">
        <v>0.31</v>
      </c>
      <c r="BH22">
        <v>35.409999999999997</v>
      </c>
      <c r="BI22">
        <v>3.2</v>
      </c>
      <c r="BJ22">
        <v>0.26</v>
      </c>
      <c r="BK22">
        <v>0.1</v>
      </c>
      <c r="BM22">
        <v>0.11627906976744187</v>
      </c>
      <c r="BN22">
        <v>16.96</v>
      </c>
      <c r="BO22">
        <v>159.09</v>
      </c>
      <c r="BP22">
        <v>0.3</v>
      </c>
      <c r="BQ22">
        <v>0.54</v>
      </c>
      <c r="BR22">
        <v>14.69</v>
      </c>
      <c r="BS22">
        <v>1.59</v>
      </c>
      <c r="BT22">
        <v>1.72</v>
      </c>
      <c r="BU22">
        <v>11.13</v>
      </c>
      <c r="BV22">
        <v>0.12</v>
      </c>
      <c r="BW22">
        <v>0.15</v>
      </c>
      <c r="BX22">
        <v>0.18</v>
      </c>
      <c r="BY22">
        <v>10.66</v>
      </c>
      <c r="BZ22">
        <v>18.57</v>
      </c>
      <c r="CA22">
        <v>12.31</v>
      </c>
      <c r="CB22">
        <v>1.89</v>
      </c>
      <c r="CC22">
        <v>0.53</v>
      </c>
      <c r="CD22">
        <v>0.08</v>
      </c>
      <c r="CE22">
        <v>0.05</v>
      </c>
      <c r="CF22">
        <v>0.06</v>
      </c>
      <c r="CG22">
        <v>0.11</v>
      </c>
      <c r="CH22">
        <v>0.04</v>
      </c>
      <c r="CI22">
        <v>5.31</v>
      </c>
      <c r="CJ22">
        <v>1.38</v>
      </c>
      <c r="CK22">
        <v>21.7</v>
      </c>
      <c r="CL22">
        <v>0.2</v>
      </c>
      <c r="CZ22" t="e">
        <v>#VALUE!</v>
      </c>
      <c r="DA22" t="e">
        <v>#VALUE!</v>
      </c>
      <c r="DB22">
        <v>46107</v>
      </c>
    </row>
    <row r="23" spans="1:106" x14ac:dyDescent="0.25">
      <c r="A23" t="s">
        <v>521</v>
      </c>
      <c r="B23" t="s">
        <v>462</v>
      </c>
      <c r="C23" t="s">
        <v>461</v>
      </c>
      <c r="D23">
        <v>2</v>
      </c>
      <c r="F23">
        <v>1061</v>
      </c>
      <c r="G23" t="s">
        <v>408</v>
      </c>
      <c r="H23">
        <v>1551</v>
      </c>
      <c r="I23" t="s">
        <v>494</v>
      </c>
      <c r="J23">
        <v>1061</v>
      </c>
      <c r="K23" t="s">
        <v>408</v>
      </c>
      <c r="L23" t="s">
        <v>526</v>
      </c>
      <c r="M23">
        <v>731</v>
      </c>
      <c r="N23" t="s">
        <v>408</v>
      </c>
      <c r="O23" t="s">
        <v>526</v>
      </c>
      <c r="P23" t="s">
        <v>496</v>
      </c>
      <c r="Q23">
        <v>731</v>
      </c>
      <c r="R23" t="s">
        <v>408</v>
      </c>
      <c r="S23" t="s">
        <v>526</v>
      </c>
      <c r="T23" t="s">
        <v>408</v>
      </c>
      <c r="U23">
        <v>120.71428571428575</v>
      </c>
      <c r="V23">
        <v>29.196290698721047</v>
      </c>
      <c r="W23">
        <v>156.04166666666666</v>
      </c>
      <c r="X23">
        <v>12.53</v>
      </c>
      <c r="Y23">
        <v>5.52</v>
      </c>
      <c r="Z23">
        <v>0.65</v>
      </c>
      <c r="AA23">
        <v>2.11</v>
      </c>
      <c r="AB23">
        <v>7.0000000000000007E-2</v>
      </c>
      <c r="AC23">
        <v>5.84</v>
      </c>
      <c r="AD23">
        <v>0.05</v>
      </c>
      <c r="AE23">
        <v>19.48</v>
      </c>
      <c r="AF23">
        <v>1.36</v>
      </c>
      <c r="AG23">
        <v>0.33</v>
      </c>
      <c r="AH23">
        <v>2.09</v>
      </c>
      <c r="AI23">
        <v>0.83</v>
      </c>
      <c r="AJ23">
        <v>64.459999999999994</v>
      </c>
      <c r="AK23">
        <v>0.1</v>
      </c>
      <c r="AL23">
        <v>2.16</v>
      </c>
      <c r="AM23">
        <v>1.98</v>
      </c>
      <c r="AN23">
        <v>1.31</v>
      </c>
      <c r="AO23">
        <v>14.46</v>
      </c>
      <c r="AP23">
        <v>0.08</v>
      </c>
      <c r="AQ23">
        <v>3.6</v>
      </c>
      <c r="AR23">
        <v>1.03</v>
      </c>
      <c r="AS23">
        <v>1.56</v>
      </c>
      <c r="AT23">
        <v>0.95</v>
      </c>
      <c r="AU23">
        <v>0.04</v>
      </c>
      <c r="AV23">
        <v>7.91</v>
      </c>
      <c r="AW23">
        <v>1.71</v>
      </c>
      <c r="AX23">
        <v>0.14000000000000001</v>
      </c>
      <c r="AY23">
        <v>0.38</v>
      </c>
      <c r="AZ23">
        <v>0.64</v>
      </c>
      <c r="BA23">
        <v>0.01</v>
      </c>
      <c r="BB23">
        <v>7.0000000000000007E-2</v>
      </c>
      <c r="BC23">
        <v>0.13</v>
      </c>
      <c r="BD23">
        <v>0.86</v>
      </c>
      <c r="BE23">
        <v>0.14000000000000001</v>
      </c>
      <c r="BF23">
        <v>0.01</v>
      </c>
      <c r="BG23">
        <v>12.49</v>
      </c>
      <c r="BH23">
        <v>61.78</v>
      </c>
      <c r="BI23">
        <v>3.67</v>
      </c>
      <c r="BJ23">
        <v>0.26</v>
      </c>
      <c r="BK23">
        <v>0.1</v>
      </c>
      <c r="BM23">
        <v>5.0505050505050511E-2</v>
      </c>
      <c r="BN23">
        <v>13.16</v>
      </c>
      <c r="BO23">
        <v>442.11</v>
      </c>
      <c r="BP23">
        <v>0.57999999999999996</v>
      </c>
      <c r="BQ23">
        <v>1.44</v>
      </c>
      <c r="BR23">
        <v>60.26</v>
      </c>
      <c r="BS23">
        <v>2.79</v>
      </c>
      <c r="BT23">
        <v>6.03</v>
      </c>
      <c r="BU23">
        <v>8.74</v>
      </c>
      <c r="BV23">
        <v>0.32</v>
      </c>
      <c r="BW23">
        <v>0.49</v>
      </c>
      <c r="BX23">
        <v>0.38</v>
      </c>
      <c r="BY23">
        <v>86.53</v>
      </c>
      <c r="BZ23">
        <v>27.14</v>
      </c>
      <c r="CA23">
        <v>19.5</v>
      </c>
      <c r="CB23">
        <v>5.04</v>
      </c>
      <c r="CC23">
        <v>1.28</v>
      </c>
      <c r="CD23">
        <v>0.22</v>
      </c>
      <c r="CE23">
        <v>0.06</v>
      </c>
      <c r="CF23">
        <v>0.98</v>
      </c>
      <c r="CG23">
        <v>1.17</v>
      </c>
      <c r="CH23">
        <v>0.18</v>
      </c>
      <c r="CI23">
        <v>3.91</v>
      </c>
      <c r="CJ23">
        <v>4.88</v>
      </c>
      <c r="CK23">
        <v>22.05</v>
      </c>
      <c r="CL23">
        <v>0.23</v>
      </c>
      <c r="CZ23" t="e">
        <v>#VALUE!</v>
      </c>
      <c r="DA23" t="e">
        <v>#VALUE!</v>
      </c>
      <c r="DB23">
        <v>46107</v>
      </c>
    </row>
    <row r="24" spans="1:106" x14ac:dyDescent="0.25">
      <c r="A24" t="s">
        <v>521</v>
      </c>
      <c r="B24" t="s">
        <v>464</v>
      </c>
      <c r="C24" t="s">
        <v>463</v>
      </c>
      <c r="D24">
        <v>2</v>
      </c>
      <c r="F24">
        <v>1157</v>
      </c>
      <c r="G24" t="s">
        <v>409</v>
      </c>
      <c r="H24">
        <v>1554</v>
      </c>
      <c r="I24" t="s">
        <v>494</v>
      </c>
      <c r="J24">
        <v>1157</v>
      </c>
      <c r="K24" t="s">
        <v>409</v>
      </c>
      <c r="L24" t="s">
        <v>527</v>
      </c>
      <c r="M24">
        <v>797</v>
      </c>
      <c r="N24" t="s">
        <v>409</v>
      </c>
      <c r="O24" t="s">
        <v>527</v>
      </c>
      <c r="P24" t="s">
        <v>496</v>
      </c>
      <c r="Q24">
        <v>797</v>
      </c>
      <c r="R24" t="s">
        <v>409</v>
      </c>
      <c r="S24" t="s">
        <v>527</v>
      </c>
      <c r="T24" t="s">
        <v>409</v>
      </c>
      <c r="U24">
        <v>45</v>
      </c>
      <c r="V24">
        <v>33.265034743012869</v>
      </c>
      <c r="W24">
        <v>58.515625</v>
      </c>
      <c r="X24">
        <v>0.1</v>
      </c>
      <c r="Y24">
        <v>2.7</v>
      </c>
      <c r="Z24">
        <v>0.43</v>
      </c>
      <c r="AA24">
        <v>1.43</v>
      </c>
      <c r="AB24">
        <v>0.48</v>
      </c>
      <c r="AC24">
        <v>1.65</v>
      </c>
      <c r="AD24">
        <v>0.1</v>
      </c>
      <c r="AE24">
        <v>7.83</v>
      </c>
      <c r="AF24">
        <v>1.89</v>
      </c>
      <c r="AG24">
        <v>0.41</v>
      </c>
      <c r="AH24">
        <v>0.17</v>
      </c>
      <c r="AI24">
        <v>0.18</v>
      </c>
      <c r="AJ24">
        <v>50.75</v>
      </c>
      <c r="AK24">
        <v>0.1</v>
      </c>
      <c r="AL24">
        <v>0.87</v>
      </c>
      <c r="AM24">
        <v>1.34</v>
      </c>
      <c r="AN24">
        <v>0.36</v>
      </c>
      <c r="AO24">
        <v>3.46</v>
      </c>
      <c r="AP24">
        <v>0.03</v>
      </c>
      <c r="AQ24">
        <v>0.19</v>
      </c>
      <c r="AR24">
        <v>0.26</v>
      </c>
      <c r="AS24">
        <v>0.32</v>
      </c>
      <c r="AT24">
        <v>0.21</v>
      </c>
      <c r="AU24">
        <v>0.04</v>
      </c>
      <c r="AV24">
        <v>0.9</v>
      </c>
      <c r="AW24">
        <v>1.99</v>
      </c>
      <c r="AX24">
        <v>0.35</v>
      </c>
      <c r="AY24">
        <v>0.48</v>
      </c>
      <c r="AZ24">
        <v>0.61</v>
      </c>
      <c r="BA24">
        <v>0.1</v>
      </c>
      <c r="BB24">
        <v>0.8</v>
      </c>
      <c r="BC24">
        <v>0.08</v>
      </c>
      <c r="BD24">
        <v>3.41</v>
      </c>
      <c r="BE24">
        <v>0.1</v>
      </c>
      <c r="BF24">
        <v>0.01</v>
      </c>
      <c r="BG24">
        <v>2.67</v>
      </c>
      <c r="BH24">
        <v>41.37</v>
      </c>
      <c r="BI24">
        <v>1.52</v>
      </c>
      <c r="BJ24">
        <v>0.1</v>
      </c>
      <c r="BK24">
        <v>0.1</v>
      </c>
      <c r="BM24">
        <v>7.4626865671641784E-2</v>
      </c>
      <c r="BN24">
        <v>35.06</v>
      </c>
      <c r="BO24">
        <v>215.83</v>
      </c>
      <c r="BP24">
        <v>0.56000000000000005</v>
      </c>
      <c r="BQ24">
        <v>0.78</v>
      </c>
      <c r="BR24">
        <v>27.43</v>
      </c>
      <c r="BS24">
        <v>1.54</v>
      </c>
      <c r="BT24">
        <v>1.1399999999999999</v>
      </c>
      <c r="BU24">
        <v>93.22</v>
      </c>
      <c r="BV24">
        <v>0.1</v>
      </c>
      <c r="BW24">
        <v>0.09</v>
      </c>
      <c r="BX24">
        <v>0.16</v>
      </c>
      <c r="BY24">
        <v>26.63</v>
      </c>
      <c r="BZ24">
        <v>35.78</v>
      </c>
      <c r="CA24">
        <v>5.89</v>
      </c>
      <c r="CB24">
        <v>1.56</v>
      </c>
      <c r="CC24">
        <v>0.33</v>
      </c>
      <c r="CD24">
        <v>0.09</v>
      </c>
      <c r="CE24">
        <v>0.06</v>
      </c>
      <c r="CF24">
        <v>0.59</v>
      </c>
      <c r="CG24">
        <v>0.16</v>
      </c>
      <c r="CH24">
        <v>0.06</v>
      </c>
      <c r="CI24">
        <v>2.57</v>
      </c>
      <c r="CJ24">
        <v>2.39</v>
      </c>
      <c r="CK24">
        <v>12.59</v>
      </c>
      <c r="CL24">
        <v>0.08</v>
      </c>
      <c r="CZ24" t="e">
        <v>#VALUE!</v>
      </c>
      <c r="DA24" t="e">
        <v>#VALUE!</v>
      </c>
      <c r="DB24">
        <v>46107</v>
      </c>
    </row>
    <row r="25" spans="1:106" x14ac:dyDescent="0.25">
      <c r="A25" t="s">
        <v>521</v>
      </c>
      <c r="B25" t="s">
        <v>466</v>
      </c>
      <c r="C25" t="s">
        <v>465</v>
      </c>
      <c r="D25">
        <v>1</v>
      </c>
      <c r="F25">
        <v>1205</v>
      </c>
      <c r="G25" t="s">
        <v>410</v>
      </c>
      <c r="H25">
        <v>1560</v>
      </c>
      <c r="I25" t="s">
        <v>494</v>
      </c>
      <c r="J25">
        <v>1205</v>
      </c>
      <c r="K25" t="s">
        <v>410</v>
      </c>
      <c r="L25" t="s">
        <v>528</v>
      </c>
      <c r="M25">
        <v>830</v>
      </c>
      <c r="N25" t="s">
        <v>410</v>
      </c>
      <c r="O25" t="s">
        <v>528</v>
      </c>
      <c r="P25" t="s">
        <v>496</v>
      </c>
      <c r="Q25">
        <v>830</v>
      </c>
      <c r="R25" t="s">
        <v>410</v>
      </c>
      <c r="S25" t="s">
        <v>528</v>
      </c>
      <c r="T25" t="s">
        <v>410</v>
      </c>
      <c r="U25">
        <v>103.57142857142856</v>
      </c>
      <c r="V25">
        <v>25.9789612231334</v>
      </c>
      <c r="W25">
        <v>79.114583333333329</v>
      </c>
      <c r="X25">
        <v>14.86</v>
      </c>
      <c r="Y25">
        <v>5.05</v>
      </c>
      <c r="Z25">
        <v>0.36</v>
      </c>
      <c r="AA25">
        <v>1.39</v>
      </c>
      <c r="AB25">
        <v>0.1</v>
      </c>
      <c r="AC25">
        <v>1.97</v>
      </c>
      <c r="AD25">
        <v>0.1</v>
      </c>
      <c r="AE25">
        <v>18.84</v>
      </c>
      <c r="AF25">
        <v>0.67</v>
      </c>
      <c r="AG25">
        <v>0.35</v>
      </c>
      <c r="AH25">
        <v>0.81</v>
      </c>
      <c r="AI25">
        <v>0.32</v>
      </c>
      <c r="AJ25">
        <v>0.1</v>
      </c>
      <c r="AK25">
        <v>0.1</v>
      </c>
      <c r="AL25">
        <v>0.44</v>
      </c>
      <c r="AM25">
        <v>0.85</v>
      </c>
      <c r="AN25">
        <v>0.1</v>
      </c>
      <c r="AO25">
        <v>7.69</v>
      </c>
      <c r="AP25">
        <v>0.01</v>
      </c>
      <c r="AQ25">
        <v>0.56000000000000005</v>
      </c>
      <c r="AR25">
        <v>0.25</v>
      </c>
      <c r="AS25">
        <v>0.66</v>
      </c>
      <c r="AT25">
        <v>0.27</v>
      </c>
      <c r="AU25">
        <v>0.11</v>
      </c>
      <c r="AV25">
        <v>6.96</v>
      </c>
      <c r="AW25">
        <v>1.57</v>
      </c>
      <c r="AX25">
        <v>0.56000000000000005</v>
      </c>
      <c r="AY25">
        <v>0.46</v>
      </c>
      <c r="AZ25">
        <v>0.67</v>
      </c>
      <c r="BA25">
        <v>0.01</v>
      </c>
      <c r="BB25">
        <v>0.28999999999999998</v>
      </c>
      <c r="BC25">
        <v>0.28999999999999998</v>
      </c>
      <c r="BD25">
        <v>1.46</v>
      </c>
      <c r="BE25">
        <v>0.9</v>
      </c>
      <c r="BF25">
        <v>0.05</v>
      </c>
      <c r="BG25">
        <v>0.39</v>
      </c>
      <c r="BH25">
        <v>29.45</v>
      </c>
      <c r="BI25">
        <v>3.89</v>
      </c>
      <c r="BJ25">
        <v>0.48</v>
      </c>
      <c r="BK25">
        <v>0.05</v>
      </c>
      <c r="BM25">
        <v>0.11764705882352942</v>
      </c>
      <c r="BN25">
        <v>15.6</v>
      </c>
      <c r="BO25">
        <v>149.94999999999999</v>
      </c>
      <c r="BP25">
        <v>0.32</v>
      </c>
      <c r="BQ25">
        <v>0.54</v>
      </c>
      <c r="BR25">
        <v>18.260000000000002</v>
      </c>
      <c r="BS25">
        <v>1.61</v>
      </c>
      <c r="BT25">
        <v>2.81</v>
      </c>
      <c r="BU25">
        <v>0.1</v>
      </c>
      <c r="BV25">
        <v>0.17</v>
      </c>
      <c r="BW25">
        <v>0.6</v>
      </c>
      <c r="BX25">
        <v>0.45</v>
      </c>
      <c r="BY25">
        <v>19.420000000000002</v>
      </c>
      <c r="BZ25">
        <v>17.13</v>
      </c>
      <c r="CA25">
        <v>19.7</v>
      </c>
      <c r="CB25">
        <v>2.13</v>
      </c>
      <c r="CC25">
        <v>1.06</v>
      </c>
      <c r="CD25">
        <v>0.19</v>
      </c>
      <c r="CE25">
        <v>7.0000000000000007E-2</v>
      </c>
      <c r="CF25">
        <v>0.91</v>
      </c>
      <c r="CG25">
        <v>0.67</v>
      </c>
      <c r="CH25">
        <v>7.0000000000000007E-2</v>
      </c>
      <c r="CI25">
        <v>0.17</v>
      </c>
      <c r="CJ25">
        <v>1.78</v>
      </c>
      <c r="CK25">
        <v>18.64</v>
      </c>
      <c r="CL25">
        <v>0.17</v>
      </c>
      <c r="CZ25" t="e">
        <v>#VALUE!</v>
      </c>
      <c r="DA25" t="e">
        <v>#VALUE!</v>
      </c>
      <c r="DB25">
        <v>46107</v>
      </c>
    </row>
    <row r="26" spans="1:106" x14ac:dyDescent="0.25">
      <c r="A26" t="s">
        <v>521</v>
      </c>
      <c r="B26" t="s">
        <v>468</v>
      </c>
      <c r="C26" t="s">
        <v>467</v>
      </c>
      <c r="D26">
        <v>2</v>
      </c>
      <c r="F26">
        <v>1253</v>
      </c>
      <c r="G26" t="s">
        <v>411</v>
      </c>
      <c r="H26">
        <v>1565</v>
      </c>
      <c r="I26" t="s">
        <v>494</v>
      </c>
      <c r="J26">
        <v>1253</v>
      </c>
      <c r="K26" t="s">
        <v>411</v>
      </c>
      <c r="L26" t="s">
        <v>529</v>
      </c>
      <c r="M26">
        <v>863</v>
      </c>
      <c r="N26" t="s">
        <v>411</v>
      </c>
      <c r="O26" t="s">
        <v>529</v>
      </c>
      <c r="P26" t="s">
        <v>496</v>
      </c>
      <c r="Q26">
        <v>863</v>
      </c>
      <c r="R26" t="s">
        <v>411</v>
      </c>
      <c r="S26" t="s">
        <v>529</v>
      </c>
      <c r="T26" t="s">
        <v>411</v>
      </c>
      <c r="U26">
        <v>140.71428571428572</v>
      </c>
      <c r="V26">
        <v>27.605084090857233</v>
      </c>
      <c r="W26">
        <v>70.182291666666671</v>
      </c>
      <c r="X26">
        <v>3.96</v>
      </c>
      <c r="Y26">
        <v>4.6399999999999997</v>
      </c>
      <c r="Z26">
        <v>0.21</v>
      </c>
      <c r="AA26">
        <v>1.22</v>
      </c>
      <c r="AB26">
        <v>0.15</v>
      </c>
      <c r="AC26">
        <v>1.05</v>
      </c>
      <c r="AD26">
        <v>0.01</v>
      </c>
      <c r="AE26">
        <v>7.84</v>
      </c>
      <c r="AF26">
        <v>1.2</v>
      </c>
      <c r="AG26">
        <v>0.2</v>
      </c>
      <c r="AH26">
        <v>0.72</v>
      </c>
      <c r="AI26">
        <v>0.79</v>
      </c>
      <c r="AJ26">
        <v>19.489999999999998</v>
      </c>
      <c r="AK26">
        <v>0.1</v>
      </c>
      <c r="AL26">
        <v>0.39</v>
      </c>
      <c r="AM26">
        <v>0.75</v>
      </c>
      <c r="AN26">
        <v>0.79</v>
      </c>
      <c r="AO26">
        <v>6.77</v>
      </c>
      <c r="AP26">
        <v>0.05</v>
      </c>
      <c r="AQ26">
        <v>0.49</v>
      </c>
      <c r="AR26">
        <v>0.2</v>
      </c>
      <c r="AS26">
        <v>1.36</v>
      </c>
      <c r="AT26">
        <v>0.17</v>
      </c>
      <c r="AU26">
        <v>0.02</v>
      </c>
      <c r="AV26">
        <v>1.31</v>
      </c>
      <c r="AW26">
        <v>1.1000000000000001</v>
      </c>
      <c r="AX26">
        <v>0.21</v>
      </c>
      <c r="AY26">
        <v>0.26</v>
      </c>
      <c r="AZ26">
        <v>0.23</v>
      </c>
      <c r="BA26">
        <v>0</v>
      </c>
      <c r="BB26">
        <v>0.02</v>
      </c>
      <c r="BC26">
        <v>0.1</v>
      </c>
      <c r="BD26">
        <v>0.66</v>
      </c>
      <c r="BE26">
        <v>0.05</v>
      </c>
      <c r="BF26">
        <v>0.01</v>
      </c>
      <c r="BG26">
        <v>0.11</v>
      </c>
      <c r="BH26">
        <v>29.07</v>
      </c>
      <c r="BI26">
        <v>2.34</v>
      </c>
      <c r="BJ26">
        <v>0.33</v>
      </c>
      <c r="BK26">
        <v>0.1</v>
      </c>
      <c r="BM26">
        <v>0.13333333333333333</v>
      </c>
      <c r="BN26">
        <v>11.4</v>
      </c>
      <c r="BO26">
        <v>184.58</v>
      </c>
      <c r="BP26">
        <v>0.23</v>
      </c>
      <c r="BQ26">
        <v>0.46</v>
      </c>
      <c r="BR26">
        <v>15.01</v>
      </c>
      <c r="BS26">
        <v>0.87</v>
      </c>
      <c r="BT26">
        <v>2.44</v>
      </c>
      <c r="BU26">
        <v>7.47</v>
      </c>
      <c r="BV26">
        <v>0.09</v>
      </c>
      <c r="BW26">
        <v>0.51</v>
      </c>
      <c r="BX26">
        <v>0.1</v>
      </c>
      <c r="BY26">
        <v>17.29</v>
      </c>
      <c r="BZ26">
        <v>13.85</v>
      </c>
      <c r="CA26">
        <v>6.86</v>
      </c>
      <c r="CB26">
        <v>2.2999999999999998</v>
      </c>
      <c r="CC26">
        <v>0.43</v>
      </c>
      <c r="CD26">
        <v>7.0000000000000007E-2</v>
      </c>
      <c r="CE26">
        <v>7.0000000000000007E-2</v>
      </c>
      <c r="CF26">
        <v>0.97</v>
      </c>
      <c r="CG26">
        <v>0.06</v>
      </c>
      <c r="CH26">
        <v>0.03</v>
      </c>
      <c r="CI26">
        <v>0.42</v>
      </c>
      <c r="CJ26">
        <v>1.1000000000000001</v>
      </c>
      <c r="CK26">
        <v>11.39</v>
      </c>
      <c r="CL26">
        <v>0.08</v>
      </c>
      <c r="CZ26" t="e">
        <v>#VALUE!</v>
      </c>
      <c r="DA26" t="e">
        <v>#VALUE!</v>
      </c>
      <c r="DB26">
        <v>46107</v>
      </c>
    </row>
    <row r="27" spans="1:106" x14ac:dyDescent="0.25">
      <c r="A27" t="s">
        <v>521</v>
      </c>
      <c r="B27" t="s">
        <v>470</v>
      </c>
      <c r="C27" t="s">
        <v>469</v>
      </c>
      <c r="D27">
        <v>3</v>
      </c>
      <c r="F27">
        <v>1301</v>
      </c>
      <c r="G27" t="s">
        <v>412</v>
      </c>
      <c r="H27">
        <v>1572</v>
      </c>
      <c r="I27" t="s">
        <v>494</v>
      </c>
      <c r="J27">
        <v>1301</v>
      </c>
      <c r="K27" t="s">
        <v>412</v>
      </c>
      <c r="L27" t="s">
        <v>530</v>
      </c>
      <c r="M27">
        <v>896</v>
      </c>
      <c r="N27" t="s">
        <v>412</v>
      </c>
      <c r="O27" t="s">
        <v>530</v>
      </c>
      <c r="P27" t="s">
        <v>496</v>
      </c>
      <c r="Q27">
        <v>896</v>
      </c>
      <c r="R27" t="s">
        <v>412</v>
      </c>
      <c r="S27" t="s">
        <v>530</v>
      </c>
      <c r="T27" t="s">
        <v>412</v>
      </c>
      <c r="U27">
        <v>71.428571428571431</v>
      </c>
      <c r="V27">
        <v>27.323646892077274</v>
      </c>
      <c r="W27">
        <v>58.151041666666664</v>
      </c>
      <c r="X27">
        <v>3.42</v>
      </c>
      <c r="Y27">
        <v>2.38</v>
      </c>
      <c r="Z27">
        <v>0.41</v>
      </c>
      <c r="AA27">
        <v>0.82</v>
      </c>
      <c r="AB27">
        <v>0.21</v>
      </c>
      <c r="AC27">
        <v>0.65</v>
      </c>
      <c r="AD27">
        <v>0</v>
      </c>
      <c r="AE27">
        <v>10.9</v>
      </c>
      <c r="AF27">
        <v>0.41</v>
      </c>
      <c r="AG27">
        <v>0.27</v>
      </c>
      <c r="AH27">
        <v>0.27</v>
      </c>
      <c r="AI27">
        <v>0.35</v>
      </c>
      <c r="AJ27">
        <v>0.1</v>
      </c>
      <c r="AK27">
        <v>0.1</v>
      </c>
      <c r="AL27">
        <v>0.32</v>
      </c>
      <c r="AM27">
        <v>1.1100000000000001</v>
      </c>
      <c r="AN27">
        <v>0.6</v>
      </c>
      <c r="AO27">
        <v>3.31</v>
      </c>
      <c r="AP27">
        <v>0.06</v>
      </c>
      <c r="AQ27">
        <v>0.1</v>
      </c>
      <c r="AR27">
        <v>0.22</v>
      </c>
      <c r="AS27">
        <v>0.62</v>
      </c>
      <c r="AT27">
        <v>0.17</v>
      </c>
      <c r="AU27">
        <v>0.02</v>
      </c>
      <c r="AV27">
        <v>2.4500000000000002</v>
      </c>
      <c r="AW27">
        <v>1.38</v>
      </c>
      <c r="AX27">
        <v>0.25</v>
      </c>
      <c r="AY27">
        <v>0.33</v>
      </c>
      <c r="AZ27">
        <v>0.45</v>
      </c>
      <c r="BA27">
        <v>0.01</v>
      </c>
      <c r="BB27">
        <v>0.1</v>
      </c>
      <c r="BC27">
        <v>0.12</v>
      </c>
      <c r="BD27">
        <v>0.28999999999999998</v>
      </c>
      <c r="BE27">
        <v>7.0000000000000007E-2</v>
      </c>
      <c r="BF27">
        <v>0.01</v>
      </c>
      <c r="BG27">
        <v>0.09</v>
      </c>
      <c r="BH27">
        <v>36.18</v>
      </c>
      <c r="BI27">
        <v>1.5</v>
      </c>
      <c r="BJ27">
        <v>0.35</v>
      </c>
      <c r="BK27">
        <v>0.1</v>
      </c>
      <c r="BM27">
        <v>9.0090090090090086E-2</v>
      </c>
      <c r="BN27">
        <v>22.26</v>
      </c>
      <c r="BO27">
        <v>154.53</v>
      </c>
      <c r="BP27">
        <v>0.33</v>
      </c>
      <c r="BQ27">
        <v>0.6</v>
      </c>
      <c r="BR27">
        <v>17.809999999999999</v>
      </c>
      <c r="BS27">
        <v>0.93</v>
      </c>
      <c r="BT27">
        <v>1</v>
      </c>
      <c r="BU27">
        <v>15.11</v>
      </c>
      <c r="BV27">
        <v>0.14000000000000001</v>
      </c>
      <c r="BW27">
        <v>0.27</v>
      </c>
      <c r="BX27">
        <v>0.11</v>
      </c>
      <c r="BY27">
        <v>11.01</v>
      </c>
      <c r="BZ27">
        <v>24.1</v>
      </c>
      <c r="CA27">
        <v>10.52</v>
      </c>
      <c r="CB27">
        <v>1.34</v>
      </c>
      <c r="CC27">
        <v>0.41</v>
      </c>
      <c r="CD27">
        <v>0.03</v>
      </c>
      <c r="CE27">
        <v>0.03</v>
      </c>
      <c r="CF27">
        <v>0.1</v>
      </c>
      <c r="CG27">
        <v>0.01</v>
      </c>
      <c r="CH27">
        <v>0.03</v>
      </c>
      <c r="CI27">
        <v>0.1</v>
      </c>
      <c r="CJ27">
        <v>1.49</v>
      </c>
      <c r="CK27">
        <v>19.850000000000001</v>
      </c>
      <c r="CL27">
        <v>0.08</v>
      </c>
      <c r="CZ27" t="e">
        <v>#VALUE!</v>
      </c>
      <c r="DA27" t="e">
        <v>#VALUE!</v>
      </c>
      <c r="DB27">
        <v>46107</v>
      </c>
    </row>
    <row r="28" spans="1:106" x14ac:dyDescent="0.25">
      <c r="A28" t="s">
        <v>521</v>
      </c>
      <c r="B28" t="s">
        <v>472</v>
      </c>
      <c r="C28" t="s">
        <v>471</v>
      </c>
      <c r="D28">
        <v>2</v>
      </c>
      <c r="F28">
        <v>1349</v>
      </c>
      <c r="G28" t="s">
        <v>413</v>
      </c>
      <c r="H28">
        <v>1573</v>
      </c>
      <c r="I28" t="s">
        <v>494</v>
      </c>
      <c r="J28">
        <v>1349</v>
      </c>
      <c r="K28" t="s">
        <v>413</v>
      </c>
      <c r="L28" t="s">
        <v>531</v>
      </c>
      <c r="M28">
        <v>929</v>
      </c>
      <c r="N28" t="s">
        <v>413</v>
      </c>
      <c r="O28" t="s">
        <v>531</v>
      </c>
      <c r="P28" t="s">
        <v>496</v>
      </c>
      <c r="Q28">
        <v>929</v>
      </c>
      <c r="R28" t="s">
        <v>413</v>
      </c>
      <c r="S28" t="s">
        <v>531</v>
      </c>
      <c r="T28" t="s">
        <v>413</v>
      </c>
      <c r="U28">
        <v>56.428571428571416</v>
      </c>
      <c r="V28">
        <v>35.25848499039099</v>
      </c>
      <c r="W28">
        <v>20.052083333333332</v>
      </c>
      <c r="X28">
        <v>0.1</v>
      </c>
      <c r="Y28">
        <v>2.34</v>
      </c>
      <c r="Z28">
        <v>0.42</v>
      </c>
      <c r="AA28">
        <v>0.82</v>
      </c>
      <c r="AB28">
        <v>0.24</v>
      </c>
      <c r="AC28">
        <v>1.01</v>
      </c>
      <c r="AD28">
        <v>0.01</v>
      </c>
      <c r="AE28">
        <v>4.71</v>
      </c>
      <c r="AF28">
        <v>0.64</v>
      </c>
      <c r="AG28">
        <v>0.3</v>
      </c>
      <c r="AH28">
        <v>0.1</v>
      </c>
      <c r="AI28">
        <v>0.31</v>
      </c>
      <c r="AJ28">
        <v>26.77</v>
      </c>
      <c r="AK28">
        <v>0.1</v>
      </c>
      <c r="AL28">
        <v>0.25</v>
      </c>
      <c r="AM28">
        <v>0.97</v>
      </c>
      <c r="AN28">
        <v>0.1</v>
      </c>
      <c r="AO28">
        <v>0.99</v>
      </c>
      <c r="AP28">
        <v>0.01</v>
      </c>
      <c r="AQ28">
        <v>0.1</v>
      </c>
      <c r="AR28">
        <v>0.19</v>
      </c>
      <c r="AS28">
        <v>0.38</v>
      </c>
      <c r="AT28">
        <v>0.01</v>
      </c>
      <c r="AU28">
        <v>0.02</v>
      </c>
      <c r="AV28">
        <v>0.55000000000000004</v>
      </c>
      <c r="AW28">
        <v>1.19</v>
      </c>
      <c r="AX28">
        <v>0.26</v>
      </c>
      <c r="AY28">
        <v>0.45</v>
      </c>
      <c r="AZ28">
        <v>0.41</v>
      </c>
      <c r="BA28">
        <v>0.01</v>
      </c>
      <c r="BB28">
        <v>0.1</v>
      </c>
      <c r="BC28">
        <v>0.08</v>
      </c>
      <c r="BD28">
        <v>0.45</v>
      </c>
      <c r="BE28">
        <v>0.08</v>
      </c>
      <c r="BF28">
        <v>0.01</v>
      </c>
      <c r="BG28">
        <v>0.11</v>
      </c>
      <c r="BH28">
        <v>26.28</v>
      </c>
      <c r="BI28">
        <v>0.84</v>
      </c>
      <c r="BJ28">
        <v>0.1</v>
      </c>
      <c r="BK28">
        <v>0.1</v>
      </c>
      <c r="BM28">
        <v>0.10309278350515465</v>
      </c>
      <c r="BN28">
        <v>28.03</v>
      </c>
      <c r="BO28">
        <v>166.06</v>
      </c>
      <c r="BP28">
        <v>0.38</v>
      </c>
      <c r="BQ28">
        <v>0.54</v>
      </c>
      <c r="BR28">
        <v>20.329999999999998</v>
      </c>
      <c r="BS28">
        <v>0.92</v>
      </c>
      <c r="BT28">
        <v>0.28999999999999998</v>
      </c>
      <c r="BU28">
        <v>0.1</v>
      </c>
      <c r="BV28">
        <v>0.04</v>
      </c>
      <c r="BW28">
        <v>0.1</v>
      </c>
      <c r="BX28">
        <v>0.09</v>
      </c>
      <c r="BY28">
        <v>7.65</v>
      </c>
      <c r="BZ28">
        <v>23.02</v>
      </c>
      <c r="CA28">
        <v>0.44</v>
      </c>
      <c r="CB28">
        <v>1.61</v>
      </c>
      <c r="CC28">
        <v>0.11</v>
      </c>
      <c r="CD28">
        <v>0.03</v>
      </c>
      <c r="CE28">
        <v>0</v>
      </c>
      <c r="CF28">
        <v>0.1</v>
      </c>
      <c r="CG28">
        <v>0.1</v>
      </c>
      <c r="CH28">
        <v>0.04</v>
      </c>
      <c r="CI28">
        <v>0.38</v>
      </c>
      <c r="CJ28">
        <v>1.74</v>
      </c>
      <c r="CK28">
        <v>0.1</v>
      </c>
      <c r="CL28">
        <v>0.01</v>
      </c>
      <c r="CZ28" t="e">
        <v>#VALUE!</v>
      </c>
      <c r="DA28" t="e">
        <v>#VALUE!</v>
      </c>
      <c r="DB28">
        <v>46107</v>
      </c>
    </row>
    <row r="29" spans="1:106" x14ac:dyDescent="0.25">
      <c r="A29" t="s">
        <v>521</v>
      </c>
      <c r="B29" t="s">
        <v>474</v>
      </c>
      <c r="C29" t="s">
        <v>473</v>
      </c>
      <c r="D29">
        <v>2</v>
      </c>
      <c r="F29">
        <v>2597</v>
      </c>
      <c r="G29" t="s">
        <v>414</v>
      </c>
      <c r="H29">
        <v>1594</v>
      </c>
      <c r="I29" t="s">
        <v>494</v>
      </c>
      <c r="J29">
        <v>2597</v>
      </c>
      <c r="K29" t="s">
        <v>414</v>
      </c>
      <c r="L29" t="s">
        <v>532</v>
      </c>
      <c r="M29">
        <v>1787</v>
      </c>
      <c r="N29" t="s">
        <v>414</v>
      </c>
      <c r="O29" t="s">
        <v>532</v>
      </c>
      <c r="P29" t="s">
        <v>496</v>
      </c>
      <c r="Q29">
        <v>1787</v>
      </c>
      <c r="R29" t="s">
        <v>414</v>
      </c>
      <c r="S29" t="s">
        <v>532</v>
      </c>
      <c r="T29" t="s">
        <v>533</v>
      </c>
      <c r="U29">
        <v>55.000000000000007</v>
      </c>
      <c r="V29">
        <v>104.73318188364004</v>
      </c>
      <c r="W29">
        <v>192.5</v>
      </c>
      <c r="X29">
        <v>2.82</v>
      </c>
      <c r="Y29">
        <v>5.17</v>
      </c>
      <c r="Z29">
        <v>0.56000000000000005</v>
      </c>
      <c r="AA29">
        <v>2.4300000000000002</v>
      </c>
      <c r="AB29">
        <v>0.1</v>
      </c>
      <c r="AC29">
        <v>2.88</v>
      </c>
      <c r="AD29">
        <v>0.13</v>
      </c>
      <c r="AE29">
        <v>24.6</v>
      </c>
      <c r="AF29">
        <v>2.63</v>
      </c>
      <c r="AG29">
        <v>1</v>
      </c>
      <c r="AH29">
        <v>2.4500000000000002</v>
      </c>
      <c r="AI29">
        <v>0.81</v>
      </c>
      <c r="AJ29">
        <v>156.34</v>
      </c>
      <c r="AK29">
        <v>0.1</v>
      </c>
      <c r="AL29">
        <v>1.87</v>
      </c>
      <c r="AM29">
        <v>1.7</v>
      </c>
      <c r="AN29">
        <v>1.48</v>
      </c>
      <c r="AO29">
        <v>10.74</v>
      </c>
      <c r="AP29">
        <v>0.14000000000000001</v>
      </c>
      <c r="AQ29">
        <v>5.97</v>
      </c>
      <c r="AR29">
        <v>0.67</v>
      </c>
      <c r="AS29">
        <v>1.51</v>
      </c>
      <c r="AT29">
        <v>0.92</v>
      </c>
      <c r="AU29">
        <v>0.06</v>
      </c>
      <c r="AV29">
        <v>9.74</v>
      </c>
      <c r="AW29">
        <v>2.1800000000000002</v>
      </c>
      <c r="AX29">
        <v>1.02</v>
      </c>
      <c r="AY29">
        <v>1.07</v>
      </c>
      <c r="AZ29">
        <v>1</v>
      </c>
      <c r="BA29">
        <v>0</v>
      </c>
      <c r="BB29">
        <v>0.33</v>
      </c>
      <c r="BC29">
        <v>0.27</v>
      </c>
      <c r="BD29">
        <v>1.1599999999999999</v>
      </c>
      <c r="BE29">
        <v>0.18</v>
      </c>
      <c r="BF29">
        <v>0.03</v>
      </c>
      <c r="BG29">
        <v>0.79</v>
      </c>
      <c r="BH29">
        <v>61.15</v>
      </c>
      <c r="BI29">
        <v>3.22</v>
      </c>
      <c r="BJ29">
        <v>0.3</v>
      </c>
      <c r="BK29">
        <v>0.1</v>
      </c>
      <c r="BM29">
        <v>5.8823529411764712E-2</v>
      </c>
      <c r="BN29">
        <v>28.79</v>
      </c>
      <c r="BO29">
        <v>426.83</v>
      </c>
      <c r="BP29">
        <v>0.53</v>
      </c>
      <c r="BQ29">
        <v>1.08</v>
      </c>
      <c r="BR29">
        <v>34.340000000000003</v>
      </c>
      <c r="BS29">
        <v>2.58</v>
      </c>
      <c r="BT29">
        <v>3.98</v>
      </c>
      <c r="BU29">
        <v>18.98</v>
      </c>
      <c r="BV29">
        <v>0.17</v>
      </c>
      <c r="BW29">
        <v>4.03</v>
      </c>
      <c r="BX29">
        <v>0.47</v>
      </c>
      <c r="BY29">
        <v>39.44</v>
      </c>
      <c r="BZ29">
        <v>29.56</v>
      </c>
      <c r="CA29">
        <v>22.6</v>
      </c>
      <c r="CB29">
        <v>4.93</v>
      </c>
      <c r="CC29">
        <v>0.61</v>
      </c>
      <c r="CD29">
        <v>0.11</v>
      </c>
      <c r="CE29">
        <v>0.11</v>
      </c>
      <c r="CF29">
        <v>1.64</v>
      </c>
      <c r="CG29">
        <v>0.31</v>
      </c>
      <c r="CH29">
        <v>0.16</v>
      </c>
      <c r="CI29">
        <v>7.76</v>
      </c>
      <c r="CJ29">
        <v>2.9</v>
      </c>
      <c r="CK29">
        <v>14.33</v>
      </c>
      <c r="CL29">
        <v>0.23</v>
      </c>
      <c r="CZ29" t="e">
        <v>#VALUE!</v>
      </c>
      <c r="DA29" t="e">
        <v>#VALUE!</v>
      </c>
      <c r="DB29">
        <v>46107</v>
      </c>
    </row>
    <row r="30" spans="1:106" x14ac:dyDescent="0.25">
      <c r="A30" t="s">
        <v>521</v>
      </c>
      <c r="B30" t="s">
        <v>476</v>
      </c>
      <c r="C30" t="s">
        <v>475</v>
      </c>
      <c r="D30">
        <v>2</v>
      </c>
      <c r="F30">
        <v>2645</v>
      </c>
      <c r="G30" t="s">
        <v>415</v>
      </c>
      <c r="H30">
        <v>1600</v>
      </c>
      <c r="I30" t="s">
        <v>494</v>
      </c>
      <c r="J30">
        <v>2645</v>
      </c>
      <c r="K30" t="s">
        <v>415</v>
      </c>
      <c r="L30" t="s">
        <v>534</v>
      </c>
      <c r="M30">
        <v>1820</v>
      </c>
      <c r="N30" t="s">
        <v>415</v>
      </c>
      <c r="O30" t="s">
        <v>534</v>
      </c>
      <c r="P30" t="s">
        <v>496</v>
      </c>
      <c r="Q30">
        <v>1820</v>
      </c>
      <c r="R30" t="s">
        <v>415</v>
      </c>
      <c r="S30" t="s">
        <v>534</v>
      </c>
      <c r="T30" t="s">
        <v>535</v>
      </c>
      <c r="U30">
        <v>77.142857142857153</v>
      </c>
      <c r="V30">
        <v>38.809207200181667</v>
      </c>
      <c r="W30">
        <v>137.99479166666669</v>
      </c>
      <c r="X30">
        <v>0.1</v>
      </c>
      <c r="Y30">
        <v>6.14</v>
      </c>
      <c r="Z30">
        <v>0.54</v>
      </c>
      <c r="AA30">
        <v>1.25</v>
      </c>
      <c r="AB30">
        <v>0.09</v>
      </c>
      <c r="AC30">
        <v>4.49</v>
      </c>
      <c r="AD30">
        <v>0</v>
      </c>
      <c r="AE30">
        <v>12.22</v>
      </c>
      <c r="AF30">
        <v>2.04</v>
      </c>
      <c r="AG30">
        <v>0.59</v>
      </c>
      <c r="AH30">
        <v>0.69</v>
      </c>
      <c r="AI30">
        <v>0.77</v>
      </c>
      <c r="AJ30">
        <v>103.78</v>
      </c>
      <c r="AK30">
        <v>0.1</v>
      </c>
      <c r="AL30">
        <v>0.5</v>
      </c>
      <c r="AM30">
        <v>1.0900000000000001</v>
      </c>
      <c r="AN30">
        <v>1.18</v>
      </c>
      <c r="AO30">
        <v>19.88</v>
      </c>
      <c r="AP30">
        <v>0.05</v>
      </c>
      <c r="AQ30">
        <v>1.61</v>
      </c>
      <c r="AR30">
        <v>0.19</v>
      </c>
      <c r="AS30">
        <v>1.43</v>
      </c>
      <c r="AT30">
        <v>0.56999999999999995</v>
      </c>
      <c r="AU30">
        <v>0.03</v>
      </c>
      <c r="AV30">
        <v>6.4</v>
      </c>
      <c r="AW30">
        <v>1.95</v>
      </c>
      <c r="AX30">
        <v>0.25</v>
      </c>
      <c r="AY30">
        <v>0.38</v>
      </c>
      <c r="AZ30">
        <v>0.48</v>
      </c>
      <c r="BA30">
        <v>0.01</v>
      </c>
      <c r="BB30">
        <v>0.15</v>
      </c>
      <c r="BC30">
        <v>0.15</v>
      </c>
      <c r="BD30">
        <v>2.69</v>
      </c>
      <c r="BE30">
        <v>7.0000000000000007E-2</v>
      </c>
      <c r="BF30">
        <v>0.01</v>
      </c>
      <c r="BG30">
        <v>0.48</v>
      </c>
      <c r="BH30">
        <v>28.14</v>
      </c>
      <c r="BI30">
        <v>1.75</v>
      </c>
      <c r="BJ30">
        <v>0.26</v>
      </c>
      <c r="BK30">
        <v>0.01</v>
      </c>
      <c r="BM30">
        <v>9.1743119266055051E-2</v>
      </c>
      <c r="BN30">
        <v>20.75</v>
      </c>
      <c r="BO30">
        <v>318.06</v>
      </c>
      <c r="BP30">
        <v>0.36</v>
      </c>
      <c r="BQ30">
        <v>1.31</v>
      </c>
      <c r="BR30">
        <v>20.76</v>
      </c>
      <c r="BS30">
        <v>1.49</v>
      </c>
      <c r="BT30">
        <v>0.79</v>
      </c>
      <c r="BU30">
        <v>0.1</v>
      </c>
      <c r="BV30">
        <v>0.15</v>
      </c>
      <c r="BW30">
        <v>0.11</v>
      </c>
      <c r="BX30">
        <v>0.14000000000000001</v>
      </c>
      <c r="BY30">
        <v>24.06</v>
      </c>
      <c r="BZ30">
        <v>25.18</v>
      </c>
      <c r="CA30">
        <v>11.63</v>
      </c>
      <c r="CB30">
        <v>2.72</v>
      </c>
      <c r="CC30">
        <v>0.39</v>
      </c>
      <c r="CD30">
        <v>0.08</v>
      </c>
      <c r="CE30">
        <v>0.15</v>
      </c>
      <c r="CF30">
        <v>4.93</v>
      </c>
      <c r="CG30">
        <v>0.13</v>
      </c>
      <c r="CH30">
        <v>7.0000000000000007E-2</v>
      </c>
      <c r="CI30">
        <v>3.71</v>
      </c>
      <c r="CJ30">
        <v>1.57</v>
      </c>
      <c r="CK30">
        <v>4.21</v>
      </c>
      <c r="CL30">
        <v>7.0000000000000007E-2</v>
      </c>
      <c r="CZ30" t="e">
        <v>#VALUE!</v>
      </c>
      <c r="DA30" t="e">
        <v>#VALUE!</v>
      </c>
      <c r="DB30">
        <v>46107</v>
      </c>
    </row>
    <row r="31" spans="1:106" x14ac:dyDescent="0.25">
      <c r="A31" t="s">
        <v>536</v>
      </c>
      <c r="B31" t="s">
        <v>478</v>
      </c>
      <c r="C31" t="s">
        <v>477</v>
      </c>
      <c r="D31">
        <v>2</v>
      </c>
      <c r="F31">
        <v>2789</v>
      </c>
      <c r="G31" t="s">
        <v>416</v>
      </c>
      <c r="H31">
        <v>1605</v>
      </c>
      <c r="I31" t="s">
        <v>494</v>
      </c>
      <c r="J31">
        <v>2789</v>
      </c>
      <c r="K31" t="s">
        <v>416</v>
      </c>
      <c r="L31" t="s">
        <v>537</v>
      </c>
      <c r="M31">
        <v>1919</v>
      </c>
      <c r="N31" t="s">
        <v>416</v>
      </c>
      <c r="O31" t="s">
        <v>537</v>
      </c>
      <c r="P31" t="s">
        <v>496</v>
      </c>
      <c r="Q31">
        <v>1919</v>
      </c>
      <c r="R31" t="s">
        <v>416</v>
      </c>
      <c r="S31" t="s">
        <v>537</v>
      </c>
      <c r="T31" t="s">
        <v>538</v>
      </c>
      <c r="U31">
        <v>303.57142857142861</v>
      </c>
      <c r="V31">
        <v>14.605901479716922</v>
      </c>
      <c r="W31">
        <v>226.77083333333331</v>
      </c>
      <c r="X31">
        <v>17.22</v>
      </c>
      <c r="Y31">
        <v>3.46</v>
      </c>
      <c r="Z31">
        <v>0.17</v>
      </c>
      <c r="AA31">
        <v>2.4300000000000002</v>
      </c>
      <c r="AB31">
        <v>0.32</v>
      </c>
      <c r="AC31">
        <v>2.19</v>
      </c>
      <c r="AD31">
        <v>0.1</v>
      </c>
      <c r="AE31">
        <v>7.2</v>
      </c>
      <c r="AF31">
        <v>0.54</v>
      </c>
      <c r="AG31">
        <v>0.22</v>
      </c>
      <c r="AH31">
        <v>1.18</v>
      </c>
      <c r="AI31">
        <v>0.88</v>
      </c>
      <c r="AJ31">
        <v>39.24</v>
      </c>
      <c r="AK31">
        <v>0.28999999999999998</v>
      </c>
      <c r="AL31">
        <v>1.07</v>
      </c>
      <c r="AM31">
        <v>1.03</v>
      </c>
      <c r="AN31">
        <v>2.83</v>
      </c>
      <c r="AO31">
        <v>6.38</v>
      </c>
      <c r="AP31">
        <v>0.06</v>
      </c>
      <c r="AQ31">
        <v>0.92</v>
      </c>
      <c r="AR31">
        <v>0.6</v>
      </c>
      <c r="AS31">
        <v>1.74</v>
      </c>
      <c r="AT31">
        <v>0.5</v>
      </c>
      <c r="AU31">
        <v>0.02</v>
      </c>
      <c r="AV31">
        <v>1.64</v>
      </c>
      <c r="AW31">
        <v>1</v>
      </c>
      <c r="AX31">
        <v>0.43</v>
      </c>
      <c r="AY31">
        <v>0.6</v>
      </c>
      <c r="AZ31">
        <v>0.36</v>
      </c>
      <c r="BA31">
        <v>0.12</v>
      </c>
      <c r="BB31">
        <v>0.21</v>
      </c>
      <c r="BC31">
        <v>0.18</v>
      </c>
      <c r="BD31">
        <v>0.62</v>
      </c>
      <c r="BE31">
        <v>0.03</v>
      </c>
      <c r="BF31">
        <v>0.01</v>
      </c>
      <c r="BG31">
        <v>0.12</v>
      </c>
      <c r="BH31">
        <v>16.79</v>
      </c>
      <c r="BI31">
        <v>1.77</v>
      </c>
      <c r="BJ31">
        <v>0.11</v>
      </c>
      <c r="BK31">
        <v>0.1</v>
      </c>
      <c r="BM31">
        <v>0.28155339805825241</v>
      </c>
      <c r="BN31">
        <v>5.3</v>
      </c>
      <c r="BO31">
        <v>203.3</v>
      </c>
      <c r="BP31">
        <v>0.27</v>
      </c>
      <c r="BQ31">
        <v>0.39</v>
      </c>
      <c r="BR31">
        <v>27.46</v>
      </c>
      <c r="BS31">
        <v>1.4</v>
      </c>
      <c r="BT31">
        <v>1.63</v>
      </c>
      <c r="BU31">
        <v>9.49</v>
      </c>
      <c r="BV31">
        <v>0.15</v>
      </c>
      <c r="BW31">
        <v>0.81</v>
      </c>
      <c r="BX31">
        <v>0.12</v>
      </c>
      <c r="BY31">
        <v>36.83</v>
      </c>
      <c r="BZ31">
        <v>10.55</v>
      </c>
      <c r="CA31">
        <v>3.88</v>
      </c>
      <c r="CB31">
        <v>3.82</v>
      </c>
      <c r="CC31">
        <v>1.3</v>
      </c>
      <c r="CD31">
        <v>0</v>
      </c>
      <c r="CE31">
        <v>0.05</v>
      </c>
      <c r="CF31">
        <v>0.31</v>
      </c>
      <c r="CG31">
        <v>0.13</v>
      </c>
      <c r="CH31">
        <v>0.1</v>
      </c>
      <c r="CI31">
        <v>1.45</v>
      </c>
      <c r="CJ31">
        <v>1.98</v>
      </c>
      <c r="CK31">
        <v>10.199999999999999</v>
      </c>
      <c r="CL31">
        <v>7.0000000000000007E-2</v>
      </c>
      <c r="CZ31" t="e">
        <v>#VALUE!</v>
      </c>
      <c r="DA31" t="e">
        <v>#VALUE!</v>
      </c>
      <c r="DB31">
        <v>46108</v>
      </c>
    </row>
    <row r="32" spans="1:106" x14ac:dyDescent="0.25">
      <c r="A32" t="s">
        <v>536</v>
      </c>
      <c r="B32" t="s">
        <v>491</v>
      </c>
      <c r="D32">
        <v>2</v>
      </c>
      <c r="F32">
        <v>2837</v>
      </c>
      <c r="G32" t="s">
        <v>417</v>
      </c>
      <c r="H32">
        <v>1623</v>
      </c>
      <c r="I32" t="s">
        <v>494</v>
      </c>
      <c r="J32">
        <v>2837</v>
      </c>
      <c r="K32" t="s">
        <v>417</v>
      </c>
      <c r="L32" t="s">
        <v>539</v>
      </c>
      <c r="M32">
        <v>1952</v>
      </c>
      <c r="N32" t="s">
        <v>417</v>
      </c>
      <c r="O32" t="s">
        <v>539</v>
      </c>
      <c r="P32" t="s">
        <v>496</v>
      </c>
      <c r="Q32">
        <v>1952</v>
      </c>
      <c r="R32" t="s">
        <v>417</v>
      </c>
      <c r="S32" t="s">
        <v>539</v>
      </c>
      <c r="T32" t="s">
        <v>540</v>
      </c>
      <c r="U32">
        <v>42.857142857142854</v>
      </c>
      <c r="V32">
        <v>39.791718774869828</v>
      </c>
      <c r="W32">
        <v>70.182291666666671</v>
      </c>
      <c r="X32">
        <v>0.1</v>
      </c>
      <c r="Y32">
        <v>3.72</v>
      </c>
      <c r="Z32">
        <v>0.52</v>
      </c>
      <c r="AA32">
        <v>1.1399999999999999</v>
      </c>
      <c r="AB32">
        <v>0.16</v>
      </c>
      <c r="AC32">
        <v>1.86</v>
      </c>
      <c r="AD32">
        <v>0.1</v>
      </c>
      <c r="AE32">
        <v>8.02</v>
      </c>
      <c r="AF32">
        <v>0.77</v>
      </c>
      <c r="AG32">
        <v>1.06</v>
      </c>
      <c r="AH32">
        <v>0.1</v>
      </c>
      <c r="AI32">
        <v>0.3</v>
      </c>
      <c r="AJ32">
        <v>55.38</v>
      </c>
      <c r="AK32">
        <v>0.1</v>
      </c>
      <c r="AL32">
        <v>0.23</v>
      </c>
      <c r="AM32">
        <v>1.37</v>
      </c>
      <c r="AN32">
        <v>0.2</v>
      </c>
      <c r="AO32">
        <v>2.8</v>
      </c>
      <c r="AP32">
        <v>0.01</v>
      </c>
      <c r="AQ32">
        <v>0.54</v>
      </c>
      <c r="AR32">
        <v>0.46</v>
      </c>
      <c r="AS32">
        <v>0.52</v>
      </c>
      <c r="AT32">
        <v>0.13</v>
      </c>
      <c r="AU32">
        <v>0.04</v>
      </c>
      <c r="AV32">
        <v>1.83</v>
      </c>
      <c r="AW32">
        <v>2.3199999999999998</v>
      </c>
      <c r="AX32">
        <v>0.48</v>
      </c>
      <c r="AY32">
        <v>0.69</v>
      </c>
      <c r="AZ32">
        <v>0.7</v>
      </c>
      <c r="BA32">
        <v>0.12</v>
      </c>
      <c r="BB32">
        <v>0.1</v>
      </c>
      <c r="BC32">
        <v>0.09</v>
      </c>
      <c r="BD32">
        <v>0.65</v>
      </c>
      <c r="BE32">
        <v>0.11</v>
      </c>
      <c r="BF32">
        <v>0.01</v>
      </c>
      <c r="BG32">
        <v>0.17</v>
      </c>
      <c r="BH32">
        <v>42.45</v>
      </c>
      <c r="BI32">
        <v>2.25</v>
      </c>
      <c r="BJ32">
        <v>0.1</v>
      </c>
      <c r="BK32">
        <v>0.1</v>
      </c>
      <c r="BM32">
        <v>7.2992700729927001E-2</v>
      </c>
      <c r="BN32">
        <v>36.979999999999997</v>
      </c>
      <c r="BO32">
        <v>228.14</v>
      </c>
      <c r="BP32">
        <v>0.54</v>
      </c>
      <c r="BQ32">
        <v>1.07</v>
      </c>
      <c r="BR32">
        <v>27.86</v>
      </c>
      <c r="BS32">
        <v>1.49</v>
      </c>
      <c r="BT32">
        <v>1.02</v>
      </c>
      <c r="BU32">
        <v>0.1</v>
      </c>
      <c r="BV32">
        <v>0.12</v>
      </c>
      <c r="BW32">
        <v>1.82</v>
      </c>
      <c r="BX32">
        <v>0.13</v>
      </c>
      <c r="BY32">
        <v>14.13</v>
      </c>
      <c r="BZ32">
        <v>38.69</v>
      </c>
      <c r="CA32">
        <v>8.19</v>
      </c>
      <c r="CB32">
        <v>1.92</v>
      </c>
      <c r="CC32">
        <v>0.14000000000000001</v>
      </c>
      <c r="CD32">
        <v>0.04</v>
      </c>
      <c r="CE32">
        <v>0.03</v>
      </c>
      <c r="CF32">
        <v>0.1</v>
      </c>
      <c r="CG32">
        <v>0.03</v>
      </c>
      <c r="CH32">
        <v>0.06</v>
      </c>
      <c r="CI32">
        <v>2.67</v>
      </c>
      <c r="CJ32">
        <v>2.2799999999999998</v>
      </c>
      <c r="CK32">
        <v>11.27</v>
      </c>
      <c r="CL32">
        <v>0.08</v>
      </c>
      <c r="CZ32" t="e">
        <v>#VALUE!</v>
      </c>
      <c r="DA32" t="e">
        <v>#VALUE!</v>
      </c>
      <c r="DB32">
        <v>46108</v>
      </c>
    </row>
    <row r="33" spans="1:106" x14ac:dyDescent="0.25">
      <c r="A33" t="s">
        <v>536</v>
      </c>
      <c r="B33" t="s">
        <v>480</v>
      </c>
      <c r="C33" t="s">
        <v>479</v>
      </c>
      <c r="D33">
        <v>2</v>
      </c>
      <c r="F33">
        <v>2885</v>
      </c>
      <c r="G33" t="s">
        <v>418</v>
      </c>
      <c r="H33">
        <v>1604</v>
      </c>
      <c r="I33" t="s">
        <v>494</v>
      </c>
      <c r="J33">
        <v>2885</v>
      </c>
      <c r="K33" t="s">
        <v>541</v>
      </c>
      <c r="L33" t="s">
        <v>542</v>
      </c>
      <c r="M33">
        <v>1985</v>
      </c>
      <c r="N33" t="s">
        <v>418</v>
      </c>
      <c r="O33" t="s">
        <v>542</v>
      </c>
      <c r="P33" t="s">
        <v>496</v>
      </c>
      <c r="Q33">
        <v>1985</v>
      </c>
      <c r="R33" t="s">
        <v>418</v>
      </c>
      <c r="S33" t="s">
        <v>542</v>
      </c>
      <c r="T33" t="s">
        <v>543</v>
      </c>
      <c r="U33">
        <v>73.571428571428584</v>
      </c>
      <c r="V33">
        <v>28.845776717057731</v>
      </c>
      <c r="W33">
        <v>46.119791666666664</v>
      </c>
      <c r="X33">
        <v>0.1</v>
      </c>
      <c r="Y33">
        <v>2.0099999999999998</v>
      </c>
      <c r="Z33">
        <v>0.37</v>
      </c>
      <c r="AA33">
        <v>1.02</v>
      </c>
      <c r="AB33">
        <v>0.19</v>
      </c>
      <c r="AC33">
        <v>3.13</v>
      </c>
      <c r="AD33">
        <v>0.06</v>
      </c>
      <c r="AE33">
        <v>10.72</v>
      </c>
      <c r="AF33">
        <v>0.51</v>
      </c>
      <c r="AG33">
        <v>0.61</v>
      </c>
      <c r="AH33">
        <v>0.32</v>
      </c>
      <c r="AI33">
        <v>0.69</v>
      </c>
      <c r="AJ33">
        <v>140.69999999999999</v>
      </c>
      <c r="AK33">
        <v>0.1</v>
      </c>
      <c r="AL33">
        <v>0.56999999999999995</v>
      </c>
      <c r="AM33">
        <v>0.91</v>
      </c>
      <c r="AN33">
        <v>1.21</v>
      </c>
      <c r="AO33">
        <v>4.9400000000000004</v>
      </c>
      <c r="AP33">
        <v>0.02</v>
      </c>
      <c r="AQ33">
        <v>0.26</v>
      </c>
      <c r="AR33">
        <v>0.33</v>
      </c>
      <c r="AS33">
        <v>0.95</v>
      </c>
      <c r="AT33">
        <v>0.08</v>
      </c>
      <c r="AU33">
        <v>0.02</v>
      </c>
      <c r="AV33">
        <v>3.9</v>
      </c>
      <c r="AW33">
        <v>1.51</v>
      </c>
      <c r="AX33">
        <v>1.51</v>
      </c>
      <c r="AY33">
        <v>0.59</v>
      </c>
      <c r="AZ33">
        <v>0.42</v>
      </c>
      <c r="BA33">
        <v>0.02</v>
      </c>
      <c r="BB33">
        <v>0.1</v>
      </c>
      <c r="BC33">
        <v>0.23</v>
      </c>
      <c r="BD33">
        <v>0.5</v>
      </c>
      <c r="BE33">
        <v>0.08</v>
      </c>
      <c r="BF33">
        <v>0.01</v>
      </c>
      <c r="BG33">
        <v>0.2</v>
      </c>
      <c r="BH33">
        <v>30.89</v>
      </c>
      <c r="BI33">
        <v>1.85</v>
      </c>
      <c r="BJ33">
        <v>0.1</v>
      </c>
      <c r="BK33">
        <v>0.1</v>
      </c>
      <c r="BM33">
        <v>0.10989010989010989</v>
      </c>
      <c r="BN33">
        <v>21.63</v>
      </c>
      <c r="BO33">
        <v>339.37</v>
      </c>
      <c r="BP33">
        <v>0.37</v>
      </c>
      <c r="BQ33">
        <v>1.32</v>
      </c>
      <c r="BR33">
        <v>20.05</v>
      </c>
      <c r="BS33">
        <v>1.46</v>
      </c>
      <c r="BT33">
        <v>1.18</v>
      </c>
      <c r="BU33">
        <v>14.62</v>
      </c>
      <c r="BV33">
        <v>0.08</v>
      </c>
      <c r="BW33">
        <v>2.6</v>
      </c>
      <c r="BX33">
        <v>0.15</v>
      </c>
      <c r="BY33">
        <v>17.52</v>
      </c>
      <c r="BZ33">
        <v>24.85</v>
      </c>
      <c r="CA33">
        <v>6.5</v>
      </c>
      <c r="CB33">
        <v>4.0199999999999996</v>
      </c>
      <c r="CC33">
        <v>0.44</v>
      </c>
      <c r="CD33">
        <v>7.0000000000000007E-2</v>
      </c>
      <c r="CE33">
        <v>0.03</v>
      </c>
      <c r="CF33">
        <v>0.1</v>
      </c>
      <c r="CG33">
        <v>0.1</v>
      </c>
      <c r="CH33">
        <v>0.06</v>
      </c>
      <c r="CI33">
        <v>3.66</v>
      </c>
      <c r="CJ33">
        <v>1.63</v>
      </c>
      <c r="CK33">
        <v>5.68</v>
      </c>
      <c r="CL33">
        <v>7.0000000000000007E-2</v>
      </c>
      <c r="CZ33" t="e">
        <v>#VALUE!</v>
      </c>
      <c r="DA33" t="e">
        <v>#VALUE!</v>
      </c>
      <c r="DB33">
        <v>46108</v>
      </c>
    </row>
    <row r="34" spans="1:106" x14ac:dyDescent="0.25">
      <c r="A34" t="s">
        <v>544</v>
      </c>
      <c r="B34" t="s">
        <v>482</v>
      </c>
      <c r="C34" t="s">
        <v>481</v>
      </c>
      <c r="D34">
        <v>2</v>
      </c>
      <c r="F34">
        <v>2933</v>
      </c>
      <c r="G34" t="s">
        <v>419</v>
      </c>
      <c r="H34">
        <v>1624</v>
      </c>
      <c r="I34" t="s">
        <v>494</v>
      </c>
      <c r="J34">
        <v>2933</v>
      </c>
      <c r="K34" t="s">
        <v>419</v>
      </c>
      <c r="L34" t="s">
        <v>545</v>
      </c>
      <c r="M34">
        <v>2018</v>
      </c>
      <c r="N34" t="s">
        <v>419</v>
      </c>
      <c r="O34" t="s">
        <v>545</v>
      </c>
      <c r="P34" t="s">
        <v>496</v>
      </c>
      <c r="Q34">
        <v>2018</v>
      </c>
      <c r="R34" t="s">
        <v>419</v>
      </c>
      <c r="S34" t="s">
        <v>545</v>
      </c>
      <c r="T34" t="s">
        <v>546</v>
      </c>
      <c r="U34">
        <v>80.714285714285708</v>
      </c>
      <c r="V34">
        <v>59.863647714405928</v>
      </c>
      <c r="W34">
        <v>135.625</v>
      </c>
      <c r="X34">
        <v>25.57</v>
      </c>
      <c r="Y34">
        <v>5.07</v>
      </c>
      <c r="Z34">
        <v>0.68</v>
      </c>
      <c r="AA34">
        <v>2.1</v>
      </c>
      <c r="AB34">
        <v>0.01</v>
      </c>
      <c r="AC34">
        <v>2.4</v>
      </c>
      <c r="AD34">
        <v>0.14000000000000001</v>
      </c>
      <c r="AE34">
        <v>20.14</v>
      </c>
      <c r="AF34">
        <v>1.95</v>
      </c>
      <c r="AG34">
        <v>0.52</v>
      </c>
      <c r="AH34">
        <v>0.95</v>
      </c>
      <c r="AI34">
        <v>0.67</v>
      </c>
      <c r="AJ34">
        <v>132.43</v>
      </c>
      <c r="AK34">
        <v>0.1</v>
      </c>
      <c r="AL34">
        <v>1.23</v>
      </c>
      <c r="AM34">
        <v>1.1399999999999999</v>
      </c>
      <c r="AN34">
        <v>4.62</v>
      </c>
      <c r="AO34">
        <v>7.05</v>
      </c>
      <c r="AP34">
        <v>0.06</v>
      </c>
      <c r="AQ34">
        <v>1.18</v>
      </c>
      <c r="AR34">
        <v>0.56999999999999995</v>
      </c>
      <c r="AS34">
        <v>1.26</v>
      </c>
      <c r="AT34">
        <v>0.22</v>
      </c>
      <c r="AU34">
        <v>7.0000000000000007E-2</v>
      </c>
      <c r="AV34">
        <v>8.49</v>
      </c>
      <c r="AW34">
        <v>1.82</v>
      </c>
      <c r="AX34">
        <v>7.53</v>
      </c>
      <c r="AY34">
        <v>0.78</v>
      </c>
      <c r="AZ34">
        <v>1.01</v>
      </c>
      <c r="BA34">
        <v>0.15</v>
      </c>
      <c r="BB34">
        <v>0.1</v>
      </c>
      <c r="BC34">
        <v>0.11</v>
      </c>
      <c r="BD34">
        <v>1.59</v>
      </c>
      <c r="BE34">
        <v>0.16</v>
      </c>
      <c r="BF34">
        <v>0.02</v>
      </c>
      <c r="BG34">
        <v>1.67</v>
      </c>
      <c r="BH34">
        <v>49.54</v>
      </c>
      <c r="BI34">
        <v>2.82</v>
      </c>
      <c r="BJ34">
        <v>0.5</v>
      </c>
      <c r="BK34">
        <v>0.1</v>
      </c>
      <c r="BM34">
        <v>8.7719298245614044E-2</v>
      </c>
      <c r="BN34">
        <v>29.94</v>
      </c>
      <c r="BO34">
        <v>964.04</v>
      </c>
      <c r="BP34">
        <v>0.56000000000000005</v>
      </c>
      <c r="BQ34">
        <v>4.13</v>
      </c>
      <c r="BR34">
        <v>31.84</v>
      </c>
      <c r="BS34">
        <v>3.22</v>
      </c>
      <c r="BT34">
        <v>0.74</v>
      </c>
      <c r="BU34">
        <v>0.1</v>
      </c>
      <c r="BV34">
        <v>0.2</v>
      </c>
      <c r="BW34">
        <v>19.989999999999998</v>
      </c>
      <c r="BX34">
        <v>0.19</v>
      </c>
      <c r="BY34">
        <v>56.79</v>
      </c>
      <c r="BZ34">
        <v>31.81</v>
      </c>
      <c r="CA34">
        <v>15.75</v>
      </c>
      <c r="CB34">
        <v>5.37</v>
      </c>
      <c r="CC34">
        <v>0.68</v>
      </c>
      <c r="CD34">
        <v>0.15</v>
      </c>
      <c r="CE34">
        <v>0.11</v>
      </c>
      <c r="CF34">
        <v>0.48</v>
      </c>
      <c r="CG34">
        <v>0.93</v>
      </c>
      <c r="CH34">
        <v>0.06</v>
      </c>
      <c r="CI34">
        <v>10.59</v>
      </c>
      <c r="CJ34">
        <v>1.55</v>
      </c>
      <c r="CK34">
        <v>5.91</v>
      </c>
      <c r="CL34">
        <v>0.1</v>
      </c>
      <c r="CZ34" t="e">
        <v>#VALUE!</v>
      </c>
      <c r="DA34" t="e">
        <v>#VALUE!</v>
      </c>
      <c r="DB34">
        <v>46111</v>
      </c>
    </row>
    <row r="35" spans="1:106" x14ac:dyDescent="0.25">
      <c r="A35" t="s">
        <v>536</v>
      </c>
      <c r="B35" t="s">
        <v>484</v>
      </c>
      <c r="C35" t="s">
        <v>483</v>
      </c>
      <c r="D35">
        <v>1</v>
      </c>
      <c r="F35">
        <v>3029</v>
      </c>
      <c r="G35" t="s">
        <v>420</v>
      </c>
      <c r="H35">
        <v>1607</v>
      </c>
      <c r="I35" t="s">
        <v>494</v>
      </c>
      <c r="J35">
        <v>3029</v>
      </c>
      <c r="K35" t="s">
        <v>547</v>
      </c>
      <c r="L35" t="s">
        <v>548</v>
      </c>
      <c r="M35">
        <v>2084</v>
      </c>
      <c r="N35" t="s">
        <v>420</v>
      </c>
      <c r="O35" t="s">
        <v>548</v>
      </c>
      <c r="P35" t="s">
        <v>496</v>
      </c>
      <c r="Q35">
        <v>2084</v>
      </c>
      <c r="R35" t="s">
        <v>420</v>
      </c>
      <c r="S35" t="s">
        <v>548</v>
      </c>
      <c r="T35" t="s">
        <v>549</v>
      </c>
      <c r="U35">
        <v>195.71428571428572</v>
      </c>
      <c r="V35">
        <v>14.425708266315334</v>
      </c>
      <c r="W35">
        <v>76.380208333333329</v>
      </c>
      <c r="X35">
        <v>2.63</v>
      </c>
      <c r="Y35">
        <v>3.59</v>
      </c>
      <c r="Z35">
        <v>0.37</v>
      </c>
      <c r="AA35">
        <v>0.75</v>
      </c>
      <c r="AB35">
        <v>0.02</v>
      </c>
      <c r="AC35">
        <v>5.53</v>
      </c>
      <c r="AD35">
        <v>0.04</v>
      </c>
      <c r="AE35">
        <v>30.01</v>
      </c>
      <c r="AF35">
        <v>0.24</v>
      </c>
      <c r="AG35">
        <v>0.46</v>
      </c>
      <c r="AH35">
        <v>2.8</v>
      </c>
      <c r="AI35">
        <v>0.42</v>
      </c>
      <c r="AJ35">
        <v>34.54</v>
      </c>
      <c r="AK35">
        <v>0.1</v>
      </c>
      <c r="AL35">
        <v>0.72</v>
      </c>
      <c r="AM35">
        <v>0.92</v>
      </c>
      <c r="AN35">
        <v>0.88</v>
      </c>
      <c r="AO35">
        <v>9.3699999999999992</v>
      </c>
      <c r="AP35">
        <v>0.08</v>
      </c>
      <c r="AQ35">
        <v>5.32</v>
      </c>
      <c r="AR35">
        <v>0.92</v>
      </c>
      <c r="AS35">
        <v>0.74</v>
      </c>
      <c r="AT35">
        <v>0.37</v>
      </c>
      <c r="AU35">
        <v>7.0000000000000007E-2</v>
      </c>
      <c r="AV35">
        <v>14.97</v>
      </c>
      <c r="AW35">
        <v>1.56</v>
      </c>
      <c r="AX35">
        <v>0.16</v>
      </c>
      <c r="AY35">
        <v>0.35</v>
      </c>
      <c r="AZ35">
        <v>0.52</v>
      </c>
      <c r="BA35">
        <v>0.02</v>
      </c>
      <c r="BB35">
        <v>0.14000000000000001</v>
      </c>
      <c r="BC35">
        <v>0.15</v>
      </c>
      <c r="BD35">
        <v>0.52</v>
      </c>
      <c r="BE35">
        <v>0.43</v>
      </c>
      <c r="BF35">
        <v>0.25</v>
      </c>
      <c r="BG35">
        <v>15.77</v>
      </c>
      <c r="BH35">
        <v>28.92</v>
      </c>
      <c r="BI35">
        <v>2.67</v>
      </c>
      <c r="BJ35">
        <v>7.0000000000000007E-2</v>
      </c>
      <c r="BK35">
        <v>0.1</v>
      </c>
      <c r="BM35">
        <v>0.10869565217391304</v>
      </c>
      <c r="BN35">
        <v>8.18</v>
      </c>
      <c r="BO35">
        <v>138.74</v>
      </c>
      <c r="BP35">
        <v>0.4</v>
      </c>
      <c r="BQ35">
        <v>1.45</v>
      </c>
      <c r="BR35">
        <v>26.99</v>
      </c>
      <c r="BS35">
        <v>1.46</v>
      </c>
      <c r="BT35">
        <v>1.08</v>
      </c>
      <c r="BU35">
        <v>6.71</v>
      </c>
      <c r="BV35">
        <v>0.34</v>
      </c>
      <c r="BW35">
        <v>0.28999999999999998</v>
      </c>
      <c r="BX35">
        <v>0.7</v>
      </c>
      <c r="BY35">
        <v>41.74</v>
      </c>
      <c r="BZ35">
        <v>11.14</v>
      </c>
      <c r="CA35">
        <v>0.1</v>
      </c>
      <c r="CB35">
        <v>3</v>
      </c>
      <c r="CC35">
        <v>0.56000000000000005</v>
      </c>
      <c r="CD35">
        <v>0.16</v>
      </c>
      <c r="CE35">
        <v>0.05</v>
      </c>
      <c r="CF35">
        <v>0.23</v>
      </c>
      <c r="CG35">
        <v>0.98</v>
      </c>
      <c r="CH35">
        <v>7.0000000000000007E-2</v>
      </c>
      <c r="CI35">
        <v>2.83</v>
      </c>
      <c r="CJ35">
        <v>1.88</v>
      </c>
      <c r="CK35">
        <v>1.94</v>
      </c>
      <c r="CL35">
        <v>1.3</v>
      </c>
      <c r="CZ35" t="e">
        <v>#VALUE!</v>
      </c>
      <c r="DA35" t="e">
        <v>#VALUE!</v>
      </c>
      <c r="DB35">
        <v>46108</v>
      </c>
    </row>
    <row r="36" spans="1:106" x14ac:dyDescent="0.25">
      <c r="A36" t="s">
        <v>536</v>
      </c>
      <c r="B36" t="s">
        <v>492</v>
      </c>
      <c r="D36">
        <v>2</v>
      </c>
      <c r="F36">
        <v>3173</v>
      </c>
      <c r="G36" t="s">
        <v>421</v>
      </c>
      <c r="H36">
        <v>1622</v>
      </c>
      <c r="I36" t="s">
        <v>494</v>
      </c>
      <c r="J36">
        <v>3173</v>
      </c>
      <c r="K36" t="s">
        <v>421</v>
      </c>
      <c r="L36" t="s">
        <v>550</v>
      </c>
      <c r="M36">
        <v>2183</v>
      </c>
      <c r="N36" t="s">
        <v>421</v>
      </c>
      <c r="O36" t="s">
        <v>550</v>
      </c>
      <c r="P36" t="s">
        <v>496</v>
      </c>
      <c r="Q36">
        <v>2183</v>
      </c>
      <c r="R36" t="s">
        <v>421</v>
      </c>
      <c r="S36" t="s">
        <v>550</v>
      </c>
      <c r="T36" t="s">
        <v>551</v>
      </c>
      <c r="U36">
        <v>134.28571428571428</v>
      </c>
      <c r="V36">
        <v>14.674960115554828</v>
      </c>
      <c r="W36">
        <v>91.328125</v>
      </c>
      <c r="X36">
        <v>0.1</v>
      </c>
      <c r="Y36">
        <v>2.29</v>
      </c>
      <c r="Z36">
        <v>0.27</v>
      </c>
      <c r="AA36">
        <v>0.51</v>
      </c>
      <c r="AB36">
        <v>0.1</v>
      </c>
      <c r="AC36">
        <v>2.46</v>
      </c>
      <c r="AD36">
        <v>0</v>
      </c>
      <c r="AE36">
        <v>5.08</v>
      </c>
      <c r="AF36">
        <v>0.52</v>
      </c>
      <c r="AG36">
        <v>0.27</v>
      </c>
      <c r="AH36">
        <v>0.17</v>
      </c>
      <c r="AI36">
        <v>0.31</v>
      </c>
      <c r="AJ36">
        <v>35.18</v>
      </c>
      <c r="AK36">
        <v>0.1</v>
      </c>
      <c r="AL36">
        <v>0.44</v>
      </c>
      <c r="AM36">
        <v>0.7</v>
      </c>
      <c r="AN36">
        <v>0.22</v>
      </c>
      <c r="AO36">
        <v>2.57</v>
      </c>
      <c r="AP36">
        <v>0.02</v>
      </c>
      <c r="AQ36">
        <v>0.56000000000000005</v>
      </c>
      <c r="AR36">
        <v>0.16</v>
      </c>
      <c r="AS36">
        <v>0.5</v>
      </c>
      <c r="AT36">
        <v>0.12</v>
      </c>
      <c r="AU36">
        <v>0.01</v>
      </c>
      <c r="AV36">
        <v>0.95</v>
      </c>
      <c r="AW36">
        <v>0.63</v>
      </c>
      <c r="AX36">
        <v>0.1</v>
      </c>
      <c r="AY36">
        <v>0.18</v>
      </c>
      <c r="AZ36">
        <v>0.18</v>
      </c>
      <c r="BA36">
        <v>0.1</v>
      </c>
      <c r="BB36">
        <v>0.03</v>
      </c>
      <c r="BC36">
        <v>0.05</v>
      </c>
      <c r="BD36">
        <v>0.75</v>
      </c>
      <c r="BE36">
        <v>0.03</v>
      </c>
      <c r="BF36">
        <v>0</v>
      </c>
      <c r="BG36">
        <v>0.06</v>
      </c>
      <c r="BH36">
        <v>21.96</v>
      </c>
      <c r="BI36">
        <v>1.1000000000000001</v>
      </c>
      <c r="BJ36">
        <v>0.1</v>
      </c>
      <c r="BK36">
        <v>0.1</v>
      </c>
      <c r="BM36">
        <v>0.14285714285714288</v>
      </c>
      <c r="BN36">
        <v>11.79</v>
      </c>
      <c r="BO36">
        <v>131.88</v>
      </c>
      <c r="BP36">
        <v>0.18</v>
      </c>
      <c r="BQ36">
        <v>0.38</v>
      </c>
      <c r="BR36">
        <v>11.41</v>
      </c>
      <c r="BS36">
        <v>0.77</v>
      </c>
      <c r="BT36">
        <v>1.21</v>
      </c>
      <c r="BU36">
        <v>0.1</v>
      </c>
      <c r="BV36">
        <v>0.05</v>
      </c>
      <c r="BW36">
        <v>0.23</v>
      </c>
      <c r="BX36">
        <v>0.06</v>
      </c>
      <c r="BY36">
        <v>11.53</v>
      </c>
      <c r="BZ36">
        <v>11.06</v>
      </c>
      <c r="CA36">
        <v>8.2200000000000006</v>
      </c>
      <c r="CB36">
        <v>1.59</v>
      </c>
      <c r="CC36">
        <v>0.21</v>
      </c>
      <c r="CD36">
        <v>0.03</v>
      </c>
      <c r="CE36">
        <v>0.02</v>
      </c>
      <c r="CF36">
        <v>0.31</v>
      </c>
      <c r="CG36">
        <v>0.03</v>
      </c>
      <c r="CH36">
        <v>0.04</v>
      </c>
      <c r="CI36">
        <v>3.35</v>
      </c>
      <c r="CJ36">
        <v>1.26</v>
      </c>
      <c r="CK36">
        <v>3.58</v>
      </c>
      <c r="CL36">
        <v>0.04</v>
      </c>
      <c r="CZ36" t="e">
        <v>#VALUE!</v>
      </c>
      <c r="DA36" t="e">
        <v>#VALUE!</v>
      </c>
      <c r="DB36">
        <v>46108</v>
      </c>
    </row>
    <row r="37" spans="1:106" x14ac:dyDescent="0.25">
      <c r="A37" t="s">
        <v>536</v>
      </c>
      <c r="B37" t="s">
        <v>486</v>
      </c>
      <c r="C37" t="s">
        <v>485</v>
      </c>
      <c r="D37">
        <v>2</v>
      </c>
      <c r="F37">
        <v>3269</v>
      </c>
      <c r="G37" t="s">
        <v>422</v>
      </c>
      <c r="H37">
        <v>1608</v>
      </c>
      <c r="I37" t="s">
        <v>494</v>
      </c>
      <c r="J37">
        <v>3269</v>
      </c>
      <c r="K37" t="s">
        <v>422</v>
      </c>
      <c r="L37" t="s">
        <v>552</v>
      </c>
      <c r="M37">
        <v>2249</v>
      </c>
      <c r="N37" t="s">
        <v>422</v>
      </c>
      <c r="O37" t="s">
        <v>552</v>
      </c>
      <c r="P37" t="s">
        <v>496</v>
      </c>
      <c r="Q37">
        <v>2249</v>
      </c>
      <c r="R37" t="s">
        <v>422</v>
      </c>
      <c r="S37" t="s">
        <v>552</v>
      </c>
      <c r="T37" t="s">
        <v>553</v>
      </c>
      <c r="U37">
        <v>63.571428571428584</v>
      </c>
      <c r="V37">
        <v>71.833739511188199</v>
      </c>
      <c r="W37">
        <v>69.270833333333343</v>
      </c>
      <c r="X37">
        <v>0.1</v>
      </c>
      <c r="Y37">
        <v>2.06</v>
      </c>
      <c r="Z37">
        <v>0.63</v>
      </c>
      <c r="AA37">
        <v>1.03</v>
      </c>
      <c r="AB37">
        <v>0.15</v>
      </c>
      <c r="AC37">
        <v>1.36</v>
      </c>
      <c r="AD37">
        <v>0.1</v>
      </c>
      <c r="AE37">
        <v>18.829999999999998</v>
      </c>
      <c r="AF37">
        <v>1.76</v>
      </c>
      <c r="AG37">
        <v>0.79</v>
      </c>
      <c r="AH37">
        <v>0.33</v>
      </c>
      <c r="AI37">
        <v>0.38</v>
      </c>
      <c r="AJ37">
        <v>73.069999999999993</v>
      </c>
      <c r="AK37">
        <v>0.1</v>
      </c>
      <c r="AL37">
        <v>0.62</v>
      </c>
      <c r="AM37">
        <v>1.1599999999999999</v>
      </c>
      <c r="AN37">
        <v>0.1</v>
      </c>
      <c r="AO37">
        <v>4.33</v>
      </c>
      <c r="AP37">
        <v>7.0000000000000007E-2</v>
      </c>
      <c r="AQ37">
        <v>0.14000000000000001</v>
      </c>
      <c r="AR37">
        <v>0.26</v>
      </c>
      <c r="AS37">
        <v>0.57999999999999996</v>
      </c>
      <c r="AT37">
        <v>0.22</v>
      </c>
      <c r="AU37">
        <v>0.02</v>
      </c>
      <c r="AV37">
        <v>4.13</v>
      </c>
      <c r="AW37">
        <v>1.4</v>
      </c>
      <c r="AX37">
        <v>0.31</v>
      </c>
      <c r="AY37">
        <v>0.55000000000000004</v>
      </c>
      <c r="AZ37">
        <v>0.5</v>
      </c>
      <c r="BA37">
        <v>0.01</v>
      </c>
      <c r="BB37">
        <v>0.05</v>
      </c>
      <c r="BC37">
        <v>0.21</v>
      </c>
      <c r="BD37">
        <v>0.6</v>
      </c>
      <c r="BE37">
        <v>0.08</v>
      </c>
      <c r="BF37">
        <v>0.02</v>
      </c>
      <c r="BG37">
        <v>0.19</v>
      </c>
      <c r="BH37">
        <v>30.07</v>
      </c>
      <c r="BI37">
        <v>2.8</v>
      </c>
      <c r="BJ37">
        <v>0.1</v>
      </c>
      <c r="BK37">
        <v>0.1</v>
      </c>
      <c r="BM37">
        <v>8.6206896551724144E-2</v>
      </c>
      <c r="BN37">
        <v>25.06</v>
      </c>
      <c r="BO37">
        <v>145.31</v>
      </c>
      <c r="BP37">
        <v>0.36</v>
      </c>
      <c r="BQ37">
        <v>0.56999999999999995</v>
      </c>
      <c r="BR37">
        <v>19.239999999999998</v>
      </c>
      <c r="BS37">
        <v>1.21</v>
      </c>
      <c r="BT37">
        <v>1.62</v>
      </c>
      <c r="BU37">
        <v>0.1</v>
      </c>
      <c r="BV37">
        <v>0.16</v>
      </c>
      <c r="BW37">
        <v>0.44</v>
      </c>
      <c r="BX37">
        <v>0.18</v>
      </c>
      <c r="BY37">
        <v>11.97</v>
      </c>
      <c r="BZ37">
        <v>20.88</v>
      </c>
      <c r="CA37">
        <v>11.59</v>
      </c>
      <c r="CB37">
        <v>1.17</v>
      </c>
      <c r="CC37">
        <v>0.92</v>
      </c>
      <c r="CD37">
        <v>0.06</v>
      </c>
      <c r="CE37">
        <v>0.06</v>
      </c>
      <c r="CF37">
        <v>0.96</v>
      </c>
      <c r="CG37">
        <v>0.11</v>
      </c>
      <c r="CH37">
        <v>0.05</v>
      </c>
      <c r="CI37">
        <v>2.2200000000000002</v>
      </c>
      <c r="CJ37">
        <v>1.99</v>
      </c>
      <c r="CK37">
        <v>18.71</v>
      </c>
      <c r="CL37">
        <v>0.35</v>
      </c>
      <c r="CZ37" t="e">
        <v>#VALUE!</v>
      </c>
      <c r="DA37" t="e">
        <v>#VALUE!</v>
      </c>
      <c r="DB37">
        <v>46108</v>
      </c>
    </row>
    <row r="38" spans="1:106" x14ac:dyDescent="0.25">
      <c r="A38" t="s">
        <v>536</v>
      </c>
      <c r="B38" t="s">
        <v>488</v>
      </c>
      <c r="C38" t="s">
        <v>487</v>
      </c>
      <c r="D38">
        <v>1</v>
      </c>
      <c r="F38">
        <v>3365</v>
      </c>
      <c r="G38" t="s">
        <v>423</v>
      </c>
      <c r="H38">
        <v>1616</v>
      </c>
      <c r="I38" t="s">
        <v>494</v>
      </c>
      <c r="J38">
        <v>3365</v>
      </c>
      <c r="K38" t="s">
        <v>423</v>
      </c>
      <c r="L38" t="s">
        <v>554</v>
      </c>
      <c r="M38">
        <v>2315</v>
      </c>
      <c r="N38" t="s">
        <v>423</v>
      </c>
      <c r="O38" t="s">
        <v>554</v>
      </c>
      <c r="P38" t="s">
        <v>496</v>
      </c>
      <c r="Q38">
        <v>2315</v>
      </c>
      <c r="R38" t="s">
        <v>423</v>
      </c>
      <c r="S38" t="s">
        <v>554</v>
      </c>
      <c r="T38" t="s">
        <v>555</v>
      </c>
      <c r="U38">
        <v>103.57142857142858</v>
      </c>
      <c r="V38">
        <v>38.602540972402444</v>
      </c>
      <c r="W38">
        <v>19.869791666666668</v>
      </c>
      <c r="X38">
        <v>1.3</v>
      </c>
      <c r="Y38">
        <v>1.78</v>
      </c>
      <c r="Z38">
        <v>0.41</v>
      </c>
      <c r="AA38">
        <v>0.87</v>
      </c>
      <c r="AB38">
        <v>0.03</v>
      </c>
      <c r="AC38">
        <v>0.82</v>
      </c>
      <c r="AD38">
        <v>0</v>
      </c>
      <c r="AE38">
        <v>7.2</v>
      </c>
      <c r="AF38">
        <v>0.72</v>
      </c>
      <c r="AG38">
        <v>0.41</v>
      </c>
      <c r="AH38">
        <v>0.31</v>
      </c>
      <c r="AI38">
        <v>0.14000000000000001</v>
      </c>
      <c r="AJ38">
        <v>10.94</v>
      </c>
      <c r="AK38">
        <v>0.1</v>
      </c>
      <c r="AL38">
        <v>0.21</v>
      </c>
      <c r="AM38">
        <v>0.71</v>
      </c>
      <c r="AN38">
        <v>0.21</v>
      </c>
      <c r="AO38">
        <v>2.88</v>
      </c>
      <c r="AP38">
        <v>0.01</v>
      </c>
      <c r="AQ38">
        <v>0.2</v>
      </c>
      <c r="AR38">
        <v>0.11</v>
      </c>
      <c r="AS38">
        <v>0.22</v>
      </c>
      <c r="AT38">
        <v>0.08</v>
      </c>
      <c r="AU38">
        <v>0.01</v>
      </c>
      <c r="AV38">
        <v>1.93</v>
      </c>
      <c r="AW38">
        <v>0.85</v>
      </c>
      <c r="AX38">
        <v>1</v>
      </c>
      <c r="AY38">
        <v>0.59</v>
      </c>
      <c r="AZ38">
        <v>0.37</v>
      </c>
      <c r="BA38">
        <v>0</v>
      </c>
      <c r="BB38">
        <v>0.1</v>
      </c>
      <c r="BC38">
        <v>0.13</v>
      </c>
      <c r="BD38">
        <v>0.21</v>
      </c>
      <c r="BE38">
        <v>0.05</v>
      </c>
      <c r="BF38">
        <v>0.01</v>
      </c>
      <c r="BG38">
        <v>0.13</v>
      </c>
      <c r="BH38">
        <v>23.26</v>
      </c>
      <c r="BI38">
        <v>1.29</v>
      </c>
      <c r="BJ38">
        <v>0.1</v>
      </c>
      <c r="BK38">
        <v>0.1</v>
      </c>
      <c r="BM38">
        <v>0.14084507042253522</v>
      </c>
      <c r="BN38">
        <v>15.47</v>
      </c>
      <c r="BO38">
        <v>142.44</v>
      </c>
      <c r="BP38">
        <v>0.26</v>
      </c>
      <c r="BQ38">
        <v>0.38</v>
      </c>
      <c r="BR38">
        <v>11.99</v>
      </c>
      <c r="BS38">
        <v>0.95</v>
      </c>
      <c r="BT38">
        <v>0.81</v>
      </c>
      <c r="BU38">
        <v>10.34</v>
      </c>
      <c r="BV38">
        <v>0.08</v>
      </c>
      <c r="BW38">
        <v>4.34</v>
      </c>
      <c r="BX38">
        <v>7.0000000000000007E-2</v>
      </c>
      <c r="BY38">
        <v>9.1300000000000008</v>
      </c>
      <c r="BZ38">
        <v>12.29</v>
      </c>
      <c r="CA38">
        <v>4.2</v>
      </c>
      <c r="CB38">
        <v>0.59</v>
      </c>
      <c r="CC38">
        <v>0.42</v>
      </c>
      <c r="CD38">
        <v>0.05</v>
      </c>
      <c r="CE38">
        <v>0.03</v>
      </c>
      <c r="CF38">
        <v>0.19</v>
      </c>
      <c r="CG38">
        <v>0.05</v>
      </c>
      <c r="CH38">
        <v>0.05</v>
      </c>
      <c r="CI38">
        <v>0.48</v>
      </c>
      <c r="CJ38">
        <v>1.43</v>
      </c>
      <c r="CK38">
        <v>3.63</v>
      </c>
      <c r="CL38">
        <v>0.05</v>
      </c>
      <c r="CZ38" t="e">
        <v>#VALUE!</v>
      </c>
      <c r="DA38" t="e">
        <v>#VALUE!</v>
      </c>
      <c r="DB38">
        <v>46108</v>
      </c>
    </row>
    <row r="39" spans="1:106" x14ac:dyDescent="0.25">
      <c r="A39" t="s">
        <v>536</v>
      </c>
      <c r="B39" t="s">
        <v>490</v>
      </c>
      <c r="C39" t="s">
        <v>489</v>
      </c>
      <c r="D39">
        <v>1</v>
      </c>
      <c r="F39">
        <v>3413</v>
      </c>
      <c r="G39" t="s">
        <v>424</v>
      </c>
      <c r="H39">
        <v>1618</v>
      </c>
      <c r="I39" t="s">
        <v>494</v>
      </c>
      <c r="J39">
        <v>3413</v>
      </c>
      <c r="K39" t="s">
        <v>424</v>
      </c>
      <c r="L39" t="s">
        <v>556</v>
      </c>
      <c r="M39">
        <v>2348</v>
      </c>
      <c r="N39" t="s">
        <v>424</v>
      </c>
      <c r="O39" t="s">
        <v>556</v>
      </c>
      <c r="P39" t="s">
        <v>496</v>
      </c>
      <c r="Q39">
        <v>2348</v>
      </c>
      <c r="R39" t="s">
        <v>424</v>
      </c>
      <c r="S39" t="s">
        <v>556</v>
      </c>
      <c r="T39" t="s">
        <v>557</v>
      </c>
      <c r="U39">
        <v>101.78571428571429</v>
      </c>
      <c r="V39">
        <v>21.408410101099552</v>
      </c>
      <c r="W39">
        <v>67.994791666666657</v>
      </c>
      <c r="X39">
        <v>5.94</v>
      </c>
      <c r="Y39">
        <v>2.44</v>
      </c>
      <c r="Z39">
        <v>0.32</v>
      </c>
      <c r="AA39">
        <v>1.1599999999999999</v>
      </c>
      <c r="AB39">
        <v>0.1</v>
      </c>
      <c r="AC39">
        <v>1.03</v>
      </c>
      <c r="AD39">
        <v>0.01</v>
      </c>
      <c r="AE39">
        <v>12.12</v>
      </c>
      <c r="AF39">
        <v>0.65</v>
      </c>
      <c r="AG39">
        <v>0.52</v>
      </c>
      <c r="AH39">
        <v>0.6</v>
      </c>
      <c r="AI39">
        <v>0.37</v>
      </c>
      <c r="AJ39">
        <v>70.290000000000006</v>
      </c>
      <c r="AK39">
        <v>0.1</v>
      </c>
      <c r="AL39">
        <v>0.81</v>
      </c>
      <c r="AM39">
        <v>1.1200000000000001</v>
      </c>
      <c r="AN39">
        <v>0.33</v>
      </c>
      <c r="AO39">
        <v>5.9</v>
      </c>
      <c r="AP39">
        <v>7.0000000000000007E-2</v>
      </c>
      <c r="AQ39">
        <v>0.61</v>
      </c>
      <c r="AR39">
        <v>0.26</v>
      </c>
      <c r="AS39">
        <v>0.71</v>
      </c>
      <c r="AT39">
        <v>0.15</v>
      </c>
      <c r="AU39">
        <v>0.02</v>
      </c>
      <c r="AV39">
        <v>5.3</v>
      </c>
      <c r="AW39">
        <v>1.22</v>
      </c>
      <c r="AX39">
        <v>0.27</v>
      </c>
      <c r="AY39">
        <v>0.51</v>
      </c>
      <c r="AZ39">
        <v>0.47</v>
      </c>
      <c r="BA39">
        <v>0</v>
      </c>
      <c r="BB39">
        <v>0.13</v>
      </c>
      <c r="BC39">
        <v>0.92</v>
      </c>
      <c r="BD39">
        <v>0.32</v>
      </c>
      <c r="BE39">
        <v>0.15</v>
      </c>
      <c r="BF39">
        <v>0.01</v>
      </c>
      <c r="BG39">
        <v>0.27</v>
      </c>
      <c r="BH39">
        <v>41.26</v>
      </c>
      <c r="BI39">
        <v>4.6500000000000004</v>
      </c>
      <c r="BJ39">
        <v>0.1</v>
      </c>
      <c r="BK39">
        <v>0.1</v>
      </c>
      <c r="BM39">
        <v>8.9285714285714288E-2</v>
      </c>
      <c r="BN39">
        <v>15.7</v>
      </c>
      <c r="BO39">
        <v>123.86</v>
      </c>
      <c r="BP39">
        <v>0.24</v>
      </c>
      <c r="BQ39">
        <v>0.36</v>
      </c>
      <c r="BR39">
        <v>16.36</v>
      </c>
      <c r="BS39">
        <v>1.31</v>
      </c>
      <c r="BT39">
        <v>2.5299999999999998</v>
      </c>
      <c r="BU39">
        <v>10.35</v>
      </c>
      <c r="BV39">
        <v>0.2</v>
      </c>
      <c r="BW39">
        <v>1.01</v>
      </c>
      <c r="BX39">
        <v>0.12</v>
      </c>
      <c r="BY39">
        <v>18.11</v>
      </c>
      <c r="BZ39">
        <v>14.24</v>
      </c>
      <c r="CA39">
        <v>12.13</v>
      </c>
      <c r="CB39">
        <v>2.4</v>
      </c>
      <c r="CC39">
        <v>0.5</v>
      </c>
      <c r="CD39">
        <v>0.11</v>
      </c>
      <c r="CE39">
        <v>0.11</v>
      </c>
      <c r="CF39">
        <v>2.72</v>
      </c>
      <c r="CG39">
        <v>0.08</v>
      </c>
      <c r="CH39">
        <v>0.06</v>
      </c>
      <c r="CI39">
        <v>0.13</v>
      </c>
      <c r="CJ39">
        <v>1.72</v>
      </c>
      <c r="CK39">
        <v>26.21</v>
      </c>
      <c r="CL39">
        <v>0.22</v>
      </c>
      <c r="CZ39" t="e">
        <v>#VALUE!</v>
      </c>
      <c r="DA39" t="e">
        <v>#VALUE!</v>
      </c>
      <c r="DB39">
        <v>46108</v>
      </c>
    </row>
  </sheetData>
  <mergeCells count="4">
    <mergeCell ref="F2:I3"/>
    <mergeCell ref="J2:L3"/>
    <mergeCell ref="M2:P3"/>
    <mergeCell ref="Q2:S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AA65"/>
  <sheetViews>
    <sheetView zoomScale="80" zoomScaleNormal="80" workbookViewId="0">
      <pane xSplit="1" topLeftCell="J1" activePane="topRight" state="frozen"/>
      <selection pane="topRight" activeCell="R26" sqref="R26"/>
    </sheetView>
  </sheetViews>
  <sheetFormatPr defaultRowHeight="15" x14ac:dyDescent="0.25"/>
  <cols>
    <col min="19" max="19" width="8.85546875" customWidth="1"/>
    <col min="20" max="20" width="7.7109375" customWidth="1"/>
    <col min="21" max="21" width="28.7109375" customWidth="1"/>
    <col min="22" max="22" width="3" bestFit="1" customWidth="1"/>
    <col min="23" max="23" width="29" bestFit="1" customWidth="1"/>
    <col min="25" max="25" width="32.140625" bestFit="1" customWidth="1"/>
    <col min="26" max="26" width="3" bestFit="1" customWidth="1"/>
    <col min="27" max="27" width="21.85546875" bestFit="1" customWidth="1"/>
  </cols>
  <sheetData>
    <row r="1" spans="1:27" x14ac:dyDescent="0.25">
      <c r="A1" t="s">
        <v>62</v>
      </c>
      <c r="D1" t="s">
        <v>126</v>
      </c>
      <c r="F1" t="str">
        <f>MID(A1,3,40)</f>
        <v>39</v>
      </c>
      <c r="G1">
        <v>1</v>
      </c>
      <c r="I1" t="str">
        <f>MID(D1,4,40)</f>
        <v>21</v>
      </c>
      <c r="K1" t="s">
        <v>190</v>
      </c>
      <c r="L1">
        <f>+K1*1</f>
        <v>39</v>
      </c>
      <c r="O1" t="s">
        <v>310</v>
      </c>
      <c r="P1">
        <v>1</v>
      </c>
      <c r="Q1" s="1" t="s">
        <v>311</v>
      </c>
      <c r="R1" t="s">
        <v>284</v>
      </c>
      <c r="U1" t="s">
        <v>35</v>
      </c>
      <c r="V1">
        <v>1</v>
      </c>
      <c r="W1" t="s">
        <v>312</v>
      </c>
      <c r="X1">
        <v>19</v>
      </c>
      <c r="Y1" t="s">
        <v>16</v>
      </c>
      <c r="Z1">
        <v>37</v>
      </c>
      <c r="AA1" t="s">
        <v>346</v>
      </c>
    </row>
    <row r="2" spans="1:27" x14ac:dyDescent="0.25">
      <c r="A2" t="s">
        <v>63</v>
      </c>
      <c r="D2" t="s">
        <v>127</v>
      </c>
      <c r="F2" t="str">
        <f t="shared" ref="F2:F9" si="0">MID(A2,3,40)</f>
        <v>49</v>
      </c>
      <c r="G2">
        <v>2</v>
      </c>
      <c r="I2" t="str">
        <f t="shared" ref="I2:I9" si="1">MID(D2,4,40)</f>
        <v>26</v>
      </c>
      <c r="K2" t="s">
        <v>192</v>
      </c>
      <c r="L2">
        <f t="shared" ref="L2:L64" si="2">+K2*1</f>
        <v>49</v>
      </c>
      <c r="O2" t="s">
        <v>310</v>
      </c>
      <c r="P2">
        <v>2</v>
      </c>
      <c r="Q2" s="1" t="s">
        <v>311</v>
      </c>
      <c r="R2" t="s">
        <v>300</v>
      </c>
      <c r="U2" t="s">
        <v>44</v>
      </c>
      <c r="V2">
        <v>2</v>
      </c>
      <c r="W2" t="s">
        <v>313</v>
      </c>
      <c r="X2">
        <v>8</v>
      </c>
      <c r="Y2" t="s">
        <v>6</v>
      </c>
      <c r="Z2">
        <v>38</v>
      </c>
      <c r="AA2" t="s">
        <v>347</v>
      </c>
    </row>
    <row r="3" spans="1:27" x14ac:dyDescent="0.25">
      <c r="A3" t="s">
        <v>64</v>
      </c>
      <c r="D3" t="s">
        <v>128</v>
      </c>
      <c r="F3" t="str">
        <f t="shared" si="0"/>
        <v>42</v>
      </c>
      <c r="G3">
        <v>3</v>
      </c>
      <c r="I3" t="str">
        <f t="shared" si="1"/>
        <v>31</v>
      </c>
      <c r="K3" t="s">
        <v>194</v>
      </c>
      <c r="L3">
        <f t="shared" si="2"/>
        <v>42</v>
      </c>
      <c r="O3" t="s">
        <v>310</v>
      </c>
      <c r="P3">
        <v>3</v>
      </c>
      <c r="Q3" s="1" t="s">
        <v>311</v>
      </c>
      <c r="R3" t="s">
        <v>201</v>
      </c>
      <c r="U3" t="s">
        <v>38</v>
      </c>
      <c r="V3">
        <v>3</v>
      </c>
      <c r="W3" t="s">
        <v>314</v>
      </c>
      <c r="Y3" t="s">
        <v>46</v>
      </c>
      <c r="Z3">
        <v>39</v>
      </c>
      <c r="AA3" t="s">
        <v>348</v>
      </c>
    </row>
    <row r="4" spans="1:27" x14ac:dyDescent="0.25">
      <c r="A4" t="s">
        <v>65</v>
      </c>
      <c r="D4" t="s">
        <v>129</v>
      </c>
      <c r="F4" t="str">
        <f t="shared" si="0"/>
        <v>50</v>
      </c>
      <c r="G4">
        <v>4</v>
      </c>
      <c r="I4" t="str">
        <f t="shared" si="1"/>
        <v>36</v>
      </c>
      <c r="K4" t="s">
        <v>196</v>
      </c>
      <c r="L4">
        <f t="shared" si="2"/>
        <v>50</v>
      </c>
      <c r="O4" t="s">
        <v>310</v>
      </c>
      <c r="P4">
        <v>4</v>
      </c>
      <c r="Q4" s="1" t="s">
        <v>311</v>
      </c>
      <c r="R4" t="s">
        <v>223</v>
      </c>
      <c r="U4" t="s">
        <v>45</v>
      </c>
      <c r="V4">
        <v>4</v>
      </c>
      <c r="W4" t="s">
        <v>315</v>
      </c>
      <c r="Y4" t="s">
        <v>51</v>
      </c>
      <c r="Z4">
        <v>40</v>
      </c>
      <c r="AA4" t="s">
        <v>349</v>
      </c>
    </row>
    <row r="5" spans="1:27" x14ac:dyDescent="0.25">
      <c r="A5" t="s">
        <v>66</v>
      </c>
      <c r="D5" t="s">
        <v>130</v>
      </c>
      <c r="F5" t="str">
        <f t="shared" si="0"/>
        <v>17</v>
      </c>
      <c r="G5">
        <v>5</v>
      </c>
      <c r="I5" t="str">
        <f t="shared" si="1"/>
        <v>41</v>
      </c>
      <c r="K5" t="s">
        <v>198</v>
      </c>
      <c r="L5">
        <f t="shared" si="2"/>
        <v>17</v>
      </c>
      <c r="O5" t="s">
        <v>310</v>
      </c>
      <c r="P5">
        <v>5</v>
      </c>
      <c r="Q5" s="1" t="s">
        <v>311</v>
      </c>
      <c r="R5" t="s">
        <v>270</v>
      </c>
      <c r="T5">
        <v>17</v>
      </c>
      <c r="U5" t="s">
        <v>14</v>
      </c>
      <c r="V5">
        <v>5</v>
      </c>
      <c r="W5" t="s">
        <v>316</v>
      </c>
      <c r="X5">
        <v>26</v>
      </c>
      <c r="Y5" t="s">
        <v>23</v>
      </c>
      <c r="Z5">
        <v>41</v>
      </c>
      <c r="AA5" t="s">
        <v>350</v>
      </c>
    </row>
    <row r="6" spans="1:27" x14ac:dyDescent="0.25">
      <c r="A6" t="s">
        <v>67</v>
      </c>
      <c r="D6" t="s">
        <v>131</v>
      </c>
      <c r="F6" t="str">
        <f t="shared" si="0"/>
        <v>3</v>
      </c>
      <c r="G6">
        <v>6</v>
      </c>
      <c r="I6" t="str">
        <f t="shared" si="1"/>
        <v>46</v>
      </c>
      <c r="K6" t="s">
        <v>200</v>
      </c>
      <c r="L6">
        <f t="shared" si="2"/>
        <v>3</v>
      </c>
      <c r="O6" t="s">
        <v>310</v>
      </c>
      <c r="P6">
        <v>6</v>
      </c>
      <c r="Q6" s="1" t="s">
        <v>311</v>
      </c>
      <c r="R6" t="s">
        <v>295</v>
      </c>
      <c r="T6">
        <v>3</v>
      </c>
      <c r="U6" t="s">
        <v>49</v>
      </c>
      <c r="V6">
        <v>6</v>
      </c>
      <c r="W6" t="s">
        <v>317</v>
      </c>
      <c r="X6">
        <v>13</v>
      </c>
      <c r="Y6" t="s">
        <v>10</v>
      </c>
      <c r="Z6">
        <v>42</v>
      </c>
      <c r="AA6" t="s">
        <v>351</v>
      </c>
    </row>
    <row r="7" spans="1:27" x14ac:dyDescent="0.25">
      <c r="A7" t="s">
        <v>68</v>
      </c>
      <c r="D7" t="s">
        <v>132</v>
      </c>
      <c r="F7" t="str">
        <f t="shared" si="0"/>
        <v>41</v>
      </c>
      <c r="G7">
        <v>7</v>
      </c>
      <c r="I7" t="str">
        <f t="shared" si="1"/>
        <v>51</v>
      </c>
      <c r="K7" t="s">
        <v>199</v>
      </c>
      <c r="L7">
        <f t="shared" si="2"/>
        <v>41</v>
      </c>
      <c r="O7" t="s">
        <v>310</v>
      </c>
      <c r="P7">
        <v>7</v>
      </c>
      <c r="Q7" s="1" t="s">
        <v>311</v>
      </c>
      <c r="R7" t="s">
        <v>221</v>
      </c>
      <c r="U7" t="s">
        <v>37</v>
      </c>
      <c r="V7">
        <v>7</v>
      </c>
      <c r="W7" t="s">
        <v>318</v>
      </c>
      <c r="X7">
        <v>5</v>
      </c>
      <c r="Y7" t="s">
        <v>3</v>
      </c>
      <c r="Z7">
        <v>43</v>
      </c>
      <c r="AA7" t="s">
        <v>352</v>
      </c>
    </row>
    <row r="8" spans="1:27" x14ac:dyDescent="0.25">
      <c r="A8" t="s">
        <v>69</v>
      </c>
      <c r="D8" t="s">
        <v>133</v>
      </c>
      <c r="F8" t="str">
        <f t="shared" si="0"/>
        <v>52</v>
      </c>
      <c r="G8">
        <v>8</v>
      </c>
      <c r="I8" t="str">
        <f t="shared" si="1"/>
        <v>59</v>
      </c>
      <c r="K8" t="s">
        <v>203</v>
      </c>
      <c r="L8">
        <f t="shared" si="2"/>
        <v>52</v>
      </c>
      <c r="O8" t="s">
        <v>310</v>
      </c>
      <c r="P8">
        <v>8</v>
      </c>
      <c r="Q8" s="1" t="s">
        <v>311</v>
      </c>
      <c r="R8" t="s">
        <v>262</v>
      </c>
      <c r="U8" t="s">
        <v>47</v>
      </c>
      <c r="V8">
        <v>8</v>
      </c>
      <c r="W8" t="s">
        <v>319</v>
      </c>
      <c r="Z8">
        <v>44</v>
      </c>
      <c r="AA8" t="s">
        <v>353</v>
      </c>
    </row>
    <row r="9" spans="1:27" x14ac:dyDescent="0.25">
      <c r="A9" t="s">
        <v>70</v>
      </c>
      <c r="D9" t="s">
        <v>134</v>
      </c>
      <c r="F9" t="str">
        <f t="shared" si="0"/>
        <v>14</v>
      </c>
      <c r="G9">
        <v>9</v>
      </c>
      <c r="I9" t="str">
        <f t="shared" si="1"/>
        <v>68</v>
      </c>
      <c r="K9" t="s">
        <v>205</v>
      </c>
      <c r="L9">
        <f t="shared" si="2"/>
        <v>14</v>
      </c>
      <c r="O9" t="s">
        <v>310</v>
      </c>
      <c r="P9">
        <v>9</v>
      </c>
      <c r="Q9" s="1" t="s">
        <v>311</v>
      </c>
      <c r="R9" t="s">
        <v>280</v>
      </c>
      <c r="T9">
        <v>14</v>
      </c>
      <c r="U9" t="s">
        <v>11</v>
      </c>
      <c r="V9">
        <v>9</v>
      </c>
      <c r="W9" t="s">
        <v>320</v>
      </c>
      <c r="X9">
        <v>25</v>
      </c>
      <c r="Y9" t="s">
        <v>22</v>
      </c>
      <c r="Z9">
        <v>45</v>
      </c>
      <c r="AA9" t="s">
        <v>354</v>
      </c>
    </row>
    <row r="10" spans="1:27" x14ac:dyDescent="0.25">
      <c r="A10" t="s">
        <v>71</v>
      </c>
      <c r="D10" t="s">
        <v>135</v>
      </c>
      <c r="F10" t="str">
        <f>MID(A10,4,40)</f>
        <v>16</v>
      </c>
      <c r="G10">
        <v>10</v>
      </c>
      <c r="I10" t="str">
        <f>MID(D10,5,40)</f>
        <v>73</v>
      </c>
      <c r="K10" t="s">
        <v>207</v>
      </c>
      <c r="L10">
        <f t="shared" si="2"/>
        <v>16</v>
      </c>
      <c r="O10" t="s">
        <v>310</v>
      </c>
      <c r="P10">
        <v>10</v>
      </c>
      <c r="Q10" s="1" t="s">
        <v>311</v>
      </c>
      <c r="R10" t="s">
        <v>234</v>
      </c>
      <c r="T10">
        <v>16</v>
      </c>
      <c r="U10" t="s">
        <v>13</v>
      </c>
      <c r="V10">
        <v>10</v>
      </c>
      <c r="W10" t="s">
        <v>321</v>
      </c>
      <c r="X10">
        <v>12</v>
      </c>
      <c r="Y10" t="s">
        <v>9</v>
      </c>
      <c r="Z10">
        <v>46</v>
      </c>
      <c r="AA10" t="s">
        <v>355</v>
      </c>
    </row>
    <row r="11" spans="1:27" x14ac:dyDescent="0.25">
      <c r="A11" t="s">
        <v>72</v>
      </c>
      <c r="D11" t="s">
        <v>136</v>
      </c>
      <c r="F11" t="str">
        <f t="shared" ref="F11:F64" si="3">MID(A11,4,40)</f>
        <v>37</v>
      </c>
      <c r="G11">
        <v>11</v>
      </c>
      <c r="I11" t="str">
        <f t="shared" ref="I11:I64" si="4">MID(D11,5,40)</f>
        <v>78</v>
      </c>
      <c r="K11" t="s">
        <v>209</v>
      </c>
      <c r="L11">
        <f t="shared" si="2"/>
        <v>37</v>
      </c>
      <c r="O11" t="s">
        <v>310</v>
      </c>
      <c r="P11">
        <v>11</v>
      </c>
      <c r="Q11" s="1" t="s">
        <v>311</v>
      </c>
      <c r="R11" t="s">
        <v>230</v>
      </c>
      <c r="T11">
        <v>37</v>
      </c>
      <c r="U11" t="s">
        <v>322</v>
      </c>
      <c r="V11">
        <v>11</v>
      </c>
      <c r="W11" t="s">
        <v>322</v>
      </c>
      <c r="Z11">
        <v>47</v>
      </c>
      <c r="AA11" t="s">
        <v>356</v>
      </c>
    </row>
    <row r="12" spans="1:27" x14ac:dyDescent="0.25">
      <c r="A12" t="s">
        <v>73</v>
      </c>
      <c r="D12" t="s">
        <v>137</v>
      </c>
      <c r="F12" t="str">
        <f t="shared" si="3"/>
        <v>59</v>
      </c>
      <c r="G12">
        <v>12</v>
      </c>
      <c r="I12" t="str">
        <f t="shared" si="4"/>
        <v>83</v>
      </c>
      <c r="K12" t="s">
        <v>204</v>
      </c>
      <c r="L12">
        <f t="shared" si="2"/>
        <v>59</v>
      </c>
      <c r="O12" t="s">
        <v>310</v>
      </c>
      <c r="P12">
        <v>12</v>
      </c>
      <c r="Q12" s="1" t="s">
        <v>311</v>
      </c>
      <c r="R12" t="s">
        <v>276</v>
      </c>
      <c r="U12" t="s">
        <v>57</v>
      </c>
      <c r="V12">
        <v>12</v>
      </c>
      <c r="W12" t="s">
        <v>323</v>
      </c>
      <c r="X12">
        <v>9</v>
      </c>
      <c r="Y12" t="s">
        <v>7</v>
      </c>
      <c r="Z12">
        <v>48</v>
      </c>
      <c r="AA12" t="s">
        <v>357</v>
      </c>
    </row>
    <row r="13" spans="1:27" x14ac:dyDescent="0.25">
      <c r="A13" t="s">
        <v>74</v>
      </c>
      <c r="D13" t="s">
        <v>138</v>
      </c>
      <c r="F13" t="str">
        <f t="shared" si="3"/>
        <v>15</v>
      </c>
      <c r="G13">
        <v>13</v>
      </c>
      <c r="I13" t="str">
        <f t="shared" si="4"/>
        <v>90</v>
      </c>
      <c r="K13" t="s">
        <v>212</v>
      </c>
      <c r="L13">
        <f t="shared" si="2"/>
        <v>15</v>
      </c>
      <c r="O13" t="s">
        <v>310</v>
      </c>
      <c r="P13">
        <v>13</v>
      </c>
      <c r="Q13" s="1" t="s">
        <v>311</v>
      </c>
      <c r="R13" t="s">
        <v>268</v>
      </c>
      <c r="T13">
        <v>15</v>
      </c>
      <c r="U13" t="s">
        <v>12</v>
      </c>
      <c r="V13">
        <v>13</v>
      </c>
      <c r="W13" t="s">
        <v>324</v>
      </c>
      <c r="Y13" t="s">
        <v>58</v>
      </c>
      <c r="Z13">
        <v>49</v>
      </c>
      <c r="AA13" t="s">
        <v>58</v>
      </c>
    </row>
    <row r="14" spans="1:27" x14ac:dyDescent="0.25">
      <c r="A14" t="s">
        <v>75</v>
      </c>
      <c r="D14" t="s">
        <v>139</v>
      </c>
      <c r="F14" t="str">
        <f t="shared" si="3"/>
        <v>54</v>
      </c>
      <c r="G14">
        <v>14</v>
      </c>
      <c r="I14" t="str">
        <f t="shared" si="4"/>
        <v>95</v>
      </c>
      <c r="K14" t="s">
        <v>214</v>
      </c>
      <c r="L14">
        <f t="shared" si="2"/>
        <v>54</v>
      </c>
      <c r="O14" t="s">
        <v>310</v>
      </c>
      <c r="P14">
        <v>14</v>
      </c>
      <c r="Q14" s="1" t="s">
        <v>311</v>
      </c>
      <c r="R14" t="s">
        <v>206</v>
      </c>
      <c r="U14" t="s">
        <v>52</v>
      </c>
      <c r="V14">
        <v>14</v>
      </c>
      <c r="W14" t="s">
        <v>325</v>
      </c>
      <c r="X14">
        <v>1</v>
      </c>
      <c r="Y14" t="s">
        <v>0</v>
      </c>
      <c r="Z14">
        <v>50</v>
      </c>
      <c r="AA14" t="s">
        <v>358</v>
      </c>
    </row>
    <row r="15" spans="1:27" x14ac:dyDescent="0.25">
      <c r="A15" t="s">
        <v>76</v>
      </c>
      <c r="D15" t="s">
        <v>140</v>
      </c>
      <c r="F15" t="str">
        <f t="shared" si="3"/>
        <v>61</v>
      </c>
      <c r="G15">
        <v>15</v>
      </c>
      <c r="I15" t="str">
        <f t="shared" si="4"/>
        <v>100</v>
      </c>
      <c r="K15" t="s">
        <v>216</v>
      </c>
      <c r="L15">
        <f t="shared" si="2"/>
        <v>61</v>
      </c>
      <c r="O15" t="s">
        <v>310</v>
      </c>
      <c r="P15">
        <v>15</v>
      </c>
      <c r="Q15" s="1" t="s">
        <v>311</v>
      </c>
      <c r="R15" t="s">
        <v>213</v>
      </c>
      <c r="U15" t="s">
        <v>59</v>
      </c>
      <c r="V15">
        <v>15</v>
      </c>
      <c r="W15" t="s">
        <v>326</v>
      </c>
      <c r="X15">
        <v>29</v>
      </c>
      <c r="Y15" t="s">
        <v>26</v>
      </c>
      <c r="Z15">
        <v>51</v>
      </c>
      <c r="AA15" t="s">
        <v>359</v>
      </c>
    </row>
    <row r="16" spans="1:27" x14ac:dyDescent="0.25">
      <c r="A16" t="s">
        <v>77</v>
      </c>
      <c r="D16" t="s">
        <v>141</v>
      </c>
      <c r="F16" t="str">
        <f t="shared" si="3"/>
        <v>23</v>
      </c>
      <c r="G16">
        <v>16</v>
      </c>
      <c r="I16" t="str">
        <f t="shared" si="4"/>
        <v>115</v>
      </c>
      <c r="K16" t="s">
        <v>218</v>
      </c>
      <c r="L16">
        <f t="shared" si="2"/>
        <v>23</v>
      </c>
      <c r="O16" t="s">
        <v>310</v>
      </c>
      <c r="P16">
        <v>16</v>
      </c>
      <c r="Q16" s="1" t="s">
        <v>311</v>
      </c>
      <c r="R16" t="s">
        <v>208</v>
      </c>
      <c r="T16">
        <v>23</v>
      </c>
      <c r="U16" t="s">
        <v>20</v>
      </c>
      <c r="V16">
        <v>16</v>
      </c>
      <c r="W16" t="s">
        <v>327</v>
      </c>
      <c r="Z16">
        <v>52</v>
      </c>
      <c r="AA16" t="s">
        <v>360</v>
      </c>
    </row>
    <row r="17" spans="1:27" x14ac:dyDescent="0.25">
      <c r="A17" t="s">
        <v>78</v>
      </c>
      <c r="D17" t="s">
        <v>142</v>
      </c>
      <c r="F17" t="str">
        <f t="shared" si="3"/>
        <v>7</v>
      </c>
      <c r="G17">
        <v>17</v>
      </c>
      <c r="I17" t="str">
        <f t="shared" si="4"/>
        <v>120</v>
      </c>
      <c r="K17" t="s">
        <v>220</v>
      </c>
      <c r="L17">
        <f t="shared" si="2"/>
        <v>7</v>
      </c>
      <c r="O17" t="s">
        <v>310</v>
      </c>
      <c r="P17">
        <v>17</v>
      </c>
      <c r="Q17" s="1" t="s">
        <v>311</v>
      </c>
      <c r="R17" t="s">
        <v>199</v>
      </c>
      <c r="T17">
        <v>7</v>
      </c>
      <c r="U17" t="s">
        <v>5</v>
      </c>
      <c r="V17">
        <v>17</v>
      </c>
      <c r="W17" t="s">
        <v>328</v>
      </c>
      <c r="X17">
        <v>30</v>
      </c>
      <c r="Y17" t="s">
        <v>27</v>
      </c>
      <c r="Z17">
        <v>53</v>
      </c>
      <c r="AA17" t="s">
        <v>361</v>
      </c>
    </row>
    <row r="18" spans="1:27" x14ac:dyDescent="0.25">
      <c r="A18" t="s">
        <v>79</v>
      </c>
      <c r="D18" t="s">
        <v>143</v>
      </c>
      <c r="F18" t="str">
        <f t="shared" si="3"/>
        <v>4</v>
      </c>
      <c r="G18">
        <v>18</v>
      </c>
      <c r="I18" t="str">
        <f t="shared" si="4"/>
        <v>125</v>
      </c>
      <c r="K18" t="s">
        <v>222</v>
      </c>
      <c r="L18">
        <f t="shared" si="2"/>
        <v>4</v>
      </c>
      <c r="O18" t="s">
        <v>310</v>
      </c>
      <c r="P18">
        <v>18</v>
      </c>
      <c r="Q18" s="1" t="s">
        <v>311</v>
      </c>
      <c r="R18" t="s">
        <v>305</v>
      </c>
      <c r="T18">
        <v>4</v>
      </c>
      <c r="U18" t="s">
        <v>2</v>
      </c>
      <c r="V18">
        <v>18</v>
      </c>
      <c r="W18" t="s">
        <v>329</v>
      </c>
      <c r="X18">
        <v>20</v>
      </c>
      <c r="Y18" t="s">
        <v>17</v>
      </c>
      <c r="Z18">
        <v>54</v>
      </c>
      <c r="AA18" t="s">
        <v>362</v>
      </c>
    </row>
    <row r="19" spans="1:27" x14ac:dyDescent="0.25">
      <c r="A19" t="s">
        <v>80</v>
      </c>
      <c r="D19" t="s">
        <v>144</v>
      </c>
      <c r="F19" t="str">
        <f t="shared" si="3"/>
        <v>32</v>
      </c>
      <c r="G19">
        <v>19</v>
      </c>
      <c r="I19" t="str">
        <f t="shared" si="4"/>
        <v>130</v>
      </c>
      <c r="K19" t="s">
        <v>224</v>
      </c>
      <c r="L19">
        <f t="shared" si="2"/>
        <v>32</v>
      </c>
      <c r="O19" t="s">
        <v>310</v>
      </c>
      <c r="P19">
        <v>19</v>
      </c>
      <c r="Q19" s="1" t="s">
        <v>311</v>
      </c>
      <c r="R19" t="s">
        <v>260</v>
      </c>
      <c r="T19">
        <v>32</v>
      </c>
      <c r="U19" t="s">
        <v>29</v>
      </c>
      <c r="V19">
        <v>19</v>
      </c>
      <c r="W19" t="s">
        <v>330</v>
      </c>
      <c r="X19">
        <v>21</v>
      </c>
      <c r="Y19" t="s">
        <v>18</v>
      </c>
      <c r="Z19">
        <v>55</v>
      </c>
      <c r="AA19" t="s">
        <v>363</v>
      </c>
    </row>
    <row r="20" spans="1:27" x14ac:dyDescent="0.25">
      <c r="A20" t="s">
        <v>81</v>
      </c>
      <c r="D20" t="s">
        <v>145</v>
      </c>
      <c r="F20" t="str">
        <f t="shared" si="3"/>
        <v>45</v>
      </c>
      <c r="G20">
        <v>20</v>
      </c>
      <c r="I20" t="str">
        <f t="shared" si="4"/>
        <v>135</v>
      </c>
      <c r="K20" t="s">
        <v>226</v>
      </c>
      <c r="L20">
        <f t="shared" si="2"/>
        <v>45</v>
      </c>
      <c r="O20" t="s">
        <v>310</v>
      </c>
      <c r="P20">
        <v>20</v>
      </c>
      <c r="Q20" s="1" t="s">
        <v>311</v>
      </c>
      <c r="R20" t="s">
        <v>292</v>
      </c>
      <c r="U20" t="s">
        <v>41</v>
      </c>
      <c r="V20">
        <v>20</v>
      </c>
      <c r="W20" t="s">
        <v>331</v>
      </c>
      <c r="X20">
        <v>6</v>
      </c>
      <c r="Y20" t="s">
        <v>4</v>
      </c>
      <c r="Z20">
        <v>56</v>
      </c>
      <c r="AA20" t="s">
        <v>364</v>
      </c>
    </row>
    <row r="21" spans="1:27" x14ac:dyDescent="0.25">
      <c r="A21" t="s">
        <v>82</v>
      </c>
      <c r="D21" t="s">
        <v>146</v>
      </c>
      <c r="F21" t="str">
        <f t="shared" si="3"/>
        <v>31</v>
      </c>
      <c r="G21">
        <v>21</v>
      </c>
      <c r="I21" t="str">
        <f t="shared" si="4"/>
        <v>140</v>
      </c>
      <c r="K21" t="s">
        <v>195</v>
      </c>
      <c r="L21">
        <f t="shared" si="2"/>
        <v>31</v>
      </c>
      <c r="O21" t="s">
        <v>310</v>
      </c>
      <c r="P21">
        <v>21</v>
      </c>
      <c r="Q21" s="1" t="s">
        <v>311</v>
      </c>
      <c r="R21" t="s">
        <v>293</v>
      </c>
      <c r="T21">
        <v>31</v>
      </c>
      <c r="U21" t="s">
        <v>28</v>
      </c>
      <c r="V21">
        <v>21</v>
      </c>
      <c r="W21" t="s">
        <v>332</v>
      </c>
      <c r="Y21" t="s">
        <v>56</v>
      </c>
      <c r="Z21">
        <v>57</v>
      </c>
      <c r="AA21" t="s">
        <v>365</v>
      </c>
    </row>
    <row r="22" spans="1:27" x14ac:dyDescent="0.25">
      <c r="A22" t="s">
        <v>83</v>
      </c>
      <c r="D22" t="s">
        <v>147</v>
      </c>
      <c r="F22" t="str">
        <f t="shared" si="3"/>
        <v>11</v>
      </c>
      <c r="G22">
        <v>22</v>
      </c>
      <c r="I22" t="str">
        <f t="shared" si="4"/>
        <v>145</v>
      </c>
      <c r="K22" t="s">
        <v>229</v>
      </c>
      <c r="L22">
        <f t="shared" si="2"/>
        <v>11</v>
      </c>
      <c r="O22" t="s">
        <v>310</v>
      </c>
      <c r="P22">
        <v>22</v>
      </c>
      <c r="Q22" s="1" t="s">
        <v>311</v>
      </c>
      <c r="R22" t="s">
        <v>240</v>
      </c>
      <c r="T22">
        <v>11</v>
      </c>
      <c r="U22" t="s">
        <v>8</v>
      </c>
      <c r="V22">
        <v>22</v>
      </c>
      <c r="W22" t="s">
        <v>333</v>
      </c>
      <c r="Y22" t="s">
        <v>40</v>
      </c>
      <c r="Z22">
        <v>58</v>
      </c>
      <c r="AA22" t="s">
        <v>366</v>
      </c>
    </row>
    <row r="23" spans="1:27" x14ac:dyDescent="0.25">
      <c r="A23" t="s">
        <v>84</v>
      </c>
      <c r="D23" t="s">
        <v>148</v>
      </c>
      <c r="F23" t="str">
        <f t="shared" si="3"/>
        <v>55</v>
      </c>
      <c r="G23">
        <v>23</v>
      </c>
      <c r="I23" t="str">
        <f t="shared" si="4"/>
        <v>152</v>
      </c>
      <c r="K23" t="s">
        <v>231</v>
      </c>
      <c r="L23">
        <f t="shared" si="2"/>
        <v>55</v>
      </c>
      <c r="O23" t="s">
        <v>310</v>
      </c>
      <c r="P23">
        <v>23</v>
      </c>
      <c r="Q23" s="1" t="s">
        <v>311</v>
      </c>
      <c r="R23" t="s">
        <v>219</v>
      </c>
      <c r="U23" t="s">
        <v>53</v>
      </c>
      <c r="V23">
        <v>23</v>
      </c>
      <c r="W23" t="s">
        <v>334</v>
      </c>
      <c r="X23">
        <v>2</v>
      </c>
      <c r="Y23" t="s">
        <v>1</v>
      </c>
      <c r="Z23">
        <v>59</v>
      </c>
      <c r="AA23" t="s">
        <v>367</v>
      </c>
    </row>
    <row r="24" spans="1:27" x14ac:dyDescent="0.25">
      <c r="A24" t="s">
        <v>85</v>
      </c>
      <c r="D24" t="s">
        <v>149</v>
      </c>
      <c r="F24" t="str">
        <f t="shared" si="3"/>
        <v>10</v>
      </c>
      <c r="G24">
        <v>24</v>
      </c>
      <c r="I24" t="str">
        <f t="shared" si="4"/>
        <v>157</v>
      </c>
      <c r="K24" t="s">
        <v>233</v>
      </c>
      <c r="L24">
        <f t="shared" si="2"/>
        <v>10</v>
      </c>
      <c r="O24" t="s">
        <v>310</v>
      </c>
      <c r="P24">
        <v>24</v>
      </c>
      <c r="Q24" s="1" t="s">
        <v>311</v>
      </c>
      <c r="R24" t="s">
        <v>238</v>
      </c>
      <c r="T24">
        <v>10</v>
      </c>
      <c r="U24" t="s">
        <v>50</v>
      </c>
      <c r="V24">
        <v>24</v>
      </c>
      <c r="W24" t="s">
        <v>335</v>
      </c>
      <c r="X24">
        <v>33</v>
      </c>
      <c r="Y24" t="s">
        <v>30</v>
      </c>
      <c r="Z24">
        <v>60</v>
      </c>
      <c r="AA24" t="s">
        <v>368</v>
      </c>
    </row>
    <row r="25" spans="1:27" x14ac:dyDescent="0.25">
      <c r="A25" t="s">
        <v>86</v>
      </c>
      <c r="D25" t="s">
        <v>150</v>
      </c>
      <c r="F25" t="str">
        <f t="shared" si="3"/>
        <v>35</v>
      </c>
      <c r="G25">
        <v>25</v>
      </c>
      <c r="I25" t="str">
        <f t="shared" si="4"/>
        <v>162</v>
      </c>
      <c r="K25" t="s">
        <v>235</v>
      </c>
      <c r="L25">
        <f t="shared" si="2"/>
        <v>35</v>
      </c>
      <c r="O25" t="s">
        <v>310</v>
      </c>
      <c r="P25">
        <v>25</v>
      </c>
      <c r="Q25" s="1" t="s">
        <v>311</v>
      </c>
      <c r="R25" t="s">
        <v>274</v>
      </c>
      <c r="T25">
        <v>35</v>
      </c>
      <c r="U25" t="s">
        <v>32</v>
      </c>
      <c r="V25">
        <v>25</v>
      </c>
      <c r="W25" t="s">
        <v>336</v>
      </c>
      <c r="Y25" t="s">
        <v>42</v>
      </c>
      <c r="Z25">
        <v>61</v>
      </c>
      <c r="AA25" t="s">
        <v>369</v>
      </c>
    </row>
    <row r="26" spans="1:27" x14ac:dyDescent="0.25">
      <c r="A26" t="s">
        <v>87</v>
      </c>
      <c r="D26" t="s">
        <v>151</v>
      </c>
      <c r="F26" t="str">
        <f t="shared" si="3"/>
        <v>24</v>
      </c>
      <c r="G26">
        <v>26</v>
      </c>
      <c r="I26" t="str">
        <f t="shared" si="4"/>
        <v>167</v>
      </c>
      <c r="K26" t="s">
        <v>237</v>
      </c>
      <c r="L26">
        <f t="shared" si="2"/>
        <v>24</v>
      </c>
      <c r="O26" t="s">
        <v>310</v>
      </c>
      <c r="P26">
        <v>26</v>
      </c>
      <c r="Q26" s="1" t="s">
        <v>311</v>
      </c>
      <c r="R26" t="s">
        <v>266</v>
      </c>
      <c r="T26">
        <v>24</v>
      </c>
      <c r="U26" t="s">
        <v>21</v>
      </c>
      <c r="V26">
        <v>26</v>
      </c>
      <c r="W26" t="s">
        <v>337</v>
      </c>
      <c r="X26">
        <v>18</v>
      </c>
      <c r="Y26" t="s">
        <v>15</v>
      </c>
      <c r="Z26">
        <v>62</v>
      </c>
      <c r="AA26" t="s">
        <v>370</v>
      </c>
    </row>
    <row r="27" spans="1:27" x14ac:dyDescent="0.25">
      <c r="A27" t="s">
        <v>88</v>
      </c>
      <c r="D27" t="s">
        <v>152</v>
      </c>
      <c r="F27" t="str">
        <f t="shared" si="3"/>
        <v>22</v>
      </c>
      <c r="G27">
        <v>27</v>
      </c>
      <c r="I27" t="str">
        <f t="shared" si="4"/>
        <v>172</v>
      </c>
      <c r="K27" t="s">
        <v>239</v>
      </c>
      <c r="L27">
        <f t="shared" si="2"/>
        <v>22</v>
      </c>
      <c r="O27" t="s">
        <v>310</v>
      </c>
      <c r="P27">
        <v>27</v>
      </c>
      <c r="Q27" s="1" t="s">
        <v>311</v>
      </c>
      <c r="R27" t="s">
        <v>254</v>
      </c>
      <c r="T27">
        <v>22</v>
      </c>
      <c r="U27" t="s">
        <v>19</v>
      </c>
      <c r="V27">
        <v>27</v>
      </c>
      <c r="W27" t="s">
        <v>338</v>
      </c>
      <c r="Z27">
        <v>63</v>
      </c>
      <c r="AA27" t="s">
        <v>371</v>
      </c>
    </row>
    <row r="28" spans="1:27" x14ac:dyDescent="0.25">
      <c r="A28" t="s">
        <v>89</v>
      </c>
      <c r="D28" t="s">
        <v>153</v>
      </c>
      <c r="F28" t="str">
        <f t="shared" si="3"/>
        <v>40</v>
      </c>
      <c r="G28">
        <v>28</v>
      </c>
      <c r="I28" t="str">
        <f t="shared" si="4"/>
        <v>177</v>
      </c>
      <c r="K28" t="s">
        <v>241</v>
      </c>
      <c r="L28">
        <f t="shared" si="2"/>
        <v>40</v>
      </c>
      <c r="O28" t="s">
        <v>310</v>
      </c>
      <c r="P28">
        <v>28</v>
      </c>
      <c r="Q28" s="1" t="s">
        <v>311</v>
      </c>
      <c r="R28" t="s">
        <v>258</v>
      </c>
      <c r="U28" t="s">
        <v>36</v>
      </c>
      <c r="V28">
        <v>28</v>
      </c>
      <c r="W28" t="s">
        <v>339</v>
      </c>
      <c r="Z28">
        <v>64</v>
      </c>
      <c r="AA28" t="s">
        <v>372</v>
      </c>
    </row>
    <row r="29" spans="1:27" x14ac:dyDescent="0.25">
      <c r="A29" t="s">
        <v>90</v>
      </c>
      <c r="D29" t="s">
        <v>154</v>
      </c>
      <c r="F29" t="str">
        <f t="shared" si="3"/>
        <v>48</v>
      </c>
      <c r="G29">
        <v>29</v>
      </c>
      <c r="I29" t="str">
        <f t="shared" si="4"/>
        <v>182</v>
      </c>
      <c r="K29" t="s">
        <v>243</v>
      </c>
      <c r="L29">
        <f t="shared" si="2"/>
        <v>48</v>
      </c>
      <c r="O29" t="s">
        <v>310</v>
      </c>
      <c r="P29">
        <v>29</v>
      </c>
      <c r="Q29" s="1" t="s">
        <v>311</v>
      </c>
      <c r="R29" t="s">
        <v>286</v>
      </c>
      <c r="U29" t="s">
        <v>43</v>
      </c>
      <c r="V29">
        <v>29</v>
      </c>
      <c r="W29" t="s">
        <v>340</v>
      </c>
    </row>
    <row r="30" spans="1:27" x14ac:dyDescent="0.25">
      <c r="A30" t="s">
        <v>91</v>
      </c>
      <c r="D30" t="s">
        <v>155</v>
      </c>
      <c r="F30" t="str">
        <f t="shared" si="3"/>
        <v>34</v>
      </c>
      <c r="G30">
        <v>30</v>
      </c>
      <c r="I30" t="str">
        <f t="shared" si="4"/>
        <v>187</v>
      </c>
      <c r="K30" t="s">
        <v>245</v>
      </c>
      <c r="L30">
        <f t="shared" si="2"/>
        <v>34</v>
      </c>
      <c r="O30" t="s">
        <v>310</v>
      </c>
      <c r="P30">
        <v>30</v>
      </c>
      <c r="Q30" s="1" t="s">
        <v>311</v>
      </c>
      <c r="R30" t="s">
        <v>290</v>
      </c>
      <c r="T30">
        <v>34</v>
      </c>
      <c r="U30" t="s">
        <v>31</v>
      </c>
      <c r="V30">
        <v>30</v>
      </c>
      <c r="W30" t="s">
        <v>341</v>
      </c>
    </row>
    <row r="31" spans="1:27" x14ac:dyDescent="0.25">
      <c r="A31" t="s">
        <v>92</v>
      </c>
      <c r="D31" t="s">
        <v>156</v>
      </c>
      <c r="F31" t="str">
        <f t="shared" si="3"/>
        <v>57</v>
      </c>
      <c r="G31">
        <v>31</v>
      </c>
      <c r="I31" t="str">
        <f t="shared" si="4"/>
        <v>195</v>
      </c>
      <c r="K31" t="s">
        <v>247</v>
      </c>
      <c r="L31">
        <f t="shared" si="2"/>
        <v>57</v>
      </c>
      <c r="O31" t="s">
        <v>310</v>
      </c>
      <c r="P31">
        <v>31</v>
      </c>
      <c r="Q31" s="1" t="s">
        <v>311</v>
      </c>
      <c r="R31" t="s">
        <v>228</v>
      </c>
      <c r="U31" t="s">
        <v>55</v>
      </c>
      <c r="V31">
        <v>31</v>
      </c>
      <c r="W31" t="s">
        <v>55</v>
      </c>
    </row>
    <row r="32" spans="1:27" x14ac:dyDescent="0.25">
      <c r="A32" t="s">
        <v>93</v>
      </c>
      <c r="D32" t="s">
        <v>157</v>
      </c>
      <c r="F32" t="str">
        <f t="shared" si="3"/>
        <v>56</v>
      </c>
      <c r="G32">
        <v>32</v>
      </c>
      <c r="I32" t="str">
        <f t="shared" si="4"/>
        <v>200</v>
      </c>
      <c r="K32" t="s">
        <v>249</v>
      </c>
      <c r="L32">
        <f t="shared" si="2"/>
        <v>56</v>
      </c>
      <c r="O32" t="s">
        <v>310</v>
      </c>
      <c r="P32">
        <v>32</v>
      </c>
      <c r="Q32" s="1" t="s">
        <v>311</v>
      </c>
      <c r="R32" t="s">
        <v>225</v>
      </c>
      <c r="U32" t="s">
        <v>54</v>
      </c>
      <c r="V32">
        <v>32</v>
      </c>
      <c r="W32" t="s">
        <v>54</v>
      </c>
    </row>
    <row r="33" spans="1:23" x14ac:dyDescent="0.25">
      <c r="A33" t="s">
        <v>94</v>
      </c>
      <c r="D33" t="s">
        <v>158</v>
      </c>
      <c r="F33" t="str">
        <f t="shared" si="3"/>
        <v>43</v>
      </c>
      <c r="G33">
        <v>33</v>
      </c>
      <c r="I33" t="str">
        <f t="shared" si="4"/>
        <v>219</v>
      </c>
      <c r="K33" t="s">
        <v>251</v>
      </c>
      <c r="L33">
        <f t="shared" si="2"/>
        <v>43</v>
      </c>
      <c r="O33" t="s">
        <v>310</v>
      </c>
      <c r="P33">
        <v>33</v>
      </c>
      <c r="Q33" s="1" t="s">
        <v>311</v>
      </c>
      <c r="R33" t="s">
        <v>302</v>
      </c>
      <c r="U33" t="s">
        <v>39</v>
      </c>
      <c r="V33">
        <v>33</v>
      </c>
      <c r="W33" t="s">
        <v>342</v>
      </c>
    </row>
    <row r="34" spans="1:23" x14ac:dyDescent="0.25">
      <c r="A34" t="s">
        <v>95</v>
      </c>
      <c r="D34" t="s">
        <v>159</v>
      </c>
      <c r="F34" t="str">
        <f t="shared" si="3"/>
        <v>27</v>
      </c>
      <c r="G34">
        <v>34</v>
      </c>
      <c r="I34" t="str">
        <f t="shared" si="4"/>
        <v>224</v>
      </c>
      <c r="K34" t="s">
        <v>253</v>
      </c>
      <c r="L34">
        <f t="shared" si="2"/>
        <v>27</v>
      </c>
      <c r="O34" t="s">
        <v>310</v>
      </c>
      <c r="P34">
        <v>34</v>
      </c>
      <c r="Q34" s="1" t="s">
        <v>311</v>
      </c>
      <c r="R34" t="s">
        <v>246</v>
      </c>
      <c r="T34">
        <v>27</v>
      </c>
      <c r="U34" t="s">
        <v>24</v>
      </c>
      <c r="V34">
        <v>34</v>
      </c>
      <c r="W34" t="s">
        <v>343</v>
      </c>
    </row>
    <row r="35" spans="1:23" x14ac:dyDescent="0.25">
      <c r="A35" t="s">
        <v>96</v>
      </c>
      <c r="D35" t="s">
        <v>160</v>
      </c>
      <c r="F35" t="str">
        <f t="shared" si="3"/>
        <v>38</v>
      </c>
      <c r="G35">
        <v>35</v>
      </c>
      <c r="I35" t="str">
        <f t="shared" si="4"/>
        <v>229</v>
      </c>
      <c r="K35" t="s">
        <v>255</v>
      </c>
      <c r="L35">
        <f t="shared" si="2"/>
        <v>38</v>
      </c>
      <c r="O35" t="s">
        <v>310</v>
      </c>
      <c r="P35">
        <v>35</v>
      </c>
      <c r="Q35" s="1" t="s">
        <v>311</v>
      </c>
      <c r="R35" t="s">
        <v>236</v>
      </c>
      <c r="U35" t="s">
        <v>34</v>
      </c>
      <c r="V35">
        <v>35</v>
      </c>
      <c r="W35" t="s">
        <v>344</v>
      </c>
    </row>
    <row r="36" spans="1:23" x14ac:dyDescent="0.25">
      <c r="A36" t="s">
        <v>97</v>
      </c>
      <c r="D36" t="s">
        <v>161</v>
      </c>
      <c r="F36" t="str">
        <f t="shared" si="3"/>
        <v>28</v>
      </c>
      <c r="G36">
        <v>36</v>
      </c>
      <c r="I36" t="str">
        <f t="shared" si="4"/>
        <v>234</v>
      </c>
      <c r="K36" t="s">
        <v>257</v>
      </c>
      <c r="L36">
        <f t="shared" si="2"/>
        <v>28</v>
      </c>
      <c r="O36" t="s">
        <v>310</v>
      </c>
      <c r="P36">
        <v>36</v>
      </c>
      <c r="Q36" s="1" t="s">
        <v>311</v>
      </c>
      <c r="R36" t="s">
        <v>296</v>
      </c>
      <c r="T36">
        <v>28</v>
      </c>
      <c r="U36" t="s">
        <v>25</v>
      </c>
      <c r="V36">
        <v>36</v>
      </c>
      <c r="W36" t="s">
        <v>345</v>
      </c>
    </row>
    <row r="37" spans="1:23" x14ac:dyDescent="0.25">
      <c r="A37" t="s">
        <v>98</v>
      </c>
      <c r="D37" t="s">
        <v>162</v>
      </c>
      <c r="F37" t="str">
        <f t="shared" si="3"/>
        <v>19</v>
      </c>
      <c r="G37">
        <v>37</v>
      </c>
      <c r="I37" t="str">
        <f t="shared" si="4"/>
        <v>239</v>
      </c>
      <c r="K37" t="s">
        <v>259</v>
      </c>
      <c r="L37">
        <f t="shared" si="2"/>
        <v>19</v>
      </c>
      <c r="O37" t="s">
        <v>310</v>
      </c>
      <c r="P37">
        <v>37</v>
      </c>
      <c r="Q37" s="1" t="s">
        <v>311</v>
      </c>
      <c r="R37" t="s">
        <v>210</v>
      </c>
    </row>
    <row r="38" spans="1:23" x14ac:dyDescent="0.25">
      <c r="A38" t="s">
        <v>99</v>
      </c>
      <c r="D38" t="s">
        <v>163</v>
      </c>
      <c r="F38" t="str">
        <f t="shared" si="3"/>
        <v>8</v>
      </c>
      <c r="G38">
        <v>38</v>
      </c>
      <c r="I38" t="str">
        <f t="shared" si="4"/>
        <v>244</v>
      </c>
      <c r="K38" t="s">
        <v>261</v>
      </c>
      <c r="L38">
        <f t="shared" si="2"/>
        <v>8</v>
      </c>
      <c r="O38" t="s">
        <v>310</v>
      </c>
      <c r="P38">
        <v>38</v>
      </c>
      <c r="Q38" s="1" t="s">
        <v>311</v>
      </c>
      <c r="R38" t="s">
        <v>256</v>
      </c>
    </row>
    <row r="39" spans="1:23" x14ac:dyDescent="0.25">
      <c r="A39" t="s">
        <v>100</v>
      </c>
      <c r="D39" t="s">
        <v>164</v>
      </c>
      <c r="F39" t="str">
        <f t="shared" si="3"/>
        <v>51</v>
      </c>
      <c r="G39">
        <v>39</v>
      </c>
      <c r="I39" t="str">
        <f t="shared" si="4"/>
        <v>249</v>
      </c>
      <c r="K39" t="s">
        <v>202</v>
      </c>
      <c r="L39">
        <f t="shared" si="2"/>
        <v>51</v>
      </c>
      <c r="O39" t="s">
        <v>310</v>
      </c>
      <c r="P39">
        <v>39</v>
      </c>
      <c r="Q39" s="1" t="s">
        <v>311</v>
      </c>
      <c r="R39" t="s">
        <v>191</v>
      </c>
    </row>
    <row r="40" spans="1:23" x14ac:dyDescent="0.25">
      <c r="A40" t="s">
        <v>101</v>
      </c>
      <c r="D40" t="s">
        <v>165</v>
      </c>
      <c r="F40" t="str">
        <f t="shared" si="3"/>
        <v>47</v>
      </c>
      <c r="G40">
        <v>40</v>
      </c>
      <c r="I40" t="str">
        <f t="shared" si="4"/>
        <v>254</v>
      </c>
      <c r="K40" t="s">
        <v>264</v>
      </c>
      <c r="L40">
        <f t="shared" si="2"/>
        <v>47</v>
      </c>
      <c r="O40" t="s">
        <v>310</v>
      </c>
      <c r="P40">
        <v>40</v>
      </c>
      <c r="Q40" s="1" t="s">
        <v>311</v>
      </c>
      <c r="R40" t="s">
        <v>242</v>
      </c>
    </row>
    <row r="41" spans="1:23" x14ac:dyDescent="0.25">
      <c r="A41" t="s">
        <v>102</v>
      </c>
      <c r="D41" t="s">
        <v>166</v>
      </c>
      <c r="F41" t="str">
        <f t="shared" si="3"/>
        <v>26</v>
      </c>
      <c r="G41">
        <v>41</v>
      </c>
      <c r="I41" t="str">
        <f t="shared" si="4"/>
        <v>262</v>
      </c>
      <c r="K41" t="s">
        <v>193</v>
      </c>
      <c r="L41">
        <f t="shared" si="2"/>
        <v>26</v>
      </c>
      <c r="O41" t="s">
        <v>310</v>
      </c>
      <c r="P41">
        <v>41</v>
      </c>
      <c r="Q41" s="1" t="s">
        <v>311</v>
      </c>
      <c r="R41" t="s">
        <v>202</v>
      </c>
    </row>
    <row r="42" spans="1:23" x14ac:dyDescent="0.25">
      <c r="A42" t="s">
        <v>103</v>
      </c>
      <c r="D42" t="s">
        <v>167</v>
      </c>
      <c r="F42" t="str">
        <f t="shared" si="3"/>
        <v>13</v>
      </c>
      <c r="G42">
        <v>42</v>
      </c>
      <c r="I42" t="str">
        <f t="shared" si="4"/>
        <v>267</v>
      </c>
      <c r="K42" t="s">
        <v>267</v>
      </c>
      <c r="L42">
        <f t="shared" si="2"/>
        <v>13</v>
      </c>
      <c r="O42" t="s">
        <v>310</v>
      </c>
      <c r="P42">
        <v>42</v>
      </c>
      <c r="Q42" s="1" t="s">
        <v>311</v>
      </c>
      <c r="R42" t="s">
        <v>195</v>
      </c>
    </row>
    <row r="43" spans="1:23" x14ac:dyDescent="0.25">
      <c r="A43" t="s">
        <v>104</v>
      </c>
      <c r="D43" t="s">
        <v>168</v>
      </c>
      <c r="F43" t="str">
        <f t="shared" si="3"/>
        <v>5</v>
      </c>
      <c r="G43">
        <v>43</v>
      </c>
      <c r="I43" t="str">
        <f t="shared" si="4"/>
        <v>272</v>
      </c>
      <c r="K43" t="s">
        <v>269</v>
      </c>
      <c r="L43">
        <f t="shared" si="2"/>
        <v>5</v>
      </c>
      <c r="O43" t="s">
        <v>310</v>
      </c>
      <c r="P43">
        <v>43</v>
      </c>
      <c r="Q43" s="1" t="s">
        <v>311</v>
      </c>
      <c r="R43" t="s">
        <v>252</v>
      </c>
    </row>
    <row r="44" spans="1:23" x14ac:dyDescent="0.25">
      <c r="A44" t="s">
        <v>105</v>
      </c>
      <c r="D44" t="s">
        <v>169</v>
      </c>
      <c r="F44" t="str">
        <f t="shared" si="3"/>
        <v>64</v>
      </c>
      <c r="G44">
        <v>44</v>
      </c>
      <c r="I44" t="str">
        <f t="shared" si="4"/>
        <v>277</v>
      </c>
      <c r="K44" t="s">
        <v>271</v>
      </c>
      <c r="L44">
        <f t="shared" si="2"/>
        <v>64</v>
      </c>
      <c r="O44" t="s">
        <v>310</v>
      </c>
      <c r="P44">
        <v>44</v>
      </c>
      <c r="Q44" s="1" t="s">
        <v>311</v>
      </c>
      <c r="R44" t="s">
        <v>298</v>
      </c>
    </row>
    <row r="45" spans="1:23" x14ac:dyDescent="0.25">
      <c r="A45" t="s">
        <v>106</v>
      </c>
      <c r="D45" t="s">
        <v>170</v>
      </c>
      <c r="F45" t="str">
        <f t="shared" si="3"/>
        <v>25</v>
      </c>
      <c r="G45">
        <v>45</v>
      </c>
      <c r="I45" t="str">
        <f t="shared" si="4"/>
        <v>285</v>
      </c>
      <c r="K45" t="s">
        <v>273</v>
      </c>
      <c r="L45">
        <f t="shared" si="2"/>
        <v>25</v>
      </c>
      <c r="O45" t="s">
        <v>310</v>
      </c>
      <c r="P45">
        <v>45</v>
      </c>
      <c r="Q45" s="1" t="s">
        <v>311</v>
      </c>
      <c r="R45" t="s">
        <v>227</v>
      </c>
    </row>
    <row r="46" spans="1:23" x14ac:dyDescent="0.25">
      <c r="A46" t="s">
        <v>107</v>
      </c>
      <c r="D46" t="s">
        <v>171</v>
      </c>
      <c r="F46" t="str">
        <f t="shared" si="3"/>
        <v>12</v>
      </c>
      <c r="G46">
        <v>46</v>
      </c>
      <c r="I46" t="str">
        <f t="shared" si="4"/>
        <v>290</v>
      </c>
      <c r="K46" t="s">
        <v>275</v>
      </c>
      <c r="L46">
        <f t="shared" si="2"/>
        <v>12</v>
      </c>
      <c r="O46" t="s">
        <v>310</v>
      </c>
      <c r="P46">
        <v>46</v>
      </c>
      <c r="Q46" s="1" t="s">
        <v>311</v>
      </c>
      <c r="R46" t="s">
        <v>303</v>
      </c>
    </row>
    <row r="47" spans="1:23" x14ac:dyDescent="0.25">
      <c r="A47" t="s">
        <v>108</v>
      </c>
      <c r="D47" t="s">
        <v>172</v>
      </c>
      <c r="F47" t="str">
        <f t="shared" si="3"/>
        <v>53</v>
      </c>
      <c r="G47">
        <v>47</v>
      </c>
      <c r="I47" t="str">
        <f t="shared" si="4"/>
        <v>295</v>
      </c>
      <c r="K47" t="s">
        <v>277</v>
      </c>
      <c r="L47">
        <f t="shared" si="2"/>
        <v>53</v>
      </c>
      <c r="O47" t="s">
        <v>310</v>
      </c>
      <c r="P47">
        <v>47</v>
      </c>
      <c r="Q47" s="1" t="s">
        <v>311</v>
      </c>
      <c r="R47" t="s">
        <v>265</v>
      </c>
    </row>
    <row r="48" spans="1:23" x14ac:dyDescent="0.25">
      <c r="A48" t="s">
        <v>109</v>
      </c>
      <c r="D48" t="s">
        <v>173</v>
      </c>
      <c r="F48" t="str">
        <f t="shared" si="3"/>
        <v>9</v>
      </c>
      <c r="G48">
        <v>48</v>
      </c>
      <c r="I48" t="str">
        <f t="shared" si="4"/>
        <v>300</v>
      </c>
      <c r="K48" t="s">
        <v>279</v>
      </c>
      <c r="L48">
        <f t="shared" si="2"/>
        <v>9</v>
      </c>
      <c r="O48" t="s">
        <v>310</v>
      </c>
      <c r="P48">
        <v>48</v>
      </c>
      <c r="Q48" s="1" t="s">
        <v>311</v>
      </c>
      <c r="R48" t="s">
        <v>244</v>
      </c>
    </row>
    <row r="49" spans="1:19" x14ac:dyDescent="0.25">
      <c r="A49" t="s">
        <v>110</v>
      </c>
      <c r="D49" t="s">
        <v>174</v>
      </c>
      <c r="F49" t="str">
        <f t="shared" si="3"/>
        <v>60</v>
      </c>
      <c r="G49">
        <v>49</v>
      </c>
      <c r="I49" t="str">
        <f t="shared" si="4"/>
        <v>305</v>
      </c>
      <c r="K49" t="s">
        <v>281</v>
      </c>
      <c r="L49">
        <f t="shared" si="2"/>
        <v>60</v>
      </c>
      <c r="O49" t="s">
        <v>310</v>
      </c>
      <c r="P49">
        <v>49</v>
      </c>
      <c r="Q49" s="1" t="s">
        <v>311</v>
      </c>
      <c r="R49" t="s">
        <v>193</v>
      </c>
    </row>
    <row r="50" spans="1:19" x14ac:dyDescent="0.25">
      <c r="A50" t="s">
        <v>111</v>
      </c>
      <c r="D50" t="s">
        <v>175</v>
      </c>
      <c r="F50" t="str">
        <f t="shared" si="3"/>
        <v>1</v>
      </c>
      <c r="G50">
        <v>50</v>
      </c>
      <c r="I50" t="str">
        <f t="shared" si="4"/>
        <v>321</v>
      </c>
      <c r="K50" t="s">
        <v>283</v>
      </c>
      <c r="L50">
        <f t="shared" si="2"/>
        <v>1</v>
      </c>
      <c r="O50" t="s">
        <v>310</v>
      </c>
      <c r="P50">
        <v>50</v>
      </c>
      <c r="Q50" s="1" t="s">
        <v>311</v>
      </c>
      <c r="R50" t="s">
        <v>197</v>
      </c>
    </row>
    <row r="51" spans="1:19" x14ac:dyDescent="0.25">
      <c r="A51" t="s">
        <v>112</v>
      </c>
      <c r="D51" t="s">
        <v>176</v>
      </c>
      <c r="F51" t="str">
        <f t="shared" si="3"/>
        <v>29</v>
      </c>
      <c r="G51">
        <v>51</v>
      </c>
      <c r="I51" t="str">
        <f t="shared" si="4"/>
        <v>326</v>
      </c>
      <c r="K51" t="s">
        <v>285</v>
      </c>
      <c r="L51">
        <f t="shared" si="2"/>
        <v>29</v>
      </c>
      <c r="O51" t="s">
        <v>310</v>
      </c>
      <c r="P51">
        <v>51</v>
      </c>
      <c r="Q51" s="1" t="s">
        <v>311</v>
      </c>
      <c r="R51" t="s">
        <v>263</v>
      </c>
    </row>
    <row r="52" spans="1:19" x14ac:dyDescent="0.25">
      <c r="A52" t="s">
        <v>113</v>
      </c>
      <c r="D52" t="s">
        <v>177</v>
      </c>
      <c r="F52" t="str">
        <f t="shared" si="3"/>
        <v>63</v>
      </c>
      <c r="G52">
        <v>52</v>
      </c>
      <c r="I52" t="str">
        <f t="shared" si="4"/>
        <v>331</v>
      </c>
      <c r="K52" t="s">
        <v>287</v>
      </c>
      <c r="L52">
        <f t="shared" si="2"/>
        <v>63</v>
      </c>
      <c r="O52" t="s">
        <v>310</v>
      </c>
      <c r="P52">
        <v>52</v>
      </c>
      <c r="Q52" s="1" t="s">
        <v>311</v>
      </c>
      <c r="R52" t="s">
        <v>204</v>
      </c>
    </row>
    <row r="53" spans="1:19" x14ac:dyDescent="0.25">
      <c r="A53" t="s">
        <v>114</v>
      </c>
      <c r="D53" t="s">
        <v>178</v>
      </c>
      <c r="F53" t="str">
        <f t="shared" si="3"/>
        <v>30</v>
      </c>
      <c r="G53">
        <v>53</v>
      </c>
      <c r="I53" t="str">
        <f t="shared" si="4"/>
        <v>339</v>
      </c>
      <c r="K53" t="s">
        <v>289</v>
      </c>
      <c r="L53">
        <f t="shared" si="2"/>
        <v>30</v>
      </c>
      <c r="O53" t="s">
        <v>310</v>
      </c>
      <c r="P53">
        <v>53</v>
      </c>
      <c r="Q53" s="1" t="s">
        <v>311</v>
      </c>
      <c r="R53" t="s">
        <v>215</v>
      </c>
    </row>
    <row r="54" spans="1:19" x14ac:dyDescent="0.25">
      <c r="A54" t="s">
        <v>115</v>
      </c>
      <c r="D54" t="s">
        <v>179</v>
      </c>
      <c r="F54" t="str">
        <f t="shared" si="3"/>
        <v>20</v>
      </c>
      <c r="G54">
        <v>54</v>
      </c>
      <c r="I54" t="str">
        <f t="shared" si="4"/>
        <v>344</v>
      </c>
      <c r="K54" t="s">
        <v>291</v>
      </c>
      <c r="L54">
        <f t="shared" si="2"/>
        <v>20</v>
      </c>
      <c r="O54" t="s">
        <v>310</v>
      </c>
      <c r="P54">
        <v>54</v>
      </c>
      <c r="Q54" s="1" t="s">
        <v>311</v>
      </c>
      <c r="R54" t="s">
        <v>232</v>
      </c>
    </row>
    <row r="55" spans="1:19" x14ac:dyDescent="0.25">
      <c r="A55" t="s">
        <v>116</v>
      </c>
      <c r="D55" t="s">
        <v>180</v>
      </c>
      <c r="F55" t="str">
        <f t="shared" si="3"/>
        <v>21</v>
      </c>
      <c r="G55">
        <v>55</v>
      </c>
      <c r="I55" t="str">
        <f t="shared" si="4"/>
        <v>349</v>
      </c>
      <c r="K55" t="s">
        <v>191</v>
      </c>
      <c r="L55">
        <f t="shared" si="2"/>
        <v>21</v>
      </c>
      <c r="O55" t="s">
        <v>310</v>
      </c>
      <c r="P55">
        <v>55</v>
      </c>
      <c r="Q55" s="1" t="s">
        <v>311</v>
      </c>
      <c r="R55" t="s">
        <v>250</v>
      </c>
    </row>
    <row r="56" spans="1:19" x14ac:dyDescent="0.25">
      <c r="A56" t="s">
        <v>117</v>
      </c>
      <c r="D56" t="s">
        <v>181</v>
      </c>
      <c r="F56" t="str">
        <f t="shared" si="3"/>
        <v>6</v>
      </c>
      <c r="G56">
        <v>56</v>
      </c>
      <c r="I56" t="str">
        <f t="shared" si="4"/>
        <v>354</v>
      </c>
      <c r="K56" t="s">
        <v>294</v>
      </c>
      <c r="L56">
        <f t="shared" si="2"/>
        <v>6</v>
      </c>
      <c r="O56" t="s">
        <v>310</v>
      </c>
      <c r="P56">
        <v>56</v>
      </c>
      <c r="Q56" s="1" t="s">
        <v>311</v>
      </c>
      <c r="R56" t="s">
        <v>248</v>
      </c>
    </row>
    <row r="57" spans="1:19" x14ac:dyDescent="0.25">
      <c r="A57" t="s">
        <v>118</v>
      </c>
      <c r="D57" t="s">
        <v>182</v>
      </c>
      <c r="F57" t="str">
        <f t="shared" si="3"/>
        <v>36</v>
      </c>
      <c r="G57">
        <v>57</v>
      </c>
      <c r="I57" t="str">
        <f t="shared" si="4"/>
        <v>359</v>
      </c>
      <c r="K57" t="s">
        <v>197</v>
      </c>
      <c r="L57">
        <f t="shared" si="2"/>
        <v>36</v>
      </c>
      <c r="O57" t="s">
        <v>310</v>
      </c>
      <c r="P57">
        <v>57</v>
      </c>
      <c r="Q57" s="1" t="s">
        <v>311</v>
      </c>
      <c r="R57" t="s">
        <v>307</v>
      </c>
    </row>
    <row r="58" spans="1:19" x14ac:dyDescent="0.25">
      <c r="A58" t="s">
        <v>119</v>
      </c>
      <c r="D58" t="s">
        <v>183</v>
      </c>
      <c r="F58" t="str">
        <f t="shared" si="3"/>
        <v>44</v>
      </c>
      <c r="G58">
        <v>58</v>
      </c>
      <c r="I58" t="str">
        <f t="shared" si="4"/>
        <v>367</v>
      </c>
      <c r="K58" t="s">
        <v>297</v>
      </c>
      <c r="L58">
        <f t="shared" si="2"/>
        <v>44</v>
      </c>
      <c r="O58" t="s">
        <v>310</v>
      </c>
      <c r="P58">
        <v>58</v>
      </c>
      <c r="Q58" s="1" t="s">
        <v>311</v>
      </c>
      <c r="R58" t="s">
        <v>211</v>
      </c>
    </row>
    <row r="59" spans="1:19" x14ac:dyDescent="0.25">
      <c r="A59" t="s">
        <v>120</v>
      </c>
      <c r="D59" t="s">
        <v>184</v>
      </c>
      <c r="F59" t="str">
        <f t="shared" si="3"/>
        <v>2</v>
      </c>
      <c r="G59">
        <v>59</v>
      </c>
      <c r="I59" t="str">
        <f t="shared" si="4"/>
        <v>372</v>
      </c>
      <c r="K59" t="s">
        <v>299</v>
      </c>
      <c r="L59">
        <f t="shared" si="2"/>
        <v>2</v>
      </c>
      <c r="O59" t="s">
        <v>310</v>
      </c>
      <c r="P59">
        <v>59</v>
      </c>
      <c r="Q59" s="1" t="s">
        <v>311</v>
      </c>
      <c r="R59" t="s">
        <v>282</v>
      </c>
    </row>
    <row r="60" spans="1:19" x14ac:dyDescent="0.25">
      <c r="A60" t="s">
        <v>121</v>
      </c>
      <c r="D60" t="s">
        <v>185</v>
      </c>
      <c r="F60" t="str">
        <f t="shared" si="3"/>
        <v>33</v>
      </c>
      <c r="G60">
        <v>60</v>
      </c>
      <c r="I60" t="str">
        <f t="shared" si="4"/>
        <v>382</v>
      </c>
      <c r="K60" t="s">
        <v>301</v>
      </c>
      <c r="L60">
        <f t="shared" si="2"/>
        <v>33</v>
      </c>
      <c r="O60" t="s">
        <v>310</v>
      </c>
      <c r="P60">
        <v>60</v>
      </c>
      <c r="Q60" s="1" t="s">
        <v>311</v>
      </c>
      <c r="R60" t="s">
        <v>217</v>
      </c>
    </row>
    <row r="61" spans="1:19" x14ac:dyDescent="0.25">
      <c r="A61" t="s">
        <v>122</v>
      </c>
      <c r="D61" t="s">
        <v>186</v>
      </c>
      <c r="F61" t="str">
        <f t="shared" si="3"/>
        <v>46</v>
      </c>
      <c r="G61">
        <v>61</v>
      </c>
      <c r="I61" t="str">
        <f t="shared" si="4"/>
        <v>390</v>
      </c>
      <c r="K61" t="s">
        <v>201</v>
      </c>
      <c r="L61">
        <f t="shared" si="2"/>
        <v>46</v>
      </c>
    </row>
    <row r="62" spans="1:19" x14ac:dyDescent="0.25">
      <c r="A62" t="s">
        <v>123</v>
      </c>
      <c r="D62" t="s">
        <v>187</v>
      </c>
      <c r="F62" t="str">
        <f t="shared" si="3"/>
        <v>18</v>
      </c>
      <c r="G62">
        <v>62</v>
      </c>
      <c r="I62" t="str">
        <f t="shared" si="4"/>
        <v>398</v>
      </c>
      <c r="K62" t="s">
        <v>304</v>
      </c>
      <c r="L62">
        <f t="shared" si="2"/>
        <v>18</v>
      </c>
      <c r="O62" t="s">
        <v>310</v>
      </c>
      <c r="P62">
        <v>61</v>
      </c>
      <c r="Q62" s="1" t="s">
        <v>311</v>
      </c>
      <c r="R62" t="s">
        <v>278</v>
      </c>
      <c r="S62" s="2" t="s">
        <v>356</v>
      </c>
    </row>
    <row r="63" spans="1:19" x14ac:dyDescent="0.25">
      <c r="A63" t="s">
        <v>124</v>
      </c>
      <c r="D63" t="s">
        <v>188</v>
      </c>
      <c r="F63" t="str">
        <f t="shared" si="3"/>
        <v>58</v>
      </c>
      <c r="G63">
        <v>63</v>
      </c>
      <c r="I63" t="str">
        <f t="shared" si="4"/>
        <v>403</v>
      </c>
      <c r="K63" t="s">
        <v>306</v>
      </c>
      <c r="L63">
        <f t="shared" si="2"/>
        <v>58</v>
      </c>
      <c r="O63" t="s">
        <v>310</v>
      </c>
      <c r="P63">
        <v>62</v>
      </c>
      <c r="Q63" s="1" t="s">
        <v>311</v>
      </c>
      <c r="R63" t="s">
        <v>309</v>
      </c>
      <c r="S63" s="2" t="s">
        <v>372</v>
      </c>
    </row>
    <row r="64" spans="1:19" x14ac:dyDescent="0.25">
      <c r="A64" t="s">
        <v>125</v>
      </c>
      <c r="D64" t="s">
        <v>189</v>
      </c>
      <c r="F64" t="str">
        <f t="shared" si="3"/>
        <v>62</v>
      </c>
      <c r="G64">
        <v>64</v>
      </c>
      <c r="I64" t="str">
        <f t="shared" si="4"/>
        <v>410</v>
      </c>
      <c r="K64" t="s">
        <v>308</v>
      </c>
      <c r="L64">
        <f t="shared" si="2"/>
        <v>62</v>
      </c>
      <c r="O64" t="s">
        <v>310</v>
      </c>
      <c r="P64">
        <v>63</v>
      </c>
      <c r="Q64" s="1" t="s">
        <v>311</v>
      </c>
      <c r="R64" t="s">
        <v>288</v>
      </c>
      <c r="S64" s="2" t="s">
        <v>360</v>
      </c>
    </row>
    <row r="65" spans="15:19" x14ac:dyDescent="0.25">
      <c r="O65" t="s">
        <v>310</v>
      </c>
      <c r="P65">
        <v>64</v>
      </c>
      <c r="Q65" s="1" t="s">
        <v>311</v>
      </c>
      <c r="R65" t="s">
        <v>272</v>
      </c>
      <c r="S65" s="2" t="s">
        <v>353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Calcoli</vt:lpstr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TheBonus</dc:creator>
  <cp:lastModifiedBy>Amadeus II</cp:lastModifiedBy>
  <dcterms:created xsi:type="dcterms:W3CDTF">2021-01-27T10:01:08Z</dcterms:created>
  <dcterms:modified xsi:type="dcterms:W3CDTF">2026-04-20T11:15:00Z</dcterms:modified>
</cp:coreProperties>
</file>