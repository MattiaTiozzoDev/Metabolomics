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6" rupBuild="29822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dario\Downloads\"/>
    </mc:Choice>
  </mc:AlternateContent>
  <bookViews>
    <workbookView xWindow="4080" yWindow="1800" windowWidth="21600" windowHeight="11235"/>
  </bookViews>
  <sheets>
    <sheet name="Calcoli" sheetId="5" r:id="rId1"/>
    <sheet name="Foglio1" sheetId="4" state="hidden" r:id="rId2"/>
  </sheets>
  <calcPr/>
</workbook>
</file>

<file path=xl/calcChain.xml><?xml version="1.0" encoding="utf-8"?>
<calcChain xmlns="http://schemas.openxmlformats.org/spreadsheetml/2006/main">
  <c a="1" i="5" l="1" r="CL4"/>
  <c r="CL4"/>
  <c a="1" r="CK4"/>
  <c r="CK4"/>
  <c a="1" r="CJ4"/>
  <c r="CJ4"/>
  <c a="1" r="CI4"/>
  <c r="CI4"/>
  <c a="1" r="CH4"/>
  <c r="CH4"/>
  <c a="1" r="CG4"/>
  <c r="CG4"/>
  <c a="1" r="CF4"/>
  <c r="CF4"/>
  <c a="1" r="CE4"/>
  <c r="CE4"/>
  <c a="1" r="CD4"/>
  <c r="CD4"/>
  <c a="1" r="CC4"/>
  <c r="CC4"/>
  <c a="1" r="CB4"/>
  <c r="CB4"/>
  <c a="1" r="CA4"/>
  <c r="CA4"/>
  <c a="1" r="BZ4"/>
  <c r="BZ4"/>
  <c a="1" r="BY4"/>
  <c r="BY4"/>
  <c a="1" r="BX4"/>
  <c r="BX4"/>
  <c a="1" r="BW4"/>
  <c r="BW4"/>
  <c a="1" r="BV4"/>
  <c r="BV4"/>
  <c a="1" r="BU4"/>
  <c r="BU4"/>
  <c a="1" r="BT4"/>
  <c r="BT4"/>
  <c a="1" r="BS4"/>
  <c r="BS4"/>
  <c a="1" r="BR4"/>
  <c r="BR4"/>
  <c a="1" r="BQ4"/>
  <c r="BQ4"/>
  <c a="1" r="BP4"/>
  <c r="BP4"/>
  <c a="1" r="BO4"/>
  <c r="BO4"/>
  <c a="1" r="BN4"/>
  <c r="BN4"/>
  <c a="1" r="BK4"/>
  <c r="BK4"/>
  <c a="1" r="BJ4"/>
  <c r="BJ4"/>
  <c a="1" r="BI4"/>
  <c r="BI4"/>
  <c a="1" r="BH4"/>
  <c r="BH4"/>
  <c a="1" r="BG4"/>
  <c r="BG4"/>
  <c a="1" r="BF4"/>
  <c r="BF4"/>
  <c a="1" r="BE4"/>
  <c r="BE4"/>
  <c a="1" r="BD4"/>
  <c r="BD4"/>
  <c a="1" r="BC4"/>
  <c r="BC4"/>
  <c a="1" r="BB4"/>
  <c r="BB4"/>
  <c a="1" r="BA4"/>
  <c r="BA4"/>
  <c a="1" r="AZ4"/>
  <c r="AZ4"/>
  <c a="1" r="AY4"/>
  <c r="AY4"/>
  <c a="1" r="AX4"/>
  <c r="AX4"/>
  <c a="1" r="AW4"/>
  <c r="AW4"/>
  <c a="1" r="AV4"/>
  <c r="AV4"/>
  <c a="1" r="AU4"/>
  <c r="AU4"/>
  <c a="1" r="AT4"/>
  <c r="AT4"/>
  <c a="1" r="AS4"/>
  <c r="AS4"/>
  <c a="1" r="AR4"/>
  <c r="AR4"/>
  <c a="1" r="AQ4"/>
  <c r="AQ4"/>
  <c a="1" r="AP4"/>
  <c r="AP4"/>
  <c a="1" r="AO4"/>
  <c r="AO4"/>
  <c a="1" r="AN4"/>
  <c r="AN4"/>
  <c a="1" r="AM4"/>
  <c r="AM4"/>
  <c a="1" r="AL4"/>
  <c r="AL4"/>
  <c a="1" r="AK4"/>
  <c r="AK4"/>
  <c a="1" r="AJ4"/>
  <c r="AJ4"/>
  <c a="1" r="AI4"/>
  <c r="AI4"/>
  <c a="1" r="AH4"/>
  <c r="AH4"/>
  <c a="1" r="AG4"/>
  <c r="AG4"/>
  <c a="1" r="AF4"/>
  <c r="AF4"/>
  <c a="1" r="AE4"/>
  <c r="AE4"/>
  <c a="1" r="AD4"/>
  <c r="AD4"/>
  <c a="1" r="AC4"/>
  <c r="AC4"/>
  <c a="1" r="AB4"/>
  <c r="AB4"/>
  <c a="1" r="AA4"/>
  <c r="AA4"/>
  <c a="1" r="Z4"/>
  <c r="Z4"/>
  <c a="1" r="Y4"/>
  <c r="Y4"/>
  <c a="1" r="X4"/>
  <c r="X4"/>
  <c i="4" l="1" r="L2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1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10"/>
  <c r="I2"/>
  <c r="I3"/>
  <c r="I4"/>
  <c r="I5"/>
  <c r="I6"/>
  <c r="I7"/>
  <c r="I8"/>
  <c r="I9"/>
  <c r="I1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10"/>
  <c r="F2"/>
  <c r="F3"/>
  <c r="F4"/>
  <c r="F5"/>
  <c r="F6"/>
  <c r="F7"/>
  <c r="F8"/>
  <c r="F9"/>
  <c r="F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<sst xmlns="http://schemas.openxmlformats.org/spreadsheetml/2006/main">
  <si>
    <t>DATA_ACCETTAZIONE</t>
  </si>
  <si>
    <t>CODICE_ORDINE</t>
  </si>
  <si>
    <t>CODICE_FISCALE</t>
  </si>
  <si>
    <t>VARIABILE_POPOLAZIONE</t>
  </si>
  <si>
    <t>DISPONIBILE</t>
  </si>
  <si>
    <t>RIGA</t>
  </si>
  <si>
    <t>NOME</t>
  </si>
  <si>
    <t>NUMERO_ACCETTAZIONE</t>
  </si>
  <si>
    <t>DATA_REFERTAZIONE</t>
  </si>
  <si>
    <t>Atlantys</t>
  </si>
  <si>
    <t>Trypto in Atlantis</t>
  </si>
  <si>
    <t>Phenyl - Hexyl</t>
  </si>
  <si>
    <t>Trypto in Phenyl Exyl</t>
  </si>
  <si>
    <t>DATA ACCETTAZIONE</t>
  </si>
  <si>
    <t>CODICE D'ORDINE</t>
  </si>
  <si>
    <t>CODICE FISCALE</t>
  </si>
  <si>
    <t>VARIABILE POPOLAZIONE</t>
  </si>
  <si>
    <t>NUMERO ACCETTAZIONE</t>
  </si>
  <si>
    <t>DATA REFERTAZIONE</t>
  </si>
  <si>
    <t>NUMERO</t>
  </si>
  <si>
    <t>DATA</t>
  </si>
  <si>
    <t>CONTROLLO</t>
  </si>
  <si>
    <t>CREATININA</t>
  </si>
  <si>
    <t>OSSALICO</t>
  </si>
  <si>
    <t>INDACANO</t>
  </si>
  <si>
    <t>p-Cresolo</t>
  </si>
  <si>
    <t>RATIO HMA / VMA</t>
  </si>
  <si>
    <t>23_3_2026</t>
  </si>
  <si>
    <t>REUVZLDRH</t>
  </si>
  <si>
    <t>SMNLGO75P42Z140S</t>
  </si>
  <si>
    <t>SEMIONOV OLGA</t>
  </si>
  <si>
    <t xml:space="preserve"> 30_03_2026</t>
  </si>
  <si>
    <t>1450</t>
  </si>
  <si>
    <t xml:space="preserve"> 31_03_2026</t>
  </si>
  <si>
    <t>TPFZSSRTE</t>
  </si>
  <si>
    <t>BTTNZE19M09B563S</t>
  </si>
  <si>
    <t>BOTTEGA ENZO</t>
  </si>
  <si>
    <t>1451</t>
  </si>
  <si>
    <t>24_3_2026</t>
  </si>
  <si>
    <t>PXIIFJLYT</t>
  </si>
  <si>
    <t>BNFLSE65M69C469A</t>
  </si>
  <si>
    <t>BONFIGLIOLI ELISA</t>
  </si>
  <si>
    <t>1459</t>
  </si>
  <si>
    <t>BONFIGLIOLI EL</t>
  </si>
  <si>
    <t>GLLWRPNII</t>
  </si>
  <si>
    <t>WLFCDC67A51Z404Y</t>
  </si>
  <si>
    <t>WOLFHARDT CLAUDIA CHRISTINE</t>
  </si>
  <si>
    <t>1460</t>
  </si>
  <si>
    <t>WOLFHARDT CLAU</t>
  </si>
  <si>
    <t>HSEMWYITW</t>
  </si>
  <si>
    <t>GSTMHL73P21A944Q</t>
  </si>
  <si>
    <t>AGOSTINI MICHELANGELO</t>
  </si>
  <si>
    <t>1461</t>
  </si>
  <si>
    <t>AGOSTINI MICHE</t>
  </si>
  <si>
    <t>VBFIUUYXF</t>
  </si>
  <si>
    <t>BSCSNT91C59Z133M</t>
  </si>
  <si>
    <t>BOSCOLO SAMANTA</t>
  </si>
  <si>
    <t>1464</t>
  </si>
  <si>
    <t>BOSCOLO SAMANT</t>
  </si>
  <si>
    <t>1=39</t>
  </si>
  <si>
    <t>p1=21</t>
  </si>
  <si>
    <t>39</t>
  </si>
  <si>
    <t>pos(</t>
  </si>
  <si>
    <t>)=</t>
  </si>
  <si>
    <t>321</t>
  </si>
  <si>
    <t>Acido CITRICO</t>
  </si>
  <si>
    <t>Citrico</t>
  </si>
  <si>
    <t>ACIDO TRICARBALLILICO</t>
  </si>
  <si>
    <t>Tricarballilico</t>
  </si>
  <si>
    <t>2=49</t>
  </si>
  <si>
    <t>p2=26</t>
  </si>
  <si>
    <t>49</t>
  </si>
  <si>
    <t>372</t>
  </si>
  <si>
    <t>Acido ACONITICO</t>
  </si>
  <si>
    <t>Aconitico</t>
  </si>
  <si>
    <t>ARABINOSIO</t>
  </si>
  <si>
    <t>Arabinosio</t>
  </si>
  <si>
    <t>3=42</t>
  </si>
  <si>
    <t>p3=31</t>
  </si>
  <si>
    <t>42</t>
  </si>
  <si>
    <t>46</t>
  </si>
  <si>
    <t>Acido ISOCITRICO</t>
  </si>
  <si>
    <t>Isocitrico</t>
  </si>
  <si>
    <t>ARABITOLO</t>
  </si>
  <si>
    <t>Arabitolo</t>
  </si>
  <si>
    <t>4=50</t>
  </si>
  <si>
    <t>p4=36</t>
  </si>
  <si>
    <t>50</t>
  </si>
  <si>
    <t>125</t>
  </si>
  <si>
    <t>Acido ALFA CHETO GLUTARICO</t>
  </si>
  <si>
    <t>2-Ossoglutarico</t>
  </si>
  <si>
    <t>Acido 2,5 furandicarbossilico</t>
  </si>
  <si>
    <t>Furan-2,5-Dicarbossilico</t>
  </si>
  <si>
    <t>5=17</t>
  </si>
  <si>
    <t>p5=41</t>
  </si>
  <si>
    <t>17</t>
  </si>
  <si>
    <t>272</t>
  </si>
  <si>
    <t>SUCCINICO</t>
  </si>
  <si>
    <t>Succinico</t>
  </si>
  <si>
    <t>ACIDO 4 - IDROSSI - IPPURICO</t>
  </si>
  <si>
    <t>4-Idrossiippurico</t>
  </si>
  <si>
    <t>6=3</t>
  </si>
  <si>
    <t>p6=46</t>
  </si>
  <si>
    <t>3</t>
  </si>
  <si>
    <t>354</t>
  </si>
  <si>
    <t>FUMARICO</t>
  </si>
  <si>
    <t>Fumarico</t>
  </si>
  <si>
    <t>IPPURICO</t>
  </si>
  <si>
    <t>Ippurico</t>
  </si>
  <si>
    <t>7=41</t>
  </si>
  <si>
    <t>p7=51</t>
  </si>
  <si>
    <t>41</t>
  </si>
  <si>
    <t>120</t>
  </si>
  <si>
    <t>Acido MALICO</t>
  </si>
  <si>
    <t>Malico</t>
  </si>
  <si>
    <t>BENZOICO</t>
  </si>
  <si>
    <t>Benzoico</t>
  </si>
  <si>
    <t>8=52</t>
  </si>
  <si>
    <t>p8=59</t>
  </si>
  <si>
    <t>52</t>
  </si>
  <si>
    <t>244</t>
  </si>
  <si>
    <t>Acido ALFA OH GLUTARICO</t>
  </si>
  <si>
    <t>2-Idrossiglutarico</t>
  </si>
  <si>
    <t xml:space="preserve">Indacano    (mg/dL)</t>
  </si>
  <si>
    <t>9=14</t>
  </si>
  <si>
    <t>p9=68</t>
  </si>
  <si>
    <t>14</t>
  </si>
  <si>
    <t>300</t>
  </si>
  <si>
    <t>OMOVANILLICO</t>
  </si>
  <si>
    <t>Omovanillico (HVA)</t>
  </si>
  <si>
    <t>ACIDO 4 - IDROSSI - FENIL - ACETICO</t>
  </si>
  <si>
    <t>4-Idrossifenilacetico</t>
  </si>
  <si>
    <t>10=16</t>
  </si>
  <si>
    <t>p10=73</t>
  </si>
  <si>
    <t>16</t>
  </si>
  <si>
    <t>157</t>
  </si>
  <si>
    <t>VANILMANDELICO</t>
  </si>
  <si>
    <t>Vanilmandelico (VMA)</t>
  </si>
  <si>
    <t>3 INDOLACETICO</t>
  </si>
  <si>
    <t>3-Indolacetico</t>
  </si>
  <si>
    <t>11=37</t>
  </si>
  <si>
    <t>p11=78</t>
  </si>
  <si>
    <t>37</t>
  </si>
  <si>
    <t>145</t>
  </si>
  <si>
    <t>Ratio HVA/VMA</t>
  </si>
  <si>
    <t>P-Cresolo</t>
  </si>
  <si>
    <t>12=59</t>
  </si>
  <si>
    <t>p12=83</t>
  </si>
  <si>
    <t>59</t>
  </si>
  <si>
    <t>290</t>
  </si>
  <si>
    <t>DOPAC</t>
  </si>
  <si>
    <t>3,4-Diidrossifenilacetico</t>
  </si>
  <si>
    <t>3OH FENILACETICO</t>
  </si>
  <si>
    <t>3-Idrossifenilacetico</t>
  </si>
  <si>
    <t>13=15</t>
  </si>
  <si>
    <t>p13=90</t>
  </si>
  <si>
    <t>15</t>
  </si>
  <si>
    <t>267</t>
  </si>
  <si>
    <t>5OH INDOLO 3 ACETICO</t>
  </si>
  <si>
    <t>5-Idrossiindolacetico </t>
  </si>
  <si>
    <t>HPHPA</t>
  </si>
  <si>
    <t>14=54</t>
  </si>
  <si>
    <t>p14=95</t>
  </si>
  <si>
    <t>54</t>
  </si>
  <si>
    <t>68</t>
  </si>
  <si>
    <t>Acido chinurenico</t>
  </si>
  <si>
    <t>Chinurenico</t>
  </si>
  <si>
    <t>GLICOLICO</t>
  </si>
  <si>
    <t>Glicolico</t>
  </si>
  <si>
    <t>15=61</t>
  </si>
  <si>
    <t>p15=100</t>
  </si>
  <si>
    <t>61</t>
  </si>
  <si>
    <t>90</t>
  </si>
  <si>
    <t>CHINOLINICO</t>
  </si>
  <si>
    <t>Chinolinico</t>
  </si>
  <si>
    <t>ACIDO GLICERICO</t>
  </si>
  <si>
    <t>Glicerico</t>
  </si>
  <si>
    <t>16=23</t>
  </si>
  <si>
    <t>p16=115</t>
  </si>
  <si>
    <t>23</t>
  </si>
  <si>
    <t>73</t>
  </si>
  <si>
    <t>ACIDO PANTOTENICO</t>
  </si>
  <si>
    <t>Pantotenico (B5)</t>
  </si>
  <si>
    <t>Ossalico</t>
  </si>
  <si>
    <t>17=7</t>
  </si>
  <si>
    <t>p17=120</t>
  </si>
  <si>
    <t>7</t>
  </si>
  <si>
    <t>GLUTARICO</t>
  </si>
  <si>
    <t>Glutarico*</t>
  </si>
  <si>
    <t>ACIDO SEBACICO</t>
  </si>
  <si>
    <t>Sebacico</t>
  </si>
  <si>
    <t>18=4</t>
  </si>
  <si>
    <t>p18=125</t>
  </si>
  <si>
    <t>4</t>
  </si>
  <si>
    <t>398</t>
  </si>
  <si>
    <t>METIL MALONICO</t>
  </si>
  <si>
    <t>Metilmalonico*</t>
  </si>
  <si>
    <t>ACIDO ADIPICO</t>
  </si>
  <si>
    <t>Adipico</t>
  </si>
  <si>
    <t>19=32</t>
  </si>
  <si>
    <t>p19=130</t>
  </si>
  <si>
    <t>32</t>
  </si>
  <si>
    <t>239</t>
  </si>
  <si>
    <t>N-ACETIL-CISTEINA</t>
  </si>
  <si>
    <t>N-Acetil-L-Cisteina (NAC)</t>
  </si>
  <si>
    <t>ACIDO SUBERICO</t>
  </si>
  <si>
    <t>Suberico</t>
  </si>
  <si>
    <t>20=45</t>
  </si>
  <si>
    <t>p20=135</t>
  </si>
  <si>
    <t>45</t>
  </si>
  <si>
    <t>344</t>
  </si>
  <si>
    <t>Acido ASCORBICO</t>
  </si>
  <si>
    <t>Ascorbico ( C )</t>
  </si>
  <si>
    <t>ETIL MALONICO</t>
  </si>
  <si>
    <t>Etilmalonico</t>
  </si>
  <si>
    <t>21=31</t>
  </si>
  <si>
    <t>p21=140</t>
  </si>
  <si>
    <t>31</t>
  </si>
  <si>
    <t>349</t>
  </si>
  <si>
    <t>ACIDO 4 PIRIDOSSICO</t>
  </si>
  <si>
    <t>4-Piridossico (B6)</t>
  </si>
  <si>
    <t>Acido 2-idrossi-butirrico</t>
  </si>
  <si>
    <t>3-Idrossibutirrico</t>
  </si>
  <si>
    <t>22=11</t>
  </si>
  <si>
    <t>p22=145</t>
  </si>
  <si>
    <t>11</t>
  </si>
  <si>
    <t>172</t>
  </si>
  <si>
    <t>3OH 3 METIL GLUTARICO</t>
  </si>
  <si>
    <t>3-Idrossi-3-Metilglutarico*</t>
  </si>
  <si>
    <t>Acido PIRUVICO</t>
  </si>
  <si>
    <t>Piruvico</t>
  </si>
  <si>
    <t>23=55</t>
  </si>
  <si>
    <t>p23=152</t>
  </si>
  <si>
    <t>55</t>
  </si>
  <si>
    <t>115</t>
  </si>
  <si>
    <t>Acido 4-metil-2-ossovalerico</t>
  </si>
  <si>
    <t>4-Metil-2-Ossovalerico</t>
  </si>
  <si>
    <t>LATTICO</t>
  </si>
  <si>
    <t>Lattico</t>
  </si>
  <si>
    <t>24=10</t>
  </si>
  <si>
    <t>p24=157</t>
  </si>
  <si>
    <t>10</t>
  </si>
  <si>
    <t>167</t>
  </si>
  <si>
    <t>MANDELICO</t>
  </si>
  <si>
    <t>Mandelico</t>
  </si>
  <si>
    <t>ACIDO ORTO IDROSSI IPPURICO</t>
  </si>
  <si>
    <t>2-Idrossiippurico</t>
  </si>
  <si>
    <t>25=35</t>
  </si>
  <si>
    <t>p25=162</t>
  </si>
  <si>
    <t>35</t>
  </si>
  <si>
    <t>285</t>
  </si>
  <si>
    <t>ACIDO OMOGENTISICO</t>
  </si>
  <si>
    <t>Omogentisico</t>
  </si>
  <si>
    <t>Acido OROTICO</t>
  </si>
  <si>
    <t>Orotico</t>
  </si>
  <si>
    <t>26=24</t>
  </si>
  <si>
    <t>p26=167</t>
  </si>
  <si>
    <t>24</t>
  </si>
  <si>
    <t>262</t>
  </si>
  <si>
    <t>ACIDO 2 - IDROSSI - ISOCAPROICO</t>
  </si>
  <si>
    <t>2-Idrossiisocaproico</t>
  </si>
  <si>
    <t>ACIDO PIROGLUTAMMICO</t>
  </si>
  <si>
    <t>Piroglutammico</t>
  </si>
  <si>
    <t>27=22</t>
  </si>
  <si>
    <t>p27=172</t>
  </si>
  <si>
    <t>22</t>
  </si>
  <si>
    <t>224</t>
  </si>
  <si>
    <t>ACIDO N - ACETIL - ASPARTICO</t>
  </si>
  <si>
    <t>N-Acetilaspartico</t>
  </si>
  <si>
    <t>2-Idrossibutirrico</t>
  </si>
  <si>
    <t>28=40</t>
  </si>
  <si>
    <t>p28=177</t>
  </si>
  <si>
    <t>40</t>
  </si>
  <si>
    <t>234</t>
  </si>
  <si>
    <t>Acido MALONICO</t>
  </si>
  <si>
    <t>Malonico</t>
  </si>
  <si>
    <t>Creatinina (mg/dL)</t>
  </si>
  <si>
    <t>29=48</t>
  </si>
  <si>
    <t>p29=182</t>
  </si>
  <si>
    <t>48</t>
  </si>
  <si>
    <t>326</t>
  </si>
  <si>
    <t>Acido 4OH FENILPIRUVICO</t>
  </si>
  <si>
    <t>4-Idrossifenilpiruvico</t>
  </si>
  <si>
    <t>30=34</t>
  </si>
  <si>
    <t>p30=187</t>
  </si>
  <si>
    <t>34</t>
  </si>
  <si>
    <t>339</t>
  </si>
  <si>
    <t>ACIDO 2 IDROSSI 3 METIL BUTIRRICO</t>
  </si>
  <si>
    <t>2-Idrossi-3-Metilbutirrico</t>
  </si>
  <si>
    <t>31=57</t>
  </si>
  <si>
    <t>p31=195</t>
  </si>
  <si>
    <t>57</t>
  </si>
  <si>
    <t>140</t>
  </si>
  <si>
    <t>Uracile</t>
  </si>
  <si>
    <t>32=56</t>
  </si>
  <si>
    <t>p32=200</t>
  </si>
  <si>
    <t>56</t>
  </si>
  <si>
    <t>130</t>
  </si>
  <si>
    <t>Timina</t>
  </si>
  <si>
    <t>33=43</t>
  </si>
  <si>
    <t>p33=219</t>
  </si>
  <si>
    <t>43</t>
  </si>
  <si>
    <t>382</t>
  </si>
  <si>
    <t>Acido CITRAMALICO</t>
  </si>
  <si>
    <t>Citramalico</t>
  </si>
  <si>
    <t>34=27</t>
  </si>
  <si>
    <t>p34=224</t>
  </si>
  <si>
    <t>27</t>
  </si>
  <si>
    <t>187</t>
  </si>
  <si>
    <t>ACIDO 5 IDROSSI METIL 2 FURAN CARBOSSILICO</t>
  </si>
  <si>
    <t>5-Idrossimetil-2-Furancarbossilico</t>
  </si>
  <si>
    <t>35=38</t>
  </si>
  <si>
    <t>p35=229</t>
  </si>
  <si>
    <t>38</t>
  </si>
  <si>
    <t>162</t>
  </si>
  <si>
    <t>Acido TARTARICO</t>
  </si>
  <si>
    <t>Tartarico</t>
  </si>
  <si>
    <t>36=28</t>
  </si>
  <si>
    <t>p36=234</t>
  </si>
  <si>
    <t>28</t>
  </si>
  <si>
    <t>359</t>
  </si>
  <si>
    <t>FURAN CARBONIL GLICINA</t>
  </si>
  <si>
    <t>Furancarbonilglicina</t>
  </si>
  <si>
    <t>37=19</t>
  </si>
  <si>
    <t>p37=239</t>
  </si>
  <si>
    <t>19</t>
  </si>
  <si>
    <t>78</t>
  </si>
  <si>
    <t>38=8</t>
  </si>
  <si>
    <t>p38=244</t>
  </si>
  <si>
    <t>8</t>
  </si>
  <si>
    <t>229</t>
  </si>
  <si>
    <t>39=51</t>
  </si>
  <si>
    <t>p39=249</t>
  </si>
  <si>
    <t>51</t>
  </si>
  <si>
    <t>21</t>
  </si>
  <si>
    <t>40=47</t>
  </si>
  <si>
    <t>p40=254</t>
  </si>
  <si>
    <t>47</t>
  </si>
  <si>
    <t>177</t>
  </si>
  <si>
    <t>41=26</t>
  </si>
  <si>
    <t>p41=262</t>
  </si>
  <si>
    <t>26</t>
  </si>
  <si>
    <t>42=13</t>
  </si>
  <si>
    <t>p42=267</t>
  </si>
  <si>
    <t>13</t>
  </si>
  <si>
    <t>43=5</t>
  </si>
  <si>
    <t>p43=272</t>
  </si>
  <si>
    <t>5</t>
  </si>
  <si>
    <t>219</t>
  </si>
  <si>
    <t>44=64</t>
  </si>
  <si>
    <t>p44=277</t>
  </si>
  <si>
    <t>64</t>
  </si>
  <si>
    <t>367</t>
  </si>
  <si>
    <t>45=25</t>
  </si>
  <si>
    <t>p45=285</t>
  </si>
  <si>
    <t>25</t>
  </si>
  <si>
    <t>135</t>
  </si>
  <si>
    <t>46=12</t>
  </si>
  <si>
    <t>p46=290</t>
  </si>
  <si>
    <t>12</t>
  </si>
  <si>
    <t>390</t>
  </si>
  <si>
    <t>47=53</t>
  </si>
  <si>
    <t>p47=295</t>
  </si>
  <si>
    <t>53</t>
  </si>
  <si>
    <t>254</t>
  </si>
  <si>
    <t>48=9</t>
  </si>
  <si>
    <t>p48=300</t>
  </si>
  <si>
    <t>9</t>
  </si>
  <si>
    <t>182</t>
  </si>
  <si>
    <t>49=60</t>
  </si>
  <si>
    <t>p49=305</t>
  </si>
  <si>
    <t>60</t>
  </si>
  <si>
    <t>50=1</t>
  </si>
  <si>
    <t>p50=321</t>
  </si>
  <si>
    <t>1</t>
  </si>
  <si>
    <t>36</t>
  </si>
  <si>
    <t>51=29</t>
  </si>
  <si>
    <t>p51=326</t>
  </si>
  <si>
    <t>29</t>
  </si>
  <si>
    <t>249</t>
  </si>
  <si>
    <t>52=63</t>
  </si>
  <si>
    <t>p52=331</t>
  </si>
  <si>
    <t>63</t>
  </si>
  <si>
    <t>53=30</t>
  </si>
  <si>
    <t>p53=339</t>
  </si>
  <si>
    <t>30</t>
  </si>
  <si>
    <t>95</t>
  </si>
  <si>
    <t>54=20</t>
  </si>
  <si>
    <t>p54=344</t>
  </si>
  <si>
    <t>20</t>
  </si>
  <si>
    <t>152</t>
  </si>
  <si>
    <t>55=21</t>
  </si>
  <si>
    <t>p55=349</t>
  </si>
  <si>
    <t>200</t>
  </si>
  <si>
    <t>56=6</t>
  </si>
  <si>
    <t>p56=354</t>
  </si>
  <si>
    <t>6</t>
  </si>
  <si>
    <t>195</t>
  </si>
  <si>
    <t>57=36</t>
  </si>
  <si>
    <t>p57=359</t>
  </si>
  <si>
    <t>403</t>
  </si>
  <si>
    <t>58=44</t>
  </si>
  <si>
    <t>p58=367</t>
  </si>
  <si>
    <t>44</t>
  </si>
  <si>
    <t>83</t>
  </si>
  <si>
    <t>59=2</t>
  </si>
  <si>
    <t>p59=372</t>
  </si>
  <si>
    <t>2</t>
  </si>
  <si>
    <t>305</t>
  </si>
  <si>
    <t>60=33</t>
  </si>
  <si>
    <t>p60=382</t>
  </si>
  <si>
    <t>33</t>
  </si>
  <si>
    <t>100</t>
  </si>
  <si>
    <t>61=46</t>
  </si>
  <si>
    <t>p61=390</t>
  </si>
  <si>
    <t>62=18</t>
  </si>
  <si>
    <t>p62=398</t>
  </si>
  <si>
    <t>18</t>
  </si>
  <si>
    <t>295</t>
  </si>
  <si>
    <t>63=58</t>
  </si>
  <si>
    <t>p63=403</t>
  </si>
  <si>
    <t>58</t>
  </si>
  <si>
    <t>410</t>
  </si>
  <si>
    <t>64=62</t>
  </si>
  <si>
    <t>p64=410</t>
  </si>
  <si>
    <t>62</t>
  </si>
  <si>
    <t>331</t>
  </si>
  <si>
    <t>277</t>
  </si>
</sst>
</file>

<file path=xl/styles.xml><?xml version="1.0" encoding="utf-8"?>
<styleSheet xmlns="http://schemas.openxmlformats.org/spreadsheetml/2006/main">
  <fonts count="23">
    <font>
      <sz val="11"/>
      <color theme="1"/>
      <name val="Calibri"/>
      <family val="2"/>
      <scheme val="minor"/>
    </font>
    <font>
      <sz val="8"/>
      <color rgb="FF000000"/>
      <name val="Arial"/>
    </font>
    <font>
      <sz val="8"/>
      <color rgb="FF000000"/>
      <name val="Calibri"/>
    </font>
    <font>
      <b/>
      <sz val="22"/>
      <color theme="1"/>
      <name val="Calibri"/>
      <scheme val="minor"/>
    </font>
    <font>
      <sz val="11"/>
      <color theme="1"/>
      <name val="Arial"/>
    </font>
    <font>
      <sz val="11"/>
      <name val="Calibri"/>
      <scheme val="minor"/>
    </font>
    <font>
      <sz val="10"/>
      <color rgb="FF000000"/>
      <name val="Calibri"/>
      <scheme val="minor"/>
    </font>
    <font>
      <b/>
      <sz val="11"/>
      <color rgb="FFFA7D00"/>
      <name val="Calibri"/>
      <scheme val="minor"/>
    </font>
    <font>
      <sz val="11"/>
      <color rgb="FFFA7D00"/>
      <name val="Calibri"/>
      <scheme val="minor"/>
    </font>
    <font>
      <b/>
      <sz val="11"/>
      <color theme="0"/>
      <name val="Calibri"/>
      <scheme val="minor"/>
    </font>
    <font>
      <sz val="11"/>
      <color theme="0"/>
      <name val="Calibri"/>
      <scheme val="minor"/>
    </font>
    <font>
      <sz val="11"/>
      <color rgb="FF3F3F76"/>
      <name val="Calibri"/>
      <scheme val="minor"/>
    </font>
    <font>
      <sz val="11"/>
      <color rgb="FF9C5700"/>
      <name val="Calibri"/>
      <scheme val="minor"/>
    </font>
    <font>
      <b/>
      <sz val="11"/>
      <color rgb="FF3F3F3F"/>
      <name val="Calibri"/>
      <scheme val="minor"/>
    </font>
    <font>
      <sz val="11"/>
      <color rgb="FFFF0000"/>
      <name val="Calibri"/>
      <scheme val="minor"/>
    </font>
    <font>
      <i/>
      <sz val="11"/>
      <color rgb="FF7F7F7F"/>
      <name val="Calibri"/>
      <scheme val="minor"/>
    </font>
    <font>
      <sz val="18"/>
      <color theme="3"/>
      <name val="Calibri Light"/>
      <scheme val="major"/>
    </font>
    <font>
      <b/>
      <sz val="15"/>
      <color theme="3"/>
      <name val="Calibri"/>
      <scheme val="minor"/>
    </font>
    <font>
      <b/>
      <sz val="13"/>
      <color theme="3"/>
      <name val="Calibri"/>
      <scheme val="minor"/>
    </font>
    <font>
      <b/>
      <sz val="11"/>
      <color theme="3"/>
      <name val="Calibri"/>
      <scheme val="minor"/>
    </font>
    <font>
      <b/>
      <sz val="11"/>
      <color theme="1"/>
      <name val="Calibri"/>
      <scheme val="minor"/>
    </font>
    <font>
      <sz val="11"/>
      <color rgb="FF9C0006"/>
      <name val="Calibri"/>
      <scheme val="minor"/>
    </font>
    <font>
      <sz val="11"/>
      <color rgb="FF006100"/>
      <name val="Calibri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"/>
        <bgColor indexed="65"/>
      </patternFill>
    </fill>
    <fill>
      <patternFill patternType="solid">
        <fgColor theme="5" tint="0.799981688894314"/>
        <bgColor indexed="65"/>
      </patternFill>
    </fill>
    <fill>
      <patternFill patternType="solid">
        <fgColor theme="6" tint="0.799981688894314"/>
        <bgColor indexed="65"/>
      </patternFill>
    </fill>
    <fill>
      <patternFill patternType="solid">
        <fgColor theme="7" tint="0.799981688894314"/>
        <bgColor indexed="65"/>
      </patternFill>
    </fill>
    <fill>
      <patternFill patternType="solid">
        <fgColor theme="8" tint="0.799981688894314"/>
        <bgColor indexed="65"/>
      </patternFill>
    </fill>
    <fill>
      <patternFill patternType="solid">
        <fgColor theme="9" tint="0.799981688894314"/>
        <bgColor indexed="65"/>
      </patternFill>
    </fill>
    <fill>
      <patternFill patternType="solid">
        <fgColor theme="4" tint="0.599993896298105"/>
        <bgColor indexed="65"/>
      </patternFill>
    </fill>
    <fill>
      <patternFill patternType="solid">
        <fgColor theme="5" tint="0.599993896298105"/>
        <bgColor indexed="65"/>
      </patternFill>
    </fill>
    <fill>
      <patternFill patternType="solid">
        <fgColor theme="6" tint="0.599993896298105"/>
        <bgColor indexed="65"/>
      </patternFill>
    </fill>
    <fill>
      <patternFill patternType="solid">
        <fgColor theme="7" tint="0.599993896298105"/>
        <bgColor indexed="65"/>
      </patternFill>
    </fill>
    <fill>
      <patternFill patternType="solid">
        <fgColor theme="8" tint="0.599993896298105"/>
        <bgColor indexed="65"/>
      </patternFill>
    </fill>
    <fill>
      <patternFill patternType="solid">
        <fgColor theme="9" tint="0.599993896298105"/>
        <bgColor indexed="65"/>
      </patternFill>
    </fill>
    <fill>
      <patternFill patternType="solid">
        <fgColor theme="4" tint="0.399975585192419"/>
        <bgColor indexed="65"/>
      </patternFill>
    </fill>
    <fill>
      <patternFill patternType="solid">
        <fgColor theme="5" tint="0.399975585192419"/>
        <bgColor indexed="65"/>
      </patternFill>
    </fill>
    <fill>
      <patternFill patternType="solid">
        <fgColor theme="6" tint="0.399975585192419"/>
        <bgColor indexed="65"/>
      </patternFill>
    </fill>
    <fill>
      <patternFill patternType="solid">
        <fgColor theme="7" tint="0.399975585192419"/>
        <bgColor indexed="65"/>
      </patternFill>
    </fill>
    <fill>
      <patternFill patternType="solid">
        <fgColor theme="8" tint="0.399975585192419"/>
        <bgColor indexed="65"/>
      </patternFill>
    </fill>
    <fill>
      <patternFill patternType="solid">
        <fgColor theme="9" tint="0.399975585192419"/>
        <bgColor indexed="65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C6EFCE"/>
      </patternFill>
    </fill>
  </fills>
  <borders count="29">
    <border/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indexed="64"/>
      </left>
      <top style="medium">
        <color indexed="64"/>
      </top>
    </border>
    <border>
      <top style="medium">
        <color indexed="64"/>
      </top>
    </border>
    <border>
      <right style="medium">
        <color indexed="64"/>
      </right>
      <top style="medium">
        <color indexed="64"/>
      </top>
    </border>
    <border>
      <left style="thin">
        <color indexed="64"/>
      </left>
      <top style="thin">
        <color indexed="64"/>
      </top>
      <bottom style="thin">
        <color indexed="64"/>
      </bottom>
    </border>
    <border>
      <top style="thin">
        <color indexed="64"/>
      </top>
      <bottom style="thin">
        <color indexed="64"/>
      </bottom>
    </border>
    <border>
      <bottom style="medium">
        <color indexed="64"/>
      </bottom>
    </border>
    <border>
      <right style="medium">
        <color indexed="64"/>
      </right>
      <bottom style="medium">
        <color indexed="64"/>
      </bottom>
    </border>
    <border>
      <left style="medium">
        <color indexed="64"/>
      </left>
      <bottom style="medium">
        <color indexed="64"/>
      </bottom>
    </border>
    <border>
      <bottom style="thin">
        <color indexed="64"/>
      </bottom>
    </border>
    <border>
      <right style="thin">
        <color indexed="64"/>
      </right>
      <top style="thin">
        <color indexed="64"/>
      </top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left style="thin">
        <color indexed="64"/>
      </left>
      <bottom style="thin">
        <color indexed="64"/>
      </bottom>
    </border>
    <border>
      <left style="thick">
        <color indexed="64"/>
      </left>
      <bottom style="thin">
        <color indexed="64"/>
      </bottom>
    </border>
    <border>
      <left style="thin">
        <color indexed="64"/>
      </left>
      <right style="thin">
        <color indexed="64"/>
      </right>
      <bottom style="thin">
        <color indexed="64"/>
      </bottom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</border>
    <border>
      <right style="thick">
        <color rgb="FFFF0000"/>
      </right>
      <bottom style="thin">
        <color indexed="6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bottom style="thick">
        <color theme="4"/>
      </bottom>
    </border>
    <border>
      <bottom style="thick">
        <color theme="4" tint="0.499984740745262"/>
      </bottom>
    </border>
    <border>
      <bottom style="medium">
        <color theme="4" tint="0.399975585192419"/>
      </bottom>
    </border>
    <border>
      <top style="thin">
        <color theme="4"/>
      </top>
      <bottom style="double">
        <color theme="4"/>
      </bottom>
    </border>
  </borders>
  <cellStyleXfs count="43">
    <xf numFmtId="0" fontId="0" fillId="0" borderId="0"/>
    <xf numFmtId="0" fontId="6" fillId="0" borderId="0"/>
    <xf numFmtId="0" fontId="0" fillId="4" borderId="0" applyNumberFormat="0" applyBorder="0" applyAlignment="0" applyProtection="0"/>
    <xf numFmtId="0" fontId="0" fillId="5" borderId="0" applyNumberFormat="0" applyBorder="0" applyAlignment="0" applyProtection="0"/>
    <xf numFmtId="0" fontId="0" fillId="6" borderId="0" applyNumberFormat="0" applyBorder="0" applyAlignment="0" applyProtection="0"/>
    <xf numFmtId="0" fontId="0" fillId="7" borderId="0" applyNumberFormat="0" applyBorder="0" applyAlignment="0" applyProtection="0"/>
    <xf numFmtId="0" fontId="0" fillId="8" borderId="0" applyNumberFormat="0" applyBorder="0" applyAlignment="0" applyProtection="0"/>
    <xf numFmtId="0" fontId="0" fillId="9" borderId="0" applyNumberFormat="0" applyBorder="0" applyAlignment="0" applyProtection="0"/>
    <xf numFmtId="0" fontId="0" fillId="10" borderId="0" applyNumberFormat="0" applyBorder="0" applyAlignment="0" applyProtection="0"/>
    <xf numFmtId="0" fontId="0" fillId="11" borderId="0" applyNumberFormat="0" applyBorder="0" applyAlignment="0" applyProtection="0"/>
    <xf numFmtId="0" fontId="0" fillId="12" borderId="0" applyNumberFormat="0" applyBorder="0" applyAlignment="0" applyProtection="0"/>
    <xf numFmtId="0" fontId="0" fillId="13" borderId="0" applyNumberFormat="0" applyBorder="0" applyAlignment="0" applyProtection="0"/>
    <xf numFmtId="0" fontId="0" fillId="14" borderId="0" applyNumberFormat="0" applyBorder="0" applyAlignment="0" applyProtection="0"/>
    <xf numFmtId="0" fontId="0" fillId="15" borderId="0" applyNumberFormat="0" applyBorder="0" applyAlignment="0" applyProtection="0"/>
    <xf numFmtId="0" fontId="0" fillId="16" borderId="0" applyNumberFormat="0" applyBorder="0" applyAlignment="0" applyProtection="0"/>
    <xf numFmtId="0" fontId="0" fillId="17" borderId="0" applyNumberFormat="0" applyBorder="0" applyAlignment="0" applyProtection="0"/>
    <xf numFmtId="0" fontId="0" fillId="18" borderId="0" applyNumberFormat="0" applyBorder="0" applyAlignment="0" applyProtection="0"/>
    <xf numFmtId="0" fontId="0" fillId="19" borderId="0" applyNumberFormat="0" applyBorder="0" applyAlignment="0" applyProtection="0"/>
    <xf numFmtId="0" fontId="0" fillId="20" borderId="0" applyNumberFormat="0" applyBorder="0" applyAlignment="0" applyProtection="0"/>
    <xf numFmtId="0" fontId="0" fillId="21" borderId="0" applyNumberFormat="0" applyBorder="0" applyAlignment="0" applyProtection="0"/>
    <xf numFmtId="0" fontId="7" fillId="22" borderId="20" applyNumberFormat="0" applyAlignment="0" applyProtection="0"/>
    <xf numFmtId="0" fontId="8" fillId="0" borderId="21" applyNumberFormat="0" applyFill="0" applyAlignment="0" applyProtection="0"/>
    <xf numFmtId="0" fontId="9" fillId="23" borderId="22" applyNumberFormat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1" fillId="30" borderId="20" applyNumberFormat="0" applyAlignment="0" applyProtection="0"/>
    <xf numFmtId="0" fontId="12" fillId="31" borderId="0" applyNumberFormat="0" applyBorder="0" applyAlignment="0" applyProtection="0"/>
    <xf numFmtId="0" fontId="0" fillId="32" borderId="23" applyNumberFormat="0" applyFont="0" applyAlignment="0" applyProtection="0"/>
    <xf numFmtId="0" fontId="13" fillId="22" borderId="24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25" applyNumberFormat="0" applyFill="0" applyAlignment="0" applyProtection="0"/>
    <xf numFmtId="0" fontId="18" fillId="0" borderId="26" applyNumberFormat="0" applyFill="0" applyAlignment="0" applyProtection="0"/>
    <xf numFmtId="0" fontId="19" fillId="0" borderId="27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28" applyNumberFormat="0" applyFill="0" applyAlignment="0" applyProtection="0"/>
    <xf numFmtId="0" fontId="21" fillId="33" borderId="0" applyNumberFormat="0" applyBorder="0" applyAlignment="0" applyProtection="0"/>
    <xf numFmtId="0" fontId="22" fillId="34" borderId="0" applyNumberFormat="0" applyBorder="0" applyAlignment="0" applyProtection="0"/>
  </cellStyleXfs>
  <cellXfs count="29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0" borderId="1" xfId="1" applyFont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0" fillId="3" borderId="0" xfId="0" applyFill="1"/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1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2" borderId="14" xfId="0" applyFill="1" applyBorder="1"/>
    <xf numFmtId="0" fontId="4" fillId="0" borderId="15" xfId="0" applyFont="1" applyBorder="1" applyAlignment="1">
      <alignment horizontal="center" textRotation="90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4" fillId="0" borderId="18" xfId="0" applyFont="1" applyBorder="1" applyAlignment="1">
      <alignment horizontal="center" textRotation="90"/>
    </xf>
    <xf numFmtId="0" fontId="4" fillId="0" borderId="19" xfId="0" applyFont="1" applyBorder="1" applyAlignment="1">
      <alignment horizontal="center" textRotation="90"/>
    </xf>
    <xf numFmtId="0" fontId="4" fillId="0" borderId="12" xfId="0" applyFont="1" applyBorder="1" applyAlignment="1">
      <alignment horizontal="center" textRotation="90"/>
    </xf>
    <xf numFmtId="0" fontId="0" fillId="0" borderId="0" xfId="0" quotePrefix="1"/>
    <xf numFmtId="0" fontId="5" fillId="0" borderId="0" xfId="0" applyFont="1"/>
  </cellXfs>
  <cellStyles count="43">
    <cellStyle name="Normal" xfId="0" builtinId="0"/>
    <cellStyle name="Normale 2" xfId="1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Calculation" xfId="20" builtinId="22" customBuiltin="1"/>
    <cellStyle name="Linked Cell" xfId="21" builtinId="24" customBuiltin="1"/>
    <cellStyle name="Check Cell" xfId="22" builtinId="23" customBuiltin="1"/>
    <cellStyle name="Accent1" xfId="23" builtinId="29" customBuiltin="1"/>
    <cellStyle name="Accent2" xfId="24" builtinId="33" customBuiltin="1"/>
    <cellStyle name="Accent3" xfId="25" builtinId="37" customBuiltin="1"/>
    <cellStyle name="Accent4" xfId="26" builtinId="41" customBuiltin="1"/>
    <cellStyle name="Accent5" xfId="27" builtinId="45" customBuiltin="1"/>
    <cellStyle name="Accent6" xfId="28" builtinId="49" customBuiltin="1"/>
    <cellStyle name="Input" xfId="29" builtinId="20" customBuiltin="1"/>
    <cellStyle name="Neutral" xfId="30" builtinId="28" customBuiltin="1"/>
    <cellStyle name="Note" xfId="31" builtinId="10" customBuiltin="1"/>
    <cellStyle name="Output" xfId="32" builtinId="21" customBuiltin="1"/>
    <cellStyle name="Warning Text" xfId="33" builtinId="11" customBuiltin="1"/>
    <cellStyle name="Explanatory Text" xfId="34" builtinId="53" customBuiltin="1"/>
    <cellStyle name="Title" xfId="35" builtinId="15" customBuiltin="1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Total" xfId="40" builtinId="25" customBuiltin="1"/>
    <cellStyle name="Bad" xfId="41" builtinId="27" customBuiltin="1"/>
    <cellStyle name="Good" xfId="42" builtinId="26" customBuiltin="1"/>
  </cellStyles>
  <dxfs count="0"/>
  <tableStyles count="0" defaultTableStyle="TableStyleMedium2" defaultPivotStyle="PivotStyleLight16"/>
  <colors>
    <mruColors>
      <color rgb="FF00FF00"/>
    </mruColors>
  </color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styles" Target="styles.xml" /><Relationship Id="rId4" Type="http://schemas.openxmlformats.org/officeDocument/2006/relationships/theme" Target="theme/theme1.xml" /><Relationship Id="rId5" Type="http://schemas.openxmlformats.org/officeDocument/2006/relationships/calcChain" Target="calcChain.xml" /><Relationship Id="rId6" Type="http://schemas.openxmlformats.org/officeDocument/2006/relationships/sharedStrings" Target="sharedStrings.xml" /><Relationship Id="rId7" Type="http://schemas.openxmlformats.org/officeDocument/2006/relationships/sheetMetadata" Target="metadata.xml" /><Relationship Id="rId8" Type="http://schemas.microsoft.com/office/2006/relationships/vbaProject" Target="vbaProject.bin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sheet1.xml><?xml version="1.0" encoding="utf-8"?>
<worksheet xmlns:r="http://schemas.openxmlformats.org/officeDocument/2006/relationships" xmlns="http://schemas.openxmlformats.org/spreadsheetml/2006/main">
  <sheetPr codeName="Foglio4"/>
  <sheetViews>
    <sheetView tabSelected="1" zoomScale="80" zoomScaleNormal="80" workbookViewId="0">
      <selection activeCell="A11" sqref="A11:XFD39"/>
    </sheetView>
  </sheetViews>
  <sheetFormatPr defaultRowHeight="14.4"/>
  <cols>
    <col min="1" max="1" width="12" bestFit="1" customWidth="1"/>
    <col min="2" max="3" width="21.55469" bestFit="1" customWidth="1"/>
    <col min="4" max="5" width="4.441406" bestFit="1" customWidth="1"/>
    <col min="7" max="7" width="33.44141" customWidth="1"/>
    <col min="8" max="8" width="10.66406" customWidth="1"/>
    <col min="9" max="9" width="14" bestFit="1" customWidth="1"/>
    <col min="11" max="11" width="33.44141" customWidth="1"/>
    <col min="12" max="12" width="10.66406" customWidth="1"/>
    <col min="14" max="14" width="33.44141" customWidth="1"/>
    <col min="15" max="15" width="10.66406" customWidth="1"/>
    <col min="16" max="16" width="14" bestFit="1" customWidth="1"/>
    <col min="18" max="18" width="33.44141" customWidth="1"/>
    <col min="19" max="19" width="10.66406" customWidth="1"/>
    <col min="20" max="20" width="21.33203" customWidth="1"/>
    <col min="21" max="90" width="6.109375" customWidth="1"/>
  </cols>
  <sheetData>
    <row r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 t="s">
        <v>6</v>
      </c>
      <c r="H1" s="2" t="s">
        <v>7</v>
      </c>
      <c r="I1" s="3" t="s">
        <v>8</v>
      </c>
      <c r="U1" s="6">
        <v>70</v>
      </c>
      <c r="V1" s="6">
        <v>48</v>
      </c>
      <c r="W1" s="6">
        <v>40</v>
      </c>
      <c r="X1" s="6">
        <v>46</v>
      </c>
      <c r="Y1" s="6">
        <v>2</v>
      </c>
      <c r="Z1" s="6">
        <v>13</v>
      </c>
      <c r="AA1" s="6">
        <v>51</v>
      </c>
      <c r="AB1" s="6">
        <v>39</v>
      </c>
      <c r="AC1" s="6">
        <v>6</v>
      </c>
      <c r="AD1" s="6">
        <v>50</v>
      </c>
      <c r="AE1" s="6">
        <v>34</v>
      </c>
      <c r="AF1" s="6">
        <v>44</v>
      </c>
      <c r="AG1" s="6">
        <v>63</v>
      </c>
      <c r="AH1" s="6">
        <v>55</v>
      </c>
      <c r="AI1" s="6">
        <v>42</v>
      </c>
      <c r="AJ1" s="6">
        <v>38</v>
      </c>
      <c r="AK1" s="6">
        <v>16</v>
      </c>
      <c r="AL1" s="6">
        <v>24</v>
      </c>
      <c r="AM1" s="6">
        <v>17</v>
      </c>
      <c r="AN1" s="6">
        <v>12</v>
      </c>
      <c r="AO1" s="6">
        <v>60</v>
      </c>
      <c r="AP1" s="6">
        <v>33</v>
      </c>
      <c r="AQ1" s="6">
        <v>4</v>
      </c>
      <c r="AR1" s="6">
        <v>5</v>
      </c>
      <c r="AS1" s="6">
        <v>66</v>
      </c>
      <c r="AT1" s="6">
        <v>49</v>
      </c>
      <c r="AU1" s="6">
        <v>65</v>
      </c>
      <c r="AV1" s="6">
        <v>41</v>
      </c>
      <c r="AW1" s="6">
        <v>37</v>
      </c>
      <c r="AX1" s="6">
        <v>30</v>
      </c>
      <c r="AY1" s="6">
        <v>32</v>
      </c>
      <c r="AZ1" s="6">
        <v>47</v>
      </c>
      <c r="BA1" s="6">
        <v>3</v>
      </c>
      <c r="BB1" s="6">
        <v>54</v>
      </c>
      <c r="BC1" s="6">
        <v>52</v>
      </c>
      <c r="BD1" s="6">
        <v>58</v>
      </c>
      <c r="BE1" s="6">
        <v>69</v>
      </c>
      <c r="BF1" s="6">
        <v>64</v>
      </c>
      <c r="BG1" s="6">
        <v>7</v>
      </c>
      <c r="BH1" s="6">
        <v>22</v>
      </c>
      <c r="BI1" s="6">
        <v>20</v>
      </c>
      <c r="BJ1" s="6">
        <v>21</v>
      </c>
      <c r="BK1" s="6">
        <v>23</v>
      </c>
      <c r="BL1" s="6">
        <v>43</v>
      </c>
      <c r="BM1" s="6">
        <v>18</v>
      </c>
      <c r="BN1" s="6">
        <v>31</v>
      </c>
      <c r="BO1" s="6">
        <v>8</v>
      </c>
      <c r="BP1" s="6">
        <v>67</v>
      </c>
      <c r="BQ1" s="6">
        <v>14</v>
      </c>
      <c r="BR1" s="6">
        <v>10</v>
      </c>
      <c r="BS1" s="6">
        <v>29</v>
      </c>
      <c r="BT1" s="6">
        <v>1</v>
      </c>
      <c r="BU1" s="6">
        <v>53</v>
      </c>
      <c r="BV1" s="6">
        <v>59</v>
      </c>
      <c r="BW1" s="6">
        <v>36</v>
      </c>
      <c r="BX1" s="6">
        <v>68</v>
      </c>
      <c r="BY1" s="6">
        <v>9</v>
      </c>
      <c r="BZ1" s="6">
        <v>11</v>
      </c>
      <c r="CA1" s="6">
        <v>35</v>
      </c>
      <c r="CB1" s="6">
        <v>15</v>
      </c>
      <c r="CC1" s="6">
        <v>26</v>
      </c>
      <c r="CD1" s="6">
        <v>62</v>
      </c>
      <c r="CE1" s="6">
        <v>56</v>
      </c>
      <c r="CF1" s="6">
        <v>57</v>
      </c>
      <c r="CG1" s="6">
        <v>61</v>
      </c>
      <c r="CH1" s="6">
        <v>19</v>
      </c>
      <c r="CI1" s="6">
        <v>45</v>
      </c>
      <c r="CJ1" s="6">
        <v>27</v>
      </c>
      <c r="CK1" s="6">
        <v>28</v>
      </c>
      <c r="CL1" s="6">
        <v>25</v>
      </c>
    </row>
    <row r="2" ht="15" customHeight="1">
      <c r="F2" s="7" t="s">
        <v>9</v>
      </c>
      <c r="G2" s="8"/>
      <c r="H2" s="8"/>
      <c r="I2" s="9"/>
      <c r="J2" s="7" t="s">
        <v>10</v>
      </c>
      <c r="K2" s="8"/>
      <c r="L2" s="9"/>
      <c r="M2" s="7" t="s">
        <v>11</v>
      </c>
      <c r="N2" s="8"/>
      <c r="O2" s="8"/>
      <c r="P2" s="9"/>
      <c r="Q2" s="7" t="s">
        <v>12</v>
      </c>
      <c r="R2" s="8"/>
      <c r="S2" s="9"/>
      <c r="BN2" s="10">
        <v>1</v>
      </c>
      <c r="BO2" s="11">
        <v>2</v>
      </c>
      <c r="BP2" s="11">
        <v>3</v>
      </c>
      <c r="BQ2" s="11">
        <v>4</v>
      </c>
      <c r="BR2" s="11">
        <v>5</v>
      </c>
      <c r="BS2" s="11">
        <v>6</v>
      </c>
      <c r="BT2" s="11">
        <v>7</v>
      </c>
      <c r="BU2" s="11">
        <v>8</v>
      </c>
      <c r="BV2" s="11">
        <v>9</v>
      </c>
      <c r="BW2" s="10">
        <v>10</v>
      </c>
      <c r="BX2" s="11">
        <v>11</v>
      </c>
      <c r="BY2" s="11">
        <v>12</v>
      </c>
      <c r="BZ2" s="11">
        <v>13</v>
      </c>
      <c r="CA2" s="11">
        <v>14</v>
      </c>
      <c r="CB2" s="11">
        <v>15</v>
      </c>
      <c r="CC2" s="11">
        <v>16</v>
      </c>
      <c r="CD2" s="11">
        <v>17</v>
      </c>
      <c r="CE2" s="11">
        <v>18</v>
      </c>
      <c r="CF2" s="10">
        <v>19</v>
      </c>
      <c r="CG2" s="11">
        <v>20</v>
      </c>
      <c r="CH2" s="11">
        <v>21</v>
      </c>
      <c r="CI2" s="11">
        <v>22</v>
      </c>
      <c r="CJ2" s="11">
        <v>23</v>
      </c>
      <c r="CK2" s="11">
        <v>24</v>
      </c>
      <c r="CL2" s="11">
        <v>25</v>
      </c>
    </row>
    <row r="3" thickBot="1" ht="15.75" customHeight="1">
      <c r="A3" s="12"/>
      <c r="B3" s="12"/>
      <c r="C3" s="12"/>
      <c r="D3" s="12"/>
      <c r="E3" s="13"/>
      <c r="F3" s="14"/>
      <c r="G3" s="15"/>
      <c r="H3" s="15"/>
      <c r="I3" s="16"/>
      <c r="J3" s="14"/>
      <c r="K3" s="15"/>
      <c r="L3" s="16"/>
      <c r="M3" s="14"/>
      <c r="N3" s="15"/>
      <c r="O3" s="15"/>
      <c r="P3" s="16"/>
      <c r="Q3" s="14"/>
      <c r="R3" s="15"/>
      <c r="S3" s="16"/>
      <c r="T3" s="17"/>
      <c r="U3" s="10"/>
      <c r="V3" s="11"/>
      <c r="W3" s="18"/>
      <c r="X3" s="19">
        <v>1</v>
      </c>
      <c r="Y3" s="19">
        <v>2</v>
      </c>
      <c r="Z3" s="19">
        <v>3</v>
      </c>
      <c r="AA3" s="19">
        <v>4</v>
      </c>
      <c r="AB3" s="19">
        <v>5</v>
      </c>
      <c r="AC3" s="19">
        <v>6</v>
      </c>
      <c r="AD3" s="19">
        <v>7</v>
      </c>
      <c r="AE3" s="19">
        <v>8</v>
      </c>
      <c r="AF3" s="19">
        <v>9</v>
      </c>
      <c r="AG3" s="19">
        <v>10</v>
      </c>
      <c r="AH3" s="19">
        <v>11</v>
      </c>
      <c r="AI3" s="19">
        <v>12</v>
      </c>
      <c r="AJ3" s="19">
        <v>13</v>
      </c>
      <c r="AK3" s="20">
        <v>14</v>
      </c>
      <c r="AL3" s="19">
        <v>15</v>
      </c>
      <c r="AM3" s="20">
        <v>16</v>
      </c>
      <c r="AN3" s="19">
        <v>17</v>
      </c>
      <c r="AO3" s="19">
        <v>18</v>
      </c>
      <c r="AP3" s="19">
        <v>19</v>
      </c>
      <c r="AQ3" s="19">
        <v>20</v>
      </c>
      <c r="AR3" s="19">
        <v>21</v>
      </c>
      <c r="AS3" s="19">
        <v>22</v>
      </c>
      <c r="AT3" s="19">
        <v>23</v>
      </c>
      <c r="AU3" s="19">
        <v>24</v>
      </c>
      <c r="AV3" s="19">
        <v>25</v>
      </c>
      <c r="AW3" s="19">
        <v>26</v>
      </c>
      <c r="AX3" s="19">
        <v>27</v>
      </c>
      <c r="AY3" s="19">
        <v>28</v>
      </c>
      <c r="AZ3" s="19">
        <v>29</v>
      </c>
      <c r="BA3" s="19">
        <v>30</v>
      </c>
      <c r="BB3" s="19">
        <v>31</v>
      </c>
      <c r="BC3" s="19">
        <v>32</v>
      </c>
      <c r="BD3" s="19">
        <v>33</v>
      </c>
      <c r="BE3" s="19">
        <v>34</v>
      </c>
      <c r="BF3" s="19">
        <v>35</v>
      </c>
      <c r="BG3" s="19">
        <v>36</v>
      </c>
      <c r="BH3" s="19">
        <v>37</v>
      </c>
      <c r="BI3" s="19">
        <v>38</v>
      </c>
      <c r="BJ3" s="19">
        <v>39</v>
      </c>
      <c r="BK3" s="19">
        <v>40</v>
      </c>
      <c r="BL3" s="19"/>
      <c r="BM3" s="19"/>
      <c r="BN3" s="10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8"/>
    </row>
    <row r="4" ht="241.15" customHeight="1">
      <c r="A4" s="21" t="s">
        <v>13</v>
      </c>
      <c r="B4" s="21" t="s">
        <v>14</v>
      </c>
      <c r="C4" s="21" t="s">
        <v>15</v>
      </c>
      <c r="D4" s="21" t="s">
        <v>16</v>
      </c>
      <c r="E4" s="21" t="s">
        <v>4</v>
      </c>
      <c r="F4" s="22" t="s">
        <v>5</v>
      </c>
      <c r="G4" s="23" t="s">
        <v>6</v>
      </c>
      <c r="H4" s="21" t="s">
        <v>17</v>
      </c>
      <c r="I4" s="21" t="s">
        <v>18</v>
      </c>
      <c r="J4" s="22" t="s">
        <v>5</v>
      </c>
      <c r="K4" s="23" t="s">
        <v>6</v>
      </c>
      <c r="L4" s="21" t="s">
        <v>17</v>
      </c>
      <c r="M4" s="22" t="s">
        <v>5</v>
      </c>
      <c r="N4" s="23" t="s">
        <v>6</v>
      </c>
      <c r="O4" s="21" t="s">
        <v>19</v>
      </c>
      <c r="P4" s="21" t="s">
        <v>20</v>
      </c>
      <c r="Q4" s="22" t="s">
        <v>5</v>
      </c>
      <c r="R4" s="23" t="s">
        <v>6</v>
      </c>
      <c r="S4" s="23" t="s">
        <v>19</v>
      </c>
      <c r="T4" s="22" t="s">
        <v>21</v>
      </c>
      <c r="U4" s="21" t="s">
        <v>22</v>
      </c>
      <c r="V4" s="21" t="s">
        <v>23</v>
      </c>
      <c r="W4" s="24" t="s">
        <v>24</v>
      </c>
      <c r="X4" s="21" t="e" cm="1">
        <f t="array" ref="X4">IF(X$3&lt;&gt;"",INDEX(#REF!,X$3),"")</f>
        <v>#REF!</v>
      </c>
      <c r="Y4" s="21" t="e" cm="1">
        <f t="array" ref="Y4">IF(Y$3&lt;&gt;"",INDEX(#REF!,Y$3),"")</f>
        <v>#REF!</v>
      </c>
      <c r="Z4" s="21" t="e" cm="1">
        <f t="array" ref="Z4">IF(Z$3&lt;&gt;"",INDEX(#REF!,Z$3),"")</f>
        <v>#REF!</v>
      </c>
      <c r="AA4" s="21" t="e" cm="1">
        <f t="array" ref="AA4">IF(AA$3&lt;&gt;"",INDEX(#REF!,AA$3),"")</f>
        <v>#REF!</v>
      </c>
      <c r="AB4" s="21" t="e" cm="1">
        <f t="array" ref="AB4">IF(AB$3&lt;&gt;"",INDEX(#REF!,AB$3),"")</f>
        <v>#REF!</v>
      </c>
      <c r="AC4" s="21" t="e" cm="1">
        <f t="array" ref="AC4">IF(AC$3&lt;&gt;"",INDEX(#REF!,AC$3),"")</f>
        <v>#REF!</v>
      </c>
      <c r="AD4" s="21" t="e" cm="1">
        <f t="array" ref="AD4">IF(AD$3&lt;&gt;"",INDEX(#REF!,AD$3),"")</f>
        <v>#REF!</v>
      </c>
      <c r="AE4" s="21" t="e" cm="1">
        <f t="array" ref="AE4">IF(AE$3&lt;&gt;"",INDEX(#REF!,AE$3),"")</f>
        <v>#REF!</v>
      </c>
      <c r="AF4" s="21" t="e" cm="1">
        <f t="array" ref="AF4">IF(AF$3&lt;&gt;"",INDEX(#REF!,AF$3),"")</f>
        <v>#REF!</v>
      </c>
      <c r="AG4" s="21" t="e" cm="1">
        <f t="array" ref="AG4">IF(AG$3&lt;&gt;"",INDEX(#REF!,AG$3),"")</f>
        <v>#REF!</v>
      </c>
      <c r="AH4" s="21" t="e" cm="1">
        <f t="array" ref="AH4">IF(AH$3&lt;&gt;"",INDEX(#REF!,AH$3),"")</f>
        <v>#REF!</v>
      </c>
      <c r="AI4" s="21" t="e" cm="1">
        <f t="array" ref="AI4">IF(AI$3&lt;&gt;"",INDEX(#REF!,AI$3),"")</f>
        <v>#REF!</v>
      </c>
      <c r="AJ4" s="21" t="e" cm="1">
        <f t="array" ref="AJ4">IF(AJ$3&lt;&gt;"",INDEX(#REF!,AJ$3),"")</f>
        <v>#REF!</v>
      </c>
      <c r="AK4" s="21" t="e" cm="1">
        <f t="array" ref="AK4">IF(AK$3&lt;&gt;"",INDEX(#REF!,AK$3),"")</f>
        <v>#REF!</v>
      </c>
      <c r="AL4" s="21" t="e" cm="1">
        <f t="array" ref="AL4">IF(AL$3&lt;&gt;"",INDEX(#REF!,AL$3),"")</f>
        <v>#REF!</v>
      </c>
      <c r="AM4" s="21" t="e" cm="1">
        <f t="array" ref="AM4">IF(AM$3&lt;&gt;"",INDEX(#REF!,AM$3),"")</f>
        <v>#REF!</v>
      </c>
      <c r="AN4" s="21" t="e" cm="1">
        <f t="array" ref="AN4">IF(AN$3&lt;&gt;"",INDEX(#REF!,AN$3),"")</f>
        <v>#REF!</v>
      </c>
      <c r="AO4" s="21" t="e" cm="1">
        <f t="array" ref="AO4">IF(AO$3&lt;&gt;"",INDEX(#REF!,AO$3),"")</f>
        <v>#REF!</v>
      </c>
      <c r="AP4" s="21" t="e" cm="1">
        <f t="array" ref="AP4">IF(AP$3&lt;&gt;"",INDEX(#REF!,AP$3),"")</f>
        <v>#REF!</v>
      </c>
      <c r="AQ4" s="21" t="e" cm="1">
        <f t="array" ref="AQ4">IF(AQ$3&lt;&gt;"",INDEX(#REF!,AQ$3),"")</f>
        <v>#REF!</v>
      </c>
      <c r="AR4" s="21" t="e" cm="1">
        <f t="array" ref="AR4">IF(AR$3&lt;&gt;"",INDEX(#REF!,AR$3),"")</f>
        <v>#REF!</v>
      </c>
      <c r="AS4" s="21" t="e" cm="1">
        <f t="array" ref="AS4">IF(AS$3&lt;&gt;"",INDEX(#REF!,AS$3),"")</f>
        <v>#REF!</v>
      </c>
      <c r="AT4" s="21" t="e" cm="1">
        <f t="array" ref="AT4">IF(AT$3&lt;&gt;"",INDEX(#REF!,AT$3),"")</f>
        <v>#REF!</v>
      </c>
      <c r="AU4" s="21" t="e" cm="1">
        <f t="array" ref="AU4">IF(AU$3&lt;&gt;"",INDEX(#REF!,AU$3),"")</f>
        <v>#REF!</v>
      </c>
      <c r="AV4" s="21" t="e" cm="1">
        <f t="array" ref="AV4">IF(AV$3&lt;&gt;"",INDEX(#REF!,AV$3),"")</f>
        <v>#REF!</v>
      </c>
      <c r="AW4" s="21" t="e" cm="1">
        <f t="array" ref="AW4">IF(AW$3&lt;&gt;"",INDEX(#REF!,AW$3),"")</f>
        <v>#REF!</v>
      </c>
      <c r="AX4" s="21" t="e" cm="1">
        <f t="array" ref="AX4">IF(AX$3&lt;&gt;"",INDEX(#REF!,AX$3),"")</f>
        <v>#REF!</v>
      </c>
      <c r="AY4" s="21" t="e" cm="1">
        <f t="array" ref="AY4">IF(AY$3&lt;&gt;"",INDEX(#REF!,AY$3),"")</f>
        <v>#REF!</v>
      </c>
      <c r="AZ4" s="21" t="e" cm="1">
        <f t="array" ref="AZ4">IF(AZ$3&lt;&gt;"",INDEX(#REF!,AZ$3),"")</f>
        <v>#REF!</v>
      </c>
      <c r="BA4" s="21" t="e" cm="1">
        <f t="array" ref="BA4">IF(BA$3&lt;&gt;"",INDEX(#REF!,BA$3),"")</f>
        <v>#REF!</v>
      </c>
      <c r="BB4" s="21" t="e" cm="1">
        <f t="array" ref="BB4">IF(BB$3&lt;&gt;"",INDEX(#REF!,BB$3),"")</f>
        <v>#REF!</v>
      </c>
      <c r="BC4" s="21" t="e" cm="1">
        <f t="array" ref="BC4">IF(BC$3&lt;&gt;"",INDEX(#REF!,BC$3),"")</f>
        <v>#REF!</v>
      </c>
      <c r="BD4" s="21" t="e" cm="1">
        <f t="array" ref="BD4">IF(BD$3&lt;&gt;"",INDEX(#REF!,BD$3),"")</f>
        <v>#REF!</v>
      </c>
      <c r="BE4" s="21" t="e" cm="1">
        <f t="array" ref="BE4">IF(BE$3&lt;&gt;"",INDEX(#REF!,BE$3),"")</f>
        <v>#REF!</v>
      </c>
      <c r="BF4" s="21" t="e" cm="1">
        <f t="array" ref="BF4">IF(BF$3&lt;&gt;"",INDEX(#REF!,BF$3),"")</f>
        <v>#REF!</v>
      </c>
      <c r="BG4" s="21" t="e" cm="1">
        <f t="array" ref="BG4">IF(BG$3&lt;&gt;"",INDEX(#REF!,BG$3),"")</f>
        <v>#REF!</v>
      </c>
      <c r="BH4" s="21" t="e" cm="1">
        <f t="array" ref="BH4">IF(BH$3&lt;&gt;"",INDEX(#REF!,BH$3),"")</f>
        <v>#REF!</v>
      </c>
      <c r="BI4" s="21" t="e" cm="1">
        <f t="array" ref="BI4">IF(BI$3&lt;&gt;"",INDEX(#REF!,BI$3),"")</f>
        <v>#REF!</v>
      </c>
      <c r="BJ4" s="21" t="e" cm="1">
        <f t="array" ref="BJ4">IF(BJ$3&lt;&gt;"",INDEX(#REF!,BJ$3),"")</f>
        <v>#REF!</v>
      </c>
      <c r="BK4" s="21" t="e" cm="1">
        <f t="array" ref="BK4">IF(BK$3&lt;&gt;"",INDEX(#REF!,BK$3),"")</f>
        <v>#REF!</v>
      </c>
      <c r="BL4" s="21" t="s">
        <v>25</v>
      </c>
      <c r="BM4" s="25" t="s">
        <v>26</v>
      </c>
      <c r="BN4" s="26" t="e" cm="1">
        <f t="array" ref="BN4">IF(BN2&lt;&gt;"",INDEX(#REF!,BN2),"")</f>
        <v>#REF!</v>
      </c>
      <c r="BO4" s="26" t="e" cm="1">
        <f t="array" ref="BO4">IF(BO2&lt;&gt;"",INDEX(#REF!,BO2),"")</f>
        <v>#REF!</v>
      </c>
      <c r="BP4" s="26" t="e" cm="1">
        <f t="array" ref="BP4">IF(BP2&lt;&gt;"",INDEX(#REF!,BP2),"")</f>
        <v>#REF!</v>
      </c>
      <c r="BQ4" s="26" t="e" cm="1">
        <f t="array" ref="BQ4">IF(BQ2&lt;&gt;"",INDEX(#REF!,BQ2),"")</f>
        <v>#REF!</v>
      </c>
      <c r="BR4" s="26" t="e" cm="1">
        <f t="array" ref="BR4">IF(BR2&lt;&gt;"",INDEX(#REF!,BR2),"")</f>
        <v>#REF!</v>
      </c>
      <c r="BS4" s="26" t="e" cm="1">
        <f t="array" ref="BS4">IF(BS2&lt;&gt;"",INDEX(#REF!,BS2),"")</f>
        <v>#REF!</v>
      </c>
      <c r="BT4" s="26" t="e" cm="1">
        <f t="array" ref="BT4">IF(BT2&lt;&gt;"",INDEX(#REF!,BT2),"")</f>
        <v>#REF!</v>
      </c>
      <c r="BU4" s="26" t="e" cm="1">
        <f t="array" ref="BU4">IF(BU2&lt;&gt;"",INDEX(#REF!,BU2),"")</f>
        <v>#REF!</v>
      </c>
      <c r="BV4" s="26" t="e" cm="1">
        <f t="array" ref="BV4">IF(BV2&lt;&gt;"",INDEX(#REF!,BV2),"")</f>
        <v>#REF!</v>
      </c>
      <c r="BW4" s="26" t="e" cm="1">
        <f t="array" ref="BW4">IF(BW2&lt;&gt;"",INDEX(#REF!,BW2),"")</f>
        <v>#REF!</v>
      </c>
      <c r="BX4" s="26" t="e" cm="1">
        <f t="array" ref="BX4">IF(BX2&lt;&gt;"",INDEX(#REF!,BX2),"")</f>
        <v>#REF!</v>
      </c>
      <c r="BY4" s="26" t="e" cm="1">
        <f t="array" ref="BY4">IF(BY2&lt;&gt;"",INDEX(#REF!,BY2),"")</f>
        <v>#REF!</v>
      </c>
      <c r="BZ4" s="26" t="e" cm="1">
        <f t="array" ref="BZ4">IF(BZ2&lt;&gt;"",INDEX(#REF!,BZ2),"")</f>
        <v>#REF!</v>
      </c>
      <c r="CA4" s="26" t="e" cm="1">
        <f t="array" ref="CA4">IF(CA2&lt;&gt;"",INDEX(#REF!,CA2),"")</f>
        <v>#REF!</v>
      </c>
      <c r="CB4" s="26" t="e" cm="1">
        <f t="array" ref="CB4">IF(CB2&lt;&gt;"",INDEX(#REF!,CB2),"")</f>
        <v>#REF!</v>
      </c>
      <c r="CC4" s="26" t="e" cm="1">
        <f t="array" ref="CC4">IF(CC2&lt;&gt;"",INDEX(#REF!,CC2),"")</f>
        <v>#REF!</v>
      </c>
      <c r="CD4" s="26" t="e" cm="1">
        <f t="array" ref="CD4">IF(CD2&lt;&gt;"",INDEX(#REF!,CD2),"")</f>
        <v>#REF!</v>
      </c>
      <c r="CE4" s="26" t="e" cm="1">
        <f t="array" ref="CE4">IF(CE2&lt;&gt;"",INDEX(#REF!,CE2),"")</f>
        <v>#REF!</v>
      </c>
      <c r="CF4" s="26" t="e" cm="1">
        <f t="array" ref="CF4">IF(CF2&lt;&gt;"",INDEX(#REF!,CF2),"")</f>
        <v>#REF!</v>
      </c>
      <c r="CG4" s="26" t="e" cm="1">
        <f t="array" ref="CG4">IF(CG2&lt;&gt;"",INDEX(#REF!,CG2),"")</f>
        <v>#REF!</v>
      </c>
      <c r="CH4" s="26" t="e" cm="1">
        <f t="array" ref="CH4">IF(CH2&lt;&gt;"",INDEX(#REF!,CH2),"")</f>
        <v>#REF!</v>
      </c>
      <c r="CI4" s="26" t="e" cm="1">
        <f t="array" ref="CI4">IF(CI2&lt;&gt;"",INDEX(#REF!,CI2),"")</f>
        <v>#REF!</v>
      </c>
      <c r="CJ4" s="26" t="e" cm="1">
        <f t="array" ref="CJ4">IF(CJ2&lt;&gt;"",INDEX(#REF!,CJ2),"")</f>
        <v>#REF!</v>
      </c>
      <c r="CK4" s="26" t="e" cm="1">
        <f t="array" ref="CK4">IF(CK2&lt;&gt;"",INDEX(#REF!,CK2),"")</f>
        <v>#REF!</v>
      </c>
      <c r="CL4" s="26" t="e" cm="1">
        <f t="array" ref="CL4">IF(CL2&lt;&gt;"",INDEX(#REF!,CL2),"")</f>
        <v>#REF!</v>
      </c>
    </row>
    <row r="5">
      <c r="A5" t="s">
        <v>27</v>
      </c>
      <c r="B5" t="s">
        <v>28</v>
      </c>
      <c r="C5" t="s">
        <v>29</v>
      </c>
      <c r="D5">
        <v>2</v>
      </c>
      <c r="E5">
        <v>1</v>
      </c>
      <c r="F5">
        <v>5</v>
      </c>
      <c r="G5" t="s">
        <v>30</v>
      </c>
      <c r="H5">
        <v>1450</v>
      </c>
      <c r="I5" t="s">
        <v>31</v>
      </c>
      <c r="J5">
        <v>5</v>
      </c>
      <c r="K5" t="s">
        <v>30</v>
      </c>
      <c r="L5" t="s">
        <v>32</v>
      </c>
      <c r="M5">
        <v>5</v>
      </c>
      <c r="N5" t="s">
        <v>30</v>
      </c>
      <c r="O5" t="s">
        <v>32</v>
      </c>
      <c r="P5" t="s">
        <v>33</v>
      </c>
      <c r="Q5">
        <v>5</v>
      </c>
      <c r="R5" t="s">
        <v>30</v>
      </c>
      <c r="S5" t="s">
        <v>32</v>
      </c>
      <c r="T5" t="s">
        <v>30</v>
      </c>
      <c r="U5">
        <v>39.999999999999993</v>
      </c>
      <c r="V5">
        <v>68.214375042633989</v>
      </c>
      <c r="W5">
        <v>146.19791666666669</v>
      </c>
      <c r="X5">
        <v>25.780000000000001</v>
      </c>
      <c r="Y5">
        <v>4.2699999999999996</v>
      </c>
      <c r="Z5">
        <v>0.76000000000000001</v>
      </c>
      <c r="AA5">
        <v>1.6399999999999999</v>
      </c>
      <c r="AB5">
        <v>0.23000000000000001</v>
      </c>
      <c r="AC5">
        <v>1.0900000000000001</v>
      </c>
      <c r="AD5">
        <v>0.17000000000000001</v>
      </c>
      <c r="AE5">
        <v>6.3499999999999996</v>
      </c>
      <c r="AF5">
        <v>1.4199999999999999</v>
      </c>
      <c r="AG5">
        <v>0.5</v>
      </c>
      <c r="AH5">
        <v>0.070000000000000007</v>
      </c>
      <c r="AI5">
        <v>0.40999999999999998</v>
      </c>
      <c r="AJ5">
        <v>22.949999999999999</v>
      </c>
      <c r="AK5">
        <v>0.10000000000000001</v>
      </c>
      <c r="AL5">
        <v>0.63</v>
      </c>
      <c r="AM5">
        <v>1.9399999999999999</v>
      </c>
      <c r="AN5">
        <v>0.20999999999999999</v>
      </c>
      <c r="AO5">
        <v>3.3500000000000001</v>
      </c>
      <c r="AP5">
        <v>0.050000000000000003</v>
      </c>
      <c r="AQ5">
        <v>0.029999999999999999</v>
      </c>
      <c r="AR5">
        <v>0.32000000000000001</v>
      </c>
      <c r="AS5">
        <v>0.68999999999999995</v>
      </c>
      <c r="AT5">
        <v>0.91000000000000003</v>
      </c>
      <c r="AU5">
        <v>0.040000000000000001</v>
      </c>
      <c r="AV5">
        <v>2.7799999999999998</v>
      </c>
      <c r="AW5">
        <v>5.0099999999999998</v>
      </c>
      <c r="AX5">
        <v>0.32000000000000001</v>
      </c>
      <c r="AY5">
        <v>0.5</v>
      </c>
      <c r="AZ5">
        <v>1.1000000000000001</v>
      </c>
      <c r="BA5">
        <v>0.01</v>
      </c>
      <c r="BB5">
        <v>0.10000000000000001</v>
      </c>
      <c r="BC5">
        <v>0.20999999999999999</v>
      </c>
      <c r="BD5">
        <v>6.2800000000000002</v>
      </c>
      <c r="BE5">
        <v>0.14999999999999999</v>
      </c>
      <c r="BF5">
        <v>0.050000000000000003</v>
      </c>
      <c r="BG5">
        <v>0.44</v>
      </c>
      <c r="BH5">
        <v>47.359999999999999</v>
      </c>
      <c r="BI5">
        <v>1.4299999999999999</v>
      </c>
      <c r="BJ5">
        <v>0.10000000000000001</v>
      </c>
      <c r="BK5">
        <v>0.10000000000000001</v>
      </c>
      <c r="BM5">
        <v>0.051546391752577324</v>
      </c>
      <c r="BN5">
        <v>40.030000000000001</v>
      </c>
      <c r="BO5">
        <v>245.21000000000001</v>
      </c>
      <c r="BP5">
        <v>0.56999999999999995</v>
      </c>
      <c r="BQ5">
        <v>0.91000000000000003</v>
      </c>
      <c r="BR5">
        <v>30</v>
      </c>
      <c r="BS5">
        <v>1.79</v>
      </c>
      <c r="BT5">
        <v>2.52</v>
      </c>
      <c r="BU5">
        <v>46.469999999999999</v>
      </c>
      <c r="BV5">
        <v>0.14999999999999999</v>
      </c>
      <c r="BW5">
        <v>0.10000000000000001</v>
      </c>
      <c r="BX5">
        <v>0.17999999999999999</v>
      </c>
      <c r="BY5">
        <v>18.969999999999999</v>
      </c>
      <c r="BZ5">
        <v>43.619999999999997</v>
      </c>
      <c r="CA5">
        <v>59.549999999999997</v>
      </c>
      <c r="CB5">
        <v>2.6000000000000001</v>
      </c>
      <c r="CC5">
        <v>0.44</v>
      </c>
      <c r="CD5">
        <v>0.050000000000000003</v>
      </c>
      <c r="CE5">
        <v>0.070000000000000007</v>
      </c>
      <c r="CF5">
        <v>0.25</v>
      </c>
      <c r="CG5">
        <v>0.059999999999999998</v>
      </c>
      <c r="CH5">
        <v>0.029999999999999999</v>
      </c>
      <c r="CI5">
        <v>0.32000000000000001</v>
      </c>
      <c r="CJ5">
        <v>2.6699999999999999</v>
      </c>
      <c r="CK5">
        <v>15.24</v>
      </c>
      <c r="CL5">
        <v>0.089999999999999997</v>
      </c>
      <c r="CZ5" t="e">
        <v>#VALUE!</v>
      </c>
      <c r="DA5" t="e">
        <v>#VALUE!</v>
      </c>
      <c r="DB5">
        <v>46104</v>
      </c>
    </row>
    <row r="6">
      <c r="A6" t="s">
        <v>27</v>
      </c>
      <c r="B6" t="s">
        <v>34</v>
      </c>
      <c r="C6" t="s">
        <v>35</v>
      </c>
      <c r="D6">
        <v>3</v>
      </c>
      <c r="E6">
        <v>1</v>
      </c>
      <c r="F6">
        <v>53</v>
      </c>
      <c r="G6" t="s">
        <v>36</v>
      </c>
      <c r="H6">
        <v>1451</v>
      </c>
      <c r="I6" t="s">
        <v>31</v>
      </c>
      <c r="J6">
        <v>53</v>
      </c>
      <c r="K6" t="s">
        <v>36</v>
      </c>
      <c r="L6" t="s">
        <v>37</v>
      </c>
      <c r="M6">
        <v>38</v>
      </c>
      <c r="N6" t="s">
        <v>36</v>
      </c>
      <c r="O6" t="s">
        <v>37</v>
      </c>
      <c r="P6" t="s">
        <v>33</v>
      </c>
      <c r="Q6">
        <v>38</v>
      </c>
      <c r="R6" t="s">
        <v>36</v>
      </c>
      <c r="S6" t="s">
        <v>37</v>
      </c>
      <c r="T6" t="s">
        <v>36</v>
      </c>
      <c r="U6">
        <v>77.85714285714289</v>
      </c>
      <c r="V6">
        <v>37.966410574187705</v>
      </c>
      <c r="W6">
        <v>129.60937499999997</v>
      </c>
      <c r="X6">
        <v>13.380000000000001</v>
      </c>
      <c r="Y6">
        <v>4.3099999999999996</v>
      </c>
      <c r="Z6">
        <v>0.37</v>
      </c>
      <c r="AA6">
        <v>1.4399999999999999</v>
      </c>
      <c r="AB6">
        <v>0.10000000000000001</v>
      </c>
      <c r="AC6">
        <v>1.6100000000000001</v>
      </c>
      <c r="AD6">
        <v>0.089999999999999997</v>
      </c>
      <c r="AE6">
        <v>14.82</v>
      </c>
      <c r="AF6">
        <v>2.3799999999999999</v>
      </c>
      <c r="AG6">
        <v>0.37</v>
      </c>
      <c r="AH6">
        <v>1.4399999999999999</v>
      </c>
      <c r="AI6">
        <v>0.57999999999999996</v>
      </c>
      <c r="AJ6">
        <v>2.23</v>
      </c>
      <c r="AK6">
        <v>0.10000000000000001</v>
      </c>
      <c r="AL6">
        <v>1.05</v>
      </c>
      <c r="AM6">
        <v>1.6899999999999999</v>
      </c>
      <c r="AN6">
        <v>0.53000000000000003</v>
      </c>
      <c r="AO6">
        <v>5.8099999999999996</v>
      </c>
      <c r="AP6">
        <v>0.029999999999999999</v>
      </c>
      <c r="AQ6">
        <v>0.91000000000000003</v>
      </c>
      <c r="AR6">
        <v>0.65000000000000002</v>
      </c>
      <c r="AS6">
        <v>1.23</v>
      </c>
      <c r="AT6">
        <v>0.72999999999999998</v>
      </c>
      <c r="AU6">
        <v>0.02</v>
      </c>
      <c r="AV6">
        <v>6.5599999999999996</v>
      </c>
      <c r="AW6">
        <v>1.77</v>
      </c>
      <c r="AX6">
        <v>0.94999999999999996</v>
      </c>
      <c r="AY6">
        <v>1.1699999999999999</v>
      </c>
      <c r="AZ6">
        <v>0.45000000000000001</v>
      </c>
      <c r="BA6">
        <v>0.02</v>
      </c>
      <c r="BB6">
        <v>0.20999999999999999</v>
      </c>
      <c r="BC6">
        <v>0.33000000000000002</v>
      </c>
      <c r="BD6">
        <v>0.83999999999999997</v>
      </c>
      <c r="BE6">
        <v>0.080000000000000002</v>
      </c>
      <c r="BF6">
        <v>0.01</v>
      </c>
      <c r="BG6">
        <v>0.14000000000000001</v>
      </c>
      <c r="BH6">
        <v>72.5</v>
      </c>
      <c r="BI6">
        <v>7.4800000000000004</v>
      </c>
      <c r="BJ6">
        <v>0.78000000000000003</v>
      </c>
      <c r="BK6">
        <v>0</v>
      </c>
      <c r="BM6">
        <v>0.059171597633136098</v>
      </c>
      <c r="BN6">
        <v>20.329999999999998</v>
      </c>
      <c r="BO6">
        <v>202.44999999999999</v>
      </c>
      <c r="BP6">
        <v>0.40000000000000002</v>
      </c>
      <c r="BQ6">
        <v>0.79000000000000004</v>
      </c>
      <c r="BR6">
        <v>29.469999999999999</v>
      </c>
      <c r="BS6">
        <v>2.1099999999999999</v>
      </c>
      <c r="BT6">
        <v>4.0899999999999999</v>
      </c>
      <c r="BU6">
        <v>33.270000000000003</v>
      </c>
      <c r="BV6">
        <v>0.14999999999999999</v>
      </c>
      <c r="BW6">
        <v>2.5</v>
      </c>
      <c r="BX6">
        <v>0.56000000000000005</v>
      </c>
      <c r="BY6">
        <v>34.75</v>
      </c>
      <c r="BZ6">
        <v>28.93</v>
      </c>
      <c r="CA6">
        <v>13.960000000000001</v>
      </c>
      <c r="CB6">
        <v>3.8500000000000001</v>
      </c>
      <c r="CC6">
        <v>0.96999999999999997</v>
      </c>
      <c r="CD6">
        <v>0.12</v>
      </c>
      <c r="CE6">
        <v>0.040000000000000001</v>
      </c>
      <c r="CF6">
        <v>0.10000000000000001</v>
      </c>
      <c r="CG6">
        <v>0.26000000000000001</v>
      </c>
      <c r="CH6">
        <v>0.10000000000000001</v>
      </c>
      <c r="CI6">
        <v>0.51000000000000001</v>
      </c>
      <c r="CJ6">
        <v>3.5600000000000001</v>
      </c>
      <c r="CK6">
        <v>68.900000000000006</v>
      </c>
      <c r="CL6">
        <v>1.3</v>
      </c>
      <c r="CZ6" t="e">
        <v>#VALUE!</v>
      </c>
      <c r="DA6" t="e">
        <v>#VALUE!</v>
      </c>
      <c r="DB6">
        <v>46104</v>
      </c>
    </row>
    <row r="7">
      <c r="A7" t="s">
        <v>38</v>
      </c>
      <c r="B7" t="s">
        <v>39</v>
      </c>
      <c r="C7" t="s">
        <v>40</v>
      </c>
      <c r="D7">
        <v>2</v>
      </c>
      <c r="E7">
        <v>0</v>
      </c>
      <c r="F7">
        <v>101</v>
      </c>
      <c r="G7" t="s">
        <v>41</v>
      </c>
      <c r="H7">
        <v>1459</v>
      </c>
      <c r="I7" t="s">
        <v>31</v>
      </c>
      <c r="J7">
        <v>101</v>
      </c>
      <c r="K7" t="s">
        <v>41</v>
      </c>
      <c r="L7" t="s">
        <v>42</v>
      </c>
      <c r="M7">
        <v>71</v>
      </c>
      <c r="N7" t="s">
        <v>41</v>
      </c>
      <c r="O7" t="s">
        <v>42</v>
      </c>
      <c r="P7" t="s">
        <v>33</v>
      </c>
      <c r="Q7">
        <v>71</v>
      </c>
      <c r="R7" t="s">
        <v>41</v>
      </c>
      <c r="S7" t="s">
        <v>42</v>
      </c>
      <c r="T7" t="s">
        <v>43</v>
      </c>
      <c r="U7">
        <v>35.172413793103459</v>
      </c>
      <c r="V7">
        <v>107.74601722420395</v>
      </c>
      <c r="W7">
        <v>50.3125</v>
      </c>
      <c r="X7">
        <v>0.10000000000000001</v>
      </c>
      <c r="Y7">
        <v>4.5199999999999996</v>
      </c>
      <c r="Z7">
        <v>0.58999999999999997</v>
      </c>
      <c r="AA7">
        <v>1.5600000000000001</v>
      </c>
      <c r="AB7">
        <v>0.12</v>
      </c>
      <c r="AC7">
        <v>1.54</v>
      </c>
      <c r="AD7">
        <v>0.34000000000000002</v>
      </c>
      <c r="AE7">
        <v>19.300000000000001</v>
      </c>
      <c r="AF7">
        <v>2.6000000000000001</v>
      </c>
      <c r="AG7">
        <v>0.5</v>
      </c>
      <c r="AH7">
        <v>0.10000000000000001</v>
      </c>
      <c r="AI7">
        <v>0.14999999999999999</v>
      </c>
      <c r="AJ7">
        <v>0.10000000000000001</v>
      </c>
      <c r="AK7">
        <v>0.10000000000000001</v>
      </c>
      <c r="AL7">
        <v>0.10000000000000001</v>
      </c>
      <c r="AM7">
        <v>1.9399999999999999</v>
      </c>
      <c r="AN7">
        <v>0.66000000000000003</v>
      </c>
      <c r="AO7">
        <v>5.0999999999999996</v>
      </c>
      <c r="AP7">
        <v>0.01</v>
      </c>
      <c r="AQ7">
        <v>0.10000000000000001</v>
      </c>
      <c r="AR7">
        <v>0.34000000000000002</v>
      </c>
      <c r="AS7">
        <v>0.20000000000000001</v>
      </c>
      <c r="AT7">
        <v>0.48999999999999999</v>
      </c>
      <c r="AU7">
        <v>0.040000000000000001</v>
      </c>
      <c r="AV7">
        <v>1.97</v>
      </c>
      <c r="AW7">
        <v>4.2800000000000002</v>
      </c>
      <c r="AX7">
        <v>0.39000000000000001</v>
      </c>
      <c r="AY7">
        <v>0.66000000000000003</v>
      </c>
      <c r="AZ7">
        <v>1.1100000000000001</v>
      </c>
      <c r="BA7">
        <v>0.01</v>
      </c>
      <c r="BB7">
        <v>1.8999999999999999</v>
      </c>
      <c r="BC7">
        <v>0.14999999999999999</v>
      </c>
      <c r="BD7">
        <v>1.3200000000000001</v>
      </c>
      <c r="BE7">
        <v>0.13</v>
      </c>
      <c r="BF7">
        <v>0.059999999999999998</v>
      </c>
      <c r="BG7">
        <v>0.66000000000000003</v>
      </c>
      <c r="BH7">
        <v>61.490000000000002</v>
      </c>
      <c r="BI7">
        <v>2.9900000000000002</v>
      </c>
      <c r="BJ7">
        <v>0.10000000000000001</v>
      </c>
      <c r="BK7">
        <v>0.10000000000000001</v>
      </c>
      <c r="BM7">
        <v>0.051546391752577324</v>
      </c>
      <c r="BN7">
        <v>45.229999999999997</v>
      </c>
      <c r="BO7">
        <v>268.11000000000001</v>
      </c>
      <c r="BP7">
        <v>0.67000000000000004</v>
      </c>
      <c r="BQ7">
        <v>1</v>
      </c>
      <c r="BR7">
        <v>32.219999999999999</v>
      </c>
      <c r="BS7">
        <v>1.9099999999999999</v>
      </c>
      <c r="BT7">
        <v>1.2</v>
      </c>
      <c r="BU7">
        <v>32.649999999999999</v>
      </c>
      <c r="BV7">
        <v>0.32000000000000001</v>
      </c>
      <c r="BW7">
        <v>0.10000000000000001</v>
      </c>
      <c r="BX7">
        <v>0.20999999999999999</v>
      </c>
      <c r="BY7">
        <v>12.93</v>
      </c>
      <c r="BZ7">
        <v>42.460000000000001</v>
      </c>
      <c r="CA7">
        <v>8.9199999999999999</v>
      </c>
      <c r="CB7">
        <v>1.8500000000000001</v>
      </c>
      <c r="CC7">
        <v>0.51000000000000001</v>
      </c>
      <c r="CD7">
        <v>0.080000000000000002</v>
      </c>
      <c r="CE7">
        <v>0.23000000000000001</v>
      </c>
      <c r="CF7">
        <v>3.8199999999999998</v>
      </c>
      <c r="CG7">
        <v>0.22</v>
      </c>
      <c r="CH7">
        <v>0.059999999999999998</v>
      </c>
      <c r="CI7">
        <v>24.68</v>
      </c>
      <c r="CJ7">
        <v>2.8999999999999999</v>
      </c>
      <c r="CK7">
        <v>16.23</v>
      </c>
      <c r="CL7">
        <v>0.27000000000000002</v>
      </c>
      <c r="CZ7" t="e">
        <v>#VALUE!</v>
      </c>
      <c r="DA7" t="e">
        <v>#VALUE!</v>
      </c>
      <c r="DB7">
        <v>46105</v>
      </c>
    </row>
    <row r="8">
      <c r="A8" t="s">
        <v>38</v>
      </c>
      <c r="B8" t="s">
        <v>44</v>
      </c>
      <c r="C8" t="s">
        <v>45</v>
      </c>
      <c r="D8">
        <v>2</v>
      </c>
      <c r="E8">
        <v>1</v>
      </c>
      <c r="F8">
        <v>149</v>
      </c>
      <c r="G8" t="s">
        <v>46</v>
      </c>
      <c r="H8">
        <v>1460</v>
      </c>
      <c r="I8" t="s">
        <v>31</v>
      </c>
      <c r="J8">
        <v>149</v>
      </c>
      <c r="K8" t="s">
        <v>46</v>
      </c>
      <c r="L8" t="s">
        <v>47</v>
      </c>
      <c r="M8">
        <v>104</v>
      </c>
      <c r="N8" t="s">
        <v>46</v>
      </c>
      <c r="O8" t="s">
        <v>47</v>
      </c>
      <c r="P8" t="s">
        <v>33</v>
      </c>
      <c r="Q8">
        <v>104</v>
      </c>
      <c r="R8" t="s">
        <v>46</v>
      </c>
      <c r="S8" t="s">
        <v>47</v>
      </c>
      <c r="T8" t="s">
        <v>48</v>
      </c>
      <c r="U8">
        <v>92.41379310344827</v>
      </c>
      <c r="V8">
        <v>40.39269533774543</v>
      </c>
      <c r="W8">
        <v>62.708333333333329</v>
      </c>
      <c r="X8">
        <v>5.2699999999999996</v>
      </c>
      <c r="Y8">
        <v>5.21</v>
      </c>
      <c r="Z8">
        <v>0.40000000000000002</v>
      </c>
      <c r="AA8">
        <v>1.8899999999999999</v>
      </c>
      <c r="AB8">
        <v>0.02</v>
      </c>
      <c r="AC8">
        <v>2.75</v>
      </c>
      <c r="AD8">
        <v>0.02</v>
      </c>
      <c r="AE8">
        <v>17.350000000000001</v>
      </c>
      <c r="AF8">
        <v>3.77</v>
      </c>
      <c r="AG8">
        <v>0.55000000000000004</v>
      </c>
      <c r="AH8">
        <v>1.28</v>
      </c>
      <c r="AI8">
        <v>0.85999999999999999</v>
      </c>
      <c r="AJ8">
        <v>116.13</v>
      </c>
      <c r="AK8">
        <v>0.10000000000000001</v>
      </c>
      <c r="AL8">
        <v>1.3999999999999999</v>
      </c>
      <c r="AM8">
        <v>1.27</v>
      </c>
      <c r="AN8">
        <v>1.5600000000000001</v>
      </c>
      <c r="AO8">
        <v>7.1399999999999997</v>
      </c>
      <c r="AP8">
        <v>0.13</v>
      </c>
      <c r="AQ8">
        <v>1.8999999999999999</v>
      </c>
      <c r="AR8">
        <v>0.39000000000000001</v>
      </c>
      <c r="AS8">
        <v>1.46</v>
      </c>
      <c r="AT8">
        <v>0.51000000000000001</v>
      </c>
      <c r="AU8">
        <v>0.02</v>
      </c>
      <c r="AV8">
        <v>5.8200000000000003</v>
      </c>
      <c r="AW8">
        <v>2.1200000000000001</v>
      </c>
      <c r="AX8">
        <v>2.46</v>
      </c>
      <c r="AY8">
        <v>0.53000000000000003</v>
      </c>
      <c r="AZ8">
        <v>0.40000000000000002</v>
      </c>
      <c r="BA8">
        <v>0</v>
      </c>
      <c r="BB8">
        <v>0.01</v>
      </c>
      <c r="BC8">
        <v>0.20000000000000001</v>
      </c>
      <c r="BD8">
        <v>0.68999999999999995</v>
      </c>
      <c r="BE8">
        <v>0.059999999999999998</v>
      </c>
      <c r="BF8">
        <v>0</v>
      </c>
      <c r="BG8">
        <v>0.28999999999999998</v>
      </c>
      <c r="BH8">
        <v>63.829999999999998</v>
      </c>
      <c r="BI8">
        <v>2.0299999999999998</v>
      </c>
      <c r="BJ8">
        <v>0.10000000000000001</v>
      </c>
      <c r="BK8">
        <v>0.10000000000000001</v>
      </c>
      <c r="BM8">
        <v>0.07874015748031496</v>
      </c>
      <c r="BN8">
        <v>19.390000000000001</v>
      </c>
      <c r="BO8">
        <v>603.74000000000001</v>
      </c>
      <c r="BP8">
        <v>0.39000000000000001</v>
      </c>
      <c r="BQ8">
        <v>1.0600000000000001</v>
      </c>
      <c r="BR8">
        <v>26.800000000000001</v>
      </c>
      <c r="BS8">
        <v>3.79</v>
      </c>
      <c r="BT8">
        <v>3.04</v>
      </c>
      <c r="BU8">
        <v>11.300000000000001</v>
      </c>
      <c r="BV8">
        <v>0.17999999999999999</v>
      </c>
      <c r="BW8">
        <v>9.8000000000000007</v>
      </c>
      <c r="BX8">
        <v>0.17999999999999999</v>
      </c>
      <c r="BY8">
        <v>35.939999999999998</v>
      </c>
      <c r="BZ8">
        <v>24.239999999999998</v>
      </c>
      <c r="CA8">
        <v>16.600000000000001</v>
      </c>
      <c r="CB8">
        <v>2.79</v>
      </c>
      <c r="CC8">
        <v>0.58999999999999997</v>
      </c>
      <c r="CD8">
        <v>0.080000000000000002</v>
      </c>
      <c r="CE8">
        <v>0.059999999999999998</v>
      </c>
      <c r="CF8">
        <v>1.1799999999999999</v>
      </c>
      <c r="CG8">
        <v>0.14999999999999999</v>
      </c>
      <c r="CH8">
        <v>0.10000000000000001</v>
      </c>
      <c r="CI8">
        <v>2.0800000000000001</v>
      </c>
      <c r="CJ8">
        <v>2.6000000000000001</v>
      </c>
      <c r="CK8">
        <v>8.5399999999999991</v>
      </c>
      <c r="CL8">
        <v>0.13</v>
      </c>
      <c r="CZ8" t="e">
        <v>#VALUE!</v>
      </c>
      <c r="DA8" t="e">
        <v>#VALUE!</v>
      </c>
      <c r="DB8">
        <v>46105</v>
      </c>
    </row>
    <row r="9">
      <c r="A9" t="s">
        <v>38</v>
      </c>
      <c r="B9" t="s">
        <v>49</v>
      </c>
      <c r="C9" t="s">
        <v>50</v>
      </c>
      <c r="D9">
        <v>1</v>
      </c>
      <c r="E9">
        <v>0</v>
      </c>
      <c r="F9">
        <v>197</v>
      </c>
      <c r="G9" t="s">
        <v>51</v>
      </c>
      <c r="H9">
        <v>1461</v>
      </c>
      <c r="I9" t="s">
        <v>31</v>
      </c>
      <c r="J9">
        <v>197</v>
      </c>
      <c r="K9" t="s">
        <v>51</v>
      </c>
      <c r="L9" t="s">
        <v>52</v>
      </c>
      <c r="M9">
        <v>137</v>
      </c>
      <c r="N9" t="s">
        <v>51</v>
      </c>
      <c r="O9" t="s">
        <v>52</v>
      </c>
      <c r="P9" t="s">
        <v>33</v>
      </c>
      <c r="Q9">
        <v>137</v>
      </c>
      <c r="R9" t="s">
        <v>51</v>
      </c>
      <c r="S9" t="s">
        <v>52</v>
      </c>
      <c r="T9" t="s">
        <v>53</v>
      </c>
      <c r="U9">
        <v>119.79310344827583</v>
      </c>
      <c r="V9">
        <v>28.788098211717383</v>
      </c>
      <c r="W9">
        <v>143.46354166666666</v>
      </c>
      <c r="X9">
        <v>3.23</v>
      </c>
      <c r="Y9">
        <v>19.25</v>
      </c>
      <c r="Z9">
        <v>0.46000000000000002</v>
      </c>
      <c r="AA9">
        <v>1.0800000000000001</v>
      </c>
      <c r="AB9">
        <v>51.109999999999999</v>
      </c>
      <c r="AC9">
        <v>1.6599999999999999</v>
      </c>
      <c r="AD9">
        <v>0</v>
      </c>
      <c r="AE9">
        <v>12.609999999999999</v>
      </c>
      <c r="AF9">
        <v>1.8999999999999999</v>
      </c>
      <c r="AG9">
        <v>0.27000000000000002</v>
      </c>
      <c r="AH9">
        <v>0.79000000000000004</v>
      </c>
      <c r="AI9">
        <v>0.27000000000000002</v>
      </c>
      <c r="AJ9">
        <v>20.98</v>
      </c>
      <c r="AK9">
        <v>0.10000000000000001</v>
      </c>
      <c r="AL9">
        <v>0.68000000000000005</v>
      </c>
      <c r="AM9">
        <v>0.93999999999999995</v>
      </c>
      <c r="AN9">
        <v>0.16</v>
      </c>
      <c r="AO9">
        <v>14.390000000000001</v>
      </c>
      <c r="AP9">
        <v>0.059999999999999998</v>
      </c>
      <c r="AQ9">
        <v>0.85999999999999999</v>
      </c>
      <c r="AR9">
        <v>0.75</v>
      </c>
      <c r="AS9">
        <v>0.46999999999999997</v>
      </c>
      <c r="AT9">
        <v>0.11</v>
      </c>
      <c r="AU9">
        <v>0.25</v>
      </c>
      <c r="AV9">
        <v>3.1200000000000001</v>
      </c>
      <c r="AW9">
        <v>1.6399999999999999</v>
      </c>
      <c r="AX9">
        <v>0.59999999999999998</v>
      </c>
      <c r="AY9">
        <v>0.58999999999999997</v>
      </c>
      <c r="AZ9">
        <v>0.27000000000000002</v>
      </c>
      <c r="BA9">
        <v>0.040000000000000001</v>
      </c>
      <c r="BB9">
        <v>0.20999999999999999</v>
      </c>
      <c r="BC9">
        <v>0.16</v>
      </c>
      <c r="BD9">
        <v>0.40999999999999998</v>
      </c>
      <c r="BE9">
        <v>0.13</v>
      </c>
      <c r="BF9">
        <v>0.01</v>
      </c>
      <c r="BG9">
        <v>0.17999999999999999</v>
      </c>
      <c r="BH9">
        <v>38.729999999999997</v>
      </c>
      <c r="BI9">
        <v>1.8799999999999999</v>
      </c>
      <c r="BJ9">
        <v>0.17000000000000001</v>
      </c>
      <c r="BK9">
        <v>0.02</v>
      </c>
      <c r="BM9">
        <v>0.10638297872340427</v>
      </c>
      <c r="BN9">
        <v>13.27</v>
      </c>
      <c r="BO9">
        <v>131.27000000000001</v>
      </c>
      <c r="BP9">
        <v>0.25</v>
      </c>
      <c r="BQ9">
        <v>0.35999999999999999</v>
      </c>
      <c r="BR9">
        <v>17.84</v>
      </c>
      <c r="BS9">
        <v>1.4299999999999999</v>
      </c>
      <c r="BT9">
        <v>0.23000000000000001</v>
      </c>
      <c r="BU9">
        <v>19.059999999999999</v>
      </c>
      <c r="BV9">
        <v>0.080000000000000002</v>
      </c>
      <c r="BW9">
        <v>2.1600000000000001</v>
      </c>
      <c r="BX9">
        <v>0.10000000000000001</v>
      </c>
      <c r="BY9">
        <v>24.210000000000001</v>
      </c>
      <c r="BZ9">
        <v>13.720000000000001</v>
      </c>
      <c r="CA9">
        <v>6.7199999999999998</v>
      </c>
      <c r="CB9">
        <v>0.89000000000000001</v>
      </c>
      <c r="CC9">
        <v>0.41999999999999998</v>
      </c>
      <c r="CD9">
        <v>0.01</v>
      </c>
      <c r="CE9">
        <v>0.050000000000000003</v>
      </c>
      <c r="CF9">
        <v>0.32000000000000001</v>
      </c>
      <c r="CG9">
        <v>0.26000000000000001</v>
      </c>
      <c r="CH9">
        <v>0.050000000000000003</v>
      </c>
      <c r="CI9">
        <v>4.6500000000000004</v>
      </c>
      <c r="CJ9">
        <v>1.4099999999999999</v>
      </c>
      <c r="CK9">
        <v>11.539999999999999</v>
      </c>
      <c r="CL9">
        <v>0.070000000000000007</v>
      </c>
      <c r="CZ9" t="e">
        <v>#VALUE!</v>
      </c>
      <c r="DA9" t="e">
        <v>#VALUE!</v>
      </c>
      <c r="DB9">
        <v>46105</v>
      </c>
    </row>
    <row r="10">
      <c r="A10" t="s">
        <v>38</v>
      </c>
      <c r="B10" t="s">
        <v>54</v>
      </c>
      <c r="C10" t="s">
        <v>55</v>
      </c>
      <c r="D10">
        <v>2</v>
      </c>
      <c r="E10">
        <v>1</v>
      </c>
      <c r="F10">
        <v>293</v>
      </c>
      <c r="G10" t="s">
        <v>56</v>
      </c>
      <c r="H10">
        <v>1464</v>
      </c>
      <c r="I10" t="s">
        <v>31</v>
      </c>
      <c r="J10">
        <v>293</v>
      </c>
      <c r="K10" t="s">
        <v>56</v>
      </c>
      <c r="L10" t="s">
        <v>57</v>
      </c>
      <c r="M10">
        <v>203</v>
      </c>
      <c r="N10" t="s">
        <v>56</v>
      </c>
      <c r="O10" t="s">
        <v>57</v>
      </c>
      <c r="P10" t="s">
        <v>33</v>
      </c>
      <c r="Q10">
        <v>203</v>
      </c>
      <c r="R10" t="s">
        <v>56</v>
      </c>
      <c r="S10" t="s">
        <v>57</v>
      </c>
      <c r="T10" t="s">
        <v>58</v>
      </c>
      <c r="U10">
        <v>136.89655172413794</v>
      </c>
      <c r="V10">
        <v>29.343827159397822</v>
      </c>
      <c r="W10">
        <v>152.03125</v>
      </c>
      <c r="X10">
        <v>5.7400000000000002</v>
      </c>
      <c r="Y10">
        <v>6.1799999999999997</v>
      </c>
      <c r="Z10">
        <v>0.25</v>
      </c>
      <c r="AA10">
        <v>2.4300000000000002</v>
      </c>
      <c r="AB10">
        <v>1.6399999999999999</v>
      </c>
      <c r="AC10">
        <v>1.6399999999999999</v>
      </c>
      <c r="AD10">
        <v>0.089999999999999997</v>
      </c>
      <c r="AE10">
        <v>12.619999999999999</v>
      </c>
      <c r="AF10">
        <v>0.98999999999999999</v>
      </c>
      <c r="AG10">
        <v>0.25</v>
      </c>
      <c r="AH10">
        <v>0.95999999999999996</v>
      </c>
      <c r="AI10">
        <v>0.52000000000000002</v>
      </c>
      <c r="AJ10">
        <v>91.900000000000006</v>
      </c>
      <c r="AK10">
        <v>0.10000000000000001</v>
      </c>
      <c r="AL10">
        <v>0.62</v>
      </c>
      <c r="AM10">
        <v>0.87</v>
      </c>
      <c r="AN10">
        <v>1.25</v>
      </c>
      <c r="AO10">
        <v>5.3899999999999997</v>
      </c>
      <c r="AP10">
        <v>0.059999999999999998</v>
      </c>
      <c r="AQ10">
        <v>2.1899999999999999</v>
      </c>
      <c r="AR10">
        <v>0.88</v>
      </c>
      <c r="AS10">
        <v>1.1000000000000001</v>
      </c>
      <c r="AT10">
        <v>0.26000000000000001</v>
      </c>
      <c r="AU10">
        <v>0.02</v>
      </c>
      <c r="AV10">
        <v>2.6899999999999999</v>
      </c>
      <c r="AW10">
        <v>1.48</v>
      </c>
      <c r="AX10">
        <v>0.60999999999999999</v>
      </c>
      <c r="AY10">
        <v>0.77000000000000002</v>
      </c>
      <c r="AZ10">
        <v>0.48999999999999999</v>
      </c>
      <c r="BA10">
        <v>0.02</v>
      </c>
      <c r="BB10">
        <v>0.10000000000000001</v>
      </c>
      <c r="BC10">
        <v>0.14000000000000001</v>
      </c>
      <c r="BD10">
        <v>0.66000000000000003</v>
      </c>
      <c r="BE10">
        <v>0.050000000000000003</v>
      </c>
      <c r="BF10">
        <v>0.02</v>
      </c>
      <c r="BG10">
        <v>0.20999999999999999</v>
      </c>
      <c r="BH10">
        <v>35.780000000000001</v>
      </c>
      <c r="BI10">
        <v>1.96</v>
      </c>
      <c r="BJ10">
        <v>0.10000000000000001</v>
      </c>
      <c r="BK10">
        <v>0.01</v>
      </c>
      <c r="BM10">
        <v>0.1149425287356322</v>
      </c>
      <c r="BN10">
        <v>11.59</v>
      </c>
      <c r="BO10">
        <v>264.42000000000002</v>
      </c>
      <c r="BP10">
        <v>0.26000000000000001</v>
      </c>
      <c r="BQ10">
        <v>0.66000000000000003</v>
      </c>
      <c r="BR10">
        <v>19.140000000000001</v>
      </c>
      <c r="BS10">
        <v>0.83999999999999997</v>
      </c>
      <c r="BT10">
        <v>2.6600000000000001</v>
      </c>
      <c r="BU10">
        <v>7.6500000000000004</v>
      </c>
      <c r="BV10">
        <v>0.089999999999999997</v>
      </c>
      <c r="BW10">
        <v>0.82999999999999996</v>
      </c>
      <c r="BX10">
        <v>0.20999999999999999</v>
      </c>
      <c r="BY10">
        <v>31.780000000000001</v>
      </c>
      <c r="BZ10">
        <v>18.129999999999999</v>
      </c>
      <c r="CA10">
        <v>10.33</v>
      </c>
      <c r="CB10">
        <v>3.0800000000000001</v>
      </c>
      <c r="CC10">
        <v>0.47999999999999998</v>
      </c>
      <c r="CD10">
        <v>0.050000000000000003</v>
      </c>
      <c r="CE10">
        <v>0.040000000000000001</v>
      </c>
      <c r="CF10">
        <v>0.45000000000000001</v>
      </c>
      <c r="CG10">
        <v>0.080000000000000002</v>
      </c>
      <c r="CH10">
        <v>0.080000000000000002</v>
      </c>
      <c r="CI10">
        <v>11.83</v>
      </c>
      <c r="CJ10">
        <v>1.3799999999999999</v>
      </c>
      <c r="CK10">
        <v>9.0999999999999996</v>
      </c>
      <c r="CL10">
        <v>0.080000000000000002</v>
      </c>
      <c r="CZ10" t="e">
        <v>#VALUE!</v>
      </c>
      <c r="DA10" t="e">
        <v>#VALUE!</v>
      </c>
      <c r="DB10">
        <v>46105</v>
      </c>
    </row>
  </sheetData>
  <mergeCells count="4">
    <mergeCell ref="F2:I3"/>
    <mergeCell ref="J2:L3"/>
    <mergeCell ref="M2:P3"/>
    <mergeCell ref="Q2:S3"/>
  </mergeCells>
</worksheet>
</file>

<file path=xl/worksheets/sheet2.xml><?xml version="1.0" encoding="utf-8"?>
<worksheet xmlns:r="http://schemas.openxmlformats.org/officeDocument/2006/relationships" xmlns="http://schemas.openxmlformats.org/spreadsheetml/2006/main">
  <sheetPr codeName="Foglio2"/>
  <sheetViews>
    <sheetView zoomScale="80" zoomScaleNormal="80" workbookViewId="0">
      <pane activePane="topRight" state="frozen" topLeftCell="J1" xSplit="1"/>
      <selection pane="topRight" activeCell="R26" sqref="R26"/>
    </sheetView>
  </sheetViews>
  <sheetFormatPr defaultRowHeight="14.4"/>
  <cols>
    <col min="19" max="19" width="8.886719" customWidth="1"/>
    <col min="20" max="20" width="7.664063" customWidth="1"/>
    <col min="21" max="21" width="28.66406" customWidth="1"/>
    <col min="22" max="22" width="3" bestFit="1" customWidth="1"/>
    <col min="23" max="23" width="29" bestFit="1" customWidth="1"/>
    <col min="25" max="25" width="32.10938" bestFit="1" customWidth="1"/>
    <col min="26" max="26" width="3" bestFit="1" customWidth="1"/>
    <col min="27" max="27" width="21.88672" bestFit="1" customWidth="1"/>
  </cols>
  <sheetData>
    <row r="1" ht="15">
      <c r="A1" t="s">
        <v>59</v>
      </c>
      <c r="D1" t="s">
        <v>60</v>
      </c>
      <c r="F1" t="str">
        <f>MID(A1,3,40)</f>
        <v>39</v>
      </c>
      <c r="G1">
        <v>1</v>
      </c>
      <c r="I1" t="str">
        <f>MID(D1,4,40)</f>
        <v>21</v>
      </c>
      <c r="K1" t="s">
        <v>61</v>
      </c>
      <c r="L1">
        <f>+K1*1</f>
        <v>39</v>
      </c>
      <c r="O1" t="s">
        <v>62</v>
      </c>
      <c r="P1">
        <v>1</v>
      </c>
      <c r="Q1" s="27" t="s">
        <v>63</v>
      </c>
      <c r="R1" t="s">
        <v>64</v>
      </c>
      <c r="U1" t="s">
        <v>65</v>
      </c>
      <c r="V1">
        <v>1</v>
      </c>
      <c r="W1" t="s">
        <v>66</v>
      </c>
      <c r="X1">
        <v>19</v>
      </c>
      <c r="Y1" t="s">
        <v>67</v>
      </c>
      <c r="Z1">
        <v>37</v>
      </c>
      <c r="AA1" t="s">
        <v>68</v>
      </c>
    </row>
    <row r="2" ht="15">
      <c r="A2" t="s">
        <v>69</v>
      </c>
      <c r="D2" t="s">
        <v>70</v>
      </c>
      <c r="F2" t="str">
        <f t="shared" ref="F2:F9" si="0">MID(A2,3,40)</f>
        <v>49</v>
      </c>
      <c r="G2">
        <v>2</v>
      </c>
      <c r="I2" t="str">
        <f t="shared" ref="I2:I9" si="1">MID(D2,4,40)</f>
        <v>26</v>
      </c>
      <c r="K2" t="s">
        <v>71</v>
      </c>
      <c r="L2">
        <f t="shared" ref="L2:L64" si="2">+K2*1</f>
        <v>49</v>
      </c>
      <c r="O2" t="s">
        <v>62</v>
      </c>
      <c r="P2">
        <v>2</v>
      </c>
      <c r="Q2" s="27" t="s">
        <v>63</v>
      </c>
      <c r="R2" t="s">
        <v>72</v>
      </c>
      <c r="U2" t="s">
        <v>73</v>
      </c>
      <c r="V2">
        <v>2</v>
      </c>
      <c r="W2" t="s">
        <v>74</v>
      </c>
      <c r="X2">
        <v>8</v>
      </c>
      <c r="Y2" t="s">
        <v>75</v>
      </c>
      <c r="Z2">
        <v>38</v>
      </c>
      <c r="AA2" t="s">
        <v>76</v>
      </c>
    </row>
    <row r="3" ht="15">
      <c r="A3" t="s">
        <v>77</v>
      </c>
      <c r="D3" t="s">
        <v>78</v>
      </c>
      <c r="F3" t="str">
        <f t="shared" si="0"/>
        <v>42</v>
      </c>
      <c r="G3">
        <v>3</v>
      </c>
      <c r="I3" t="str">
        <f t="shared" si="1"/>
        <v>31</v>
      </c>
      <c r="K3" t="s">
        <v>79</v>
      </c>
      <c r="L3">
        <f t="shared" si="2"/>
        <v>42</v>
      </c>
      <c r="O3" t="s">
        <v>62</v>
      </c>
      <c r="P3">
        <v>3</v>
      </c>
      <c r="Q3" s="27" t="s">
        <v>63</v>
      </c>
      <c r="R3" t="s">
        <v>80</v>
      </c>
      <c r="U3" t="s">
        <v>81</v>
      </c>
      <c r="V3">
        <v>3</v>
      </c>
      <c r="W3" t="s">
        <v>82</v>
      </c>
      <c r="Y3" t="s">
        <v>83</v>
      </c>
      <c r="Z3">
        <v>39</v>
      </c>
      <c r="AA3" t="s">
        <v>84</v>
      </c>
    </row>
    <row r="4" ht="15">
      <c r="A4" t="s">
        <v>85</v>
      </c>
      <c r="D4" t="s">
        <v>86</v>
      </c>
      <c r="F4" t="str">
        <f t="shared" si="0"/>
        <v>50</v>
      </c>
      <c r="G4">
        <v>4</v>
      </c>
      <c r="I4" t="str">
        <f t="shared" si="1"/>
        <v>36</v>
      </c>
      <c r="K4" t="s">
        <v>87</v>
      </c>
      <c r="L4">
        <f t="shared" si="2"/>
        <v>50</v>
      </c>
      <c r="O4" t="s">
        <v>62</v>
      </c>
      <c r="P4">
        <v>4</v>
      </c>
      <c r="Q4" s="27" t="s">
        <v>63</v>
      </c>
      <c r="R4" t="s">
        <v>88</v>
      </c>
      <c r="U4" t="s">
        <v>89</v>
      </c>
      <c r="V4">
        <v>4</v>
      </c>
      <c r="W4" t="s">
        <v>90</v>
      </c>
      <c r="Y4" t="s">
        <v>91</v>
      </c>
      <c r="Z4">
        <v>40</v>
      </c>
      <c r="AA4" t="s">
        <v>92</v>
      </c>
    </row>
    <row r="5" ht="15">
      <c r="A5" t="s">
        <v>93</v>
      </c>
      <c r="D5" t="s">
        <v>94</v>
      </c>
      <c r="F5" t="str">
        <f t="shared" si="0"/>
        <v>17</v>
      </c>
      <c r="G5">
        <v>5</v>
      </c>
      <c r="I5" t="str">
        <f t="shared" si="1"/>
        <v>41</v>
      </c>
      <c r="K5" t="s">
        <v>95</v>
      </c>
      <c r="L5">
        <f t="shared" si="2"/>
        <v>17</v>
      </c>
      <c r="O5" t="s">
        <v>62</v>
      </c>
      <c r="P5">
        <v>5</v>
      </c>
      <c r="Q5" s="27" t="s">
        <v>63</v>
      </c>
      <c r="R5" t="s">
        <v>96</v>
      </c>
      <c r="T5">
        <v>17</v>
      </c>
      <c r="U5" t="s">
        <v>97</v>
      </c>
      <c r="V5">
        <v>5</v>
      </c>
      <c r="W5" t="s">
        <v>98</v>
      </c>
      <c r="X5">
        <v>26</v>
      </c>
      <c r="Y5" t="s">
        <v>99</v>
      </c>
      <c r="Z5">
        <v>41</v>
      </c>
      <c r="AA5" t="s">
        <v>100</v>
      </c>
    </row>
    <row r="6" ht="15">
      <c r="A6" t="s">
        <v>101</v>
      </c>
      <c r="D6" t="s">
        <v>102</v>
      </c>
      <c r="F6" t="str">
        <f t="shared" si="0"/>
        <v>3</v>
      </c>
      <c r="G6">
        <v>6</v>
      </c>
      <c r="I6" t="str">
        <f t="shared" si="1"/>
        <v>46</v>
      </c>
      <c r="K6" t="s">
        <v>103</v>
      </c>
      <c r="L6">
        <f t="shared" si="2"/>
        <v>3</v>
      </c>
      <c r="O6" t="s">
        <v>62</v>
      </c>
      <c r="P6">
        <v>6</v>
      </c>
      <c r="Q6" s="27" t="s">
        <v>63</v>
      </c>
      <c r="R6" t="s">
        <v>104</v>
      </c>
      <c r="T6">
        <v>3</v>
      </c>
      <c r="U6" t="s">
        <v>105</v>
      </c>
      <c r="V6">
        <v>6</v>
      </c>
      <c r="W6" t="s">
        <v>106</v>
      </c>
      <c r="X6">
        <v>13</v>
      </c>
      <c r="Y6" t="s">
        <v>107</v>
      </c>
      <c r="Z6">
        <v>42</v>
      </c>
      <c r="AA6" t="s">
        <v>108</v>
      </c>
    </row>
    <row r="7" ht="15">
      <c r="A7" t="s">
        <v>109</v>
      </c>
      <c r="D7" t="s">
        <v>110</v>
      </c>
      <c r="F7" t="str">
        <f t="shared" si="0"/>
        <v>41</v>
      </c>
      <c r="G7">
        <v>7</v>
      </c>
      <c r="I7" t="str">
        <f t="shared" si="1"/>
        <v>51</v>
      </c>
      <c r="K7" t="s">
        <v>111</v>
      </c>
      <c r="L7">
        <f t="shared" si="2"/>
        <v>41</v>
      </c>
      <c r="O7" t="s">
        <v>62</v>
      </c>
      <c r="P7">
        <v>7</v>
      </c>
      <c r="Q7" s="27" t="s">
        <v>63</v>
      </c>
      <c r="R7" t="s">
        <v>112</v>
      </c>
      <c r="U7" t="s">
        <v>113</v>
      </c>
      <c r="V7">
        <v>7</v>
      </c>
      <c r="W7" t="s">
        <v>114</v>
      </c>
      <c r="X7">
        <v>5</v>
      </c>
      <c r="Y7" t="s">
        <v>115</v>
      </c>
      <c r="Z7">
        <v>43</v>
      </c>
      <c r="AA7" t="s">
        <v>116</v>
      </c>
    </row>
    <row r="8" ht="15">
      <c r="A8" t="s">
        <v>117</v>
      </c>
      <c r="D8" t="s">
        <v>118</v>
      </c>
      <c r="F8" t="str">
        <f t="shared" si="0"/>
        <v>52</v>
      </c>
      <c r="G8">
        <v>8</v>
      </c>
      <c r="I8" t="str">
        <f t="shared" si="1"/>
        <v>59</v>
      </c>
      <c r="K8" t="s">
        <v>119</v>
      </c>
      <c r="L8">
        <f t="shared" si="2"/>
        <v>52</v>
      </c>
      <c r="O8" t="s">
        <v>62</v>
      </c>
      <c r="P8">
        <v>8</v>
      </c>
      <c r="Q8" s="27" t="s">
        <v>63</v>
      </c>
      <c r="R8" t="s">
        <v>120</v>
      </c>
      <c r="U8" t="s">
        <v>121</v>
      </c>
      <c r="V8">
        <v>8</v>
      </c>
      <c r="W8" t="s">
        <v>122</v>
      </c>
      <c r="Z8">
        <v>44</v>
      </c>
      <c r="AA8" t="s">
        <v>123</v>
      </c>
    </row>
    <row r="9" ht="15">
      <c r="A9" t="s">
        <v>124</v>
      </c>
      <c r="D9" t="s">
        <v>125</v>
      </c>
      <c r="F9" t="str">
        <f t="shared" si="0"/>
        <v>14</v>
      </c>
      <c r="G9">
        <v>9</v>
      </c>
      <c r="I9" t="str">
        <f t="shared" si="1"/>
        <v>68</v>
      </c>
      <c r="K9" t="s">
        <v>126</v>
      </c>
      <c r="L9">
        <f t="shared" si="2"/>
        <v>14</v>
      </c>
      <c r="O9" t="s">
        <v>62</v>
      </c>
      <c r="P9">
        <v>9</v>
      </c>
      <c r="Q9" s="27" t="s">
        <v>63</v>
      </c>
      <c r="R9" t="s">
        <v>127</v>
      </c>
      <c r="T9">
        <v>14</v>
      </c>
      <c r="U9" t="s">
        <v>128</v>
      </c>
      <c r="V9">
        <v>9</v>
      </c>
      <c r="W9" t="s">
        <v>129</v>
      </c>
      <c r="X9">
        <v>25</v>
      </c>
      <c r="Y9" t="s">
        <v>130</v>
      </c>
      <c r="Z9">
        <v>45</v>
      </c>
      <c r="AA9" t="s">
        <v>131</v>
      </c>
    </row>
    <row r="10" ht="15">
      <c r="A10" t="s">
        <v>132</v>
      </c>
      <c r="D10" t="s">
        <v>133</v>
      </c>
      <c r="F10" t="str">
        <f>MID(A10,4,40)</f>
        <v>16</v>
      </c>
      <c r="G10">
        <v>10</v>
      </c>
      <c r="I10" t="str">
        <f>MID(D10,5,40)</f>
        <v>73</v>
      </c>
      <c r="K10" t="s">
        <v>134</v>
      </c>
      <c r="L10">
        <f t="shared" si="2"/>
        <v>16</v>
      </c>
      <c r="O10" t="s">
        <v>62</v>
      </c>
      <c r="P10">
        <v>10</v>
      </c>
      <c r="Q10" s="27" t="s">
        <v>63</v>
      </c>
      <c r="R10" t="s">
        <v>135</v>
      </c>
      <c r="T10">
        <v>16</v>
      </c>
      <c r="U10" t="s">
        <v>136</v>
      </c>
      <c r="V10">
        <v>10</v>
      </c>
      <c r="W10" t="s">
        <v>137</v>
      </c>
      <c r="X10">
        <v>12</v>
      </c>
      <c r="Y10" t="s">
        <v>138</v>
      </c>
      <c r="Z10">
        <v>46</v>
      </c>
      <c r="AA10" t="s">
        <v>139</v>
      </c>
    </row>
    <row r="11" ht="15">
      <c r="A11" t="s">
        <v>140</v>
      </c>
      <c r="D11" t="s">
        <v>141</v>
      </c>
      <c r="F11" t="str">
        <f t="shared" ref="F11:F64" si="3">MID(A11,4,40)</f>
        <v>37</v>
      </c>
      <c r="G11">
        <v>11</v>
      </c>
      <c r="I11" t="str">
        <f t="shared" ref="I11:I64" si="4">MID(D11,5,40)</f>
        <v>78</v>
      </c>
      <c r="K11" t="s">
        <v>142</v>
      </c>
      <c r="L11">
        <f t="shared" si="2"/>
        <v>37</v>
      </c>
      <c r="O11" t="s">
        <v>62</v>
      </c>
      <c r="P11">
        <v>11</v>
      </c>
      <c r="Q11" s="27" t="s">
        <v>63</v>
      </c>
      <c r="R11" t="s">
        <v>143</v>
      </c>
      <c r="T11">
        <v>37</v>
      </c>
      <c r="U11" t="s">
        <v>144</v>
      </c>
      <c r="V11">
        <v>11</v>
      </c>
      <c r="W11" t="s">
        <v>144</v>
      </c>
      <c r="Z11">
        <v>47</v>
      </c>
      <c r="AA11" t="s">
        <v>145</v>
      </c>
    </row>
    <row r="12" ht="15">
      <c r="A12" t="s">
        <v>146</v>
      </c>
      <c r="D12" t="s">
        <v>147</v>
      </c>
      <c r="F12" t="str">
        <f t="shared" si="3"/>
        <v>59</v>
      </c>
      <c r="G12">
        <v>12</v>
      </c>
      <c r="I12" t="str">
        <f t="shared" si="4"/>
        <v>83</v>
      </c>
      <c r="K12" t="s">
        <v>148</v>
      </c>
      <c r="L12">
        <f t="shared" si="2"/>
        <v>59</v>
      </c>
      <c r="O12" t="s">
        <v>62</v>
      </c>
      <c r="P12">
        <v>12</v>
      </c>
      <c r="Q12" s="27" t="s">
        <v>63</v>
      </c>
      <c r="R12" t="s">
        <v>149</v>
      </c>
      <c r="U12" t="s">
        <v>150</v>
      </c>
      <c r="V12">
        <v>12</v>
      </c>
      <c r="W12" t="s">
        <v>151</v>
      </c>
      <c r="X12">
        <v>9</v>
      </c>
      <c r="Y12" t="s">
        <v>152</v>
      </c>
      <c r="Z12">
        <v>48</v>
      </c>
      <c r="AA12" t="s">
        <v>153</v>
      </c>
    </row>
    <row r="13" ht="15">
      <c r="A13" t="s">
        <v>154</v>
      </c>
      <c r="D13" t="s">
        <v>155</v>
      </c>
      <c r="F13" t="str">
        <f t="shared" si="3"/>
        <v>15</v>
      </c>
      <c r="G13">
        <v>13</v>
      </c>
      <c r="I13" t="str">
        <f t="shared" si="4"/>
        <v>90</v>
      </c>
      <c r="K13" t="s">
        <v>156</v>
      </c>
      <c r="L13">
        <f t="shared" si="2"/>
        <v>15</v>
      </c>
      <c r="O13" t="s">
        <v>62</v>
      </c>
      <c r="P13">
        <v>13</v>
      </c>
      <c r="Q13" s="27" t="s">
        <v>63</v>
      </c>
      <c r="R13" t="s">
        <v>157</v>
      </c>
      <c r="T13">
        <v>15</v>
      </c>
      <c r="U13" t="s">
        <v>158</v>
      </c>
      <c r="V13">
        <v>13</v>
      </c>
      <c r="W13" t="s">
        <v>159</v>
      </c>
      <c r="Y13" t="s">
        <v>160</v>
      </c>
      <c r="Z13">
        <v>49</v>
      </c>
      <c r="AA13" t="s">
        <v>160</v>
      </c>
    </row>
    <row r="14" ht="15">
      <c r="A14" t="s">
        <v>161</v>
      </c>
      <c r="D14" t="s">
        <v>162</v>
      </c>
      <c r="F14" t="str">
        <f t="shared" si="3"/>
        <v>54</v>
      </c>
      <c r="G14">
        <v>14</v>
      </c>
      <c r="I14" t="str">
        <f t="shared" si="4"/>
        <v>95</v>
      </c>
      <c r="K14" t="s">
        <v>163</v>
      </c>
      <c r="L14">
        <f t="shared" si="2"/>
        <v>54</v>
      </c>
      <c r="O14" t="s">
        <v>62</v>
      </c>
      <c r="P14">
        <v>14</v>
      </c>
      <c r="Q14" s="27" t="s">
        <v>63</v>
      </c>
      <c r="R14" t="s">
        <v>164</v>
      </c>
      <c r="U14" t="s">
        <v>165</v>
      </c>
      <c r="V14">
        <v>14</v>
      </c>
      <c r="W14" t="s">
        <v>166</v>
      </c>
      <c r="X14">
        <v>1</v>
      </c>
      <c r="Y14" t="s">
        <v>167</v>
      </c>
      <c r="Z14">
        <v>50</v>
      </c>
      <c r="AA14" t="s">
        <v>168</v>
      </c>
    </row>
    <row r="15" ht="15">
      <c r="A15" t="s">
        <v>169</v>
      </c>
      <c r="D15" t="s">
        <v>170</v>
      </c>
      <c r="F15" t="str">
        <f t="shared" si="3"/>
        <v>61</v>
      </c>
      <c r="G15">
        <v>15</v>
      </c>
      <c r="I15" t="str">
        <f t="shared" si="4"/>
        <v>100</v>
      </c>
      <c r="K15" t="s">
        <v>171</v>
      </c>
      <c r="L15">
        <f t="shared" si="2"/>
        <v>61</v>
      </c>
      <c r="O15" t="s">
        <v>62</v>
      </c>
      <c r="P15">
        <v>15</v>
      </c>
      <c r="Q15" s="27" t="s">
        <v>63</v>
      </c>
      <c r="R15" t="s">
        <v>172</v>
      </c>
      <c r="U15" t="s">
        <v>173</v>
      </c>
      <c r="V15">
        <v>15</v>
      </c>
      <c r="W15" t="s">
        <v>174</v>
      </c>
      <c r="X15">
        <v>29</v>
      </c>
      <c r="Y15" t="s">
        <v>175</v>
      </c>
      <c r="Z15">
        <v>51</v>
      </c>
      <c r="AA15" t="s">
        <v>176</v>
      </c>
    </row>
    <row r="16" ht="15">
      <c r="A16" t="s">
        <v>177</v>
      </c>
      <c r="D16" t="s">
        <v>178</v>
      </c>
      <c r="F16" t="str">
        <f t="shared" si="3"/>
        <v>23</v>
      </c>
      <c r="G16">
        <v>16</v>
      </c>
      <c r="I16" t="str">
        <f t="shared" si="4"/>
        <v>115</v>
      </c>
      <c r="K16" t="s">
        <v>179</v>
      </c>
      <c r="L16">
        <f t="shared" si="2"/>
        <v>23</v>
      </c>
      <c r="O16" t="s">
        <v>62</v>
      </c>
      <c r="P16">
        <v>16</v>
      </c>
      <c r="Q16" s="27" t="s">
        <v>63</v>
      </c>
      <c r="R16" t="s">
        <v>180</v>
      </c>
      <c r="T16">
        <v>23</v>
      </c>
      <c r="U16" t="s">
        <v>181</v>
      </c>
      <c r="V16">
        <v>16</v>
      </c>
      <c r="W16" t="s">
        <v>182</v>
      </c>
      <c r="Z16">
        <v>52</v>
      </c>
      <c r="AA16" t="s">
        <v>183</v>
      </c>
    </row>
    <row r="17" ht="15">
      <c r="A17" t="s">
        <v>184</v>
      </c>
      <c r="D17" t="s">
        <v>185</v>
      </c>
      <c r="F17" t="str">
        <f t="shared" si="3"/>
        <v>7</v>
      </c>
      <c r="G17">
        <v>17</v>
      </c>
      <c r="I17" t="str">
        <f t="shared" si="4"/>
        <v>120</v>
      </c>
      <c r="K17" t="s">
        <v>186</v>
      </c>
      <c r="L17">
        <f t="shared" si="2"/>
        <v>7</v>
      </c>
      <c r="O17" t="s">
        <v>62</v>
      </c>
      <c r="P17">
        <v>17</v>
      </c>
      <c r="Q17" s="27" t="s">
        <v>63</v>
      </c>
      <c r="R17" t="s">
        <v>111</v>
      </c>
      <c r="T17">
        <v>7</v>
      </c>
      <c r="U17" t="s">
        <v>187</v>
      </c>
      <c r="V17">
        <v>17</v>
      </c>
      <c r="W17" t="s">
        <v>188</v>
      </c>
      <c r="X17">
        <v>30</v>
      </c>
      <c r="Y17" t="s">
        <v>189</v>
      </c>
      <c r="Z17">
        <v>53</v>
      </c>
      <c r="AA17" t="s">
        <v>190</v>
      </c>
    </row>
    <row r="18" ht="15">
      <c r="A18" t="s">
        <v>191</v>
      </c>
      <c r="D18" t="s">
        <v>192</v>
      </c>
      <c r="F18" t="str">
        <f t="shared" si="3"/>
        <v>4</v>
      </c>
      <c r="G18">
        <v>18</v>
      </c>
      <c r="I18" t="str">
        <f t="shared" si="4"/>
        <v>125</v>
      </c>
      <c r="K18" t="s">
        <v>193</v>
      </c>
      <c r="L18">
        <f t="shared" si="2"/>
        <v>4</v>
      </c>
      <c r="O18" t="s">
        <v>62</v>
      </c>
      <c r="P18">
        <v>18</v>
      </c>
      <c r="Q18" s="27" t="s">
        <v>63</v>
      </c>
      <c r="R18" t="s">
        <v>194</v>
      </c>
      <c r="T18">
        <v>4</v>
      </c>
      <c r="U18" t="s">
        <v>195</v>
      </c>
      <c r="V18">
        <v>18</v>
      </c>
      <c r="W18" t="s">
        <v>196</v>
      </c>
      <c r="X18">
        <v>20</v>
      </c>
      <c r="Y18" t="s">
        <v>197</v>
      </c>
      <c r="Z18">
        <v>54</v>
      </c>
      <c r="AA18" t="s">
        <v>198</v>
      </c>
    </row>
    <row r="19" ht="15">
      <c r="A19" t="s">
        <v>199</v>
      </c>
      <c r="D19" t="s">
        <v>200</v>
      </c>
      <c r="F19" t="str">
        <f t="shared" si="3"/>
        <v>32</v>
      </c>
      <c r="G19">
        <v>19</v>
      </c>
      <c r="I19" t="str">
        <f t="shared" si="4"/>
        <v>130</v>
      </c>
      <c r="K19" t="s">
        <v>201</v>
      </c>
      <c r="L19">
        <f t="shared" si="2"/>
        <v>32</v>
      </c>
      <c r="O19" t="s">
        <v>62</v>
      </c>
      <c r="P19">
        <v>19</v>
      </c>
      <c r="Q19" s="27" t="s">
        <v>63</v>
      </c>
      <c r="R19" t="s">
        <v>202</v>
      </c>
      <c r="T19">
        <v>32</v>
      </c>
      <c r="U19" t="s">
        <v>203</v>
      </c>
      <c r="V19">
        <v>19</v>
      </c>
      <c r="W19" t="s">
        <v>204</v>
      </c>
      <c r="X19">
        <v>21</v>
      </c>
      <c r="Y19" t="s">
        <v>205</v>
      </c>
      <c r="Z19">
        <v>55</v>
      </c>
      <c r="AA19" t="s">
        <v>206</v>
      </c>
    </row>
    <row r="20" ht="15">
      <c r="A20" t="s">
        <v>207</v>
      </c>
      <c r="D20" t="s">
        <v>208</v>
      </c>
      <c r="F20" t="str">
        <f t="shared" si="3"/>
        <v>45</v>
      </c>
      <c r="G20">
        <v>20</v>
      </c>
      <c r="I20" t="str">
        <f t="shared" si="4"/>
        <v>135</v>
      </c>
      <c r="K20" t="s">
        <v>209</v>
      </c>
      <c r="L20">
        <f t="shared" si="2"/>
        <v>45</v>
      </c>
      <c r="O20" t="s">
        <v>62</v>
      </c>
      <c r="P20">
        <v>20</v>
      </c>
      <c r="Q20" s="27" t="s">
        <v>63</v>
      </c>
      <c r="R20" t="s">
        <v>210</v>
      </c>
      <c r="U20" t="s">
        <v>211</v>
      </c>
      <c r="V20">
        <v>20</v>
      </c>
      <c r="W20" t="s">
        <v>212</v>
      </c>
      <c r="X20">
        <v>6</v>
      </c>
      <c r="Y20" t="s">
        <v>213</v>
      </c>
      <c r="Z20">
        <v>56</v>
      </c>
      <c r="AA20" t="s">
        <v>214</v>
      </c>
    </row>
    <row r="21" ht="15">
      <c r="A21" t="s">
        <v>215</v>
      </c>
      <c r="D21" t="s">
        <v>216</v>
      </c>
      <c r="F21" t="str">
        <f t="shared" si="3"/>
        <v>31</v>
      </c>
      <c r="G21">
        <v>21</v>
      </c>
      <c r="I21" t="str">
        <f t="shared" si="4"/>
        <v>140</v>
      </c>
      <c r="K21" t="s">
        <v>217</v>
      </c>
      <c r="L21">
        <f t="shared" si="2"/>
        <v>31</v>
      </c>
      <c r="O21" t="s">
        <v>62</v>
      </c>
      <c r="P21">
        <v>21</v>
      </c>
      <c r="Q21" s="27" t="s">
        <v>63</v>
      </c>
      <c r="R21" t="s">
        <v>218</v>
      </c>
      <c r="T21">
        <v>31</v>
      </c>
      <c r="U21" t="s">
        <v>219</v>
      </c>
      <c r="V21">
        <v>21</v>
      </c>
      <c r="W21" t="s">
        <v>220</v>
      </c>
      <c r="Y21" t="s">
        <v>221</v>
      </c>
      <c r="Z21">
        <v>57</v>
      </c>
      <c r="AA21" t="s">
        <v>222</v>
      </c>
    </row>
    <row r="22" ht="15">
      <c r="A22" t="s">
        <v>223</v>
      </c>
      <c r="D22" t="s">
        <v>224</v>
      </c>
      <c r="F22" t="str">
        <f t="shared" si="3"/>
        <v>11</v>
      </c>
      <c r="G22">
        <v>22</v>
      </c>
      <c r="I22" t="str">
        <f t="shared" si="4"/>
        <v>145</v>
      </c>
      <c r="K22" t="s">
        <v>225</v>
      </c>
      <c r="L22">
        <f t="shared" si="2"/>
        <v>11</v>
      </c>
      <c r="O22" t="s">
        <v>62</v>
      </c>
      <c r="P22">
        <v>22</v>
      </c>
      <c r="Q22" s="27" t="s">
        <v>63</v>
      </c>
      <c r="R22" t="s">
        <v>226</v>
      </c>
      <c r="T22">
        <v>11</v>
      </c>
      <c r="U22" t="s">
        <v>227</v>
      </c>
      <c r="V22">
        <v>22</v>
      </c>
      <c r="W22" t="s">
        <v>228</v>
      </c>
      <c r="Y22" t="s">
        <v>229</v>
      </c>
      <c r="Z22">
        <v>58</v>
      </c>
      <c r="AA22" t="s">
        <v>230</v>
      </c>
    </row>
    <row r="23" ht="15">
      <c r="A23" t="s">
        <v>231</v>
      </c>
      <c r="D23" t="s">
        <v>232</v>
      </c>
      <c r="F23" t="str">
        <f t="shared" si="3"/>
        <v>55</v>
      </c>
      <c r="G23">
        <v>23</v>
      </c>
      <c r="I23" t="str">
        <f t="shared" si="4"/>
        <v>152</v>
      </c>
      <c r="K23" t="s">
        <v>233</v>
      </c>
      <c r="L23">
        <f t="shared" si="2"/>
        <v>55</v>
      </c>
      <c r="O23" t="s">
        <v>62</v>
      </c>
      <c r="P23">
        <v>23</v>
      </c>
      <c r="Q23" s="27" t="s">
        <v>63</v>
      </c>
      <c r="R23" t="s">
        <v>234</v>
      </c>
      <c r="U23" t="s">
        <v>235</v>
      </c>
      <c r="V23">
        <v>23</v>
      </c>
      <c r="W23" t="s">
        <v>236</v>
      </c>
      <c r="X23">
        <v>2</v>
      </c>
      <c r="Y23" t="s">
        <v>237</v>
      </c>
      <c r="Z23">
        <v>59</v>
      </c>
      <c r="AA23" t="s">
        <v>238</v>
      </c>
    </row>
    <row r="24" ht="15">
      <c r="A24" t="s">
        <v>239</v>
      </c>
      <c r="D24" t="s">
        <v>240</v>
      </c>
      <c r="F24" t="str">
        <f t="shared" si="3"/>
        <v>10</v>
      </c>
      <c r="G24">
        <v>24</v>
      </c>
      <c r="I24" t="str">
        <f t="shared" si="4"/>
        <v>157</v>
      </c>
      <c r="K24" t="s">
        <v>241</v>
      </c>
      <c r="L24">
        <f t="shared" si="2"/>
        <v>10</v>
      </c>
      <c r="O24" t="s">
        <v>62</v>
      </c>
      <c r="P24">
        <v>24</v>
      </c>
      <c r="Q24" s="27" t="s">
        <v>63</v>
      </c>
      <c r="R24" t="s">
        <v>242</v>
      </c>
      <c r="T24">
        <v>10</v>
      </c>
      <c r="U24" t="s">
        <v>243</v>
      </c>
      <c r="V24">
        <v>24</v>
      </c>
      <c r="W24" t="s">
        <v>244</v>
      </c>
      <c r="X24">
        <v>33</v>
      </c>
      <c r="Y24" t="s">
        <v>245</v>
      </c>
      <c r="Z24">
        <v>60</v>
      </c>
      <c r="AA24" t="s">
        <v>246</v>
      </c>
    </row>
    <row r="25" ht="15">
      <c r="A25" t="s">
        <v>247</v>
      </c>
      <c r="D25" t="s">
        <v>248</v>
      </c>
      <c r="F25" t="str">
        <f t="shared" si="3"/>
        <v>35</v>
      </c>
      <c r="G25">
        <v>25</v>
      </c>
      <c r="I25" t="str">
        <f t="shared" si="4"/>
        <v>162</v>
      </c>
      <c r="K25" t="s">
        <v>249</v>
      </c>
      <c r="L25">
        <f t="shared" si="2"/>
        <v>35</v>
      </c>
      <c r="O25" t="s">
        <v>62</v>
      </c>
      <c r="P25">
        <v>25</v>
      </c>
      <c r="Q25" s="27" t="s">
        <v>63</v>
      </c>
      <c r="R25" t="s">
        <v>250</v>
      </c>
      <c r="T25">
        <v>35</v>
      </c>
      <c r="U25" t="s">
        <v>251</v>
      </c>
      <c r="V25">
        <v>25</v>
      </c>
      <c r="W25" t="s">
        <v>252</v>
      </c>
      <c r="Y25" t="s">
        <v>253</v>
      </c>
      <c r="Z25">
        <v>61</v>
      </c>
      <c r="AA25" t="s">
        <v>254</v>
      </c>
    </row>
    <row r="26" ht="15">
      <c r="A26" t="s">
        <v>255</v>
      </c>
      <c r="D26" t="s">
        <v>256</v>
      </c>
      <c r="F26" t="str">
        <f t="shared" si="3"/>
        <v>24</v>
      </c>
      <c r="G26">
        <v>26</v>
      </c>
      <c r="I26" t="str">
        <f t="shared" si="4"/>
        <v>167</v>
      </c>
      <c r="K26" t="s">
        <v>257</v>
      </c>
      <c r="L26">
        <f t="shared" si="2"/>
        <v>24</v>
      </c>
      <c r="O26" t="s">
        <v>62</v>
      </c>
      <c r="P26">
        <v>26</v>
      </c>
      <c r="Q26" s="27" t="s">
        <v>63</v>
      </c>
      <c r="R26" t="s">
        <v>258</v>
      </c>
      <c r="T26">
        <v>24</v>
      </c>
      <c r="U26" t="s">
        <v>259</v>
      </c>
      <c r="V26">
        <v>26</v>
      </c>
      <c r="W26" t="s">
        <v>260</v>
      </c>
      <c r="X26">
        <v>18</v>
      </c>
      <c r="Y26" t="s">
        <v>261</v>
      </c>
      <c r="Z26">
        <v>62</v>
      </c>
      <c r="AA26" t="s">
        <v>262</v>
      </c>
    </row>
    <row r="27" ht="15">
      <c r="A27" t="s">
        <v>263</v>
      </c>
      <c r="D27" t="s">
        <v>264</v>
      </c>
      <c r="F27" t="str">
        <f t="shared" si="3"/>
        <v>22</v>
      </c>
      <c r="G27">
        <v>27</v>
      </c>
      <c r="I27" t="str">
        <f t="shared" si="4"/>
        <v>172</v>
      </c>
      <c r="K27" t="s">
        <v>265</v>
      </c>
      <c r="L27">
        <f t="shared" si="2"/>
        <v>22</v>
      </c>
      <c r="O27" t="s">
        <v>62</v>
      </c>
      <c r="P27">
        <v>27</v>
      </c>
      <c r="Q27" s="27" t="s">
        <v>63</v>
      </c>
      <c r="R27" t="s">
        <v>266</v>
      </c>
      <c r="T27">
        <v>22</v>
      </c>
      <c r="U27" t="s">
        <v>267</v>
      </c>
      <c r="V27">
        <v>27</v>
      </c>
      <c r="W27" t="s">
        <v>268</v>
      </c>
      <c r="Z27">
        <v>63</v>
      </c>
      <c r="AA27" t="s">
        <v>269</v>
      </c>
    </row>
    <row r="28" ht="15">
      <c r="A28" t="s">
        <v>270</v>
      </c>
      <c r="D28" t="s">
        <v>271</v>
      </c>
      <c r="F28" t="str">
        <f t="shared" si="3"/>
        <v>40</v>
      </c>
      <c r="G28">
        <v>28</v>
      </c>
      <c r="I28" t="str">
        <f t="shared" si="4"/>
        <v>177</v>
      </c>
      <c r="K28" t="s">
        <v>272</v>
      </c>
      <c r="L28">
        <f t="shared" si="2"/>
        <v>40</v>
      </c>
      <c r="O28" t="s">
        <v>62</v>
      </c>
      <c r="P28">
        <v>28</v>
      </c>
      <c r="Q28" s="27" t="s">
        <v>63</v>
      </c>
      <c r="R28" t="s">
        <v>273</v>
      </c>
      <c r="U28" t="s">
        <v>274</v>
      </c>
      <c r="V28">
        <v>28</v>
      </c>
      <c r="W28" t="s">
        <v>275</v>
      </c>
      <c r="Z28">
        <v>64</v>
      </c>
      <c r="AA28" t="s">
        <v>276</v>
      </c>
    </row>
    <row r="29" ht="15">
      <c r="A29" t="s">
        <v>277</v>
      </c>
      <c r="D29" t="s">
        <v>278</v>
      </c>
      <c r="F29" t="str">
        <f t="shared" si="3"/>
        <v>48</v>
      </c>
      <c r="G29">
        <v>29</v>
      </c>
      <c r="I29" t="str">
        <f t="shared" si="4"/>
        <v>182</v>
      </c>
      <c r="K29" t="s">
        <v>279</v>
      </c>
      <c r="L29">
        <f t="shared" si="2"/>
        <v>48</v>
      </c>
      <c r="O29" t="s">
        <v>62</v>
      </c>
      <c r="P29">
        <v>29</v>
      </c>
      <c r="Q29" s="27" t="s">
        <v>63</v>
      </c>
      <c r="R29" t="s">
        <v>280</v>
      </c>
      <c r="U29" t="s">
        <v>281</v>
      </c>
      <c r="V29">
        <v>29</v>
      </c>
      <c r="W29" t="s">
        <v>282</v>
      </c>
    </row>
    <row r="30" ht="15">
      <c r="A30" t="s">
        <v>283</v>
      </c>
      <c r="D30" t="s">
        <v>284</v>
      </c>
      <c r="F30" t="str">
        <f t="shared" si="3"/>
        <v>34</v>
      </c>
      <c r="G30">
        <v>30</v>
      </c>
      <c r="I30" t="str">
        <f t="shared" si="4"/>
        <v>187</v>
      </c>
      <c r="K30" t="s">
        <v>285</v>
      </c>
      <c r="L30">
        <f t="shared" si="2"/>
        <v>34</v>
      </c>
      <c r="O30" t="s">
        <v>62</v>
      </c>
      <c r="P30">
        <v>30</v>
      </c>
      <c r="Q30" s="27" t="s">
        <v>63</v>
      </c>
      <c r="R30" t="s">
        <v>286</v>
      </c>
      <c r="T30">
        <v>34</v>
      </c>
      <c r="U30" t="s">
        <v>287</v>
      </c>
      <c r="V30">
        <v>30</v>
      </c>
      <c r="W30" t="s">
        <v>288</v>
      </c>
    </row>
    <row r="31" ht="15">
      <c r="A31" t="s">
        <v>289</v>
      </c>
      <c r="D31" t="s">
        <v>290</v>
      </c>
      <c r="F31" t="str">
        <f t="shared" si="3"/>
        <v>57</v>
      </c>
      <c r="G31">
        <v>31</v>
      </c>
      <c r="I31" t="str">
        <f t="shared" si="4"/>
        <v>195</v>
      </c>
      <c r="K31" t="s">
        <v>291</v>
      </c>
      <c r="L31">
        <f t="shared" si="2"/>
        <v>57</v>
      </c>
      <c r="O31" t="s">
        <v>62</v>
      </c>
      <c r="P31">
        <v>31</v>
      </c>
      <c r="Q31" s="27" t="s">
        <v>63</v>
      </c>
      <c r="R31" t="s">
        <v>292</v>
      </c>
      <c r="U31" t="s">
        <v>293</v>
      </c>
      <c r="V31">
        <v>31</v>
      </c>
      <c r="W31" t="s">
        <v>293</v>
      </c>
    </row>
    <row r="32" ht="15">
      <c r="A32" t="s">
        <v>294</v>
      </c>
      <c r="D32" t="s">
        <v>295</v>
      </c>
      <c r="F32" t="str">
        <f t="shared" si="3"/>
        <v>56</v>
      </c>
      <c r="G32">
        <v>32</v>
      </c>
      <c r="I32" t="str">
        <f t="shared" si="4"/>
        <v>200</v>
      </c>
      <c r="K32" t="s">
        <v>296</v>
      </c>
      <c r="L32">
        <f t="shared" si="2"/>
        <v>56</v>
      </c>
      <c r="O32" t="s">
        <v>62</v>
      </c>
      <c r="P32">
        <v>32</v>
      </c>
      <c r="Q32" s="27" t="s">
        <v>63</v>
      </c>
      <c r="R32" t="s">
        <v>297</v>
      </c>
      <c r="U32" t="s">
        <v>298</v>
      </c>
      <c r="V32">
        <v>32</v>
      </c>
      <c r="W32" t="s">
        <v>298</v>
      </c>
    </row>
    <row r="33" ht="15">
      <c r="A33" t="s">
        <v>299</v>
      </c>
      <c r="D33" t="s">
        <v>300</v>
      </c>
      <c r="F33" t="str">
        <f t="shared" si="3"/>
        <v>43</v>
      </c>
      <c r="G33">
        <v>33</v>
      </c>
      <c r="I33" t="str">
        <f t="shared" si="4"/>
        <v>219</v>
      </c>
      <c r="K33" t="s">
        <v>301</v>
      </c>
      <c r="L33">
        <f t="shared" si="2"/>
        <v>43</v>
      </c>
      <c r="O33" t="s">
        <v>62</v>
      </c>
      <c r="P33">
        <v>33</v>
      </c>
      <c r="Q33" s="27" t="s">
        <v>63</v>
      </c>
      <c r="R33" t="s">
        <v>302</v>
      </c>
      <c r="U33" t="s">
        <v>303</v>
      </c>
      <c r="V33">
        <v>33</v>
      </c>
      <c r="W33" t="s">
        <v>304</v>
      </c>
    </row>
    <row r="34" ht="15">
      <c r="A34" t="s">
        <v>305</v>
      </c>
      <c r="D34" t="s">
        <v>306</v>
      </c>
      <c r="F34" t="str">
        <f t="shared" si="3"/>
        <v>27</v>
      </c>
      <c r="G34">
        <v>34</v>
      </c>
      <c r="I34" t="str">
        <f t="shared" si="4"/>
        <v>224</v>
      </c>
      <c r="K34" t="s">
        <v>307</v>
      </c>
      <c r="L34">
        <f t="shared" si="2"/>
        <v>27</v>
      </c>
      <c r="O34" t="s">
        <v>62</v>
      </c>
      <c r="P34">
        <v>34</v>
      </c>
      <c r="Q34" s="27" t="s">
        <v>63</v>
      </c>
      <c r="R34" t="s">
        <v>308</v>
      </c>
      <c r="T34">
        <v>27</v>
      </c>
      <c r="U34" t="s">
        <v>309</v>
      </c>
      <c r="V34">
        <v>34</v>
      </c>
      <c r="W34" t="s">
        <v>310</v>
      </c>
    </row>
    <row r="35" ht="15">
      <c r="A35" t="s">
        <v>311</v>
      </c>
      <c r="D35" t="s">
        <v>312</v>
      </c>
      <c r="F35" t="str">
        <f t="shared" si="3"/>
        <v>38</v>
      </c>
      <c r="G35">
        <v>35</v>
      </c>
      <c r="I35" t="str">
        <f t="shared" si="4"/>
        <v>229</v>
      </c>
      <c r="K35" t="s">
        <v>313</v>
      </c>
      <c r="L35">
        <f t="shared" si="2"/>
        <v>38</v>
      </c>
      <c r="O35" t="s">
        <v>62</v>
      </c>
      <c r="P35">
        <v>35</v>
      </c>
      <c r="Q35" s="27" t="s">
        <v>63</v>
      </c>
      <c r="R35" t="s">
        <v>314</v>
      </c>
      <c r="U35" t="s">
        <v>315</v>
      </c>
      <c r="V35">
        <v>35</v>
      </c>
      <c r="W35" t="s">
        <v>316</v>
      </c>
    </row>
    <row r="36" ht="15">
      <c r="A36" t="s">
        <v>317</v>
      </c>
      <c r="D36" t="s">
        <v>318</v>
      </c>
      <c r="F36" t="str">
        <f t="shared" si="3"/>
        <v>28</v>
      </c>
      <c r="G36">
        <v>36</v>
      </c>
      <c r="I36" t="str">
        <f t="shared" si="4"/>
        <v>234</v>
      </c>
      <c r="K36" t="s">
        <v>319</v>
      </c>
      <c r="L36">
        <f t="shared" si="2"/>
        <v>28</v>
      </c>
      <c r="O36" t="s">
        <v>62</v>
      </c>
      <c r="P36">
        <v>36</v>
      </c>
      <c r="Q36" s="27" t="s">
        <v>63</v>
      </c>
      <c r="R36" t="s">
        <v>320</v>
      </c>
      <c r="T36">
        <v>28</v>
      </c>
      <c r="U36" t="s">
        <v>321</v>
      </c>
      <c r="V36">
        <v>36</v>
      </c>
      <c r="W36" t="s">
        <v>322</v>
      </c>
    </row>
    <row r="37" ht="15">
      <c r="A37" t="s">
        <v>323</v>
      </c>
      <c r="D37" t="s">
        <v>324</v>
      </c>
      <c r="F37" t="str">
        <f t="shared" si="3"/>
        <v>19</v>
      </c>
      <c r="G37">
        <v>37</v>
      </c>
      <c r="I37" t="str">
        <f t="shared" si="4"/>
        <v>239</v>
      </c>
      <c r="K37" t="s">
        <v>325</v>
      </c>
      <c r="L37">
        <f t="shared" si="2"/>
        <v>19</v>
      </c>
      <c r="O37" t="s">
        <v>62</v>
      </c>
      <c r="P37">
        <v>37</v>
      </c>
      <c r="Q37" s="27" t="s">
        <v>63</v>
      </c>
      <c r="R37" t="s">
        <v>326</v>
      </c>
    </row>
    <row r="38" ht="15">
      <c r="A38" t="s">
        <v>327</v>
      </c>
      <c r="D38" t="s">
        <v>328</v>
      </c>
      <c r="F38" t="str">
        <f t="shared" si="3"/>
        <v>8</v>
      </c>
      <c r="G38">
        <v>38</v>
      </c>
      <c r="I38" t="str">
        <f t="shared" si="4"/>
        <v>244</v>
      </c>
      <c r="K38" t="s">
        <v>329</v>
      </c>
      <c r="L38">
        <f t="shared" si="2"/>
        <v>8</v>
      </c>
      <c r="O38" t="s">
        <v>62</v>
      </c>
      <c r="P38">
        <v>38</v>
      </c>
      <c r="Q38" s="27" t="s">
        <v>63</v>
      </c>
      <c r="R38" t="s">
        <v>330</v>
      </c>
    </row>
    <row r="39" ht="15">
      <c r="A39" t="s">
        <v>331</v>
      </c>
      <c r="D39" t="s">
        <v>332</v>
      </c>
      <c r="F39" t="str">
        <f t="shared" si="3"/>
        <v>51</v>
      </c>
      <c r="G39">
        <v>39</v>
      </c>
      <c r="I39" t="str">
        <f t="shared" si="4"/>
        <v>249</v>
      </c>
      <c r="K39" t="s">
        <v>333</v>
      </c>
      <c r="L39">
        <f t="shared" si="2"/>
        <v>51</v>
      </c>
      <c r="O39" t="s">
        <v>62</v>
      </c>
      <c r="P39">
        <v>39</v>
      </c>
      <c r="Q39" s="27" t="s">
        <v>63</v>
      </c>
      <c r="R39" t="s">
        <v>334</v>
      </c>
    </row>
    <row r="40" ht="15">
      <c r="A40" t="s">
        <v>335</v>
      </c>
      <c r="D40" t="s">
        <v>336</v>
      </c>
      <c r="F40" t="str">
        <f t="shared" si="3"/>
        <v>47</v>
      </c>
      <c r="G40">
        <v>40</v>
      </c>
      <c r="I40" t="str">
        <f t="shared" si="4"/>
        <v>254</v>
      </c>
      <c r="K40" t="s">
        <v>337</v>
      </c>
      <c r="L40">
        <f t="shared" si="2"/>
        <v>47</v>
      </c>
      <c r="O40" t="s">
        <v>62</v>
      </c>
      <c r="P40">
        <v>40</v>
      </c>
      <c r="Q40" s="27" t="s">
        <v>63</v>
      </c>
      <c r="R40" t="s">
        <v>338</v>
      </c>
    </row>
    <row r="41" ht="15">
      <c r="A41" t="s">
        <v>339</v>
      </c>
      <c r="D41" t="s">
        <v>340</v>
      </c>
      <c r="F41" t="str">
        <f t="shared" si="3"/>
        <v>26</v>
      </c>
      <c r="G41">
        <v>41</v>
      </c>
      <c r="I41" t="str">
        <f t="shared" si="4"/>
        <v>262</v>
      </c>
      <c r="K41" t="s">
        <v>341</v>
      </c>
      <c r="L41">
        <f t="shared" si="2"/>
        <v>26</v>
      </c>
      <c r="O41" t="s">
        <v>62</v>
      </c>
      <c r="P41">
        <v>41</v>
      </c>
      <c r="Q41" s="27" t="s">
        <v>63</v>
      </c>
      <c r="R41" t="s">
        <v>333</v>
      </c>
    </row>
    <row r="42" ht="15">
      <c r="A42" t="s">
        <v>342</v>
      </c>
      <c r="D42" t="s">
        <v>343</v>
      </c>
      <c r="F42" t="str">
        <f t="shared" si="3"/>
        <v>13</v>
      </c>
      <c r="G42">
        <v>42</v>
      </c>
      <c r="I42" t="str">
        <f t="shared" si="4"/>
        <v>267</v>
      </c>
      <c r="K42" t="s">
        <v>344</v>
      </c>
      <c r="L42">
        <f t="shared" si="2"/>
        <v>13</v>
      </c>
      <c r="O42" t="s">
        <v>62</v>
      </c>
      <c r="P42">
        <v>42</v>
      </c>
      <c r="Q42" s="27" t="s">
        <v>63</v>
      </c>
      <c r="R42" t="s">
        <v>217</v>
      </c>
    </row>
    <row r="43" ht="15">
      <c r="A43" t="s">
        <v>345</v>
      </c>
      <c r="D43" t="s">
        <v>346</v>
      </c>
      <c r="F43" t="str">
        <f t="shared" si="3"/>
        <v>5</v>
      </c>
      <c r="G43">
        <v>43</v>
      </c>
      <c r="I43" t="str">
        <f t="shared" si="4"/>
        <v>272</v>
      </c>
      <c r="K43" t="s">
        <v>347</v>
      </c>
      <c r="L43">
        <f t="shared" si="2"/>
        <v>5</v>
      </c>
      <c r="O43" t="s">
        <v>62</v>
      </c>
      <c r="P43">
        <v>43</v>
      </c>
      <c r="Q43" s="27" t="s">
        <v>63</v>
      </c>
      <c r="R43" t="s">
        <v>348</v>
      </c>
    </row>
    <row r="44" ht="15">
      <c r="A44" t="s">
        <v>349</v>
      </c>
      <c r="D44" t="s">
        <v>350</v>
      </c>
      <c r="F44" t="str">
        <f t="shared" si="3"/>
        <v>64</v>
      </c>
      <c r="G44">
        <v>44</v>
      </c>
      <c r="I44" t="str">
        <f t="shared" si="4"/>
        <v>277</v>
      </c>
      <c r="K44" t="s">
        <v>351</v>
      </c>
      <c r="L44">
        <f t="shared" si="2"/>
        <v>64</v>
      </c>
      <c r="O44" t="s">
        <v>62</v>
      </c>
      <c r="P44">
        <v>44</v>
      </c>
      <c r="Q44" s="27" t="s">
        <v>63</v>
      </c>
      <c r="R44" t="s">
        <v>352</v>
      </c>
    </row>
    <row r="45" ht="15">
      <c r="A45" t="s">
        <v>353</v>
      </c>
      <c r="D45" t="s">
        <v>354</v>
      </c>
      <c r="F45" t="str">
        <f t="shared" si="3"/>
        <v>25</v>
      </c>
      <c r="G45">
        <v>45</v>
      </c>
      <c r="I45" t="str">
        <f t="shared" si="4"/>
        <v>285</v>
      </c>
      <c r="K45" t="s">
        <v>355</v>
      </c>
      <c r="L45">
        <f t="shared" si="2"/>
        <v>25</v>
      </c>
      <c r="O45" t="s">
        <v>62</v>
      </c>
      <c r="P45">
        <v>45</v>
      </c>
      <c r="Q45" s="27" t="s">
        <v>63</v>
      </c>
      <c r="R45" t="s">
        <v>356</v>
      </c>
    </row>
    <row r="46" ht="15">
      <c r="A46" t="s">
        <v>357</v>
      </c>
      <c r="D46" t="s">
        <v>358</v>
      </c>
      <c r="F46" t="str">
        <f t="shared" si="3"/>
        <v>12</v>
      </c>
      <c r="G46">
        <v>46</v>
      </c>
      <c r="I46" t="str">
        <f t="shared" si="4"/>
        <v>290</v>
      </c>
      <c r="K46" t="s">
        <v>359</v>
      </c>
      <c r="L46">
        <f t="shared" si="2"/>
        <v>12</v>
      </c>
      <c r="O46" t="s">
        <v>62</v>
      </c>
      <c r="P46">
        <v>46</v>
      </c>
      <c r="Q46" s="27" t="s">
        <v>63</v>
      </c>
      <c r="R46" t="s">
        <v>360</v>
      </c>
    </row>
    <row r="47" ht="15">
      <c r="A47" t="s">
        <v>361</v>
      </c>
      <c r="D47" t="s">
        <v>362</v>
      </c>
      <c r="F47" t="str">
        <f t="shared" si="3"/>
        <v>53</v>
      </c>
      <c r="G47">
        <v>47</v>
      </c>
      <c r="I47" t="str">
        <f t="shared" si="4"/>
        <v>295</v>
      </c>
      <c r="K47" t="s">
        <v>363</v>
      </c>
      <c r="L47">
        <f t="shared" si="2"/>
        <v>53</v>
      </c>
      <c r="O47" t="s">
        <v>62</v>
      </c>
      <c r="P47">
        <v>47</v>
      </c>
      <c r="Q47" s="27" t="s">
        <v>63</v>
      </c>
      <c r="R47" t="s">
        <v>364</v>
      </c>
    </row>
    <row r="48" ht="15">
      <c r="A48" t="s">
        <v>365</v>
      </c>
      <c r="D48" t="s">
        <v>366</v>
      </c>
      <c r="F48" t="str">
        <f t="shared" si="3"/>
        <v>9</v>
      </c>
      <c r="G48">
        <v>48</v>
      </c>
      <c r="I48" t="str">
        <f t="shared" si="4"/>
        <v>300</v>
      </c>
      <c r="K48" t="s">
        <v>367</v>
      </c>
      <c r="L48">
        <f t="shared" si="2"/>
        <v>9</v>
      </c>
      <c r="O48" t="s">
        <v>62</v>
      </c>
      <c r="P48">
        <v>48</v>
      </c>
      <c r="Q48" s="27" t="s">
        <v>63</v>
      </c>
      <c r="R48" t="s">
        <v>368</v>
      </c>
    </row>
    <row r="49" ht="15">
      <c r="A49" t="s">
        <v>369</v>
      </c>
      <c r="D49" t="s">
        <v>370</v>
      </c>
      <c r="F49" t="str">
        <f t="shared" si="3"/>
        <v>60</v>
      </c>
      <c r="G49">
        <v>49</v>
      </c>
      <c r="I49" t="str">
        <f t="shared" si="4"/>
        <v>305</v>
      </c>
      <c r="K49" t="s">
        <v>371</v>
      </c>
      <c r="L49">
        <f t="shared" si="2"/>
        <v>60</v>
      </c>
      <c r="O49" t="s">
        <v>62</v>
      </c>
      <c r="P49">
        <v>49</v>
      </c>
      <c r="Q49" s="27" t="s">
        <v>63</v>
      </c>
      <c r="R49" t="s">
        <v>341</v>
      </c>
    </row>
    <row r="50" ht="15">
      <c r="A50" t="s">
        <v>372</v>
      </c>
      <c r="D50" t="s">
        <v>373</v>
      </c>
      <c r="F50" t="str">
        <f t="shared" si="3"/>
        <v>1</v>
      </c>
      <c r="G50">
        <v>50</v>
      </c>
      <c r="I50" t="str">
        <f t="shared" si="4"/>
        <v>321</v>
      </c>
      <c r="K50" t="s">
        <v>374</v>
      </c>
      <c r="L50">
        <f t="shared" si="2"/>
        <v>1</v>
      </c>
      <c r="O50" t="s">
        <v>62</v>
      </c>
      <c r="P50">
        <v>50</v>
      </c>
      <c r="Q50" s="27" t="s">
        <v>63</v>
      </c>
      <c r="R50" t="s">
        <v>375</v>
      </c>
    </row>
    <row r="51" ht="15">
      <c r="A51" t="s">
        <v>376</v>
      </c>
      <c r="D51" t="s">
        <v>377</v>
      </c>
      <c r="F51" t="str">
        <f t="shared" si="3"/>
        <v>29</v>
      </c>
      <c r="G51">
        <v>51</v>
      </c>
      <c r="I51" t="str">
        <f t="shared" si="4"/>
        <v>326</v>
      </c>
      <c r="K51" t="s">
        <v>378</v>
      </c>
      <c r="L51">
        <f t="shared" si="2"/>
        <v>29</v>
      </c>
      <c r="O51" t="s">
        <v>62</v>
      </c>
      <c r="P51">
        <v>51</v>
      </c>
      <c r="Q51" s="27" t="s">
        <v>63</v>
      </c>
      <c r="R51" t="s">
        <v>379</v>
      </c>
    </row>
    <row r="52" ht="15">
      <c r="A52" t="s">
        <v>380</v>
      </c>
      <c r="D52" t="s">
        <v>381</v>
      </c>
      <c r="F52" t="str">
        <f t="shared" si="3"/>
        <v>63</v>
      </c>
      <c r="G52">
        <v>52</v>
      </c>
      <c r="I52" t="str">
        <f t="shared" si="4"/>
        <v>331</v>
      </c>
      <c r="K52" t="s">
        <v>382</v>
      </c>
      <c r="L52">
        <f t="shared" si="2"/>
        <v>63</v>
      </c>
      <c r="O52" t="s">
        <v>62</v>
      </c>
      <c r="P52">
        <v>52</v>
      </c>
      <c r="Q52" s="27" t="s">
        <v>63</v>
      </c>
      <c r="R52" t="s">
        <v>148</v>
      </c>
    </row>
    <row r="53" ht="15">
      <c r="A53" t="s">
        <v>383</v>
      </c>
      <c r="D53" t="s">
        <v>384</v>
      </c>
      <c r="F53" t="str">
        <f t="shared" si="3"/>
        <v>30</v>
      </c>
      <c r="G53">
        <v>53</v>
      </c>
      <c r="I53" t="str">
        <f t="shared" si="4"/>
        <v>339</v>
      </c>
      <c r="K53" t="s">
        <v>385</v>
      </c>
      <c r="L53">
        <f t="shared" si="2"/>
        <v>30</v>
      </c>
      <c r="O53" t="s">
        <v>62</v>
      </c>
      <c r="P53">
        <v>53</v>
      </c>
      <c r="Q53" s="27" t="s">
        <v>63</v>
      </c>
      <c r="R53" t="s">
        <v>386</v>
      </c>
    </row>
    <row r="54" ht="15">
      <c r="A54" t="s">
        <v>387</v>
      </c>
      <c r="D54" t="s">
        <v>388</v>
      </c>
      <c r="F54" t="str">
        <f t="shared" si="3"/>
        <v>20</v>
      </c>
      <c r="G54">
        <v>54</v>
      </c>
      <c r="I54" t="str">
        <f t="shared" si="4"/>
        <v>344</v>
      </c>
      <c r="K54" t="s">
        <v>389</v>
      </c>
      <c r="L54">
        <f t="shared" si="2"/>
        <v>20</v>
      </c>
      <c r="O54" t="s">
        <v>62</v>
      </c>
      <c r="P54">
        <v>54</v>
      </c>
      <c r="Q54" s="27" t="s">
        <v>63</v>
      </c>
      <c r="R54" t="s">
        <v>390</v>
      </c>
    </row>
    <row r="55" ht="15">
      <c r="A55" t="s">
        <v>391</v>
      </c>
      <c r="D55" t="s">
        <v>392</v>
      </c>
      <c r="F55" t="str">
        <f t="shared" si="3"/>
        <v>21</v>
      </c>
      <c r="G55">
        <v>55</v>
      </c>
      <c r="I55" t="str">
        <f t="shared" si="4"/>
        <v>349</v>
      </c>
      <c r="K55" t="s">
        <v>334</v>
      </c>
      <c r="L55">
        <f t="shared" si="2"/>
        <v>21</v>
      </c>
      <c r="O55" t="s">
        <v>62</v>
      </c>
      <c r="P55">
        <v>55</v>
      </c>
      <c r="Q55" s="27" t="s">
        <v>63</v>
      </c>
      <c r="R55" t="s">
        <v>393</v>
      </c>
    </row>
    <row r="56" ht="15">
      <c r="A56" t="s">
        <v>394</v>
      </c>
      <c r="D56" t="s">
        <v>395</v>
      </c>
      <c r="F56" t="str">
        <f t="shared" si="3"/>
        <v>6</v>
      </c>
      <c r="G56">
        <v>56</v>
      </c>
      <c r="I56" t="str">
        <f t="shared" si="4"/>
        <v>354</v>
      </c>
      <c r="K56" t="s">
        <v>396</v>
      </c>
      <c r="L56">
        <f t="shared" si="2"/>
        <v>6</v>
      </c>
      <c r="O56" t="s">
        <v>62</v>
      </c>
      <c r="P56">
        <v>56</v>
      </c>
      <c r="Q56" s="27" t="s">
        <v>63</v>
      </c>
      <c r="R56" t="s">
        <v>397</v>
      </c>
    </row>
    <row r="57" ht="15">
      <c r="A57" t="s">
        <v>398</v>
      </c>
      <c r="D57" t="s">
        <v>399</v>
      </c>
      <c r="F57" t="str">
        <f t="shared" si="3"/>
        <v>36</v>
      </c>
      <c r="G57">
        <v>57</v>
      </c>
      <c r="I57" t="str">
        <f t="shared" si="4"/>
        <v>359</v>
      </c>
      <c r="K57" t="s">
        <v>375</v>
      </c>
      <c r="L57">
        <f t="shared" si="2"/>
        <v>36</v>
      </c>
      <c r="O57" t="s">
        <v>62</v>
      </c>
      <c r="P57">
        <v>57</v>
      </c>
      <c r="Q57" s="27" t="s">
        <v>63</v>
      </c>
      <c r="R57" t="s">
        <v>400</v>
      </c>
    </row>
    <row r="58" ht="15">
      <c r="A58" t="s">
        <v>401</v>
      </c>
      <c r="D58" t="s">
        <v>402</v>
      </c>
      <c r="F58" t="str">
        <f t="shared" si="3"/>
        <v>44</v>
      </c>
      <c r="G58">
        <v>58</v>
      </c>
      <c r="I58" t="str">
        <f t="shared" si="4"/>
        <v>367</v>
      </c>
      <c r="K58" t="s">
        <v>403</v>
      </c>
      <c r="L58">
        <f t="shared" si="2"/>
        <v>44</v>
      </c>
      <c r="O58" t="s">
        <v>62</v>
      </c>
      <c r="P58">
        <v>58</v>
      </c>
      <c r="Q58" s="27" t="s">
        <v>63</v>
      </c>
      <c r="R58" t="s">
        <v>404</v>
      </c>
    </row>
    <row r="59" ht="15">
      <c r="A59" t="s">
        <v>405</v>
      </c>
      <c r="D59" t="s">
        <v>406</v>
      </c>
      <c r="F59" t="str">
        <f t="shared" si="3"/>
        <v>2</v>
      </c>
      <c r="G59">
        <v>59</v>
      </c>
      <c r="I59" t="str">
        <f t="shared" si="4"/>
        <v>372</v>
      </c>
      <c r="K59" t="s">
        <v>407</v>
      </c>
      <c r="L59">
        <f t="shared" si="2"/>
        <v>2</v>
      </c>
      <c r="O59" t="s">
        <v>62</v>
      </c>
      <c r="P59">
        <v>59</v>
      </c>
      <c r="Q59" s="27" t="s">
        <v>63</v>
      </c>
      <c r="R59" t="s">
        <v>408</v>
      </c>
    </row>
    <row r="60" ht="15">
      <c r="A60" t="s">
        <v>409</v>
      </c>
      <c r="D60" t="s">
        <v>410</v>
      </c>
      <c r="F60" t="str">
        <f t="shared" si="3"/>
        <v>33</v>
      </c>
      <c r="G60">
        <v>60</v>
      </c>
      <c r="I60" t="str">
        <f t="shared" si="4"/>
        <v>382</v>
      </c>
      <c r="K60" t="s">
        <v>411</v>
      </c>
      <c r="L60">
        <f t="shared" si="2"/>
        <v>33</v>
      </c>
      <c r="O60" t="s">
        <v>62</v>
      </c>
      <c r="P60">
        <v>60</v>
      </c>
      <c r="Q60" s="27" t="s">
        <v>63</v>
      </c>
      <c r="R60" t="s">
        <v>412</v>
      </c>
    </row>
    <row r="61" ht="15">
      <c r="A61" t="s">
        <v>413</v>
      </c>
      <c r="D61" t="s">
        <v>414</v>
      </c>
      <c r="F61" t="str">
        <f t="shared" si="3"/>
        <v>46</v>
      </c>
      <c r="G61">
        <v>61</v>
      </c>
      <c r="I61" t="str">
        <f t="shared" si="4"/>
        <v>390</v>
      </c>
      <c r="K61" t="s">
        <v>80</v>
      </c>
      <c r="L61">
        <f t="shared" si="2"/>
        <v>46</v>
      </c>
    </row>
    <row r="62" ht="15">
      <c r="A62" t="s">
        <v>415</v>
      </c>
      <c r="D62" t="s">
        <v>416</v>
      </c>
      <c r="F62" t="str">
        <f t="shared" si="3"/>
        <v>18</v>
      </c>
      <c r="G62">
        <v>62</v>
      </c>
      <c r="I62" t="str">
        <f t="shared" si="4"/>
        <v>398</v>
      </c>
      <c r="K62" t="s">
        <v>417</v>
      </c>
      <c r="L62">
        <f t="shared" si="2"/>
        <v>18</v>
      </c>
      <c r="O62" t="s">
        <v>62</v>
      </c>
      <c r="P62">
        <v>61</v>
      </c>
      <c r="Q62" s="27" t="s">
        <v>63</v>
      </c>
      <c r="R62" t="s">
        <v>418</v>
      </c>
      <c r="S62" s="28" t="s">
        <v>145</v>
      </c>
    </row>
    <row r="63" ht="15">
      <c r="A63" t="s">
        <v>419</v>
      </c>
      <c r="D63" t="s">
        <v>420</v>
      </c>
      <c r="F63" t="str">
        <f t="shared" si="3"/>
        <v>58</v>
      </c>
      <c r="G63">
        <v>63</v>
      </c>
      <c r="I63" t="str">
        <f t="shared" si="4"/>
        <v>403</v>
      </c>
      <c r="K63" t="s">
        <v>421</v>
      </c>
      <c r="L63">
        <f t="shared" si="2"/>
        <v>58</v>
      </c>
      <c r="O63" t="s">
        <v>62</v>
      </c>
      <c r="P63">
        <v>62</v>
      </c>
      <c r="Q63" s="27" t="s">
        <v>63</v>
      </c>
      <c r="R63" t="s">
        <v>422</v>
      </c>
      <c r="S63" s="28" t="s">
        <v>276</v>
      </c>
    </row>
    <row r="64" ht="15">
      <c r="A64" t="s">
        <v>423</v>
      </c>
      <c r="D64" t="s">
        <v>424</v>
      </c>
      <c r="F64" t="str">
        <f t="shared" si="3"/>
        <v>62</v>
      </c>
      <c r="G64">
        <v>64</v>
      </c>
      <c r="I64" t="str">
        <f t="shared" si="4"/>
        <v>410</v>
      </c>
      <c r="K64" t="s">
        <v>425</v>
      </c>
      <c r="L64">
        <f t="shared" si="2"/>
        <v>62</v>
      </c>
      <c r="O64" t="s">
        <v>62</v>
      </c>
      <c r="P64">
        <v>63</v>
      </c>
      <c r="Q64" s="27" t="s">
        <v>63</v>
      </c>
      <c r="R64" t="s">
        <v>426</v>
      </c>
      <c r="S64" s="28" t="s">
        <v>183</v>
      </c>
    </row>
    <row r="65" ht="15">
      <c r="O65" t="s">
        <v>62</v>
      </c>
      <c r="P65">
        <v>64</v>
      </c>
      <c r="Q65" s="27" t="s">
        <v>63</v>
      </c>
      <c r="R65" t="s">
        <v>427</v>
      </c>
      <c r="S65" s="28" t="s">
        <v>123</v>
      </c>
    </row>
  </sheetData>
</worksheet>
</file>

<file path=docProps/app.xml><?xml version="1.0" encoding="utf-8"?>
<Properties xmlns="http://schemas.openxmlformats.org/officeDocument/2006/extended-properties">
  <Application>DevExpress Office File API/22.1.4.0</Application>
  <AppVersion>22.1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TheBonus</dc:creator>
  <cp:lastModifiedBy>Dario Uderzo</cp:lastModifiedBy>
  <dcterms:created xsi:type="dcterms:W3CDTF">2021-01-27T10:01:08Z</dcterms:created>
  <dcterms:modified xsi:type="dcterms:W3CDTF">2026-04-22T17:57:01Z</dcterms:modified>
</cp:coreProperties>
</file>