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TheBonus\Desktop\WP Valsambro\IGG\"/>
    </mc:Choice>
  </mc:AlternateContent>
  <xr:revisionPtr revIDLastSave="0" documentId="13_ncr:9_{0142FDE2-4578-403B-9FFF-EFB37A6D4934}" xr6:coauthVersionLast="47" xr6:coauthVersionMax="47" xr10:uidLastSave="{00000000-0000-0000-0000-000000000000}"/>
  <bookViews>
    <workbookView xWindow="5688" yWindow="0" windowWidth="17448" windowHeight="12336" activeTab="1" xr2:uid="{DDFDA452-88C8-44E3-A6A3-E4E1E70F0EE7}"/>
  </bookViews>
  <sheets>
    <sheet name="referto_IGG90" sheetId="1" r:id="rId1"/>
    <sheet name="Calcoli" sheetId="2" r:id="rId2"/>
  </sheets>
  <externalReferences>
    <externalReference r:id="rId3"/>
  </externalReferences>
  <calcPr calcId="0"/>
</workbook>
</file>

<file path=xl/calcChain.xml><?xml version="1.0" encoding="utf-8"?>
<calcChain xmlns="http://schemas.openxmlformats.org/spreadsheetml/2006/main">
  <c r="DF5" i="2" l="1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H5" i="2"/>
</calcChain>
</file>

<file path=xl/sharedStrings.xml><?xml version="1.0" encoding="utf-8"?>
<sst xmlns="http://schemas.openxmlformats.org/spreadsheetml/2006/main" count="208" uniqueCount="115">
  <si>
    <t>CE-146071</t>
  </si>
  <si>
    <t>CP-175117</t>
  </si>
  <si>
    <t xml:space="preserve">	1798</t>
  </si>
  <si>
    <t>Tiami 90 Val Sambro</t>
  </si>
  <si>
    <t>Cavallo</t>
  </si>
  <si>
    <t>Coniglio</t>
  </si>
  <si>
    <t>Maiale</t>
  </si>
  <si>
    <t>Ballacci Edoardo</t>
  </si>
  <si>
    <t>Manzo</t>
  </si>
  <si>
    <t>Pollo</t>
  </si>
  <si>
    <t>Tacchino</t>
  </si>
  <si>
    <t>Vitello</t>
  </si>
  <si>
    <t>Acciuga</t>
  </si>
  <si>
    <t>Branzino</t>
  </si>
  <si>
    <t>Gambero</t>
  </si>
  <si>
    <t>Merluzzo</t>
  </si>
  <si>
    <t>Orata</t>
  </si>
  <si>
    <t>Salmone</t>
  </si>
  <si>
    <t>Sogliola</t>
  </si>
  <si>
    <t>Tonno</t>
  </si>
  <si>
    <t>Trota</t>
  </si>
  <si>
    <t>Vongole</t>
  </si>
  <si>
    <t>Farro</t>
  </si>
  <si>
    <t>Grano duro</t>
  </si>
  <si>
    <t>Grano tenero</t>
  </si>
  <si>
    <t>Mais</t>
  </si>
  <si>
    <t>Orzo</t>
  </si>
  <si>
    <t>Riso</t>
  </si>
  <si>
    <t>Ceci</t>
  </si>
  <si>
    <t>Fagiolini</t>
  </si>
  <si>
    <t>Fagiolo</t>
  </si>
  <si>
    <t>Fava</t>
  </si>
  <si>
    <t>Piselli</t>
  </si>
  <si>
    <t>Soia</t>
  </si>
  <si>
    <t>Bietola</t>
  </si>
  <si>
    <t>Carciofo</t>
  </si>
  <si>
    <t>Carota</t>
  </si>
  <si>
    <t>Cavolfiore</t>
  </si>
  <si>
    <t>Cetriolo</t>
  </si>
  <si>
    <t>Cipolla</t>
  </si>
  <si>
    <t>Finocchio</t>
  </si>
  <si>
    <t>Lattuga</t>
  </si>
  <si>
    <t>Melanzana</t>
  </si>
  <si>
    <t>Oliva</t>
  </si>
  <si>
    <t>Patata</t>
  </si>
  <si>
    <t>Peperoni</t>
  </si>
  <si>
    <t>Pomodoro</t>
  </si>
  <si>
    <t>Spinaci</t>
  </si>
  <si>
    <t>Zucca</t>
  </si>
  <si>
    <t>Zucchina</t>
  </si>
  <si>
    <t>Gorgonzola</t>
  </si>
  <si>
    <t>Latte di capra</t>
  </si>
  <si>
    <t>Latte di mucca</t>
  </si>
  <si>
    <t>Latte di pecora</t>
  </si>
  <si>
    <t>Mozzarella</t>
  </si>
  <si>
    <t>Mozzarella bufala</t>
  </si>
  <si>
    <t>Parmigiano Reggiano</t>
  </si>
  <si>
    <t>Pecorino</t>
  </si>
  <si>
    <t>Ricotta</t>
  </si>
  <si>
    <t>Albicocca</t>
  </si>
  <si>
    <t>Ananas</t>
  </si>
  <si>
    <t>Arancia</t>
  </si>
  <si>
    <t>Banana</t>
  </si>
  <si>
    <t>Ciliegia</t>
  </si>
  <si>
    <t>Fragola</t>
  </si>
  <si>
    <t>Kiwi</t>
  </si>
  <si>
    <t>Limone</t>
  </si>
  <si>
    <t>Mandarino</t>
  </si>
  <si>
    <t>Melone</t>
  </si>
  <si>
    <t>Pera</t>
  </si>
  <si>
    <t>Pesca</t>
  </si>
  <si>
    <t>Arachidi</t>
  </si>
  <si>
    <t>Mandorla</t>
  </si>
  <si>
    <t>Nocciola</t>
  </si>
  <si>
    <t>Noce</t>
  </si>
  <si>
    <t>Basilico</t>
  </si>
  <si>
    <t>Origano</t>
  </si>
  <si>
    <t>Pepe nero</t>
  </si>
  <si>
    <t>Peperoncino</t>
  </si>
  <si>
    <t>Prezzemolo</t>
  </si>
  <si>
    <t>Rosmarino</t>
  </si>
  <si>
    <t>Vaniglia</t>
  </si>
  <si>
    <t>Aglio</t>
  </si>
  <si>
    <t>Cacao</t>
  </si>
  <si>
    <t>Caffè</t>
  </si>
  <si>
    <t>Funghi porcini</t>
  </si>
  <si>
    <t>Lievito di birra</t>
  </si>
  <si>
    <t>Malto d'orzo</t>
  </si>
  <si>
    <t>Miele</t>
  </si>
  <si>
    <t>Tè</t>
  </si>
  <si>
    <t>Uovo</t>
  </si>
  <si>
    <t>Aspergillus niger</t>
  </si>
  <si>
    <t>Candida albicans</t>
  </si>
  <si>
    <t>Mucor racemosus</t>
  </si>
  <si>
    <t>Penicillium notatum</t>
  </si>
  <si>
    <t>DATA_ACCETTAZIONE</t>
  </si>
  <si>
    <t>CODICE_ORDINE</t>
  </si>
  <si>
    <t>CODICE_FISCALE</t>
  </si>
  <si>
    <t>VARIABILE_POPOLAZIONE</t>
  </si>
  <si>
    <t>DISPONIBILE</t>
  </si>
  <si>
    <t>RIGA</t>
  </si>
  <si>
    <t>NOME</t>
  </si>
  <si>
    <t>NUMERO_ACCETTAZIONE</t>
  </si>
  <si>
    <t>DATA_REFERTAZIONE</t>
  </si>
  <si>
    <t>DATA ACCETTAZIONE</t>
  </si>
  <si>
    <t>CODICE D'ORDINE</t>
  </si>
  <si>
    <t>CODICE FISCALE</t>
  </si>
  <si>
    <t>VARIABILE POPOLAZIONE</t>
  </si>
  <si>
    <t>NUMERO ACCETTAZIONE</t>
  </si>
  <si>
    <t>DATA REFERTAZIONE</t>
  </si>
  <si>
    <t>25_4_2026</t>
  </si>
  <si>
    <t>AITA LEONE</t>
  </si>
  <si>
    <t>BFHSRCQRK</t>
  </si>
  <si>
    <t>TAILNE18A26L219C</t>
  </si>
  <si>
    <t>19_3_2025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</si>
</sst>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0"/>
      <color rgb="FF000000"/>
      <name val="Arial"/>
      <family val="2"/>
    </font>
    <font>
      <sz val="8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9A9A9A"/>
      </left>
      <right style="thin">
        <color rgb="FF9A9A9A"/>
      </right>
      <top style="thin">
        <color rgb="FF000000"/>
      </top>
      <bottom style="thin">
        <color rgb="FF9A9A9A"/>
      </bottom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medium">
        <color rgb="FF00000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</cellStyleXfs>
  <cellXfs count="11">
    <xf numFmtId="0" fontId="0" fillId="0" borderId="0" xfId="0"/>
    <xf numFmtId="14" fontId="0" fillId="0" borderId="0" xfId="0" applyNumberFormat="1"/>
    <xf numFmtId="0" fontId="20" fillId="0" borderId="10" xfId="42" applyFont="1" applyBorder="1" applyAlignment="1">
      <alignment horizontal="center"/>
    </xf>
    <xf numFmtId="0" fontId="20" fillId="0" borderId="11" xfId="42" applyFont="1" applyBorder="1" applyAlignment="1">
      <alignment horizontal="center"/>
    </xf>
    <xf numFmtId="0" fontId="21" fillId="0" borderId="12" xfId="42" applyFont="1" applyBorder="1" applyAlignment="1">
      <alignment horizontal="center"/>
    </xf>
    <xf numFmtId="0" fontId="21" fillId="0" borderId="10" xfId="42" applyFont="1" applyBorder="1" applyAlignment="1">
      <alignment horizontal="center"/>
    </xf>
    <xf numFmtId="0" fontId="22" fillId="0" borderId="13" xfId="42" applyFont="1" applyBorder="1"/>
    <xf numFmtId="0" fontId="22" fillId="0" borderId="14" xfId="42" applyFont="1" applyBorder="1"/>
    <xf numFmtId="0" fontId="22" fillId="0" borderId="15" xfId="42" applyFont="1" applyBorder="1"/>
    <xf numFmtId="0" fontId="23" fillId="0" borderId="0" xfId="0" applyFont="1"/>
    <xf numFmtId="0" fontId="23" fillId="0" borderId="0" xfId="0" applyFont="1" applyAlignment="1">
      <alignment horizontal="center"/>
    </xf>
  </cellXfs>
  <cellStyles count="43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rmale 2" xfId="42" xr:uid="{96E44BC6-1FAF-485C-8396-F373FA15C052}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1104900</xdr:colOff>
          <xdr:row>1</xdr:row>
          <xdr:rowOff>68580</xdr:rowOff>
        </xdr:from>
        <xdr:to>
          <xdr:col>2</xdr:col>
          <xdr:colOff>152400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C0EBF8D-AC6D-4BD6-AC96-C10C38B24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Compila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Compila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eBonus\Desktop\WP%20Valsambro\IGG\IGGINT_Matrice180.xlsm" TargetMode="External"/><Relationship Id="rId1" Type="http://schemas.openxmlformats.org/officeDocument/2006/relationships/externalLinkPath" Target="IGGINT_Matrice18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to_IGG180"/>
      <sheetName val="Calcoli"/>
      <sheetName val="Dati Grezzi"/>
    </sheetNames>
    <definedNames>
      <definedName name="compil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FAD5C-BDF1-4256-B3EC-714761E1E3BC}">
  <sheetPr codeName="Foglio1"/>
  <dimension ref="A1:E91"/>
  <sheetViews>
    <sheetView workbookViewId="0"/>
  </sheetViews>
  <sheetFormatPr defaultRowHeight="14.4" x14ac:dyDescent="0.3"/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s="1">
        <v>46120</v>
      </c>
    </row>
    <row r="2" spans="1:5" x14ac:dyDescent="0.3">
      <c r="A2" t="s">
        <v>4</v>
      </c>
      <c r="B2">
        <v>13</v>
      </c>
    </row>
    <row r="3" spans="1:5" x14ac:dyDescent="0.3">
      <c r="A3" t="s">
        <v>5</v>
      </c>
      <c r="B3">
        <v>0</v>
      </c>
    </row>
    <row r="4" spans="1:5" x14ac:dyDescent="0.3">
      <c r="A4" t="s">
        <v>6</v>
      </c>
      <c r="B4">
        <v>5</v>
      </c>
      <c r="D4" t="s">
        <v>7</v>
      </c>
    </row>
    <row r="5" spans="1:5" x14ac:dyDescent="0.3">
      <c r="A5" t="s">
        <v>8</v>
      </c>
      <c r="B5">
        <v>0</v>
      </c>
    </row>
    <row r="6" spans="1:5" x14ac:dyDescent="0.3">
      <c r="A6" t="s">
        <v>9</v>
      </c>
      <c r="B6">
        <v>0</v>
      </c>
    </row>
    <row r="7" spans="1:5" x14ac:dyDescent="0.3">
      <c r="A7" t="s">
        <v>10</v>
      </c>
      <c r="B7">
        <v>0</v>
      </c>
    </row>
    <row r="8" spans="1:5" x14ac:dyDescent="0.3">
      <c r="A8" t="s">
        <v>11</v>
      </c>
      <c r="B8">
        <v>0</v>
      </c>
    </row>
    <row r="9" spans="1:5" x14ac:dyDescent="0.3">
      <c r="A9" t="s">
        <v>12</v>
      </c>
      <c r="B9">
        <v>0</v>
      </c>
    </row>
    <row r="10" spans="1:5" x14ac:dyDescent="0.3">
      <c r="A10" t="s">
        <v>13</v>
      </c>
      <c r="B10">
        <v>0</v>
      </c>
    </row>
    <row r="11" spans="1:5" x14ac:dyDescent="0.3">
      <c r="A11" t="s">
        <v>14</v>
      </c>
      <c r="B11">
        <v>0</v>
      </c>
    </row>
    <row r="12" spans="1:5" x14ac:dyDescent="0.3">
      <c r="A12" t="s">
        <v>15</v>
      </c>
      <c r="B12">
        <v>0</v>
      </c>
    </row>
    <row r="13" spans="1:5" x14ac:dyDescent="0.3">
      <c r="A13" t="s">
        <v>16</v>
      </c>
      <c r="B13">
        <v>0</v>
      </c>
    </row>
    <row r="14" spans="1:5" x14ac:dyDescent="0.3">
      <c r="A14" t="s">
        <v>17</v>
      </c>
      <c r="B14">
        <v>0</v>
      </c>
    </row>
    <row r="15" spans="1:5" x14ac:dyDescent="0.3">
      <c r="A15" t="s">
        <v>18</v>
      </c>
      <c r="B15">
        <v>0</v>
      </c>
    </row>
    <row r="16" spans="1:5" x14ac:dyDescent="0.3">
      <c r="A16" t="s">
        <v>19</v>
      </c>
      <c r="B16">
        <v>8</v>
      </c>
    </row>
    <row r="17" spans="1:2" x14ac:dyDescent="0.3">
      <c r="A17" t="s">
        <v>20</v>
      </c>
      <c r="B17">
        <v>0</v>
      </c>
    </row>
    <row r="18" spans="1:2" x14ac:dyDescent="0.3">
      <c r="A18" t="s">
        <v>21</v>
      </c>
      <c r="B18">
        <v>0</v>
      </c>
    </row>
    <row r="19" spans="1:2" x14ac:dyDescent="0.3">
      <c r="A19" t="s">
        <v>22</v>
      </c>
      <c r="B19">
        <v>11</v>
      </c>
    </row>
    <row r="20" spans="1:2" x14ac:dyDescent="0.3">
      <c r="A20" t="s">
        <v>23</v>
      </c>
      <c r="B20">
        <v>21</v>
      </c>
    </row>
    <row r="21" spans="1:2" x14ac:dyDescent="0.3">
      <c r="A21" t="s">
        <v>24</v>
      </c>
      <c r="B21">
        <v>26</v>
      </c>
    </row>
    <row r="22" spans="1:2" x14ac:dyDescent="0.3">
      <c r="A22" t="s">
        <v>25</v>
      </c>
      <c r="B22">
        <v>6</v>
      </c>
    </row>
    <row r="23" spans="1:2" x14ac:dyDescent="0.3">
      <c r="A23" t="s">
        <v>26</v>
      </c>
      <c r="B23">
        <v>0</v>
      </c>
    </row>
    <row r="24" spans="1:2" x14ac:dyDescent="0.3">
      <c r="A24" t="s">
        <v>27</v>
      </c>
      <c r="B24">
        <v>14</v>
      </c>
    </row>
    <row r="25" spans="1:2" x14ac:dyDescent="0.3">
      <c r="A25" t="s">
        <v>28</v>
      </c>
      <c r="B25">
        <v>0</v>
      </c>
    </row>
    <row r="26" spans="1:2" x14ac:dyDescent="0.3">
      <c r="A26" t="s">
        <v>29</v>
      </c>
      <c r="B26">
        <v>5</v>
      </c>
    </row>
    <row r="27" spans="1:2" x14ac:dyDescent="0.3">
      <c r="A27" t="s">
        <v>30</v>
      </c>
      <c r="B27">
        <v>9</v>
      </c>
    </row>
    <row r="28" spans="1:2" x14ac:dyDescent="0.3">
      <c r="A28" t="s">
        <v>31</v>
      </c>
      <c r="B28">
        <v>13</v>
      </c>
    </row>
    <row r="29" spans="1:2" x14ac:dyDescent="0.3">
      <c r="A29" t="s">
        <v>32</v>
      </c>
      <c r="B29">
        <v>0</v>
      </c>
    </row>
    <row r="30" spans="1:2" x14ac:dyDescent="0.3">
      <c r="A30" t="s">
        <v>33</v>
      </c>
      <c r="B30">
        <v>7</v>
      </c>
    </row>
    <row r="31" spans="1:2" x14ac:dyDescent="0.3">
      <c r="A31" t="s">
        <v>34</v>
      </c>
      <c r="B31">
        <v>7</v>
      </c>
    </row>
    <row r="32" spans="1:2" x14ac:dyDescent="0.3">
      <c r="A32" t="s">
        <v>35</v>
      </c>
      <c r="B32">
        <v>11</v>
      </c>
    </row>
    <row r="33" spans="1:2" x14ac:dyDescent="0.3">
      <c r="A33" t="s">
        <v>36</v>
      </c>
      <c r="B33">
        <v>8</v>
      </c>
    </row>
    <row r="34" spans="1:2" x14ac:dyDescent="0.3">
      <c r="A34" t="s">
        <v>37</v>
      </c>
      <c r="B34">
        <v>0</v>
      </c>
    </row>
    <row r="35" spans="1:2" x14ac:dyDescent="0.3">
      <c r="A35" t="s">
        <v>38</v>
      </c>
      <c r="B35">
        <v>0</v>
      </c>
    </row>
    <row r="36" spans="1:2" x14ac:dyDescent="0.3">
      <c r="A36" t="s">
        <v>39</v>
      </c>
      <c r="B36">
        <v>0</v>
      </c>
    </row>
    <row r="37" spans="1:2" x14ac:dyDescent="0.3">
      <c r="A37" t="s">
        <v>40</v>
      </c>
      <c r="B37">
        <v>0</v>
      </c>
    </row>
    <row r="38" spans="1:2" x14ac:dyDescent="0.3">
      <c r="A38" t="s">
        <v>41</v>
      </c>
      <c r="B38">
        <v>0</v>
      </c>
    </row>
    <row r="39" spans="1:2" x14ac:dyDescent="0.3">
      <c r="A39" t="s">
        <v>42</v>
      </c>
      <c r="B39">
        <v>0</v>
      </c>
    </row>
    <row r="40" spans="1:2" x14ac:dyDescent="0.3">
      <c r="A40" t="s">
        <v>43</v>
      </c>
      <c r="B40">
        <v>0</v>
      </c>
    </row>
    <row r="41" spans="1:2" x14ac:dyDescent="0.3">
      <c r="A41" t="s">
        <v>44</v>
      </c>
      <c r="B41">
        <v>0</v>
      </c>
    </row>
    <row r="42" spans="1:2" x14ac:dyDescent="0.3">
      <c r="A42" t="s">
        <v>45</v>
      </c>
      <c r="B42">
        <v>0</v>
      </c>
    </row>
    <row r="43" spans="1:2" x14ac:dyDescent="0.3">
      <c r="A43" t="s">
        <v>46</v>
      </c>
      <c r="B43">
        <v>0</v>
      </c>
    </row>
    <row r="44" spans="1:2" x14ac:dyDescent="0.3">
      <c r="A44" t="s">
        <v>47</v>
      </c>
      <c r="B44">
        <v>0</v>
      </c>
    </row>
    <row r="45" spans="1:2" x14ac:dyDescent="0.3">
      <c r="A45" t="s">
        <v>48</v>
      </c>
      <c r="B45">
        <v>10</v>
      </c>
    </row>
    <row r="46" spans="1:2" x14ac:dyDescent="0.3">
      <c r="A46" t="s">
        <v>49</v>
      </c>
      <c r="B46">
        <v>5</v>
      </c>
    </row>
    <row r="47" spans="1:2" x14ac:dyDescent="0.3">
      <c r="A47" t="s">
        <v>50</v>
      </c>
      <c r="B47">
        <v>12</v>
      </c>
    </row>
    <row r="48" spans="1:2" x14ac:dyDescent="0.3">
      <c r="A48" t="s">
        <v>51</v>
      </c>
      <c r="B48">
        <v>20</v>
      </c>
    </row>
    <row r="49" spans="1:2" x14ac:dyDescent="0.3">
      <c r="A49" t="s">
        <v>52</v>
      </c>
      <c r="B49">
        <v>27</v>
      </c>
    </row>
    <row r="50" spans="1:2" x14ac:dyDescent="0.3">
      <c r="A50" t="s">
        <v>53</v>
      </c>
      <c r="B50">
        <v>29</v>
      </c>
    </row>
    <row r="51" spans="1:2" x14ac:dyDescent="0.3">
      <c r="A51" t="s">
        <v>54</v>
      </c>
      <c r="B51">
        <v>10</v>
      </c>
    </row>
    <row r="52" spans="1:2" x14ac:dyDescent="0.3">
      <c r="A52" t="s">
        <v>55</v>
      </c>
      <c r="B52">
        <v>16</v>
      </c>
    </row>
    <row r="53" spans="1:2" x14ac:dyDescent="0.3">
      <c r="A53" t="s">
        <v>56</v>
      </c>
      <c r="B53">
        <v>19</v>
      </c>
    </row>
    <row r="54" spans="1:2" x14ac:dyDescent="0.3">
      <c r="A54" t="s">
        <v>57</v>
      </c>
      <c r="B54">
        <v>14</v>
      </c>
    </row>
    <row r="55" spans="1:2" x14ac:dyDescent="0.3">
      <c r="A55" t="s">
        <v>58</v>
      </c>
      <c r="B55">
        <v>8</v>
      </c>
    </row>
    <row r="56" spans="1:2" x14ac:dyDescent="0.3">
      <c r="A56" t="s">
        <v>59</v>
      </c>
      <c r="B56">
        <v>0</v>
      </c>
    </row>
    <row r="57" spans="1:2" x14ac:dyDescent="0.3">
      <c r="A57" t="s">
        <v>60</v>
      </c>
      <c r="B57">
        <v>0</v>
      </c>
    </row>
    <row r="58" spans="1:2" x14ac:dyDescent="0.3">
      <c r="A58" t="s">
        <v>61</v>
      </c>
      <c r="B58">
        <v>0</v>
      </c>
    </row>
    <row r="59" spans="1:2" x14ac:dyDescent="0.3">
      <c r="A59" t="s">
        <v>62</v>
      </c>
      <c r="B59">
        <v>5</v>
      </c>
    </row>
    <row r="60" spans="1:2" x14ac:dyDescent="0.3">
      <c r="A60" t="s">
        <v>63</v>
      </c>
      <c r="B60">
        <v>0</v>
      </c>
    </row>
    <row r="61" spans="1:2" x14ac:dyDescent="0.3">
      <c r="A61" t="s">
        <v>64</v>
      </c>
      <c r="B61">
        <v>0</v>
      </c>
    </row>
    <row r="62" spans="1:2" x14ac:dyDescent="0.3">
      <c r="A62" t="s">
        <v>65</v>
      </c>
      <c r="B62">
        <v>6</v>
      </c>
    </row>
    <row r="63" spans="1:2" x14ac:dyDescent="0.3">
      <c r="A63" t="s">
        <v>66</v>
      </c>
      <c r="B63">
        <v>0</v>
      </c>
    </row>
    <row r="64" spans="1:2" x14ac:dyDescent="0.3">
      <c r="A64" t="s">
        <v>67</v>
      </c>
      <c r="B64">
        <v>5</v>
      </c>
    </row>
    <row r="65" spans="1:2" x14ac:dyDescent="0.3">
      <c r="A65" t="s">
        <v>68</v>
      </c>
      <c r="B65">
        <v>0</v>
      </c>
    </row>
    <row r="66" spans="1:2" x14ac:dyDescent="0.3">
      <c r="A66" t="s">
        <v>69</v>
      </c>
      <c r="B66">
        <v>0</v>
      </c>
    </row>
    <row r="67" spans="1:2" x14ac:dyDescent="0.3">
      <c r="A67" t="s">
        <v>70</v>
      </c>
      <c r="B67">
        <v>8</v>
      </c>
    </row>
    <row r="68" spans="1:2" x14ac:dyDescent="0.3">
      <c r="A68" t="s">
        <v>71</v>
      </c>
      <c r="B68">
        <v>12</v>
      </c>
    </row>
    <row r="69" spans="1:2" x14ac:dyDescent="0.3">
      <c r="A69" t="s">
        <v>72</v>
      </c>
      <c r="B69">
        <v>0</v>
      </c>
    </row>
    <row r="70" spans="1:2" x14ac:dyDescent="0.3">
      <c r="A70" t="s">
        <v>73</v>
      </c>
      <c r="B70">
        <v>9</v>
      </c>
    </row>
    <row r="71" spans="1:2" x14ac:dyDescent="0.3">
      <c r="A71" t="s">
        <v>74</v>
      </c>
      <c r="B71">
        <v>0</v>
      </c>
    </row>
    <row r="72" spans="1:2" x14ac:dyDescent="0.3">
      <c r="A72" t="s">
        <v>75</v>
      </c>
      <c r="B72">
        <v>5</v>
      </c>
    </row>
    <row r="73" spans="1:2" x14ac:dyDescent="0.3">
      <c r="A73" t="s">
        <v>76</v>
      </c>
      <c r="B73">
        <v>0</v>
      </c>
    </row>
    <row r="74" spans="1:2" x14ac:dyDescent="0.3">
      <c r="A74" t="s">
        <v>77</v>
      </c>
      <c r="B74">
        <v>21</v>
      </c>
    </row>
    <row r="75" spans="1:2" x14ac:dyDescent="0.3">
      <c r="A75" t="s">
        <v>78</v>
      </c>
      <c r="B75">
        <v>0</v>
      </c>
    </row>
    <row r="76" spans="1:2" x14ac:dyDescent="0.3">
      <c r="A76" t="s">
        <v>79</v>
      </c>
      <c r="B76">
        <v>8</v>
      </c>
    </row>
    <row r="77" spans="1:2" x14ac:dyDescent="0.3">
      <c r="A77" t="s">
        <v>80</v>
      </c>
      <c r="B77">
        <v>5</v>
      </c>
    </row>
    <row r="78" spans="1:2" x14ac:dyDescent="0.3">
      <c r="A78" t="s">
        <v>81</v>
      </c>
      <c r="B78">
        <v>6</v>
      </c>
    </row>
    <row r="79" spans="1:2" x14ac:dyDescent="0.3">
      <c r="A79" t="s">
        <v>82</v>
      </c>
      <c r="B79">
        <v>16</v>
      </c>
    </row>
    <row r="80" spans="1:2" x14ac:dyDescent="0.3">
      <c r="A80" t="s">
        <v>83</v>
      </c>
      <c r="B80">
        <v>20</v>
      </c>
    </row>
    <row r="81" spans="1:2" x14ac:dyDescent="0.3">
      <c r="A81" t="s">
        <v>84</v>
      </c>
      <c r="B81">
        <v>17</v>
      </c>
    </row>
    <row r="82" spans="1:2" x14ac:dyDescent="0.3">
      <c r="A82" t="s">
        <v>85</v>
      </c>
      <c r="B82">
        <v>7</v>
      </c>
    </row>
    <row r="83" spans="1:2" x14ac:dyDescent="0.3">
      <c r="A83" t="s">
        <v>86</v>
      </c>
      <c r="B83">
        <v>52</v>
      </c>
    </row>
    <row r="84" spans="1:2" x14ac:dyDescent="0.3">
      <c r="A84" t="s">
        <v>87</v>
      </c>
      <c r="B84">
        <v>22</v>
      </c>
    </row>
    <row r="85" spans="1:2" x14ac:dyDescent="0.3">
      <c r="A85" t="s">
        <v>88</v>
      </c>
      <c r="B85">
        <v>37</v>
      </c>
    </row>
    <row r="86" spans="1:2" x14ac:dyDescent="0.3">
      <c r="A86" t="s">
        <v>89</v>
      </c>
      <c r="B86">
        <v>15</v>
      </c>
    </row>
    <row r="87" spans="1:2" x14ac:dyDescent="0.3">
      <c r="A87" t="s">
        <v>90</v>
      </c>
      <c r="B87">
        <v>9</v>
      </c>
    </row>
    <row r="88" spans="1:2" x14ac:dyDescent="0.3">
      <c r="A88" t="s">
        <v>91</v>
      </c>
      <c r="B88">
        <v>25</v>
      </c>
    </row>
    <row r="89" spans="1:2" x14ac:dyDescent="0.3">
      <c r="A89" t="s">
        <v>92</v>
      </c>
      <c r="B89">
        <v>8</v>
      </c>
    </row>
    <row r="90" spans="1:2" x14ac:dyDescent="0.3">
      <c r="A90" t="s">
        <v>93</v>
      </c>
      <c r="B90">
        <v>15</v>
      </c>
    </row>
    <row r="91" spans="1:2" x14ac:dyDescent="0.3">
      <c r="A91" t="s">
        <v>94</v>
      </c>
      <c r="B9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0B05-97EA-47C2-B11F-20917B9DC115}">
  <sheetPr codeName="Foglio2"/>
  <dimension ref="A1:GS5"/>
  <sheetViews>
    <sheetView tabSelected="1" workbookViewId="0">
      <selection activeCell="G16" sqref="G16"/>
    </sheetView>
  </sheetViews>
  <sheetFormatPr defaultRowHeight="14.4" x14ac:dyDescent="0.3"/>
  <cols>
    <col min="1" max="1" width="16.21875" bestFit="1" customWidth="1"/>
    <col min="2" max="2" width="13.44140625" bestFit="1" customWidth="1"/>
    <col min="3" max="3" width="17.6640625" bestFit="1" customWidth="1"/>
    <col min="4" max="4" width="19.44140625" bestFit="1" customWidth="1"/>
    <col min="5" max="5" width="9.6640625" hidden="1" customWidth="1"/>
    <col min="6" max="6" width="12" hidden="1" customWidth="1"/>
    <col min="7" max="7" width="16.77734375" bestFit="1" customWidth="1"/>
    <col min="8" max="8" width="18.88671875" bestFit="1" customWidth="1"/>
    <col min="9" max="9" width="16.33203125" bestFit="1" customWidth="1"/>
    <col min="10" max="20" width="0" hidden="1" customWidth="1"/>
    <col min="21" max="203" width="7.77734375" customWidth="1"/>
  </cols>
  <sheetData>
    <row r="1" spans="1:201" x14ac:dyDescent="0.3">
      <c r="A1" s="2" t="s">
        <v>95</v>
      </c>
      <c r="B1" s="2" t="s">
        <v>96</v>
      </c>
      <c r="C1" s="2" t="s">
        <v>97</v>
      </c>
      <c r="D1" s="2" t="s">
        <v>98</v>
      </c>
      <c r="E1" s="3" t="s">
        <v>99</v>
      </c>
      <c r="F1" s="4" t="s">
        <v>100</v>
      </c>
      <c r="G1" s="5" t="s">
        <v>101</v>
      </c>
      <c r="H1" s="2" t="s">
        <v>102</v>
      </c>
      <c r="I1" s="3" t="s">
        <v>103</v>
      </c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  <c r="AC1">
        <v>9</v>
      </c>
      <c r="AD1">
        <v>10</v>
      </c>
      <c r="AE1">
        <v>11</v>
      </c>
      <c r="AF1">
        <v>12</v>
      </c>
      <c r="AG1">
        <v>13</v>
      </c>
      <c r="AH1">
        <v>14</v>
      </c>
      <c r="AI1">
        <v>15</v>
      </c>
      <c r="AJ1">
        <v>16</v>
      </c>
      <c r="AK1">
        <v>17</v>
      </c>
      <c r="AL1">
        <v>18</v>
      </c>
      <c r="AM1">
        <v>19</v>
      </c>
      <c r="AN1">
        <v>20</v>
      </c>
      <c r="AO1">
        <v>21</v>
      </c>
      <c r="AP1">
        <v>22</v>
      </c>
      <c r="AQ1">
        <v>23</v>
      </c>
      <c r="AR1">
        <v>24</v>
      </c>
      <c r="AS1">
        <v>25</v>
      </c>
      <c r="AT1">
        <v>26</v>
      </c>
      <c r="AU1">
        <v>27</v>
      </c>
      <c r="AV1">
        <v>28</v>
      </c>
      <c r="AW1">
        <v>29</v>
      </c>
      <c r="AX1">
        <v>30</v>
      </c>
      <c r="AY1">
        <v>31</v>
      </c>
      <c r="AZ1">
        <v>32</v>
      </c>
      <c r="BA1">
        <v>33</v>
      </c>
      <c r="BB1">
        <v>34</v>
      </c>
      <c r="BC1">
        <v>35</v>
      </c>
      <c r="BD1">
        <v>36</v>
      </c>
      <c r="BE1">
        <v>37</v>
      </c>
      <c r="BF1">
        <v>38</v>
      </c>
      <c r="BG1">
        <v>39</v>
      </c>
      <c r="BH1">
        <v>40</v>
      </c>
      <c r="BI1">
        <v>41</v>
      </c>
      <c r="BJ1">
        <v>42</v>
      </c>
      <c r="BK1">
        <v>43</v>
      </c>
      <c r="BL1">
        <v>44</v>
      </c>
      <c r="BM1">
        <v>45</v>
      </c>
      <c r="BN1">
        <v>46</v>
      </c>
      <c r="BO1">
        <v>47</v>
      </c>
      <c r="BP1">
        <v>48</v>
      </c>
      <c r="BQ1">
        <v>49</v>
      </c>
      <c r="BR1">
        <v>50</v>
      </c>
      <c r="BS1">
        <v>51</v>
      </c>
      <c r="BT1">
        <v>52</v>
      </c>
      <c r="BU1">
        <v>53</v>
      </c>
      <c r="BV1">
        <v>54</v>
      </c>
      <c r="BW1">
        <v>55</v>
      </c>
      <c r="BX1">
        <v>56</v>
      </c>
      <c r="BY1">
        <v>57</v>
      </c>
      <c r="BZ1">
        <v>58</v>
      </c>
      <c r="CA1">
        <v>59</v>
      </c>
      <c r="CB1">
        <v>60</v>
      </c>
      <c r="CC1">
        <v>61</v>
      </c>
      <c r="CD1">
        <v>62</v>
      </c>
      <c r="CE1">
        <v>63</v>
      </c>
      <c r="CF1">
        <v>64</v>
      </c>
      <c r="CG1">
        <v>65</v>
      </c>
      <c r="CH1">
        <v>66</v>
      </c>
      <c r="CI1">
        <v>67</v>
      </c>
      <c r="CJ1">
        <v>68</v>
      </c>
      <c r="CK1">
        <v>69</v>
      </c>
      <c r="CL1">
        <v>70</v>
      </c>
      <c r="CM1">
        <v>71</v>
      </c>
      <c r="CN1">
        <v>72</v>
      </c>
      <c r="CO1">
        <v>73</v>
      </c>
      <c r="CP1">
        <v>74</v>
      </c>
      <c r="CQ1">
        <v>75</v>
      </c>
      <c r="CR1">
        <v>76</v>
      </c>
      <c r="CS1">
        <v>77</v>
      </c>
      <c r="CT1">
        <v>78</v>
      </c>
      <c r="CU1">
        <v>79</v>
      </c>
      <c r="CV1">
        <v>80</v>
      </c>
      <c r="CW1">
        <v>81</v>
      </c>
      <c r="CX1">
        <v>82</v>
      </c>
      <c r="CY1">
        <v>83</v>
      </c>
      <c r="CZ1">
        <v>84</v>
      </c>
      <c r="DA1">
        <v>85</v>
      </c>
      <c r="DB1">
        <v>86</v>
      </c>
      <c r="DC1">
        <v>87</v>
      </c>
      <c r="DD1">
        <v>88</v>
      </c>
      <c r="DE1">
        <v>89</v>
      </c>
      <c r="DF1">
        <v>90</v>
      </c>
    </row>
    <row r="2" spans="1:201" x14ac:dyDescent="0.3">
      <c r="A2" s="6"/>
      <c r="B2" s="7"/>
      <c r="C2" s="7"/>
      <c r="D2" s="7"/>
      <c r="E2" s="7"/>
      <c r="F2" s="7"/>
      <c r="G2" s="7"/>
      <c r="H2" s="7"/>
      <c r="I2" s="7"/>
    </row>
    <row r="3" spans="1:201" ht="15" thickBot="1" x14ac:dyDescent="0.35">
      <c r="A3" s="8"/>
      <c r="B3" s="8"/>
      <c r="C3" s="8"/>
      <c r="D3" s="8"/>
      <c r="E3" s="8"/>
      <c r="F3" s="8"/>
      <c r="G3" s="8"/>
      <c r="I3" s="8"/>
    </row>
    <row r="4" spans="1:201" s="9" customFormat="1" ht="10.199999999999999" x14ac:dyDescent="0.2">
      <c r="A4" s="2" t="s">
        <v>104</v>
      </c>
      <c r="B4" s="2" t="s">
        <v>105</v>
      </c>
      <c r="C4" s="2" t="s">
        <v>106</v>
      </c>
      <c r="D4" s="2" t="s">
        <v>107</v>
      </c>
      <c r="E4" s="3" t="s">
        <v>99</v>
      </c>
      <c r="F4" s="4" t="s">
        <v>100</v>
      </c>
      <c r="G4" s="5" t="s">
        <v>101</v>
      </c>
      <c r="H4" s="2" t="s">
        <v>108</v>
      </c>
      <c r="I4" s="3" t="s">
        <v>109</v>
      </c>
      <c r="U4" s="10" t="s">
        <v>50</v>
      </c>
      <c r="V4" s="10" t="s">
        <v>51</v>
      </c>
      <c r="W4" s="10" t="s">
        <v>52</v>
      </c>
      <c r="X4" s="10" t="s">
        <v>53</v>
      </c>
      <c r="Y4" s="10" t="s">
        <v>54</v>
      </c>
      <c r="Z4" s="10" t="s">
        <v>55</v>
      </c>
      <c r="AA4" s="10" t="s">
        <v>56</v>
      </c>
      <c r="AB4" s="10" t="s">
        <v>57</v>
      </c>
      <c r="AC4" s="10" t="s">
        <v>58</v>
      </c>
      <c r="AD4" s="10" t="s">
        <v>91</v>
      </c>
      <c r="AE4" s="10" t="s">
        <v>92</v>
      </c>
      <c r="AF4" s="10" t="s">
        <v>86</v>
      </c>
      <c r="AG4" s="10" t="s">
        <v>93</v>
      </c>
      <c r="AH4" s="10" t="s">
        <v>94</v>
      </c>
      <c r="AI4" s="10" t="s">
        <v>22</v>
      </c>
      <c r="AJ4" s="10" t="s">
        <v>23</v>
      </c>
      <c r="AK4" s="10" t="s">
        <v>24</v>
      </c>
      <c r="AL4" s="10" t="s">
        <v>25</v>
      </c>
      <c r="AM4" s="10" t="s">
        <v>26</v>
      </c>
      <c r="AN4" s="10" t="s">
        <v>27</v>
      </c>
      <c r="AO4" s="10" t="s">
        <v>59</v>
      </c>
      <c r="AP4" s="10" t="s">
        <v>60</v>
      </c>
      <c r="AQ4" s="10" t="s">
        <v>61</v>
      </c>
      <c r="AR4" s="10" t="s">
        <v>62</v>
      </c>
      <c r="AS4" s="10" t="s">
        <v>63</v>
      </c>
      <c r="AT4" s="10" t="s">
        <v>64</v>
      </c>
      <c r="AU4" s="10" t="s">
        <v>65</v>
      </c>
      <c r="AV4" s="10" t="s">
        <v>66</v>
      </c>
      <c r="AW4" s="10" t="s">
        <v>67</v>
      </c>
      <c r="AX4" s="10" t="s">
        <v>68</v>
      </c>
      <c r="AY4" s="10" t="s">
        <v>69</v>
      </c>
      <c r="AZ4" s="10" t="s">
        <v>70</v>
      </c>
      <c r="BA4" s="10" t="s">
        <v>34</v>
      </c>
      <c r="BB4" s="10" t="s">
        <v>35</v>
      </c>
      <c r="BC4" s="10" t="s">
        <v>36</v>
      </c>
      <c r="BD4" s="10" t="s">
        <v>37</v>
      </c>
      <c r="BE4" s="10" t="s">
        <v>38</v>
      </c>
      <c r="BF4" s="10" t="s">
        <v>39</v>
      </c>
      <c r="BG4" s="10" t="s">
        <v>40</v>
      </c>
      <c r="BH4" s="10" t="s">
        <v>41</v>
      </c>
      <c r="BI4" s="10" t="s">
        <v>42</v>
      </c>
      <c r="BJ4" s="10" t="s">
        <v>43</v>
      </c>
      <c r="BK4" s="10" t="s">
        <v>44</v>
      </c>
      <c r="BL4" s="10" t="s">
        <v>45</v>
      </c>
      <c r="BM4" s="10" t="s">
        <v>46</v>
      </c>
      <c r="BN4" s="10" t="s">
        <v>47</v>
      </c>
      <c r="BO4" s="10" t="s">
        <v>49</v>
      </c>
      <c r="BP4" s="10" t="s">
        <v>48</v>
      </c>
      <c r="BQ4" s="10" t="s">
        <v>28</v>
      </c>
      <c r="BR4" s="10" t="s">
        <v>29</v>
      </c>
      <c r="BS4" s="10" t="s">
        <v>30</v>
      </c>
      <c r="BT4" s="10" t="s">
        <v>31</v>
      </c>
      <c r="BU4" s="10" t="s">
        <v>32</v>
      </c>
      <c r="BV4" s="10" t="s">
        <v>33</v>
      </c>
      <c r="BW4" s="10" t="s">
        <v>4</v>
      </c>
      <c r="BX4" s="10" t="s">
        <v>5</v>
      </c>
      <c r="BY4" s="10" t="s">
        <v>6</v>
      </c>
      <c r="BZ4" s="10" t="s">
        <v>8</v>
      </c>
      <c r="CA4" s="10" t="s">
        <v>9</v>
      </c>
      <c r="CB4" s="10" t="s">
        <v>10</v>
      </c>
      <c r="CC4" s="10" t="s">
        <v>11</v>
      </c>
      <c r="CD4" s="10" t="s">
        <v>12</v>
      </c>
      <c r="CE4" s="10" t="s">
        <v>13</v>
      </c>
      <c r="CF4" s="10" t="s">
        <v>14</v>
      </c>
      <c r="CG4" s="10" t="s">
        <v>15</v>
      </c>
      <c r="CH4" s="10" t="s">
        <v>16</v>
      </c>
      <c r="CI4" s="10" t="s">
        <v>17</v>
      </c>
      <c r="CJ4" s="10" t="s">
        <v>18</v>
      </c>
      <c r="CK4" s="10" t="s">
        <v>19</v>
      </c>
      <c r="CL4" s="10" t="s">
        <v>20</v>
      </c>
      <c r="CM4" s="10" t="s">
        <v>21</v>
      </c>
      <c r="CN4" s="10" t="s">
        <v>82</v>
      </c>
      <c r="CO4" s="10" t="s">
        <v>75</v>
      </c>
      <c r="CP4" s="10" t="s">
        <v>76</v>
      </c>
      <c r="CQ4" s="10" t="s">
        <v>77</v>
      </c>
      <c r="CR4" s="10" t="s">
        <v>78</v>
      </c>
      <c r="CS4" s="10" t="s">
        <v>79</v>
      </c>
      <c r="CT4" s="10" t="s">
        <v>80</v>
      </c>
      <c r="CU4" s="10" t="s">
        <v>81</v>
      </c>
      <c r="CV4" s="10" t="s">
        <v>83</v>
      </c>
      <c r="CW4" s="10" t="s">
        <v>84</v>
      </c>
      <c r="CX4" s="10" t="s">
        <v>85</v>
      </c>
      <c r="CY4" s="10" t="s">
        <v>87</v>
      </c>
      <c r="CZ4" s="10" t="s">
        <v>88</v>
      </c>
      <c r="DA4" s="10" t="s">
        <v>89</v>
      </c>
      <c r="DB4" s="10" t="s">
        <v>90</v>
      </c>
      <c r="DC4" s="10" t="s">
        <v>71</v>
      </c>
      <c r="DD4" s="10" t="s">
        <v>72</v>
      </c>
      <c r="DE4" s="10" t="s">
        <v>73</v>
      </c>
      <c r="DF4" s="10" t="s">
        <v>74</v>
      </c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</row>
    <row r="5" spans="1:201" x14ac:dyDescent="0.3">
      <c r="A5" t="s">
        <v>114</v>
      </c>
      <c r="B5" t="s">
        <v>112</v>
      </c>
      <c r="C5" t="s">
        <v>113</v>
      </c>
      <c r="D5">
        <v>1</v>
      </c>
      <c r="G5" t="s">
        <v>111</v>
      </c>
      <c r="H5" t="str">
        <f>referto_IGG90!C1</f>
        <v xml:space="preserve">	1798</v>
      </c>
      <c r="I5" t="s">
        <v>110</v>
      </c>
      <c r="U5">
        <f xml:space="preserve">    INDEX(referto_IGG90!A$2:B$92,MATCH(U4,referto_IGG90!A$2:A$92,0),2)</f>
        <v>12</v>
      </c>
      <c r="V5">
        <f xml:space="preserve">    INDEX(referto_IGG90!A$2:B$92,MATCH(V4,referto_IGG90!A$2:A$92,0),2)</f>
        <v>20</v>
      </c>
      <c r="W5">
        <f xml:space="preserve">    INDEX(referto_IGG90!A$2:B$92,MATCH(W4,referto_IGG90!A$2:A$92,0),2)</f>
        <v>27</v>
      </c>
      <c r="X5">
        <f xml:space="preserve">    INDEX(referto_IGG90!A$2:B$92,MATCH(X4,referto_IGG90!A$2:A$92,0),2)</f>
        <v>29</v>
      </c>
      <c r="Y5">
        <f xml:space="preserve">    INDEX(referto_IGG90!A$2:B$92,MATCH(Y4,referto_IGG90!A$2:A$92,0),2)</f>
        <v>10</v>
      </c>
      <c r="Z5">
        <f xml:space="preserve">    INDEX(referto_IGG90!A$2:B$92,MATCH(Z4,referto_IGG90!A$2:A$92,0),2)</f>
        <v>16</v>
      </c>
      <c r="AA5">
        <f xml:space="preserve">    INDEX(referto_IGG90!A$2:B$92,MATCH(AA4,referto_IGG90!A$2:A$92,0),2)</f>
        <v>19</v>
      </c>
      <c r="AB5">
        <f xml:space="preserve">    INDEX(referto_IGG90!A$2:B$92,MATCH(AB4,referto_IGG90!A$2:A$92,0),2)</f>
        <v>14</v>
      </c>
      <c r="AC5">
        <f xml:space="preserve">    INDEX(referto_IGG90!A$2:B$92,MATCH(AC4,referto_IGG90!A$2:A$92,0),2)</f>
        <v>8</v>
      </c>
      <c r="AD5">
        <f xml:space="preserve">    INDEX(referto_IGG90!A$2:B$92,MATCH(AD4,referto_IGG90!A$2:A$92,0),2)</f>
        <v>25</v>
      </c>
      <c r="AE5">
        <f xml:space="preserve">    INDEX(referto_IGG90!A$2:B$92,MATCH(AE4,referto_IGG90!A$2:A$92,0),2)</f>
        <v>8</v>
      </c>
      <c r="AF5">
        <f xml:space="preserve">    INDEX(referto_IGG90!A$2:B$92,MATCH(AF4,referto_IGG90!A$2:A$92,0),2)</f>
        <v>52</v>
      </c>
      <c r="AG5">
        <f xml:space="preserve">    INDEX(referto_IGG90!A$2:B$92,MATCH(AG4,referto_IGG90!A$2:A$92,0),2)</f>
        <v>15</v>
      </c>
      <c r="AH5">
        <f xml:space="preserve">    INDEX(referto_IGG90!A$2:B$92,MATCH(AH4,referto_IGG90!A$2:A$92,0),2)</f>
        <v>0</v>
      </c>
      <c r="AI5">
        <f xml:space="preserve">    INDEX(referto_IGG90!A$2:B$92,MATCH(AI4,referto_IGG90!A$2:A$92,0),2)</f>
        <v>11</v>
      </c>
      <c r="AJ5">
        <f xml:space="preserve">    INDEX(referto_IGG90!A$2:B$92,MATCH(AJ4,referto_IGG90!A$2:A$92,0),2)</f>
        <v>21</v>
      </c>
      <c r="AK5">
        <f xml:space="preserve">    INDEX(referto_IGG90!A$2:B$92,MATCH(AK4,referto_IGG90!A$2:A$92,0),2)</f>
        <v>26</v>
      </c>
      <c r="AL5">
        <f xml:space="preserve">    INDEX(referto_IGG90!A$2:B$92,MATCH(AL4,referto_IGG90!A$2:A$92,0),2)</f>
        <v>6</v>
      </c>
      <c r="AM5">
        <f xml:space="preserve">    INDEX(referto_IGG90!A$2:B$92,MATCH(AM4,referto_IGG90!A$2:A$92,0),2)</f>
        <v>0</v>
      </c>
      <c r="AN5">
        <f xml:space="preserve">    INDEX(referto_IGG90!A$2:B$92,MATCH(AN4,referto_IGG90!A$2:A$92,0),2)</f>
        <v>14</v>
      </c>
      <c r="AO5">
        <f xml:space="preserve">    INDEX(referto_IGG90!A$2:B$92,MATCH(AO4,referto_IGG90!A$2:A$92,0),2)</f>
        <v>0</v>
      </c>
      <c r="AP5">
        <f xml:space="preserve">    INDEX(referto_IGG90!A$2:B$92,MATCH(AP4,referto_IGG90!A$2:A$92,0),2)</f>
        <v>0</v>
      </c>
      <c r="AQ5">
        <f xml:space="preserve">    INDEX(referto_IGG90!A$2:B$92,MATCH(AQ4,referto_IGG90!A$2:A$92,0),2)</f>
        <v>0</v>
      </c>
      <c r="AR5">
        <f xml:space="preserve">    INDEX(referto_IGG90!A$2:B$92,MATCH(AR4,referto_IGG90!A$2:A$92,0),2)</f>
        <v>5</v>
      </c>
      <c r="AS5">
        <f xml:space="preserve">    INDEX(referto_IGG90!A$2:B$92,MATCH(AS4,referto_IGG90!A$2:A$92,0),2)</f>
        <v>0</v>
      </c>
      <c r="AT5">
        <f xml:space="preserve">    INDEX(referto_IGG90!A$2:B$92,MATCH(AT4,referto_IGG90!A$2:A$92,0),2)</f>
        <v>0</v>
      </c>
      <c r="AU5">
        <f xml:space="preserve">    INDEX(referto_IGG90!A$2:B$92,MATCH(AU4,referto_IGG90!A$2:A$92,0),2)</f>
        <v>6</v>
      </c>
      <c r="AV5">
        <f xml:space="preserve">    INDEX(referto_IGG90!A$2:B$92,MATCH(AV4,referto_IGG90!A$2:A$92,0),2)</f>
        <v>0</v>
      </c>
      <c r="AW5">
        <f xml:space="preserve">    INDEX(referto_IGG90!A$2:B$92,MATCH(AW4,referto_IGG90!A$2:A$92,0),2)</f>
        <v>5</v>
      </c>
      <c r="AX5">
        <f xml:space="preserve">    INDEX(referto_IGG90!A$2:B$92,MATCH(AX4,referto_IGG90!A$2:A$92,0),2)</f>
        <v>0</v>
      </c>
      <c r="AY5">
        <f xml:space="preserve">    INDEX(referto_IGG90!A$2:B$92,MATCH(AY4,referto_IGG90!A$2:A$92,0),2)</f>
        <v>0</v>
      </c>
      <c r="AZ5">
        <f xml:space="preserve">    INDEX(referto_IGG90!A$2:B$92,MATCH(AZ4,referto_IGG90!A$2:A$92,0),2)</f>
        <v>8</v>
      </c>
      <c r="BA5">
        <f xml:space="preserve">    INDEX(referto_IGG90!A$2:B$92,MATCH(BA4,referto_IGG90!A$2:A$92,0),2)</f>
        <v>7</v>
      </c>
      <c r="BB5">
        <f xml:space="preserve">    INDEX(referto_IGG90!A$2:B$92,MATCH(BB4,referto_IGG90!A$2:A$92,0),2)</f>
        <v>11</v>
      </c>
      <c r="BC5">
        <f xml:space="preserve">    INDEX(referto_IGG90!A$2:B$92,MATCH(BC4,referto_IGG90!A$2:A$92,0),2)</f>
        <v>8</v>
      </c>
      <c r="BD5">
        <f xml:space="preserve">    INDEX(referto_IGG90!A$2:B$92,MATCH(BD4,referto_IGG90!A$2:A$92,0),2)</f>
        <v>0</v>
      </c>
      <c r="BE5">
        <f xml:space="preserve">    INDEX(referto_IGG90!A$2:B$92,MATCH(BE4,referto_IGG90!A$2:A$92,0),2)</f>
        <v>0</v>
      </c>
      <c r="BF5">
        <f xml:space="preserve">    INDEX(referto_IGG90!A$2:B$92,MATCH(BF4,referto_IGG90!A$2:A$92,0),2)</f>
        <v>0</v>
      </c>
      <c r="BG5">
        <f xml:space="preserve">    INDEX(referto_IGG90!A$2:B$92,MATCH(BG4,referto_IGG90!A$2:A$92,0),2)</f>
        <v>0</v>
      </c>
      <c r="BH5">
        <f xml:space="preserve">    INDEX(referto_IGG90!A$2:B$92,MATCH(BH4,referto_IGG90!A$2:A$92,0),2)</f>
        <v>0</v>
      </c>
      <c r="BI5">
        <f xml:space="preserve">    INDEX(referto_IGG90!A$2:B$92,MATCH(BI4,referto_IGG90!A$2:A$92,0),2)</f>
        <v>0</v>
      </c>
      <c r="BJ5">
        <f xml:space="preserve">    INDEX(referto_IGG90!A$2:B$92,MATCH(BJ4,referto_IGG90!A$2:A$92,0),2)</f>
        <v>0</v>
      </c>
      <c r="BK5">
        <f xml:space="preserve">    INDEX(referto_IGG90!A$2:B$92,MATCH(BK4,referto_IGG90!A$2:A$92,0),2)</f>
        <v>0</v>
      </c>
      <c r="BL5">
        <f xml:space="preserve">    INDEX(referto_IGG90!A$2:B$92,MATCH(BL4,referto_IGG90!A$2:A$92,0),2)</f>
        <v>0</v>
      </c>
      <c r="BM5">
        <f xml:space="preserve">    INDEX(referto_IGG90!A$2:B$92,MATCH(BM4,referto_IGG90!A$2:A$92,0),2)</f>
        <v>0</v>
      </c>
      <c r="BN5">
        <f xml:space="preserve">    INDEX(referto_IGG90!A$2:B$92,MATCH(BN4,referto_IGG90!A$2:A$92,0),2)</f>
        <v>0</v>
      </c>
      <c r="BO5">
        <f xml:space="preserve">    INDEX(referto_IGG90!A$2:B$92,MATCH(BO4,referto_IGG90!A$2:A$92,0),2)</f>
        <v>5</v>
      </c>
      <c r="BP5">
        <f xml:space="preserve">    INDEX(referto_IGG90!A$2:B$92,MATCH(BP4,referto_IGG90!A$2:A$92,0),2)</f>
        <v>10</v>
      </c>
      <c r="BQ5">
        <f xml:space="preserve">    INDEX(referto_IGG90!A$2:B$92,MATCH(BQ4,referto_IGG90!A$2:A$92,0),2)</f>
        <v>0</v>
      </c>
      <c r="BR5">
        <f xml:space="preserve">    INDEX(referto_IGG90!A$2:B$92,MATCH(BR4,referto_IGG90!A$2:A$92,0),2)</f>
        <v>5</v>
      </c>
      <c r="BS5">
        <f xml:space="preserve">    INDEX(referto_IGG90!A$2:B$92,MATCH(BS4,referto_IGG90!A$2:A$92,0),2)</f>
        <v>9</v>
      </c>
      <c r="BT5">
        <f xml:space="preserve">    INDEX(referto_IGG90!A$2:B$92,MATCH(BT4,referto_IGG90!A$2:A$92,0),2)</f>
        <v>13</v>
      </c>
      <c r="BU5">
        <f xml:space="preserve">    INDEX(referto_IGG90!A$2:B$92,MATCH(BU4,referto_IGG90!A$2:A$92,0),2)</f>
        <v>0</v>
      </c>
      <c r="BV5">
        <f xml:space="preserve">    INDEX(referto_IGG90!A$2:B$92,MATCH(BV4,referto_IGG90!A$2:A$92,0),2)</f>
        <v>7</v>
      </c>
      <c r="BW5">
        <f xml:space="preserve">    INDEX(referto_IGG90!A$2:B$92,MATCH(BW4,referto_IGG90!A$2:A$92,0),2)</f>
        <v>13</v>
      </c>
      <c r="BX5">
        <f xml:space="preserve">    INDEX(referto_IGG90!A$2:B$92,MATCH(BX4,referto_IGG90!A$2:A$92,0),2)</f>
        <v>0</v>
      </c>
      <c r="BY5">
        <f xml:space="preserve">    INDEX(referto_IGG90!A$2:B$92,MATCH(BY4,referto_IGG90!A$2:A$92,0),2)</f>
        <v>5</v>
      </c>
      <c r="BZ5">
        <f xml:space="preserve">    INDEX(referto_IGG90!A$2:B$92,MATCH(BZ4,referto_IGG90!A$2:A$92,0),2)</f>
        <v>0</v>
      </c>
      <c r="CA5">
        <f xml:space="preserve">    INDEX(referto_IGG90!A$2:B$92,MATCH(CA4,referto_IGG90!A$2:A$92,0),2)</f>
        <v>0</v>
      </c>
      <c r="CB5">
        <f xml:space="preserve">    INDEX(referto_IGG90!A$2:B$92,MATCH(CB4,referto_IGG90!A$2:A$92,0),2)</f>
        <v>0</v>
      </c>
      <c r="CC5">
        <f xml:space="preserve">    INDEX(referto_IGG90!A$2:B$92,MATCH(CC4,referto_IGG90!A$2:A$92,0),2)</f>
        <v>0</v>
      </c>
      <c r="CD5">
        <f xml:space="preserve">    INDEX(referto_IGG90!A$2:B$92,MATCH(CD4,referto_IGG90!A$2:A$92,0),2)</f>
        <v>0</v>
      </c>
      <c r="CE5">
        <f xml:space="preserve">    INDEX(referto_IGG90!A$2:B$92,MATCH(CE4,referto_IGG90!A$2:A$92,0),2)</f>
        <v>0</v>
      </c>
      <c r="CF5">
        <f xml:space="preserve">    INDEX(referto_IGG90!A$2:B$92,MATCH(CF4,referto_IGG90!A$2:A$92,0),2)</f>
        <v>0</v>
      </c>
      <c r="CG5">
        <f xml:space="preserve">    INDEX(referto_IGG90!A$2:B$92,MATCH(CG4,referto_IGG90!A$2:A$92,0),2)</f>
        <v>0</v>
      </c>
      <c r="CH5">
        <f xml:space="preserve">    INDEX(referto_IGG90!A$2:B$92,MATCH(CH4,referto_IGG90!A$2:A$92,0),2)</f>
        <v>0</v>
      </c>
      <c r="CI5">
        <f xml:space="preserve">    INDEX(referto_IGG90!A$2:B$92,MATCH(CI4,referto_IGG90!A$2:A$92,0),2)</f>
        <v>0</v>
      </c>
      <c r="CJ5">
        <f xml:space="preserve">    INDEX(referto_IGG90!A$2:B$92,MATCH(CJ4,referto_IGG90!A$2:A$92,0),2)</f>
        <v>0</v>
      </c>
      <c r="CK5">
        <f xml:space="preserve">    INDEX(referto_IGG90!A$2:B$92,MATCH(CK4,referto_IGG90!A$2:A$92,0),2)</f>
        <v>8</v>
      </c>
      <c r="CL5">
        <f xml:space="preserve">    INDEX(referto_IGG90!A$2:B$92,MATCH(CL4,referto_IGG90!A$2:A$92,0),2)</f>
        <v>0</v>
      </c>
      <c r="CM5">
        <f xml:space="preserve">    INDEX(referto_IGG90!A$2:B$92,MATCH(CM4,referto_IGG90!A$2:A$92,0),2)</f>
        <v>0</v>
      </c>
      <c r="CN5">
        <f xml:space="preserve">    INDEX(referto_IGG90!A$2:B$92,MATCH(CN4,referto_IGG90!A$2:A$92,0),2)</f>
        <v>16</v>
      </c>
      <c r="CO5">
        <f xml:space="preserve">    INDEX(referto_IGG90!A$2:B$92,MATCH(CO4,referto_IGG90!A$2:A$92,0),2)</f>
        <v>5</v>
      </c>
      <c r="CP5">
        <f xml:space="preserve">    INDEX(referto_IGG90!A$2:B$92,MATCH(CP4,referto_IGG90!A$2:A$92,0),2)</f>
        <v>0</v>
      </c>
      <c r="CQ5">
        <f xml:space="preserve">    INDEX(referto_IGG90!A$2:B$92,MATCH(CQ4,referto_IGG90!A$2:A$92,0),2)</f>
        <v>21</v>
      </c>
      <c r="CR5">
        <f xml:space="preserve">    INDEX(referto_IGG90!A$2:B$92,MATCH(CR4,referto_IGG90!A$2:A$92,0),2)</f>
        <v>0</v>
      </c>
      <c r="CS5">
        <f xml:space="preserve">    INDEX(referto_IGG90!A$2:B$92,MATCH(CS4,referto_IGG90!A$2:A$92,0),2)</f>
        <v>8</v>
      </c>
      <c r="CT5">
        <f xml:space="preserve">    INDEX(referto_IGG90!A$2:B$92,MATCH(CT4,referto_IGG90!A$2:A$92,0),2)</f>
        <v>5</v>
      </c>
      <c r="CU5">
        <f xml:space="preserve">    INDEX(referto_IGG90!A$2:B$92,MATCH(CU4,referto_IGG90!A$2:A$92,0),2)</f>
        <v>6</v>
      </c>
      <c r="CV5">
        <f xml:space="preserve">    INDEX(referto_IGG90!A$2:B$92,MATCH(CV4,referto_IGG90!A$2:A$92,0),2)</f>
        <v>20</v>
      </c>
      <c r="CW5">
        <f xml:space="preserve">    INDEX(referto_IGG90!A$2:B$92,MATCH(CW4,referto_IGG90!A$2:A$92,0),2)</f>
        <v>17</v>
      </c>
      <c r="CX5">
        <f xml:space="preserve">    INDEX(referto_IGG90!A$2:B$92,MATCH(CX4,referto_IGG90!A$2:A$92,0),2)</f>
        <v>7</v>
      </c>
      <c r="CY5">
        <f xml:space="preserve">    INDEX(referto_IGG90!A$2:B$92,MATCH(CY4,referto_IGG90!A$2:A$92,0),2)</f>
        <v>22</v>
      </c>
      <c r="CZ5">
        <f xml:space="preserve">    INDEX(referto_IGG90!A$2:B$92,MATCH(CZ4,referto_IGG90!A$2:A$92,0),2)</f>
        <v>37</v>
      </c>
      <c r="DA5">
        <f xml:space="preserve">    INDEX(referto_IGG90!A$2:B$92,MATCH(DA4,referto_IGG90!A$2:A$92,0),2)</f>
        <v>15</v>
      </c>
      <c r="DB5">
        <f xml:space="preserve">    INDEX(referto_IGG90!A$2:B$92,MATCH(DB4,referto_IGG90!A$2:A$92,0),2)</f>
        <v>9</v>
      </c>
      <c r="DC5">
        <f xml:space="preserve">    INDEX(referto_IGG90!A$2:B$92,MATCH(DC4,referto_IGG90!A$2:A$92,0),2)</f>
        <v>12</v>
      </c>
      <c r="DD5">
        <f xml:space="preserve">    INDEX(referto_IGG90!A$2:B$92,MATCH(DD4,referto_IGG90!A$2:A$92,0),2)</f>
        <v>0</v>
      </c>
      <c r="DE5">
        <f xml:space="preserve">    INDEX(referto_IGG90!A$2:B$92,MATCH(DE4,referto_IGG90!A$2:A$92,0),2)</f>
        <v>9</v>
      </c>
      <c r="DF5">
        <f xml:space="preserve">    INDEX(referto_IGG90!A$2:B$92,MATCH(DF4,referto_IGG90!A$2:A$92,0),2)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compila">
                <anchor moveWithCells="1" sizeWithCells="1">
                  <from>
                    <xdr:col>0</xdr:col>
                    <xdr:colOff>1104900</xdr:colOff>
                    <xdr:row>1</xdr:row>
                    <xdr:rowOff>68580</xdr:rowOff>
                  </from>
                  <to>
                    <xdr:col>2</xdr:col>
                    <xdr:colOff>152400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referto_IGG90</vt:lpstr>
      <vt:lpstr>Calcoli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TheBonus</dc:creator>
  <cp:lastModifiedBy>Amadeus II</cp:lastModifiedBy>
  <dcterms:created xsi:type="dcterms:W3CDTF">2026-04-25T11:40:35Z</dcterms:created>
  <dcterms:modified xsi:type="dcterms:W3CDTF">2026-04-25T11:54:46Z</dcterms:modified>
</cp:coreProperties>
</file>