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openxmlformats-officedocument.spreadsheetml.printerSettings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9822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dario\Downloads\"/>
    </mc:Choice>
  </mc:AlternateContent>
  <bookViews>
    <workbookView xWindow="8715" yWindow="1605" windowWidth="18285" windowHeight="12615"/>
  </bookViews>
  <sheets>
    <sheet name="Calcoli" sheetId="1" r:id="rId1"/>
  </sheets>
  <definedNames>
    <definedName name="_xlnm.Print_Area" localSheetId="0">Calcoli!$A$3:$AB$3</definedName>
  </definedNames>
  <calcPr/>
</workbook>
</file>

<file path=xl/calcChain.xml><?xml version="1.0" encoding="utf-8"?>
<calcChain xmlns="http://schemas.openxmlformats.org/spreadsheetml/2006/main">
  <c i="1" l="1" r="D23"/>
  <c r="D24"/>
  <c r="D25"/>
  <c r="D6"/>
  <c r="D7"/>
  <c r="D8"/>
  <c r="D9"/>
  <c r="D10"/>
  <c r="D11"/>
  <c r="D12"/>
  <c r="D13"/>
  <c r="D14"/>
  <c r="D15"/>
  <c r="D16"/>
  <c r="D17"/>
  <c r="D18"/>
  <c r="D19"/>
  <c r="D20"/>
  <c r="D21"/>
  <c r="D22"/>
  <c r="D5"/>
  <c r="C2"/>
</calcChain>
</file>

<file path=xl/sharedStrings.xml><?xml version="1.0" encoding="utf-8"?>
<sst xmlns="http://schemas.openxmlformats.org/spreadsheetml/2006/main">
  <si>
    <t>DATA_ACCETTAZIONE</t>
  </si>
  <si>
    <t>CODICE_ORDINE</t>
  </si>
  <si>
    <t>CODICE_FISCALE</t>
  </si>
  <si>
    <t>VARIABILE_POPOLAZIONE</t>
  </si>
  <si>
    <t>DISPONIBILE</t>
  </si>
  <si>
    <t>RIGA</t>
  </si>
  <si>
    <t>NOME</t>
  </si>
  <si>
    <t>NUMERO_ACCETTAZIONE</t>
  </si>
  <si>
    <t>DATA_REFERTAZIONE</t>
  </si>
  <si>
    <t>4</t>
  </si>
  <si>
    <t>6</t>
  </si>
  <si>
    <t/>
  </si>
  <si>
    <t>Atlantys</t>
  </si>
  <si>
    <t>Trypto in Atlantis</t>
  </si>
  <si>
    <t>Phenyl - Hexyl</t>
  </si>
  <si>
    <t>Trypto in Phenyl Exyl</t>
  </si>
  <si>
    <t>acido furan-2,5-dicarbossilico</t>
  </si>
  <si>
    <t>acido 3-idrossifenilacetico</t>
  </si>
  <si>
    <t>acido 4-idrossifenilacetico</t>
  </si>
  <si>
    <t>acido acetico</t>
  </si>
  <si>
    <t>acido benzoico</t>
  </si>
  <si>
    <t>acido propionico</t>
  </si>
  <si>
    <t>acido iso-butirrico</t>
  </si>
  <si>
    <t>acido butirrico</t>
  </si>
  <si>
    <t>acido iso-valerico</t>
  </si>
  <si>
    <t>acido 2-metil-butirrico</t>
  </si>
  <si>
    <t>acido valerico</t>
  </si>
  <si>
    <t>acido caproico</t>
  </si>
  <si>
    <t>acido eptanoico</t>
  </si>
  <si>
    <t>acido lattico</t>
  </si>
  <si>
    <t>o-cresolo</t>
  </si>
  <si>
    <t>m-cresolo</t>
  </si>
  <si>
    <t>p-cresolo</t>
  </si>
  <si>
    <t>creatinina</t>
  </si>
  <si>
    <t>INDACANO</t>
  </si>
  <si>
    <t>ACCETTAZIONE</t>
  </si>
  <si>
    <t>ORDINE</t>
  </si>
  <si>
    <t>CODICE FISCALE</t>
  </si>
  <si>
    <t>VAR. POP</t>
  </si>
  <si>
    <t>NUMERO</t>
  </si>
  <si>
    <t>DATA REF</t>
  </si>
  <si>
    <t>NUMERO ACCETTAZIONE</t>
  </si>
  <si>
    <t>DATA</t>
  </si>
  <si>
    <t>CONTROLLO</t>
  </si>
  <si>
    <t>27_3_2026</t>
  </si>
  <si>
    <t>WYQCGYQWB</t>
  </si>
  <si>
    <t>SNTMRA98C46F443H</t>
  </si>
  <si>
    <t>SANTOLIN MARA</t>
  </si>
  <si>
    <t>16_4_2026</t>
  </si>
  <si>
    <t>31_3_2026</t>
  </si>
  <si>
    <t>ETCBCPBUF</t>
  </si>
  <si>
    <t>GDCMSM77D13M102L</t>
  </si>
  <si>
    <t>MASSIMILIANO GIUDICI</t>
  </si>
  <si>
    <t>ZPNNSWQED</t>
  </si>
  <si>
    <t>GRNRRT75E57L407E</t>
  </si>
  <si>
    <t>GRANZOTTO ROBERTA</t>
  </si>
  <si>
    <t>1_4_2026</t>
  </si>
  <si>
    <t>XRPOMEGSE</t>
  </si>
  <si>
    <t>CVNLRA78C56H199W</t>
  </si>
  <si>
    <t>CAVINA LAURA</t>
  </si>
  <si>
    <t>2_4_2026</t>
  </si>
  <si>
    <t>LMRMCMHVL</t>
  </si>
  <si>
    <t>BRTSLV89T64A944J</t>
  </si>
  <si>
    <t>BERTINI SILVIA</t>
  </si>
  <si>
    <t>YHXVSIXFS</t>
  </si>
  <si>
    <t>MGLNMR57E63H163I</t>
  </si>
  <si>
    <t>MIGLIORISI ANNAMARIA</t>
  </si>
  <si>
    <t>UCGPPYEYF</t>
  </si>
  <si>
    <t>LTNGBR54H08L219B</t>
  </si>
  <si>
    <t>ALTINA GILBERTO</t>
  </si>
  <si>
    <t>8_4_2026</t>
  </si>
  <si>
    <t>CYNJPODVP</t>
  </si>
  <si>
    <t>RMNCRN56C62C651Q</t>
  </si>
  <si>
    <t>ARMANASCO CATERINA</t>
  </si>
  <si>
    <t>QBJJVYOQA</t>
  </si>
  <si>
    <t>SGNMHL90L53I804V</t>
  </si>
  <si>
    <t>SIGNORILE MICHAELA</t>
  </si>
  <si>
    <t>XODHYGWYI</t>
  </si>
  <si>
    <t>FGLLRS51R41C351W</t>
  </si>
  <si>
    <t>FIGLIA OLIVIA ROSARIA</t>
  </si>
  <si>
    <t>TLAPEZPTM</t>
  </si>
  <si>
    <t>DLLLGU65H02D801C</t>
  </si>
  <si>
    <t>DELLA CORTE LUIGI</t>
  </si>
</sst>
</file>

<file path=xl/styles.xml><?xml version="1.0" encoding="utf-8"?>
<styleSheet xmlns="http://schemas.openxmlformats.org/spreadsheetml/2006/main">
  <numFmts count="1">
    <numFmt numFmtId="164" formatCode="0.0000"/>
  </numFmts>
  <fonts count="12">
    <font>
      <sz val="12"/>
      <color theme="1"/>
      <name val="Calibri"/>
      <family val="2"/>
      <scheme val="minor"/>
    </font>
    <font>
      <sz val="12"/>
      <name val="Calibri"/>
      <scheme val="minor"/>
    </font>
    <font>
      <sz val="8"/>
      <color rgb="FF000000"/>
      <name val="Arial"/>
    </font>
    <font>
      <sz val="8"/>
      <color rgb="FF000000"/>
      <name val="Calibri"/>
    </font>
    <font>
      <sz val="10"/>
      <color rgb="FF000000"/>
      <name val="Calibri"/>
      <scheme val="minor"/>
    </font>
    <font>
      <sz val="11"/>
      <name val="Calibri"/>
      <scheme val="minor"/>
    </font>
    <font>
      <sz val="11"/>
      <name val="Tahoma"/>
    </font>
    <font>
      <sz val="11"/>
      <color theme="1"/>
      <name val="Calibri"/>
      <scheme val="minor"/>
    </font>
    <font>
      <b/>
      <sz val="17"/>
      <color rgb="FF000000"/>
      <name val="Calibri"/>
    </font>
    <font>
      <sz val="10"/>
      <name val="Tahoma"/>
    </font>
    <font>
      <sz val="10"/>
      <color theme="1"/>
      <name val="Arial"/>
    </font>
    <font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rgb="FFFFFFFF"/>
      </patternFill>
    </fill>
  </fills>
  <borders count="26">
    <border/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>
        <color indexed="64"/>
      </diagonal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>
        <color indexed="64"/>
      </diagonal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>
        <color indexed="64"/>
      </diagonal>
    </border>
    <border>
      <left style="thin">
        <color rgb="FF9A9A9A"/>
      </left>
      <right style="thin">
        <color rgb="FF9A9A9A"/>
      </right>
      <top style="thin">
        <color rgb="FF9A9A9A"/>
      </top>
      <bottom style="medium">
        <color rgb="FF000000"/>
      </bottom>
    </border>
    <border>
      <left style="thin">
        <color rgb="FF9A9A9A"/>
      </left>
      <right style="thin">
        <color rgb="FF000000"/>
      </right>
      <top style="thin">
        <color rgb="FF9A9A9A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</border>
    <border>
      <left style="thin">
        <color rgb="FF9A9A9A"/>
      </left>
      <right style="medium">
        <color rgb="FF000000"/>
      </right>
      <top style="thin">
        <color rgb="FF9A9A9A"/>
      </top>
      <bottom style="thin">
        <color rgb="FF9A9A9A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thin">
        <color rgb="FF9A9A9A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</border>
    <border>
      <left style="thin">
        <color rgb="FF9A9A9A"/>
      </left>
      <right style="medium">
        <color rgb="FF000000"/>
      </right>
      <top style="thin">
        <color rgb="FF9A9A9A"/>
      </top>
    </border>
    <border>
      <left style="medium">
        <color rgb="FF000000"/>
      </left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thin">
        <color rgb="FF9A9A9A"/>
      </top>
      <bottom style="thin">
        <color rgb="FF000000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>
        <color indexed="64"/>
      </left>
      <right>
        <color indexed="64"/>
      </right>
      <top>
        <color indexed="64"/>
      </top>
      <bottom>
        <color indexed="64"/>
      </bottom>
      <diagonal>
        <color indexed="64"/>
      </diagonal>
    </border>
  </borders>
  <cellStyleXfs count="10">
    <xf numFmtId="0" fontId="0" fillId="0" borderId="0"/>
    <xf numFmtId="0" fontId="4" fillId="0" borderId="25"/>
    <xf numFmtId="0" fontId="4" fillId="0" borderId="25"/>
    <xf numFmtId="0" fontId="4" fillId="0" borderId="25"/>
    <xf numFmtId="0" fontId="4" fillId="0" borderId="25"/>
    <xf numFmtId="0" fontId="4" fillId="0" borderId="25"/>
    <xf numFmtId="0" fontId="7" fillId="0" borderId="0"/>
    <xf numFmtId="0" fontId="7" fillId="0" borderId="0"/>
    <xf numFmtId="0" fontId="10" fillId="0" borderId="0"/>
    <xf numFmtId="0" fontId="11" fillId="0" borderId="0"/>
  </cellStyleXfs>
  <cellXfs count="43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1" applyFont="1" applyFill="1" applyBorder="1" applyAlignment="1">
      <alignment horizontal="center"/>
    </xf>
    <xf numFmtId="0" fontId="2" fillId="0" borderId="1" xfId="2" applyFont="1" applyBorder="1" applyAlignment="1">
      <alignment horizontal="center"/>
    </xf>
    <xf numFmtId="0" fontId="2" fillId="0" borderId="2" xfId="3" applyFont="1" applyBorder="1" applyAlignment="1">
      <alignment horizontal="center"/>
    </xf>
    <xf numFmtId="0" fontId="3" fillId="0" borderId="3" xfId="4" applyFont="1" applyBorder="1" applyAlignment="1">
      <alignment horizontal="center"/>
    </xf>
    <xf numFmtId="0" fontId="3" fillId="0" borderId="1" xfId="5" applyFont="1" applyBorder="1" applyAlignment="1">
      <alignment horizontal="center"/>
    </xf>
    <xf numFmtId="0" fontId="4" fillId="0" borderId="4" xfId="6" applyFont="1" applyBorder="1"/>
    <xf numFmtId="0" fontId="4" fillId="0" borderId="5" xfId="6" applyFont="1" applyBorder="1"/>
    <xf numFmtId="0" fontId="5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14" fontId="7" fillId="0" borderId="0" xfId="6" quotePrefix="1" applyNumberFormat="1"/>
    <xf numFmtId="0" fontId="7" fillId="0" borderId="0" xfId="6" quotePrefix="1"/>
    <xf numFmtId="0" fontId="4" fillId="0" borderId="6" xfId="6" applyFont="1" applyBorder="1"/>
    <xf numFmtId="0" fontId="4" fillId="0" borderId="7" xfId="6" applyFont="1" applyBorder="1"/>
    <xf numFmtId="0" fontId="8" fillId="3" borderId="8" xfId="6" applyFont="1" applyFill="1" applyBorder="1"/>
    <xf numFmtId="0" fontId="7" fillId="0" borderId="0" xfId="6"/>
    <xf numFmtId="0" fontId="8" fillId="3" borderId="8" xfId="6" applyFont="1" applyFill="1" applyBorder="1" applyAlignment="1">
      <alignment horizontal="center"/>
    </xf>
    <xf numFmtId="0" fontId="7" fillId="0" borderId="9" xfId="6" applyBorder="1"/>
    <xf numFmtId="0" fontId="7" fillId="0" borderId="10" xfId="6" applyBorder="1"/>
    <xf numFmtId="0" fontId="4" fillId="0" borderId="11" xfId="6" applyFont="1" applyBorder="1"/>
    <xf numFmtId="49" fontId="9" fillId="0" borderId="0" xfId="0" applyNumberFormat="1" applyFont="1" applyAlignment="1">
      <alignment horizontal="center" wrapText="1"/>
    </xf>
    <xf numFmtId="0" fontId="4" fillId="0" borderId="12" xfId="6" applyFont="1" applyBorder="1"/>
    <xf numFmtId="0" fontId="4" fillId="0" borderId="13" xfId="6" applyFont="1" applyBorder="1"/>
    <xf numFmtId="0" fontId="7" fillId="0" borderId="14" xfId="6" applyBorder="1"/>
    <xf numFmtId="0" fontId="7" fillId="0" borderId="15" xfId="6" applyBorder="1"/>
    <xf numFmtId="0" fontId="7" fillId="0" borderId="16" xfId="6" applyBorder="1"/>
    <xf numFmtId="0" fontId="7" fillId="0" borderId="17" xfId="6" applyBorder="1"/>
    <xf numFmtId="0" fontId="3" fillId="0" borderId="18" xfId="6" applyFont="1" applyBorder="1"/>
    <xf numFmtId="0" fontId="2" fillId="0" borderId="19" xfId="6" applyFont="1" applyBorder="1" applyAlignment="1">
      <alignment horizontal="center"/>
    </xf>
    <xf numFmtId="0" fontId="3" fillId="0" borderId="19" xfId="6" applyFont="1" applyBorder="1" applyAlignment="1">
      <alignment horizontal="center"/>
    </xf>
    <xf numFmtId="0" fontId="3" fillId="0" borderId="20" xfId="6" applyFont="1" applyBorder="1" applyAlignment="1">
      <alignment horizontal="center"/>
    </xf>
    <xf numFmtId="0" fontId="3" fillId="0" borderId="21" xfId="6" applyFont="1" applyBorder="1" applyAlignment="1">
      <alignment horizontal="center"/>
    </xf>
    <xf numFmtId="0" fontId="2" fillId="0" borderId="22" xfId="6" applyFont="1" applyBorder="1" applyAlignment="1">
      <alignment horizontal="center"/>
    </xf>
    <xf numFmtId="0" fontId="3" fillId="0" borderId="23" xfId="6" applyFont="1" applyBorder="1" applyAlignment="1">
      <alignment horizontal="center"/>
    </xf>
    <xf numFmtId="0" fontId="3" fillId="0" borderId="22" xfId="6" applyFont="1" applyBorder="1" applyAlignment="1">
      <alignment horizontal="center"/>
    </xf>
    <xf numFmtId="0" fontId="3" fillId="0" borderId="24" xfId="6" applyFont="1" applyBorder="1" applyAlignment="1">
      <alignment horizontal="center"/>
    </xf>
    <xf numFmtId="164" fontId="1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2" fontId="1" fillId="0" borderId="0" xfId="0" applyNumberFormat="1" applyFont="1" applyAlignment="1">
      <alignment horizontal="right"/>
    </xf>
    <xf numFmtId="2" fontId="7" fillId="0" borderId="19" xfId="7" applyNumberFormat="1" applyBorder="1" applyAlignment="1">
      <alignment horizontal="center"/>
    </xf>
  </cellXfs>
  <cellStyles count="10">
    <cellStyle name="Normal" xfId="0" builtinId="0"/>
    <cellStyle name="Style 1" xfId="1"/>
    <cellStyle name="Style 2" xfId="2"/>
    <cellStyle name="Style 3" xfId="3"/>
    <cellStyle name="Style 4" xfId="4"/>
    <cellStyle name="Style 5" xfId="5"/>
    <cellStyle name="Normale 2" xfId="6"/>
    <cellStyle name="Normale 4" xfId="7"/>
    <cellStyle name="Normale 2 2" xfId="8"/>
    <cellStyle name="Normale 3" xfId="9"/>
  </cellStyles>
  <dxfs count="0"/>
  <tableStyles count="0" defaultTableStyle="TableStyleMedium2" defaultPivotStyle="PivotStyleLight16"/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styles" Target="styles.xml" /><Relationship Id="rId3" Type="http://schemas.openxmlformats.org/officeDocument/2006/relationships/theme" Target="theme/theme1.xml" /><Relationship Id="rId4" Type="http://schemas.openxmlformats.org/officeDocument/2006/relationships/calcChain" Target="calcChain.xml" /><Relationship Id="rId5" Type="http://schemas.openxmlformats.org/officeDocument/2006/relationships/sharedStrings" Target="sharedStrings.xml" /><Relationship Id="rId6" Type="http://schemas.microsoft.com/office/2006/relationships/vbaProject" Target="vbaProject.bin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</xdr:row>
          <xdr:rowOff>19050</xdr:rowOff>
        </xdr:from>
        <xdr:to>
          <xdr:col>6</xdr:col>
          <xdr:colOff>1257300</xdr:colOff>
          <xdr:row>1</xdr:row>
          <xdr:rowOff>238125</xdr:rowOff>
        </xdr:to>
        <xdr:sp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prstGeom prst="rect"/>
            <a:noFill/>
            <a:ln w="9525">
              <a:miter lim="800000"/>
            </a:ln>
          </xdr:spPr>
          <xdr:txBody>
            <a:bodyPr vertOverflow="clip" wrap="square" lIns="27305" tIns="27305" rIns="27305" bIns="27305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AGIRE!!!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1571625</xdr:colOff>
          <xdr:row>1</xdr:row>
          <xdr:rowOff>19050</xdr:rowOff>
        </xdr:from>
        <xdr:to>
          <xdr:col>8</xdr:col>
          <xdr:colOff>304800</xdr:colOff>
          <xdr:row>1</xdr:row>
          <xdr:rowOff>238125</xdr:rowOff>
        </xdr:to>
        <xdr:sp>
          <xdr:nvSpPr>
            <xdr:cNvPr id="1027" name="Button 3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prstGeom prst="rect"/>
            <a:noFill/>
            <a:ln w="9525">
              <a:miter lim="800000"/>
            </a:ln>
          </xdr:spPr>
          <xdr:txBody>
            <a:bodyPr vertOverflow="clip" wrap="square" lIns="27305" tIns="27305" rIns="27305" bIns="27305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COMPILA!!!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Relationship Id="rId3" Type="http://schemas.openxmlformats.org/officeDocument/2006/relationships/vmlDrawing" Target="../drawings/vmlDrawing1.vml" /><Relationship Id="rId4" Type="http://schemas.openxmlformats.org/officeDocument/2006/relationships/ctrlProp" Target="../ctrlProps/ctrlProp1.xml" /><Relationship Id="rId5" Type="http://schemas.openxmlformats.org/officeDocument/2006/relationships/ctrlProp" Target="../ctrlProps/ctrlProp2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oglio1">
    <pageSetUpPr fitToPage="1"/>
  </sheetPr>
  <sheetViews>
    <sheetView tabSelected="1" zoomScale="80" zoomScaleNormal="80" zoomScaleSheetLayoutView="170" workbookViewId="0">
      <selection activeCell="A1" sqref="A1:I1"/>
    </sheetView>
  </sheetViews>
  <sheetFormatPr defaultColWidth="10.59766" defaultRowHeight="15.6"/>
  <cols>
    <col min="1" max="1" width="12.59766" bestFit="1" customWidth="1"/>
    <col min="2" max="2" width="6.699219" bestFit="1" customWidth="1"/>
    <col min="3" max="3" width="13.09766" bestFit="1" customWidth="1"/>
    <col min="4" max="4" width="7.699219" bestFit="1" customWidth="1"/>
    <col min="5" max="5" width="10.09766" hidden="1" customWidth="1"/>
    <col min="6" max="6" width="11.09766" hidden="1" customWidth="1"/>
    <col min="7" max="7" width="24.5" customWidth="1"/>
    <col min="8" max="8" width="7.597656" bestFit="1" customWidth="1"/>
    <col min="9" max="9" width="16.39844" customWidth="1"/>
    <col min="10" max="20" hidden="1" customWidth="1"/>
    <col min="21" max="21" width="13.39844" style="2" bestFit="1" customWidth="1"/>
    <col min="22" max="22" width="13.09766" style="3" bestFit="1" customWidth="1"/>
    <col min="23" max="23" width="14.39844" style="3" bestFit="1" customWidth="1"/>
    <col min="24" max="24" width="11.5" style="3" bestFit="1" customWidth="1"/>
    <col min="25" max="25" width="17.39844" style="3" bestFit="1" customWidth="1"/>
    <col min="26" max="26" width="16.69922" style="3" customWidth="1"/>
    <col min="27" max="27" width="11" style="3" bestFit="1" customWidth="1"/>
    <col min="28" max="28" width="11.5" style="3" bestFit="1" customWidth="1"/>
    <col min="29" max="29" width="12.5" style="3" bestFit="1" customWidth="1"/>
    <col min="30" max="30" width="12.5" style="3" customWidth="1"/>
    <col min="31" max="34" width="10.59766" style="3"/>
    <col min="36" max="16384" width="10.59766" style="3"/>
  </cols>
  <sheetData>
    <row r="1" thickBot="1" ht="16.35">
      <c r="A1" s="4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7" t="s">
        <v>5</v>
      </c>
      <c r="G1" s="8" t="s">
        <v>6</v>
      </c>
      <c r="H1" s="5" t="s">
        <v>7</v>
      </c>
      <c r="I1" s="6" t="s">
        <v>8</v>
      </c>
      <c r="J1" s="9"/>
      <c r="K1" s="9"/>
      <c r="L1" s="9"/>
      <c r="M1" s="9"/>
      <c r="N1" s="9"/>
      <c r="O1" s="9"/>
      <c r="P1" s="9"/>
      <c r="Q1" s="9"/>
      <c r="R1" s="9"/>
      <c r="S1" s="9"/>
      <c r="T1" s="10"/>
      <c r="U1" s="11">
        <v>1</v>
      </c>
      <c r="V1" s="11">
        <v>12</v>
      </c>
      <c r="W1" s="11">
        <v>2</v>
      </c>
      <c r="X1" s="11">
        <v>3</v>
      </c>
      <c r="Y1" s="12" t="s">
        <v>9</v>
      </c>
      <c r="Z1" s="12" t="s">
        <v>10</v>
      </c>
      <c r="AA1" s="11">
        <v>5</v>
      </c>
      <c r="AB1" s="11">
        <v>7</v>
      </c>
      <c r="AC1" s="11">
        <v>8</v>
      </c>
      <c r="AD1" s="11">
        <v>9</v>
      </c>
      <c r="AE1" s="11">
        <v>15</v>
      </c>
      <c r="AF1" s="11">
        <v>17</v>
      </c>
      <c r="AG1" s="11">
        <v>18</v>
      </c>
      <c r="AH1" s="11">
        <v>11</v>
      </c>
      <c r="AI1" s="11">
        <v>16</v>
      </c>
      <c r="AJ1" s="2">
        <v>14</v>
      </c>
      <c r="AK1" s="2">
        <v>13</v>
      </c>
      <c r="AL1" s="2">
        <v>19</v>
      </c>
      <c r="AM1" s="3">
        <v>10</v>
      </c>
    </row>
    <row r="2" ht="21.6" customHeight="1">
      <c r="A2" s="13" t="s">
        <v>11</v>
      </c>
      <c r="B2" s="14" t="s">
        <v>11</v>
      </c>
      <c r="C2" s="15">
        <f>COLUMN(U3)</f>
        <v>21</v>
      </c>
      <c r="D2" s="15"/>
      <c r="E2" s="16"/>
      <c r="F2" s="17" t="s">
        <v>12</v>
      </c>
      <c r="G2" s="18"/>
      <c r="H2" s="18"/>
      <c r="I2" s="18"/>
      <c r="J2" s="19" t="s">
        <v>13</v>
      </c>
      <c r="K2" s="20"/>
      <c r="L2" s="21"/>
      <c r="M2" s="19" t="s">
        <v>14</v>
      </c>
      <c r="N2" s="20"/>
      <c r="O2" s="20"/>
      <c r="P2" s="21"/>
      <c r="Q2" s="19" t="s">
        <v>15</v>
      </c>
      <c r="R2" s="20"/>
      <c r="S2" s="21"/>
      <c r="T2" s="22"/>
      <c r="U2" s="3"/>
      <c r="AI2" s="23" t="s">
        <v>16</v>
      </c>
      <c r="AJ2" s="23" t="s">
        <v>17</v>
      </c>
      <c r="AK2" s="23" t="s">
        <v>18</v>
      </c>
    </row>
    <row r="3" thickBot="1" s="1" customFormat="1" ht="31.15" customHeight="1">
      <c r="A3" s="24"/>
      <c r="B3" s="24"/>
      <c r="C3" s="24"/>
      <c r="D3" s="24"/>
      <c r="E3" s="25"/>
      <c r="F3" s="26"/>
      <c r="G3" s="18"/>
      <c r="H3" s="18"/>
      <c r="I3" s="18"/>
      <c r="J3" s="27"/>
      <c r="K3" s="28"/>
      <c r="L3" s="29"/>
      <c r="M3" s="27"/>
      <c r="N3" s="28"/>
      <c r="O3" s="28"/>
      <c r="P3" s="29"/>
      <c r="Q3" s="27"/>
      <c r="R3" s="28"/>
      <c r="S3" s="29"/>
      <c r="T3" s="30">
        <v>5</v>
      </c>
      <c r="U3" s="23" t="s">
        <v>19</v>
      </c>
      <c r="V3" s="23" t="s">
        <v>20</v>
      </c>
      <c r="W3" s="23" t="s">
        <v>21</v>
      </c>
      <c r="X3" s="23" t="s">
        <v>22</v>
      </c>
      <c r="Y3" s="23" t="s">
        <v>23</v>
      </c>
      <c r="Z3" s="23" t="s">
        <v>24</v>
      </c>
      <c r="AA3" s="23" t="s">
        <v>25</v>
      </c>
      <c r="AB3" s="23" t="s">
        <v>26</v>
      </c>
      <c r="AC3" s="23" t="s">
        <v>27</v>
      </c>
      <c r="AD3" s="23" t="s">
        <v>28</v>
      </c>
      <c r="AE3" s="23" t="s">
        <v>29</v>
      </c>
      <c r="AF3" s="23" t="s">
        <v>30</v>
      </c>
      <c r="AG3" s="23" t="s">
        <v>31</v>
      </c>
      <c r="AH3" s="23" t="s">
        <v>32</v>
      </c>
      <c r="AI3" s="23"/>
      <c r="AJ3" s="23"/>
      <c r="AK3" s="23"/>
      <c r="AL3" s="23" t="s">
        <v>33</v>
      </c>
      <c r="AM3" s="23" t="s">
        <v>34</v>
      </c>
      <c r="AN3" s="3"/>
    </row>
    <row r="4">
      <c r="A4" s="31" t="s">
        <v>35</v>
      </c>
      <c r="B4" s="31" t="s">
        <v>36</v>
      </c>
      <c r="C4" s="31" t="s">
        <v>37</v>
      </c>
      <c r="D4" s="31" t="s">
        <v>38</v>
      </c>
      <c r="E4" s="31" t="s">
        <v>4</v>
      </c>
      <c r="F4" s="32" t="s">
        <v>5</v>
      </c>
      <c r="G4" s="32" t="s">
        <v>6</v>
      </c>
      <c r="H4" s="31" t="s">
        <v>39</v>
      </c>
      <c r="I4" s="31" t="s">
        <v>40</v>
      </c>
      <c r="J4" s="33" t="s">
        <v>5</v>
      </c>
      <c r="K4" s="34" t="s">
        <v>6</v>
      </c>
      <c r="L4" s="35" t="s">
        <v>41</v>
      </c>
      <c r="M4" s="36" t="s">
        <v>5</v>
      </c>
      <c r="N4" s="34" t="s">
        <v>6</v>
      </c>
      <c r="O4" s="34" t="s">
        <v>39</v>
      </c>
      <c r="P4" s="37" t="s">
        <v>42</v>
      </c>
      <c r="Q4" s="36" t="s">
        <v>5</v>
      </c>
      <c r="R4" s="34" t="s">
        <v>6</v>
      </c>
      <c r="S4" s="37" t="s">
        <v>39</v>
      </c>
      <c r="T4" s="38" t="s">
        <v>43</v>
      </c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</row>
    <row r="5">
      <c r="A5" t="s">
        <v>44</v>
      </c>
      <c r="B5" t="s">
        <v>45</v>
      </c>
      <c r="C5" t="s">
        <v>46</v>
      </c>
      <c r="D5" s="40">
        <f t="shared" ref="D5:D25" si="0">IFERROR(IF(MID(C5,10,2)*1&lt;40,1,2),"")</f>
        <v>2</v>
      </c>
      <c r="G5" t="s">
        <v>47</v>
      </c>
      <c r="H5">
        <v>1601</v>
      </c>
      <c r="I5" t="s">
        <v>48</v>
      </c>
      <c r="U5" s="41">
        <v>34.582965178650468</v>
      </c>
      <c r="V5" s="41"/>
      <c r="W5" s="41">
        <v>29.673154083452548</v>
      </c>
      <c r="X5" s="41">
        <v>0.65046964726181533</v>
      </c>
      <c r="Y5" s="41">
        <v>0.25707592354818276</v>
      </c>
      <c r="Z5" s="41">
        <v>0.25981129442159834</v>
      </c>
      <c r="AA5" s="41">
        <v>0.77593872446425527</v>
      </c>
      <c r="AB5" s="41">
        <v>0.24986739699952942</v>
      </c>
      <c r="AC5" s="41"/>
      <c r="AD5" s="41">
        <v>0.16953648717985498</v>
      </c>
      <c r="AE5" s="41">
        <v>60.603098438173127</v>
      </c>
      <c r="AF5" s="41">
        <v>0.0089549464716500854</v>
      </c>
      <c r="AG5" s="41"/>
      <c r="AH5" s="41">
        <v>0.080969032465638566</v>
      </c>
      <c r="AI5" s="41">
        <v>5.0518927881009636</v>
      </c>
      <c r="AJ5" s="41">
        <v>13.126642004382134</v>
      </c>
      <c r="AK5" s="41">
        <v>18.210505366446171</v>
      </c>
      <c r="AL5" s="41">
        <v>0.90000000000000002</v>
      </c>
      <c r="AM5" s="42">
        <v>27.931596091205211</v>
      </c>
    </row>
    <row r="6">
      <c r="A6" t="s">
        <v>49</v>
      </c>
      <c r="B6" t="s">
        <v>50</v>
      </c>
      <c r="C6" t="s">
        <v>51</v>
      </c>
      <c r="D6" s="40">
        <f t="shared" si="0"/>
        <v>1</v>
      </c>
      <c r="G6" t="s">
        <v>52</v>
      </c>
      <c r="H6">
        <v>1661</v>
      </c>
      <c r="I6" t="s">
        <v>48</v>
      </c>
      <c r="U6" s="41">
        <v>24.136458926056076</v>
      </c>
      <c r="V6" s="41"/>
      <c r="W6" s="41">
        <v>29.620445928308062</v>
      </c>
      <c r="X6" s="41">
        <v>1.0717899787436274</v>
      </c>
      <c r="Y6" s="41">
        <v>0.87996035042711163</v>
      </c>
      <c r="Z6" s="41">
        <v>0.24805293758097727</v>
      </c>
      <c r="AA6" s="41">
        <v>1.6670768650422865</v>
      </c>
      <c r="AB6" s="41">
        <v>0.088649037988194249</v>
      </c>
      <c r="AC6" s="41">
        <v>0.038915408063225979</v>
      </c>
      <c r="AD6" s="41"/>
      <c r="AE6" s="41">
        <v>11.490377669067822</v>
      </c>
      <c r="AF6" s="41">
        <v>0.0051656922903102432</v>
      </c>
      <c r="AG6" s="41"/>
      <c r="AH6" s="41">
        <v>0.18383114037821841</v>
      </c>
      <c r="AI6" s="41">
        <v>3.4165892390740225</v>
      </c>
      <c r="AJ6" s="41">
        <v>20.631643406330756</v>
      </c>
      <c r="AK6" s="41">
        <v>84.805027843068459</v>
      </c>
      <c r="AL6" s="41">
        <v>1.3999999999999999</v>
      </c>
      <c r="AM6" s="42">
        <v>92.003257328990244</v>
      </c>
    </row>
    <row r="7">
      <c r="A7" t="s">
        <v>49</v>
      </c>
      <c r="B7" t="s">
        <v>53</v>
      </c>
      <c r="C7" t="s">
        <v>54</v>
      </c>
      <c r="D7" s="40">
        <f t="shared" si="0"/>
        <v>2</v>
      </c>
      <c r="G7" t="s">
        <v>55</v>
      </c>
      <c r="H7">
        <v>1677</v>
      </c>
      <c r="I7" t="s">
        <v>48</v>
      </c>
      <c r="U7" s="41">
        <v>40.49859876529942</v>
      </c>
      <c r="V7" s="41"/>
      <c r="W7" s="41">
        <v>65.469889081456387</v>
      </c>
      <c r="X7" s="41">
        <v>0.1779099892433347</v>
      </c>
      <c r="Y7" s="41">
        <v>0.95773674657027374</v>
      </c>
      <c r="Z7" s="41">
        <v>0.20310364504196807</v>
      </c>
      <c r="AA7" s="41">
        <v>0.057311999062463065</v>
      </c>
      <c r="AB7" s="41">
        <v>0.66944449852281585</v>
      </c>
      <c r="AC7" s="41">
        <v>0.72591950085101764</v>
      </c>
      <c r="AD7" s="41"/>
      <c r="AE7" s="41">
        <v>9.9690001123123917</v>
      </c>
      <c r="AF7" s="41">
        <v>0.019203625113875945</v>
      </c>
      <c r="AG7" s="41"/>
      <c r="AH7" s="41">
        <v>0.33681986712133294</v>
      </c>
      <c r="AI7" s="41">
        <v>16.889392941640594</v>
      </c>
      <c r="AJ7" s="41">
        <v>7.805669690197945</v>
      </c>
      <c r="AK7" s="41">
        <v>23.565843608536781</v>
      </c>
      <c r="AL7" s="41">
        <v>0.40000000000000002</v>
      </c>
      <c r="AM7" s="42">
        <v>15.162866449511402</v>
      </c>
    </row>
    <row r="8">
      <c r="A8" t="s">
        <v>56</v>
      </c>
      <c r="B8" t="s">
        <v>57</v>
      </c>
      <c r="C8" t="s">
        <v>58</v>
      </c>
      <c r="D8" s="40">
        <f t="shared" si="0"/>
        <v>2</v>
      </c>
      <c r="G8" t="s">
        <v>59</v>
      </c>
      <c r="H8">
        <v>1714</v>
      </c>
      <c r="I8" t="s">
        <v>48</v>
      </c>
      <c r="U8" s="41">
        <v>20.90316043313765</v>
      </c>
      <c r="V8" s="41"/>
      <c r="W8" s="41">
        <v>26.396073096108161</v>
      </c>
      <c r="X8" s="41">
        <v>0.31677594645454799</v>
      </c>
      <c r="Y8" s="41">
        <v>0.13164120938919241</v>
      </c>
      <c r="Z8" s="41">
        <v>0.060587629673958573</v>
      </c>
      <c r="AA8" s="41"/>
      <c r="AB8" s="41">
        <v>0.23006873753513726</v>
      </c>
      <c r="AC8" s="41"/>
      <c r="AD8" s="41"/>
      <c r="AE8" s="41">
        <v>16.739789454242924</v>
      </c>
      <c r="AF8" s="41">
        <v>0.0066303677515913229</v>
      </c>
      <c r="AG8" s="41"/>
      <c r="AH8" s="41">
        <v>0.058631791043135539</v>
      </c>
      <c r="AI8" s="41">
        <v>1.4778164938725116</v>
      </c>
      <c r="AJ8" s="41">
        <v>3.9211918945110154</v>
      </c>
      <c r="AK8" s="41">
        <v>9.8897873585552922</v>
      </c>
      <c r="AL8" s="41">
        <v>0.90000000000000002</v>
      </c>
      <c r="AM8" s="42">
        <v>49.250814332247558</v>
      </c>
    </row>
    <row r="9">
      <c r="A9" t="s">
        <v>60</v>
      </c>
      <c r="B9" t="s">
        <v>61</v>
      </c>
      <c r="C9" t="s">
        <v>62</v>
      </c>
      <c r="D9" s="40">
        <f t="shared" si="0"/>
        <v>2</v>
      </c>
      <c r="G9" t="s">
        <v>63</v>
      </c>
      <c r="H9">
        <v>1741</v>
      </c>
      <c r="I9" t="s">
        <v>48</v>
      </c>
      <c r="U9" s="41">
        <v>23.742032332439745</v>
      </c>
      <c r="V9" s="41"/>
      <c r="W9" s="41">
        <v>28.148441430533417</v>
      </c>
      <c r="X9" s="41">
        <v>0.3233017797906087</v>
      </c>
      <c r="Y9" s="41">
        <v>1.6102185647139027</v>
      </c>
      <c r="Z9" s="41">
        <v>0.22163583595611025</v>
      </c>
      <c r="AA9" s="41">
        <v>1.280627877913092</v>
      </c>
      <c r="AB9" s="41">
        <v>0.08610822518062064</v>
      </c>
      <c r="AC9" s="41">
        <v>0.3105714122434145</v>
      </c>
      <c r="AD9" s="41">
        <v>0.027080997455079948</v>
      </c>
      <c r="AE9" s="41">
        <v>28.717637168612956</v>
      </c>
      <c r="AF9" s="41">
        <v>0.0074759383563108156</v>
      </c>
      <c r="AG9" s="41"/>
      <c r="AH9" s="41">
        <v>0.2004144782194584</v>
      </c>
      <c r="AI9" s="41">
        <v>17.558411140005852</v>
      </c>
      <c r="AJ9" s="41">
        <v>23.216961757997048</v>
      </c>
      <c r="AK9" s="41">
        <v>68.630026403432367</v>
      </c>
      <c r="AL9" s="41">
        <v>1.3</v>
      </c>
      <c r="AM9" s="42">
        <v>102.26384364820846</v>
      </c>
    </row>
    <row r="10">
      <c r="A10" t="s">
        <v>60</v>
      </c>
      <c r="B10" t="s">
        <v>64</v>
      </c>
      <c r="C10" t="s">
        <v>65</v>
      </c>
      <c r="D10" s="40">
        <f t="shared" si="0"/>
        <v>2</v>
      </c>
      <c r="G10" t="s">
        <v>66</v>
      </c>
      <c r="H10">
        <v>1749</v>
      </c>
      <c r="I10" t="s">
        <v>48</v>
      </c>
      <c r="U10" s="41">
        <v>696.45847886776164</v>
      </c>
      <c r="V10" s="41"/>
      <c r="W10" s="41">
        <v>59.847951630016837</v>
      </c>
      <c r="X10" s="41">
        <v>0.69284248268951865</v>
      </c>
      <c r="Y10" s="41">
        <v>0.50623249794214709</v>
      </c>
      <c r="Z10" s="41">
        <v>0.30826843909968099</v>
      </c>
      <c r="AA10" s="41"/>
      <c r="AB10" s="41">
        <v>0.28687658235200764</v>
      </c>
      <c r="AC10" s="41">
        <v>0.26656625882791551</v>
      </c>
      <c r="AD10" s="41">
        <v>0.13193753035961742</v>
      </c>
      <c r="AE10" s="41">
        <v>30.107003840792498</v>
      </c>
      <c r="AF10" s="41">
        <v>0.019062870901148186</v>
      </c>
      <c r="AG10" s="41"/>
      <c r="AH10" s="41">
        <v>8.2658097261703034</v>
      </c>
      <c r="AI10" s="41">
        <v>3.8084946044745061</v>
      </c>
      <c r="AJ10" s="41">
        <v>12.424647841185394</v>
      </c>
      <c r="AK10" s="41">
        <v>30.416560039944571</v>
      </c>
      <c r="AL10" s="41">
        <v>0.40000000000000002</v>
      </c>
      <c r="AM10" s="42">
        <v>52.100977198697066</v>
      </c>
    </row>
    <row r="11">
      <c r="A11" t="s">
        <v>60</v>
      </c>
      <c r="B11" t="s">
        <v>67</v>
      </c>
      <c r="C11" t="s">
        <v>68</v>
      </c>
      <c r="D11" s="40">
        <f t="shared" si="0"/>
        <v>1</v>
      </c>
      <c r="G11" t="s">
        <v>69</v>
      </c>
      <c r="H11">
        <v>1766</v>
      </c>
      <c r="I11" t="s">
        <v>48</v>
      </c>
      <c r="U11" s="41">
        <v>24.620322675595535</v>
      </c>
      <c r="V11" s="41"/>
      <c r="W11" s="41">
        <v>25.585378647785262</v>
      </c>
      <c r="X11" s="41">
        <v>0.47718105039595904</v>
      </c>
      <c r="Y11" s="41">
        <v>0.56007560099364206</v>
      </c>
      <c r="Z11" s="41">
        <v>0.30293065467724511</v>
      </c>
      <c r="AA11" s="41">
        <v>1.6536360835711257</v>
      </c>
      <c r="AB11" s="41"/>
      <c r="AC11" s="41"/>
      <c r="AD11" s="41">
        <v>0.022870643126533353</v>
      </c>
      <c r="AE11" s="41">
        <v>15.667641226424596</v>
      </c>
      <c r="AF11" s="41">
        <v>0.0059773725896735347</v>
      </c>
      <c r="AG11" s="41"/>
      <c r="AH11" s="41">
        <v>0.070879936518188497</v>
      </c>
      <c r="AI11" s="41">
        <v>3.0795060165365453</v>
      </c>
      <c r="AJ11" s="41">
        <v>9.4564794918681763</v>
      </c>
      <c r="AK11" s="41">
        <v>52.667403331219596</v>
      </c>
      <c r="AL11" s="41">
        <v>1.5</v>
      </c>
      <c r="AM11" s="42">
        <v>121.07491856677525</v>
      </c>
    </row>
    <row r="12">
      <c r="A12" t="s">
        <v>70</v>
      </c>
      <c r="B12" t="s">
        <v>71</v>
      </c>
      <c r="C12" t="s">
        <v>72</v>
      </c>
      <c r="D12" s="40">
        <f t="shared" si="0"/>
        <v>2</v>
      </c>
      <c r="G12" t="s">
        <v>73</v>
      </c>
      <c r="H12">
        <v>1804</v>
      </c>
      <c r="I12" t="s">
        <v>48</v>
      </c>
      <c r="U12" s="41">
        <v>39.803064976797287</v>
      </c>
      <c r="V12" s="41"/>
      <c r="W12" s="41">
        <v>65.516231800891561</v>
      </c>
      <c r="X12" s="41">
        <v>1.4674192181967869</v>
      </c>
      <c r="Y12" s="41">
        <v>1.554111735118914</v>
      </c>
      <c r="Z12" s="41">
        <v>0.4358447144593191</v>
      </c>
      <c r="AA12" s="41">
        <v>2.4682655744980515</v>
      </c>
      <c r="AB12" s="41"/>
      <c r="AC12" s="41">
        <v>0.26569707356342326</v>
      </c>
      <c r="AD12" s="41">
        <v>0.0099700673483354846</v>
      </c>
      <c r="AE12" s="41">
        <v>49.432341532092671</v>
      </c>
      <c r="AF12" s="41">
        <v>0.014335990169592036</v>
      </c>
      <c r="AG12" s="41">
        <v>0.0073052972355659457</v>
      </c>
      <c r="AH12" s="41">
        <v>0.02619343617796141</v>
      </c>
      <c r="AI12" s="41">
        <v>27.68576963937754</v>
      </c>
      <c r="AJ12" s="41">
        <v>77.14913591140477</v>
      </c>
      <c r="AK12" s="41">
        <v>249.65541019381229</v>
      </c>
      <c r="AL12" s="41">
        <v>0.69999999999999996</v>
      </c>
      <c r="AM12" s="42">
        <v>34.087947882736159</v>
      </c>
    </row>
    <row r="13">
      <c r="A13" t="s">
        <v>70</v>
      </c>
      <c r="B13" t="s">
        <v>74</v>
      </c>
      <c r="C13" t="s">
        <v>75</v>
      </c>
      <c r="D13" s="40">
        <f t="shared" si="0"/>
        <v>2</v>
      </c>
      <c r="G13" t="s">
        <v>76</v>
      </c>
      <c r="H13">
        <v>1805</v>
      </c>
      <c r="I13" t="s">
        <v>48</v>
      </c>
      <c r="U13" s="41">
        <v>40.688476456206232</v>
      </c>
      <c r="V13" s="41">
        <v>0.23244827159928419</v>
      </c>
      <c r="W13" s="41">
        <v>46.633148977041003</v>
      </c>
      <c r="X13" s="41">
        <v>1.8551702146639319</v>
      </c>
      <c r="Y13" s="41">
        <v>1.5464761269836989</v>
      </c>
      <c r="Z13" s="41">
        <v>0.200589857553686</v>
      </c>
      <c r="AA13" s="41">
        <v>0.98842559818519071</v>
      </c>
      <c r="AB13" s="41">
        <v>0.64550512478260014</v>
      </c>
      <c r="AC13" s="41">
        <v>0.32832080191980223</v>
      </c>
      <c r="AD13" s="41">
        <v>0.032285730633696122</v>
      </c>
      <c r="AE13" s="41">
        <v>86.210846609915436</v>
      </c>
      <c r="AF13" s="41">
        <v>0.011205568740965849</v>
      </c>
      <c r="AG13" s="41"/>
      <c r="AH13" s="41">
        <v>0.59704872206648796</v>
      </c>
      <c r="AI13" s="41">
        <v>10.983155926215289</v>
      </c>
      <c r="AJ13" s="41">
        <v>41.74435103042476</v>
      </c>
      <c r="AK13" s="41">
        <v>67.271701452113859</v>
      </c>
      <c r="AL13" s="41">
        <v>0.59999999999999998</v>
      </c>
      <c r="AM13" s="42">
        <v>52.899022801302934</v>
      </c>
    </row>
    <row r="14">
      <c r="A14" t="s">
        <v>70</v>
      </c>
      <c r="B14" t="s">
        <v>77</v>
      </c>
      <c r="C14" t="s">
        <v>78</v>
      </c>
      <c r="D14" s="40">
        <f t="shared" si="0"/>
        <v>2</v>
      </c>
      <c r="G14" t="s">
        <v>79</v>
      </c>
      <c r="H14">
        <v>1811</v>
      </c>
      <c r="I14" t="s">
        <v>48</v>
      </c>
      <c r="U14" s="41">
        <v>1203.1327757427873</v>
      </c>
      <c r="V14" s="41"/>
      <c r="W14" s="41">
        <v>60.221437396246934</v>
      </c>
      <c r="X14" s="41">
        <v>1.2357725872827736</v>
      </c>
      <c r="Y14" s="41">
        <v>1.4364127705648253</v>
      </c>
      <c r="Z14" s="41">
        <v>0.38818394006993989</v>
      </c>
      <c r="AA14" s="41">
        <v>2.9301955217702211</v>
      </c>
      <c r="AB14" s="41">
        <v>0.2481118681350023</v>
      </c>
      <c r="AC14" s="41">
        <v>1.0015343537261661</v>
      </c>
      <c r="AD14" s="41">
        <v>0.1388523000697601</v>
      </c>
      <c r="AE14" s="41">
        <v>357.68281202492682</v>
      </c>
      <c r="AF14" s="41">
        <v>0.021573312281599373</v>
      </c>
      <c r="AG14" s="41">
        <v>0.037657150004192071</v>
      </c>
      <c r="AH14" s="41">
        <v>1.5404653901961549</v>
      </c>
      <c r="AI14" s="41">
        <v>12.924606760449375</v>
      </c>
      <c r="AJ14" s="41">
        <v>82.723892731083893</v>
      </c>
      <c r="AK14" s="41">
        <v>100.12678376978195</v>
      </c>
      <c r="AL14" s="41">
        <v>0.69999999999999996</v>
      </c>
      <c r="AM14" s="42">
        <v>57.687296416938111</v>
      </c>
    </row>
    <row r="15">
      <c r="A15" t="s">
        <v>70</v>
      </c>
      <c r="B15" t="s">
        <v>80</v>
      </c>
      <c r="C15" t="s">
        <v>81</v>
      </c>
      <c r="D15" s="40">
        <f t="shared" si="0"/>
        <v>1</v>
      </c>
      <c r="G15" t="s">
        <v>82</v>
      </c>
      <c r="H15">
        <v>1818</v>
      </c>
      <c r="I15" t="s">
        <v>48</v>
      </c>
      <c r="U15" s="41">
        <v>24.913368432762965</v>
      </c>
      <c r="V15" s="41">
        <v>0.09947441943485763</v>
      </c>
      <c r="W15" s="41">
        <v>27.120027622582064</v>
      </c>
      <c r="X15" s="41">
        <v>0.61058147698879273</v>
      </c>
      <c r="Y15" s="41">
        <v>0.80024899100877012</v>
      </c>
      <c r="Z15" s="41">
        <v>0.21886707084539039</v>
      </c>
      <c r="AA15" s="41">
        <v>1.0975557191973579</v>
      </c>
      <c r="AB15" s="41">
        <v>0.23260317951906087</v>
      </c>
      <c r="AC15" s="41">
        <v>0.094074503229759687</v>
      </c>
      <c r="AD15" s="41">
        <v>0.030492074876832118</v>
      </c>
      <c r="AE15" s="41">
        <v>16.862174670682396</v>
      </c>
      <c r="AF15" s="41">
        <v>0.0093621583125270812</v>
      </c>
      <c r="AG15" s="41">
        <v>0.0098940364845919119</v>
      </c>
      <c r="AH15" s="41">
        <v>0.19618072040544551</v>
      </c>
      <c r="AI15" s="41">
        <v>6.1819096891722056</v>
      </c>
      <c r="AJ15" s="41">
        <v>5.9420230094055446</v>
      </c>
      <c r="AK15" s="41">
        <v>45.234204154667218</v>
      </c>
      <c r="AL15" s="41">
        <v>1.7</v>
      </c>
      <c r="AM15" s="42">
        <v>57.915309446254071</v>
      </c>
    </row>
    <row r="16">
      <c r="D16" s="40" t="str">
        <f t="shared" si="0"/>
        <v/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</row>
    <row r="17">
      <c r="D17" s="40" t="str">
        <f t="shared" si="0"/>
        <v/>
      </c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</row>
    <row r="18">
      <c r="D18" s="40" t="str">
        <f t="shared" si="0"/>
        <v/>
      </c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</row>
    <row r="19">
      <c r="D19" s="40" t="str">
        <f t="shared" si="0"/>
        <v/>
      </c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</row>
    <row r="20">
      <c r="D20" s="40" t="str">
        <f t="shared" si="0"/>
        <v/>
      </c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</row>
    <row r="21">
      <c r="D21" s="40" t="str">
        <f t="shared" si="0"/>
        <v/>
      </c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</row>
    <row r="22">
      <c r="D22" s="40" t="str">
        <f t="shared" si="0"/>
        <v/>
      </c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</row>
    <row r="23">
      <c r="D23" s="40" t="str">
        <f t="shared" si="0"/>
        <v/>
      </c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</row>
    <row r="24">
      <c r="D24" s="40" t="str">
        <f t="shared" si="0"/>
        <v/>
      </c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</row>
    <row r="25">
      <c r="D25" s="40" t="str">
        <f t="shared" si="0"/>
        <v/>
      </c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</row>
    <row r="26"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</row>
    <row r="27"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</row>
    <row r="28"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</row>
    <row r="29"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</row>
    <row r="30"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</row>
    <row r="31"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</row>
    <row r="32"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</row>
    <row r="33"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</row>
    <row r="34"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</sheetData>
  <mergeCells count="6">
    <mergeCell ref="AJ2:AJ3"/>
    <mergeCell ref="AK2:AK3"/>
    <mergeCell ref="AI2:AI3"/>
    <mergeCell ref="J2:L3"/>
    <mergeCell ref="M2:P3"/>
    <mergeCell ref="Q2:S3"/>
  </mergeCells>
  <pageSetup r:id="rId1" paperSize="9" orientation="landscape" horizontalDpi="1200" verticalDpi="1200" scale="61"/>
  <drawing r:id="rId2"/>
  <legacyDrawing r:id="rId3"/>
  <mc:AlternateContent xmlns:mc="http://schemas.openxmlformats.org/markup-compatibility/2006">
    <mc:Choice xmlns:x14="http://schemas.microsoft.com/office/spreadsheetml/2009/9/main" Requires="x14">
      <controls>
        <mc:AlternateContent xmlns:mc="http://schemas.openxmlformats.org/markup-compatibility/2006">
          <mc:Choice xmlns:x14="http://schemas.microsoft.com/office/spreadsheetml/2009/9/main" Requires="x14">
            <control r:id="rId4" name="Button 1" shapeId="1025">
              <controlPr autoFill="0" autoPict="0" macro="[0]!apriFoglio" print="0">
                <anchor xmlns:xdr="http://schemas.openxmlformats.org/drawingml/2006/spreadsheetDrawing" moveWithCells="1" sizeWithCells="1">
                  <from>
                    <xdr:col>6</xdr:col>
                    <xdr:colOff>66675</xdr:colOff>
                    <xdr:row>1</xdr:row>
                    <xdr:rowOff>19050</xdr:rowOff>
                  </from>
                  <to>
                    <xdr:col>6</xdr:col>
                    <xdr:colOff>1257300</xdr:colOff>
                    <xdr:row>1</xdr:row>
                    <xdr:rowOff>238125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xmlns:x14="http://schemas.microsoft.com/office/spreadsheetml/2009/9/main" Requires="x14">
            <control r:id="rId5" name="Button 3" shapeId="1027">
              <controlPr autoFill="0" autoPict="0" macro="[0]!compila" print="0">
                <anchor xmlns:xdr="http://schemas.openxmlformats.org/drawingml/2006/spreadsheetDrawing" moveWithCells="1" sizeWithCells="1">
                  <from>
                    <xdr:col>6</xdr:col>
                    <xdr:colOff>1571625</xdr:colOff>
                    <xdr:row>1</xdr:row>
                    <xdr:rowOff>19050</xdr:rowOff>
                  </from>
                  <to>
                    <xdr:col>8</xdr:col>
                    <xdr:colOff>304800</xdr:colOff>
                    <xdr:row>1</xdr:row>
                    <xdr:rowOff>238125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>
  <Application>DevExpress Office File API/22.1.4.0</Application>
  <AppVersion>22.1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Microsoft Office User</dc:creator>
  <cp:lastModifiedBy>Dario Uderzo</cp:lastModifiedBy>
  <cp:lastPrinted>2022-12-09T13:10:21Z</cp:lastPrinted>
  <dcterms:created xsi:type="dcterms:W3CDTF">2020-12-23T12:26:23Z</dcterms:created>
  <dcterms:modified xsi:type="dcterms:W3CDTF">2026-04-22T17:55:46Z</dcterms:modified>
</cp:coreProperties>
</file>