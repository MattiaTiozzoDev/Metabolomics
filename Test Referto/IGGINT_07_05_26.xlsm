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dario\Downloads\"/>
    </mc:Choice>
  </mc:AlternateContent>
  <bookViews>
    <workbookView xWindow="-108" yWindow="-108" windowWidth="23256" windowHeight="12456" activeTab="1"/>
  </bookViews>
  <sheets>
    <sheet name="referto_IGG180" sheetId="1" r:id="rId1"/>
    <sheet name="Calcoli" sheetId="2" r:id="rId2"/>
    <sheet name="Dati Grezzi" sheetId="3" state="hidden" r:id="rId3"/>
  </sheets>
  <calcPr/>
</workbook>
</file>

<file path=xl/calcChain.xml><?xml version="1.0" encoding="utf-8"?>
<calcChain xmlns="http://schemas.openxmlformats.org/spreadsheetml/2006/main">
  <c i="2" l="1" r="H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i="3" l="1"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1"/>
</calcChain>
</file>

<file path=xl/sharedStrings.xml><?xml version="1.0" encoding="utf-8"?>
<sst xmlns="http://schemas.openxmlformats.org/spreadsheetml/2006/main">
  <si>
    <t>CE-145792</t>
  </si>
  <si>
    <t>CP-175117</t>
  </si>
  <si>
    <t xml:space="preserve">	1772</t>
  </si>
  <si>
    <t>Tiami 180 Val Sambro</t>
  </si>
  <si>
    <t>Agnello</t>
  </si>
  <si>
    <t>Anatra</t>
  </si>
  <si>
    <t>Cavallo</t>
  </si>
  <si>
    <t>LIVIO MARIA LUISA</t>
  </si>
  <si>
    <t>Cinghiale</t>
  </si>
  <si>
    <t>Coniglio</t>
  </si>
  <si>
    <t>Fagiano</t>
  </si>
  <si>
    <t>Lepre</t>
  </si>
  <si>
    <t>Maiale</t>
  </si>
  <si>
    <t>Manzo</t>
  </si>
  <si>
    <t>Oca</t>
  </si>
  <si>
    <t>Pollo</t>
  </si>
  <si>
    <t>Tacchino</t>
  </si>
  <si>
    <t>Vitello</t>
  </si>
  <si>
    <t>Acciuga</t>
  </si>
  <si>
    <t>Anguilla</t>
  </si>
  <si>
    <t>Aringa</t>
  </si>
  <si>
    <t>Astice</t>
  </si>
  <si>
    <t>Baccalà</t>
  </si>
  <si>
    <t>Branzino</t>
  </si>
  <si>
    <t>Calamaro</t>
  </si>
  <si>
    <t>Coda di rospo</t>
  </si>
  <si>
    <t>Cozza</t>
  </si>
  <si>
    <t>Gambero</t>
  </si>
  <si>
    <t>Granchio</t>
  </si>
  <si>
    <t>Halibut</t>
  </si>
  <si>
    <t>Merluzzo</t>
  </si>
  <si>
    <t>Orata</t>
  </si>
  <si>
    <t>Platessa</t>
  </si>
  <si>
    <t>Polpo</t>
  </si>
  <si>
    <t>Rombo</t>
  </si>
  <si>
    <t>Salmone</t>
  </si>
  <si>
    <t>Sardina</t>
  </si>
  <si>
    <t>Seppia</t>
  </si>
  <si>
    <t>Sgombro</t>
  </si>
  <si>
    <t>Sogliola</t>
  </si>
  <si>
    <t>Tonno</t>
  </si>
  <si>
    <t>Trota</t>
  </si>
  <si>
    <t>Vongole</t>
  </si>
  <si>
    <t>Avena</t>
  </si>
  <si>
    <t>Farro</t>
  </si>
  <si>
    <t>Grano duro</t>
  </si>
  <si>
    <t>Grano saraceno</t>
  </si>
  <si>
    <t>Grano tenero</t>
  </si>
  <si>
    <t>Kamut</t>
  </si>
  <si>
    <t>Mais</t>
  </si>
  <si>
    <t>Orzo</t>
  </si>
  <si>
    <t>Riso</t>
  </si>
  <si>
    <t>Segale</t>
  </si>
  <si>
    <t>Tapioca</t>
  </si>
  <si>
    <t>Ceci</t>
  </si>
  <si>
    <t>Fagiolini</t>
  </si>
  <si>
    <t>Fagiolo</t>
  </si>
  <si>
    <t>Fava</t>
  </si>
  <si>
    <t>Lenticchie</t>
  </si>
  <si>
    <t>Piselli</t>
  </si>
  <si>
    <t>Soia</t>
  </si>
  <si>
    <t>Asparagi</t>
  </si>
  <si>
    <t>Bietola</t>
  </si>
  <si>
    <t>Broccolo</t>
  </si>
  <si>
    <t>Capperi</t>
  </si>
  <si>
    <t>Carciofo</t>
  </si>
  <si>
    <t>Carota</t>
  </si>
  <si>
    <t>Cavolfiore</t>
  </si>
  <si>
    <t>Cavolini di Bruxelles</t>
  </si>
  <si>
    <t>Cetriolo</t>
  </si>
  <si>
    <t>Cicoria</t>
  </si>
  <si>
    <t>Cipolla</t>
  </si>
  <si>
    <t>Crescione</t>
  </si>
  <si>
    <t>Finocchio</t>
  </si>
  <si>
    <t>Indivia</t>
  </si>
  <si>
    <t>Lattuga</t>
  </si>
  <si>
    <t>Melanzana</t>
  </si>
  <si>
    <t>Oliva</t>
  </si>
  <si>
    <t>Ortica</t>
  </si>
  <si>
    <t>Patata</t>
  </si>
  <si>
    <t>Peperoni</t>
  </si>
  <si>
    <t>Pomodoro</t>
  </si>
  <si>
    <t>Porro</t>
  </si>
  <si>
    <t>Rapa</t>
  </si>
  <si>
    <t>Ravanello</t>
  </si>
  <si>
    <t>Rucola</t>
  </si>
  <si>
    <t>Scarola</t>
  </si>
  <si>
    <t>Sedano</t>
  </si>
  <si>
    <t>Spinaci</t>
  </si>
  <si>
    <t>Verza</t>
  </si>
  <si>
    <t>Zucca</t>
  </si>
  <si>
    <t>Zucchina</t>
  </si>
  <si>
    <t>Asiago</t>
  </si>
  <si>
    <t>Emmentaler</t>
  </si>
  <si>
    <t>Formaggio fuso</t>
  </si>
  <si>
    <t>Gorgonzola</t>
  </si>
  <si>
    <t>Grana padano</t>
  </si>
  <si>
    <t>Latte di capra</t>
  </si>
  <si>
    <t>Latte di mucca</t>
  </si>
  <si>
    <t>Latte di pecora</t>
  </si>
  <si>
    <t>Mozzarella</t>
  </si>
  <si>
    <t>Mozzarella bufala</t>
  </si>
  <si>
    <t>Parmigiano Reggiano</t>
  </si>
  <si>
    <t>Pecorino</t>
  </si>
  <si>
    <t>Ricotta</t>
  </si>
  <si>
    <t>Albicocca</t>
  </si>
  <si>
    <t>Ananas</t>
  </si>
  <si>
    <t>Arancia</t>
  </si>
  <si>
    <t>Avocado</t>
  </si>
  <si>
    <t>Banana</t>
  </si>
  <si>
    <t>Cachi</t>
  </si>
  <si>
    <t>Ciliegia</t>
  </si>
  <si>
    <t>Cocco</t>
  </si>
  <si>
    <t>Cocomero</t>
  </si>
  <si>
    <t>Fico</t>
  </si>
  <si>
    <t>Fico d'india</t>
  </si>
  <si>
    <t>Fragola</t>
  </si>
  <si>
    <t>Kiwi</t>
  </si>
  <si>
    <t>Lampone</t>
  </si>
  <si>
    <t>Limone</t>
  </si>
  <si>
    <t>Mandarino</t>
  </si>
  <si>
    <t>Mango</t>
  </si>
  <si>
    <t>Mela</t>
  </si>
  <si>
    <t>Melograno</t>
  </si>
  <si>
    <t>Melone</t>
  </si>
  <si>
    <t>Mirtillo</t>
  </si>
  <si>
    <t>Mora</t>
  </si>
  <si>
    <t>Papaia</t>
  </si>
  <si>
    <t>Pera</t>
  </si>
  <si>
    <t>Pesca</t>
  </si>
  <si>
    <t>Pompelmo</t>
  </si>
  <si>
    <t>Prugna</t>
  </si>
  <si>
    <t>Uva bianca</t>
  </si>
  <si>
    <t>Uva rossa</t>
  </si>
  <si>
    <t>Anacardi</t>
  </si>
  <si>
    <t>Arachidi</t>
  </si>
  <si>
    <t>Castagna</t>
  </si>
  <si>
    <t>Mandorla</t>
  </si>
  <si>
    <t>Nocciola</t>
  </si>
  <si>
    <t>Noce</t>
  </si>
  <si>
    <t>Pinoli</t>
  </si>
  <si>
    <t>Pistacchio</t>
  </si>
  <si>
    <t>Seme di girasole</t>
  </si>
  <si>
    <t>Seme di lino</t>
  </si>
  <si>
    <t>Seme di zucca</t>
  </si>
  <si>
    <t>Sesamo</t>
  </si>
  <si>
    <t>Alloro</t>
  </si>
  <si>
    <t>Anice</t>
  </si>
  <si>
    <t>Basilico</t>
  </si>
  <si>
    <t>Cannella</t>
  </si>
  <si>
    <t>Coriandolo</t>
  </si>
  <si>
    <t>Erba cipollina</t>
  </si>
  <si>
    <t>Liquirizia</t>
  </si>
  <si>
    <t>Maggiorana</t>
  </si>
  <si>
    <t>Menta</t>
  </si>
  <si>
    <t>Noce moscata</t>
  </si>
  <si>
    <t>Origano</t>
  </si>
  <si>
    <t>Paprika</t>
  </si>
  <si>
    <t>Pepe nero</t>
  </si>
  <si>
    <t>Peperoncino</t>
  </si>
  <si>
    <t>Prezzemolo</t>
  </si>
  <si>
    <t>Rafano</t>
  </si>
  <si>
    <t>Rosmarino</t>
  </si>
  <si>
    <t>Salvia</t>
  </si>
  <si>
    <t>Senape</t>
  </si>
  <si>
    <t>Timo</t>
  </si>
  <si>
    <t>Vaniglia</t>
  </si>
  <si>
    <t>Zenzero</t>
  </si>
  <si>
    <t>Aglio</t>
  </si>
  <si>
    <t>Cacao</t>
  </si>
  <si>
    <t>Caffè</t>
  </si>
  <si>
    <t>Camomilla</t>
  </si>
  <si>
    <t>Funghi champignon</t>
  </si>
  <si>
    <t>Funghi porcini</t>
  </si>
  <si>
    <t>Lievito di birra</t>
  </si>
  <si>
    <t>Luppolo</t>
  </si>
  <si>
    <t>Malto d'orzo</t>
  </si>
  <si>
    <t>Miele</t>
  </si>
  <si>
    <t>Tè</t>
  </si>
  <si>
    <t>Tè verde</t>
  </si>
  <si>
    <t>Tiglio</t>
  </si>
  <si>
    <t>Uovo</t>
  </si>
  <si>
    <t>Aspergillus niger</t>
  </si>
  <si>
    <t>Candida albicans</t>
  </si>
  <si>
    <t>Mucor racemosus</t>
  </si>
  <si>
    <t>Penicillium notatum</t>
  </si>
  <si>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</si>
  <si>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</si>
  <si>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</si>
  <si>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</si>
  <si>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</si>
  <si>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</si>
  <si>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</si>
  <si>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</si>
  <si>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</si>
  <si>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DATA ACCETTAZIONE</t>
  </si>
  <si>
    <t>CODICE D'ORDINE</t>
  </si>
  <si>
    <t>CODICE FISCALE</t>
  </si>
  <si>
    <t>VARIABILE POPOLAZIONE</t>
  </si>
  <si>
    <t>NUMERO ACCETTAZIONE</t>
  </si>
  <si>
    <t>DATA REFERTAZIONE</t>
  </si>
  <si>
    <t>Grana Padano</t>
  </si>
  <si>
    <t>2_4_2026</t>
  </si>
  <si>
    <t>XJUTEFFBX</t>
  </si>
  <si>
    <t>LVIMLS66T46A539N</t>
  </si>
  <si>
    <t>25_4_2026</t>
  </si>
  <si>
    <t>ID</t>
  </si>
  <si>
    <t>Alimento</t>
  </si>
  <si>
    <t>Latticini e Derivati del Latte</t>
  </si>
  <si>
    <t>1. Gorgonzola</t>
  </si>
  <si>
    <t>2. Latte di capra</t>
  </si>
  <si>
    <t>3. Latte di mucca</t>
  </si>
  <si>
    <t>4. Latte di pecora</t>
  </si>
  <si>
    <t>5. Mozzarella</t>
  </si>
  <si>
    <t>6. Mozzarella bufala</t>
  </si>
  <si>
    <t>7. Parmigiano Reggiano</t>
  </si>
  <si>
    <t>8. Pecorino</t>
  </si>
  <si>
    <t>9. Ricotta</t>
  </si>
  <si>
    <t>Muffe e Lieviti</t>
  </si>
  <si>
    <t>10. Aspergillus niger</t>
  </si>
  <si>
    <t>11. Candida albicans</t>
  </si>
  <si>
    <t>12. Lievito di birra</t>
  </si>
  <si>
    <t>13. Mucor racemosus</t>
  </si>
  <si>
    <t>14. Penicillium notatum</t>
  </si>
  <si>
    <t>Cereali e Derivati</t>
  </si>
  <si>
    <t>15. Farro</t>
  </si>
  <si>
    <t>16. Grano duro</t>
  </si>
  <si>
    <t>17. Grano tenero</t>
  </si>
  <si>
    <t>18. Mais</t>
  </si>
  <si>
    <t>19. Orzo</t>
  </si>
  <si>
    <t>20. Riso</t>
  </si>
  <si>
    <t>Frutta</t>
  </si>
  <si>
    <t>21. Albicocca</t>
  </si>
  <si>
    <t>22. Ananas</t>
  </si>
  <si>
    <t>23. Arancia</t>
  </si>
  <si>
    <t>24. Banana</t>
  </si>
  <si>
    <t>25. Ciliegia</t>
  </si>
  <si>
    <t>26. Fragola</t>
  </si>
  <si>
    <t>27. Kiwi</t>
  </si>
  <si>
    <t>28. Limone</t>
  </si>
  <si>
    <t>29. Mandarino</t>
  </si>
  <si>
    <t>30. Melone</t>
  </si>
  <si>
    <t>31. Pera</t>
  </si>
  <si>
    <t>32. Pesca</t>
  </si>
  <si>
    <t>Verdure</t>
  </si>
  <si>
    <t>33. Bietola</t>
  </si>
  <si>
    <t>34. Carciofo</t>
  </si>
  <si>
    <t>35. Carota</t>
  </si>
  <si>
    <t>36. Cavolfiore</t>
  </si>
  <si>
    <t>37. Cetriolo</t>
  </si>
  <si>
    <t>38. Cipolla</t>
  </si>
  <si>
    <t>39. Finocchio</t>
  </si>
  <si>
    <t>40. Lattuga</t>
  </si>
  <si>
    <t>41. Melanzana</t>
  </si>
  <si>
    <t>42. Oliva</t>
  </si>
  <si>
    <t>43. Patata</t>
  </si>
  <si>
    <t>44. Peperoni</t>
  </si>
  <si>
    <t>45. Pomodoro</t>
  </si>
  <si>
    <t>46. Spinaci</t>
  </si>
  <si>
    <t>47. Zucchina</t>
  </si>
  <si>
    <t>48. Zucca</t>
  </si>
  <si>
    <t>Legumi</t>
  </si>
  <si>
    <t>49. Ceci</t>
  </si>
  <si>
    <t>50. Fagiolini</t>
  </si>
  <si>
    <t>51. Fagiolo</t>
  </si>
  <si>
    <t>52. Fava</t>
  </si>
  <si>
    <t>53. Piselli</t>
  </si>
  <si>
    <t>54. Soia</t>
  </si>
  <si>
    <t>Carni</t>
  </si>
  <si>
    <t>55. Cavallo</t>
  </si>
  <si>
    <t>56. Coniglio</t>
  </si>
  <si>
    <t>57. Maiale</t>
  </si>
  <si>
    <t>58. Manzo</t>
  </si>
  <si>
    <t>59. Pollo</t>
  </si>
  <si>
    <t>60. Tacchino</t>
  </si>
  <si>
    <t>61. Vitello</t>
  </si>
  <si>
    <t>Pesce e Frutti di Mare</t>
  </si>
  <si>
    <t>62. Acciuga</t>
  </si>
  <si>
    <t>63. Branzino</t>
  </si>
  <si>
    <t>64. Gambero</t>
  </si>
  <si>
    <t>65. Merluzzo</t>
  </si>
  <si>
    <t>66. Orata</t>
  </si>
  <si>
    <t>67. Salmone</t>
  </si>
  <si>
    <t>68. Sogliola</t>
  </si>
  <si>
    <t>69. Tonno</t>
  </si>
  <si>
    <t>70. Trota</t>
  </si>
  <si>
    <t>71. Vongole</t>
  </si>
  <si>
    <t>Spezie ed Erbe Aromatiche</t>
  </si>
  <si>
    <t>72. Aglio</t>
  </si>
  <si>
    <t>73. Basilico</t>
  </si>
  <si>
    <t>74. Origano</t>
  </si>
  <si>
    <t>75. Pepe nero</t>
  </si>
  <si>
    <t>76. Peperoncino</t>
  </si>
  <si>
    <t>77. Prezzemolo</t>
  </si>
  <si>
    <t>78. Rosmarino</t>
  </si>
  <si>
    <t>79. Vaniglia</t>
  </si>
  <si>
    <t>Altro</t>
  </si>
  <si>
    <t>80. Cacao</t>
  </si>
  <si>
    <t>81. Caffè</t>
  </si>
  <si>
    <t>82. Funghi porcini</t>
  </si>
  <si>
    <t>83. Malto d'orzo</t>
  </si>
  <si>
    <t>84. Miele</t>
  </si>
  <si>
    <t>85. Tè</t>
  </si>
  <si>
    <t>86. Uovo</t>
  </si>
  <si>
    <t>Frutta secca e semi</t>
  </si>
  <si>
    <t>87. Arachidi</t>
  </si>
  <si>
    <t>88. Mandorla</t>
  </si>
  <si>
    <t>89. Nocciola</t>
  </si>
  <si>
    <t>90. Noce</t>
  </si>
  <si>
    <t>Alimenti aggiuntivi Test 180</t>
  </si>
  <si>
    <t>91. Asiago</t>
  </si>
  <si>
    <t>92. Emmentaler</t>
  </si>
  <si>
    <t>93. Formaggio fuso</t>
  </si>
  <si>
    <t>94. Grana Padano</t>
  </si>
  <si>
    <t>95. Avena</t>
  </si>
  <si>
    <t>96. Grano saraceno</t>
  </si>
  <si>
    <t>97. Kamut</t>
  </si>
  <si>
    <t>98. Segale</t>
  </si>
  <si>
    <t>99. Tapioca</t>
  </si>
  <si>
    <t>100. Avocado</t>
  </si>
  <si>
    <t>101. Cachi</t>
  </si>
  <si>
    <t>102. Cocco</t>
  </si>
  <si>
    <t>103. Cocomero</t>
  </si>
  <si>
    <t>104. Fico</t>
  </si>
  <si>
    <t>105. Fico d'india</t>
  </si>
  <si>
    <t>106. Lampone</t>
  </si>
  <si>
    <t>107. Mango</t>
  </si>
  <si>
    <t>108. Mela</t>
  </si>
  <si>
    <t>109. Melograno</t>
  </si>
  <si>
    <t>110. Mirtillo</t>
  </si>
  <si>
    <t>111. Mora</t>
  </si>
  <si>
    <t>112. Papaia</t>
  </si>
  <si>
    <t>113. Pompelmo</t>
  </si>
  <si>
    <t>114. Prugna</t>
  </si>
  <si>
    <t>115. Uva bianca</t>
  </si>
  <si>
    <t>116. Uva rossa</t>
  </si>
  <si>
    <t>117. Asparagi</t>
  </si>
  <si>
    <t>118. Broccolo</t>
  </si>
  <si>
    <t>119. Capperi</t>
  </si>
  <si>
    <t>120. Cavolini di Bruxelles</t>
  </si>
  <si>
    <t>121. Cicoria</t>
  </si>
  <si>
    <t>122. Crescione</t>
  </si>
  <si>
    <t>123. Indivia</t>
  </si>
  <si>
    <t>124. Ortica</t>
  </si>
  <si>
    <t>125. Porro</t>
  </si>
  <si>
    <t>126. Rapa</t>
  </si>
  <si>
    <t>127. Ravanello</t>
  </si>
  <si>
    <t>128. Rucola</t>
  </si>
  <si>
    <t>129. Scarola</t>
  </si>
  <si>
    <t>130. Sedano</t>
  </si>
  <si>
    <t>131. Verza</t>
  </si>
  <si>
    <t>132. Lenticchie</t>
  </si>
  <si>
    <t>133. Agnello</t>
  </si>
  <si>
    <t>134. Anatra</t>
  </si>
  <si>
    <t>135. Cinghiale</t>
  </si>
  <si>
    <t>136. Fagiano</t>
  </si>
  <si>
    <t>137. Lepre</t>
  </si>
  <si>
    <t>138. Oca</t>
  </si>
  <si>
    <t>139. Anguilla</t>
  </si>
  <si>
    <t>140. Aringa</t>
  </si>
  <si>
    <t>141. Astice</t>
  </si>
  <si>
    <t>142. Baccalà</t>
  </si>
  <si>
    <t>143. Calamaro</t>
  </si>
  <si>
    <t>144. Coda di rospo</t>
  </si>
  <si>
    <t>145. Cozza</t>
  </si>
  <si>
    <t>146. Granchio</t>
  </si>
  <si>
    <t>147. Halibut</t>
  </si>
  <si>
    <t>148. Platessa</t>
  </si>
  <si>
    <t>149. Polpo</t>
  </si>
  <si>
    <t>150. Rombo</t>
  </si>
  <si>
    <t>151. Sardina</t>
  </si>
  <si>
    <t>152. Seppia</t>
  </si>
  <si>
    <t>153. Sgombro</t>
  </si>
  <si>
    <t>154. Alloro</t>
  </si>
  <si>
    <t>155. Anice</t>
  </si>
  <si>
    <t>156. Cannella</t>
  </si>
  <si>
    <t>157. Coriandolo</t>
  </si>
  <si>
    <t>158. Erba cipollina</t>
  </si>
  <si>
    <t>159. Liquirizia</t>
  </si>
  <si>
    <t>160. Maggiorana</t>
  </si>
  <si>
    <t>161. Menta</t>
  </si>
  <si>
    <t>162. Noce moscata</t>
  </si>
  <si>
    <t>163. Paprika</t>
  </si>
  <si>
    <t>164. Rafano</t>
  </si>
  <si>
    <t>165. Salvia</t>
  </si>
  <si>
    <t>166. Senape</t>
  </si>
  <si>
    <t>167. Timo</t>
  </si>
  <si>
    <t>168. Zenzero</t>
  </si>
  <si>
    <t>169. Camomilla</t>
  </si>
  <si>
    <t>170. Funghi champignon</t>
  </si>
  <si>
    <t>171. Luppolo</t>
  </si>
  <si>
    <t>172. Tè verde</t>
  </si>
  <si>
    <t>173. Tiglio</t>
  </si>
  <si>
    <t>174. Anacardi</t>
  </si>
  <si>
    <t>175. Castagna</t>
  </si>
  <si>
    <t>176. Pinoli</t>
  </si>
  <si>
    <t>177. Pistacchio</t>
  </si>
  <si>
    <t>178. Seme di girasole</t>
  </si>
  <si>
    <t>179. Seme di lino</t>
  </si>
  <si>
    <t>180. Seme di zucca</t>
  </si>
  <si>
    <t>181. Sesamo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</si>
</sst>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sz val="8"/>
      <color rgb="FF000000"/>
      <name val="Arial"/>
    </font>
    <font>
      <sz val="8"/>
      <color rgb="FF000000"/>
      <name val="Calibri"/>
    </font>
    <font>
      <sz val="10"/>
      <color rgb="FF000000"/>
      <name val="Arial"/>
    </font>
    <font>
      <sz val="10"/>
      <color rgb="FF000000"/>
      <name val="Calibri"/>
      <scheme val="minor"/>
    </font>
    <font>
      <b/>
      <sz val="11"/>
      <color rgb="FFFA7D00"/>
      <name val="Calibri"/>
      <scheme val="minor"/>
    </font>
    <font>
      <sz val="11"/>
      <color rgb="FFFA7D00"/>
      <name val="Calibri"/>
      <scheme val="minor"/>
    </font>
    <font>
      <b/>
      <sz val="11"/>
      <color theme="0"/>
      <name val="Calibri"/>
      <scheme val="minor"/>
    </font>
    <font>
      <sz val="11"/>
      <color theme="0"/>
      <name val="Calibri"/>
      <scheme val="minor"/>
    </font>
    <font>
      <sz val="11"/>
      <color rgb="FF3F3F76"/>
      <name val="Calibri"/>
      <scheme val="minor"/>
    </font>
    <font>
      <sz val="11"/>
      <color rgb="FF9C5700"/>
      <name val="Calibri"/>
      <scheme val="minor"/>
    </font>
    <font>
      <b/>
      <sz val="11"/>
      <color rgb="FF3F3F3F"/>
      <name val="Calibri"/>
      <scheme val="minor"/>
    </font>
    <font>
      <sz val="11"/>
      <color rgb="FFFF0000"/>
      <name val="Calibri"/>
      <scheme val="minor"/>
    </font>
    <font>
      <i/>
      <sz val="11"/>
      <color rgb="FF7F7F7F"/>
      <name val="Calibri"/>
      <scheme val="minor"/>
    </font>
    <font>
      <sz val="18"/>
      <color theme="3"/>
      <name val="Calibri Light"/>
      <scheme val="major"/>
    </font>
    <font>
      <b/>
      <sz val="15"/>
      <color theme="3"/>
      <name val="Calibri"/>
      <scheme val="minor"/>
    </font>
    <font>
      <b/>
      <sz val="13"/>
      <color theme="3"/>
      <name val="Calibri"/>
      <scheme val="minor"/>
    </font>
    <font>
      <b/>
      <sz val="11"/>
      <color theme="3"/>
      <name val="Calibri"/>
      <scheme val="minor"/>
    </font>
    <font>
      <b/>
      <sz val="11"/>
      <color theme="1"/>
      <name val="Calibri"/>
      <scheme val="minor"/>
    </font>
    <font>
      <sz val="11"/>
      <color rgb="FF9C0006"/>
      <name val="Calibri"/>
      <scheme val="minor"/>
    </font>
    <font>
      <sz val="11"/>
      <color rgb="FF006100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"/>
        <bgColor indexed="65"/>
      </patternFill>
    </fill>
    <fill>
      <patternFill patternType="solid">
        <fgColor theme="5" tint="0.799981688894314"/>
        <bgColor indexed="65"/>
      </patternFill>
    </fill>
    <fill>
      <patternFill patternType="solid">
        <fgColor theme="6" tint="0.799981688894314"/>
        <bgColor indexed="65"/>
      </patternFill>
    </fill>
    <fill>
      <patternFill patternType="solid">
        <fgColor theme="7" tint="0.799981688894314"/>
        <bgColor indexed="65"/>
      </patternFill>
    </fill>
    <fill>
      <patternFill patternType="solid">
        <fgColor theme="8" tint="0.799981688894314"/>
        <bgColor indexed="65"/>
      </patternFill>
    </fill>
    <fill>
      <patternFill patternType="solid">
        <fgColor theme="9" tint="0.799981688894314"/>
        <bgColor indexed="65"/>
      </patternFill>
    </fill>
    <fill>
      <patternFill patternType="solid">
        <fgColor theme="4" tint="0.599993896298105"/>
        <bgColor indexed="65"/>
      </patternFill>
    </fill>
    <fill>
      <patternFill patternType="solid">
        <fgColor theme="5" tint="0.599993896298105"/>
        <bgColor indexed="65"/>
      </patternFill>
    </fill>
    <fill>
      <patternFill patternType="solid">
        <fgColor theme="6" tint="0.599993896298105"/>
        <bgColor indexed="65"/>
      </patternFill>
    </fill>
    <fill>
      <patternFill patternType="solid">
        <fgColor theme="7" tint="0.599993896298105"/>
        <bgColor indexed="65"/>
      </patternFill>
    </fill>
    <fill>
      <patternFill patternType="solid">
        <fgColor theme="8" tint="0.599993896298105"/>
        <bgColor indexed="65"/>
      </patternFill>
    </fill>
    <fill>
      <patternFill patternType="solid">
        <fgColor theme="9" tint="0.599993896298105"/>
        <bgColor indexed="65"/>
      </patternFill>
    </fill>
    <fill>
      <patternFill patternType="solid">
        <fgColor theme="4" tint="0.399975585192419"/>
        <bgColor indexed="65"/>
      </patternFill>
    </fill>
    <fill>
      <patternFill patternType="solid">
        <fgColor theme="5" tint="0.399975585192419"/>
        <bgColor indexed="65"/>
      </patternFill>
    </fill>
    <fill>
      <patternFill patternType="solid">
        <fgColor theme="6" tint="0.399975585192419"/>
        <bgColor indexed="65"/>
      </patternFill>
    </fill>
    <fill>
      <patternFill patternType="solid">
        <fgColor theme="7" tint="0.399975585192419"/>
        <bgColor indexed="65"/>
      </patternFill>
    </fill>
    <fill>
      <patternFill patternType="solid">
        <fgColor theme="8" tint="0.399975585192419"/>
        <bgColor indexed="65"/>
      </patternFill>
    </fill>
    <fill>
      <patternFill patternType="solid">
        <fgColor theme="9" tint="0.399975585192419"/>
        <bgColor indexed="65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6">
    <border/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bottom style="thick">
        <color theme="4"/>
      </bottom>
    </border>
    <border>
      <bottom style="thick">
        <color theme="4" tint="0.499984740745262"/>
      </bottom>
    </border>
    <border>
      <bottom style="medium">
        <color theme="4" tint="0.399975585192419"/>
      </bottom>
    </border>
    <border>
      <top style="thin">
        <color theme="4"/>
      </top>
      <bottom style="double">
        <color theme="4"/>
      </bottom>
    </border>
  </borders>
  <cellStyleXfs count="43">
    <xf numFmtId="0" fontId="0" fillId="0" borderId="0"/>
    <xf numFmtId="0" fontId="5" fillId="0" borderId="0"/>
    <xf numFmtId="0" fontId="0" fillId="2" borderId="0" applyNumberFormat="0" applyBorder="0" applyAlignment="0" applyProtection="0"/>
    <xf numFmtId="0" fontId="0" fillId="3" borderId="0" applyNumberFormat="0" applyBorder="0" applyAlignment="0" applyProtection="0"/>
    <xf numFmtId="0" fontId="0" fillId="4" borderId="0" applyNumberFormat="0" applyBorder="0" applyAlignment="0" applyProtection="0"/>
    <xf numFmtId="0" fontId="0" fillId="5" borderId="0" applyNumberFormat="0" applyBorder="0" applyAlignment="0" applyProtection="0"/>
    <xf numFmtId="0" fontId="0" fillId="6" borderId="0" applyNumberFormat="0" applyBorder="0" applyAlignment="0" applyProtection="0"/>
    <xf numFmtId="0" fontId="0" fillId="7" borderId="0" applyNumberFormat="0" applyBorder="0" applyAlignment="0" applyProtection="0"/>
    <xf numFmtId="0" fontId="0" fillId="8" borderId="0" applyNumberFormat="0" applyBorder="0" applyAlignment="0" applyProtection="0"/>
    <xf numFmtId="0" fontId="0" fillId="9" borderId="0" applyNumberFormat="0" applyBorder="0" applyAlignment="0" applyProtection="0"/>
    <xf numFmtId="0" fontId="0" fillId="10" borderId="0" applyNumberFormat="0" applyBorder="0" applyAlignment="0" applyProtection="0"/>
    <xf numFmtId="0" fontId="0" fillId="11" borderId="0" applyNumberFormat="0" applyBorder="0" applyAlignment="0" applyProtection="0"/>
    <xf numFmtId="0" fontId="0" fillId="12" borderId="0" applyNumberFormat="0" applyBorder="0" applyAlignment="0" applyProtection="0"/>
    <xf numFmtId="0" fontId="0" fillId="13" borderId="0" applyNumberFormat="0" applyBorder="0" applyAlignment="0" applyProtection="0"/>
    <xf numFmtId="0" fontId="0" fillId="14" borderId="0" applyNumberFormat="0" applyBorder="0" applyAlignment="0" applyProtection="0"/>
    <xf numFmtId="0" fontId="0" fillId="15" borderId="0" applyNumberFormat="0" applyBorder="0" applyAlignment="0" applyProtection="0"/>
    <xf numFmtId="0" fontId="0" fillId="16" borderId="0" applyNumberFormat="0" applyBorder="0" applyAlignment="0" applyProtection="0"/>
    <xf numFmtId="0" fontId="0" fillId="17" borderId="0" applyNumberFormat="0" applyBorder="0" applyAlignment="0" applyProtection="0"/>
    <xf numFmtId="0" fontId="0" fillId="18" borderId="0" applyNumberFormat="0" applyBorder="0" applyAlignment="0" applyProtection="0"/>
    <xf numFmtId="0" fontId="0" fillId="19" borderId="0" applyNumberFormat="0" applyBorder="0" applyAlignment="0" applyProtection="0"/>
    <xf numFmtId="0" fontId="6" fillId="20" borderId="7" applyNumberFormat="0" applyAlignment="0" applyProtection="0"/>
    <xf numFmtId="0" fontId="7" fillId="0" borderId="8" applyNumberFormat="0" applyFill="0" applyAlignment="0" applyProtection="0"/>
    <xf numFmtId="0" fontId="8" fillId="21" borderId="9" applyNumberFormat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10" fillId="28" borderId="7" applyNumberFormat="0" applyAlignment="0" applyProtection="0"/>
    <xf numFmtId="0" fontId="11" fillId="29" borderId="0" applyNumberFormat="0" applyBorder="0" applyAlignment="0" applyProtection="0"/>
    <xf numFmtId="0" fontId="0" fillId="30" borderId="10" applyNumberFormat="0" applyFont="0" applyAlignment="0" applyProtection="0"/>
    <xf numFmtId="0" fontId="12" fillId="20" borderId="11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18" fillId="0" borderId="14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15" applyNumberFormat="0" applyFill="0" applyAlignment="0" applyProtection="0"/>
    <xf numFmtId="0" fontId="20" fillId="31" borderId="0" applyNumberFormat="0" applyBorder="0" applyAlignment="0" applyProtection="0"/>
    <xf numFmtId="0" fontId="21" fillId="32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1" xfId="1" applyFont="1" applyBorder="1" applyAlignment="1">
      <alignment horizontal="center"/>
    </xf>
    <xf numFmtId="0" fontId="4" fillId="0" borderId="4" xfId="1" applyFont="1" applyBorder="1"/>
    <xf numFmtId="0" fontId="4" fillId="0" borderId="5" xfId="1" applyFont="1" applyBorder="1"/>
    <xf numFmtId="0" fontId="4" fillId="0" borderId="6" xfId="1" applyFont="1" applyBorder="1"/>
    <xf numFmtId="0" fontId="1" fillId="0" borderId="0" xfId="0" applyFont="1" applyAlignment="1">
      <alignment horizontal="center"/>
    </xf>
  </cellXfs>
  <cellStyles count="43">
    <cellStyle name="Normal" xfId="0" builtinId="0"/>
    <cellStyle name="Normale 2" xfId="1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Calculation" xfId="20" builtinId="22" customBuiltin="1"/>
    <cellStyle name="Linked Cell" xfId="21" builtinId="24" customBuiltin="1"/>
    <cellStyle name="Check Cell" xfId="22" builtinId="23" customBuiltin="1"/>
    <cellStyle name="Accent1" xfId="23" builtinId="29" customBuiltin="1"/>
    <cellStyle name="Accent2" xfId="24" builtinId="33" customBuiltin="1"/>
    <cellStyle name="Accent3" xfId="25" builtinId="37" customBuiltin="1"/>
    <cellStyle name="Accent4" xfId="26" builtinId="41" customBuiltin="1"/>
    <cellStyle name="Accent5" xfId="27" builtinId="45" customBuiltin="1"/>
    <cellStyle name="Accent6" xfId="28" builtinId="49" customBuiltin="1"/>
    <cellStyle name="Input" xfId="29" builtinId="20" customBuiltin="1"/>
    <cellStyle name="Neutral" xfId="30" builtinId="28" customBuiltin="1"/>
    <cellStyle name="Note" xfId="31" builtinId="10" customBuiltin="1"/>
    <cellStyle name="Output" xfId="32" builtinId="21" customBuiltin="1"/>
    <cellStyle name="Warning Text" xfId="33" builtinId="11" customBuiltin="1"/>
    <cellStyle name="Explanatory Text" xfId="34" builtinId="53" customBuiltin="1"/>
    <cellStyle name="Title" xfId="35" builtinId="15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Total" xfId="40" builtinId="25" customBuiltin="1"/>
    <cellStyle name="Bad" xfId="41" builtinId="27" customBuiltin="1"/>
    <cellStyle name="Good" xfId="42" builtinId="26" customBuiltin="1"/>
  </cellStyles>
  <dxfs count="0"/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styles" Target="styles.xml" /><Relationship Id="rId5" Type="http://schemas.openxmlformats.org/officeDocument/2006/relationships/theme" Target="theme/theme1.xml" /><Relationship Id="rId6" Type="http://schemas.openxmlformats.org/officeDocument/2006/relationships/calcChain" Target="calcChain.xml" /><Relationship Id="rId7" Type="http://schemas.openxmlformats.org/officeDocument/2006/relationships/sharedStrings" Target="sharedStrings.xml" /><Relationship Id="rId8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1104900</xdr:colOff>
          <xdr:row>1</xdr:row>
          <xdr:rowOff>68580</xdr:rowOff>
        </xdr:from>
        <xdr:to>
          <xdr:col>2</xdr:col>
          <xdr:colOff>152400</xdr:colOff>
          <xdr:row>2</xdr:row>
          <xdr:rowOff>121920</xdr:rowOff>
        </xdr:to>
        <xdr:sp>
          <xdr:nvSpPr>
            <xdr:cNvPr id="2049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prstGeom prst="rect"/>
            <a:noFill/>
            <a:ln w="9525">
              <a:miter lim="800000"/>
            </a:ln>
          </xdr:spPr>
          <xdr:txBody>
            <a:bodyPr vertOverflow="clip" wrap="square" lIns="36195" tIns="31750" rIns="36195" bIns="3175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vmlDrawing" Target="../drawings/vmlDrawing1.vml" /><Relationship Id="rId3" Type="http://schemas.openxmlformats.org/officeDocument/2006/relationships/ctrlProp" Target="../ctrlProps/ctrlProp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oglio1"/>
  <sheetViews>
    <sheetView workbookViewId="0">
      <selection activeCell="L8" sqref="L8"/>
    </sheetView>
  </sheetViews>
  <sheetFormatPr defaultRowHeight="14.4"/>
  <cols>
    <col min="1" max="1" width="18.21875" bestFit="1" customWidth="1"/>
    <col min="5" max="5" width="10.66406" customWidth="1"/>
  </cols>
  <sheetData>
    <row r="1">
      <c r="A1" t="s">
        <v>0</v>
      </c>
      <c r="B1" t="s">
        <v>1</v>
      </c>
      <c r="C1" t="s">
        <v>2</v>
      </c>
      <c r="D1" t="s">
        <v>3</v>
      </c>
      <c r="E1" s="2">
        <v>46114</v>
      </c>
    </row>
    <row r="2">
      <c r="A2" t="s">
        <v>4</v>
      </c>
      <c r="B2">
        <v>8</v>
      </c>
    </row>
    <row r="3">
      <c r="A3" t="s">
        <v>5</v>
      </c>
      <c r="B3">
        <v>0</v>
      </c>
    </row>
    <row r="4">
      <c r="A4" t="s">
        <v>6</v>
      </c>
      <c r="B4">
        <v>0</v>
      </c>
      <c r="D4" t="s">
        <v>7</v>
      </c>
    </row>
    <row r="5">
      <c r="A5" t="s">
        <v>8</v>
      </c>
      <c r="B5">
        <v>0</v>
      </c>
    </row>
    <row r="6">
      <c r="A6" t="s">
        <v>9</v>
      </c>
      <c r="B6">
        <v>11</v>
      </c>
    </row>
    <row r="7">
      <c r="A7" t="s">
        <v>10</v>
      </c>
      <c r="B7">
        <v>8</v>
      </c>
    </row>
    <row r="8">
      <c r="A8" t="s">
        <v>11</v>
      </c>
      <c r="B8">
        <v>15</v>
      </c>
    </row>
    <row r="9">
      <c r="A9" t="s">
        <v>12</v>
      </c>
      <c r="B9">
        <v>10</v>
      </c>
    </row>
    <row r="10">
      <c r="A10" t="s">
        <v>13</v>
      </c>
      <c r="B10">
        <v>0</v>
      </c>
    </row>
    <row r="11">
      <c r="A11" t="s">
        <v>14</v>
      </c>
      <c r="B11">
        <v>8</v>
      </c>
    </row>
    <row r="12">
      <c r="A12" t="s">
        <v>15</v>
      </c>
      <c r="B12">
        <v>0</v>
      </c>
    </row>
    <row r="13">
      <c r="A13" t="s">
        <v>16</v>
      </c>
      <c r="B13">
        <v>0</v>
      </c>
    </row>
    <row r="14">
      <c r="A14" t="s">
        <v>17</v>
      </c>
      <c r="B14">
        <v>19</v>
      </c>
    </row>
    <row r="15">
      <c r="A15" t="s">
        <v>18</v>
      </c>
      <c r="B15">
        <v>0</v>
      </c>
    </row>
    <row r="16">
      <c r="A16" t="s">
        <v>19</v>
      </c>
      <c r="B16">
        <v>0</v>
      </c>
    </row>
    <row r="17">
      <c r="A17" t="s">
        <v>20</v>
      </c>
      <c r="B17">
        <v>8</v>
      </c>
    </row>
    <row r="18">
      <c r="A18" t="s">
        <v>21</v>
      </c>
      <c r="B18">
        <v>17</v>
      </c>
    </row>
    <row r="19">
      <c r="A19" t="s">
        <v>22</v>
      </c>
      <c r="B19">
        <v>5</v>
      </c>
    </row>
    <row r="20">
      <c r="A20" t="s">
        <v>23</v>
      </c>
      <c r="B20">
        <v>0</v>
      </c>
    </row>
    <row r="21">
      <c r="A21" t="s">
        <v>24</v>
      </c>
      <c r="B21">
        <v>18</v>
      </c>
    </row>
    <row r="22">
      <c r="A22" t="s">
        <v>25</v>
      </c>
      <c r="B22">
        <v>15</v>
      </c>
    </row>
    <row r="23">
      <c r="A23" t="s">
        <v>26</v>
      </c>
      <c r="B23">
        <v>0</v>
      </c>
    </row>
    <row r="24">
      <c r="A24" t="s">
        <v>27</v>
      </c>
      <c r="B24">
        <v>7</v>
      </c>
    </row>
    <row r="25">
      <c r="A25" t="s">
        <v>28</v>
      </c>
      <c r="B25">
        <v>5</v>
      </c>
    </row>
    <row r="26">
      <c r="A26" t="s">
        <v>29</v>
      </c>
      <c r="B26">
        <v>5</v>
      </c>
    </row>
    <row r="27">
      <c r="A27" t="s">
        <v>30</v>
      </c>
      <c r="B27">
        <v>5</v>
      </c>
    </row>
    <row r="28">
      <c r="A28" t="s">
        <v>31</v>
      </c>
      <c r="B28">
        <v>0</v>
      </c>
    </row>
    <row r="29">
      <c r="A29" t="s">
        <v>32</v>
      </c>
      <c r="B29">
        <v>5</v>
      </c>
    </row>
    <row r="30">
      <c r="A30" t="s">
        <v>33</v>
      </c>
      <c r="B30">
        <v>16</v>
      </c>
    </row>
    <row r="31">
      <c r="A31" t="s">
        <v>34</v>
      </c>
      <c r="B31">
        <v>16</v>
      </c>
    </row>
    <row r="32">
      <c r="A32" t="s">
        <v>35</v>
      </c>
      <c r="B32">
        <v>0</v>
      </c>
    </row>
    <row r="33">
      <c r="A33" t="s">
        <v>36</v>
      </c>
      <c r="B33">
        <v>10</v>
      </c>
    </row>
    <row r="34">
      <c r="A34" t="s">
        <v>37</v>
      </c>
      <c r="B34">
        <v>12</v>
      </c>
    </row>
    <row r="35">
      <c r="A35" t="s">
        <v>38</v>
      </c>
      <c r="B35">
        <v>12</v>
      </c>
    </row>
    <row r="36">
      <c r="A36" t="s">
        <v>39</v>
      </c>
      <c r="B36">
        <v>0</v>
      </c>
    </row>
    <row r="37">
      <c r="A37" t="s">
        <v>40</v>
      </c>
      <c r="B37">
        <v>9</v>
      </c>
    </row>
    <row r="38">
      <c r="A38" t="s">
        <v>41</v>
      </c>
      <c r="B38">
        <v>0</v>
      </c>
    </row>
    <row r="39">
      <c r="A39" t="s">
        <v>42</v>
      </c>
      <c r="B39">
        <v>7</v>
      </c>
    </row>
    <row r="40">
      <c r="A40" t="s">
        <v>43</v>
      </c>
      <c r="B40">
        <v>22</v>
      </c>
    </row>
    <row r="41">
      <c r="A41" t="s">
        <v>44</v>
      </c>
      <c r="B41">
        <v>0</v>
      </c>
    </row>
    <row r="42">
      <c r="A42" t="s">
        <v>45</v>
      </c>
      <c r="B42">
        <v>18</v>
      </c>
    </row>
    <row r="43">
      <c r="A43" t="s">
        <v>46</v>
      </c>
      <c r="B43">
        <v>8</v>
      </c>
    </row>
    <row r="44">
      <c r="A44" t="s">
        <v>47</v>
      </c>
      <c r="B44">
        <v>27</v>
      </c>
    </row>
    <row r="45">
      <c r="A45" t="s">
        <v>48</v>
      </c>
      <c r="B45">
        <v>15</v>
      </c>
    </row>
    <row r="46">
      <c r="A46" t="s">
        <v>49</v>
      </c>
      <c r="B46">
        <v>7</v>
      </c>
    </row>
    <row r="47">
      <c r="A47" t="s">
        <v>50</v>
      </c>
      <c r="B47">
        <v>9</v>
      </c>
    </row>
    <row r="48">
      <c r="A48" t="s">
        <v>51</v>
      </c>
      <c r="B48">
        <v>0</v>
      </c>
    </row>
    <row r="49">
      <c r="A49" t="s">
        <v>52</v>
      </c>
      <c r="B49">
        <v>9</v>
      </c>
    </row>
    <row r="50">
      <c r="A50" t="s">
        <v>53</v>
      </c>
      <c r="B50">
        <v>0</v>
      </c>
    </row>
    <row r="51">
      <c r="A51" t="s">
        <v>54</v>
      </c>
      <c r="B51">
        <v>0</v>
      </c>
    </row>
    <row r="52">
      <c r="A52" t="s">
        <v>55</v>
      </c>
      <c r="B52">
        <v>0</v>
      </c>
    </row>
    <row r="53">
      <c r="A53" t="s">
        <v>56</v>
      </c>
      <c r="B53">
        <v>0</v>
      </c>
    </row>
    <row r="54">
      <c r="A54" t="s">
        <v>57</v>
      </c>
      <c r="B54">
        <v>0</v>
      </c>
    </row>
    <row r="55">
      <c r="A55" t="s">
        <v>58</v>
      </c>
      <c r="B55">
        <v>6</v>
      </c>
    </row>
    <row r="56">
      <c r="A56" t="s">
        <v>59</v>
      </c>
      <c r="B56">
        <v>0</v>
      </c>
    </row>
    <row r="57">
      <c r="A57" t="s">
        <v>60</v>
      </c>
      <c r="B57">
        <v>6</v>
      </c>
    </row>
    <row r="58">
      <c r="A58" t="s">
        <v>61</v>
      </c>
      <c r="B58">
        <v>9</v>
      </c>
    </row>
    <row r="59">
      <c r="A59" t="s">
        <v>62</v>
      </c>
      <c r="B59">
        <v>0</v>
      </c>
    </row>
    <row r="60">
      <c r="A60" t="s">
        <v>63</v>
      </c>
      <c r="B60">
        <v>5</v>
      </c>
    </row>
    <row r="61">
      <c r="A61" t="s">
        <v>64</v>
      </c>
      <c r="B61">
        <v>0</v>
      </c>
    </row>
    <row r="62">
      <c r="A62" t="s">
        <v>65</v>
      </c>
      <c r="B62">
        <v>7</v>
      </c>
    </row>
    <row r="63">
      <c r="A63" t="s">
        <v>66</v>
      </c>
      <c r="B63">
        <v>0</v>
      </c>
    </row>
    <row r="64">
      <c r="A64" t="s">
        <v>67</v>
      </c>
      <c r="B64">
        <v>0</v>
      </c>
    </row>
    <row r="65">
      <c r="A65" t="s">
        <v>68</v>
      </c>
      <c r="B65">
        <v>0</v>
      </c>
    </row>
    <row r="66">
      <c r="A66" t="s">
        <v>69</v>
      </c>
      <c r="B66">
        <v>0</v>
      </c>
    </row>
    <row r="67">
      <c r="A67" t="s">
        <v>70</v>
      </c>
      <c r="B67">
        <v>7</v>
      </c>
    </row>
    <row r="68">
      <c r="A68" t="s">
        <v>71</v>
      </c>
      <c r="B68">
        <v>5</v>
      </c>
    </row>
    <row r="69">
      <c r="A69" t="s">
        <v>72</v>
      </c>
      <c r="B69">
        <v>7</v>
      </c>
    </row>
    <row r="70">
      <c r="A70" t="s">
        <v>73</v>
      </c>
      <c r="B70">
        <v>0</v>
      </c>
    </row>
    <row r="71">
      <c r="A71" t="s">
        <v>74</v>
      </c>
      <c r="B71">
        <v>0</v>
      </c>
    </row>
    <row r="72">
      <c r="A72" t="s">
        <v>75</v>
      </c>
      <c r="B72">
        <v>0</v>
      </c>
    </row>
    <row r="73">
      <c r="A73" t="s">
        <v>76</v>
      </c>
      <c r="B73">
        <v>6</v>
      </c>
    </row>
    <row r="74">
      <c r="A74" t="s">
        <v>77</v>
      </c>
      <c r="B74">
        <v>0</v>
      </c>
    </row>
    <row r="75">
      <c r="A75" t="s">
        <v>78</v>
      </c>
      <c r="B75">
        <v>10</v>
      </c>
    </row>
    <row r="76">
      <c r="A76" t="s">
        <v>79</v>
      </c>
      <c r="B76">
        <v>0</v>
      </c>
    </row>
    <row r="77">
      <c r="A77" t="s">
        <v>80</v>
      </c>
      <c r="B77">
        <v>0</v>
      </c>
    </row>
    <row r="78">
      <c r="A78" t="s">
        <v>81</v>
      </c>
      <c r="B78">
        <v>0</v>
      </c>
    </row>
    <row r="79">
      <c r="A79" t="s">
        <v>82</v>
      </c>
      <c r="B79">
        <v>0</v>
      </c>
    </row>
    <row r="80">
      <c r="A80" t="s">
        <v>83</v>
      </c>
      <c r="B80">
        <v>10</v>
      </c>
    </row>
    <row r="81">
      <c r="A81" t="s">
        <v>84</v>
      </c>
      <c r="B81">
        <v>0</v>
      </c>
    </row>
    <row r="82">
      <c r="A82" t="s">
        <v>85</v>
      </c>
      <c r="B82">
        <v>14</v>
      </c>
    </row>
    <row r="83">
      <c r="A83" t="s">
        <v>86</v>
      </c>
      <c r="B83">
        <v>0</v>
      </c>
    </row>
    <row r="84">
      <c r="A84" t="s">
        <v>87</v>
      </c>
      <c r="B84">
        <v>0</v>
      </c>
    </row>
    <row r="85">
      <c r="A85" t="s">
        <v>88</v>
      </c>
      <c r="B85">
        <v>0</v>
      </c>
    </row>
    <row r="86">
      <c r="A86" t="s">
        <v>89</v>
      </c>
      <c r="B86">
        <v>0</v>
      </c>
    </row>
    <row r="87">
      <c r="A87" t="s">
        <v>90</v>
      </c>
      <c r="B87">
        <v>0</v>
      </c>
    </row>
    <row r="88">
      <c r="A88" t="s">
        <v>91</v>
      </c>
      <c r="B88">
        <v>0</v>
      </c>
    </row>
    <row r="89">
      <c r="A89" t="s">
        <v>92</v>
      </c>
      <c r="B89">
        <v>66</v>
      </c>
    </row>
    <row r="90">
      <c r="A90" t="s">
        <v>93</v>
      </c>
      <c r="B90">
        <v>58</v>
      </c>
    </row>
    <row r="91">
      <c r="A91" t="s">
        <v>94</v>
      </c>
      <c r="B91">
        <v>62</v>
      </c>
    </row>
    <row r="92">
      <c r="A92" t="s">
        <v>95</v>
      </c>
      <c r="B92">
        <v>42</v>
      </c>
    </row>
    <row r="93">
      <c r="A93" t="s">
        <v>96</v>
      </c>
      <c r="B93">
        <v>57</v>
      </c>
    </row>
    <row r="94">
      <c r="A94" t="s">
        <v>97</v>
      </c>
      <c r="B94">
        <v>15</v>
      </c>
    </row>
    <row r="95">
      <c r="A95" t="s">
        <v>98</v>
      </c>
      <c r="B95">
        <v>43</v>
      </c>
    </row>
    <row r="96">
      <c r="A96" t="s">
        <v>99</v>
      </c>
      <c r="B96">
        <v>34</v>
      </c>
    </row>
    <row r="97">
      <c r="A97" t="s">
        <v>100</v>
      </c>
      <c r="B97">
        <v>51</v>
      </c>
    </row>
    <row r="98">
      <c r="A98" t="s">
        <v>101</v>
      </c>
      <c r="B98">
        <v>25</v>
      </c>
    </row>
    <row r="99">
      <c r="A99" t="s">
        <v>102</v>
      </c>
      <c r="B99">
        <v>34</v>
      </c>
    </row>
    <row r="100">
      <c r="A100" t="s">
        <v>103</v>
      </c>
      <c r="B100">
        <v>55</v>
      </c>
    </row>
    <row r="101">
      <c r="A101" t="s">
        <v>104</v>
      </c>
      <c r="B101">
        <v>37</v>
      </c>
    </row>
    <row r="102">
      <c r="A102" t="s">
        <v>105</v>
      </c>
      <c r="B102">
        <v>0</v>
      </c>
    </row>
    <row r="103">
      <c r="A103" t="s">
        <v>106</v>
      </c>
      <c r="B103">
        <v>15</v>
      </c>
    </row>
    <row r="104">
      <c r="A104" t="s">
        <v>107</v>
      </c>
      <c r="B104">
        <v>0</v>
      </c>
    </row>
    <row r="105">
      <c r="A105" t="s">
        <v>108</v>
      </c>
      <c r="B105">
        <v>8</v>
      </c>
    </row>
    <row r="106">
      <c r="A106" t="s">
        <v>109</v>
      </c>
      <c r="B106">
        <v>20</v>
      </c>
    </row>
    <row r="107">
      <c r="A107" t="s">
        <v>110</v>
      </c>
      <c r="B107">
        <v>0</v>
      </c>
    </row>
    <row r="108">
      <c r="A108" t="s">
        <v>111</v>
      </c>
      <c r="B108">
        <v>0</v>
      </c>
    </row>
    <row r="109">
      <c r="A109" t="s">
        <v>112</v>
      </c>
      <c r="B109">
        <v>10</v>
      </c>
    </row>
    <row r="110">
      <c r="A110" t="s">
        <v>113</v>
      </c>
      <c r="B110">
        <v>0</v>
      </c>
    </row>
    <row r="111">
      <c r="A111" t="s">
        <v>114</v>
      </c>
      <c r="B111">
        <v>0</v>
      </c>
    </row>
    <row r="112">
      <c r="A112" t="s">
        <v>115</v>
      </c>
      <c r="B112">
        <v>0</v>
      </c>
    </row>
    <row r="113">
      <c r="A113" t="s">
        <v>116</v>
      </c>
      <c r="B113">
        <v>0</v>
      </c>
    </row>
    <row r="114">
      <c r="A114" t="s">
        <v>117</v>
      </c>
      <c r="B114">
        <v>8</v>
      </c>
    </row>
    <row r="115">
      <c r="A115" t="s">
        <v>118</v>
      </c>
      <c r="B115">
        <v>0</v>
      </c>
    </row>
    <row r="116">
      <c r="A116" t="s">
        <v>119</v>
      </c>
      <c r="B116">
        <v>0</v>
      </c>
    </row>
    <row r="117">
      <c r="A117" t="s">
        <v>120</v>
      </c>
      <c r="B117">
        <v>0</v>
      </c>
    </row>
    <row r="118">
      <c r="A118" t="s">
        <v>121</v>
      </c>
      <c r="B118">
        <v>0</v>
      </c>
    </row>
    <row r="119">
      <c r="A119" t="s">
        <v>122</v>
      </c>
      <c r="B119">
        <v>0</v>
      </c>
    </row>
    <row r="120">
      <c r="A120" t="s">
        <v>123</v>
      </c>
      <c r="B120">
        <v>6</v>
      </c>
    </row>
    <row r="121">
      <c r="A121" t="s">
        <v>124</v>
      </c>
      <c r="B121">
        <v>5</v>
      </c>
    </row>
    <row r="122">
      <c r="A122" t="s">
        <v>125</v>
      </c>
      <c r="B122">
        <v>0</v>
      </c>
    </row>
    <row r="123">
      <c r="A123" t="s">
        <v>126</v>
      </c>
      <c r="B123">
        <v>13</v>
      </c>
    </row>
    <row r="124">
      <c r="A124" t="s">
        <v>127</v>
      </c>
      <c r="B124">
        <v>0</v>
      </c>
    </row>
    <row r="125">
      <c r="A125" t="s">
        <v>128</v>
      </c>
      <c r="B125">
        <v>0</v>
      </c>
    </row>
    <row r="126">
      <c r="A126" t="s">
        <v>129</v>
      </c>
      <c r="B126">
        <v>0</v>
      </c>
    </row>
    <row r="127">
      <c r="A127" t="s">
        <v>130</v>
      </c>
      <c r="B127">
        <v>0</v>
      </c>
    </row>
    <row r="128">
      <c r="A128" t="s">
        <v>131</v>
      </c>
      <c r="B128">
        <v>0</v>
      </c>
    </row>
    <row r="129">
      <c r="A129" t="s">
        <v>132</v>
      </c>
      <c r="B129">
        <v>0</v>
      </c>
    </row>
    <row r="130">
      <c r="A130" t="s">
        <v>133</v>
      </c>
      <c r="B130">
        <v>0</v>
      </c>
    </row>
    <row r="131">
      <c r="A131" t="s">
        <v>134</v>
      </c>
      <c r="B131">
        <v>12</v>
      </c>
    </row>
    <row r="132">
      <c r="A132" t="s">
        <v>135</v>
      </c>
      <c r="B132">
        <v>7</v>
      </c>
    </row>
    <row r="133">
      <c r="A133" t="s">
        <v>136</v>
      </c>
      <c r="B133">
        <v>15</v>
      </c>
    </row>
    <row r="134">
      <c r="A134" t="s">
        <v>137</v>
      </c>
      <c r="B134">
        <v>0</v>
      </c>
    </row>
    <row r="135">
      <c r="A135" t="s">
        <v>138</v>
      </c>
      <c r="B135">
        <v>17</v>
      </c>
    </row>
    <row r="136">
      <c r="A136" t="s">
        <v>139</v>
      </c>
      <c r="B136">
        <v>0</v>
      </c>
    </row>
    <row r="137">
      <c r="A137" t="s">
        <v>140</v>
      </c>
      <c r="B137">
        <v>0</v>
      </c>
    </row>
    <row r="138">
      <c r="A138" t="s">
        <v>141</v>
      </c>
      <c r="B138">
        <v>12</v>
      </c>
    </row>
    <row r="139">
      <c r="A139" t="s">
        <v>142</v>
      </c>
      <c r="B139">
        <v>7</v>
      </c>
    </row>
    <row r="140">
      <c r="A140" t="s">
        <v>143</v>
      </c>
      <c r="B140">
        <v>29</v>
      </c>
    </row>
    <row r="141">
      <c r="A141" t="s">
        <v>144</v>
      </c>
      <c r="B141">
        <v>18</v>
      </c>
    </row>
    <row r="142">
      <c r="A142" t="s">
        <v>145</v>
      </c>
      <c r="B142">
        <v>17</v>
      </c>
    </row>
    <row r="143">
      <c r="A143" t="s">
        <v>146</v>
      </c>
      <c r="B143">
        <v>8</v>
      </c>
    </row>
    <row r="144">
      <c r="A144" t="s">
        <v>147</v>
      </c>
      <c r="B144">
        <v>0</v>
      </c>
    </row>
    <row r="145">
      <c r="A145" t="s">
        <v>148</v>
      </c>
      <c r="B145">
        <v>0</v>
      </c>
    </row>
    <row r="146">
      <c r="A146" t="s">
        <v>149</v>
      </c>
      <c r="B146">
        <v>14</v>
      </c>
    </row>
    <row r="147">
      <c r="A147" t="s">
        <v>150</v>
      </c>
      <c r="B147">
        <v>0</v>
      </c>
    </row>
    <row r="148">
      <c r="A148" t="s">
        <v>151</v>
      </c>
      <c r="B148">
        <v>14</v>
      </c>
    </row>
    <row r="149">
      <c r="A149" t="s">
        <v>152</v>
      </c>
      <c r="B149">
        <v>6</v>
      </c>
    </row>
    <row r="150">
      <c r="A150" t="s">
        <v>153</v>
      </c>
      <c r="B150">
        <v>7</v>
      </c>
    </row>
    <row r="151">
      <c r="A151" t="s">
        <v>154</v>
      </c>
      <c r="B151">
        <v>11</v>
      </c>
    </row>
    <row r="152">
      <c r="A152" t="s">
        <v>155</v>
      </c>
      <c r="B152">
        <v>0</v>
      </c>
    </row>
    <row r="153">
      <c r="A153" t="s">
        <v>156</v>
      </c>
      <c r="B153">
        <v>8</v>
      </c>
    </row>
    <row r="154">
      <c r="A154" t="s">
        <v>157</v>
      </c>
      <c r="B154">
        <v>9</v>
      </c>
    </row>
    <row r="155">
      <c r="A155" t="s">
        <v>158</v>
      </c>
      <c r="B155">
        <v>7</v>
      </c>
    </row>
    <row r="156">
      <c r="A156" t="s">
        <v>159</v>
      </c>
      <c r="B156">
        <v>0</v>
      </c>
    </row>
    <row r="157">
      <c r="A157" t="s">
        <v>160</v>
      </c>
      <c r="B157">
        <v>0</v>
      </c>
    </row>
    <row r="158">
      <c r="A158" t="s">
        <v>161</v>
      </c>
      <c r="B158">
        <v>5</v>
      </c>
    </row>
    <row r="159">
      <c r="A159" t="s">
        <v>162</v>
      </c>
      <c r="B159">
        <v>0</v>
      </c>
    </row>
    <row r="160">
      <c r="A160" t="s">
        <v>163</v>
      </c>
      <c r="B160">
        <v>0</v>
      </c>
    </row>
    <row r="161">
      <c r="A161" t="s">
        <v>164</v>
      </c>
      <c r="B161">
        <v>7</v>
      </c>
    </row>
    <row r="162">
      <c r="A162" t="s">
        <v>165</v>
      </c>
      <c r="B162">
        <v>8</v>
      </c>
    </row>
    <row r="163">
      <c r="A163" t="s">
        <v>166</v>
      </c>
      <c r="B163">
        <v>31</v>
      </c>
    </row>
    <row r="164">
      <c r="A164" t="s">
        <v>167</v>
      </c>
      <c r="B164">
        <v>7</v>
      </c>
    </row>
    <row r="165">
      <c r="A165" t="s">
        <v>168</v>
      </c>
      <c r="B165">
        <v>0</v>
      </c>
    </row>
    <row r="166">
      <c r="A166" t="s">
        <v>169</v>
      </c>
      <c r="B166">
        <v>10</v>
      </c>
    </row>
    <row r="167">
      <c r="A167" t="s">
        <v>170</v>
      </c>
      <c r="B167">
        <v>8</v>
      </c>
    </row>
    <row r="168">
      <c r="A168" t="s">
        <v>171</v>
      </c>
      <c r="B168">
        <v>12</v>
      </c>
    </row>
    <row r="169">
      <c r="A169" t="s">
        <v>172</v>
      </c>
      <c r="B169">
        <v>0</v>
      </c>
    </row>
    <row r="170">
      <c r="A170" t="s">
        <v>173</v>
      </c>
      <c r="B170">
        <v>34</v>
      </c>
    </row>
    <row r="171">
      <c r="A171" t="s">
        <v>174</v>
      </c>
      <c r="B171">
        <v>33</v>
      </c>
    </row>
    <row r="172">
      <c r="A172" t="s">
        <v>175</v>
      </c>
      <c r="B172">
        <v>0</v>
      </c>
    </row>
    <row r="173">
      <c r="A173" t="s">
        <v>176</v>
      </c>
      <c r="B173">
        <v>7</v>
      </c>
    </row>
    <row r="174">
      <c r="A174" t="s">
        <v>177</v>
      </c>
      <c r="B174">
        <v>0</v>
      </c>
    </row>
    <row r="175">
      <c r="A175" t="s">
        <v>178</v>
      </c>
      <c r="B175">
        <v>11</v>
      </c>
    </row>
    <row r="176">
      <c r="A176" t="s">
        <v>179</v>
      </c>
      <c r="B176">
        <v>12</v>
      </c>
    </row>
    <row r="177">
      <c r="A177" t="s">
        <v>180</v>
      </c>
      <c r="B177">
        <v>14</v>
      </c>
    </row>
    <row r="178">
      <c r="A178" t="s">
        <v>181</v>
      </c>
      <c r="B178">
        <v>8</v>
      </c>
    </row>
    <row r="179">
      <c r="A179" t="s">
        <v>182</v>
      </c>
      <c r="B179">
        <v>21</v>
      </c>
    </row>
    <row r="180">
      <c r="A180" t="s">
        <v>183</v>
      </c>
      <c r="B180">
        <v>19</v>
      </c>
    </row>
    <row r="181">
      <c r="A181" t="s">
        <v>184</v>
      </c>
      <c r="B181">
        <v>9</v>
      </c>
    </row>
    <row r="182">
      <c r="A182" t="s">
        <v>185</v>
      </c>
      <c r="B182">
        <v>17</v>
      </c>
    </row>
  </sheetData>
</worksheet>
</file>

<file path=xl/worksheets/sheet2.xml><?xml version="1.0" encoding="utf-8"?>
<worksheet xmlns:r="http://schemas.openxmlformats.org/officeDocument/2006/relationships" xmlns="http://schemas.openxmlformats.org/spreadsheetml/2006/main">
  <sheetPr codeName="Foglio2"/>
  <sheetViews>
    <sheetView tabSelected="1" workbookViewId="0">
      <selection activeCell="D5" sqref="D5"/>
    </sheetView>
  </sheetViews>
  <sheetFormatPr defaultRowHeight="14.4"/>
  <cols>
    <col min="1" max="1" width="16.21875" bestFit="1" customWidth="1"/>
    <col min="2" max="2" width="13.44141" bestFit="1" customWidth="1"/>
    <col min="3" max="3" width="17.66406" bestFit="1" customWidth="1"/>
    <col min="4" max="4" width="19.44141" bestFit="1" customWidth="1"/>
    <col min="5" max="5" width="9.664063" hidden="1" customWidth="1"/>
    <col min="6" max="6" width="12" hidden="1" customWidth="1"/>
    <col min="7" max="7" width="16.77734" bestFit="1" customWidth="1"/>
    <col min="8" max="8" width="18.88672" bestFit="1" customWidth="1"/>
    <col min="9" max="9" width="16.33203" bestFit="1" customWidth="1"/>
    <col min="10" max="20" hidden="1" customWidth="1"/>
    <col min="21" max="203" width="7.777344" customWidth="1"/>
  </cols>
  <sheetData>
    <row r="1">
      <c r="A1" s="3" t="s">
        <v>186</v>
      </c>
      <c r="B1" s="3" t="s">
        <v>187</v>
      </c>
      <c r="C1" s="3" t="s">
        <v>188</v>
      </c>
      <c r="D1" s="3" t="s">
        <v>189</v>
      </c>
      <c r="E1" s="4" t="s">
        <v>190</v>
      </c>
      <c r="F1" s="5" t="s">
        <v>191</v>
      </c>
      <c r="G1" s="6" t="s">
        <v>192</v>
      </c>
      <c r="H1" s="3" t="s">
        <v>193</v>
      </c>
      <c r="I1" s="4" t="s">
        <v>194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  <c r="AC1">
        <v>9</v>
      </c>
      <c r="AD1">
        <v>10</v>
      </c>
      <c r="AE1">
        <v>11</v>
      </c>
      <c r="AF1">
        <v>12</v>
      </c>
      <c r="AG1">
        <v>13</v>
      </c>
      <c r="AH1">
        <v>14</v>
      </c>
      <c r="AI1">
        <v>15</v>
      </c>
      <c r="AJ1">
        <v>16</v>
      </c>
      <c r="AK1">
        <v>17</v>
      </c>
      <c r="AL1">
        <v>18</v>
      </c>
      <c r="AM1">
        <v>19</v>
      </c>
      <c r="AN1">
        <v>20</v>
      </c>
      <c r="AO1">
        <v>21</v>
      </c>
      <c r="AP1">
        <v>22</v>
      </c>
      <c r="AQ1">
        <v>23</v>
      </c>
      <c r="AR1">
        <v>24</v>
      </c>
      <c r="AS1">
        <v>25</v>
      </c>
      <c r="AT1">
        <v>26</v>
      </c>
      <c r="AU1">
        <v>27</v>
      </c>
      <c r="AV1">
        <v>28</v>
      </c>
      <c r="AW1">
        <v>29</v>
      </c>
      <c r="AX1">
        <v>30</v>
      </c>
      <c r="AY1">
        <v>31</v>
      </c>
      <c r="AZ1">
        <v>32</v>
      </c>
      <c r="BA1">
        <v>33</v>
      </c>
      <c r="BB1">
        <v>34</v>
      </c>
      <c r="BC1">
        <v>35</v>
      </c>
      <c r="BD1">
        <v>36</v>
      </c>
      <c r="BE1">
        <v>37</v>
      </c>
      <c r="BF1">
        <v>38</v>
      </c>
      <c r="BG1">
        <v>39</v>
      </c>
      <c r="BH1">
        <v>40</v>
      </c>
      <c r="BI1">
        <v>41</v>
      </c>
      <c r="BJ1">
        <v>42</v>
      </c>
      <c r="BK1">
        <v>43</v>
      </c>
      <c r="BL1">
        <v>44</v>
      </c>
      <c r="BM1">
        <v>45</v>
      </c>
      <c r="BN1">
        <v>46</v>
      </c>
      <c r="BO1">
        <v>47</v>
      </c>
      <c r="BP1">
        <v>48</v>
      </c>
      <c r="BQ1">
        <v>49</v>
      </c>
      <c r="BR1">
        <v>50</v>
      </c>
      <c r="BS1">
        <v>51</v>
      </c>
      <c r="BT1">
        <v>52</v>
      </c>
      <c r="BU1">
        <v>53</v>
      </c>
      <c r="BV1">
        <v>54</v>
      </c>
      <c r="BW1">
        <v>55</v>
      </c>
      <c r="BX1">
        <v>56</v>
      </c>
      <c r="BY1">
        <v>57</v>
      </c>
      <c r="BZ1">
        <v>58</v>
      </c>
      <c r="CA1">
        <v>59</v>
      </c>
      <c r="CB1">
        <v>60</v>
      </c>
      <c r="CC1">
        <v>61</v>
      </c>
      <c r="CD1">
        <v>62</v>
      </c>
      <c r="CE1">
        <v>63</v>
      </c>
      <c r="CF1">
        <v>64</v>
      </c>
      <c r="CG1">
        <v>65</v>
      </c>
      <c r="CH1">
        <v>66</v>
      </c>
      <c r="CI1">
        <v>67</v>
      </c>
      <c r="CJ1">
        <v>68</v>
      </c>
      <c r="CK1">
        <v>69</v>
      </c>
      <c r="CL1">
        <v>70</v>
      </c>
      <c r="CM1">
        <v>71</v>
      </c>
      <c r="CN1">
        <v>72</v>
      </c>
      <c r="CO1">
        <v>73</v>
      </c>
      <c r="CP1">
        <v>74</v>
      </c>
      <c r="CQ1">
        <v>75</v>
      </c>
      <c r="CR1">
        <v>76</v>
      </c>
      <c r="CS1">
        <v>77</v>
      </c>
      <c r="CT1">
        <v>78</v>
      </c>
      <c r="CU1">
        <v>79</v>
      </c>
      <c r="CV1">
        <v>80</v>
      </c>
      <c r="CW1">
        <v>81</v>
      </c>
      <c r="CX1">
        <v>82</v>
      </c>
      <c r="CY1">
        <v>83</v>
      </c>
      <c r="CZ1">
        <v>84</v>
      </c>
      <c r="DA1">
        <v>85</v>
      </c>
      <c r="DB1">
        <v>86</v>
      </c>
      <c r="DC1">
        <v>87</v>
      </c>
      <c r="DD1">
        <v>88</v>
      </c>
      <c r="DE1">
        <v>89</v>
      </c>
      <c r="DF1">
        <v>90</v>
      </c>
      <c r="DG1">
        <v>91</v>
      </c>
      <c r="DH1">
        <v>92</v>
      </c>
      <c r="DI1">
        <v>93</v>
      </c>
      <c r="DJ1">
        <v>94</v>
      </c>
      <c r="DK1">
        <v>95</v>
      </c>
      <c r="DL1">
        <v>96</v>
      </c>
      <c r="DM1">
        <v>97</v>
      </c>
      <c r="DN1">
        <v>98</v>
      </c>
      <c r="DO1">
        <v>99</v>
      </c>
      <c r="DP1">
        <v>100</v>
      </c>
      <c r="DQ1">
        <v>101</v>
      </c>
      <c r="DR1">
        <v>102</v>
      </c>
      <c r="DS1">
        <v>103</v>
      </c>
      <c r="DT1">
        <v>104</v>
      </c>
      <c r="DU1">
        <v>105</v>
      </c>
      <c r="DV1">
        <v>106</v>
      </c>
      <c r="DW1">
        <v>107</v>
      </c>
      <c r="DX1">
        <v>108</v>
      </c>
      <c r="DY1">
        <v>109</v>
      </c>
      <c r="DZ1">
        <v>110</v>
      </c>
      <c r="EA1">
        <v>111</v>
      </c>
      <c r="EB1">
        <v>112</v>
      </c>
      <c r="EC1">
        <v>113</v>
      </c>
      <c r="ED1">
        <v>114</v>
      </c>
      <c r="EE1">
        <v>115</v>
      </c>
      <c r="EF1">
        <v>116</v>
      </c>
      <c r="EG1">
        <v>117</v>
      </c>
      <c r="EH1">
        <v>118</v>
      </c>
      <c r="EI1">
        <v>119</v>
      </c>
      <c r="EJ1">
        <v>120</v>
      </c>
      <c r="EK1">
        <v>121</v>
      </c>
      <c r="EL1">
        <v>122</v>
      </c>
      <c r="EM1">
        <v>123</v>
      </c>
      <c r="EN1">
        <v>124</v>
      </c>
      <c r="EO1">
        <v>125</v>
      </c>
      <c r="EP1">
        <v>126</v>
      </c>
      <c r="EQ1">
        <v>127</v>
      </c>
      <c r="ER1">
        <v>128</v>
      </c>
      <c r="ES1">
        <v>129</v>
      </c>
      <c r="ET1">
        <v>130</v>
      </c>
      <c r="EU1">
        <v>131</v>
      </c>
      <c r="EV1">
        <v>132</v>
      </c>
      <c r="EW1">
        <v>133</v>
      </c>
      <c r="EX1">
        <v>134</v>
      </c>
      <c r="EY1">
        <v>135</v>
      </c>
      <c r="EZ1">
        <v>136</v>
      </c>
      <c r="FA1">
        <v>137</v>
      </c>
      <c r="FB1">
        <v>138</v>
      </c>
      <c r="FC1">
        <v>139</v>
      </c>
      <c r="FD1">
        <v>140</v>
      </c>
      <c r="FE1">
        <v>141</v>
      </c>
      <c r="FF1">
        <v>142</v>
      </c>
      <c r="FG1">
        <v>143</v>
      </c>
      <c r="FH1">
        <v>144</v>
      </c>
      <c r="FI1">
        <v>145</v>
      </c>
      <c r="FJ1">
        <v>146</v>
      </c>
      <c r="FK1">
        <v>147</v>
      </c>
      <c r="FL1">
        <v>148</v>
      </c>
      <c r="FM1">
        <v>149</v>
      </c>
      <c r="FN1">
        <v>150</v>
      </c>
      <c r="FO1">
        <v>151</v>
      </c>
      <c r="FP1">
        <v>152</v>
      </c>
      <c r="FQ1">
        <v>153</v>
      </c>
      <c r="FR1">
        <v>154</v>
      </c>
      <c r="FS1">
        <v>155</v>
      </c>
      <c r="FT1">
        <v>156</v>
      </c>
      <c r="FU1">
        <v>157</v>
      </c>
      <c r="FV1">
        <v>158</v>
      </c>
      <c r="FW1">
        <v>159</v>
      </c>
      <c r="FX1">
        <v>160</v>
      </c>
      <c r="FY1">
        <v>161</v>
      </c>
      <c r="FZ1">
        <v>162</v>
      </c>
      <c r="GA1">
        <v>163</v>
      </c>
      <c r="GB1">
        <v>164</v>
      </c>
      <c r="GC1">
        <v>165</v>
      </c>
      <c r="GD1">
        <v>166</v>
      </c>
      <c r="GE1">
        <v>167</v>
      </c>
      <c r="GF1">
        <v>168</v>
      </c>
      <c r="GG1">
        <v>169</v>
      </c>
      <c r="GH1">
        <v>170</v>
      </c>
      <c r="GI1">
        <v>171</v>
      </c>
      <c r="GJ1">
        <v>172</v>
      </c>
      <c r="GK1">
        <v>173</v>
      </c>
      <c r="GL1">
        <v>174</v>
      </c>
      <c r="GM1">
        <v>175</v>
      </c>
      <c r="GN1">
        <v>176</v>
      </c>
      <c r="GO1">
        <v>177</v>
      </c>
      <c r="GP1">
        <v>178</v>
      </c>
      <c r="GQ1">
        <v>179</v>
      </c>
      <c r="GR1">
        <v>180</v>
      </c>
      <c r="GS1">
        <v>181</v>
      </c>
    </row>
    <row r="2">
      <c r="A2" s="7"/>
      <c r="B2" s="8"/>
      <c r="C2" s="8"/>
      <c r="D2" s="8"/>
      <c r="E2" s="8"/>
      <c r="F2" s="8"/>
      <c r="G2" s="8"/>
      <c r="H2" s="8"/>
      <c r="I2" s="8"/>
    </row>
    <row r="3" thickBot="1" ht="15.15">
      <c r="A3" s="9"/>
      <c r="B3" s="9"/>
      <c r="C3" s="9"/>
      <c r="D3" s="9"/>
      <c r="E3" s="9"/>
      <c r="F3" s="9"/>
      <c r="G3" s="9"/>
      <c r="I3" s="9"/>
    </row>
    <row r="4" s="1" customFormat="1" ht="10.2">
      <c r="A4" s="3" t="s">
        <v>195</v>
      </c>
      <c r="B4" s="3" t="s">
        <v>196</v>
      </c>
      <c r="C4" s="3" t="s">
        <v>197</v>
      </c>
      <c r="D4" s="3" t="s">
        <v>198</v>
      </c>
      <c r="E4" s="4" t="s">
        <v>190</v>
      </c>
      <c r="F4" s="5" t="s">
        <v>191</v>
      </c>
      <c r="G4" s="6" t="s">
        <v>192</v>
      </c>
      <c r="H4" s="3" t="s">
        <v>199</v>
      </c>
      <c r="I4" s="4" t="s">
        <v>200</v>
      </c>
      <c r="U4" s="10" t="s">
        <v>95</v>
      </c>
      <c r="V4" s="10" t="s">
        <v>97</v>
      </c>
      <c r="W4" s="10" t="s">
        <v>98</v>
      </c>
      <c r="X4" s="10" t="s">
        <v>99</v>
      </c>
      <c r="Y4" s="10" t="s">
        <v>100</v>
      </c>
      <c r="Z4" s="10" t="s">
        <v>101</v>
      </c>
      <c r="AA4" s="10" t="s">
        <v>102</v>
      </c>
      <c r="AB4" s="10" t="s">
        <v>103</v>
      </c>
      <c r="AC4" s="10" t="s">
        <v>104</v>
      </c>
      <c r="AD4" s="10" t="s">
        <v>182</v>
      </c>
      <c r="AE4" s="10" t="s">
        <v>183</v>
      </c>
      <c r="AF4" s="10" t="s">
        <v>174</v>
      </c>
      <c r="AG4" s="10" t="s">
        <v>184</v>
      </c>
      <c r="AH4" s="10" t="s">
        <v>185</v>
      </c>
      <c r="AI4" s="10" t="s">
        <v>44</v>
      </c>
      <c r="AJ4" s="10" t="s">
        <v>45</v>
      </c>
      <c r="AK4" s="10" t="s">
        <v>47</v>
      </c>
      <c r="AL4" s="10" t="s">
        <v>49</v>
      </c>
      <c r="AM4" s="10" t="s">
        <v>50</v>
      </c>
      <c r="AN4" s="10" t="s">
        <v>51</v>
      </c>
      <c r="AO4" s="10" t="s">
        <v>105</v>
      </c>
      <c r="AP4" s="10" t="s">
        <v>106</v>
      </c>
      <c r="AQ4" s="10" t="s">
        <v>107</v>
      </c>
      <c r="AR4" s="10" t="s">
        <v>109</v>
      </c>
      <c r="AS4" s="10" t="s">
        <v>111</v>
      </c>
      <c r="AT4" s="10" t="s">
        <v>116</v>
      </c>
      <c r="AU4" s="10" t="s">
        <v>117</v>
      </c>
      <c r="AV4" s="10" t="s">
        <v>119</v>
      </c>
      <c r="AW4" s="10" t="s">
        <v>120</v>
      </c>
      <c r="AX4" s="10" t="s">
        <v>124</v>
      </c>
      <c r="AY4" s="10" t="s">
        <v>128</v>
      </c>
      <c r="AZ4" s="10" t="s">
        <v>129</v>
      </c>
      <c r="BA4" s="10" t="s">
        <v>62</v>
      </c>
      <c r="BB4" s="10" t="s">
        <v>65</v>
      </c>
      <c r="BC4" s="10" t="s">
        <v>66</v>
      </c>
      <c r="BD4" s="10" t="s">
        <v>67</v>
      </c>
      <c r="BE4" s="10" t="s">
        <v>69</v>
      </c>
      <c r="BF4" s="10" t="s">
        <v>71</v>
      </c>
      <c r="BG4" s="10" t="s">
        <v>73</v>
      </c>
      <c r="BH4" s="10" t="s">
        <v>75</v>
      </c>
      <c r="BI4" s="10" t="s">
        <v>76</v>
      </c>
      <c r="BJ4" s="10" t="s">
        <v>77</v>
      </c>
      <c r="BK4" s="10" t="s">
        <v>79</v>
      </c>
      <c r="BL4" s="10" t="s">
        <v>80</v>
      </c>
      <c r="BM4" s="10" t="s">
        <v>81</v>
      </c>
      <c r="BN4" s="10" t="s">
        <v>88</v>
      </c>
      <c r="BO4" s="10" t="s">
        <v>91</v>
      </c>
      <c r="BP4" s="10" t="s">
        <v>90</v>
      </c>
      <c r="BQ4" s="10" t="s">
        <v>54</v>
      </c>
      <c r="BR4" s="10" t="s">
        <v>55</v>
      </c>
      <c r="BS4" s="10" t="s">
        <v>56</v>
      </c>
      <c r="BT4" s="10" t="s">
        <v>57</v>
      </c>
      <c r="BU4" s="10" t="s">
        <v>59</v>
      </c>
      <c r="BV4" s="10" t="s">
        <v>60</v>
      </c>
      <c r="BW4" s="10" t="s">
        <v>6</v>
      </c>
      <c r="BX4" s="10" t="s">
        <v>9</v>
      </c>
      <c r="BY4" s="10" t="s">
        <v>12</v>
      </c>
      <c r="BZ4" s="10" t="s">
        <v>13</v>
      </c>
      <c r="CA4" s="10" t="s">
        <v>15</v>
      </c>
      <c r="CB4" s="10" t="s">
        <v>16</v>
      </c>
      <c r="CC4" s="10" t="s">
        <v>17</v>
      </c>
      <c r="CD4" s="10" t="s">
        <v>18</v>
      </c>
      <c r="CE4" s="10" t="s">
        <v>23</v>
      </c>
      <c r="CF4" s="10" t="s">
        <v>27</v>
      </c>
      <c r="CG4" s="10" t="s">
        <v>30</v>
      </c>
      <c r="CH4" s="10" t="s">
        <v>31</v>
      </c>
      <c r="CI4" s="10" t="s">
        <v>35</v>
      </c>
      <c r="CJ4" s="10" t="s">
        <v>39</v>
      </c>
      <c r="CK4" s="10" t="s">
        <v>40</v>
      </c>
      <c r="CL4" s="10" t="s">
        <v>41</v>
      </c>
      <c r="CM4" s="10" t="s">
        <v>42</v>
      </c>
      <c r="CN4" s="10" t="s">
        <v>168</v>
      </c>
      <c r="CO4" s="10" t="s">
        <v>148</v>
      </c>
      <c r="CP4" s="10" t="s">
        <v>156</v>
      </c>
      <c r="CQ4" s="10" t="s">
        <v>158</v>
      </c>
      <c r="CR4" s="10" t="s">
        <v>159</v>
      </c>
      <c r="CS4" s="10" t="s">
        <v>160</v>
      </c>
      <c r="CT4" s="10" t="s">
        <v>162</v>
      </c>
      <c r="CU4" s="10" t="s">
        <v>166</v>
      </c>
      <c r="CV4" s="10" t="s">
        <v>169</v>
      </c>
      <c r="CW4" s="10" t="s">
        <v>170</v>
      </c>
      <c r="CX4" s="10" t="s">
        <v>173</v>
      </c>
      <c r="CY4" s="10" t="s">
        <v>176</v>
      </c>
      <c r="CZ4" s="10" t="s">
        <v>177</v>
      </c>
      <c r="DA4" s="10" t="s">
        <v>178</v>
      </c>
      <c r="DB4" s="10" t="s">
        <v>181</v>
      </c>
      <c r="DC4" s="10" t="s">
        <v>135</v>
      </c>
      <c r="DD4" s="10" t="s">
        <v>137</v>
      </c>
      <c r="DE4" s="10" t="s">
        <v>138</v>
      </c>
      <c r="DF4" s="10" t="s">
        <v>139</v>
      </c>
      <c r="DG4" s="10" t="s">
        <v>92</v>
      </c>
      <c r="DH4" s="10" t="s">
        <v>93</v>
      </c>
      <c r="DI4" s="10" t="s">
        <v>94</v>
      </c>
      <c r="DJ4" s="10" t="s">
        <v>201</v>
      </c>
      <c r="DK4" s="10" t="s">
        <v>43</v>
      </c>
      <c r="DL4" s="10" t="s">
        <v>46</v>
      </c>
      <c r="DM4" s="10" t="s">
        <v>48</v>
      </c>
      <c r="DN4" s="10" t="s">
        <v>52</v>
      </c>
      <c r="DO4" s="10" t="s">
        <v>53</v>
      </c>
      <c r="DP4" s="10" t="s">
        <v>108</v>
      </c>
      <c r="DQ4" s="10" t="s">
        <v>110</v>
      </c>
      <c r="DR4" s="10" t="s">
        <v>112</v>
      </c>
      <c r="DS4" s="10" t="s">
        <v>113</v>
      </c>
      <c r="DT4" s="10" t="s">
        <v>114</v>
      </c>
      <c r="DU4" s="10" t="s">
        <v>115</v>
      </c>
      <c r="DV4" s="10" t="s">
        <v>118</v>
      </c>
      <c r="DW4" s="10" t="s">
        <v>121</v>
      </c>
      <c r="DX4" s="10" t="s">
        <v>122</v>
      </c>
      <c r="DY4" s="10" t="s">
        <v>123</v>
      </c>
      <c r="DZ4" s="10" t="s">
        <v>125</v>
      </c>
      <c r="EA4" s="10" t="s">
        <v>126</v>
      </c>
      <c r="EB4" s="10" t="s">
        <v>127</v>
      </c>
      <c r="EC4" s="10" t="s">
        <v>130</v>
      </c>
      <c r="ED4" s="10" t="s">
        <v>131</v>
      </c>
      <c r="EE4" s="10" t="s">
        <v>132</v>
      </c>
      <c r="EF4" s="10" t="s">
        <v>133</v>
      </c>
      <c r="EG4" s="10" t="s">
        <v>61</v>
      </c>
      <c r="EH4" s="10" t="s">
        <v>63</v>
      </c>
      <c r="EI4" s="10" t="s">
        <v>64</v>
      </c>
      <c r="EJ4" s="10" t="s">
        <v>68</v>
      </c>
      <c r="EK4" s="10" t="s">
        <v>70</v>
      </c>
      <c r="EL4" s="10" t="s">
        <v>72</v>
      </c>
      <c r="EM4" s="10" t="s">
        <v>74</v>
      </c>
      <c r="EN4" s="10" t="s">
        <v>78</v>
      </c>
      <c r="EO4" s="10" t="s">
        <v>82</v>
      </c>
      <c r="EP4" s="10" t="s">
        <v>83</v>
      </c>
      <c r="EQ4" s="10" t="s">
        <v>84</v>
      </c>
      <c r="ER4" s="10" t="s">
        <v>85</v>
      </c>
      <c r="ES4" s="10" t="s">
        <v>86</v>
      </c>
      <c r="ET4" s="10" t="s">
        <v>87</v>
      </c>
      <c r="EU4" s="10" t="s">
        <v>89</v>
      </c>
      <c r="EV4" s="10" t="s">
        <v>58</v>
      </c>
      <c r="EW4" s="10" t="s">
        <v>4</v>
      </c>
      <c r="EX4" s="10" t="s">
        <v>5</v>
      </c>
      <c r="EY4" s="10" t="s">
        <v>8</v>
      </c>
      <c r="EZ4" s="10" t="s">
        <v>10</v>
      </c>
      <c r="FA4" s="10" t="s">
        <v>11</v>
      </c>
      <c r="FB4" s="10" t="s">
        <v>14</v>
      </c>
      <c r="FC4" s="10" t="s">
        <v>19</v>
      </c>
      <c r="FD4" s="10" t="s">
        <v>20</v>
      </c>
      <c r="FE4" s="10" t="s">
        <v>21</v>
      </c>
      <c r="FF4" s="10" t="s">
        <v>22</v>
      </c>
      <c r="FG4" s="10" t="s">
        <v>24</v>
      </c>
      <c r="FH4" s="10" t="s">
        <v>25</v>
      </c>
      <c r="FI4" s="10" t="s">
        <v>26</v>
      </c>
      <c r="FJ4" s="10" t="s">
        <v>28</v>
      </c>
      <c r="FK4" s="10" t="s">
        <v>29</v>
      </c>
      <c r="FL4" s="10" t="s">
        <v>32</v>
      </c>
      <c r="FM4" s="10" t="s">
        <v>33</v>
      </c>
      <c r="FN4" s="10" t="s">
        <v>34</v>
      </c>
      <c r="FO4" s="10" t="s">
        <v>36</v>
      </c>
      <c r="FP4" s="10" t="s">
        <v>37</v>
      </c>
      <c r="FQ4" s="10" t="s">
        <v>38</v>
      </c>
      <c r="FR4" s="10" t="s">
        <v>146</v>
      </c>
      <c r="FS4" s="10" t="s">
        <v>147</v>
      </c>
      <c r="FT4" s="10" t="s">
        <v>149</v>
      </c>
      <c r="FU4" s="10" t="s">
        <v>150</v>
      </c>
      <c r="FV4" s="10" t="s">
        <v>151</v>
      </c>
      <c r="FW4" s="10" t="s">
        <v>152</v>
      </c>
      <c r="FX4" s="10" t="s">
        <v>153</v>
      </c>
      <c r="FY4" s="10" t="s">
        <v>154</v>
      </c>
      <c r="FZ4" s="10" t="s">
        <v>155</v>
      </c>
      <c r="GA4" s="10" t="s">
        <v>157</v>
      </c>
      <c r="GB4" s="10" t="s">
        <v>161</v>
      </c>
      <c r="GC4" s="10" t="s">
        <v>163</v>
      </c>
      <c r="GD4" s="10" t="s">
        <v>164</v>
      </c>
      <c r="GE4" s="10" t="s">
        <v>165</v>
      </c>
      <c r="GF4" s="10" t="s">
        <v>167</v>
      </c>
      <c r="GG4" s="10" t="s">
        <v>171</v>
      </c>
      <c r="GH4" s="10" t="s">
        <v>172</v>
      </c>
      <c r="GI4" s="10" t="s">
        <v>175</v>
      </c>
      <c r="GJ4" s="10" t="s">
        <v>179</v>
      </c>
      <c r="GK4" s="10" t="s">
        <v>180</v>
      </c>
      <c r="GL4" s="10" t="s">
        <v>134</v>
      </c>
      <c r="GM4" s="10" t="s">
        <v>136</v>
      </c>
      <c r="GN4" s="10" t="s">
        <v>140</v>
      </c>
      <c r="GO4" s="10" t="s">
        <v>141</v>
      </c>
      <c r="GP4" s="10" t="s">
        <v>142</v>
      </c>
      <c r="GQ4" s="10" t="s">
        <v>143</v>
      </c>
      <c r="GR4" s="10" t="s">
        <v>144</v>
      </c>
      <c r="GS4" s="10" t="s">
        <v>145</v>
      </c>
    </row>
    <row r="5">
      <c r="A5" t="s">
        <v>202</v>
      </c>
      <c r="B5" t="s">
        <v>203</v>
      </c>
      <c r="C5" t="s">
        <v>204</v>
      </c>
      <c r="D5">
        <v>2</v>
      </c>
      <c r="G5" t="s">
        <v>7</v>
      </c>
      <c r="H5" t="str">
        <f>referto_IGG180!C1</f>
        <v>_x0009_1772</v>
      </c>
      <c r="I5" t="s">
        <v>205</v>
      </c>
      <c r="U5">
        <f>    INDEX( referto_IGG180!A$2:B$182,MATCH(U4,referto_IGG180!A$2:A$182,0),2)</f>
        <v>42</v>
      </c>
      <c r="V5">
        <f>    INDEX( referto_IGG180!A$2:B$182,MATCH(V4,referto_IGG180!A$2:A$182,0),2)</f>
        <v>15</v>
      </c>
      <c r="W5">
        <f>    INDEX( referto_IGG180!A$2:B$182,MATCH(W4,referto_IGG180!A$2:A$182,0),2)</f>
        <v>43</v>
      </c>
      <c r="X5">
        <f>    INDEX( referto_IGG180!A$2:B$182,MATCH(X4,referto_IGG180!A$2:A$182,0),2)</f>
        <v>34</v>
      </c>
      <c r="Y5">
        <f>    INDEX( referto_IGG180!A$2:B$182,MATCH(Y4,referto_IGG180!A$2:A$182,0),2)</f>
        <v>51</v>
      </c>
      <c r="Z5">
        <f>    INDEX( referto_IGG180!A$2:B$182,MATCH(Z4,referto_IGG180!A$2:A$182,0),2)</f>
        <v>25</v>
      </c>
      <c r="AA5">
        <f>    INDEX( referto_IGG180!A$2:B$182,MATCH(AA4,referto_IGG180!A$2:A$182,0),2)</f>
        <v>34</v>
      </c>
      <c r="AB5">
        <f>    INDEX( referto_IGG180!A$2:B$182,MATCH(AB4,referto_IGG180!A$2:A$182,0),2)</f>
        <v>55</v>
      </c>
      <c r="AC5">
        <f>    INDEX( referto_IGG180!A$2:B$182,MATCH(AC4,referto_IGG180!A$2:A$182,0),2)</f>
        <v>37</v>
      </c>
      <c r="AD5">
        <f>    INDEX( referto_IGG180!A$2:B$182,MATCH(AD4,referto_IGG180!A$2:A$182,0),2)</f>
        <v>21</v>
      </c>
      <c r="AE5">
        <f>    INDEX( referto_IGG180!A$2:B$182,MATCH(AE4,referto_IGG180!A$2:A$182,0),2)</f>
        <v>19</v>
      </c>
      <c r="AF5">
        <f>    INDEX( referto_IGG180!A$2:B$182,MATCH(AF4,referto_IGG180!A$2:A$182,0),2)</f>
        <v>33</v>
      </c>
      <c r="AG5">
        <f>    INDEX( referto_IGG180!A$2:B$182,MATCH(AG4,referto_IGG180!A$2:A$182,0),2)</f>
        <v>9</v>
      </c>
      <c r="AH5">
        <f>    INDEX( referto_IGG180!A$2:B$182,MATCH(AH4,referto_IGG180!A$2:A$182,0),2)</f>
        <v>17</v>
      </c>
      <c r="AI5">
        <f>    INDEX( referto_IGG180!A$2:B$182,MATCH(AI4,referto_IGG180!A$2:A$182,0),2)</f>
        <v>0</v>
      </c>
      <c r="AJ5">
        <f>    INDEX( referto_IGG180!A$2:B$182,MATCH(AJ4,referto_IGG180!A$2:A$182,0),2)</f>
        <v>18</v>
      </c>
      <c r="AK5">
        <f>    INDEX( referto_IGG180!A$2:B$182,MATCH(AK4,referto_IGG180!A$2:A$182,0),2)</f>
        <v>27</v>
      </c>
      <c r="AL5">
        <f>    INDEX( referto_IGG180!A$2:B$182,MATCH(AL4,referto_IGG180!A$2:A$182,0),2)</f>
        <v>7</v>
      </c>
      <c r="AM5">
        <f>    INDEX( referto_IGG180!A$2:B$182,MATCH(AM4,referto_IGG180!A$2:A$182,0),2)</f>
        <v>9</v>
      </c>
      <c r="AN5">
        <f>    INDEX( referto_IGG180!A$2:B$182,MATCH(AN4,referto_IGG180!A$2:A$182,0),2)</f>
        <v>0</v>
      </c>
      <c r="AO5">
        <f>    INDEX( referto_IGG180!A$2:B$182,MATCH(AO4,referto_IGG180!A$2:A$182,0),2)</f>
        <v>0</v>
      </c>
      <c r="AP5">
        <f>    INDEX( referto_IGG180!A$2:B$182,MATCH(AP4,referto_IGG180!A$2:A$182,0),2)</f>
        <v>15</v>
      </c>
      <c r="AQ5">
        <f>    INDEX( referto_IGG180!A$2:B$182,MATCH(AQ4,referto_IGG180!A$2:A$182,0),2)</f>
        <v>0</v>
      </c>
      <c r="AR5">
        <f>    INDEX( referto_IGG180!A$2:B$182,MATCH(AR4,referto_IGG180!A$2:A$182,0),2)</f>
        <v>20</v>
      </c>
      <c r="AS5">
        <f>    INDEX( referto_IGG180!A$2:B$182,MATCH(AS4,referto_IGG180!A$2:A$182,0),2)</f>
        <v>0</v>
      </c>
      <c r="AT5">
        <f>    INDEX( referto_IGG180!A$2:B$182,MATCH(AT4,referto_IGG180!A$2:A$182,0),2)</f>
        <v>0</v>
      </c>
      <c r="AU5">
        <f>    INDEX( referto_IGG180!A$2:B$182,MATCH(AU4,referto_IGG180!A$2:A$182,0),2)</f>
        <v>8</v>
      </c>
      <c r="AV5">
        <f>    INDEX( referto_IGG180!A$2:B$182,MATCH(AV4,referto_IGG180!A$2:A$182,0),2)</f>
        <v>0</v>
      </c>
      <c r="AW5">
        <f>    INDEX( referto_IGG180!A$2:B$182,MATCH(AW4,referto_IGG180!A$2:A$182,0),2)</f>
        <v>0</v>
      </c>
      <c r="AX5">
        <f>    INDEX( referto_IGG180!A$2:B$182,MATCH(AX4,referto_IGG180!A$2:A$182,0),2)</f>
        <v>5</v>
      </c>
      <c r="AY5">
        <f>    INDEX( referto_IGG180!A$2:B$182,MATCH(AY4,referto_IGG180!A$2:A$182,0),2)</f>
        <v>0</v>
      </c>
      <c r="AZ5">
        <f>    INDEX( referto_IGG180!A$2:B$182,MATCH(AZ4,referto_IGG180!A$2:A$182,0),2)</f>
        <v>0</v>
      </c>
      <c r="BA5">
        <f>    INDEX( referto_IGG180!A$2:B$182,MATCH(BA4,referto_IGG180!A$2:A$182,0),2)</f>
        <v>0</v>
      </c>
      <c r="BB5">
        <f>    INDEX( referto_IGG180!A$2:B$182,MATCH(BB4,referto_IGG180!A$2:A$182,0),2)</f>
        <v>7</v>
      </c>
      <c r="BC5">
        <f>    INDEX( referto_IGG180!A$2:B$182,MATCH(BC4,referto_IGG180!A$2:A$182,0),2)</f>
        <v>0</v>
      </c>
      <c r="BD5">
        <f>    INDEX( referto_IGG180!A$2:B$182,MATCH(BD4,referto_IGG180!A$2:A$182,0),2)</f>
        <v>0</v>
      </c>
      <c r="BE5">
        <f>    INDEX( referto_IGG180!A$2:B$182,MATCH(BE4,referto_IGG180!A$2:A$182,0),2)</f>
        <v>0</v>
      </c>
      <c r="BF5">
        <f>    INDEX( referto_IGG180!A$2:B$182,MATCH(BF4,referto_IGG180!A$2:A$182,0),2)</f>
        <v>5</v>
      </c>
      <c r="BG5">
        <f>    INDEX( referto_IGG180!A$2:B$182,MATCH(BG4,referto_IGG180!A$2:A$182,0),2)</f>
        <v>0</v>
      </c>
      <c r="BH5">
        <f>    INDEX( referto_IGG180!A$2:B$182,MATCH(BH4,referto_IGG180!A$2:A$182,0),2)</f>
        <v>0</v>
      </c>
      <c r="BI5">
        <f>    INDEX( referto_IGG180!A$2:B$182,MATCH(BI4,referto_IGG180!A$2:A$182,0),2)</f>
        <v>6</v>
      </c>
      <c r="BJ5">
        <f>    INDEX( referto_IGG180!A$2:B$182,MATCH(BJ4,referto_IGG180!A$2:A$182,0),2)</f>
        <v>0</v>
      </c>
      <c r="BK5">
        <f>    INDEX( referto_IGG180!A$2:B$182,MATCH(BK4,referto_IGG180!A$2:A$182,0),2)</f>
        <v>0</v>
      </c>
      <c r="BL5">
        <f>    INDEX( referto_IGG180!A$2:B$182,MATCH(BL4,referto_IGG180!A$2:A$182,0),2)</f>
        <v>0</v>
      </c>
      <c r="BM5">
        <f>    INDEX( referto_IGG180!A$2:B$182,MATCH(BM4,referto_IGG180!A$2:A$182,0),2)</f>
        <v>0</v>
      </c>
      <c r="BN5">
        <f>    INDEX( referto_IGG180!A$2:B$182,MATCH(BN4,referto_IGG180!A$2:A$182,0),2)</f>
        <v>0</v>
      </c>
      <c r="BO5">
        <f>    INDEX( referto_IGG180!A$2:B$182,MATCH(BO4,referto_IGG180!A$2:A$182,0),2)</f>
        <v>0</v>
      </c>
      <c r="BP5">
        <f>    INDEX( referto_IGG180!A$2:B$182,MATCH(BP4,referto_IGG180!A$2:A$182,0),2)</f>
        <v>0</v>
      </c>
      <c r="BQ5">
        <f>    INDEX( referto_IGG180!A$2:B$182,MATCH(BQ4,referto_IGG180!A$2:A$182,0),2)</f>
        <v>0</v>
      </c>
      <c r="BR5">
        <f>    INDEX( referto_IGG180!A$2:B$182,MATCH(BR4,referto_IGG180!A$2:A$182,0),2)</f>
        <v>0</v>
      </c>
      <c r="BS5">
        <f>    INDEX( referto_IGG180!A$2:B$182,MATCH(BS4,referto_IGG180!A$2:A$182,0),2)</f>
        <v>0</v>
      </c>
      <c r="BT5">
        <f>    INDEX( referto_IGG180!A$2:B$182,MATCH(BT4,referto_IGG180!A$2:A$182,0),2)</f>
        <v>0</v>
      </c>
      <c r="BU5">
        <f>    INDEX( referto_IGG180!A$2:B$182,MATCH(BU4,referto_IGG180!A$2:A$182,0),2)</f>
        <v>0</v>
      </c>
      <c r="BV5">
        <f>    INDEX( referto_IGG180!A$2:B$182,MATCH(BV4,referto_IGG180!A$2:A$182,0),2)</f>
        <v>6</v>
      </c>
      <c r="BW5">
        <f>    INDEX( referto_IGG180!A$2:B$182,MATCH(BW4,referto_IGG180!A$2:A$182,0),2)</f>
        <v>0</v>
      </c>
      <c r="BX5">
        <f>    INDEX( referto_IGG180!A$2:B$182,MATCH(BX4,referto_IGG180!A$2:A$182,0),2)</f>
        <v>11</v>
      </c>
      <c r="BY5">
        <f>    INDEX( referto_IGG180!A$2:B$182,MATCH(BY4,referto_IGG180!A$2:A$182,0),2)</f>
        <v>10</v>
      </c>
      <c r="BZ5">
        <f>    INDEX( referto_IGG180!A$2:B$182,MATCH(BZ4,referto_IGG180!A$2:A$182,0),2)</f>
        <v>0</v>
      </c>
      <c r="CA5">
        <f>    INDEX( referto_IGG180!A$2:B$182,MATCH(CA4,referto_IGG180!A$2:A$182,0),2)</f>
        <v>0</v>
      </c>
      <c r="CB5">
        <f>    INDEX( referto_IGG180!A$2:B$182,MATCH(CB4,referto_IGG180!A$2:A$182,0),2)</f>
        <v>0</v>
      </c>
      <c r="CC5">
        <f>    INDEX( referto_IGG180!A$2:B$182,MATCH(CC4,referto_IGG180!A$2:A$182,0),2)</f>
        <v>19</v>
      </c>
      <c r="CD5">
        <f>    INDEX( referto_IGG180!A$2:B$182,MATCH(CD4,referto_IGG180!A$2:A$182,0),2)</f>
        <v>0</v>
      </c>
      <c r="CE5">
        <f>    INDEX( referto_IGG180!A$2:B$182,MATCH(CE4,referto_IGG180!A$2:A$182,0),2)</f>
        <v>0</v>
      </c>
      <c r="CF5">
        <f>    INDEX( referto_IGG180!A$2:B$182,MATCH(CF4,referto_IGG180!A$2:A$182,0),2)</f>
        <v>7</v>
      </c>
      <c r="CG5">
        <f>    INDEX( referto_IGG180!A$2:B$182,MATCH(CG4,referto_IGG180!A$2:A$182,0),2)</f>
        <v>5</v>
      </c>
      <c r="CH5">
        <f>    INDEX( referto_IGG180!A$2:B$182,MATCH(CH4,referto_IGG180!A$2:A$182,0),2)</f>
        <v>0</v>
      </c>
      <c r="CI5">
        <f>    INDEX( referto_IGG180!A$2:B$182,MATCH(CI4,referto_IGG180!A$2:A$182,0),2)</f>
        <v>0</v>
      </c>
      <c r="CJ5">
        <f>    INDEX( referto_IGG180!A$2:B$182,MATCH(CJ4,referto_IGG180!A$2:A$182,0),2)</f>
        <v>0</v>
      </c>
      <c r="CK5">
        <f>    INDEX( referto_IGG180!A$2:B$182,MATCH(CK4,referto_IGG180!A$2:A$182,0),2)</f>
        <v>9</v>
      </c>
      <c r="CL5">
        <f>    INDEX( referto_IGG180!A$2:B$182,MATCH(CL4,referto_IGG180!A$2:A$182,0),2)</f>
        <v>0</v>
      </c>
      <c r="CM5">
        <f>    INDEX( referto_IGG180!A$2:B$182,MATCH(CM4,referto_IGG180!A$2:A$182,0),2)</f>
        <v>7</v>
      </c>
      <c r="CN5">
        <f>    INDEX( referto_IGG180!A$2:B$182,MATCH(CN4,referto_IGG180!A$2:A$182,0),2)</f>
        <v>0</v>
      </c>
      <c r="CO5">
        <f>    INDEX( referto_IGG180!A$2:B$182,MATCH(CO4,referto_IGG180!A$2:A$182,0),2)</f>
        <v>0</v>
      </c>
      <c r="CP5">
        <f>    INDEX( referto_IGG180!A$2:B$182,MATCH(CP4,referto_IGG180!A$2:A$182,0),2)</f>
        <v>8</v>
      </c>
      <c r="CQ5">
        <f>    INDEX( referto_IGG180!A$2:B$182,MATCH(CQ4,referto_IGG180!A$2:A$182,0),2)</f>
        <v>7</v>
      </c>
      <c r="CR5">
        <f>    INDEX( referto_IGG180!A$2:B$182,MATCH(CR4,referto_IGG180!A$2:A$182,0),2)</f>
        <v>0</v>
      </c>
      <c r="CS5">
        <f>    INDEX( referto_IGG180!A$2:B$182,MATCH(CS4,referto_IGG180!A$2:A$182,0),2)</f>
        <v>0</v>
      </c>
      <c r="CT5">
        <f>    INDEX( referto_IGG180!A$2:B$182,MATCH(CT4,referto_IGG180!A$2:A$182,0),2)</f>
        <v>0</v>
      </c>
      <c r="CU5">
        <f>    INDEX( referto_IGG180!A$2:B$182,MATCH(CU4,referto_IGG180!A$2:A$182,0),2)</f>
        <v>31</v>
      </c>
      <c r="CV5">
        <f>    INDEX( referto_IGG180!A$2:B$182,MATCH(CV4,referto_IGG180!A$2:A$182,0),2)</f>
        <v>10</v>
      </c>
      <c r="CW5">
        <f>    INDEX( referto_IGG180!A$2:B$182,MATCH(CW4,referto_IGG180!A$2:A$182,0),2)</f>
        <v>8</v>
      </c>
      <c r="CX5">
        <f>    INDEX( referto_IGG180!A$2:B$182,MATCH(CX4,referto_IGG180!A$2:A$182,0),2)</f>
        <v>34</v>
      </c>
      <c r="CY5">
        <f>    INDEX( referto_IGG180!A$2:B$182,MATCH(CY4,referto_IGG180!A$2:A$182,0),2)</f>
        <v>7</v>
      </c>
      <c r="CZ5">
        <f>    INDEX( referto_IGG180!A$2:B$182,MATCH(CZ4,referto_IGG180!A$2:A$182,0),2)</f>
        <v>0</v>
      </c>
      <c r="DA5">
        <f>    INDEX( referto_IGG180!A$2:B$182,MATCH(DA4,referto_IGG180!A$2:A$182,0),2)</f>
        <v>11</v>
      </c>
      <c r="DB5">
        <f>    INDEX( referto_IGG180!A$2:B$182,MATCH(DB4,referto_IGG180!A$2:A$182,0),2)</f>
        <v>8</v>
      </c>
      <c r="DC5">
        <f>    INDEX( referto_IGG180!A$2:B$182,MATCH(DC4,referto_IGG180!A$2:A$182,0),2)</f>
        <v>7</v>
      </c>
      <c r="DD5">
        <f>    INDEX( referto_IGG180!A$2:B$182,MATCH(DD4,referto_IGG180!A$2:A$182,0),2)</f>
        <v>0</v>
      </c>
      <c r="DE5">
        <f>    INDEX( referto_IGG180!A$2:B$182,MATCH(DE4,referto_IGG180!A$2:A$182,0),2)</f>
        <v>17</v>
      </c>
      <c r="DF5">
        <f>    INDEX( referto_IGG180!A$2:B$182,MATCH(DF4,referto_IGG180!A$2:A$182,0),2)</f>
        <v>0</v>
      </c>
      <c r="DG5">
        <f>    INDEX( referto_IGG180!A$2:B$182,MATCH(DG4,referto_IGG180!A$2:A$182,0),2)</f>
        <v>66</v>
      </c>
      <c r="DH5">
        <f>    INDEX( referto_IGG180!A$2:B$182,MATCH(DH4,referto_IGG180!A$2:A$182,0),2)</f>
        <v>58</v>
      </c>
      <c r="DI5">
        <f>    INDEX( referto_IGG180!A$2:B$182,MATCH(DI4,referto_IGG180!A$2:A$182,0),2)</f>
        <v>62</v>
      </c>
      <c r="DJ5">
        <f>    INDEX( referto_IGG180!A$2:B$182,MATCH(DJ4,referto_IGG180!A$2:A$182,0),2)</f>
        <v>57</v>
      </c>
      <c r="DK5">
        <f>    INDEX( referto_IGG180!A$2:B$182,MATCH(DK4,referto_IGG180!A$2:A$182,0),2)</f>
        <v>22</v>
      </c>
      <c r="DL5">
        <f>    INDEX( referto_IGG180!A$2:B$182,MATCH(DL4,referto_IGG180!A$2:A$182,0),2)</f>
        <v>8</v>
      </c>
      <c r="DM5">
        <f>    INDEX( referto_IGG180!A$2:B$182,MATCH(DM4,referto_IGG180!A$2:A$182,0),2)</f>
        <v>15</v>
      </c>
      <c r="DN5">
        <f>    INDEX( referto_IGG180!A$2:B$182,MATCH(DN4,referto_IGG180!A$2:A$182,0),2)</f>
        <v>9</v>
      </c>
      <c r="DO5">
        <f>    INDEX( referto_IGG180!A$2:B$182,MATCH(DO4,referto_IGG180!A$2:A$182,0),2)</f>
        <v>0</v>
      </c>
      <c r="DP5">
        <f>    INDEX( referto_IGG180!A$2:B$182,MATCH(DP4,referto_IGG180!A$2:A$182,0),2)</f>
        <v>8</v>
      </c>
      <c r="DQ5">
        <f>    INDEX( referto_IGG180!A$2:B$182,MATCH(DQ4,referto_IGG180!A$2:A$182,0),2)</f>
        <v>0</v>
      </c>
      <c r="DR5">
        <f>    INDEX( referto_IGG180!A$2:B$182,MATCH(DR4,referto_IGG180!A$2:A$182,0),2)</f>
        <v>10</v>
      </c>
      <c r="DS5">
        <f>    INDEX( referto_IGG180!A$2:B$182,MATCH(DS4,referto_IGG180!A$2:A$182,0),2)</f>
        <v>0</v>
      </c>
      <c r="DT5">
        <f>    INDEX( referto_IGG180!A$2:B$182,MATCH(DT4,referto_IGG180!A$2:A$182,0),2)</f>
        <v>0</v>
      </c>
      <c r="DU5">
        <f>    INDEX( referto_IGG180!A$2:B$182,MATCH(DU4,referto_IGG180!A$2:A$182,0),2)</f>
        <v>0</v>
      </c>
      <c r="DV5">
        <f>    INDEX( referto_IGG180!A$2:B$182,MATCH(DV4,referto_IGG180!A$2:A$182,0),2)</f>
        <v>0</v>
      </c>
      <c r="DW5">
        <f>    INDEX( referto_IGG180!A$2:B$182,MATCH(DW4,referto_IGG180!A$2:A$182,0),2)</f>
        <v>0</v>
      </c>
      <c r="DX5">
        <f>    INDEX( referto_IGG180!A$2:B$182,MATCH(DX4,referto_IGG180!A$2:A$182,0),2)</f>
        <v>0</v>
      </c>
      <c r="DY5">
        <f>    INDEX( referto_IGG180!A$2:B$182,MATCH(DY4,referto_IGG180!A$2:A$182,0),2)</f>
        <v>6</v>
      </c>
      <c r="DZ5">
        <f>    INDEX( referto_IGG180!A$2:B$182,MATCH(DZ4,referto_IGG180!A$2:A$182,0),2)</f>
        <v>0</v>
      </c>
      <c r="EA5">
        <f>    INDEX( referto_IGG180!A$2:B$182,MATCH(EA4,referto_IGG180!A$2:A$182,0),2)</f>
        <v>13</v>
      </c>
      <c r="EB5">
        <f>    INDEX( referto_IGG180!A$2:B$182,MATCH(EB4,referto_IGG180!A$2:A$182,0),2)</f>
        <v>0</v>
      </c>
      <c r="EC5">
        <f>    INDEX( referto_IGG180!A$2:B$182,MATCH(EC4,referto_IGG180!A$2:A$182,0),2)</f>
        <v>0</v>
      </c>
      <c r="ED5">
        <f>    INDEX( referto_IGG180!A$2:B$182,MATCH(ED4,referto_IGG180!A$2:A$182,0),2)</f>
        <v>0</v>
      </c>
      <c r="EE5">
        <f>    INDEX( referto_IGG180!A$2:B$182,MATCH(EE4,referto_IGG180!A$2:A$182,0),2)</f>
        <v>0</v>
      </c>
      <c r="EF5">
        <f>    INDEX( referto_IGG180!A$2:B$182,MATCH(EF4,referto_IGG180!A$2:A$182,0),2)</f>
        <v>0</v>
      </c>
      <c r="EG5">
        <f>    INDEX( referto_IGG180!A$2:B$182,MATCH(EG4,referto_IGG180!A$2:A$182,0),2)</f>
        <v>9</v>
      </c>
      <c r="EH5">
        <f>    INDEX( referto_IGG180!A$2:B$182,MATCH(EH4,referto_IGG180!A$2:A$182,0),2)</f>
        <v>5</v>
      </c>
      <c r="EI5">
        <f>    INDEX( referto_IGG180!A$2:B$182,MATCH(EI4,referto_IGG180!A$2:A$182,0),2)</f>
        <v>0</v>
      </c>
      <c r="EJ5">
        <f>    INDEX( referto_IGG180!A$2:B$182,MATCH(EJ4,referto_IGG180!A$2:A$182,0),2)</f>
        <v>0</v>
      </c>
      <c r="EK5">
        <f>    INDEX( referto_IGG180!A$2:B$182,MATCH(EK4,referto_IGG180!A$2:A$182,0),2)</f>
        <v>7</v>
      </c>
      <c r="EL5">
        <f>    INDEX( referto_IGG180!A$2:B$182,MATCH(EL4,referto_IGG180!A$2:A$182,0),2)</f>
        <v>7</v>
      </c>
      <c r="EM5">
        <f>    INDEX( referto_IGG180!A$2:B$182,MATCH(EM4,referto_IGG180!A$2:A$182,0),2)</f>
        <v>0</v>
      </c>
      <c r="EN5">
        <f>    INDEX( referto_IGG180!A$2:B$182,MATCH(EN4,referto_IGG180!A$2:A$182,0),2)</f>
        <v>10</v>
      </c>
      <c r="EO5">
        <f>    INDEX( referto_IGG180!A$2:B$182,MATCH(EO4,referto_IGG180!A$2:A$182,0),2)</f>
        <v>0</v>
      </c>
      <c r="EP5">
        <f>    INDEX( referto_IGG180!A$2:B$182,MATCH(EP4,referto_IGG180!A$2:A$182,0),2)</f>
        <v>10</v>
      </c>
      <c r="EQ5">
        <f>    INDEX( referto_IGG180!A$2:B$182,MATCH(EQ4,referto_IGG180!A$2:A$182,0),2)</f>
        <v>0</v>
      </c>
      <c r="ER5">
        <f>    INDEX( referto_IGG180!A$2:B$182,MATCH(ER4,referto_IGG180!A$2:A$182,0),2)</f>
        <v>14</v>
      </c>
      <c r="ES5">
        <f>    INDEX( referto_IGG180!A$2:B$182,MATCH(ES4,referto_IGG180!A$2:A$182,0),2)</f>
        <v>0</v>
      </c>
      <c r="ET5">
        <f>    INDEX( referto_IGG180!A$2:B$182,MATCH(ET4,referto_IGG180!A$2:A$182,0),2)</f>
        <v>0</v>
      </c>
      <c r="EU5">
        <f>    INDEX( referto_IGG180!A$2:B$182,MATCH(EU4,referto_IGG180!A$2:A$182,0),2)</f>
        <v>0</v>
      </c>
      <c r="EV5">
        <f>    INDEX( referto_IGG180!A$2:B$182,MATCH(EV4,referto_IGG180!A$2:A$182,0),2)</f>
        <v>6</v>
      </c>
      <c r="EW5">
        <f>    INDEX( referto_IGG180!A$2:B$182,MATCH(EW4,referto_IGG180!A$2:A$182,0),2)</f>
        <v>8</v>
      </c>
      <c r="EX5">
        <f>    INDEX( referto_IGG180!A$2:B$182,MATCH(EX4,referto_IGG180!A$2:A$182,0),2)</f>
        <v>0</v>
      </c>
      <c r="EY5">
        <f>    INDEX( referto_IGG180!A$2:B$182,MATCH(EY4,referto_IGG180!A$2:A$182,0),2)</f>
        <v>0</v>
      </c>
      <c r="EZ5">
        <f>    INDEX( referto_IGG180!A$2:B$182,MATCH(EZ4,referto_IGG180!A$2:A$182,0),2)</f>
        <v>8</v>
      </c>
      <c r="FA5">
        <f>    INDEX( referto_IGG180!A$2:B$182,MATCH(FA4,referto_IGG180!A$2:A$182,0),2)</f>
        <v>15</v>
      </c>
      <c r="FB5">
        <f>    INDEX( referto_IGG180!A$2:B$182,MATCH(FB4,referto_IGG180!A$2:A$182,0),2)</f>
        <v>8</v>
      </c>
      <c r="FC5">
        <f>    INDEX( referto_IGG180!A$2:B$182,MATCH(FC4,referto_IGG180!A$2:A$182,0),2)</f>
        <v>0</v>
      </c>
      <c r="FD5">
        <f>    INDEX( referto_IGG180!A$2:B$182,MATCH(FD4,referto_IGG180!A$2:A$182,0),2)</f>
        <v>8</v>
      </c>
      <c r="FE5">
        <f>    INDEX( referto_IGG180!A$2:B$182,MATCH(FE4,referto_IGG180!A$2:A$182,0),2)</f>
        <v>17</v>
      </c>
      <c r="FF5">
        <f>    INDEX( referto_IGG180!A$2:B$182,MATCH(FF4,referto_IGG180!A$2:A$182,0),2)</f>
        <v>5</v>
      </c>
      <c r="FG5">
        <f>    INDEX( referto_IGG180!A$2:B$182,MATCH(FG4,referto_IGG180!A$2:A$182,0),2)</f>
        <v>18</v>
      </c>
      <c r="FH5">
        <f>    INDEX( referto_IGG180!A$2:B$182,MATCH(FH4,referto_IGG180!A$2:A$182,0),2)</f>
        <v>15</v>
      </c>
      <c r="FI5">
        <f>    INDEX( referto_IGG180!A$2:B$182,MATCH(FI4,referto_IGG180!A$2:A$182,0),2)</f>
        <v>0</v>
      </c>
      <c r="FJ5">
        <f>    INDEX( referto_IGG180!A$2:B$182,MATCH(FJ4,referto_IGG180!A$2:A$182,0),2)</f>
        <v>5</v>
      </c>
      <c r="FK5">
        <f>    INDEX( referto_IGG180!A$2:B$182,MATCH(FK4,referto_IGG180!A$2:A$182,0),2)</f>
        <v>5</v>
      </c>
      <c r="FL5">
        <f>    INDEX( referto_IGG180!A$2:B$182,MATCH(FL4,referto_IGG180!A$2:A$182,0),2)</f>
        <v>5</v>
      </c>
      <c r="FM5">
        <f>    INDEX( referto_IGG180!A$2:B$182,MATCH(FM4,referto_IGG180!A$2:A$182,0),2)</f>
        <v>16</v>
      </c>
      <c r="FN5">
        <f>    INDEX( referto_IGG180!A$2:B$182,MATCH(FN4,referto_IGG180!A$2:A$182,0),2)</f>
        <v>16</v>
      </c>
      <c r="FO5">
        <f>    INDEX( referto_IGG180!A$2:B$182,MATCH(FO4,referto_IGG180!A$2:A$182,0),2)</f>
        <v>10</v>
      </c>
      <c r="FP5">
        <f>    INDEX( referto_IGG180!A$2:B$182,MATCH(FP4,referto_IGG180!A$2:A$182,0),2)</f>
        <v>12</v>
      </c>
      <c r="FQ5">
        <f>    INDEX( referto_IGG180!A$2:B$182,MATCH(FQ4,referto_IGG180!A$2:A$182,0),2)</f>
        <v>12</v>
      </c>
      <c r="FR5">
        <f>    INDEX( referto_IGG180!A$2:B$182,MATCH(FR4,referto_IGG180!A$2:A$182,0),2)</f>
        <v>8</v>
      </c>
      <c r="FS5">
        <f>    INDEX( referto_IGG180!A$2:B$182,MATCH(FS4,referto_IGG180!A$2:A$182,0),2)</f>
        <v>0</v>
      </c>
      <c r="FT5">
        <f>    INDEX( referto_IGG180!A$2:B$182,MATCH(FT4,referto_IGG180!A$2:A$182,0),2)</f>
        <v>14</v>
      </c>
      <c r="FU5">
        <f>    INDEX( referto_IGG180!A$2:B$182,MATCH(FU4,referto_IGG180!A$2:A$182,0),2)</f>
        <v>0</v>
      </c>
      <c r="FV5">
        <f>    INDEX( referto_IGG180!A$2:B$182,MATCH(FV4,referto_IGG180!A$2:A$182,0),2)</f>
        <v>14</v>
      </c>
      <c r="FW5">
        <f>    INDEX( referto_IGG180!A$2:B$182,MATCH(FW4,referto_IGG180!A$2:A$182,0),2)</f>
        <v>6</v>
      </c>
      <c r="FX5">
        <f>    INDEX( referto_IGG180!A$2:B$182,MATCH(FX4,referto_IGG180!A$2:A$182,0),2)</f>
        <v>7</v>
      </c>
      <c r="FY5">
        <f>    INDEX( referto_IGG180!A$2:B$182,MATCH(FY4,referto_IGG180!A$2:A$182,0),2)</f>
        <v>11</v>
      </c>
      <c r="FZ5">
        <f>    INDEX( referto_IGG180!A$2:B$182,MATCH(FZ4,referto_IGG180!A$2:A$182,0),2)</f>
        <v>0</v>
      </c>
      <c r="GA5">
        <f>    INDEX( referto_IGG180!A$2:B$182,MATCH(GA4,referto_IGG180!A$2:A$182,0),2)</f>
        <v>9</v>
      </c>
      <c r="GB5">
        <f>    INDEX( referto_IGG180!A$2:B$182,MATCH(GB4,referto_IGG180!A$2:A$182,0),2)</f>
        <v>5</v>
      </c>
      <c r="GC5">
        <f>    INDEX( referto_IGG180!A$2:B$182,MATCH(GC4,referto_IGG180!A$2:A$182,0),2)</f>
        <v>0</v>
      </c>
      <c r="GD5">
        <f>    INDEX( referto_IGG180!A$2:B$182,MATCH(GD4,referto_IGG180!A$2:A$182,0),2)</f>
        <v>7</v>
      </c>
      <c r="GE5">
        <f>    INDEX( referto_IGG180!A$2:B$182,MATCH(GE4,referto_IGG180!A$2:A$182,0),2)</f>
        <v>8</v>
      </c>
      <c r="GF5">
        <f>    INDEX( referto_IGG180!A$2:B$182,MATCH(GF4,referto_IGG180!A$2:A$182,0),2)</f>
        <v>7</v>
      </c>
      <c r="GG5">
        <f>    INDEX( referto_IGG180!A$2:B$182,MATCH(GG4,referto_IGG180!A$2:A$182,0),2)</f>
        <v>12</v>
      </c>
      <c r="GH5">
        <f>    INDEX( referto_IGG180!A$2:B$182,MATCH(GH4,referto_IGG180!A$2:A$182,0),2)</f>
        <v>0</v>
      </c>
      <c r="GI5">
        <f>    INDEX( referto_IGG180!A$2:B$182,MATCH(GI4,referto_IGG180!A$2:A$182,0),2)</f>
        <v>0</v>
      </c>
      <c r="GJ5">
        <f>    INDEX( referto_IGG180!A$2:B$182,MATCH(GJ4,referto_IGG180!A$2:A$182,0),2)</f>
        <v>12</v>
      </c>
      <c r="GK5">
        <f>    INDEX( referto_IGG180!A$2:B$182,MATCH(GK4,referto_IGG180!A$2:A$182,0),2)</f>
        <v>14</v>
      </c>
      <c r="GL5">
        <f>    INDEX( referto_IGG180!A$2:B$182,MATCH(GL4,referto_IGG180!A$2:A$182,0),2)</f>
        <v>12</v>
      </c>
      <c r="GM5">
        <f>    INDEX( referto_IGG180!A$2:B$182,MATCH(GM4,referto_IGG180!A$2:A$182,0),2)</f>
        <v>15</v>
      </c>
      <c r="GN5">
        <f>    INDEX( referto_IGG180!A$2:B$182,MATCH(GN4,referto_IGG180!A$2:A$182,0),2)</f>
        <v>0</v>
      </c>
      <c r="GO5">
        <f>    INDEX( referto_IGG180!A$2:B$182,MATCH(GO4,referto_IGG180!A$2:A$182,0),2)</f>
        <v>12</v>
      </c>
      <c r="GP5">
        <f>    INDEX( referto_IGG180!A$2:B$182,MATCH(GP4,referto_IGG180!A$2:A$182,0),2)</f>
        <v>7</v>
      </c>
      <c r="GQ5">
        <f>    INDEX( referto_IGG180!A$2:B$182,MATCH(GQ4,referto_IGG180!A$2:A$182,0),2)</f>
        <v>29</v>
      </c>
      <c r="GR5">
        <f>    INDEX( referto_IGG180!A$2:B$182,MATCH(GR4,referto_IGG180!A$2:A$182,0),2)</f>
        <v>18</v>
      </c>
      <c r="GS5">
        <f>    INDEX( referto_IGG180!A$2:B$182,MATCH(GS4,referto_IGG180!A$2:A$182,0),2)</f>
        <v>17</v>
      </c>
    </row>
  </sheetData>
  <drawing r:id="rId1"/>
  <legacyDrawing r:id="rId2"/>
  <mc:AlternateContent xmlns:mc="http://schemas.openxmlformats.org/markup-compatibility/2006">
    <mc:Choice xmlns:x14="http://schemas.microsoft.com/office/spreadsheetml/2009/9/main" Requires="x14">
      <controls>
        <mc:AlternateContent xmlns:mc="http://schemas.openxmlformats.org/markup-compatibility/2006">
          <mc:Choice xmlns:x14="http://schemas.microsoft.com/office/spreadsheetml/2009/9/main" Requires="x14">
            <control r:id="rId3" name="Button 1" shapeId="2049">
              <controlPr autoFill="0" autoPict="0" macro="[0]!compila" print="0">
                <anchor xmlns:xdr="http://schemas.openxmlformats.org/drawingml/2006/spreadsheetDrawing" moveWithCells="1" sizeWithCells="1">
                  <from>
                    <xdr:col>0</xdr:col>
                    <xdr:colOff>1104900</xdr:colOff>
                    <xdr:row>1</xdr:row>
                    <xdr:rowOff>68580</xdr:rowOff>
                  </from>
                  <to>
                    <xdr:col>2</xdr:col>
                    <xdr:colOff>152400</xdr:colOff>
                    <xdr:row>2</xdr:row>
                    <xdr:rowOff>121920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:r="http://schemas.openxmlformats.org/officeDocument/2006/relationships" xmlns="http://schemas.openxmlformats.org/spreadsheetml/2006/main">
  <sheetPr codeName="Foglio3"/>
  <sheetViews>
    <sheetView workbookViewId="0"/>
  </sheetViews>
  <sheetFormatPr defaultRowHeight="14.4"/>
  <cols>
    <col min="2" max="2" width="18.21875" bestFit="1" customWidth="1"/>
    <col min="6" max="6" width="23.55469" bestFit="1" customWidth="1"/>
    <col min="7" max="7" width="9.21875" bestFit="1" customWidth="1"/>
    <col min="8" max="8" width="21.66406" bestFit="1" customWidth="1"/>
  </cols>
  <sheetData>
    <row r="1">
      <c r="A1" t="s">
        <v>206</v>
      </c>
      <c r="B1" t="s">
        <v>207</v>
      </c>
      <c r="F1" t="s">
        <v>208</v>
      </c>
      <c r="G1" t="e">
        <f>FIND(".",F1)</f>
        <v>#VALUE!</v>
      </c>
      <c r="H1" t="str">
        <f>MID(F1,3,36)</f>
        <v>tticini e Derivati del Latte</v>
      </c>
    </row>
    <row r="2">
      <c r="A2">
        <v>1</v>
      </c>
      <c r="B2" t="s">
        <v>95</v>
      </c>
      <c r="F2" t="s">
        <v>209</v>
      </c>
      <c r="G2">
        <v>1</v>
      </c>
      <c r="H2" t="str">
        <f>MID(F2,4,36)</f>
        <v>Gorgonzola</v>
      </c>
    </row>
    <row r="3">
      <c r="A3">
        <v>2</v>
      </c>
      <c r="B3" t="s">
        <v>97</v>
      </c>
      <c r="F3" t="s">
        <v>210</v>
      </c>
      <c r="G3">
        <v>2</v>
      </c>
      <c r="H3" t="str">
        <f t="shared" ref="H3:H10" si="0">MID(F3,4,36)</f>
        <v>Latte di capra</v>
      </c>
    </row>
    <row r="4">
      <c r="A4">
        <v>3</v>
      </c>
      <c r="B4" t="s">
        <v>98</v>
      </c>
      <c r="F4" t="s">
        <v>211</v>
      </c>
      <c r="G4">
        <v>3</v>
      </c>
      <c r="H4" t="str">
        <f t="shared" si="0"/>
        <v>Latte di mucca</v>
      </c>
    </row>
    <row r="5">
      <c r="A5">
        <v>4</v>
      </c>
      <c r="B5" t="s">
        <v>99</v>
      </c>
      <c r="F5" t="s">
        <v>212</v>
      </c>
      <c r="G5">
        <v>4</v>
      </c>
      <c r="H5" t="str">
        <f t="shared" si="0"/>
        <v>Latte di pecora</v>
      </c>
    </row>
    <row r="6">
      <c r="A6">
        <v>5</v>
      </c>
      <c r="B6" t="s">
        <v>100</v>
      </c>
      <c r="F6" t="s">
        <v>213</v>
      </c>
      <c r="G6">
        <v>5</v>
      </c>
      <c r="H6" t="str">
        <f t="shared" si="0"/>
        <v>Mozzarella</v>
      </c>
    </row>
    <row r="7">
      <c r="A7">
        <v>6</v>
      </c>
      <c r="B7" t="s">
        <v>101</v>
      </c>
      <c r="F7" t="s">
        <v>214</v>
      </c>
      <c r="G7">
        <v>6</v>
      </c>
      <c r="H7" t="str">
        <f>MID(F7,4,36)</f>
        <v>Mozzarella bufala</v>
      </c>
    </row>
    <row r="8">
      <c r="A8">
        <v>7</v>
      </c>
      <c r="B8" t="s">
        <v>102</v>
      </c>
      <c r="F8" t="s">
        <v>215</v>
      </c>
      <c r="G8">
        <v>7</v>
      </c>
      <c r="H8" t="str">
        <f t="shared" si="0"/>
        <v>Parmigiano Reggiano</v>
      </c>
    </row>
    <row r="9">
      <c r="A9">
        <v>8</v>
      </c>
      <c r="B9" t="s">
        <v>103</v>
      </c>
      <c r="F9" t="s">
        <v>216</v>
      </c>
      <c r="G9">
        <v>8</v>
      </c>
      <c r="H9" t="str">
        <f t="shared" si="0"/>
        <v>Pecorino</v>
      </c>
    </row>
    <row r="10">
      <c r="A10">
        <v>9</v>
      </c>
      <c r="B10" t="s">
        <v>104</v>
      </c>
      <c r="F10" t="s">
        <v>217</v>
      </c>
      <c r="G10">
        <v>9</v>
      </c>
      <c r="H10" t="str">
        <f t="shared" si="0"/>
        <v>Ricotta</v>
      </c>
    </row>
    <row r="11">
      <c r="A11">
        <v>10</v>
      </c>
      <c r="B11" t="s">
        <v>182</v>
      </c>
      <c r="F11" t="s">
        <v>218</v>
      </c>
      <c r="H11" t="str">
        <f>MID(F11,4,36)</f>
        <v>fe e Lieviti</v>
      </c>
    </row>
    <row r="12">
      <c r="A12">
        <v>11</v>
      </c>
      <c r="B12" t="s">
        <v>183</v>
      </c>
      <c r="F12" t="s">
        <v>219</v>
      </c>
      <c r="G12">
        <v>10</v>
      </c>
      <c r="H12" t="str">
        <f>MID(F12,5,36)</f>
        <v>Aspergillus niger</v>
      </c>
    </row>
    <row r="13">
      <c r="A13">
        <v>12</v>
      </c>
      <c r="B13" t="s">
        <v>174</v>
      </c>
      <c r="F13" t="s">
        <v>220</v>
      </c>
      <c r="G13">
        <v>11</v>
      </c>
      <c r="H13" t="str">
        <f t="shared" ref="H13:H16" si="1">MID(F13,5,36)</f>
        <v>Candida albicans</v>
      </c>
    </row>
    <row r="14">
      <c r="A14">
        <v>13</v>
      </c>
      <c r="B14" t="s">
        <v>184</v>
      </c>
      <c r="F14" t="s">
        <v>221</v>
      </c>
      <c r="G14">
        <v>12</v>
      </c>
      <c r="H14" t="str">
        <f t="shared" si="1"/>
        <v>Lievito di birra</v>
      </c>
    </row>
    <row r="15">
      <c r="A15">
        <v>14</v>
      </c>
      <c r="B15" t="s">
        <v>185</v>
      </c>
      <c r="F15" t="s">
        <v>222</v>
      </c>
      <c r="G15">
        <v>13</v>
      </c>
      <c r="H15" t="str">
        <f t="shared" si="1"/>
        <v>Mucor racemosus</v>
      </c>
    </row>
    <row r="16">
      <c r="A16">
        <v>15</v>
      </c>
      <c r="B16" t="s">
        <v>44</v>
      </c>
      <c r="F16" t="s">
        <v>223</v>
      </c>
      <c r="G16">
        <v>14</v>
      </c>
      <c r="H16" t="str">
        <f t="shared" si="1"/>
        <v>Penicillium notatum</v>
      </c>
    </row>
    <row r="17">
      <c r="A17">
        <v>16</v>
      </c>
      <c r="B17" t="s">
        <v>45</v>
      </c>
      <c r="F17" t="s">
        <v>224</v>
      </c>
      <c r="H17" t="str">
        <f t="shared" ref="H17:H48" si="2">MID(F17,5,36)</f>
        <v>ali e Derivati</v>
      </c>
    </row>
    <row r="18">
      <c r="A18">
        <v>17</v>
      </c>
      <c r="B18" t="s">
        <v>47</v>
      </c>
      <c r="F18" t="s">
        <v>225</v>
      </c>
      <c r="G18">
        <v>15</v>
      </c>
      <c r="H18" t="str">
        <f t="shared" si="2"/>
        <v>Farro</v>
      </c>
    </row>
    <row r="19">
      <c r="A19">
        <v>18</v>
      </c>
      <c r="B19" t="s">
        <v>49</v>
      </c>
      <c r="F19" t="s">
        <v>226</v>
      </c>
      <c r="G19">
        <v>16</v>
      </c>
      <c r="H19" t="str">
        <f t="shared" si="2"/>
        <v>Grano duro</v>
      </c>
    </row>
    <row r="20">
      <c r="A20">
        <v>19</v>
      </c>
      <c r="B20" t="s">
        <v>50</v>
      </c>
      <c r="F20" t="s">
        <v>227</v>
      </c>
      <c r="G20">
        <v>17</v>
      </c>
      <c r="H20" t="str">
        <f t="shared" si="2"/>
        <v>Grano tenero</v>
      </c>
    </row>
    <row r="21">
      <c r="A21">
        <v>20</v>
      </c>
      <c r="B21" t="s">
        <v>51</v>
      </c>
      <c r="F21" t="s">
        <v>228</v>
      </c>
      <c r="G21">
        <v>18</v>
      </c>
      <c r="H21" t="str">
        <f t="shared" si="2"/>
        <v>Mais</v>
      </c>
    </row>
    <row r="22">
      <c r="A22">
        <v>21</v>
      </c>
      <c r="B22" t="s">
        <v>105</v>
      </c>
      <c r="F22" t="s">
        <v>229</v>
      </c>
      <c r="G22">
        <v>19</v>
      </c>
      <c r="H22" t="str">
        <f t="shared" si="2"/>
        <v>Orzo</v>
      </c>
    </row>
    <row r="23">
      <c r="A23">
        <v>22</v>
      </c>
      <c r="B23" t="s">
        <v>106</v>
      </c>
      <c r="F23" t="s">
        <v>230</v>
      </c>
      <c r="G23">
        <v>20</v>
      </c>
      <c r="H23" t="str">
        <f t="shared" si="2"/>
        <v>Riso</v>
      </c>
    </row>
    <row r="24">
      <c r="A24">
        <v>23</v>
      </c>
      <c r="B24" t="s">
        <v>107</v>
      </c>
      <c r="F24" t="s">
        <v>231</v>
      </c>
      <c r="H24" t="str">
        <f t="shared" si="2"/>
        <v>ta</v>
      </c>
    </row>
    <row r="25">
      <c r="A25">
        <v>24</v>
      </c>
      <c r="B25" t="s">
        <v>109</v>
      </c>
      <c r="F25" t="s">
        <v>232</v>
      </c>
      <c r="G25">
        <v>21</v>
      </c>
      <c r="H25" t="str">
        <f t="shared" si="2"/>
        <v>Albicocca</v>
      </c>
    </row>
    <row r="26">
      <c r="A26">
        <v>25</v>
      </c>
      <c r="B26" t="s">
        <v>111</v>
      </c>
      <c r="F26" t="s">
        <v>233</v>
      </c>
      <c r="G26">
        <v>22</v>
      </c>
      <c r="H26" t="str">
        <f t="shared" si="2"/>
        <v>Ananas</v>
      </c>
    </row>
    <row r="27">
      <c r="A27">
        <v>26</v>
      </c>
      <c r="B27" t="s">
        <v>116</v>
      </c>
      <c r="F27" t="s">
        <v>234</v>
      </c>
      <c r="G27">
        <v>23</v>
      </c>
      <c r="H27" t="str">
        <f t="shared" si="2"/>
        <v>Arancia</v>
      </c>
    </row>
    <row r="28">
      <c r="A28">
        <v>27</v>
      </c>
      <c r="B28" t="s">
        <v>117</v>
      </c>
      <c r="F28" t="s">
        <v>235</v>
      </c>
      <c r="G28">
        <v>24</v>
      </c>
      <c r="H28" t="str">
        <f t="shared" si="2"/>
        <v>Banana</v>
      </c>
    </row>
    <row r="29">
      <c r="A29">
        <v>28</v>
      </c>
      <c r="B29" t="s">
        <v>119</v>
      </c>
      <c r="F29" t="s">
        <v>236</v>
      </c>
      <c r="G29">
        <v>25</v>
      </c>
      <c r="H29" t="str">
        <f t="shared" si="2"/>
        <v>Ciliegia</v>
      </c>
    </row>
    <row r="30">
      <c r="A30">
        <v>29</v>
      </c>
      <c r="B30" t="s">
        <v>120</v>
      </c>
      <c r="F30" t="s">
        <v>237</v>
      </c>
      <c r="G30">
        <v>26</v>
      </c>
      <c r="H30" t="str">
        <f t="shared" si="2"/>
        <v>Fragola</v>
      </c>
    </row>
    <row r="31">
      <c r="A31">
        <v>30</v>
      </c>
      <c r="B31" t="s">
        <v>124</v>
      </c>
      <c r="F31" t="s">
        <v>238</v>
      </c>
      <c r="G31">
        <v>27</v>
      </c>
      <c r="H31" t="str">
        <f t="shared" si="2"/>
        <v>Kiwi</v>
      </c>
    </row>
    <row r="32">
      <c r="A32">
        <v>31</v>
      </c>
      <c r="B32" t="s">
        <v>128</v>
      </c>
      <c r="F32" t="s">
        <v>239</v>
      </c>
      <c r="G32">
        <v>28</v>
      </c>
      <c r="H32" t="str">
        <f t="shared" si="2"/>
        <v>Limone</v>
      </c>
    </row>
    <row r="33">
      <c r="A33">
        <v>32</v>
      </c>
      <c r="B33" t="s">
        <v>129</v>
      </c>
      <c r="F33" t="s">
        <v>240</v>
      </c>
      <c r="G33">
        <v>29</v>
      </c>
      <c r="H33" t="str">
        <f t="shared" si="2"/>
        <v>Mandarino</v>
      </c>
    </row>
    <row r="34">
      <c r="A34">
        <v>33</v>
      </c>
      <c r="B34" t="s">
        <v>62</v>
      </c>
      <c r="F34" t="s">
        <v>241</v>
      </c>
      <c r="G34">
        <v>30</v>
      </c>
      <c r="H34" t="str">
        <f t="shared" si="2"/>
        <v>Melone</v>
      </c>
    </row>
    <row r="35">
      <c r="A35">
        <v>34</v>
      </c>
      <c r="B35" t="s">
        <v>65</v>
      </c>
      <c r="F35" t="s">
        <v>242</v>
      </c>
      <c r="G35">
        <v>31</v>
      </c>
      <c r="H35" t="str">
        <f t="shared" si="2"/>
        <v>Pera</v>
      </c>
    </row>
    <row r="36">
      <c r="A36">
        <v>35</v>
      </c>
      <c r="B36" t="s">
        <v>66</v>
      </c>
      <c r="F36" t="s">
        <v>243</v>
      </c>
      <c r="G36">
        <v>32</v>
      </c>
      <c r="H36" t="str">
        <f t="shared" si="2"/>
        <v>Pesca</v>
      </c>
    </row>
    <row r="37">
      <c r="A37">
        <v>36</v>
      </c>
      <c r="B37" t="s">
        <v>67</v>
      </c>
      <c r="F37" t="s">
        <v>244</v>
      </c>
      <c r="H37" t="str">
        <f t="shared" si="2"/>
        <v>ure</v>
      </c>
    </row>
    <row r="38">
      <c r="A38">
        <v>37</v>
      </c>
      <c r="B38" t="s">
        <v>69</v>
      </c>
      <c r="F38" t="s">
        <v>245</v>
      </c>
      <c r="G38">
        <v>33</v>
      </c>
      <c r="H38" t="str">
        <f t="shared" si="2"/>
        <v>Bietola</v>
      </c>
    </row>
    <row r="39">
      <c r="A39">
        <v>38</v>
      </c>
      <c r="B39" t="s">
        <v>71</v>
      </c>
      <c r="F39" t="s">
        <v>246</v>
      </c>
      <c r="G39">
        <v>34</v>
      </c>
      <c r="H39" t="str">
        <f t="shared" si="2"/>
        <v>Carciofo</v>
      </c>
    </row>
    <row r="40">
      <c r="A40">
        <v>39</v>
      </c>
      <c r="B40" t="s">
        <v>73</v>
      </c>
      <c r="F40" t="s">
        <v>247</v>
      </c>
      <c r="G40">
        <v>35</v>
      </c>
      <c r="H40" t="str">
        <f t="shared" si="2"/>
        <v>Carota</v>
      </c>
    </row>
    <row r="41">
      <c r="A41">
        <v>40</v>
      </c>
      <c r="B41" t="s">
        <v>75</v>
      </c>
      <c r="F41" t="s">
        <v>248</v>
      </c>
      <c r="G41">
        <v>36</v>
      </c>
      <c r="H41" t="str">
        <f t="shared" si="2"/>
        <v>Cavolfiore</v>
      </c>
    </row>
    <row r="42">
      <c r="A42">
        <v>41</v>
      </c>
      <c r="B42" t="s">
        <v>76</v>
      </c>
      <c r="F42" t="s">
        <v>249</v>
      </c>
      <c r="G42">
        <v>37</v>
      </c>
      <c r="H42" t="str">
        <f t="shared" si="2"/>
        <v>Cetriolo</v>
      </c>
    </row>
    <row r="43">
      <c r="A43">
        <v>42</v>
      </c>
      <c r="B43" t="s">
        <v>77</v>
      </c>
      <c r="F43" t="s">
        <v>250</v>
      </c>
      <c r="G43">
        <v>38</v>
      </c>
      <c r="H43" t="str">
        <f t="shared" si="2"/>
        <v>Cipolla</v>
      </c>
    </row>
    <row r="44">
      <c r="A44">
        <v>43</v>
      </c>
      <c r="B44" t="s">
        <v>79</v>
      </c>
      <c r="F44" t="s">
        <v>251</v>
      </c>
      <c r="G44">
        <v>39</v>
      </c>
      <c r="H44" t="str">
        <f t="shared" si="2"/>
        <v>Finocchio</v>
      </c>
    </row>
    <row r="45">
      <c r="A45">
        <v>44</v>
      </c>
      <c r="B45" t="s">
        <v>80</v>
      </c>
      <c r="F45" t="s">
        <v>252</v>
      </c>
      <c r="G45">
        <v>40</v>
      </c>
      <c r="H45" t="str">
        <f t="shared" si="2"/>
        <v>Lattuga</v>
      </c>
    </row>
    <row r="46">
      <c r="A46">
        <v>45</v>
      </c>
      <c r="B46" t="s">
        <v>81</v>
      </c>
      <c r="F46" t="s">
        <v>253</v>
      </c>
      <c r="G46">
        <v>41</v>
      </c>
      <c r="H46" t="str">
        <f t="shared" si="2"/>
        <v>Melanzana</v>
      </c>
    </row>
    <row r="47">
      <c r="A47">
        <v>46</v>
      </c>
      <c r="B47" t="s">
        <v>88</v>
      </c>
      <c r="F47" t="s">
        <v>254</v>
      </c>
      <c r="G47">
        <v>42</v>
      </c>
      <c r="H47" t="str">
        <f t="shared" si="2"/>
        <v>Oliva</v>
      </c>
    </row>
    <row r="48">
      <c r="A48">
        <v>47</v>
      </c>
      <c r="B48" t="s">
        <v>91</v>
      </c>
      <c r="F48" t="s">
        <v>255</v>
      </c>
      <c r="G48">
        <v>43</v>
      </c>
      <c r="H48" t="str">
        <f t="shared" si="2"/>
        <v>Patata</v>
      </c>
    </row>
    <row r="49">
      <c r="A49">
        <v>48</v>
      </c>
      <c r="B49" t="s">
        <v>90</v>
      </c>
      <c r="F49" t="s">
        <v>256</v>
      </c>
      <c r="G49">
        <v>44</v>
      </c>
      <c r="H49" t="str">
        <f t="shared" ref="H49:H80" si="3">MID(F49,5,36)</f>
        <v>Peperoni</v>
      </c>
    </row>
    <row r="50">
      <c r="A50">
        <v>49</v>
      </c>
      <c r="B50" t="s">
        <v>54</v>
      </c>
      <c r="F50" t="s">
        <v>257</v>
      </c>
      <c r="G50">
        <v>45</v>
      </c>
      <c r="H50" t="str">
        <f t="shared" si="3"/>
        <v>Pomodoro</v>
      </c>
    </row>
    <row r="51">
      <c r="A51">
        <v>50</v>
      </c>
      <c r="B51" t="s">
        <v>55</v>
      </c>
      <c r="F51" t="s">
        <v>258</v>
      </c>
      <c r="G51">
        <v>46</v>
      </c>
      <c r="H51" t="str">
        <f t="shared" si="3"/>
        <v>Spinaci</v>
      </c>
    </row>
    <row r="52">
      <c r="A52">
        <v>51</v>
      </c>
      <c r="B52" t="s">
        <v>56</v>
      </c>
      <c r="F52" t="s">
        <v>259</v>
      </c>
      <c r="G52">
        <v>47</v>
      </c>
      <c r="H52" t="str">
        <f t="shared" si="3"/>
        <v>Zucchina</v>
      </c>
    </row>
    <row r="53">
      <c r="A53">
        <v>52</v>
      </c>
      <c r="B53" t="s">
        <v>57</v>
      </c>
      <c r="F53" t="s">
        <v>260</v>
      </c>
      <c r="G53">
        <v>48</v>
      </c>
      <c r="H53" t="str">
        <f t="shared" si="3"/>
        <v>Zucca</v>
      </c>
    </row>
    <row r="54">
      <c r="A54">
        <v>53</v>
      </c>
      <c r="B54" t="s">
        <v>59</v>
      </c>
      <c r="F54" t="s">
        <v>261</v>
      </c>
      <c r="H54" t="str">
        <f t="shared" si="3"/>
        <v>mi</v>
      </c>
    </row>
    <row r="55">
      <c r="A55">
        <v>54</v>
      </c>
      <c r="B55" t="s">
        <v>60</v>
      </c>
      <c r="F55" t="s">
        <v>262</v>
      </c>
      <c r="G55">
        <v>49</v>
      </c>
      <c r="H55" t="str">
        <f t="shared" si="3"/>
        <v>Ceci</v>
      </c>
    </row>
    <row r="56">
      <c r="A56">
        <v>55</v>
      </c>
      <c r="B56" t="s">
        <v>6</v>
      </c>
      <c r="F56" t="s">
        <v>263</v>
      </c>
      <c r="G56">
        <v>50</v>
      </c>
      <c r="H56" t="str">
        <f t="shared" si="3"/>
        <v>Fagiolini</v>
      </c>
    </row>
    <row r="57">
      <c r="A57">
        <v>56</v>
      </c>
      <c r="B57" t="s">
        <v>9</v>
      </c>
      <c r="F57" t="s">
        <v>264</v>
      </c>
      <c r="G57">
        <v>51</v>
      </c>
      <c r="H57" t="str">
        <f t="shared" si="3"/>
        <v>Fagiolo</v>
      </c>
    </row>
    <row r="58">
      <c r="A58">
        <v>57</v>
      </c>
      <c r="B58" t="s">
        <v>12</v>
      </c>
      <c r="F58" t="s">
        <v>265</v>
      </c>
      <c r="G58">
        <v>52</v>
      </c>
      <c r="H58" t="str">
        <f t="shared" si="3"/>
        <v>Fava</v>
      </c>
    </row>
    <row r="59">
      <c r="A59">
        <v>58</v>
      </c>
      <c r="B59" t="s">
        <v>13</v>
      </c>
      <c r="F59" t="s">
        <v>266</v>
      </c>
      <c r="G59">
        <v>53</v>
      </c>
      <c r="H59" t="str">
        <f t="shared" si="3"/>
        <v>Piselli</v>
      </c>
    </row>
    <row r="60">
      <c r="A60">
        <v>59</v>
      </c>
      <c r="B60" t="s">
        <v>15</v>
      </c>
      <c r="F60" t="s">
        <v>267</v>
      </c>
      <c r="G60">
        <v>54</v>
      </c>
      <c r="H60" t="str">
        <f t="shared" si="3"/>
        <v>Soia</v>
      </c>
    </row>
    <row r="61">
      <c r="A61">
        <v>60</v>
      </c>
      <c r="B61" t="s">
        <v>16</v>
      </c>
      <c r="F61" t="s">
        <v>268</v>
      </c>
      <c r="H61" t="str">
        <f t="shared" si="3"/>
        <v>i</v>
      </c>
    </row>
    <row r="62">
      <c r="A62">
        <v>61</v>
      </c>
      <c r="B62" t="s">
        <v>17</v>
      </c>
      <c r="F62" t="s">
        <v>269</v>
      </c>
      <c r="G62">
        <v>55</v>
      </c>
      <c r="H62" t="str">
        <f t="shared" si="3"/>
        <v>Cavallo</v>
      </c>
    </row>
    <row r="63">
      <c r="A63">
        <v>62</v>
      </c>
      <c r="B63" t="s">
        <v>18</v>
      </c>
      <c r="F63" t="s">
        <v>270</v>
      </c>
      <c r="G63">
        <v>56</v>
      </c>
      <c r="H63" t="str">
        <f t="shared" si="3"/>
        <v>Coniglio</v>
      </c>
    </row>
    <row r="64">
      <c r="A64">
        <v>63</v>
      </c>
      <c r="B64" t="s">
        <v>23</v>
      </c>
      <c r="F64" t="s">
        <v>271</v>
      </c>
      <c r="G64">
        <v>57</v>
      </c>
      <c r="H64" t="str">
        <f t="shared" si="3"/>
        <v>Maiale</v>
      </c>
    </row>
    <row r="65">
      <c r="A65">
        <v>64</v>
      </c>
      <c r="B65" t="s">
        <v>27</v>
      </c>
      <c r="F65" t="s">
        <v>272</v>
      </c>
      <c r="G65">
        <v>58</v>
      </c>
      <c r="H65" t="str">
        <f t="shared" si="3"/>
        <v>Manzo</v>
      </c>
    </row>
    <row r="66">
      <c r="A66">
        <v>65</v>
      </c>
      <c r="B66" t="s">
        <v>30</v>
      </c>
      <c r="F66" t="s">
        <v>273</v>
      </c>
      <c r="G66">
        <v>59</v>
      </c>
      <c r="H66" t="str">
        <f t="shared" si="3"/>
        <v>Pollo</v>
      </c>
    </row>
    <row r="67">
      <c r="A67">
        <v>66</v>
      </c>
      <c r="B67" t="s">
        <v>31</v>
      </c>
      <c r="F67" t="s">
        <v>274</v>
      </c>
      <c r="G67">
        <v>60</v>
      </c>
      <c r="H67" t="str">
        <f t="shared" si="3"/>
        <v>Tacchino</v>
      </c>
    </row>
    <row r="68">
      <c r="A68">
        <v>67</v>
      </c>
      <c r="B68" t="s">
        <v>35</v>
      </c>
      <c r="F68" t="s">
        <v>275</v>
      </c>
      <c r="G68">
        <v>61</v>
      </c>
      <c r="H68" t="str">
        <f t="shared" si="3"/>
        <v>Vitello</v>
      </c>
    </row>
    <row r="69">
      <c r="A69">
        <v>68</v>
      </c>
      <c r="B69" t="s">
        <v>39</v>
      </c>
      <c r="F69" t="s">
        <v>276</v>
      </c>
      <c r="H69" t="str">
        <f t="shared" si="3"/>
        <v>e e Frutti di Mare</v>
      </c>
    </row>
    <row r="70">
      <c r="A70">
        <v>69</v>
      </c>
      <c r="B70" t="s">
        <v>40</v>
      </c>
      <c r="F70" t="s">
        <v>277</v>
      </c>
      <c r="G70">
        <v>62</v>
      </c>
      <c r="H70" t="str">
        <f t="shared" si="3"/>
        <v>Acciuga</v>
      </c>
    </row>
    <row r="71">
      <c r="A71">
        <v>70</v>
      </c>
      <c r="B71" t="s">
        <v>41</v>
      </c>
      <c r="F71" t="s">
        <v>278</v>
      </c>
      <c r="G71">
        <v>63</v>
      </c>
      <c r="H71" t="str">
        <f t="shared" si="3"/>
        <v>Branzino</v>
      </c>
    </row>
    <row r="72">
      <c r="A72">
        <v>71</v>
      </c>
      <c r="B72" t="s">
        <v>42</v>
      </c>
      <c r="F72" t="s">
        <v>279</v>
      </c>
      <c r="G72">
        <v>64</v>
      </c>
      <c r="H72" t="str">
        <f t="shared" si="3"/>
        <v>Gambero</v>
      </c>
    </row>
    <row r="73">
      <c r="A73">
        <v>72</v>
      </c>
      <c r="B73" t="s">
        <v>168</v>
      </c>
      <c r="F73" t="s">
        <v>280</v>
      </c>
      <c r="G73">
        <v>65</v>
      </c>
      <c r="H73" t="str">
        <f t="shared" si="3"/>
        <v>Merluzzo</v>
      </c>
    </row>
    <row r="74">
      <c r="A74">
        <v>73</v>
      </c>
      <c r="B74" t="s">
        <v>148</v>
      </c>
      <c r="F74" t="s">
        <v>281</v>
      </c>
      <c r="G74">
        <v>66</v>
      </c>
      <c r="H74" t="str">
        <f t="shared" si="3"/>
        <v>Orata</v>
      </c>
    </row>
    <row r="75">
      <c r="A75">
        <v>74</v>
      </c>
      <c r="B75" t="s">
        <v>156</v>
      </c>
      <c r="F75" t="s">
        <v>282</v>
      </c>
      <c r="G75">
        <v>67</v>
      </c>
      <c r="H75" t="str">
        <f t="shared" si="3"/>
        <v>Salmone</v>
      </c>
    </row>
    <row r="76">
      <c r="A76">
        <v>75</v>
      </c>
      <c r="B76" t="s">
        <v>158</v>
      </c>
      <c r="F76" t="s">
        <v>283</v>
      </c>
      <c r="G76">
        <v>68</v>
      </c>
      <c r="H76" t="str">
        <f t="shared" si="3"/>
        <v>Sogliola</v>
      </c>
    </row>
    <row r="77">
      <c r="A77">
        <v>76</v>
      </c>
      <c r="B77" t="s">
        <v>159</v>
      </c>
      <c r="F77" t="s">
        <v>284</v>
      </c>
      <c r="G77">
        <v>69</v>
      </c>
      <c r="H77" t="str">
        <f t="shared" si="3"/>
        <v>Tonno</v>
      </c>
    </row>
    <row r="78">
      <c r="A78">
        <v>77</v>
      </c>
      <c r="B78" t="s">
        <v>160</v>
      </c>
      <c r="F78" t="s">
        <v>285</v>
      </c>
      <c r="G78">
        <v>70</v>
      </c>
      <c r="H78" t="str">
        <f t="shared" si="3"/>
        <v>Trota</v>
      </c>
    </row>
    <row r="79">
      <c r="A79">
        <v>78</v>
      </c>
      <c r="B79" t="s">
        <v>162</v>
      </c>
      <c r="F79" t="s">
        <v>286</v>
      </c>
      <c r="G79">
        <v>71</v>
      </c>
      <c r="H79" t="str">
        <f t="shared" si="3"/>
        <v>Vongole</v>
      </c>
    </row>
    <row r="80">
      <c r="A80">
        <v>79</v>
      </c>
      <c r="B80" t="s">
        <v>166</v>
      </c>
      <c r="F80" t="s">
        <v>287</v>
      </c>
      <c r="H80" t="str">
        <f t="shared" si="3"/>
        <v>ie ed Erbe Aromatiche</v>
      </c>
    </row>
    <row r="81">
      <c r="A81">
        <v>80</v>
      </c>
      <c r="B81" t="s">
        <v>169</v>
      </c>
      <c r="F81" t="s">
        <v>288</v>
      </c>
      <c r="G81">
        <v>72</v>
      </c>
      <c r="H81" t="str">
        <f t="shared" ref="H81:H101" si="4">MID(F81,5,36)</f>
        <v>Aglio</v>
      </c>
    </row>
    <row r="82">
      <c r="A82">
        <v>81</v>
      </c>
      <c r="B82" t="s">
        <v>170</v>
      </c>
      <c r="F82" t="s">
        <v>289</v>
      </c>
      <c r="G82">
        <v>73</v>
      </c>
      <c r="H82" t="str">
        <f t="shared" si="4"/>
        <v>Basilico</v>
      </c>
    </row>
    <row r="83">
      <c r="A83">
        <v>82</v>
      </c>
      <c r="B83" t="s">
        <v>173</v>
      </c>
      <c r="F83" t="s">
        <v>290</v>
      </c>
      <c r="G83">
        <v>74</v>
      </c>
      <c r="H83" t="str">
        <f t="shared" si="4"/>
        <v>Origano</v>
      </c>
    </row>
    <row r="84">
      <c r="A84">
        <v>83</v>
      </c>
      <c r="B84" t="s">
        <v>176</v>
      </c>
      <c r="F84" t="s">
        <v>291</v>
      </c>
      <c r="G84">
        <v>75</v>
      </c>
      <c r="H84" t="str">
        <f t="shared" si="4"/>
        <v>Pepe nero</v>
      </c>
    </row>
    <row r="85">
      <c r="A85">
        <v>84</v>
      </c>
      <c r="B85" t="s">
        <v>177</v>
      </c>
      <c r="F85" t="s">
        <v>292</v>
      </c>
      <c r="G85">
        <v>76</v>
      </c>
      <c r="H85" t="str">
        <f t="shared" si="4"/>
        <v>Peperoncino</v>
      </c>
    </row>
    <row r="86">
      <c r="A86">
        <v>85</v>
      </c>
      <c r="B86" t="s">
        <v>178</v>
      </c>
      <c r="F86" t="s">
        <v>293</v>
      </c>
      <c r="G86">
        <v>77</v>
      </c>
      <c r="H86" t="str">
        <f t="shared" si="4"/>
        <v>Prezzemolo</v>
      </c>
    </row>
    <row r="87">
      <c r="A87">
        <v>86</v>
      </c>
      <c r="B87" t="s">
        <v>181</v>
      </c>
      <c r="F87" t="s">
        <v>294</v>
      </c>
      <c r="G87">
        <v>78</v>
      </c>
      <c r="H87" t="str">
        <f t="shared" si="4"/>
        <v>Rosmarino</v>
      </c>
    </row>
    <row r="88">
      <c r="A88">
        <v>87</v>
      </c>
      <c r="B88" t="s">
        <v>135</v>
      </c>
      <c r="F88" t="s">
        <v>295</v>
      </c>
      <c r="G88">
        <v>79</v>
      </c>
      <c r="H88" t="str">
        <f t="shared" si="4"/>
        <v>Vaniglia</v>
      </c>
    </row>
    <row r="89">
      <c r="A89">
        <v>88</v>
      </c>
      <c r="B89" t="s">
        <v>137</v>
      </c>
      <c r="F89" t="s">
        <v>296</v>
      </c>
      <c r="H89" t="str">
        <f t="shared" si="4"/>
        <v>o</v>
      </c>
    </row>
    <row r="90">
      <c r="A90">
        <v>89</v>
      </c>
      <c r="B90" t="s">
        <v>138</v>
      </c>
      <c r="F90" t="s">
        <v>297</v>
      </c>
      <c r="G90">
        <v>80</v>
      </c>
      <c r="H90" t="str">
        <f t="shared" si="4"/>
        <v>Cacao</v>
      </c>
    </row>
    <row r="91">
      <c r="A91">
        <v>90</v>
      </c>
      <c r="B91" t="s">
        <v>139</v>
      </c>
      <c r="F91" t="s">
        <v>298</v>
      </c>
      <c r="G91">
        <v>81</v>
      </c>
      <c r="H91" t="str">
        <f t="shared" si="4"/>
        <v>Caffè</v>
      </c>
    </row>
    <row r="92">
      <c r="A92">
        <v>91</v>
      </c>
      <c r="B92" t="s">
        <v>92</v>
      </c>
      <c r="F92" t="s">
        <v>299</v>
      </c>
      <c r="G92">
        <v>82</v>
      </c>
      <c r="H92" t="str">
        <f t="shared" si="4"/>
        <v>Funghi porcini</v>
      </c>
    </row>
    <row r="93">
      <c r="A93">
        <v>92</v>
      </c>
      <c r="B93" t="s">
        <v>93</v>
      </c>
      <c r="F93" t="s">
        <v>300</v>
      </c>
      <c r="G93">
        <v>83</v>
      </c>
      <c r="H93" t="str">
        <f t="shared" si="4"/>
        <v>Malto d'orzo</v>
      </c>
    </row>
    <row r="94">
      <c r="A94">
        <v>93</v>
      </c>
      <c r="B94" t="s">
        <v>94</v>
      </c>
      <c r="F94" t="s">
        <v>301</v>
      </c>
      <c r="G94">
        <v>84</v>
      </c>
      <c r="H94" t="str">
        <f t="shared" si="4"/>
        <v>Miele</v>
      </c>
    </row>
    <row r="95">
      <c r="A95">
        <v>94</v>
      </c>
      <c r="B95" t="s">
        <v>201</v>
      </c>
      <c r="F95" t="s">
        <v>302</v>
      </c>
      <c r="G95">
        <v>85</v>
      </c>
      <c r="H95" t="str">
        <f t="shared" si="4"/>
        <v>Tè</v>
      </c>
    </row>
    <row r="96">
      <c r="A96">
        <v>95</v>
      </c>
      <c r="B96" t="s">
        <v>43</v>
      </c>
      <c r="F96" t="s">
        <v>303</v>
      </c>
      <c r="G96">
        <v>86</v>
      </c>
      <c r="H96" t="str">
        <f t="shared" si="4"/>
        <v>Uovo</v>
      </c>
    </row>
    <row r="97">
      <c r="A97">
        <v>96</v>
      </c>
      <c r="B97" t="s">
        <v>46</v>
      </c>
      <c r="F97" t="s">
        <v>304</v>
      </c>
      <c r="H97" t="str">
        <f t="shared" si="4"/>
        <v>ta secca e semi</v>
      </c>
    </row>
    <row r="98">
      <c r="A98">
        <v>97</v>
      </c>
      <c r="B98" t="s">
        <v>48</v>
      </c>
      <c r="F98" t="s">
        <v>305</v>
      </c>
      <c r="G98">
        <v>87</v>
      </c>
      <c r="H98" t="str">
        <f t="shared" si="4"/>
        <v>Arachidi</v>
      </c>
    </row>
    <row r="99">
      <c r="A99">
        <v>98</v>
      </c>
      <c r="B99" t="s">
        <v>52</v>
      </c>
      <c r="F99" t="s">
        <v>306</v>
      </c>
      <c r="G99">
        <v>88</v>
      </c>
      <c r="H99" t="str">
        <f t="shared" si="4"/>
        <v>Mandorla</v>
      </c>
    </row>
    <row r="100">
      <c r="A100">
        <v>99</v>
      </c>
      <c r="B100" t="s">
        <v>53</v>
      </c>
      <c r="F100" t="s">
        <v>307</v>
      </c>
      <c r="G100">
        <v>89</v>
      </c>
      <c r="H100" t="str">
        <f t="shared" si="4"/>
        <v>Nocciola</v>
      </c>
    </row>
    <row r="101">
      <c r="A101">
        <v>100</v>
      </c>
      <c r="B101" t="s">
        <v>108</v>
      </c>
      <c r="F101" t="s">
        <v>308</v>
      </c>
      <c r="G101">
        <v>90</v>
      </c>
      <c r="H101" t="str">
        <f t="shared" si="4"/>
        <v>Noce</v>
      </c>
    </row>
    <row r="102">
      <c r="A102">
        <v>101</v>
      </c>
      <c r="B102" t="s">
        <v>110</v>
      </c>
      <c r="F102" t="s">
        <v>309</v>
      </c>
      <c r="H102" t="s">
        <v>309</v>
      </c>
    </row>
    <row r="103">
      <c r="A103">
        <v>102</v>
      </c>
      <c r="B103" t="s">
        <v>112</v>
      </c>
      <c r="F103" t="s">
        <v>208</v>
      </c>
      <c r="H103" t="str">
        <f t="shared" ref="H103:H114" si="5">MID(F103,5,36)</f>
        <v>icini e Derivati del Latte</v>
      </c>
    </row>
    <row r="104">
      <c r="A104">
        <v>103</v>
      </c>
      <c r="B104" t="s">
        <v>113</v>
      </c>
      <c r="F104" t="s">
        <v>310</v>
      </c>
      <c r="G104">
        <v>91</v>
      </c>
      <c r="H104" t="str">
        <f t="shared" si="5"/>
        <v>Asiago</v>
      </c>
    </row>
    <row r="105">
      <c r="A105">
        <v>104</v>
      </c>
      <c r="B105" t="s">
        <v>114</v>
      </c>
      <c r="F105" t="s">
        <v>311</v>
      </c>
      <c r="G105">
        <v>92</v>
      </c>
      <c r="H105" t="str">
        <f t="shared" si="5"/>
        <v>Emmentaler</v>
      </c>
    </row>
    <row r="106">
      <c r="A106">
        <v>105</v>
      </c>
      <c r="B106" t="s">
        <v>115</v>
      </c>
      <c r="F106" t="s">
        <v>312</v>
      </c>
      <c r="G106">
        <v>93</v>
      </c>
      <c r="H106" t="str">
        <f t="shared" si="5"/>
        <v>Formaggio fuso</v>
      </c>
    </row>
    <row r="107">
      <c r="A107">
        <v>106</v>
      </c>
      <c r="B107" t="s">
        <v>118</v>
      </c>
      <c r="F107" t="s">
        <v>313</v>
      </c>
      <c r="G107">
        <v>94</v>
      </c>
      <c r="H107" t="str">
        <f t="shared" si="5"/>
        <v>Grana Padano</v>
      </c>
    </row>
    <row r="108">
      <c r="A108">
        <v>107</v>
      </c>
      <c r="B108" t="s">
        <v>121</v>
      </c>
      <c r="F108" t="s">
        <v>224</v>
      </c>
      <c r="H108" t="str">
        <f t="shared" si="5"/>
        <v>ali e Derivati</v>
      </c>
    </row>
    <row r="109">
      <c r="A109">
        <v>108</v>
      </c>
      <c r="B109" t="s">
        <v>122</v>
      </c>
      <c r="F109" t="s">
        <v>314</v>
      </c>
      <c r="G109">
        <v>95</v>
      </c>
      <c r="H109" t="str">
        <f t="shared" si="5"/>
        <v>Avena</v>
      </c>
    </row>
    <row r="110">
      <c r="A110">
        <v>109</v>
      </c>
      <c r="B110" t="s">
        <v>123</v>
      </c>
      <c r="F110" t="s">
        <v>315</v>
      </c>
      <c r="G110">
        <v>96</v>
      </c>
      <c r="H110" t="str">
        <f t="shared" si="5"/>
        <v>Grano saraceno</v>
      </c>
    </row>
    <row r="111">
      <c r="A111">
        <v>110</v>
      </c>
      <c r="B111" t="s">
        <v>125</v>
      </c>
      <c r="F111" t="s">
        <v>316</v>
      </c>
      <c r="G111">
        <v>97</v>
      </c>
      <c r="H111" t="str">
        <f t="shared" si="5"/>
        <v>Kamut</v>
      </c>
    </row>
    <row r="112">
      <c r="A112">
        <v>111</v>
      </c>
      <c r="B112" t="s">
        <v>126</v>
      </c>
      <c r="F112" t="s">
        <v>317</v>
      </c>
      <c r="G112">
        <v>98</v>
      </c>
      <c r="H112" t="str">
        <f t="shared" si="5"/>
        <v>Segale</v>
      </c>
    </row>
    <row r="113">
      <c r="A113">
        <v>112</v>
      </c>
      <c r="B113" t="s">
        <v>127</v>
      </c>
      <c r="F113" t="s">
        <v>318</v>
      </c>
      <c r="G113">
        <v>99</v>
      </c>
      <c r="H113" t="str">
        <f t="shared" si="5"/>
        <v>Tapioca</v>
      </c>
    </row>
    <row r="114">
      <c r="A114">
        <v>113</v>
      </c>
      <c r="B114" t="s">
        <v>130</v>
      </c>
      <c r="F114" t="s">
        <v>231</v>
      </c>
      <c r="H114" t="str">
        <f t="shared" si="5"/>
        <v>ta</v>
      </c>
    </row>
    <row r="115">
      <c r="A115">
        <v>114</v>
      </c>
      <c r="B115" t="s">
        <v>131</v>
      </c>
      <c r="F115" t="s">
        <v>319</v>
      </c>
      <c r="G115">
        <v>100</v>
      </c>
      <c r="H115" t="str">
        <f>MID(F115,6,36)</f>
        <v>Avocado</v>
      </c>
    </row>
    <row r="116">
      <c r="A116">
        <v>115</v>
      </c>
      <c r="B116" t="s">
        <v>132</v>
      </c>
      <c r="F116" t="s">
        <v>320</v>
      </c>
      <c r="G116">
        <v>101</v>
      </c>
      <c r="H116" t="str">
        <f t="shared" ref="H116:H179" si="6">MID(F116,6,36)</f>
        <v>Cachi</v>
      </c>
    </row>
    <row r="117">
      <c r="A117">
        <v>116</v>
      </c>
      <c r="B117" t="s">
        <v>133</v>
      </c>
      <c r="F117" t="s">
        <v>321</v>
      </c>
      <c r="G117">
        <v>102</v>
      </c>
      <c r="H117" t="str">
        <f t="shared" si="6"/>
        <v>Cocco</v>
      </c>
    </row>
    <row r="118">
      <c r="A118">
        <v>117</v>
      </c>
      <c r="B118" t="s">
        <v>61</v>
      </c>
      <c r="F118" t="s">
        <v>322</v>
      </c>
      <c r="G118">
        <v>103</v>
      </c>
      <c r="H118" t="str">
        <f t="shared" si="6"/>
        <v>Cocomero</v>
      </c>
    </row>
    <row r="119">
      <c r="A119">
        <v>118</v>
      </c>
      <c r="B119" t="s">
        <v>63</v>
      </c>
      <c r="F119" t="s">
        <v>323</v>
      </c>
      <c r="G119">
        <v>104</v>
      </c>
      <c r="H119" t="str">
        <f t="shared" si="6"/>
        <v>Fico</v>
      </c>
    </row>
    <row r="120">
      <c r="A120">
        <v>119</v>
      </c>
      <c r="B120" t="s">
        <v>64</v>
      </c>
      <c r="F120" t="s">
        <v>324</v>
      </c>
      <c r="G120">
        <v>105</v>
      </c>
      <c r="H120" t="str">
        <f t="shared" si="6"/>
        <v>Fico d'india</v>
      </c>
    </row>
    <row r="121">
      <c r="A121">
        <v>120</v>
      </c>
      <c r="B121" t="s">
        <v>68</v>
      </c>
      <c r="F121" t="s">
        <v>325</v>
      </c>
      <c r="G121">
        <v>106</v>
      </c>
      <c r="H121" t="str">
        <f t="shared" si="6"/>
        <v>Lampone</v>
      </c>
    </row>
    <row r="122">
      <c r="A122">
        <v>121</v>
      </c>
      <c r="B122" t="s">
        <v>70</v>
      </c>
      <c r="F122" t="s">
        <v>326</v>
      </c>
      <c r="G122">
        <v>107</v>
      </c>
      <c r="H122" t="str">
        <f t="shared" si="6"/>
        <v>Mango</v>
      </c>
    </row>
    <row r="123">
      <c r="A123">
        <v>122</v>
      </c>
      <c r="B123" t="s">
        <v>72</v>
      </c>
      <c r="F123" t="s">
        <v>327</v>
      </c>
      <c r="G123">
        <v>108</v>
      </c>
      <c r="H123" t="str">
        <f t="shared" si="6"/>
        <v>Mela</v>
      </c>
    </row>
    <row r="124">
      <c r="A124">
        <v>123</v>
      </c>
      <c r="B124" t="s">
        <v>74</v>
      </c>
      <c r="F124" t="s">
        <v>328</v>
      </c>
      <c r="G124">
        <v>109</v>
      </c>
      <c r="H124" t="str">
        <f t="shared" si="6"/>
        <v>Melograno</v>
      </c>
    </row>
    <row r="125">
      <c r="A125">
        <v>124</v>
      </c>
      <c r="B125" t="s">
        <v>78</v>
      </c>
      <c r="F125" t="s">
        <v>329</v>
      </c>
      <c r="G125">
        <v>110</v>
      </c>
      <c r="H125" t="str">
        <f t="shared" si="6"/>
        <v>Mirtillo</v>
      </c>
    </row>
    <row r="126">
      <c r="A126">
        <v>125</v>
      </c>
      <c r="B126" t="s">
        <v>82</v>
      </c>
      <c r="F126" t="s">
        <v>330</v>
      </c>
      <c r="G126">
        <v>111</v>
      </c>
      <c r="H126" t="str">
        <f t="shared" si="6"/>
        <v>Mora</v>
      </c>
    </row>
    <row r="127">
      <c r="A127">
        <v>126</v>
      </c>
      <c r="B127" t="s">
        <v>83</v>
      </c>
      <c r="F127" t="s">
        <v>331</v>
      </c>
      <c r="G127">
        <v>112</v>
      </c>
      <c r="H127" t="str">
        <f t="shared" si="6"/>
        <v>Papaia</v>
      </c>
    </row>
    <row r="128">
      <c r="A128">
        <v>127</v>
      </c>
      <c r="B128" t="s">
        <v>84</v>
      </c>
      <c r="F128" t="s">
        <v>332</v>
      </c>
      <c r="G128">
        <v>113</v>
      </c>
      <c r="H128" t="str">
        <f t="shared" si="6"/>
        <v>Pompelmo</v>
      </c>
    </row>
    <row r="129">
      <c r="A129">
        <v>128</v>
      </c>
      <c r="B129" t="s">
        <v>85</v>
      </c>
      <c r="F129" t="s">
        <v>333</v>
      </c>
      <c r="G129">
        <v>114</v>
      </c>
      <c r="H129" t="str">
        <f t="shared" si="6"/>
        <v>Prugna</v>
      </c>
    </row>
    <row r="130">
      <c r="A130">
        <v>129</v>
      </c>
      <c r="B130" t="s">
        <v>86</v>
      </c>
      <c r="F130" t="s">
        <v>334</v>
      </c>
      <c r="G130">
        <v>115</v>
      </c>
      <c r="H130" t="str">
        <f t="shared" si="6"/>
        <v>Uva bianca</v>
      </c>
    </row>
    <row r="131">
      <c r="A131">
        <v>130</v>
      </c>
      <c r="B131" t="s">
        <v>87</v>
      </c>
      <c r="F131" t="s">
        <v>335</v>
      </c>
      <c r="G131">
        <v>116</v>
      </c>
      <c r="H131" t="str">
        <f t="shared" si="6"/>
        <v>Uva rossa</v>
      </c>
    </row>
    <row r="132">
      <c r="A132">
        <v>131</v>
      </c>
      <c r="B132" t="s">
        <v>89</v>
      </c>
      <c r="F132" t="s">
        <v>244</v>
      </c>
      <c r="H132" t="str">
        <f t="shared" si="6"/>
        <v>re</v>
      </c>
    </row>
    <row r="133">
      <c r="A133">
        <v>132</v>
      </c>
      <c r="B133" t="s">
        <v>58</v>
      </c>
      <c r="F133" t="s">
        <v>336</v>
      </c>
      <c r="G133">
        <v>117</v>
      </c>
      <c r="H133" t="str">
        <f t="shared" si="6"/>
        <v>Asparagi</v>
      </c>
    </row>
    <row r="134">
      <c r="A134">
        <v>133</v>
      </c>
      <c r="B134" t="s">
        <v>4</v>
      </c>
      <c r="F134" t="s">
        <v>337</v>
      </c>
      <c r="G134">
        <v>118</v>
      </c>
      <c r="H134" t="str">
        <f t="shared" si="6"/>
        <v>Broccolo</v>
      </c>
    </row>
    <row r="135">
      <c r="A135">
        <v>134</v>
      </c>
      <c r="B135" t="s">
        <v>5</v>
      </c>
      <c r="F135" t="s">
        <v>338</v>
      </c>
      <c r="G135">
        <v>119</v>
      </c>
      <c r="H135" t="str">
        <f t="shared" si="6"/>
        <v>Capperi</v>
      </c>
    </row>
    <row r="136">
      <c r="A136">
        <v>135</v>
      </c>
      <c r="B136" t="s">
        <v>8</v>
      </c>
      <c r="F136" t="s">
        <v>339</v>
      </c>
      <c r="G136">
        <v>120</v>
      </c>
      <c r="H136" t="str">
        <f t="shared" si="6"/>
        <v>Cavolini di Bruxelles</v>
      </c>
    </row>
    <row r="137">
      <c r="A137">
        <v>136</v>
      </c>
      <c r="B137" t="s">
        <v>10</v>
      </c>
      <c r="F137" t="s">
        <v>340</v>
      </c>
      <c r="G137">
        <v>121</v>
      </c>
      <c r="H137" t="str">
        <f t="shared" si="6"/>
        <v>Cicoria</v>
      </c>
    </row>
    <row r="138">
      <c r="A138">
        <v>137</v>
      </c>
      <c r="B138" t="s">
        <v>11</v>
      </c>
      <c r="F138" t="s">
        <v>341</v>
      </c>
      <c r="G138">
        <v>122</v>
      </c>
      <c r="H138" t="str">
        <f t="shared" si="6"/>
        <v>Crescione</v>
      </c>
    </row>
    <row r="139">
      <c r="A139">
        <v>138</v>
      </c>
      <c r="B139" t="s">
        <v>14</v>
      </c>
      <c r="F139" t="s">
        <v>342</v>
      </c>
      <c r="G139">
        <v>123</v>
      </c>
      <c r="H139" t="str">
        <f t="shared" si="6"/>
        <v>Indivia</v>
      </c>
    </row>
    <row r="140">
      <c r="A140">
        <v>139</v>
      </c>
      <c r="B140" t="s">
        <v>19</v>
      </c>
      <c r="F140" t="s">
        <v>343</v>
      </c>
      <c r="G140">
        <v>124</v>
      </c>
      <c r="H140" t="str">
        <f t="shared" si="6"/>
        <v>Ortica</v>
      </c>
    </row>
    <row r="141">
      <c r="A141">
        <v>140</v>
      </c>
      <c r="B141" t="s">
        <v>20</v>
      </c>
      <c r="F141" t="s">
        <v>344</v>
      </c>
      <c r="G141">
        <v>125</v>
      </c>
      <c r="H141" t="str">
        <f t="shared" si="6"/>
        <v>Porro</v>
      </c>
    </row>
    <row r="142">
      <c r="A142">
        <v>141</v>
      </c>
      <c r="B142" t="s">
        <v>21</v>
      </c>
      <c r="F142" t="s">
        <v>345</v>
      </c>
      <c r="G142">
        <v>126</v>
      </c>
      <c r="H142" t="str">
        <f t="shared" si="6"/>
        <v>Rapa</v>
      </c>
    </row>
    <row r="143">
      <c r="A143">
        <v>142</v>
      </c>
      <c r="B143" t="s">
        <v>22</v>
      </c>
      <c r="F143" t="s">
        <v>346</v>
      </c>
      <c r="G143">
        <v>127</v>
      </c>
      <c r="H143" t="str">
        <f t="shared" si="6"/>
        <v>Ravanello</v>
      </c>
    </row>
    <row r="144">
      <c r="A144">
        <v>143</v>
      </c>
      <c r="B144" t="s">
        <v>24</v>
      </c>
      <c r="F144" t="s">
        <v>347</v>
      </c>
      <c r="G144">
        <v>128</v>
      </c>
      <c r="H144" t="str">
        <f t="shared" si="6"/>
        <v>Rucola</v>
      </c>
    </row>
    <row r="145">
      <c r="A145">
        <v>144</v>
      </c>
      <c r="B145" t="s">
        <v>25</v>
      </c>
      <c r="F145" t="s">
        <v>348</v>
      </c>
      <c r="G145">
        <v>129</v>
      </c>
      <c r="H145" t="str">
        <f t="shared" si="6"/>
        <v>Scarola</v>
      </c>
    </row>
    <row r="146">
      <c r="A146">
        <v>145</v>
      </c>
      <c r="B146" t="s">
        <v>26</v>
      </c>
      <c r="F146" t="s">
        <v>349</v>
      </c>
      <c r="G146">
        <v>130</v>
      </c>
      <c r="H146" t="str">
        <f t="shared" si="6"/>
        <v>Sedano</v>
      </c>
    </row>
    <row r="147">
      <c r="A147">
        <v>146</v>
      </c>
      <c r="B147" t="s">
        <v>28</v>
      </c>
      <c r="F147" t="s">
        <v>350</v>
      </c>
      <c r="G147">
        <v>131</v>
      </c>
      <c r="H147" t="str">
        <f t="shared" si="6"/>
        <v>Verza</v>
      </c>
    </row>
    <row r="148">
      <c r="A148">
        <v>147</v>
      </c>
      <c r="B148" t="s">
        <v>29</v>
      </c>
      <c r="F148" t="s">
        <v>261</v>
      </c>
      <c r="H148" t="str">
        <f t="shared" si="6"/>
        <v>i</v>
      </c>
    </row>
    <row r="149">
      <c r="A149">
        <v>148</v>
      </c>
      <c r="B149" t="s">
        <v>32</v>
      </c>
      <c r="F149" t="s">
        <v>351</v>
      </c>
      <c r="G149">
        <v>132</v>
      </c>
      <c r="H149" t="str">
        <f t="shared" si="6"/>
        <v>Lenticchie</v>
      </c>
    </row>
    <row r="150">
      <c r="A150">
        <v>149</v>
      </c>
      <c r="B150" t="s">
        <v>33</v>
      </c>
      <c r="F150" t="s">
        <v>268</v>
      </c>
      <c r="H150" t="str">
        <f t="shared" si="6"/>
        <v/>
      </c>
    </row>
    <row r="151">
      <c r="A151">
        <v>150</v>
      </c>
      <c r="B151" t="s">
        <v>34</v>
      </c>
      <c r="F151" t="s">
        <v>352</v>
      </c>
      <c r="G151">
        <v>133</v>
      </c>
      <c r="H151" t="str">
        <f t="shared" si="6"/>
        <v>Agnello</v>
      </c>
    </row>
    <row r="152">
      <c r="A152">
        <v>151</v>
      </c>
      <c r="B152" t="s">
        <v>36</v>
      </c>
      <c r="F152" t="s">
        <v>353</v>
      </c>
      <c r="G152">
        <v>134</v>
      </c>
      <c r="H152" t="str">
        <f t="shared" si="6"/>
        <v>Anatra</v>
      </c>
    </row>
    <row r="153">
      <c r="A153">
        <v>152</v>
      </c>
      <c r="B153" t="s">
        <v>37</v>
      </c>
      <c r="F153" t="s">
        <v>354</v>
      </c>
      <c r="G153">
        <v>135</v>
      </c>
      <c r="H153" t="str">
        <f t="shared" si="6"/>
        <v>Cinghiale</v>
      </c>
    </row>
    <row r="154">
      <c r="A154">
        <v>153</v>
      </c>
      <c r="B154" t="s">
        <v>38</v>
      </c>
      <c r="F154" t="s">
        <v>355</v>
      </c>
      <c r="G154">
        <v>136</v>
      </c>
      <c r="H154" t="str">
        <f t="shared" si="6"/>
        <v>Fagiano</v>
      </c>
    </row>
    <row r="155">
      <c r="A155">
        <v>154</v>
      </c>
      <c r="B155" t="s">
        <v>146</v>
      </c>
      <c r="F155" t="s">
        <v>356</v>
      </c>
      <c r="G155">
        <v>137</v>
      </c>
      <c r="H155" t="str">
        <f t="shared" si="6"/>
        <v>Lepre</v>
      </c>
    </row>
    <row r="156">
      <c r="A156">
        <v>155</v>
      </c>
      <c r="B156" t="s">
        <v>147</v>
      </c>
      <c r="F156" t="s">
        <v>357</v>
      </c>
      <c r="G156">
        <v>138</v>
      </c>
      <c r="H156" t="str">
        <f t="shared" si="6"/>
        <v>Oca</v>
      </c>
    </row>
    <row r="157">
      <c r="A157">
        <v>156</v>
      </c>
      <c r="B157" t="s">
        <v>149</v>
      </c>
      <c r="F157" t="s">
        <v>276</v>
      </c>
      <c r="H157" t="str">
        <f t="shared" si="6"/>
        <v xml:space="preserve"> e Frutti di Mare</v>
      </c>
    </row>
    <row r="158">
      <c r="A158">
        <v>157</v>
      </c>
      <c r="B158" t="s">
        <v>150</v>
      </c>
      <c r="F158" t="s">
        <v>358</v>
      </c>
      <c r="G158">
        <v>139</v>
      </c>
      <c r="H158" t="str">
        <f t="shared" si="6"/>
        <v>Anguilla</v>
      </c>
    </row>
    <row r="159">
      <c r="A159">
        <v>158</v>
      </c>
      <c r="B159" t="s">
        <v>151</v>
      </c>
      <c r="F159" t="s">
        <v>359</v>
      </c>
      <c r="G159">
        <v>140</v>
      </c>
      <c r="H159" t="str">
        <f t="shared" si="6"/>
        <v>Aringa</v>
      </c>
    </row>
    <row r="160">
      <c r="A160">
        <v>159</v>
      </c>
      <c r="B160" t="s">
        <v>152</v>
      </c>
      <c r="F160" t="s">
        <v>360</v>
      </c>
      <c r="G160">
        <v>141</v>
      </c>
      <c r="H160" t="str">
        <f t="shared" si="6"/>
        <v>Astice</v>
      </c>
    </row>
    <row r="161">
      <c r="A161">
        <v>160</v>
      </c>
      <c r="B161" t="s">
        <v>153</v>
      </c>
      <c r="F161" t="s">
        <v>361</v>
      </c>
      <c r="G161">
        <v>142</v>
      </c>
      <c r="H161" t="str">
        <f t="shared" si="6"/>
        <v>Baccalà</v>
      </c>
    </row>
    <row r="162">
      <c r="A162">
        <v>161</v>
      </c>
      <c r="B162" t="s">
        <v>154</v>
      </c>
      <c r="F162" t="s">
        <v>362</v>
      </c>
      <c r="G162">
        <v>143</v>
      </c>
      <c r="H162" t="str">
        <f t="shared" si="6"/>
        <v>Calamaro</v>
      </c>
    </row>
    <row r="163">
      <c r="A163">
        <v>162</v>
      </c>
      <c r="B163" t="s">
        <v>155</v>
      </c>
      <c r="F163" t="s">
        <v>363</v>
      </c>
      <c r="G163">
        <v>144</v>
      </c>
      <c r="H163" t="str">
        <f t="shared" si="6"/>
        <v>Coda di rospo</v>
      </c>
    </row>
    <row r="164">
      <c r="A164">
        <v>163</v>
      </c>
      <c r="B164" t="s">
        <v>157</v>
      </c>
      <c r="F164" t="s">
        <v>364</v>
      </c>
      <c r="G164">
        <v>145</v>
      </c>
      <c r="H164" t="str">
        <f t="shared" si="6"/>
        <v>Cozza</v>
      </c>
    </row>
    <row r="165">
      <c r="A165">
        <v>164</v>
      </c>
      <c r="B165" t="s">
        <v>161</v>
      </c>
      <c r="F165" t="s">
        <v>365</v>
      </c>
      <c r="G165">
        <v>146</v>
      </c>
      <c r="H165" t="str">
        <f t="shared" si="6"/>
        <v>Granchio</v>
      </c>
    </row>
    <row r="166">
      <c r="A166">
        <v>165</v>
      </c>
      <c r="B166" t="s">
        <v>163</v>
      </c>
      <c r="F166" t="s">
        <v>366</v>
      </c>
      <c r="G166">
        <v>147</v>
      </c>
      <c r="H166" t="str">
        <f t="shared" si="6"/>
        <v>Halibut</v>
      </c>
    </row>
    <row r="167">
      <c r="A167">
        <v>166</v>
      </c>
      <c r="B167" t="s">
        <v>164</v>
      </c>
      <c r="F167" t="s">
        <v>367</v>
      </c>
      <c r="G167">
        <v>148</v>
      </c>
      <c r="H167" t="str">
        <f t="shared" si="6"/>
        <v>Platessa</v>
      </c>
    </row>
    <row r="168">
      <c r="A168">
        <v>167</v>
      </c>
      <c r="B168" t="s">
        <v>165</v>
      </c>
      <c r="F168" t="s">
        <v>368</v>
      </c>
      <c r="G168">
        <v>149</v>
      </c>
      <c r="H168" t="str">
        <f t="shared" si="6"/>
        <v>Polpo</v>
      </c>
    </row>
    <row r="169">
      <c r="A169">
        <v>168</v>
      </c>
      <c r="B169" t="s">
        <v>167</v>
      </c>
      <c r="F169" t="s">
        <v>369</v>
      </c>
      <c r="G169">
        <v>150</v>
      </c>
      <c r="H169" t="str">
        <f t="shared" si="6"/>
        <v>Rombo</v>
      </c>
    </row>
    <row r="170">
      <c r="A170">
        <v>169</v>
      </c>
      <c r="B170" t="s">
        <v>171</v>
      </c>
      <c r="F170" t="s">
        <v>370</v>
      </c>
      <c r="G170">
        <v>151</v>
      </c>
      <c r="H170" t="str">
        <f t="shared" si="6"/>
        <v>Sardina</v>
      </c>
    </row>
    <row r="171">
      <c r="A171">
        <v>170</v>
      </c>
      <c r="B171" t="s">
        <v>172</v>
      </c>
      <c r="F171" t="s">
        <v>371</v>
      </c>
      <c r="G171">
        <v>152</v>
      </c>
      <c r="H171" t="str">
        <f t="shared" si="6"/>
        <v>Seppia</v>
      </c>
    </row>
    <row r="172">
      <c r="A172">
        <v>171</v>
      </c>
      <c r="B172" t="s">
        <v>175</v>
      </c>
      <c r="F172" t="s">
        <v>372</v>
      </c>
      <c r="G172">
        <v>153</v>
      </c>
      <c r="H172" t="str">
        <f t="shared" si="6"/>
        <v>Sgombro</v>
      </c>
    </row>
    <row r="173">
      <c r="A173">
        <v>172</v>
      </c>
      <c r="B173" t="s">
        <v>179</v>
      </c>
      <c r="F173" t="s">
        <v>287</v>
      </c>
      <c r="H173" t="str">
        <f t="shared" si="6"/>
        <v>e ed Erbe Aromatiche</v>
      </c>
    </row>
    <row r="174">
      <c r="A174">
        <v>173</v>
      </c>
      <c r="B174" t="s">
        <v>180</v>
      </c>
      <c r="F174" t="s">
        <v>373</v>
      </c>
      <c r="G174">
        <v>154</v>
      </c>
      <c r="H174" t="str">
        <f t="shared" si="6"/>
        <v>Alloro</v>
      </c>
    </row>
    <row r="175">
      <c r="A175">
        <v>174</v>
      </c>
      <c r="B175" t="s">
        <v>134</v>
      </c>
      <c r="F175" t="s">
        <v>374</v>
      </c>
      <c r="G175">
        <v>155</v>
      </c>
      <c r="H175" t="str">
        <f t="shared" si="6"/>
        <v>Anice</v>
      </c>
    </row>
    <row r="176">
      <c r="A176">
        <v>175</v>
      </c>
      <c r="B176" t="s">
        <v>136</v>
      </c>
      <c r="F176" t="s">
        <v>375</v>
      </c>
      <c r="G176">
        <v>156</v>
      </c>
      <c r="H176" t="str">
        <f t="shared" si="6"/>
        <v>Cannella</v>
      </c>
    </row>
    <row r="177">
      <c r="A177">
        <v>176</v>
      </c>
      <c r="B177" t="s">
        <v>140</v>
      </c>
      <c r="F177" t="s">
        <v>376</v>
      </c>
      <c r="G177">
        <v>157</v>
      </c>
      <c r="H177" t="str">
        <f t="shared" si="6"/>
        <v>Coriandolo</v>
      </c>
    </row>
    <row r="178">
      <c r="A178">
        <v>177</v>
      </c>
      <c r="B178" t="s">
        <v>141</v>
      </c>
      <c r="F178" t="s">
        <v>377</v>
      </c>
      <c r="G178">
        <v>158</v>
      </c>
      <c r="H178" t="str">
        <f t="shared" si="6"/>
        <v>Erba cipollina</v>
      </c>
    </row>
    <row r="179">
      <c r="A179">
        <v>178</v>
      </c>
      <c r="B179" t="s">
        <v>142</v>
      </c>
      <c r="F179" t="s">
        <v>378</v>
      </c>
      <c r="G179">
        <v>159</v>
      </c>
      <c r="H179" t="str">
        <f t="shared" si="6"/>
        <v>Liquirizia</v>
      </c>
    </row>
    <row r="180">
      <c r="A180">
        <v>179</v>
      </c>
      <c r="B180" t="s">
        <v>143</v>
      </c>
      <c r="F180" t="s">
        <v>379</v>
      </c>
      <c r="G180">
        <v>160</v>
      </c>
      <c r="H180" t="str">
        <f t="shared" ref="H180:H203" si="7">MID(F180,6,36)</f>
        <v>Maggiorana</v>
      </c>
    </row>
    <row r="181">
      <c r="A181">
        <v>180</v>
      </c>
      <c r="B181" t="s">
        <v>144</v>
      </c>
      <c r="F181" t="s">
        <v>380</v>
      </c>
      <c r="G181">
        <v>161</v>
      </c>
      <c r="H181" t="str">
        <f t="shared" si="7"/>
        <v>Menta</v>
      </c>
    </row>
    <row r="182">
      <c r="A182">
        <v>181</v>
      </c>
      <c r="B182" t="s">
        <v>145</v>
      </c>
      <c r="F182" t="s">
        <v>381</v>
      </c>
      <c r="G182">
        <v>162</v>
      </c>
      <c r="H182" t="str">
        <f t="shared" si="7"/>
        <v>Noce moscata</v>
      </c>
    </row>
    <row r="183">
      <c r="F183" t="s">
        <v>382</v>
      </c>
      <c r="G183">
        <v>163</v>
      </c>
      <c r="H183" t="str">
        <f t="shared" si="7"/>
        <v>Paprika</v>
      </c>
    </row>
    <row r="184">
      <c r="F184" t="s">
        <v>383</v>
      </c>
      <c r="G184">
        <v>164</v>
      </c>
      <c r="H184" t="str">
        <f t="shared" si="7"/>
        <v>Rafano</v>
      </c>
    </row>
    <row r="185">
      <c r="F185" t="s">
        <v>384</v>
      </c>
      <c r="G185">
        <v>165</v>
      </c>
      <c r="H185" t="str">
        <f t="shared" si="7"/>
        <v>Salvia</v>
      </c>
    </row>
    <row r="186">
      <c r="F186" t="s">
        <v>385</v>
      </c>
      <c r="G186">
        <v>166</v>
      </c>
      <c r="H186" t="str">
        <f t="shared" si="7"/>
        <v>Senape</v>
      </c>
    </row>
    <row r="187">
      <c r="F187" t="s">
        <v>386</v>
      </c>
      <c r="G187">
        <v>167</v>
      </c>
      <c r="H187" t="str">
        <f t="shared" si="7"/>
        <v>Timo</v>
      </c>
    </row>
    <row r="188">
      <c r="F188" t="s">
        <v>387</v>
      </c>
      <c r="G188">
        <v>168</v>
      </c>
      <c r="H188" t="str">
        <f t="shared" si="7"/>
        <v>Zenzero</v>
      </c>
    </row>
    <row r="189">
      <c r="F189" t="s">
        <v>296</v>
      </c>
      <c r="H189" t="str">
        <f t="shared" si="7"/>
        <v/>
      </c>
    </row>
    <row r="190">
      <c r="F190" t="s">
        <v>388</v>
      </c>
      <c r="G190">
        <v>169</v>
      </c>
      <c r="H190" t="str">
        <f t="shared" si="7"/>
        <v>Camomilla</v>
      </c>
    </row>
    <row r="191">
      <c r="F191" t="s">
        <v>389</v>
      </c>
      <c r="G191">
        <v>170</v>
      </c>
      <c r="H191" t="str">
        <f t="shared" si="7"/>
        <v>Funghi champignon</v>
      </c>
    </row>
    <row r="192">
      <c r="F192" t="s">
        <v>390</v>
      </c>
      <c r="G192">
        <v>171</v>
      </c>
      <c r="H192" t="str">
        <f t="shared" si="7"/>
        <v>Luppolo</v>
      </c>
    </row>
    <row r="193">
      <c r="F193" t="s">
        <v>391</v>
      </c>
      <c r="G193">
        <v>172</v>
      </c>
      <c r="H193" t="str">
        <f t="shared" si="7"/>
        <v>Tè verde</v>
      </c>
    </row>
    <row r="194">
      <c r="F194" t="s">
        <v>392</v>
      </c>
      <c r="G194">
        <v>173</v>
      </c>
      <c r="H194" t="str">
        <f t="shared" si="7"/>
        <v>Tiglio</v>
      </c>
    </row>
    <row r="195">
      <c r="F195" t="s">
        <v>304</v>
      </c>
      <c r="H195" t="str">
        <f t="shared" si="7"/>
        <v>a secca e semi</v>
      </c>
    </row>
    <row r="196">
      <c r="F196" t="s">
        <v>393</v>
      </c>
      <c r="G196">
        <v>174</v>
      </c>
      <c r="H196" t="str">
        <f t="shared" si="7"/>
        <v>Anacardi</v>
      </c>
    </row>
    <row r="197">
      <c r="F197" t="s">
        <v>394</v>
      </c>
      <c r="G197">
        <v>175</v>
      </c>
      <c r="H197" t="str">
        <f t="shared" si="7"/>
        <v>Castagna</v>
      </c>
    </row>
    <row r="198">
      <c r="F198" t="s">
        <v>395</v>
      </c>
      <c r="G198">
        <v>176</v>
      </c>
      <c r="H198" t="str">
        <f t="shared" si="7"/>
        <v>Pinoli</v>
      </c>
    </row>
    <row r="199">
      <c r="F199" t="s">
        <v>396</v>
      </c>
      <c r="G199">
        <v>177</v>
      </c>
      <c r="H199" t="str">
        <f t="shared" si="7"/>
        <v>Pistacchio</v>
      </c>
    </row>
    <row r="200">
      <c r="F200" t="s">
        <v>397</v>
      </c>
      <c r="G200">
        <v>178</v>
      </c>
      <c r="H200" t="str">
        <f t="shared" si="7"/>
        <v>Seme di girasole</v>
      </c>
    </row>
    <row r="201">
      <c r="F201" t="s">
        <v>398</v>
      </c>
      <c r="G201">
        <v>179</v>
      </c>
      <c r="H201" t="str">
        <f t="shared" si="7"/>
        <v>Seme di lino</v>
      </c>
    </row>
    <row r="202">
      <c r="F202" t="s">
        <v>399</v>
      </c>
      <c r="G202">
        <v>180</v>
      </c>
      <c r="H202" t="str">
        <f t="shared" si="7"/>
        <v>Seme di zucca</v>
      </c>
    </row>
    <row r="203">
      <c r="F203" t="s">
        <v>400</v>
      </c>
      <c r="G203">
        <v>181</v>
      </c>
      <c r="H203" t="str">
        <f t="shared" si="7"/>
        <v>Sesamo</v>
      </c>
    </row>
  </sheetData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TheBonus</dc:creator>
  <cp:lastModifiedBy>Dario Uderzo</cp:lastModifiedBy>
  <dcterms:created xsi:type="dcterms:W3CDTF">2026-04-25T10:58:11Z</dcterms:created>
  <dcterms:modified xsi:type="dcterms:W3CDTF">2026-05-07T12:09:35Z</dcterms:modified>
</cp:coreProperties>
</file>