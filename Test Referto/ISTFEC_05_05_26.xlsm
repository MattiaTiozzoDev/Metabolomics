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TheBonus\Desktop\WP Valsambro\ISTAMINA\"/>
    </mc:Choice>
  </mc:AlternateContent>
  <xr:revisionPtr revIDLastSave="0" documentId="8_{F3C2FE43-9B17-4EC3-A5EF-FDD406DD02A7}" xr6:coauthVersionLast="47" xr6:coauthVersionMax="47" xr10:uidLastSave="{00000000-0000-0000-0000-000000000000}"/>
  <bookViews>
    <workbookView xWindow="348" yWindow="0" windowWidth="17280" windowHeight="11208" activeTab="1" xr2:uid="{00000000-000D-0000-FFFF-FFFF00000000}"/>
  </bookViews>
  <sheets>
    <sheet name="Dati" sheetId="2" r:id="rId1"/>
    <sheet name="Calcoli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56" i="1" l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6" i="1"/>
  <c r="U7" i="1"/>
  <c r="U8" i="1"/>
  <c r="U9" i="1"/>
  <c r="U10" i="1"/>
  <c r="U11" i="1"/>
  <c r="U12" i="1"/>
  <c r="U14" i="1"/>
  <c r="U15" i="1"/>
  <c r="U16" i="1"/>
  <c r="U17" i="1"/>
  <c r="U18" i="1"/>
  <c r="U19" i="1"/>
  <c r="U20" i="1"/>
  <c r="U21" i="1"/>
  <c r="U22" i="1"/>
  <c r="U23" i="1"/>
  <c r="U25" i="1"/>
  <c r="U26" i="1"/>
  <c r="U27" i="1"/>
  <c r="U30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9" i="1"/>
  <c r="U50" i="1"/>
  <c r="U51" i="1"/>
  <c r="U53" i="1"/>
  <c r="U54" i="1"/>
  <c r="U55" i="1"/>
  <c r="U5" i="1"/>
  <c r="H53" i="1"/>
  <c r="H54" i="1"/>
  <c r="H55" i="1"/>
  <c r="H56" i="1"/>
  <c r="H57" i="1"/>
  <c r="H58" i="1"/>
  <c r="H59" i="1"/>
  <c r="H60" i="1"/>
  <c r="H61" i="1"/>
  <c r="H62" i="1"/>
  <c r="H63" i="1"/>
  <c r="H64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315" i="1"/>
  <c r="H316" i="1"/>
  <c r="H317" i="1"/>
  <c r="H318" i="1"/>
  <c r="H319" i="1"/>
  <c r="H320" i="1"/>
  <c r="H5" i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</calcChain>
</file>

<file path=xl/sharedStrings.xml><?xml version="1.0" encoding="utf-8"?>
<sst xmlns="http://schemas.openxmlformats.org/spreadsheetml/2006/main" count="431" uniqueCount="281">
  <si>
    <t>Atlantys</t>
  </si>
  <si>
    <t>Trypto in Atlantis</t>
  </si>
  <si>
    <t>Phenyl - Hexyl</t>
  </si>
  <si>
    <t>Trypto in Phenyl Exyl</t>
  </si>
  <si>
    <t>DATA ACCETTAZIONE</t>
  </si>
  <si>
    <t>CODICE D'ORDINE</t>
  </si>
  <si>
    <t>CODICE FISCALE</t>
  </si>
  <si>
    <t>VARIABILE POPOLAZIONE</t>
  </si>
  <si>
    <t>DISPONIBILE</t>
  </si>
  <si>
    <t>RIGA</t>
  </si>
  <si>
    <t>NOME</t>
  </si>
  <si>
    <t>NUMERO ACCETTAZIONE</t>
  </si>
  <si>
    <t>DATA REFERTAZIONE</t>
  </si>
  <si>
    <t>NUMERO</t>
  </si>
  <si>
    <t>DATA</t>
  </si>
  <si>
    <t>CONTROLLO</t>
  </si>
  <si>
    <t>DATA_ACCETTAZIONE</t>
  </si>
  <si>
    <t>CODICE_ORDINE</t>
  </si>
  <si>
    <t>CODICE_FISCALE</t>
  </si>
  <si>
    <t>VARIABILE_POPOLAZIONE</t>
  </si>
  <si>
    <t>NUMERO_ACCETTAZIONE</t>
  </si>
  <si>
    <t>DATA_REFERTAZIONE</t>
  </si>
  <si>
    <t>ROTA PORTA ALESSANDRO</t>
  </si>
  <si>
    <t>14/04/2026</t>
  </si>
  <si>
    <t>122.58</t>
  </si>
  <si>
    <t>CUNI CRISTINA</t>
  </si>
  <si>
    <t>1841.18</t>
  </si>
  <si>
    <t>IANNI MARIA</t>
  </si>
  <si>
    <t>44.88</t>
  </si>
  <si>
    <t>ANGIOLINI PAOLA</t>
  </si>
  <si>
    <t>1970.59</t>
  </si>
  <si>
    <t>BUZONIA ILARIA</t>
  </si>
  <si>
    <t>69.81</t>
  </si>
  <si>
    <t>Dinaro Nina</t>
  </si>
  <si>
    <t>38.23</t>
  </si>
  <si>
    <t>DINARO LUDOVICA</t>
  </si>
  <si>
    <t>669.32</t>
  </si>
  <si>
    <t>DINARO CAMILLA</t>
  </si>
  <si>
    <t>243.96</t>
  </si>
  <si>
    <t>SGHEDONI EMANUELE</t>
  </si>
  <si>
    <t>15/04/2026</t>
  </si>
  <si>
    <t>&gt;15000.00</t>
  </si>
  <si>
    <t>FREGUIA FULVIO</t>
  </si>
  <si>
    <t>358.87</t>
  </si>
  <si>
    <t>LUPPINO RITA</t>
  </si>
  <si>
    <t>942.10</t>
  </si>
  <si>
    <t>DEMETRIO LUCIA</t>
  </si>
  <si>
    <t>344.72</t>
  </si>
  <si>
    <t>BASILE SALVATORE</t>
  </si>
  <si>
    <t>225.85</t>
  </si>
  <si>
    <t>SABBATINI RITA</t>
  </si>
  <si>
    <t>82.27</t>
  </si>
  <si>
    <t>MONTORSI ILARIA</t>
  </si>
  <si>
    <t>16/04/2026</t>
  </si>
  <si>
    <t>1476.70</t>
  </si>
  <si>
    <t>POZZETTI ALESSANDRO</t>
  </si>
  <si>
    <t>3423.54</t>
  </si>
  <si>
    <t>TOFFOLI SARA</t>
  </si>
  <si>
    <t>1794.12</t>
  </si>
  <si>
    <t>MERLI STEFANIA ODILIA</t>
  </si>
  <si>
    <t>4194.12</t>
  </si>
  <si>
    <t>DI GIACOMO ANGELA ROSA</t>
  </si>
  <si>
    <t>9937.50</t>
  </si>
  <si>
    <t>PALOMBI ALESSANDRA</t>
  </si>
  <si>
    <t>CREPALDI MARIA CLAUDIA</t>
  </si>
  <si>
    <t>8437.50</t>
  </si>
  <si>
    <t>AGLIOZZO ROSSANA</t>
  </si>
  <si>
    <t>1947.06</t>
  </si>
  <si>
    <t>FRANZONI MICHELE</t>
  </si>
  <si>
    <t>865.34</t>
  </si>
  <si>
    <t>CRISTIANA RIMINI</t>
  </si>
  <si>
    <t>17/04/2026</t>
  </si>
  <si>
    <t>PERUGINI FEDERICO</t>
  </si>
  <si>
    <t>MEZZETTI ERICA</t>
  </si>
  <si>
    <t>20/04/2026</t>
  </si>
  <si>
    <t>7937.49</t>
  </si>
  <si>
    <t>GAGNI TIZIANA MARIA</t>
  </si>
  <si>
    <t>21/04/2026</t>
  </si>
  <si>
    <t>DOBROVOLSCHI DORINA</t>
  </si>
  <si>
    <t>1214.88</t>
  </si>
  <si>
    <t>TRACCHI GABRIELLA</t>
  </si>
  <si>
    <t>22/04/2026</t>
  </si>
  <si>
    <t>407.55</t>
  </si>
  <si>
    <t>DI MAIO SIMONE</t>
  </si>
  <si>
    <t>12593.76</t>
  </si>
  <si>
    <t>DI PIETRO ALESSIA</t>
  </si>
  <si>
    <t>975.00</t>
  </si>
  <si>
    <t>VETRANO ROSSANA</t>
  </si>
  <si>
    <t>2076.47</t>
  </si>
  <si>
    <t>MARONCELLI MARICA</t>
  </si>
  <si>
    <t>191.89</t>
  </si>
  <si>
    <t>PETRELLA LUCIA</t>
  </si>
  <si>
    <t>1941.18</t>
  </si>
  <si>
    <t>KOCH JULIE</t>
  </si>
  <si>
    <t>258.68</t>
  </si>
  <si>
    <t>GILI MARIA</t>
  </si>
  <si>
    <t>290.38</t>
  </si>
  <si>
    <t>RICHIERO ELISA</t>
  </si>
  <si>
    <t>227.55</t>
  </si>
  <si>
    <t>FANTUZ MATTEO</t>
  </si>
  <si>
    <t>251.32</t>
  </si>
  <si>
    <t>BOGOTTO RENATA</t>
  </si>
  <si>
    <t>1009.27</t>
  </si>
  <si>
    <t>ZANUTTA ROMINA</t>
  </si>
  <si>
    <t>2158.82</t>
  </si>
  <si>
    <t>FRAIETTA CATERINA</t>
  </si>
  <si>
    <t>1617.65</t>
  </si>
  <si>
    <t>BAMBI ALICE</t>
  </si>
  <si>
    <t>14499.99</t>
  </si>
  <si>
    <t>ALTRAN SANTIAGO</t>
  </si>
  <si>
    <t>1179.24</t>
  </si>
  <si>
    <t>BERNARDI MARIA CARLA</t>
  </si>
  <si>
    <t>23/04/2026</t>
  </si>
  <si>
    <t>BRAGLIA EDOARDO</t>
  </si>
  <si>
    <t>1253.27</t>
  </si>
  <si>
    <t>MEDIANI SARA</t>
  </si>
  <si>
    <t>252.45</t>
  </si>
  <si>
    <t>PAGANI MARZIA</t>
  </si>
  <si>
    <t>215.66</t>
  </si>
  <si>
    <t>EE515300 EE515300</t>
  </si>
  <si>
    <t>PEZZOLI RICCARDO</t>
  </si>
  <si>
    <t>27/04/2026</t>
  </si>
  <si>
    <t>253.02</t>
  </si>
  <si>
    <t>FURLAN FIORENZA</t>
  </si>
  <si>
    <t>1240.93</t>
  </si>
  <si>
    <t>Codici Esami accettati</t>
  </si>
  <si>
    <t>N°</t>
  </si>
  <si>
    <t>Nominativo Paziente</t>
  </si>
  <si>
    <t>Data accettazione</t>
  </si>
  <si>
    <t>24_3_2025</t>
  </si>
  <si>
    <t>25_3_2025</t>
  </si>
  <si>
    <t>26_3_2025</t>
  </si>
  <si>
    <t>27_3_2025</t>
  </si>
  <si>
    <t>28_3_2025</t>
  </si>
  <si>
    <t>31_3_2025</t>
  </si>
  <si>
    <t>1_4_2025</t>
  </si>
  <si>
    <t>2_4_2025</t>
  </si>
  <si>
    <t>DONATI PAOLA</t>
  </si>
  <si>
    <t>QZZBPMHWR</t>
  </si>
  <si>
    <t>DNTPLA45A62B969Y</t>
  </si>
  <si>
    <t>4_5_2026</t>
  </si>
  <si>
    <t>CRESCENTE FEDORA</t>
  </si>
  <si>
    <t>KTNUXXVCC</t>
  </si>
  <si>
    <t>CRSFRM46C65A285U</t>
  </si>
  <si>
    <t>CRISTONI NADIA</t>
  </si>
  <si>
    <t>FTNAIAYJF</t>
  </si>
  <si>
    <t>CRSNDA58R46F627L</t>
  </si>
  <si>
    <t>FATTORI LOREDANA</t>
  </si>
  <si>
    <t>ELWTWSKBZ</t>
  </si>
  <si>
    <t>FTTLDN69T50Z133A</t>
  </si>
  <si>
    <t>PISANO SUSAN</t>
  </si>
  <si>
    <t>JIYJBRBUE</t>
  </si>
  <si>
    <t>PSNSSN68E42B354R</t>
  </si>
  <si>
    <t>INNOCENTI ANGELO</t>
  </si>
  <si>
    <t>BLZHTJHAO</t>
  </si>
  <si>
    <t>NNCNGL95S06I155A</t>
  </si>
  <si>
    <t>MARSELLA ELISABETTA</t>
  </si>
  <si>
    <t>UYCNXJUQQ</t>
  </si>
  <si>
    <t>MRSLBT84D54H501L</t>
  </si>
  <si>
    <t>MANCINI DANIELA</t>
  </si>
  <si>
    <t>ONPQTGDCR</t>
  </si>
  <si>
    <t>MNCDNL70B53C552U</t>
  </si>
  <si>
    <t>GASPARRINI ANNA</t>
  </si>
  <si>
    <t>DEIPOJRXV</t>
  </si>
  <si>
    <t>GSPNNA53M51A334X</t>
  </si>
  <si>
    <t>SCARFONE ANNA</t>
  </si>
  <si>
    <t>WELDVQZMQ</t>
  </si>
  <si>
    <t>SCRNNA69A53L219A</t>
  </si>
  <si>
    <t>SEBASTIANI  SERGIO</t>
  </si>
  <si>
    <t>SBSSRG68P03E216L</t>
  </si>
  <si>
    <t>PENU DANIELA</t>
  </si>
  <si>
    <t>NHFMBLSOQ</t>
  </si>
  <si>
    <t>PNEDNL76D62Z129S</t>
  </si>
  <si>
    <t>LORENZETTI PAOLO</t>
  </si>
  <si>
    <t>BDWULGUWL</t>
  </si>
  <si>
    <t>LRNPLA55M29F132C</t>
  </si>
  <si>
    <t>CARDINI FRANCESCA</t>
  </si>
  <si>
    <t>DZPCWKTQJ</t>
  </si>
  <si>
    <t>CRDFNC01T66B300Y</t>
  </si>
  <si>
    <t>RINALDO LUCIANO</t>
  </si>
  <si>
    <t>IALYVYISW</t>
  </si>
  <si>
    <t>RNLLCN86E20A471D</t>
  </si>
  <si>
    <t>STEFANI MASSIMILIANO</t>
  </si>
  <si>
    <t>ZTDMZMTVA</t>
  </si>
  <si>
    <t>STFMSM71P13B006W</t>
  </si>
  <si>
    <t>KELI BLERINA</t>
  </si>
  <si>
    <t>ZVSFNRPOS</t>
  </si>
  <si>
    <t>KLEBRN79R45Z100R</t>
  </si>
  <si>
    <t>PAOLINI CARLOTTA</t>
  </si>
  <si>
    <t>YOTCQCARU</t>
  </si>
  <si>
    <t>PLNCLT83T62A944K</t>
  </si>
  <si>
    <t>GARBAGNATI MARIA NADIA</t>
  </si>
  <si>
    <t>PWPCWOHHG</t>
  </si>
  <si>
    <t>GRBMND59H62H264O</t>
  </si>
  <si>
    <t>FABIANO PATRIZIA</t>
  </si>
  <si>
    <t>SWTWASJCQ</t>
  </si>
  <si>
    <t>FBNPRZ74M68C107J</t>
  </si>
  <si>
    <t>SEGAFREDO FRANCESCO</t>
  </si>
  <si>
    <t>EDOEJETZR</t>
  </si>
  <si>
    <t>SGFFNC52C02A944N</t>
  </si>
  <si>
    <t>ZULIANI MARTINA</t>
  </si>
  <si>
    <t>RNMKZCKLX</t>
  </si>
  <si>
    <t>ZLNMTN80A42L483B</t>
  </si>
  <si>
    <t xml:space="preserve">PARMESANI  ANNAMARIA </t>
  </si>
  <si>
    <t>PRMNMR63M53E648U</t>
  </si>
  <si>
    <t>CICIRALE DANILO</t>
  </si>
  <si>
    <t>EVJJMKWEE</t>
  </si>
  <si>
    <t>CCRDNL01D30D086L</t>
  </si>
  <si>
    <t>CALANCEA NATALIA</t>
  </si>
  <si>
    <t>LEVSRKUDW</t>
  </si>
  <si>
    <t>CLNNTL77B46Z140R</t>
  </si>
  <si>
    <t>AR001512 AR001512</t>
  </si>
  <si>
    <t>PASQUALIN FEDERICO</t>
  </si>
  <si>
    <t>FPLOZPBPR</t>
  </si>
  <si>
    <t>PSQFRC65L16L407P</t>
  </si>
  <si>
    <t>RUI GIADA</t>
  </si>
  <si>
    <t>RCAITIAGA</t>
  </si>
  <si>
    <t>RUIGDI92P52C957T</t>
  </si>
  <si>
    <t>GOMEDI EMMA</t>
  </si>
  <si>
    <t>KZKVEALTQ</t>
  </si>
  <si>
    <t>GMDMME15D70A785W</t>
  </si>
  <si>
    <t>POSTINGHEL MIRANDA</t>
  </si>
  <si>
    <t>ZLEIRIZFM</t>
  </si>
  <si>
    <t>PSTMND64D43L378V</t>
  </si>
  <si>
    <t>SERRA ELISA</t>
  </si>
  <si>
    <t>BZTUKLBRC</t>
  </si>
  <si>
    <t>SRRLSE79B50A944A</t>
  </si>
  <si>
    <t>AR001490 AR001490</t>
  </si>
  <si>
    <t>BONZI CARLOTTA</t>
  </si>
  <si>
    <t>JJZOKDSSY</t>
  </si>
  <si>
    <t>BNZCLT21R47A944A</t>
  </si>
  <si>
    <t>RICCI CATERINA-C</t>
  </si>
  <si>
    <t>QWQKKTOTI</t>
  </si>
  <si>
    <t>RCCCRN82S55Z103R</t>
  </si>
  <si>
    <t>COSSIGNANI OFELIA</t>
  </si>
  <si>
    <t>ZNDFBWTWL</t>
  </si>
  <si>
    <t>CSSFLO88A53H769T</t>
  </si>
  <si>
    <t>PAREDES ORTEGA BRYAN</t>
  </si>
  <si>
    <t>QTFKWSEZD</t>
  </si>
  <si>
    <t>PRDBYN04L11Z605Y</t>
  </si>
  <si>
    <t>MAHDJURI SABET LUDOVICA</t>
  </si>
  <si>
    <t>TRHBKYKQC</t>
  </si>
  <si>
    <t>MHDLVC05D60A794G</t>
  </si>
  <si>
    <t>BIOLO GABRIELE</t>
  </si>
  <si>
    <t>HMOLTSNSS</t>
  </si>
  <si>
    <t>BLIGRL03A04A459A</t>
  </si>
  <si>
    <t>BALDI MASSIMO</t>
  </si>
  <si>
    <t>YEYRZCFBQ</t>
  </si>
  <si>
    <t>BLDMSM57D09H501S</t>
  </si>
  <si>
    <t>ZUCCHERI LORENZA</t>
  </si>
  <si>
    <t>HVFVEKCVI</t>
  </si>
  <si>
    <t>ZCCLNZ92B63L424X</t>
  </si>
  <si>
    <t>DELL'AVANZO PATRIZIA</t>
  </si>
  <si>
    <t>DLLPRZ60E47I829J</t>
  </si>
  <si>
    <t>BOGGIO MONICA EDITH</t>
  </si>
  <si>
    <t>GBNPKIKMK</t>
  </si>
  <si>
    <t>BGGMCD66H67Z611N</t>
  </si>
  <si>
    <t>MANZI CIRO</t>
  </si>
  <si>
    <t>JOSAIGFCT</t>
  </si>
  <si>
    <t>MNZCRI15L19E396I</t>
  </si>
  <si>
    <t>GAUDIO EUGENIA</t>
  </si>
  <si>
    <t>ZRHPISIYP</t>
  </si>
  <si>
    <t>GDAGNE80C71C349K</t>
  </si>
  <si>
    <t>GAMBIRASI MICOL</t>
  </si>
  <si>
    <t>NVAUPSPCV</t>
  </si>
  <si>
    <t>GMBMCL93R61C743T</t>
  </si>
  <si>
    <t>BROCCARDO ELSA</t>
  </si>
  <si>
    <t>KZBSPEIDB</t>
  </si>
  <si>
    <t>BRCLSE65P53I531E</t>
  </si>
  <si>
    <t>DI BATTISTA ANTONELLA</t>
  </si>
  <si>
    <t>GZBBOMMZE</t>
  </si>
  <si>
    <t>DBTNNL75D63E783O</t>
  </si>
  <si>
    <t>PIZZOLATO GIADA</t>
  </si>
  <si>
    <t>OKOCJLPVM</t>
  </si>
  <si>
    <t>PZZGDI90C70E443B</t>
  </si>
  <si>
    <t>BORIN CRISTINA</t>
  </si>
  <si>
    <t>PBULSLKJQ</t>
  </si>
  <si>
    <t>BRNCST78A70B201G</t>
  </si>
  <si>
    <t>PALMIERI ELISABETTA MARIA</t>
  </si>
  <si>
    <t>QJLBINDJE</t>
  </si>
  <si>
    <t>PLMLBT91C71E958P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</si>
</sst>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color rgb="FF000000"/>
      <name val="Arial"/>
      <scheme val="minor"/>
    </font>
    <font>
      <sz val="10"/>
      <color rgb="FF000000"/>
      <name val="Arial"/>
      <family val="2"/>
      <scheme val="minor"/>
    </font>
    <font>
      <b/>
      <sz val="17"/>
      <color rgb="FF000000"/>
      <name val="Calibri"/>
      <family val="2"/>
    </font>
    <font>
      <sz val="10"/>
      <name val="Arial"/>
      <family val="2"/>
    </font>
    <font>
      <sz val="8"/>
      <color rgb="FF000000"/>
      <name val="Calibri"/>
      <family val="2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b/>
      <sz val="11"/>
      <color theme="1"/>
      <name val="Arial"/>
      <family val="2"/>
      <scheme val="minor"/>
    </font>
    <font>
      <b/>
      <sz val="12"/>
      <color theme="1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thin">
        <color rgb="FF9A9A9A"/>
      </left>
      <right style="thin">
        <color rgb="FF9A9A9A"/>
      </right>
      <top style="thin">
        <color rgb="FF9A9A9A"/>
      </top>
      <bottom style="thin">
        <color rgb="FF9A9A9A"/>
      </bottom>
      <diagonal/>
    </border>
    <border>
      <left style="thin">
        <color rgb="FF9A9A9A"/>
      </left>
      <right style="thin">
        <color rgb="FF9A9A9A"/>
      </right>
      <top style="thin">
        <color rgb="FF9A9A9A"/>
      </top>
      <bottom style="medium">
        <color rgb="FF000000"/>
      </bottom>
      <diagonal/>
    </border>
    <border>
      <left style="thin">
        <color rgb="FF9A9A9A"/>
      </left>
      <right style="thin">
        <color rgb="FF9A9A9A"/>
      </right>
      <top style="thin">
        <color rgb="FF000000"/>
      </top>
      <bottom style="thin">
        <color rgb="FF9A9A9A"/>
      </bottom>
      <diagonal/>
    </border>
    <border>
      <left style="thin">
        <color rgb="FF9A9A9A"/>
      </left>
      <right style="medium">
        <color rgb="FF000000"/>
      </right>
      <top style="thin">
        <color rgb="FF9A9A9A"/>
      </top>
      <bottom style="thin">
        <color rgb="FF9A9A9A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9A9A9A"/>
      </left>
      <right style="medium">
        <color rgb="FF000000"/>
      </right>
      <top style="thin">
        <color rgb="FF9A9A9A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9A9A9A"/>
      </top>
      <bottom style="thin">
        <color rgb="FF9A9A9A"/>
      </bottom>
      <diagonal/>
    </border>
    <border>
      <left style="medium">
        <color rgb="FF000000"/>
      </left>
      <right/>
      <top style="thin">
        <color rgb="FF9A9A9A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43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8" xfId="0" applyFont="1" applyBorder="1"/>
    <xf numFmtId="0" fontId="5" fillId="0" borderId="12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3" fillId="0" borderId="9" xfId="0" applyFont="1" applyBorder="1"/>
    <xf numFmtId="0" fontId="2" fillId="2" borderId="5" xfId="0" applyFont="1" applyFill="1" applyBorder="1"/>
    <xf numFmtId="0" fontId="1" fillId="0" borderId="16" xfId="0" applyFont="1" applyBorder="1"/>
    <xf numFmtId="0" fontId="4" fillId="0" borderId="17" xfId="0" applyFont="1" applyBorder="1"/>
    <xf numFmtId="0" fontId="5" fillId="0" borderId="18" xfId="0" applyFont="1" applyBorder="1" applyAlignment="1">
      <alignment horizontal="center"/>
    </xf>
    <xf numFmtId="0" fontId="1" fillId="0" borderId="0" xfId="0" applyFont="1"/>
    <xf numFmtId="0" fontId="1" fillId="0" borderId="19" xfId="0" applyFont="1" applyBorder="1"/>
    <xf numFmtId="0" fontId="5" fillId="0" borderId="12" xfId="1" applyFont="1" applyBorder="1" applyAlignment="1">
      <alignment horizontal="center"/>
    </xf>
    <xf numFmtId="0" fontId="5" fillId="0" borderId="13" xfId="1" applyFont="1" applyBorder="1" applyAlignment="1">
      <alignment horizontal="center"/>
    </xf>
    <xf numFmtId="0" fontId="4" fillId="0" borderId="14" xfId="1" applyFont="1" applyBorder="1" applyAlignment="1">
      <alignment horizontal="center"/>
    </xf>
    <xf numFmtId="0" fontId="4" fillId="0" borderId="12" xfId="1" applyFont="1" applyBorder="1" applyAlignment="1">
      <alignment horizontal="center"/>
    </xf>
    <xf numFmtId="0" fontId="5" fillId="3" borderId="12" xfId="1" applyFont="1" applyFill="1" applyBorder="1" applyAlignment="1">
      <alignment horizontal="center"/>
    </xf>
    <xf numFmtId="0" fontId="7" fillId="0" borderId="20" xfId="0" applyFont="1" applyBorder="1" applyAlignment="1">
      <alignment horizontal="righ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center"/>
    </xf>
    <xf numFmtId="0" fontId="0" fillId="0" borderId="23" xfId="0" quotePrefix="1" applyBorder="1" applyAlignment="1">
      <alignment horizontal="center"/>
    </xf>
    <xf numFmtId="14" fontId="0" fillId="0" borderId="23" xfId="0" quotePrefix="1" applyNumberFormat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6" fillId="0" borderId="24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7" fillId="0" borderId="20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7" fillId="0" borderId="23" xfId="0" applyFont="1" applyBorder="1"/>
    <xf numFmtId="0" fontId="8" fillId="0" borderId="23" xfId="0" applyFont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3" fillId="0" borderId="6" xfId="0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</cellXfs>
  <cellStyles count="2">
    <cellStyle name="Normale" xfId="0" builtinId="0"/>
    <cellStyle name="Normale 2" xfId="1" xr:uid="{6FC66D57-AD32-4B3F-84BC-F741DF50992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175260</xdr:colOff>
          <xdr:row>1</xdr:row>
          <xdr:rowOff>38100</xdr:rowOff>
        </xdr:from>
        <xdr:to>
          <xdr:col>6</xdr:col>
          <xdr:colOff>1501140</xdr:colOff>
          <xdr:row>2</xdr:row>
          <xdr:rowOff>129540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 Matrice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x18tc:personList xmlns:x18tc="http://schemas.microsoft.com/office/spreadsheetml/2018/threadedcomments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A976B-EA10-480F-90E4-789EB89FC79C}">
  <sheetPr codeName="Foglio2"/>
  <dimension ref="A1:F241"/>
  <sheetViews>
    <sheetView workbookViewId="0">
      <selection activeCell="H2" sqref="H2"/>
    </sheetView>
  </sheetViews>
  <sheetFormatPr defaultRowHeight="13.2" x14ac:dyDescent="0.25"/>
  <cols>
    <col min="1" max="1" width="3.44140625" bestFit="1" customWidth="1"/>
    <col min="2" max="2" width="26.6640625" bestFit="1" customWidth="1"/>
    <col min="4" max="4" width="11.5546875" bestFit="1" customWidth="1"/>
    <col min="5" max="5" width="19.33203125" bestFit="1" customWidth="1"/>
    <col min="6" max="6" width="25.88671875" style="32" bestFit="1" customWidth="1"/>
    <col min="23" max="23" width="25.88671875" bestFit="1" customWidth="1"/>
  </cols>
  <sheetData>
    <row r="1" spans="1:6" ht="15.6" x14ac:dyDescent="0.3">
      <c r="A1" s="33" t="s">
        <v>126</v>
      </c>
      <c r="B1" s="36" t="s">
        <v>127</v>
      </c>
      <c r="C1" s="36"/>
      <c r="D1" s="34" t="s">
        <v>13</v>
      </c>
      <c r="E1" s="35" t="s">
        <v>128</v>
      </c>
      <c r="F1" s="30" t="s">
        <v>125</v>
      </c>
    </row>
    <row r="2" spans="1:6" ht="13.8" x14ac:dyDescent="0.25">
      <c r="A2" s="24">
        <v>1</v>
      </c>
      <c r="B2" s="25" t="s">
        <v>22</v>
      </c>
      <c r="C2" s="26"/>
      <c r="D2" s="27">
        <v>1901</v>
      </c>
      <c r="E2" s="28" t="s">
        <v>23</v>
      </c>
      <c r="F2" s="31" t="s">
        <v>24</v>
      </c>
    </row>
    <row r="3" spans="1:6" ht="13.8" x14ac:dyDescent="0.25">
      <c r="A3" s="24">
        <f>+A2+1</f>
        <v>2</v>
      </c>
      <c r="B3" s="25" t="s">
        <v>25</v>
      </c>
      <c r="C3" s="26"/>
      <c r="D3" s="27">
        <v>1902</v>
      </c>
      <c r="E3" s="28" t="s">
        <v>23</v>
      </c>
      <c r="F3" s="31" t="s">
        <v>26</v>
      </c>
    </row>
    <row r="4" spans="1:6" ht="13.8" x14ac:dyDescent="0.25">
      <c r="A4" s="24">
        <f t="shared" ref="A4:A51" si="0">+A3+1</f>
        <v>3</v>
      </c>
      <c r="B4" s="25" t="s">
        <v>27</v>
      </c>
      <c r="C4" s="26"/>
      <c r="D4" s="27">
        <v>1903</v>
      </c>
      <c r="E4" s="28" t="s">
        <v>23</v>
      </c>
      <c r="F4" s="31" t="s">
        <v>28</v>
      </c>
    </row>
    <row r="5" spans="1:6" ht="13.8" x14ac:dyDescent="0.25">
      <c r="A5" s="24">
        <f t="shared" si="0"/>
        <v>4</v>
      </c>
      <c r="B5" s="25" t="s">
        <v>29</v>
      </c>
      <c r="C5" s="26"/>
      <c r="D5" s="27">
        <v>1905</v>
      </c>
      <c r="E5" s="28" t="s">
        <v>23</v>
      </c>
      <c r="F5" s="31" t="s">
        <v>30</v>
      </c>
    </row>
    <row r="6" spans="1:6" ht="13.8" x14ac:dyDescent="0.25">
      <c r="A6" s="24">
        <f t="shared" si="0"/>
        <v>5</v>
      </c>
      <c r="B6" s="25" t="s">
        <v>31</v>
      </c>
      <c r="C6" s="26"/>
      <c r="D6" s="27">
        <v>1919</v>
      </c>
      <c r="E6" s="28" t="s">
        <v>23</v>
      </c>
      <c r="F6" s="31" t="s">
        <v>32</v>
      </c>
    </row>
    <row r="7" spans="1:6" ht="13.8" x14ac:dyDescent="0.25">
      <c r="A7" s="24">
        <f t="shared" si="0"/>
        <v>6</v>
      </c>
      <c r="B7" s="25" t="s">
        <v>33</v>
      </c>
      <c r="C7" s="26"/>
      <c r="D7" s="27">
        <v>1920</v>
      </c>
      <c r="E7" s="28" t="s">
        <v>23</v>
      </c>
      <c r="F7" s="31" t="s">
        <v>34</v>
      </c>
    </row>
    <row r="8" spans="1:6" ht="13.8" x14ac:dyDescent="0.25">
      <c r="A8" s="24">
        <f t="shared" si="0"/>
        <v>7</v>
      </c>
      <c r="B8" s="25" t="s">
        <v>35</v>
      </c>
      <c r="C8" s="26"/>
      <c r="D8" s="27">
        <v>1923</v>
      </c>
      <c r="E8" s="28" t="s">
        <v>23</v>
      </c>
      <c r="F8" s="31" t="s">
        <v>36</v>
      </c>
    </row>
    <row r="9" spans="1:6" ht="13.8" x14ac:dyDescent="0.25">
      <c r="A9" s="24">
        <f t="shared" si="0"/>
        <v>8</v>
      </c>
      <c r="B9" s="25" t="s">
        <v>37</v>
      </c>
      <c r="C9" s="26"/>
      <c r="D9" s="27">
        <v>1924</v>
      </c>
      <c r="E9" s="28" t="s">
        <v>23</v>
      </c>
      <c r="F9" s="31" t="s">
        <v>38</v>
      </c>
    </row>
    <row r="10" spans="1:6" ht="13.8" x14ac:dyDescent="0.25">
      <c r="A10" s="24">
        <f t="shared" si="0"/>
        <v>9</v>
      </c>
      <c r="B10" s="25" t="s">
        <v>39</v>
      </c>
      <c r="C10" s="26"/>
      <c r="D10" s="27">
        <v>1944</v>
      </c>
      <c r="E10" s="28" t="s">
        <v>40</v>
      </c>
      <c r="F10" s="31" t="s">
        <v>41</v>
      </c>
    </row>
    <row r="11" spans="1:6" ht="13.8" x14ac:dyDescent="0.25">
      <c r="A11" s="24">
        <f t="shared" si="0"/>
        <v>10</v>
      </c>
      <c r="B11" s="25" t="s">
        <v>42</v>
      </c>
      <c r="C11" s="26"/>
      <c r="D11" s="27">
        <v>1947</v>
      </c>
      <c r="E11" s="28" t="s">
        <v>40</v>
      </c>
      <c r="F11" s="31" t="s">
        <v>43</v>
      </c>
    </row>
    <row r="12" spans="1:6" ht="13.8" x14ac:dyDescent="0.25">
      <c r="A12" s="24">
        <f t="shared" si="0"/>
        <v>11</v>
      </c>
      <c r="B12" s="25" t="s">
        <v>44</v>
      </c>
      <c r="C12" s="26"/>
      <c r="D12" s="27">
        <v>1948</v>
      </c>
      <c r="E12" s="28" t="s">
        <v>40</v>
      </c>
      <c r="F12" s="31" t="s">
        <v>45</v>
      </c>
    </row>
    <row r="13" spans="1:6" ht="13.8" x14ac:dyDescent="0.25">
      <c r="A13" s="24">
        <f t="shared" si="0"/>
        <v>12</v>
      </c>
      <c r="B13" s="25" t="s">
        <v>46</v>
      </c>
      <c r="C13" s="26"/>
      <c r="D13" s="27">
        <v>1952</v>
      </c>
      <c r="E13" s="28" t="s">
        <v>40</v>
      </c>
      <c r="F13" s="31" t="s">
        <v>47</v>
      </c>
    </row>
    <row r="14" spans="1:6" ht="13.8" x14ac:dyDescent="0.25">
      <c r="A14" s="24">
        <f t="shared" si="0"/>
        <v>13</v>
      </c>
      <c r="B14" s="25" t="s">
        <v>48</v>
      </c>
      <c r="C14" s="26"/>
      <c r="D14" s="27">
        <v>1953</v>
      </c>
      <c r="E14" s="28" t="s">
        <v>40</v>
      </c>
      <c r="F14" s="31" t="s">
        <v>49</v>
      </c>
    </row>
    <row r="15" spans="1:6" ht="13.8" x14ac:dyDescent="0.25">
      <c r="A15" s="24">
        <f t="shared" si="0"/>
        <v>14</v>
      </c>
      <c r="B15" s="25" t="s">
        <v>50</v>
      </c>
      <c r="C15" s="26"/>
      <c r="D15" s="27">
        <v>1956</v>
      </c>
      <c r="E15" s="28" t="s">
        <v>40</v>
      </c>
      <c r="F15" s="31" t="s">
        <v>51</v>
      </c>
    </row>
    <row r="16" spans="1:6" ht="13.8" x14ac:dyDescent="0.25">
      <c r="A16" s="24">
        <f t="shared" si="0"/>
        <v>15</v>
      </c>
      <c r="B16" s="25" t="s">
        <v>52</v>
      </c>
      <c r="C16" s="26"/>
      <c r="D16" s="27">
        <v>1981</v>
      </c>
      <c r="E16" s="28" t="s">
        <v>53</v>
      </c>
      <c r="F16" s="31" t="s">
        <v>54</v>
      </c>
    </row>
    <row r="17" spans="1:6" ht="13.8" x14ac:dyDescent="0.25">
      <c r="A17" s="24">
        <f t="shared" si="0"/>
        <v>16</v>
      </c>
      <c r="B17" s="25" t="s">
        <v>55</v>
      </c>
      <c r="C17" s="26"/>
      <c r="D17" s="27">
        <v>1983</v>
      </c>
      <c r="E17" s="28" t="s">
        <v>53</v>
      </c>
      <c r="F17" s="31" t="s">
        <v>56</v>
      </c>
    </row>
    <row r="18" spans="1:6" ht="13.8" x14ac:dyDescent="0.25">
      <c r="A18" s="24">
        <f t="shared" si="0"/>
        <v>17</v>
      </c>
      <c r="B18" s="25" t="s">
        <v>57</v>
      </c>
      <c r="C18" s="26"/>
      <c r="D18" s="27">
        <v>1986</v>
      </c>
      <c r="E18" s="28" t="s">
        <v>53</v>
      </c>
      <c r="F18" s="31" t="s">
        <v>58</v>
      </c>
    </row>
    <row r="19" spans="1:6" ht="13.8" x14ac:dyDescent="0.25">
      <c r="A19" s="24">
        <f t="shared" si="0"/>
        <v>18</v>
      </c>
      <c r="B19" s="25" t="s">
        <v>59</v>
      </c>
      <c r="C19" s="26"/>
      <c r="D19" s="27">
        <v>1991</v>
      </c>
      <c r="E19" s="28" t="s">
        <v>53</v>
      </c>
      <c r="F19" s="31" t="s">
        <v>60</v>
      </c>
    </row>
    <row r="20" spans="1:6" ht="13.8" x14ac:dyDescent="0.25">
      <c r="A20" s="24">
        <f t="shared" si="0"/>
        <v>19</v>
      </c>
      <c r="B20" s="25" t="s">
        <v>61</v>
      </c>
      <c r="C20" s="26"/>
      <c r="D20" s="27">
        <v>1995</v>
      </c>
      <c r="E20" s="28" t="s">
        <v>53</v>
      </c>
      <c r="F20" s="31" t="s">
        <v>62</v>
      </c>
    </row>
    <row r="21" spans="1:6" ht="13.8" x14ac:dyDescent="0.25">
      <c r="A21" s="24">
        <f t="shared" si="0"/>
        <v>20</v>
      </c>
      <c r="B21" s="25" t="s">
        <v>63</v>
      </c>
      <c r="C21" s="26"/>
      <c r="D21" s="27">
        <v>2000</v>
      </c>
      <c r="E21" s="28" t="s">
        <v>53</v>
      </c>
      <c r="F21" s="31" t="s">
        <v>41</v>
      </c>
    </row>
    <row r="22" spans="1:6" ht="13.8" x14ac:dyDescent="0.25">
      <c r="A22" s="24">
        <f t="shared" si="0"/>
        <v>21</v>
      </c>
      <c r="B22" s="25" t="s">
        <v>64</v>
      </c>
      <c r="C22" s="26"/>
      <c r="D22" s="27">
        <v>2009</v>
      </c>
      <c r="E22" s="28" t="s">
        <v>53</v>
      </c>
      <c r="F22" s="31" t="s">
        <v>65</v>
      </c>
    </row>
    <row r="23" spans="1:6" ht="13.8" x14ac:dyDescent="0.25">
      <c r="A23" s="24">
        <f t="shared" si="0"/>
        <v>22</v>
      </c>
      <c r="B23" s="25" t="s">
        <v>66</v>
      </c>
      <c r="C23" s="26"/>
      <c r="D23" s="27">
        <v>2012</v>
      </c>
      <c r="E23" s="28" t="s">
        <v>53</v>
      </c>
      <c r="F23" s="31" t="s">
        <v>67</v>
      </c>
    </row>
    <row r="24" spans="1:6" ht="13.8" x14ac:dyDescent="0.25">
      <c r="A24" s="24">
        <f t="shared" si="0"/>
        <v>23</v>
      </c>
      <c r="B24" s="25" t="s">
        <v>68</v>
      </c>
      <c r="C24" s="26"/>
      <c r="D24" s="27">
        <v>2017</v>
      </c>
      <c r="E24" s="28" t="s">
        <v>53</v>
      </c>
      <c r="F24" s="31" t="s">
        <v>69</v>
      </c>
    </row>
    <row r="25" spans="1:6" ht="13.8" x14ac:dyDescent="0.25">
      <c r="A25" s="24">
        <f t="shared" si="0"/>
        <v>24</v>
      </c>
      <c r="B25" s="25" t="s">
        <v>70</v>
      </c>
      <c r="C25" s="26"/>
      <c r="D25" s="27">
        <v>2020</v>
      </c>
      <c r="E25" s="28" t="s">
        <v>71</v>
      </c>
      <c r="F25" s="31" t="s">
        <v>41</v>
      </c>
    </row>
    <row r="26" spans="1:6" ht="13.8" x14ac:dyDescent="0.25">
      <c r="A26" s="24">
        <f t="shared" si="0"/>
        <v>25</v>
      </c>
      <c r="B26" s="25" t="s">
        <v>72</v>
      </c>
      <c r="C26" s="26"/>
      <c r="D26" s="27">
        <v>2026</v>
      </c>
      <c r="E26" s="28" t="s">
        <v>71</v>
      </c>
      <c r="F26" s="31" t="s">
        <v>41</v>
      </c>
    </row>
    <row r="27" spans="1:6" ht="13.8" x14ac:dyDescent="0.25">
      <c r="A27" s="24">
        <f t="shared" si="0"/>
        <v>26</v>
      </c>
      <c r="B27" s="25" t="s">
        <v>73</v>
      </c>
      <c r="C27" s="26"/>
      <c r="D27" s="27">
        <v>2033</v>
      </c>
      <c r="E27" s="28" t="s">
        <v>74</v>
      </c>
      <c r="F27" s="31" t="s">
        <v>75</v>
      </c>
    </row>
    <row r="28" spans="1:6" ht="13.8" x14ac:dyDescent="0.25">
      <c r="A28" s="24">
        <f t="shared" si="0"/>
        <v>27</v>
      </c>
      <c r="B28" s="25" t="s">
        <v>76</v>
      </c>
      <c r="C28" s="26"/>
      <c r="D28" s="27">
        <v>2046</v>
      </c>
      <c r="E28" s="28" t="s">
        <v>77</v>
      </c>
      <c r="F28" s="31" t="s">
        <v>41</v>
      </c>
    </row>
    <row r="29" spans="1:6" ht="13.8" x14ac:dyDescent="0.25">
      <c r="A29" s="24">
        <f t="shared" si="0"/>
        <v>28</v>
      </c>
      <c r="B29" s="25" t="s">
        <v>78</v>
      </c>
      <c r="C29" s="26"/>
      <c r="D29" s="27">
        <v>2056</v>
      </c>
      <c r="E29" s="28" t="s">
        <v>77</v>
      </c>
      <c r="F29" s="31" t="s">
        <v>79</v>
      </c>
    </row>
    <row r="30" spans="1:6" ht="13.8" x14ac:dyDescent="0.25">
      <c r="A30" s="24">
        <f t="shared" si="0"/>
        <v>29</v>
      </c>
      <c r="B30" s="25" t="s">
        <v>80</v>
      </c>
      <c r="C30" s="26"/>
      <c r="D30" s="27">
        <v>2068</v>
      </c>
      <c r="E30" s="28" t="s">
        <v>81</v>
      </c>
      <c r="F30" s="31" t="s">
        <v>82</v>
      </c>
    </row>
    <row r="31" spans="1:6" ht="13.8" x14ac:dyDescent="0.25">
      <c r="A31" s="24">
        <f t="shared" si="0"/>
        <v>30</v>
      </c>
      <c r="B31" s="25" t="s">
        <v>83</v>
      </c>
      <c r="C31" s="26"/>
      <c r="D31" s="27">
        <v>2071</v>
      </c>
      <c r="E31" s="28" t="s">
        <v>81</v>
      </c>
      <c r="F31" s="31" t="s">
        <v>84</v>
      </c>
    </row>
    <row r="32" spans="1:6" ht="13.8" x14ac:dyDescent="0.25">
      <c r="A32" s="24">
        <f t="shared" si="0"/>
        <v>31</v>
      </c>
      <c r="B32" s="25" t="s">
        <v>85</v>
      </c>
      <c r="C32" s="26"/>
      <c r="D32" s="27">
        <v>2079</v>
      </c>
      <c r="E32" s="28" t="s">
        <v>81</v>
      </c>
      <c r="F32" s="31" t="s">
        <v>86</v>
      </c>
    </row>
    <row r="33" spans="1:6" ht="13.8" x14ac:dyDescent="0.25">
      <c r="A33" s="24">
        <f t="shared" si="0"/>
        <v>32</v>
      </c>
      <c r="B33" s="25" t="s">
        <v>87</v>
      </c>
      <c r="C33" s="26"/>
      <c r="D33" s="27">
        <v>2082</v>
      </c>
      <c r="E33" s="28" t="s">
        <v>81</v>
      </c>
      <c r="F33" s="31" t="s">
        <v>88</v>
      </c>
    </row>
    <row r="34" spans="1:6" ht="13.8" x14ac:dyDescent="0.25">
      <c r="A34" s="24">
        <f t="shared" si="0"/>
        <v>33</v>
      </c>
      <c r="B34" s="25" t="s">
        <v>89</v>
      </c>
      <c r="C34" s="26"/>
      <c r="D34" s="27">
        <v>2084</v>
      </c>
      <c r="E34" s="28" t="s">
        <v>81</v>
      </c>
      <c r="F34" s="31" t="s">
        <v>90</v>
      </c>
    </row>
    <row r="35" spans="1:6" ht="13.8" x14ac:dyDescent="0.25">
      <c r="A35" s="24">
        <f t="shared" si="0"/>
        <v>34</v>
      </c>
      <c r="B35" s="25" t="s">
        <v>91</v>
      </c>
      <c r="C35" s="26"/>
      <c r="D35" s="27">
        <v>2085</v>
      </c>
      <c r="E35" s="28" t="s">
        <v>81</v>
      </c>
      <c r="F35" s="31" t="s">
        <v>92</v>
      </c>
    </row>
    <row r="36" spans="1:6" ht="13.8" x14ac:dyDescent="0.25">
      <c r="A36" s="24">
        <f t="shared" si="0"/>
        <v>35</v>
      </c>
      <c r="B36" s="25" t="s">
        <v>93</v>
      </c>
      <c r="C36" s="26"/>
      <c r="D36" s="27">
        <v>2087</v>
      </c>
      <c r="E36" s="28" t="s">
        <v>81</v>
      </c>
      <c r="F36" s="31" t="s">
        <v>94</v>
      </c>
    </row>
    <row r="37" spans="1:6" ht="13.8" x14ac:dyDescent="0.25">
      <c r="A37" s="24">
        <f t="shared" si="0"/>
        <v>36</v>
      </c>
      <c r="B37" s="25" t="s">
        <v>95</v>
      </c>
      <c r="C37" s="26"/>
      <c r="D37" s="27">
        <v>2088</v>
      </c>
      <c r="E37" s="28" t="s">
        <v>81</v>
      </c>
      <c r="F37" s="31" t="s">
        <v>96</v>
      </c>
    </row>
    <row r="38" spans="1:6" ht="13.8" x14ac:dyDescent="0.25">
      <c r="A38" s="24">
        <f t="shared" si="0"/>
        <v>37</v>
      </c>
      <c r="B38" s="25" t="s">
        <v>97</v>
      </c>
      <c r="C38" s="26"/>
      <c r="D38" s="27">
        <v>2095</v>
      </c>
      <c r="E38" s="28" t="s">
        <v>81</v>
      </c>
      <c r="F38" s="31" t="s">
        <v>98</v>
      </c>
    </row>
    <row r="39" spans="1:6" ht="13.8" x14ac:dyDescent="0.25">
      <c r="A39" s="24">
        <f t="shared" si="0"/>
        <v>38</v>
      </c>
      <c r="B39" s="25" t="s">
        <v>99</v>
      </c>
      <c r="C39" s="26"/>
      <c r="D39" s="27">
        <v>2097</v>
      </c>
      <c r="E39" s="28" t="s">
        <v>81</v>
      </c>
      <c r="F39" s="31" t="s">
        <v>100</v>
      </c>
    </row>
    <row r="40" spans="1:6" ht="13.8" x14ac:dyDescent="0.25">
      <c r="A40" s="24">
        <f t="shared" si="0"/>
        <v>39</v>
      </c>
      <c r="B40" s="25" t="s">
        <v>101</v>
      </c>
      <c r="C40" s="26"/>
      <c r="D40" s="27">
        <v>2098</v>
      </c>
      <c r="E40" s="28" t="s">
        <v>81</v>
      </c>
      <c r="F40" s="31" t="s">
        <v>102</v>
      </c>
    </row>
    <row r="41" spans="1:6" ht="13.8" x14ac:dyDescent="0.25">
      <c r="A41" s="24">
        <f t="shared" si="0"/>
        <v>40</v>
      </c>
      <c r="B41" s="25" t="s">
        <v>103</v>
      </c>
      <c r="C41" s="26"/>
      <c r="D41" s="27">
        <v>2100</v>
      </c>
      <c r="E41" s="28" t="s">
        <v>81</v>
      </c>
      <c r="F41" s="31" t="s">
        <v>104</v>
      </c>
    </row>
    <row r="42" spans="1:6" ht="13.8" x14ac:dyDescent="0.25">
      <c r="A42" s="24">
        <f t="shared" si="0"/>
        <v>41</v>
      </c>
      <c r="B42" s="25" t="s">
        <v>105</v>
      </c>
      <c r="C42" s="26"/>
      <c r="D42" s="27">
        <v>2101</v>
      </c>
      <c r="E42" s="28" t="s">
        <v>81</v>
      </c>
      <c r="F42" s="31" t="s">
        <v>106</v>
      </c>
    </row>
    <row r="43" spans="1:6" ht="13.8" x14ac:dyDescent="0.25">
      <c r="A43" s="24">
        <f t="shared" si="0"/>
        <v>42</v>
      </c>
      <c r="B43" s="25" t="s">
        <v>107</v>
      </c>
      <c r="C43" s="26"/>
      <c r="D43" s="27">
        <v>2108</v>
      </c>
      <c r="E43" s="28" t="s">
        <v>81</v>
      </c>
      <c r="F43" s="31" t="s">
        <v>108</v>
      </c>
    </row>
    <row r="44" spans="1:6" ht="13.8" x14ac:dyDescent="0.25">
      <c r="A44" s="24">
        <f t="shared" si="0"/>
        <v>43</v>
      </c>
      <c r="B44" s="25" t="s">
        <v>109</v>
      </c>
      <c r="C44" s="26"/>
      <c r="D44" s="27">
        <v>2114</v>
      </c>
      <c r="E44" s="28" t="s">
        <v>81</v>
      </c>
      <c r="F44" s="31" t="s">
        <v>110</v>
      </c>
    </row>
    <row r="45" spans="1:6" ht="13.8" x14ac:dyDescent="0.25">
      <c r="A45" s="24">
        <f t="shared" si="0"/>
        <v>44</v>
      </c>
      <c r="B45" s="25" t="s">
        <v>111</v>
      </c>
      <c r="C45" s="26"/>
      <c r="D45" s="27">
        <v>2127</v>
      </c>
      <c r="E45" s="28" t="s">
        <v>112</v>
      </c>
      <c r="F45" s="31" t="s">
        <v>41</v>
      </c>
    </row>
    <row r="46" spans="1:6" ht="13.8" x14ac:dyDescent="0.25">
      <c r="A46" s="24">
        <f t="shared" si="0"/>
        <v>45</v>
      </c>
      <c r="B46" s="25" t="s">
        <v>113</v>
      </c>
      <c r="C46" s="26"/>
      <c r="D46" s="27">
        <v>2129</v>
      </c>
      <c r="E46" s="28" t="s">
        <v>112</v>
      </c>
      <c r="F46" s="31" t="s">
        <v>114</v>
      </c>
    </row>
    <row r="47" spans="1:6" ht="13.8" x14ac:dyDescent="0.25">
      <c r="A47" s="24">
        <f t="shared" si="0"/>
        <v>46</v>
      </c>
      <c r="B47" s="25" t="s">
        <v>115</v>
      </c>
      <c r="C47" s="26"/>
      <c r="D47" s="27">
        <v>2133</v>
      </c>
      <c r="E47" s="28" t="s">
        <v>112</v>
      </c>
      <c r="F47" s="31" t="s">
        <v>116</v>
      </c>
    </row>
    <row r="48" spans="1:6" ht="13.8" x14ac:dyDescent="0.25">
      <c r="A48" s="24">
        <f t="shared" si="0"/>
        <v>47</v>
      </c>
      <c r="B48" s="25" t="s">
        <v>117</v>
      </c>
      <c r="C48" s="26"/>
      <c r="D48" s="27">
        <v>2147</v>
      </c>
      <c r="E48" s="28" t="s">
        <v>112</v>
      </c>
      <c r="F48" s="31" t="s">
        <v>118</v>
      </c>
    </row>
    <row r="49" spans="1:6" ht="13.8" x14ac:dyDescent="0.25">
      <c r="A49" s="24">
        <f t="shared" si="0"/>
        <v>48</v>
      </c>
      <c r="B49" s="25" t="s">
        <v>119</v>
      </c>
      <c r="C49" s="26"/>
      <c r="D49" s="27">
        <v>2150</v>
      </c>
      <c r="E49" s="28" t="s">
        <v>112</v>
      </c>
      <c r="F49" s="31" t="s">
        <v>41</v>
      </c>
    </row>
    <row r="50" spans="1:6" ht="13.8" x14ac:dyDescent="0.25">
      <c r="A50" s="24">
        <f t="shared" si="0"/>
        <v>49</v>
      </c>
      <c r="B50" s="25" t="s">
        <v>120</v>
      </c>
      <c r="C50" s="26"/>
      <c r="D50" s="27">
        <v>2162</v>
      </c>
      <c r="E50" s="29" t="s">
        <v>121</v>
      </c>
      <c r="F50" s="31" t="s">
        <v>122</v>
      </c>
    </row>
    <row r="51" spans="1:6" ht="13.8" x14ac:dyDescent="0.25">
      <c r="A51" s="24">
        <f t="shared" si="0"/>
        <v>50</v>
      </c>
      <c r="B51" s="25" t="s">
        <v>123</v>
      </c>
      <c r="C51" s="26"/>
      <c r="D51" s="27">
        <v>2163</v>
      </c>
      <c r="E51" s="29" t="s">
        <v>121</v>
      </c>
      <c r="F51" s="31" t="s">
        <v>124</v>
      </c>
    </row>
    <row r="52" spans="1:6" x14ac:dyDescent="0.25">
      <c r="F52" s="27"/>
    </row>
    <row r="53" spans="1:6" x14ac:dyDescent="0.25">
      <c r="F53" s="27"/>
    </row>
    <row r="54" spans="1:6" x14ac:dyDescent="0.25">
      <c r="F54" s="27"/>
    </row>
    <row r="55" spans="1:6" x14ac:dyDescent="0.25">
      <c r="F55" s="27"/>
    </row>
    <row r="56" spans="1:6" x14ac:dyDescent="0.25">
      <c r="F56" s="27"/>
    </row>
    <row r="57" spans="1:6" x14ac:dyDescent="0.25">
      <c r="F57" s="27"/>
    </row>
    <row r="58" spans="1:6" x14ac:dyDescent="0.25">
      <c r="F58" s="27"/>
    </row>
    <row r="59" spans="1:6" x14ac:dyDescent="0.25">
      <c r="F59" s="27"/>
    </row>
    <row r="60" spans="1:6" x14ac:dyDescent="0.25">
      <c r="F60" s="27"/>
    </row>
    <row r="61" spans="1:6" x14ac:dyDescent="0.25">
      <c r="F61" s="27"/>
    </row>
    <row r="62" spans="1:6" x14ac:dyDescent="0.25">
      <c r="F62" s="27"/>
    </row>
    <row r="63" spans="1:6" x14ac:dyDescent="0.25">
      <c r="F63" s="27"/>
    </row>
    <row r="64" spans="1:6" x14ac:dyDescent="0.25">
      <c r="F64" s="27"/>
    </row>
    <row r="65" spans="6:6" x14ac:dyDescent="0.25">
      <c r="F65" s="27"/>
    </row>
    <row r="66" spans="6:6" x14ac:dyDescent="0.25">
      <c r="F66" s="27"/>
    </row>
    <row r="67" spans="6:6" x14ac:dyDescent="0.25">
      <c r="F67" s="27"/>
    </row>
    <row r="68" spans="6:6" x14ac:dyDescent="0.25">
      <c r="F68" s="27"/>
    </row>
    <row r="69" spans="6:6" x14ac:dyDescent="0.25">
      <c r="F69" s="27"/>
    </row>
    <row r="70" spans="6:6" x14ac:dyDescent="0.25">
      <c r="F70" s="27"/>
    </row>
    <row r="71" spans="6:6" x14ac:dyDescent="0.25">
      <c r="F71" s="27"/>
    </row>
    <row r="72" spans="6:6" x14ac:dyDescent="0.25">
      <c r="F72" s="27"/>
    </row>
    <row r="73" spans="6:6" x14ac:dyDescent="0.25">
      <c r="F73" s="27"/>
    </row>
    <row r="74" spans="6:6" x14ac:dyDescent="0.25">
      <c r="F74" s="27"/>
    </row>
    <row r="75" spans="6:6" x14ac:dyDescent="0.25">
      <c r="F75" s="27"/>
    </row>
    <row r="76" spans="6:6" x14ac:dyDescent="0.25">
      <c r="F76" s="27"/>
    </row>
    <row r="77" spans="6:6" x14ac:dyDescent="0.25">
      <c r="F77" s="27"/>
    </row>
    <row r="78" spans="6:6" x14ac:dyDescent="0.25">
      <c r="F78" s="27"/>
    </row>
    <row r="79" spans="6:6" x14ac:dyDescent="0.25">
      <c r="F79" s="27"/>
    </row>
    <row r="80" spans="6:6" x14ac:dyDescent="0.25">
      <c r="F80" s="27"/>
    </row>
    <row r="81" spans="6:6" x14ac:dyDescent="0.25">
      <c r="F81" s="27"/>
    </row>
    <row r="82" spans="6:6" x14ac:dyDescent="0.25">
      <c r="F82" s="27"/>
    </row>
    <row r="83" spans="6:6" x14ac:dyDescent="0.25">
      <c r="F83" s="27"/>
    </row>
    <row r="84" spans="6:6" x14ac:dyDescent="0.25">
      <c r="F84" s="27"/>
    </row>
    <row r="85" spans="6:6" x14ac:dyDescent="0.25">
      <c r="F85" s="27"/>
    </row>
    <row r="86" spans="6:6" x14ac:dyDescent="0.25">
      <c r="F86" s="27"/>
    </row>
    <row r="87" spans="6:6" x14ac:dyDescent="0.25">
      <c r="F87" s="27"/>
    </row>
    <row r="88" spans="6:6" x14ac:dyDescent="0.25">
      <c r="F88" s="27"/>
    </row>
    <row r="89" spans="6:6" x14ac:dyDescent="0.25">
      <c r="F89" s="27"/>
    </row>
    <row r="90" spans="6:6" x14ac:dyDescent="0.25">
      <c r="F90" s="27"/>
    </row>
    <row r="91" spans="6:6" x14ac:dyDescent="0.25">
      <c r="F91" s="27"/>
    </row>
    <row r="92" spans="6:6" x14ac:dyDescent="0.25">
      <c r="F92" s="27"/>
    </row>
    <row r="93" spans="6:6" x14ac:dyDescent="0.25">
      <c r="F93" s="27"/>
    </row>
    <row r="94" spans="6:6" x14ac:dyDescent="0.25">
      <c r="F94" s="27"/>
    </row>
    <row r="95" spans="6:6" x14ac:dyDescent="0.25">
      <c r="F95" s="27"/>
    </row>
    <row r="96" spans="6:6" x14ac:dyDescent="0.25">
      <c r="F96" s="27"/>
    </row>
    <row r="97" spans="6:6" x14ac:dyDescent="0.25">
      <c r="F97" s="27"/>
    </row>
    <row r="98" spans="6:6" x14ac:dyDescent="0.25">
      <c r="F98" s="27"/>
    </row>
    <row r="99" spans="6:6" x14ac:dyDescent="0.25">
      <c r="F99" s="27"/>
    </row>
    <row r="100" spans="6:6" x14ac:dyDescent="0.25">
      <c r="F100" s="27"/>
    </row>
    <row r="101" spans="6:6" x14ac:dyDescent="0.25">
      <c r="F101" s="27"/>
    </row>
    <row r="102" spans="6:6" x14ac:dyDescent="0.25">
      <c r="F102" s="27"/>
    </row>
    <row r="103" spans="6:6" x14ac:dyDescent="0.25">
      <c r="F103" s="27"/>
    </row>
    <row r="104" spans="6:6" x14ac:dyDescent="0.25">
      <c r="F104" s="27"/>
    </row>
    <row r="105" spans="6:6" x14ac:dyDescent="0.25">
      <c r="F105" s="27"/>
    </row>
    <row r="106" spans="6:6" x14ac:dyDescent="0.25">
      <c r="F106" s="27"/>
    </row>
    <row r="107" spans="6:6" x14ac:dyDescent="0.25">
      <c r="F107" s="27"/>
    </row>
    <row r="108" spans="6:6" x14ac:dyDescent="0.25">
      <c r="F108" s="27"/>
    </row>
    <row r="109" spans="6:6" x14ac:dyDescent="0.25">
      <c r="F109" s="27"/>
    </row>
    <row r="110" spans="6:6" x14ac:dyDescent="0.25">
      <c r="F110" s="27"/>
    </row>
    <row r="111" spans="6:6" x14ac:dyDescent="0.25">
      <c r="F111" s="27"/>
    </row>
    <row r="112" spans="6:6" x14ac:dyDescent="0.25">
      <c r="F112" s="27"/>
    </row>
    <row r="113" spans="6:6" x14ac:dyDescent="0.25">
      <c r="F113" s="27"/>
    </row>
    <row r="114" spans="6:6" x14ac:dyDescent="0.25">
      <c r="F114" s="27"/>
    </row>
    <row r="115" spans="6:6" x14ac:dyDescent="0.25">
      <c r="F115" s="27"/>
    </row>
    <row r="116" spans="6:6" x14ac:dyDescent="0.25">
      <c r="F116" s="27"/>
    </row>
    <row r="117" spans="6:6" x14ac:dyDescent="0.25">
      <c r="F117" s="27"/>
    </row>
    <row r="118" spans="6:6" x14ac:dyDescent="0.25">
      <c r="F118" s="27"/>
    </row>
    <row r="119" spans="6:6" x14ac:dyDescent="0.25">
      <c r="F119" s="27"/>
    </row>
    <row r="120" spans="6:6" x14ac:dyDescent="0.25">
      <c r="F120" s="27"/>
    </row>
    <row r="121" spans="6:6" x14ac:dyDescent="0.25">
      <c r="F121" s="27"/>
    </row>
    <row r="122" spans="6:6" x14ac:dyDescent="0.25">
      <c r="F122" s="27"/>
    </row>
    <row r="123" spans="6:6" x14ac:dyDescent="0.25">
      <c r="F123" s="27"/>
    </row>
    <row r="124" spans="6:6" x14ac:dyDescent="0.25">
      <c r="F124" s="27"/>
    </row>
    <row r="125" spans="6:6" x14ac:dyDescent="0.25">
      <c r="F125" s="27"/>
    </row>
    <row r="126" spans="6:6" x14ac:dyDescent="0.25">
      <c r="F126" s="27"/>
    </row>
    <row r="127" spans="6:6" x14ac:dyDescent="0.25">
      <c r="F127" s="27"/>
    </row>
    <row r="128" spans="6:6" x14ac:dyDescent="0.25">
      <c r="F128" s="27"/>
    </row>
    <row r="129" spans="6:6" x14ac:dyDescent="0.25">
      <c r="F129" s="27"/>
    </row>
    <row r="130" spans="6:6" x14ac:dyDescent="0.25">
      <c r="F130" s="27"/>
    </row>
    <row r="131" spans="6:6" x14ac:dyDescent="0.25">
      <c r="F131" s="27"/>
    </row>
    <row r="132" spans="6:6" x14ac:dyDescent="0.25">
      <c r="F132" s="27"/>
    </row>
    <row r="133" spans="6:6" x14ac:dyDescent="0.25">
      <c r="F133" s="27"/>
    </row>
    <row r="134" spans="6:6" x14ac:dyDescent="0.25">
      <c r="F134" s="27"/>
    </row>
    <row r="135" spans="6:6" x14ac:dyDescent="0.25">
      <c r="F135" s="27"/>
    </row>
    <row r="136" spans="6:6" x14ac:dyDescent="0.25">
      <c r="F136" s="27"/>
    </row>
    <row r="137" spans="6:6" x14ac:dyDescent="0.25">
      <c r="F137" s="27"/>
    </row>
    <row r="138" spans="6:6" x14ac:dyDescent="0.25">
      <c r="F138" s="27"/>
    </row>
    <row r="139" spans="6:6" x14ac:dyDescent="0.25">
      <c r="F139" s="27"/>
    </row>
    <row r="140" spans="6:6" x14ac:dyDescent="0.25">
      <c r="F140" s="27"/>
    </row>
    <row r="141" spans="6:6" x14ac:dyDescent="0.25">
      <c r="F141" s="27"/>
    </row>
    <row r="142" spans="6:6" x14ac:dyDescent="0.25">
      <c r="F142" s="27"/>
    </row>
    <row r="143" spans="6:6" x14ac:dyDescent="0.25">
      <c r="F143" s="27"/>
    </row>
    <row r="144" spans="6:6" x14ac:dyDescent="0.25">
      <c r="F144" s="27"/>
    </row>
    <row r="145" spans="6:6" x14ac:dyDescent="0.25">
      <c r="F145" s="27"/>
    </row>
    <row r="146" spans="6:6" x14ac:dyDescent="0.25">
      <c r="F146" s="27"/>
    </row>
    <row r="147" spans="6:6" x14ac:dyDescent="0.25">
      <c r="F147" s="27"/>
    </row>
    <row r="148" spans="6:6" x14ac:dyDescent="0.25">
      <c r="F148" s="27"/>
    </row>
    <row r="149" spans="6:6" x14ac:dyDescent="0.25">
      <c r="F149" s="27"/>
    </row>
    <row r="150" spans="6:6" x14ac:dyDescent="0.25">
      <c r="F150" s="27"/>
    </row>
    <row r="151" spans="6:6" x14ac:dyDescent="0.25">
      <c r="F151" s="27"/>
    </row>
    <row r="152" spans="6:6" x14ac:dyDescent="0.25">
      <c r="F152" s="27"/>
    </row>
    <row r="153" spans="6:6" x14ac:dyDescent="0.25">
      <c r="F153" s="27"/>
    </row>
    <row r="154" spans="6:6" x14ac:dyDescent="0.25">
      <c r="F154" s="27"/>
    </row>
    <row r="155" spans="6:6" x14ac:dyDescent="0.25">
      <c r="F155" s="27"/>
    </row>
    <row r="156" spans="6:6" x14ac:dyDescent="0.25">
      <c r="F156" s="27"/>
    </row>
    <row r="157" spans="6:6" x14ac:dyDescent="0.25">
      <c r="F157" s="27"/>
    </row>
    <row r="158" spans="6:6" x14ac:dyDescent="0.25">
      <c r="F158" s="27"/>
    </row>
    <row r="159" spans="6:6" x14ac:dyDescent="0.25">
      <c r="F159" s="27"/>
    </row>
    <row r="160" spans="6:6" x14ac:dyDescent="0.25">
      <c r="F160" s="27"/>
    </row>
    <row r="161" spans="6:6" x14ac:dyDescent="0.25">
      <c r="F161" s="27"/>
    </row>
    <row r="162" spans="6:6" x14ac:dyDescent="0.25">
      <c r="F162" s="27"/>
    </row>
    <row r="163" spans="6:6" x14ac:dyDescent="0.25">
      <c r="F163" s="27"/>
    </row>
    <row r="164" spans="6:6" x14ac:dyDescent="0.25">
      <c r="F164" s="27"/>
    </row>
    <row r="165" spans="6:6" x14ac:dyDescent="0.25">
      <c r="F165" s="27"/>
    </row>
    <row r="166" spans="6:6" x14ac:dyDescent="0.25">
      <c r="F166" s="27"/>
    </row>
    <row r="167" spans="6:6" x14ac:dyDescent="0.25">
      <c r="F167" s="27"/>
    </row>
    <row r="168" spans="6:6" x14ac:dyDescent="0.25">
      <c r="F168" s="27"/>
    </row>
    <row r="169" spans="6:6" x14ac:dyDescent="0.25">
      <c r="F169" s="27"/>
    </row>
    <row r="170" spans="6:6" x14ac:dyDescent="0.25">
      <c r="F170" s="27"/>
    </row>
    <row r="171" spans="6:6" x14ac:dyDescent="0.25">
      <c r="F171" s="27"/>
    </row>
    <row r="172" spans="6:6" x14ac:dyDescent="0.25">
      <c r="F172" s="27"/>
    </row>
    <row r="173" spans="6:6" x14ac:dyDescent="0.25">
      <c r="F173" s="27"/>
    </row>
    <row r="174" spans="6:6" x14ac:dyDescent="0.25">
      <c r="F174" s="27"/>
    </row>
    <row r="175" spans="6:6" x14ac:dyDescent="0.25">
      <c r="F175" s="27"/>
    </row>
    <row r="176" spans="6:6" x14ac:dyDescent="0.25">
      <c r="F176" s="27"/>
    </row>
    <row r="177" spans="6:6" x14ac:dyDescent="0.25">
      <c r="F177" s="27"/>
    </row>
    <row r="178" spans="6:6" x14ac:dyDescent="0.25">
      <c r="F178" s="27"/>
    </row>
    <row r="179" spans="6:6" x14ac:dyDescent="0.25">
      <c r="F179" s="27"/>
    </row>
    <row r="180" spans="6:6" x14ac:dyDescent="0.25">
      <c r="F180" s="27"/>
    </row>
    <row r="181" spans="6:6" x14ac:dyDescent="0.25">
      <c r="F181" s="27"/>
    </row>
    <row r="182" spans="6:6" x14ac:dyDescent="0.25">
      <c r="F182" s="27"/>
    </row>
    <row r="183" spans="6:6" x14ac:dyDescent="0.25">
      <c r="F183" s="27"/>
    </row>
    <row r="184" spans="6:6" x14ac:dyDescent="0.25">
      <c r="F184" s="27"/>
    </row>
    <row r="185" spans="6:6" x14ac:dyDescent="0.25">
      <c r="F185" s="27"/>
    </row>
    <row r="186" spans="6:6" x14ac:dyDescent="0.25">
      <c r="F186" s="27"/>
    </row>
    <row r="187" spans="6:6" x14ac:dyDescent="0.25">
      <c r="F187" s="27"/>
    </row>
    <row r="188" spans="6:6" x14ac:dyDescent="0.25">
      <c r="F188" s="27"/>
    </row>
    <row r="189" spans="6:6" x14ac:dyDescent="0.25">
      <c r="F189" s="27"/>
    </row>
    <row r="190" spans="6:6" x14ac:dyDescent="0.25">
      <c r="F190" s="27"/>
    </row>
    <row r="191" spans="6:6" x14ac:dyDescent="0.25">
      <c r="F191" s="27"/>
    </row>
    <row r="192" spans="6:6" x14ac:dyDescent="0.25">
      <c r="F192" s="27"/>
    </row>
    <row r="193" spans="6:6" x14ac:dyDescent="0.25">
      <c r="F193" s="27"/>
    </row>
    <row r="194" spans="6:6" x14ac:dyDescent="0.25">
      <c r="F194" s="27"/>
    </row>
    <row r="195" spans="6:6" x14ac:dyDescent="0.25">
      <c r="F195" s="27"/>
    </row>
    <row r="196" spans="6:6" x14ac:dyDescent="0.25">
      <c r="F196" s="27"/>
    </row>
    <row r="197" spans="6:6" x14ac:dyDescent="0.25">
      <c r="F197" s="27"/>
    </row>
    <row r="198" spans="6:6" x14ac:dyDescent="0.25">
      <c r="F198" s="27"/>
    </row>
    <row r="199" spans="6:6" x14ac:dyDescent="0.25">
      <c r="F199" s="27"/>
    </row>
    <row r="200" spans="6:6" x14ac:dyDescent="0.25">
      <c r="F200" s="27"/>
    </row>
    <row r="201" spans="6:6" x14ac:dyDescent="0.25">
      <c r="F201" s="27"/>
    </row>
    <row r="202" spans="6:6" x14ac:dyDescent="0.25">
      <c r="F202" s="27"/>
    </row>
    <row r="203" spans="6:6" x14ac:dyDescent="0.25">
      <c r="F203" s="27"/>
    </row>
    <row r="204" spans="6:6" x14ac:dyDescent="0.25">
      <c r="F204" s="27"/>
    </row>
    <row r="205" spans="6:6" x14ac:dyDescent="0.25">
      <c r="F205" s="27"/>
    </row>
    <row r="206" spans="6:6" x14ac:dyDescent="0.25">
      <c r="F206" s="27"/>
    </row>
    <row r="207" spans="6:6" x14ac:dyDescent="0.25">
      <c r="F207" s="27"/>
    </row>
    <row r="208" spans="6:6" x14ac:dyDescent="0.25">
      <c r="F208" s="27"/>
    </row>
    <row r="209" spans="6:6" x14ac:dyDescent="0.25">
      <c r="F209" s="27"/>
    </row>
    <row r="210" spans="6:6" x14ac:dyDescent="0.25">
      <c r="F210" s="27"/>
    </row>
    <row r="211" spans="6:6" x14ac:dyDescent="0.25">
      <c r="F211" s="27"/>
    </row>
    <row r="212" spans="6:6" x14ac:dyDescent="0.25">
      <c r="F212" s="27"/>
    </row>
    <row r="213" spans="6:6" x14ac:dyDescent="0.25">
      <c r="F213" s="27"/>
    </row>
    <row r="214" spans="6:6" x14ac:dyDescent="0.25">
      <c r="F214" s="27"/>
    </row>
    <row r="215" spans="6:6" x14ac:dyDescent="0.25">
      <c r="F215" s="27"/>
    </row>
    <row r="216" spans="6:6" x14ac:dyDescent="0.25">
      <c r="F216" s="27"/>
    </row>
    <row r="217" spans="6:6" x14ac:dyDescent="0.25">
      <c r="F217" s="27"/>
    </row>
    <row r="218" spans="6:6" x14ac:dyDescent="0.25">
      <c r="F218" s="27"/>
    </row>
    <row r="219" spans="6:6" x14ac:dyDescent="0.25">
      <c r="F219" s="27"/>
    </row>
    <row r="220" spans="6:6" x14ac:dyDescent="0.25">
      <c r="F220" s="27"/>
    </row>
    <row r="221" spans="6:6" x14ac:dyDescent="0.25">
      <c r="F221" s="27"/>
    </row>
    <row r="222" spans="6:6" x14ac:dyDescent="0.25">
      <c r="F222" s="27"/>
    </row>
    <row r="223" spans="6:6" x14ac:dyDescent="0.25">
      <c r="F223" s="27"/>
    </row>
    <row r="224" spans="6:6" x14ac:dyDescent="0.25">
      <c r="F224" s="27"/>
    </row>
    <row r="225" spans="6:6" x14ac:dyDescent="0.25">
      <c r="F225" s="27"/>
    </row>
    <row r="226" spans="6:6" x14ac:dyDescent="0.25">
      <c r="F226" s="27"/>
    </row>
    <row r="227" spans="6:6" x14ac:dyDescent="0.25">
      <c r="F227" s="27"/>
    </row>
    <row r="228" spans="6:6" x14ac:dyDescent="0.25">
      <c r="F228" s="27"/>
    </row>
    <row r="229" spans="6:6" x14ac:dyDescent="0.25">
      <c r="F229" s="27"/>
    </row>
    <row r="230" spans="6:6" x14ac:dyDescent="0.25">
      <c r="F230" s="27"/>
    </row>
    <row r="231" spans="6:6" x14ac:dyDescent="0.25">
      <c r="F231" s="27"/>
    </row>
    <row r="232" spans="6:6" x14ac:dyDescent="0.25">
      <c r="F232" s="27"/>
    </row>
    <row r="233" spans="6:6" x14ac:dyDescent="0.25">
      <c r="F233" s="27"/>
    </row>
    <row r="234" spans="6:6" x14ac:dyDescent="0.25">
      <c r="F234" s="27"/>
    </row>
    <row r="235" spans="6:6" x14ac:dyDescent="0.25">
      <c r="F235" s="27"/>
    </row>
    <row r="236" spans="6:6" x14ac:dyDescent="0.25">
      <c r="F236" s="27"/>
    </row>
    <row r="237" spans="6:6" x14ac:dyDescent="0.25">
      <c r="F237" s="27"/>
    </row>
    <row r="238" spans="6:6" x14ac:dyDescent="0.25">
      <c r="F238" s="27"/>
    </row>
    <row r="239" spans="6:6" x14ac:dyDescent="0.25">
      <c r="F239" s="27"/>
    </row>
    <row r="240" spans="6:6" x14ac:dyDescent="0.25">
      <c r="F240" s="27"/>
    </row>
    <row r="241" spans="6:6" x14ac:dyDescent="0.25">
      <c r="F241" s="27"/>
    </row>
  </sheetData>
  <mergeCells count="1">
    <mergeCell ref="B1:C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>
    <outlinePr summaryBelow="0" summaryRight="0"/>
  </sheetPr>
  <dimension ref="A1:U320"/>
  <sheetViews>
    <sheetView tabSelected="1" topLeftCell="B1" zoomScale="80" zoomScaleNormal="80" workbookViewId="0">
      <selection activeCell="H2" sqref="H2"/>
    </sheetView>
  </sheetViews>
  <sheetFormatPr defaultColWidth="12.6640625" defaultRowHeight="15.75" customHeight="1" x14ac:dyDescent="0.25"/>
  <cols>
    <col min="1" max="1" width="18.6640625" bestFit="1" customWidth="1"/>
    <col min="2" max="2" width="15.33203125" bestFit="1" customWidth="1"/>
    <col min="3" max="3" width="17.33203125" bestFit="1" customWidth="1"/>
    <col min="4" max="4" width="16" hidden="1" customWidth="1"/>
    <col min="5" max="5" width="0" hidden="1" customWidth="1"/>
    <col min="6" max="6" width="12.6640625" hidden="1" customWidth="1"/>
    <col min="7" max="7" width="25.44140625" customWidth="1"/>
    <col min="8" max="8" width="21.5546875" bestFit="1" customWidth="1"/>
    <col min="9" max="9" width="18.6640625" customWidth="1"/>
    <col min="10" max="19" width="12.6640625" hidden="1" customWidth="1"/>
    <col min="20" max="20" width="14.5546875" hidden="1" customWidth="1"/>
    <col min="21" max="21" width="9.6640625" bestFit="1" customWidth="1"/>
    <col min="22" max="29" width="2.33203125" bestFit="1" customWidth="1"/>
    <col min="30" max="119" width="3.44140625" bestFit="1" customWidth="1"/>
    <col min="120" max="145" width="4.44140625" bestFit="1" customWidth="1"/>
  </cols>
  <sheetData>
    <row r="1" spans="1:21" ht="13.8" thickBot="1" x14ac:dyDescent="0.3">
      <c r="A1" s="23" t="s">
        <v>16</v>
      </c>
      <c r="B1" s="19" t="s">
        <v>17</v>
      </c>
      <c r="C1" s="19" t="s">
        <v>18</v>
      </c>
      <c r="D1" s="19" t="s">
        <v>19</v>
      </c>
      <c r="E1" s="20" t="s">
        <v>8</v>
      </c>
      <c r="F1" s="21" t="s">
        <v>9</v>
      </c>
      <c r="G1" s="22" t="s">
        <v>10</v>
      </c>
      <c r="H1" s="19" t="s">
        <v>20</v>
      </c>
      <c r="I1" s="20" t="s">
        <v>21</v>
      </c>
      <c r="U1">
        <v>1</v>
      </c>
    </row>
    <row r="2" spans="1:21" ht="15.75" customHeight="1" x14ac:dyDescent="0.45">
      <c r="A2" s="3"/>
      <c r="B2" s="1"/>
      <c r="C2" s="1"/>
      <c r="D2" s="1"/>
      <c r="E2" s="4"/>
      <c r="F2" s="13" t="s">
        <v>0</v>
      </c>
      <c r="J2" s="37" t="s">
        <v>1</v>
      </c>
      <c r="K2" s="38"/>
      <c r="L2" s="39"/>
      <c r="M2" s="37" t="s">
        <v>2</v>
      </c>
      <c r="N2" s="38"/>
      <c r="O2" s="38"/>
      <c r="P2" s="39"/>
      <c r="Q2" s="37" t="s">
        <v>3</v>
      </c>
      <c r="R2" s="38"/>
      <c r="S2" s="39"/>
      <c r="T2" s="14"/>
      <c r="U2" s="17"/>
    </row>
    <row r="3" spans="1:21" ht="13.8" thickBot="1" x14ac:dyDescent="0.3">
      <c r="A3" s="2"/>
      <c r="B3" s="2"/>
      <c r="C3" s="2"/>
      <c r="D3" s="2"/>
      <c r="E3" s="5"/>
      <c r="F3" s="12"/>
      <c r="J3" s="40"/>
      <c r="K3" s="41"/>
      <c r="L3" s="42"/>
      <c r="M3" s="40"/>
      <c r="N3" s="41"/>
      <c r="O3" s="41"/>
      <c r="P3" s="42"/>
      <c r="Q3" s="40"/>
      <c r="R3" s="41"/>
      <c r="S3" s="42"/>
      <c r="T3" s="15">
        <v>5</v>
      </c>
      <c r="U3" s="18"/>
    </row>
    <row r="4" spans="1:21" ht="13.2" x14ac:dyDescent="0.25">
      <c r="A4" s="6" t="s">
        <v>4</v>
      </c>
      <c r="B4" s="6" t="s">
        <v>5</v>
      </c>
      <c r="C4" s="6" t="s">
        <v>6</v>
      </c>
      <c r="D4" s="6" t="s">
        <v>7</v>
      </c>
      <c r="E4" s="7" t="s">
        <v>8</v>
      </c>
      <c r="F4" s="8" t="s">
        <v>9</v>
      </c>
      <c r="G4" s="9" t="s">
        <v>10</v>
      </c>
      <c r="H4" s="6" t="s">
        <v>11</v>
      </c>
      <c r="I4" s="7" t="s">
        <v>12</v>
      </c>
      <c r="J4" s="8" t="s">
        <v>9</v>
      </c>
      <c r="K4" s="9" t="s">
        <v>10</v>
      </c>
      <c r="L4" s="7" t="s">
        <v>11</v>
      </c>
      <c r="M4" s="8" t="s">
        <v>9</v>
      </c>
      <c r="N4" s="9" t="s">
        <v>10</v>
      </c>
      <c r="O4" s="9" t="s">
        <v>13</v>
      </c>
      <c r="P4" s="10" t="s">
        <v>14</v>
      </c>
      <c r="Q4" s="8" t="s">
        <v>9</v>
      </c>
      <c r="R4" s="9" t="s">
        <v>10</v>
      </c>
      <c r="S4" s="10" t="s">
        <v>13</v>
      </c>
      <c r="T4" s="11" t="s">
        <v>15</v>
      </c>
      <c r="U4" s="16"/>
    </row>
    <row r="5" spans="1:21" ht="15.75" customHeight="1" x14ac:dyDescent="0.25">
      <c r="A5" t="s">
        <v>129</v>
      </c>
      <c r="B5" t="s">
        <v>138</v>
      </c>
      <c r="C5" t="s">
        <v>139</v>
      </c>
      <c r="D5">
        <v>1</v>
      </c>
      <c r="G5" t="s">
        <v>137</v>
      </c>
      <c r="H5">
        <f>IF(Dati!D2&lt;&gt;"",Dati!D2,"")</f>
        <v>1901</v>
      </c>
      <c r="I5" t="s">
        <v>140</v>
      </c>
      <c r="U5" t="str">
        <f>IF(Dati!F2&lt;&gt;"",Dati!F2,"")</f>
        <v>122.58</v>
      </c>
    </row>
    <row r="6" spans="1:21" ht="15.75" customHeight="1" x14ac:dyDescent="0.25">
      <c r="A6" t="s">
        <v>130</v>
      </c>
      <c r="B6" t="s">
        <v>142</v>
      </c>
      <c r="C6" t="s">
        <v>143</v>
      </c>
      <c r="D6">
        <v>1</v>
      </c>
      <c r="G6" t="s">
        <v>141</v>
      </c>
      <c r="H6">
        <f>IF(Dati!D3&lt;&gt;"",Dati!D3,"")</f>
        <v>1902</v>
      </c>
      <c r="I6" t="s">
        <v>140</v>
      </c>
      <c r="U6" t="str">
        <f>IF(Dati!F3&lt;&gt;"",Dati!F3,"")</f>
        <v>1841.18</v>
      </c>
    </row>
    <row r="7" spans="1:21" ht="15.75" customHeight="1" x14ac:dyDescent="0.25">
      <c r="A7" t="s">
        <v>130</v>
      </c>
      <c r="B7" t="s">
        <v>145</v>
      </c>
      <c r="C7" t="s">
        <v>146</v>
      </c>
      <c r="D7">
        <v>1</v>
      </c>
      <c r="G7" t="s">
        <v>144</v>
      </c>
      <c r="H7">
        <f>IF(Dati!D4&lt;&gt;"",Dati!D4,"")</f>
        <v>1903</v>
      </c>
      <c r="I7" t="s">
        <v>140</v>
      </c>
      <c r="U7" t="str">
        <f>IF(Dati!F4&lt;&gt;"",Dati!F4,"")</f>
        <v>44.88</v>
      </c>
    </row>
    <row r="8" spans="1:21" ht="15.75" customHeight="1" x14ac:dyDescent="0.25">
      <c r="A8" t="s">
        <v>130</v>
      </c>
      <c r="B8" t="s">
        <v>148</v>
      </c>
      <c r="C8" t="s">
        <v>149</v>
      </c>
      <c r="D8">
        <v>1</v>
      </c>
      <c r="G8" t="s">
        <v>147</v>
      </c>
      <c r="H8">
        <f>IF(Dati!D5&lt;&gt;"",Dati!D5,"")</f>
        <v>1905</v>
      </c>
      <c r="I8" t="s">
        <v>140</v>
      </c>
      <c r="U8" t="str">
        <f>IF(Dati!F5&lt;&gt;"",Dati!F5,"")</f>
        <v>1970.59</v>
      </c>
    </row>
    <row r="9" spans="1:21" ht="15.75" customHeight="1" x14ac:dyDescent="0.25">
      <c r="A9" t="s">
        <v>130</v>
      </c>
      <c r="B9" t="s">
        <v>151</v>
      </c>
      <c r="C9" t="s">
        <v>152</v>
      </c>
      <c r="D9">
        <v>1</v>
      </c>
      <c r="G9" t="s">
        <v>150</v>
      </c>
      <c r="H9">
        <f>IF(Dati!D6&lt;&gt;"",Dati!D6,"")</f>
        <v>1919</v>
      </c>
      <c r="I9" t="s">
        <v>140</v>
      </c>
      <c r="U9" t="str">
        <f>IF(Dati!F6&lt;&gt;"",Dati!F6,"")</f>
        <v>69.81</v>
      </c>
    </row>
    <row r="10" spans="1:21" ht="15.75" customHeight="1" x14ac:dyDescent="0.25">
      <c r="A10" t="s">
        <v>130</v>
      </c>
      <c r="B10" t="s">
        <v>154</v>
      </c>
      <c r="C10" t="s">
        <v>155</v>
      </c>
      <c r="D10">
        <v>1</v>
      </c>
      <c r="G10" t="s">
        <v>153</v>
      </c>
      <c r="H10">
        <f>IF(Dati!D7&lt;&gt;"",Dati!D7,"")</f>
        <v>1920</v>
      </c>
      <c r="I10" t="s">
        <v>140</v>
      </c>
      <c r="U10" t="str">
        <f>IF(Dati!F7&lt;&gt;"",Dati!F7,"")</f>
        <v>38.23</v>
      </c>
    </row>
    <row r="11" spans="1:21" ht="15.75" customHeight="1" x14ac:dyDescent="0.25">
      <c r="A11" t="s">
        <v>130</v>
      </c>
      <c r="B11" t="s">
        <v>157</v>
      </c>
      <c r="C11" t="s">
        <v>158</v>
      </c>
      <c r="D11">
        <v>1</v>
      </c>
      <c r="G11" t="s">
        <v>156</v>
      </c>
      <c r="H11">
        <f>IF(Dati!D8&lt;&gt;"",Dati!D8,"")</f>
        <v>1923</v>
      </c>
      <c r="I11" t="s">
        <v>140</v>
      </c>
      <c r="U11" t="str">
        <f>IF(Dati!F8&lt;&gt;"",Dati!F8,"")</f>
        <v>669.32</v>
      </c>
    </row>
    <row r="12" spans="1:21" ht="15.75" customHeight="1" x14ac:dyDescent="0.25">
      <c r="A12" t="s">
        <v>130</v>
      </c>
      <c r="B12" t="s">
        <v>160</v>
      </c>
      <c r="C12" t="s">
        <v>161</v>
      </c>
      <c r="D12">
        <v>1</v>
      </c>
      <c r="G12" t="s">
        <v>159</v>
      </c>
      <c r="H12">
        <f>IF(Dati!D9&lt;&gt;"",Dati!D9,"")</f>
        <v>1924</v>
      </c>
      <c r="I12" t="s">
        <v>140</v>
      </c>
      <c r="U12" t="str">
        <f>IF(Dati!F9&lt;&gt;"",Dati!F9,"")</f>
        <v>243.96</v>
      </c>
    </row>
    <row r="13" spans="1:21" ht="15.75" customHeight="1" x14ac:dyDescent="0.25">
      <c r="A13" t="s">
        <v>131</v>
      </c>
      <c r="B13" t="s">
        <v>163</v>
      </c>
      <c r="C13" t="s">
        <v>164</v>
      </c>
      <c r="D13">
        <v>1</v>
      </c>
      <c r="G13" t="s">
        <v>162</v>
      </c>
      <c r="H13">
        <f>IF(Dati!D10&lt;&gt;"",Dati!D10,"")</f>
        <v>1944</v>
      </c>
      <c r="I13" t="s">
        <v>140</v>
      </c>
      <c r="U13">
        <v>15000</v>
      </c>
    </row>
    <row r="14" spans="1:21" ht="15.75" customHeight="1" x14ac:dyDescent="0.25">
      <c r="A14" t="s">
        <v>131</v>
      </c>
      <c r="B14" t="s">
        <v>166</v>
      </c>
      <c r="C14" t="s">
        <v>167</v>
      </c>
      <c r="D14">
        <v>1</v>
      </c>
      <c r="G14" t="s">
        <v>165</v>
      </c>
      <c r="H14">
        <f>IF(Dati!D11&lt;&gt;"",Dati!D11,"")</f>
        <v>1947</v>
      </c>
      <c r="I14" t="s">
        <v>140</v>
      </c>
      <c r="U14" t="str">
        <f>IF(Dati!F11&lt;&gt;"",Dati!F11,"")</f>
        <v>358.87</v>
      </c>
    </row>
    <row r="15" spans="1:21" ht="15.75" customHeight="1" x14ac:dyDescent="0.25">
      <c r="A15" t="s">
        <v>131</v>
      </c>
      <c r="C15" t="s">
        <v>169</v>
      </c>
      <c r="D15">
        <v>1</v>
      </c>
      <c r="G15" t="s">
        <v>168</v>
      </c>
      <c r="H15">
        <f>IF(Dati!D12&lt;&gt;"",Dati!D12,"")</f>
        <v>1948</v>
      </c>
      <c r="I15" t="s">
        <v>140</v>
      </c>
      <c r="U15" t="str">
        <f>IF(Dati!F12&lt;&gt;"",Dati!F12,"")</f>
        <v>942.10</v>
      </c>
    </row>
    <row r="16" spans="1:21" ht="15.75" customHeight="1" x14ac:dyDescent="0.25">
      <c r="A16" t="s">
        <v>131</v>
      </c>
      <c r="B16" t="s">
        <v>171</v>
      </c>
      <c r="C16" t="s">
        <v>172</v>
      </c>
      <c r="D16">
        <v>1</v>
      </c>
      <c r="G16" t="s">
        <v>170</v>
      </c>
      <c r="H16">
        <f>IF(Dati!D13&lt;&gt;"",Dati!D13,"")</f>
        <v>1952</v>
      </c>
      <c r="I16" t="s">
        <v>140</v>
      </c>
      <c r="U16" t="str">
        <f>IF(Dati!F13&lt;&gt;"",Dati!F13,"")</f>
        <v>344.72</v>
      </c>
    </row>
    <row r="17" spans="1:21" ht="15.75" customHeight="1" x14ac:dyDescent="0.25">
      <c r="A17" t="s">
        <v>131</v>
      </c>
      <c r="B17" t="s">
        <v>174</v>
      </c>
      <c r="C17" t="s">
        <v>175</v>
      </c>
      <c r="D17">
        <v>1</v>
      </c>
      <c r="G17" t="s">
        <v>173</v>
      </c>
      <c r="H17">
        <f>IF(Dati!D14&lt;&gt;"",Dati!D14,"")</f>
        <v>1953</v>
      </c>
      <c r="I17" t="s">
        <v>140</v>
      </c>
      <c r="U17" t="str">
        <f>IF(Dati!F14&lt;&gt;"",Dati!F14,"")</f>
        <v>225.85</v>
      </c>
    </row>
    <row r="18" spans="1:21" ht="15.75" customHeight="1" x14ac:dyDescent="0.25">
      <c r="A18" t="s">
        <v>131</v>
      </c>
      <c r="B18" t="s">
        <v>177</v>
      </c>
      <c r="C18" t="s">
        <v>178</v>
      </c>
      <c r="D18">
        <v>1</v>
      </c>
      <c r="G18" t="s">
        <v>176</v>
      </c>
      <c r="H18">
        <f>IF(Dati!D15&lt;&gt;"",Dati!D15,"")</f>
        <v>1956</v>
      </c>
      <c r="I18" t="s">
        <v>140</v>
      </c>
      <c r="U18" t="str">
        <f>IF(Dati!F15&lt;&gt;"",Dati!F15,"")</f>
        <v>82.27</v>
      </c>
    </row>
    <row r="19" spans="1:21" ht="15.75" customHeight="1" x14ac:dyDescent="0.25">
      <c r="A19" t="s">
        <v>132</v>
      </c>
      <c r="B19" t="s">
        <v>180</v>
      </c>
      <c r="C19" t="s">
        <v>181</v>
      </c>
      <c r="D19">
        <v>1</v>
      </c>
      <c r="G19" t="s">
        <v>179</v>
      </c>
      <c r="H19">
        <f>IF(Dati!D16&lt;&gt;"",Dati!D16,"")</f>
        <v>1981</v>
      </c>
      <c r="I19" t="s">
        <v>140</v>
      </c>
      <c r="U19" t="str">
        <f>IF(Dati!F16&lt;&gt;"",Dati!F16,"")</f>
        <v>1476.70</v>
      </c>
    </row>
    <row r="20" spans="1:21" ht="15.75" customHeight="1" x14ac:dyDescent="0.25">
      <c r="A20" t="s">
        <v>132</v>
      </c>
      <c r="B20" t="s">
        <v>183</v>
      </c>
      <c r="C20" t="s">
        <v>184</v>
      </c>
      <c r="D20">
        <v>1</v>
      </c>
      <c r="G20" t="s">
        <v>182</v>
      </c>
      <c r="H20">
        <f>IF(Dati!D17&lt;&gt;"",Dati!D17,"")</f>
        <v>1983</v>
      </c>
      <c r="I20" t="s">
        <v>140</v>
      </c>
      <c r="U20" t="str">
        <f>IF(Dati!F17&lt;&gt;"",Dati!F17,"")</f>
        <v>3423.54</v>
      </c>
    </row>
    <row r="21" spans="1:21" ht="15.75" customHeight="1" x14ac:dyDescent="0.25">
      <c r="A21" t="s">
        <v>132</v>
      </c>
      <c r="B21" t="s">
        <v>186</v>
      </c>
      <c r="C21" t="s">
        <v>187</v>
      </c>
      <c r="D21">
        <v>1</v>
      </c>
      <c r="G21" t="s">
        <v>185</v>
      </c>
      <c r="H21">
        <f>IF(Dati!D18&lt;&gt;"",Dati!D18,"")</f>
        <v>1986</v>
      </c>
      <c r="I21" t="s">
        <v>140</v>
      </c>
      <c r="U21" t="str">
        <f>IF(Dati!F18&lt;&gt;"",Dati!F18,"")</f>
        <v>1794.12</v>
      </c>
    </row>
    <row r="22" spans="1:21" ht="15.75" customHeight="1" x14ac:dyDescent="0.25">
      <c r="A22" t="s">
        <v>132</v>
      </c>
      <c r="B22" t="s">
        <v>189</v>
      </c>
      <c r="C22" t="s">
        <v>190</v>
      </c>
      <c r="D22">
        <v>1</v>
      </c>
      <c r="G22" t="s">
        <v>188</v>
      </c>
      <c r="H22">
        <f>IF(Dati!D19&lt;&gt;"",Dati!D19,"")</f>
        <v>1991</v>
      </c>
      <c r="I22" t="s">
        <v>140</v>
      </c>
      <c r="U22" t="str">
        <f>IF(Dati!F19&lt;&gt;"",Dati!F19,"")</f>
        <v>4194.12</v>
      </c>
    </row>
    <row r="23" spans="1:21" ht="15.75" customHeight="1" x14ac:dyDescent="0.25">
      <c r="A23" t="s">
        <v>132</v>
      </c>
      <c r="B23" t="s">
        <v>192</v>
      </c>
      <c r="C23" t="s">
        <v>193</v>
      </c>
      <c r="D23">
        <v>1</v>
      </c>
      <c r="G23" t="s">
        <v>191</v>
      </c>
      <c r="H23">
        <f>IF(Dati!D20&lt;&gt;"",Dati!D20,"")</f>
        <v>1995</v>
      </c>
      <c r="I23" t="s">
        <v>140</v>
      </c>
      <c r="U23" t="str">
        <f>IF(Dati!F20&lt;&gt;"",Dati!F20,"")</f>
        <v>9937.50</v>
      </c>
    </row>
    <row r="24" spans="1:21" ht="15.75" customHeight="1" x14ac:dyDescent="0.25">
      <c r="A24" t="s">
        <v>132</v>
      </c>
      <c r="B24" t="s">
        <v>195</v>
      </c>
      <c r="C24" t="s">
        <v>196</v>
      </c>
      <c r="D24">
        <v>1</v>
      </c>
      <c r="G24" t="s">
        <v>194</v>
      </c>
      <c r="H24">
        <f>IF(Dati!D21&lt;&gt;"",Dati!D21,"")</f>
        <v>2000</v>
      </c>
      <c r="I24" t="s">
        <v>140</v>
      </c>
      <c r="U24">
        <v>15000</v>
      </c>
    </row>
    <row r="25" spans="1:21" ht="15.75" customHeight="1" x14ac:dyDescent="0.25">
      <c r="A25" t="s">
        <v>132</v>
      </c>
      <c r="B25" t="s">
        <v>198</v>
      </c>
      <c r="C25" t="s">
        <v>199</v>
      </c>
      <c r="D25">
        <v>1</v>
      </c>
      <c r="G25" t="s">
        <v>197</v>
      </c>
      <c r="H25">
        <f>IF(Dati!D22&lt;&gt;"",Dati!D22,"")</f>
        <v>2009</v>
      </c>
      <c r="I25" t="s">
        <v>140</v>
      </c>
      <c r="U25" t="str">
        <f>IF(Dati!F22&lt;&gt;"",Dati!F22,"")</f>
        <v>8437.50</v>
      </c>
    </row>
    <row r="26" spans="1:21" ht="15.75" customHeight="1" x14ac:dyDescent="0.25">
      <c r="A26" t="s">
        <v>132</v>
      </c>
      <c r="B26" t="s">
        <v>201</v>
      </c>
      <c r="C26" t="s">
        <v>202</v>
      </c>
      <c r="D26">
        <v>1</v>
      </c>
      <c r="G26" t="s">
        <v>200</v>
      </c>
      <c r="H26">
        <f>IF(Dati!D23&lt;&gt;"",Dati!D23,"")</f>
        <v>2012</v>
      </c>
      <c r="I26" t="s">
        <v>140</v>
      </c>
      <c r="U26" t="str">
        <f>IF(Dati!F23&lt;&gt;"",Dati!F23,"")</f>
        <v>1947.06</v>
      </c>
    </row>
    <row r="27" spans="1:21" ht="15.75" customHeight="1" x14ac:dyDescent="0.25">
      <c r="A27" t="s">
        <v>132</v>
      </c>
      <c r="C27" t="s">
        <v>204</v>
      </c>
      <c r="D27">
        <v>1</v>
      </c>
      <c r="G27" t="s">
        <v>203</v>
      </c>
      <c r="H27">
        <f>IF(Dati!D24&lt;&gt;"",Dati!D24,"")</f>
        <v>2017</v>
      </c>
      <c r="I27" t="s">
        <v>140</v>
      </c>
      <c r="U27" t="str">
        <f>IF(Dati!F24&lt;&gt;"",Dati!F24,"")</f>
        <v>865.34</v>
      </c>
    </row>
    <row r="28" spans="1:21" ht="15.75" customHeight="1" x14ac:dyDescent="0.25">
      <c r="A28" t="s">
        <v>132</v>
      </c>
      <c r="B28" t="s">
        <v>206</v>
      </c>
      <c r="C28" t="s">
        <v>207</v>
      </c>
      <c r="D28">
        <v>1</v>
      </c>
      <c r="G28" t="s">
        <v>205</v>
      </c>
      <c r="H28">
        <f>IF(Dati!D25&lt;&gt;"",Dati!D25,"")</f>
        <v>2020</v>
      </c>
      <c r="I28" t="s">
        <v>140</v>
      </c>
      <c r="U28">
        <v>15000</v>
      </c>
    </row>
    <row r="29" spans="1:21" ht="15.75" customHeight="1" x14ac:dyDescent="0.25">
      <c r="A29" t="s">
        <v>132</v>
      </c>
      <c r="B29" t="s">
        <v>209</v>
      </c>
      <c r="C29" t="s">
        <v>210</v>
      </c>
      <c r="D29">
        <v>1</v>
      </c>
      <c r="G29" t="s">
        <v>208</v>
      </c>
      <c r="H29">
        <f>IF(Dati!D26&lt;&gt;"",Dati!D26,"")</f>
        <v>2026</v>
      </c>
      <c r="I29" t="s">
        <v>140</v>
      </c>
      <c r="U29">
        <v>15000</v>
      </c>
    </row>
    <row r="30" spans="1:21" ht="15.75" customHeight="1" x14ac:dyDescent="0.25">
      <c r="A30" t="s">
        <v>132</v>
      </c>
      <c r="D30">
        <v>1</v>
      </c>
      <c r="G30" t="s">
        <v>211</v>
      </c>
      <c r="H30">
        <f>IF(Dati!D27&lt;&gt;"",Dati!D27,"")</f>
        <v>2033</v>
      </c>
      <c r="I30" t="s">
        <v>140</v>
      </c>
      <c r="U30" t="str">
        <f>IF(Dati!F27&lt;&gt;"",Dati!F27,"")</f>
        <v>7937.49</v>
      </c>
    </row>
    <row r="31" spans="1:21" ht="15.75" customHeight="1" x14ac:dyDescent="0.25">
      <c r="A31" t="s">
        <v>133</v>
      </c>
      <c r="B31" t="s">
        <v>213</v>
      </c>
      <c r="C31" t="s">
        <v>214</v>
      </c>
      <c r="D31">
        <v>1</v>
      </c>
      <c r="G31" t="s">
        <v>212</v>
      </c>
      <c r="H31">
        <f>IF(Dati!D28&lt;&gt;"",Dati!D28,"")</f>
        <v>2046</v>
      </c>
      <c r="I31" t="s">
        <v>140</v>
      </c>
      <c r="U31">
        <v>15000</v>
      </c>
    </row>
    <row r="32" spans="1:21" ht="15.75" customHeight="1" x14ac:dyDescent="0.25">
      <c r="A32" t="s">
        <v>133</v>
      </c>
      <c r="B32" t="s">
        <v>216</v>
      </c>
      <c r="C32" t="s">
        <v>217</v>
      </c>
      <c r="D32">
        <v>1</v>
      </c>
      <c r="G32" t="s">
        <v>215</v>
      </c>
      <c r="H32">
        <f>IF(Dati!D29&lt;&gt;"",Dati!D29,"")</f>
        <v>2056</v>
      </c>
      <c r="I32" t="s">
        <v>140</v>
      </c>
      <c r="U32" t="str">
        <f>IF(Dati!F29&lt;&gt;"",Dati!F29,"")</f>
        <v>1214.88</v>
      </c>
    </row>
    <row r="33" spans="1:21" ht="15.75" customHeight="1" x14ac:dyDescent="0.25">
      <c r="A33" t="s">
        <v>133</v>
      </c>
      <c r="B33" t="s">
        <v>219</v>
      </c>
      <c r="C33" t="s">
        <v>220</v>
      </c>
      <c r="D33">
        <v>1</v>
      </c>
      <c r="G33" t="s">
        <v>218</v>
      </c>
      <c r="H33">
        <f>IF(Dati!D30&lt;&gt;"",Dati!D30,"")</f>
        <v>2068</v>
      </c>
      <c r="I33" t="s">
        <v>140</v>
      </c>
      <c r="U33" t="str">
        <f>IF(Dati!F30&lt;&gt;"",Dati!F30,"")</f>
        <v>407.55</v>
      </c>
    </row>
    <row r="34" spans="1:21" ht="15.75" customHeight="1" x14ac:dyDescent="0.25">
      <c r="A34" t="s">
        <v>134</v>
      </c>
      <c r="B34" t="s">
        <v>222</v>
      </c>
      <c r="C34" t="s">
        <v>223</v>
      </c>
      <c r="D34">
        <v>1</v>
      </c>
      <c r="G34" t="s">
        <v>221</v>
      </c>
      <c r="H34">
        <f>IF(Dati!D31&lt;&gt;"",Dati!D31,"")</f>
        <v>2071</v>
      </c>
      <c r="I34" t="s">
        <v>140</v>
      </c>
      <c r="U34" t="str">
        <f>IF(Dati!F31&lt;&gt;"",Dati!F31,"")</f>
        <v>12593.76</v>
      </c>
    </row>
    <row r="35" spans="1:21" ht="15.75" customHeight="1" x14ac:dyDescent="0.25">
      <c r="A35" t="s">
        <v>134</v>
      </c>
      <c r="B35" t="s">
        <v>225</v>
      </c>
      <c r="C35" t="s">
        <v>226</v>
      </c>
      <c r="D35">
        <v>1</v>
      </c>
      <c r="G35" t="s">
        <v>224</v>
      </c>
      <c r="H35">
        <f>IF(Dati!D32&lt;&gt;"",Dati!D32,"")</f>
        <v>2079</v>
      </c>
      <c r="I35" t="s">
        <v>140</v>
      </c>
      <c r="U35" t="str">
        <f>IF(Dati!F32&lt;&gt;"",Dati!F32,"")</f>
        <v>975.00</v>
      </c>
    </row>
    <row r="36" spans="1:21" ht="15.75" customHeight="1" x14ac:dyDescent="0.25">
      <c r="A36" t="s">
        <v>134</v>
      </c>
      <c r="D36">
        <v>1</v>
      </c>
      <c r="G36" t="s">
        <v>227</v>
      </c>
      <c r="H36">
        <f>IF(Dati!D33&lt;&gt;"",Dati!D33,"")</f>
        <v>2082</v>
      </c>
      <c r="I36" t="s">
        <v>140</v>
      </c>
      <c r="U36" t="str">
        <f>IF(Dati!F33&lt;&gt;"",Dati!F33,"")</f>
        <v>2076.47</v>
      </c>
    </row>
    <row r="37" spans="1:21" ht="15.75" customHeight="1" x14ac:dyDescent="0.25">
      <c r="A37" t="s">
        <v>134</v>
      </c>
      <c r="B37" t="s">
        <v>229</v>
      </c>
      <c r="C37" t="s">
        <v>230</v>
      </c>
      <c r="D37">
        <v>1</v>
      </c>
      <c r="G37" t="s">
        <v>228</v>
      </c>
      <c r="H37">
        <f>IF(Dati!D34&lt;&gt;"",Dati!D34,"")</f>
        <v>2084</v>
      </c>
      <c r="I37" t="s">
        <v>140</v>
      </c>
      <c r="U37" t="str">
        <f>IF(Dati!F34&lt;&gt;"",Dati!F34,"")</f>
        <v>191.89</v>
      </c>
    </row>
    <row r="38" spans="1:21" ht="15.75" customHeight="1" x14ac:dyDescent="0.25">
      <c r="A38" t="s">
        <v>134</v>
      </c>
      <c r="B38" t="s">
        <v>232</v>
      </c>
      <c r="C38" t="s">
        <v>233</v>
      </c>
      <c r="D38">
        <v>1</v>
      </c>
      <c r="G38" t="s">
        <v>231</v>
      </c>
      <c r="H38">
        <f>IF(Dati!D35&lt;&gt;"",Dati!D35,"")</f>
        <v>2085</v>
      </c>
      <c r="I38" t="s">
        <v>140</v>
      </c>
      <c r="U38" t="str">
        <f>IF(Dati!F35&lt;&gt;"",Dati!F35,"")</f>
        <v>1941.18</v>
      </c>
    </row>
    <row r="39" spans="1:21" ht="15.75" customHeight="1" x14ac:dyDescent="0.25">
      <c r="A39" t="s">
        <v>134</v>
      </c>
      <c r="B39" t="s">
        <v>235</v>
      </c>
      <c r="C39" t="s">
        <v>236</v>
      </c>
      <c r="D39">
        <v>1</v>
      </c>
      <c r="G39" t="s">
        <v>234</v>
      </c>
      <c r="H39">
        <f>IF(Dati!D36&lt;&gt;"",Dati!D36,"")</f>
        <v>2087</v>
      </c>
      <c r="I39" t="s">
        <v>140</v>
      </c>
      <c r="U39" t="str">
        <f>IF(Dati!F36&lt;&gt;"",Dati!F36,"")</f>
        <v>258.68</v>
      </c>
    </row>
    <row r="40" spans="1:21" ht="15.75" customHeight="1" x14ac:dyDescent="0.25">
      <c r="A40" t="s">
        <v>134</v>
      </c>
      <c r="B40" t="s">
        <v>238</v>
      </c>
      <c r="C40" t="s">
        <v>239</v>
      </c>
      <c r="D40">
        <v>1</v>
      </c>
      <c r="G40" t="s">
        <v>237</v>
      </c>
      <c r="H40">
        <f>IF(Dati!D37&lt;&gt;"",Dati!D37,"")</f>
        <v>2088</v>
      </c>
      <c r="I40" t="s">
        <v>140</v>
      </c>
      <c r="U40" t="str">
        <f>IF(Dati!F37&lt;&gt;"",Dati!F37,"")</f>
        <v>290.38</v>
      </c>
    </row>
    <row r="41" spans="1:21" ht="15.75" customHeight="1" x14ac:dyDescent="0.25">
      <c r="A41" t="s">
        <v>135</v>
      </c>
      <c r="B41" t="s">
        <v>241</v>
      </c>
      <c r="C41" t="s">
        <v>242</v>
      </c>
      <c r="D41">
        <v>1</v>
      </c>
      <c r="G41" t="s">
        <v>240</v>
      </c>
      <c r="H41">
        <f>IF(Dati!D38&lt;&gt;"",Dati!D38,"")</f>
        <v>2095</v>
      </c>
      <c r="I41" t="s">
        <v>140</v>
      </c>
      <c r="U41" t="str">
        <f>IF(Dati!F38&lt;&gt;"",Dati!F38,"")</f>
        <v>227.55</v>
      </c>
    </row>
    <row r="42" spans="1:21" ht="15.75" customHeight="1" x14ac:dyDescent="0.25">
      <c r="A42" t="s">
        <v>135</v>
      </c>
      <c r="B42" t="s">
        <v>244</v>
      </c>
      <c r="C42" t="s">
        <v>245</v>
      </c>
      <c r="D42">
        <v>1</v>
      </c>
      <c r="G42" t="s">
        <v>243</v>
      </c>
      <c r="H42">
        <f>IF(Dati!D39&lt;&gt;"",Dati!D39,"")</f>
        <v>2097</v>
      </c>
      <c r="I42" t="s">
        <v>140</v>
      </c>
      <c r="U42" t="str">
        <f>IF(Dati!F39&lt;&gt;"",Dati!F39,"")</f>
        <v>251.32</v>
      </c>
    </row>
    <row r="43" spans="1:21" ht="15.75" customHeight="1" x14ac:dyDescent="0.25">
      <c r="A43" t="s">
        <v>135</v>
      </c>
      <c r="B43" t="s">
        <v>247</v>
      </c>
      <c r="C43" t="s">
        <v>248</v>
      </c>
      <c r="D43">
        <v>1</v>
      </c>
      <c r="G43" t="s">
        <v>246</v>
      </c>
      <c r="H43">
        <f>IF(Dati!D40&lt;&gt;"",Dati!D40,"")</f>
        <v>2098</v>
      </c>
      <c r="I43" t="s">
        <v>140</v>
      </c>
      <c r="U43" t="str">
        <f>IF(Dati!F40&lt;&gt;"",Dati!F40,"")</f>
        <v>1009.27</v>
      </c>
    </row>
    <row r="44" spans="1:21" ht="15.75" customHeight="1" x14ac:dyDescent="0.25">
      <c r="A44" t="s">
        <v>135</v>
      </c>
      <c r="B44" t="s">
        <v>250</v>
      </c>
      <c r="C44" t="s">
        <v>251</v>
      </c>
      <c r="D44">
        <v>1</v>
      </c>
      <c r="G44" t="s">
        <v>249</v>
      </c>
      <c r="H44">
        <f>IF(Dati!D41&lt;&gt;"",Dati!D41,"")</f>
        <v>2100</v>
      </c>
      <c r="I44" t="s">
        <v>140</v>
      </c>
      <c r="U44" t="str">
        <f>IF(Dati!F41&lt;&gt;"",Dati!F41,"")</f>
        <v>2158.82</v>
      </c>
    </row>
    <row r="45" spans="1:21" ht="15.75" customHeight="1" x14ac:dyDescent="0.25">
      <c r="A45" t="s">
        <v>135</v>
      </c>
      <c r="C45" t="s">
        <v>253</v>
      </c>
      <c r="D45">
        <v>1</v>
      </c>
      <c r="G45" t="s">
        <v>252</v>
      </c>
      <c r="H45">
        <f>IF(Dati!D42&lt;&gt;"",Dati!D42,"")</f>
        <v>2101</v>
      </c>
      <c r="I45" t="s">
        <v>140</v>
      </c>
      <c r="U45" t="str">
        <f>IF(Dati!F42&lt;&gt;"",Dati!F42,"")</f>
        <v>1617.65</v>
      </c>
    </row>
    <row r="46" spans="1:21" ht="15.75" customHeight="1" x14ac:dyDescent="0.25">
      <c r="A46" t="s">
        <v>135</v>
      </c>
      <c r="B46" t="s">
        <v>255</v>
      </c>
      <c r="C46" t="s">
        <v>256</v>
      </c>
      <c r="D46">
        <v>1</v>
      </c>
      <c r="G46" t="s">
        <v>254</v>
      </c>
      <c r="H46">
        <f>IF(Dati!D43&lt;&gt;"",Dati!D43,"")</f>
        <v>2108</v>
      </c>
      <c r="I46" t="s">
        <v>140</v>
      </c>
      <c r="U46" t="str">
        <f>IF(Dati!F43&lt;&gt;"",Dati!F43,"")</f>
        <v>14499.99</v>
      </c>
    </row>
    <row r="47" spans="1:21" ht="15.75" customHeight="1" x14ac:dyDescent="0.25">
      <c r="A47" t="s">
        <v>135</v>
      </c>
      <c r="B47" t="s">
        <v>258</v>
      </c>
      <c r="C47" t="s">
        <v>259</v>
      </c>
      <c r="D47">
        <v>1</v>
      </c>
      <c r="G47" t="s">
        <v>257</v>
      </c>
      <c r="H47">
        <f>IF(Dati!D44&lt;&gt;"",Dati!D44,"")</f>
        <v>2114</v>
      </c>
      <c r="I47" t="s">
        <v>140</v>
      </c>
      <c r="U47" t="str">
        <f>IF(Dati!F44&lt;&gt;"",Dati!F44,"")</f>
        <v>1179.24</v>
      </c>
    </row>
    <row r="48" spans="1:21" ht="15.75" customHeight="1" x14ac:dyDescent="0.25">
      <c r="A48" t="s">
        <v>136</v>
      </c>
      <c r="B48" t="s">
        <v>261</v>
      </c>
      <c r="C48" t="s">
        <v>262</v>
      </c>
      <c r="D48">
        <v>1</v>
      </c>
      <c r="G48" t="s">
        <v>260</v>
      </c>
      <c r="H48">
        <f>IF(Dati!D45&lt;&gt;"",Dati!D45,"")</f>
        <v>2127</v>
      </c>
      <c r="I48" t="s">
        <v>140</v>
      </c>
      <c r="U48">
        <v>15000</v>
      </c>
    </row>
    <row r="49" spans="1:21" ht="15.75" customHeight="1" x14ac:dyDescent="0.25">
      <c r="A49" t="s">
        <v>136</v>
      </c>
      <c r="B49" t="s">
        <v>264</v>
      </c>
      <c r="C49" t="s">
        <v>265</v>
      </c>
      <c r="D49">
        <v>1</v>
      </c>
      <c r="G49" t="s">
        <v>263</v>
      </c>
      <c r="H49">
        <f>IF(Dati!D46&lt;&gt;"",Dati!D46,"")</f>
        <v>2129</v>
      </c>
      <c r="I49" t="s">
        <v>140</v>
      </c>
      <c r="U49" t="str">
        <f>IF(Dati!F46&lt;&gt;"",Dati!F46,"")</f>
        <v>1253.27</v>
      </c>
    </row>
    <row r="50" spans="1:21" ht="15.75" customHeight="1" x14ac:dyDescent="0.25">
      <c r="A50" t="s">
        <v>136</v>
      </c>
      <c r="B50" t="s">
        <v>267</v>
      </c>
      <c r="C50" t="s">
        <v>268</v>
      </c>
      <c r="D50">
        <v>1</v>
      </c>
      <c r="G50" t="s">
        <v>266</v>
      </c>
      <c r="H50">
        <f>IF(Dati!D47&lt;&gt;"",Dati!D47,"")</f>
        <v>2133</v>
      </c>
      <c r="I50" t="s">
        <v>140</v>
      </c>
      <c r="U50" t="str">
        <f>IF(Dati!F47&lt;&gt;"",Dati!F47,"")</f>
        <v>252.45</v>
      </c>
    </row>
    <row r="51" spans="1:21" ht="15.75" customHeight="1" x14ac:dyDescent="0.25">
      <c r="A51" t="s">
        <v>136</v>
      </c>
      <c r="B51" t="s">
        <v>270</v>
      </c>
      <c r="C51" t="s">
        <v>271</v>
      </c>
      <c r="D51">
        <v>1</v>
      </c>
      <c r="G51" t="s">
        <v>269</v>
      </c>
      <c r="H51">
        <f>IF(Dati!D48&lt;&gt;"",Dati!D48,"")</f>
        <v>2147</v>
      </c>
      <c r="I51" t="s">
        <v>140</v>
      </c>
      <c r="U51" t="str">
        <f>IF(Dati!F48&lt;&gt;"",Dati!F48,"")</f>
        <v>215.66</v>
      </c>
    </row>
    <row r="52" spans="1:21" ht="15.75" customHeight="1" x14ac:dyDescent="0.25">
      <c r="A52" t="s">
        <v>136</v>
      </c>
      <c r="B52" t="s">
        <v>273</v>
      </c>
      <c r="C52" t="s">
        <v>274</v>
      </c>
      <c r="D52">
        <v>1</v>
      </c>
      <c r="G52" t="s">
        <v>272</v>
      </c>
      <c r="H52">
        <f>IF(Dati!D49&lt;&gt;"",Dati!D49,"")</f>
        <v>2150</v>
      </c>
      <c r="I52" t="s">
        <v>140</v>
      </c>
      <c r="U52">
        <v>15000</v>
      </c>
    </row>
    <row r="53" spans="1:21" ht="15.75" customHeight="1" x14ac:dyDescent="0.25">
      <c r="A53" t="s">
        <v>136</v>
      </c>
      <c r="B53" t="s">
        <v>276</v>
      </c>
      <c r="C53" t="s">
        <v>277</v>
      </c>
      <c r="D53">
        <v>1</v>
      </c>
      <c r="G53" t="s">
        <v>275</v>
      </c>
      <c r="H53">
        <f>IF(Dati!D50&lt;&gt;"",Dati!D50,"")</f>
        <v>2162</v>
      </c>
      <c r="I53" t="s">
        <v>140</v>
      </c>
      <c r="U53" t="str">
        <f>IF(Dati!F50&lt;&gt;"",Dati!F50,"")</f>
        <v>253.02</v>
      </c>
    </row>
    <row r="54" spans="1:21" ht="15.75" customHeight="1" x14ac:dyDescent="0.25">
      <c r="A54" t="s">
        <v>136</v>
      </c>
      <c r="B54" t="s">
        <v>279</v>
      </c>
      <c r="C54" t="s">
        <v>280</v>
      </c>
      <c r="D54">
        <v>1</v>
      </c>
      <c r="G54" t="s">
        <v>278</v>
      </c>
      <c r="H54">
        <f>IF(Dati!D51&lt;&gt;"",Dati!D51,"")</f>
        <v>2163</v>
      </c>
      <c r="I54" t="s">
        <v>140</v>
      </c>
      <c r="U54" t="str">
        <f>IF(Dati!F51&lt;&gt;"",Dati!F51,"")</f>
        <v>1240.93</v>
      </c>
    </row>
    <row r="55" spans="1:21" ht="15.75" customHeight="1" x14ac:dyDescent="0.25">
      <c r="H55" t="str">
        <f>IF(Dati!D52&lt;&gt;"",Dati!D52,"")</f>
        <v/>
      </c>
      <c r="U55" t="str">
        <f>IF(Dati!F52&lt;&gt;"",Dati!F52,"")</f>
        <v/>
      </c>
    </row>
    <row r="56" spans="1:21" ht="15.75" customHeight="1" x14ac:dyDescent="0.25">
      <c r="H56" t="str">
        <f>IF(Dati!D53&lt;&gt;"",Dati!D53,"")</f>
        <v/>
      </c>
      <c r="U56" t="str">
        <f>IF(Dati!F53&lt;&gt;"",Dati!F53,"")</f>
        <v/>
      </c>
    </row>
    <row r="57" spans="1:21" ht="15.75" customHeight="1" x14ac:dyDescent="0.25">
      <c r="H57" t="str">
        <f>IF(Dati!D54&lt;&gt;"",Dati!D54,"")</f>
        <v/>
      </c>
      <c r="U57" t="str">
        <f>IF(Dati!F54&lt;&gt;"",Dati!F54,"")</f>
        <v/>
      </c>
    </row>
    <row r="58" spans="1:21" ht="15.75" customHeight="1" x14ac:dyDescent="0.25">
      <c r="H58" t="str">
        <f>IF(Dati!D55&lt;&gt;"",Dati!D55,"")</f>
        <v/>
      </c>
      <c r="U58" t="str">
        <f>IF(Dati!F55&lt;&gt;"",Dati!F55,"")</f>
        <v/>
      </c>
    </row>
    <row r="59" spans="1:21" ht="15.75" customHeight="1" x14ac:dyDescent="0.25">
      <c r="H59" t="str">
        <f>IF(Dati!D56&lt;&gt;"",Dati!D56,"")</f>
        <v/>
      </c>
      <c r="U59" t="str">
        <f>IF(Dati!F56&lt;&gt;"",Dati!F56,"")</f>
        <v/>
      </c>
    </row>
    <row r="60" spans="1:21" ht="15.75" customHeight="1" x14ac:dyDescent="0.25">
      <c r="H60" t="str">
        <f>IF(Dati!D57&lt;&gt;"",Dati!D57,"")</f>
        <v/>
      </c>
      <c r="U60" t="str">
        <f>IF(Dati!F57&lt;&gt;"",Dati!F57,"")</f>
        <v/>
      </c>
    </row>
    <row r="61" spans="1:21" ht="15.75" customHeight="1" x14ac:dyDescent="0.25">
      <c r="H61" t="str">
        <f>IF(Dati!D58&lt;&gt;"",Dati!D58,"")</f>
        <v/>
      </c>
      <c r="U61" t="str">
        <f>IF(Dati!F58&lt;&gt;"",Dati!F58,"")</f>
        <v/>
      </c>
    </row>
    <row r="62" spans="1:21" ht="15.75" customHeight="1" x14ac:dyDescent="0.25">
      <c r="H62" t="str">
        <f>IF(Dati!D59&lt;&gt;"",Dati!D59,"")</f>
        <v/>
      </c>
      <c r="U62" t="str">
        <f>IF(Dati!F59&lt;&gt;"",Dati!F59,"")</f>
        <v/>
      </c>
    </row>
    <row r="63" spans="1:21" ht="15.75" customHeight="1" x14ac:dyDescent="0.25">
      <c r="H63" t="str">
        <f>IF(Dati!D60&lt;&gt;"",Dati!D60,"")</f>
        <v/>
      </c>
      <c r="U63" t="str">
        <f>IF(Dati!F60&lt;&gt;"",Dati!F60,"")</f>
        <v/>
      </c>
    </row>
    <row r="64" spans="1:21" ht="15.75" customHeight="1" x14ac:dyDescent="0.25">
      <c r="H64" t="str">
        <f>IF(Dati!D61&lt;&gt;"",Dati!D61,"")</f>
        <v/>
      </c>
      <c r="U64" t="str">
        <f>IF(Dati!F61&lt;&gt;"",Dati!F61,"")</f>
        <v/>
      </c>
    </row>
    <row r="65" spans="8:21" ht="15.75" customHeight="1" x14ac:dyDescent="0.25">
      <c r="H65" t="str">
        <f>IF(Dati!D62&lt;&gt;"",Dati!D62,"")</f>
        <v/>
      </c>
      <c r="U65" t="str">
        <f>IF(Dati!F62&lt;&gt;"",Dati!F62,"")</f>
        <v/>
      </c>
    </row>
    <row r="66" spans="8:21" ht="15.75" customHeight="1" x14ac:dyDescent="0.25">
      <c r="H66" t="str">
        <f>IF(Dati!D63&lt;&gt;"",Dati!D63,"")</f>
        <v/>
      </c>
      <c r="U66" t="str">
        <f>IF(Dati!F63&lt;&gt;"",Dati!F63,"")</f>
        <v/>
      </c>
    </row>
    <row r="67" spans="8:21" ht="15.75" customHeight="1" x14ac:dyDescent="0.25">
      <c r="H67" t="str">
        <f>IF(Dati!D64&lt;&gt;"",Dati!D64,"")</f>
        <v/>
      </c>
      <c r="U67" t="str">
        <f>IF(Dati!F64&lt;&gt;"",Dati!F64,"")</f>
        <v/>
      </c>
    </row>
    <row r="68" spans="8:21" ht="15.75" customHeight="1" x14ac:dyDescent="0.25">
      <c r="H68" t="str">
        <f>IF(Dati!D65&lt;&gt;"",Dati!D65,"")</f>
        <v/>
      </c>
      <c r="U68" t="str">
        <f>IF(Dati!F65&lt;&gt;"",Dati!F65,"")</f>
        <v/>
      </c>
    </row>
    <row r="69" spans="8:21" ht="15.75" customHeight="1" x14ac:dyDescent="0.25">
      <c r="H69" t="str">
        <f>IF(Dati!D66&lt;&gt;"",Dati!D66,"")</f>
        <v/>
      </c>
      <c r="U69" t="str">
        <f>IF(Dati!F66&lt;&gt;"",Dati!F66,"")</f>
        <v/>
      </c>
    </row>
    <row r="70" spans="8:21" ht="15.75" customHeight="1" x14ac:dyDescent="0.25">
      <c r="H70" t="str">
        <f>IF(Dati!D67&lt;&gt;"",Dati!D67,"")</f>
        <v/>
      </c>
      <c r="U70" t="str">
        <f>IF(Dati!F67&lt;&gt;"",Dati!F67,"")</f>
        <v/>
      </c>
    </row>
    <row r="71" spans="8:21" ht="15.75" customHeight="1" x14ac:dyDescent="0.25">
      <c r="H71" t="str">
        <f>IF(Dati!D68&lt;&gt;"",Dati!D68,"")</f>
        <v/>
      </c>
      <c r="U71" t="str">
        <f>IF(Dati!F68&lt;&gt;"",Dati!F68,"")</f>
        <v/>
      </c>
    </row>
    <row r="72" spans="8:21" ht="15.75" customHeight="1" x14ac:dyDescent="0.25">
      <c r="H72" t="str">
        <f>IF(Dati!D69&lt;&gt;"",Dati!D69,"")</f>
        <v/>
      </c>
      <c r="U72" t="str">
        <f>IF(Dati!F69&lt;&gt;"",Dati!F69,"")</f>
        <v/>
      </c>
    </row>
    <row r="73" spans="8:21" ht="15.75" customHeight="1" x14ac:dyDescent="0.25">
      <c r="H73" t="str">
        <f>IF(Dati!D70&lt;&gt;"",Dati!D70,"")</f>
        <v/>
      </c>
      <c r="U73" t="str">
        <f>IF(Dati!F70&lt;&gt;"",Dati!F70,"")</f>
        <v/>
      </c>
    </row>
    <row r="74" spans="8:21" ht="15.75" customHeight="1" x14ac:dyDescent="0.25">
      <c r="H74" t="str">
        <f>IF(Dati!D71&lt;&gt;"",Dati!D71,"")</f>
        <v/>
      </c>
      <c r="U74" t="str">
        <f>IF(Dati!F71&lt;&gt;"",Dati!F71,"")</f>
        <v/>
      </c>
    </row>
    <row r="75" spans="8:21" ht="15.75" customHeight="1" x14ac:dyDescent="0.25">
      <c r="H75" t="str">
        <f>IF(Dati!D72&lt;&gt;"",Dati!D72,"")</f>
        <v/>
      </c>
      <c r="U75" t="str">
        <f>IF(Dati!F72&lt;&gt;"",Dati!F72,"")</f>
        <v/>
      </c>
    </row>
    <row r="76" spans="8:21" ht="15.75" customHeight="1" x14ac:dyDescent="0.25">
      <c r="H76" t="str">
        <f>IF(Dati!D73&lt;&gt;"",Dati!D73,"")</f>
        <v/>
      </c>
      <c r="U76" t="str">
        <f>IF(Dati!F73&lt;&gt;"",Dati!F73,"")</f>
        <v/>
      </c>
    </row>
    <row r="77" spans="8:21" ht="15.75" customHeight="1" x14ac:dyDescent="0.25">
      <c r="H77" t="str">
        <f>IF(Dati!D74&lt;&gt;"",Dati!D74,"")</f>
        <v/>
      </c>
      <c r="U77" t="str">
        <f>IF(Dati!F74&lt;&gt;"",Dati!F74,"")</f>
        <v/>
      </c>
    </row>
    <row r="78" spans="8:21" ht="15.75" customHeight="1" x14ac:dyDescent="0.25">
      <c r="H78" t="str">
        <f>IF(Dati!D75&lt;&gt;"",Dati!D75,"")</f>
        <v/>
      </c>
      <c r="U78" t="str">
        <f>IF(Dati!F75&lt;&gt;"",Dati!F75,"")</f>
        <v/>
      </c>
    </row>
    <row r="79" spans="8:21" ht="15.75" customHeight="1" x14ac:dyDescent="0.25">
      <c r="H79" t="str">
        <f>IF(Dati!D76&lt;&gt;"",Dati!D76,"")</f>
        <v/>
      </c>
      <c r="U79" t="str">
        <f>IF(Dati!F76&lt;&gt;"",Dati!F76,"")</f>
        <v/>
      </c>
    </row>
    <row r="80" spans="8:21" ht="15.75" customHeight="1" x14ac:dyDescent="0.25">
      <c r="H80" t="str">
        <f>IF(Dati!D77&lt;&gt;"",Dati!D77,"")</f>
        <v/>
      </c>
      <c r="U80" t="str">
        <f>IF(Dati!F77&lt;&gt;"",Dati!F77,"")</f>
        <v/>
      </c>
    </row>
    <row r="81" spans="8:21" ht="15.75" customHeight="1" x14ac:dyDescent="0.25">
      <c r="H81" t="str">
        <f>IF(Dati!D78&lt;&gt;"",Dati!D78,"")</f>
        <v/>
      </c>
      <c r="U81" t="str">
        <f>IF(Dati!F78&lt;&gt;"",Dati!F78,"")</f>
        <v/>
      </c>
    </row>
    <row r="82" spans="8:21" ht="15.75" customHeight="1" x14ac:dyDescent="0.25">
      <c r="H82" t="str">
        <f>IF(Dati!D79&lt;&gt;"",Dati!D79,"")</f>
        <v/>
      </c>
      <c r="U82" t="str">
        <f>IF(Dati!F79&lt;&gt;"",Dati!F79,"")</f>
        <v/>
      </c>
    </row>
    <row r="83" spans="8:21" ht="15.75" customHeight="1" x14ac:dyDescent="0.25">
      <c r="H83" t="str">
        <f>IF(Dati!D80&lt;&gt;"",Dati!D80,"")</f>
        <v/>
      </c>
      <c r="U83" t="str">
        <f>IF(Dati!F80&lt;&gt;"",Dati!F80,"")</f>
        <v/>
      </c>
    </row>
    <row r="84" spans="8:21" ht="15.75" customHeight="1" x14ac:dyDescent="0.25">
      <c r="H84" t="str">
        <f>IF(Dati!D81&lt;&gt;"",Dati!D81,"")</f>
        <v/>
      </c>
      <c r="U84" t="str">
        <f>IF(Dati!F81&lt;&gt;"",Dati!F81,"")</f>
        <v/>
      </c>
    </row>
    <row r="85" spans="8:21" ht="15.75" customHeight="1" x14ac:dyDescent="0.25">
      <c r="H85" t="str">
        <f>IF(Dati!D82&lt;&gt;"",Dati!D82,"")</f>
        <v/>
      </c>
      <c r="U85" t="str">
        <f>IF(Dati!F82&lt;&gt;"",Dati!F82,"")</f>
        <v/>
      </c>
    </row>
    <row r="86" spans="8:21" ht="15.75" customHeight="1" x14ac:dyDescent="0.25">
      <c r="H86" t="str">
        <f>IF(Dati!D83&lt;&gt;"",Dati!D83,"")</f>
        <v/>
      </c>
      <c r="U86" t="str">
        <f>IF(Dati!F83&lt;&gt;"",Dati!F83,"")</f>
        <v/>
      </c>
    </row>
    <row r="87" spans="8:21" ht="15.75" customHeight="1" x14ac:dyDescent="0.25">
      <c r="H87" t="str">
        <f>IF(Dati!D84&lt;&gt;"",Dati!D84,"")</f>
        <v/>
      </c>
      <c r="U87" t="str">
        <f>IF(Dati!F84&lt;&gt;"",Dati!F84,"")</f>
        <v/>
      </c>
    </row>
    <row r="88" spans="8:21" ht="15.75" customHeight="1" x14ac:dyDescent="0.25">
      <c r="H88" t="str">
        <f>IF(Dati!D85&lt;&gt;"",Dati!D85,"")</f>
        <v/>
      </c>
      <c r="U88" t="str">
        <f>IF(Dati!F85&lt;&gt;"",Dati!F85,"")</f>
        <v/>
      </c>
    </row>
    <row r="89" spans="8:21" ht="15.75" customHeight="1" x14ac:dyDescent="0.25">
      <c r="H89" t="str">
        <f>IF(Dati!D86&lt;&gt;"",Dati!D86,"")</f>
        <v/>
      </c>
      <c r="U89" t="str">
        <f>IF(Dati!F86&lt;&gt;"",Dati!F86,"")</f>
        <v/>
      </c>
    </row>
    <row r="90" spans="8:21" ht="15.75" customHeight="1" x14ac:dyDescent="0.25">
      <c r="H90" t="str">
        <f>IF(Dati!D87&lt;&gt;"",Dati!D87,"")</f>
        <v/>
      </c>
      <c r="U90" t="str">
        <f>IF(Dati!F87&lt;&gt;"",Dati!F87,"")</f>
        <v/>
      </c>
    </row>
    <row r="91" spans="8:21" ht="15.75" customHeight="1" x14ac:dyDescent="0.25">
      <c r="H91" t="str">
        <f>IF(Dati!D88&lt;&gt;"",Dati!D88,"")</f>
        <v/>
      </c>
      <c r="U91" t="str">
        <f>IF(Dati!F88&lt;&gt;"",Dati!F88,"")</f>
        <v/>
      </c>
    </row>
    <row r="92" spans="8:21" ht="15.75" customHeight="1" x14ac:dyDescent="0.25">
      <c r="H92" t="str">
        <f>IF(Dati!D89&lt;&gt;"",Dati!D89,"")</f>
        <v/>
      </c>
      <c r="U92" t="str">
        <f>IF(Dati!F89&lt;&gt;"",Dati!F89,"")</f>
        <v/>
      </c>
    </row>
    <row r="93" spans="8:21" ht="15.75" customHeight="1" x14ac:dyDescent="0.25">
      <c r="H93" t="str">
        <f>IF(Dati!D90&lt;&gt;"",Dati!D90,"")</f>
        <v/>
      </c>
      <c r="U93" t="str">
        <f>IF(Dati!F90&lt;&gt;"",Dati!F90,"")</f>
        <v/>
      </c>
    </row>
    <row r="94" spans="8:21" ht="15.75" customHeight="1" x14ac:dyDescent="0.25">
      <c r="H94" t="str">
        <f>IF(Dati!D91&lt;&gt;"",Dati!D91,"")</f>
        <v/>
      </c>
      <c r="U94" t="str">
        <f>IF(Dati!F91&lt;&gt;"",Dati!F91,"")</f>
        <v/>
      </c>
    </row>
    <row r="95" spans="8:21" ht="15.75" customHeight="1" x14ac:dyDescent="0.25">
      <c r="H95" t="str">
        <f>IF(Dati!D92&lt;&gt;"",Dati!D92,"")</f>
        <v/>
      </c>
      <c r="U95" t="str">
        <f>IF(Dati!F92&lt;&gt;"",Dati!F92,"")</f>
        <v/>
      </c>
    </row>
    <row r="96" spans="8:21" ht="15.75" customHeight="1" x14ac:dyDescent="0.25">
      <c r="H96" t="str">
        <f>IF(Dati!D93&lt;&gt;"",Dati!D93,"")</f>
        <v/>
      </c>
      <c r="U96" t="str">
        <f>IF(Dati!F93&lt;&gt;"",Dati!F93,"")</f>
        <v/>
      </c>
    </row>
    <row r="97" spans="8:21" ht="15.75" customHeight="1" x14ac:dyDescent="0.25">
      <c r="H97" t="str">
        <f>IF(Dati!D94&lt;&gt;"",Dati!D94,"")</f>
        <v/>
      </c>
      <c r="U97" t="str">
        <f>IF(Dati!F94&lt;&gt;"",Dati!F94,"")</f>
        <v/>
      </c>
    </row>
    <row r="98" spans="8:21" ht="15.75" customHeight="1" x14ac:dyDescent="0.25">
      <c r="H98" t="str">
        <f>IF(Dati!D95&lt;&gt;"",Dati!D95,"")</f>
        <v/>
      </c>
      <c r="U98" t="str">
        <f>IF(Dati!F95&lt;&gt;"",Dati!F95,"")</f>
        <v/>
      </c>
    </row>
    <row r="99" spans="8:21" ht="15.75" customHeight="1" x14ac:dyDescent="0.25">
      <c r="H99" t="str">
        <f>IF(Dati!D96&lt;&gt;"",Dati!D96,"")</f>
        <v/>
      </c>
      <c r="U99" t="str">
        <f>IF(Dati!F96&lt;&gt;"",Dati!F96,"")</f>
        <v/>
      </c>
    </row>
    <row r="100" spans="8:21" ht="15.75" customHeight="1" x14ac:dyDescent="0.25">
      <c r="H100" t="str">
        <f>IF(Dati!D97&lt;&gt;"",Dati!D97,"")</f>
        <v/>
      </c>
      <c r="U100" t="str">
        <f>IF(Dati!F97&lt;&gt;"",Dati!F97,"")</f>
        <v/>
      </c>
    </row>
    <row r="101" spans="8:21" ht="15.75" customHeight="1" x14ac:dyDescent="0.25">
      <c r="H101" t="str">
        <f>IF(Dati!D98&lt;&gt;"",Dati!D98,"")</f>
        <v/>
      </c>
      <c r="U101" t="str">
        <f>IF(Dati!F98&lt;&gt;"",Dati!F98,"")</f>
        <v/>
      </c>
    </row>
    <row r="102" spans="8:21" ht="15.75" customHeight="1" x14ac:dyDescent="0.25">
      <c r="H102" t="str">
        <f>IF(Dati!D99&lt;&gt;"",Dati!D99,"")</f>
        <v/>
      </c>
      <c r="U102" t="str">
        <f>IF(Dati!F99&lt;&gt;"",Dati!F99,"")</f>
        <v/>
      </c>
    </row>
    <row r="103" spans="8:21" ht="15.75" customHeight="1" x14ac:dyDescent="0.25">
      <c r="H103" t="str">
        <f>IF(Dati!D100&lt;&gt;"",Dati!D100,"")</f>
        <v/>
      </c>
      <c r="U103" t="str">
        <f>IF(Dati!F100&lt;&gt;"",Dati!F100,"")</f>
        <v/>
      </c>
    </row>
    <row r="104" spans="8:21" ht="15.75" customHeight="1" x14ac:dyDescent="0.25">
      <c r="H104" t="str">
        <f>IF(Dati!D101&lt;&gt;"",Dati!D101,"")</f>
        <v/>
      </c>
      <c r="U104" t="str">
        <f>IF(Dati!F101&lt;&gt;"",Dati!F101,"")</f>
        <v/>
      </c>
    </row>
    <row r="105" spans="8:21" ht="15.75" customHeight="1" x14ac:dyDescent="0.25">
      <c r="H105" t="str">
        <f>IF(Dati!D102&lt;&gt;"",Dati!D102,"")</f>
        <v/>
      </c>
      <c r="U105" t="str">
        <f>IF(Dati!F102&lt;&gt;"",Dati!F102,"")</f>
        <v/>
      </c>
    </row>
    <row r="106" spans="8:21" ht="15.75" customHeight="1" x14ac:dyDescent="0.25">
      <c r="H106" t="str">
        <f>IF(Dati!D103&lt;&gt;"",Dati!D103,"")</f>
        <v/>
      </c>
      <c r="U106" t="str">
        <f>IF(Dati!F103&lt;&gt;"",Dati!F103,"")</f>
        <v/>
      </c>
    </row>
    <row r="107" spans="8:21" ht="15.75" customHeight="1" x14ac:dyDescent="0.25">
      <c r="H107" t="str">
        <f>IF(Dati!D104&lt;&gt;"",Dati!D104,"")</f>
        <v/>
      </c>
      <c r="U107" t="str">
        <f>IF(Dati!F104&lt;&gt;"",Dati!F104,"")</f>
        <v/>
      </c>
    </row>
    <row r="108" spans="8:21" ht="15.75" customHeight="1" x14ac:dyDescent="0.25">
      <c r="H108" t="str">
        <f>IF(Dati!D105&lt;&gt;"",Dati!D105,"")</f>
        <v/>
      </c>
      <c r="U108" t="str">
        <f>IF(Dati!F105&lt;&gt;"",Dati!F105,"")</f>
        <v/>
      </c>
    </row>
    <row r="109" spans="8:21" ht="15.75" customHeight="1" x14ac:dyDescent="0.25">
      <c r="H109" t="str">
        <f>IF(Dati!D106&lt;&gt;"",Dati!D106,"")</f>
        <v/>
      </c>
      <c r="U109" t="str">
        <f>IF(Dati!F106&lt;&gt;"",Dati!F106,"")</f>
        <v/>
      </c>
    </row>
    <row r="110" spans="8:21" ht="15.75" customHeight="1" x14ac:dyDescent="0.25">
      <c r="H110" t="str">
        <f>IF(Dati!D107&lt;&gt;"",Dati!D107,"")</f>
        <v/>
      </c>
      <c r="U110" t="str">
        <f>IF(Dati!F107&lt;&gt;"",Dati!F107,"")</f>
        <v/>
      </c>
    </row>
    <row r="111" spans="8:21" ht="15.75" customHeight="1" x14ac:dyDescent="0.25">
      <c r="H111" t="str">
        <f>IF(Dati!D108&lt;&gt;"",Dati!D108,"")</f>
        <v/>
      </c>
      <c r="U111" t="str">
        <f>IF(Dati!F108&lt;&gt;"",Dati!F108,"")</f>
        <v/>
      </c>
    </row>
    <row r="112" spans="8:21" ht="15.75" customHeight="1" x14ac:dyDescent="0.25">
      <c r="H112" t="str">
        <f>IF(Dati!D109&lt;&gt;"",Dati!D109,"")</f>
        <v/>
      </c>
      <c r="U112" t="str">
        <f>IF(Dati!F109&lt;&gt;"",Dati!F109,"")</f>
        <v/>
      </c>
    </row>
    <row r="113" spans="8:21" ht="15.75" customHeight="1" x14ac:dyDescent="0.25">
      <c r="H113" t="str">
        <f>IF(Dati!D110&lt;&gt;"",Dati!D110,"")</f>
        <v/>
      </c>
      <c r="U113" t="str">
        <f>IF(Dati!F110&lt;&gt;"",Dati!F110,"")</f>
        <v/>
      </c>
    </row>
    <row r="114" spans="8:21" ht="15.75" customHeight="1" x14ac:dyDescent="0.25">
      <c r="H114" t="str">
        <f>IF(Dati!D111&lt;&gt;"",Dati!D111,"")</f>
        <v/>
      </c>
      <c r="U114" t="str">
        <f>IF(Dati!F111&lt;&gt;"",Dati!F111,"")</f>
        <v/>
      </c>
    </row>
    <row r="115" spans="8:21" ht="15.75" customHeight="1" x14ac:dyDescent="0.25">
      <c r="H115" t="str">
        <f>IF(Dati!D112&lt;&gt;"",Dati!D112,"")</f>
        <v/>
      </c>
      <c r="U115" t="str">
        <f>IF(Dati!F112&lt;&gt;"",Dati!F112,"")</f>
        <v/>
      </c>
    </row>
    <row r="116" spans="8:21" ht="15.75" customHeight="1" x14ac:dyDescent="0.25">
      <c r="H116" t="str">
        <f>IF(Dati!D113&lt;&gt;"",Dati!D113,"")</f>
        <v/>
      </c>
      <c r="U116" t="str">
        <f>IF(Dati!F113&lt;&gt;"",Dati!F113,"")</f>
        <v/>
      </c>
    </row>
    <row r="117" spans="8:21" ht="15.75" customHeight="1" x14ac:dyDescent="0.25">
      <c r="H117" t="str">
        <f>IF(Dati!D114&lt;&gt;"",Dati!D114,"")</f>
        <v/>
      </c>
      <c r="U117" t="str">
        <f>IF(Dati!F114&lt;&gt;"",Dati!F114,"")</f>
        <v/>
      </c>
    </row>
    <row r="118" spans="8:21" ht="15.75" customHeight="1" x14ac:dyDescent="0.25">
      <c r="H118" t="str">
        <f>IF(Dati!D115&lt;&gt;"",Dati!D115,"")</f>
        <v/>
      </c>
      <c r="U118" t="str">
        <f>IF(Dati!F115&lt;&gt;"",Dati!F115,"")</f>
        <v/>
      </c>
    </row>
    <row r="119" spans="8:21" ht="15.75" customHeight="1" x14ac:dyDescent="0.25">
      <c r="H119" t="str">
        <f>IF(Dati!D116&lt;&gt;"",Dati!D116,"")</f>
        <v/>
      </c>
      <c r="U119" t="str">
        <f>IF(Dati!F116&lt;&gt;"",Dati!F116,"")</f>
        <v/>
      </c>
    </row>
    <row r="120" spans="8:21" ht="15.75" customHeight="1" x14ac:dyDescent="0.25">
      <c r="H120" t="str">
        <f>IF(Dati!D117&lt;&gt;"",Dati!D117,"")</f>
        <v/>
      </c>
      <c r="U120" t="str">
        <f>IF(Dati!F117&lt;&gt;"",Dati!F117,"")</f>
        <v/>
      </c>
    </row>
    <row r="121" spans="8:21" ht="15.75" customHeight="1" x14ac:dyDescent="0.25">
      <c r="H121" t="str">
        <f>IF(Dati!D118&lt;&gt;"",Dati!D118,"")</f>
        <v/>
      </c>
      <c r="U121" t="str">
        <f>IF(Dati!F118&lt;&gt;"",Dati!F118,"")</f>
        <v/>
      </c>
    </row>
    <row r="122" spans="8:21" ht="15.75" customHeight="1" x14ac:dyDescent="0.25">
      <c r="H122" t="str">
        <f>IF(Dati!D119&lt;&gt;"",Dati!D119,"")</f>
        <v/>
      </c>
      <c r="U122" t="str">
        <f>IF(Dati!F119&lt;&gt;"",Dati!F119,"")</f>
        <v/>
      </c>
    </row>
    <row r="123" spans="8:21" ht="15.75" customHeight="1" x14ac:dyDescent="0.25">
      <c r="H123" t="str">
        <f>IF(Dati!D120&lt;&gt;"",Dati!D120,"")</f>
        <v/>
      </c>
      <c r="U123" t="str">
        <f>IF(Dati!F120&lt;&gt;"",Dati!F120,"")</f>
        <v/>
      </c>
    </row>
    <row r="124" spans="8:21" ht="15.75" customHeight="1" x14ac:dyDescent="0.25">
      <c r="H124" t="str">
        <f>IF(Dati!D121&lt;&gt;"",Dati!D121,"")</f>
        <v/>
      </c>
      <c r="U124" t="str">
        <f>IF(Dati!F121&lt;&gt;"",Dati!F121,"")</f>
        <v/>
      </c>
    </row>
    <row r="125" spans="8:21" ht="15.75" customHeight="1" x14ac:dyDescent="0.25">
      <c r="H125" t="str">
        <f>IF(Dati!D122&lt;&gt;"",Dati!D122,"")</f>
        <v/>
      </c>
      <c r="U125" t="str">
        <f>IF(Dati!F122&lt;&gt;"",Dati!F122,"")</f>
        <v/>
      </c>
    </row>
    <row r="126" spans="8:21" ht="15.75" customHeight="1" x14ac:dyDescent="0.25">
      <c r="H126" t="str">
        <f>IF(Dati!D123&lt;&gt;"",Dati!D123,"")</f>
        <v/>
      </c>
      <c r="U126" t="str">
        <f>IF(Dati!F123&lt;&gt;"",Dati!F123,"")</f>
        <v/>
      </c>
    </row>
    <row r="127" spans="8:21" ht="15.75" customHeight="1" x14ac:dyDescent="0.25">
      <c r="H127" t="str">
        <f>IF(Dati!D124&lt;&gt;"",Dati!D124,"")</f>
        <v/>
      </c>
      <c r="U127" t="str">
        <f>IF(Dati!F124&lt;&gt;"",Dati!F124,"")</f>
        <v/>
      </c>
    </row>
    <row r="128" spans="8:21" ht="15.75" customHeight="1" x14ac:dyDescent="0.25">
      <c r="H128" t="str">
        <f>IF(Dati!D125&lt;&gt;"",Dati!D125,"")</f>
        <v/>
      </c>
      <c r="U128" t="str">
        <f>IF(Dati!F125&lt;&gt;"",Dati!F125,"")</f>
        <v/>
      </c>
    </row>
    <row r="129" spans="8:21" ht="15.75" customHeight="1" x14ac:dyDescent="0.25">
      <c r="H129" t="str">
        <f>IF(Dati!D126&lt;&gt;"",Dati!D126,"")</f>
        <v/>
      </c>
      <c r="U129" t="str">
        <f>IF(Dati!F126&lt;&gt;"",Dati!F126,"")</f>
        <v/>
      </c>
    </row>
    <row r="130" spans="8:21" ht="15.75" customHeight="1" x14ac:dyDescent="0.25">
      <c r="U130" t="str">
        <f>IF(Dati!F127&lt;&gt;"",Dati!F127,"")</f>
        <v/>
      </c>
    </row>
    <row r="315" spans="8:8" ht="15.75" customHeight="1" x14ac:dyDescent="0.25">
      <c r="H315" t="str">
        <f>IF(Dati!D312&lt;&gt;"",Dati!D312,"")</f>
        <v/>
      </c>
    </row>
    <row r="316" spans="8:8" ht="15.75" customHeight="1" x14ac:dyDescent="0.25">
      <c r="H316" t="str">
        <f>IF(Dati!D313&lt;&gt;"",Dati!D313,"")</f>
        <v/>
      </c>
    </row>
    <row r="317" spans="8:8" ht="15.75" customHeight="1" x14ac:dyDescent="0.25">
      <c r="H317" t="str">
        <f>IF(Dati!D314&lt;&gt;"",Dati!D314,"")</f>
        <v/>
      </c>
    </row>
    <row r="318" spans="8:8" ht="15.75" customHeight="1" x14ac:dyDescent="0.25">
      <c r="H318" t="str">
        <f>IF(Dati!D315&lt;&gt;"",Dati!D315,"")</f>
        <v/>
      </c>
    </row>
    <row r="319" spans="8:8" ht="15.75" customHeight="1" x14ac:dyDescent="0.25">
      <c r="H319" t="str">
        <f>IF(Dati!D316&lt;&gt;"",Dati!D316,"")</f>
        <v/>
      </c>
    </row>
    <row r="320" spans="8:8" ht="15.75" customHeight="1" x14ac:dyDescent="0.25">
      <c r="H320" t="str">
        <f>IF(Dati!D317&lt;&gt;"",Dati!D317,"")</f>
        <v/>
      </c>
    </row>
  </sheetData>
  <mergeCells count="3">
    <mergeCell ref="J2:L3"/>
    <mergeCell ref="M2:P3"/>
    <mergeCell ref="Q2:S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mpila">
                <anchor moveWithCells="1" sizeWithCells="1">
                  <from>
                    <xdr:col>6</xdr:col>
                    <xdr:colOff>175260</xdr:colOff>
                    <xdr:row>1</xdr:row>
                    <xdr:rowOff>38100</xdr:rowOff>
                  </from>
                  <to>
                    <xdr:col>6</xdr:col>
                    <xdr:colOff>1501140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Dati</vt:lpstr>
      <vt:lpstr>Calcoli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TheBonus</dc:creator>
  <cp:lastModifiedBy>Amadeus II</cp:lastModifiedBy>
  <dcterms:created xsi:type="dcterms:W3CDTF">2026-01-31T12:01:14Z</dcterms:created>
  <dcterms:modified xsi:type="dcterms:W3CDTF">2026-05-04T17:22:16Z</dcterms:modified>
</cp:coreProperties>
</file>