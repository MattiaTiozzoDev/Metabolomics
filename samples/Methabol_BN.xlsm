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Questa_cartella_di_lavoro" autoCompressPictures="0" defaultThemeVersion="124226"/>
  <mc:AlternateContent xmlns:mc="http://schemas.openxmlformats.org/markup-compatibility/2006">
    <mc:Choice Requires="x15">
      <x15ac:absPath xmlns:x15ac="http://schemas.microsoft.com/office/spreadsheetml/2010/11/ac" url="C:\Users\mattia.tiozzo\Desktop\Progetti\Metabolomics\samples\"/>
    </mc:Choice>
  </mc:AlternateContent>
  <xr:revisionPtr revIDLastSave="0" documentId="13_ncr:1_{A2C8C0C6-795D-4F7F-8A7D-C215CB550464}" xr6:coauthVersionLast="47" xr6:coauthVersionMax="47" xr10:uidLastSave="{00000000-0000-0000-0000-000000000000}"/>
  <bookViews>
    <workbookView xWindow="-84" yWindow="12852" windowWidth="23256" windowHeight="12456" activeTab="3" xr2:uid="{00000000-000D-0000-FFFF-FFFF00000000}"/>
  </bookViews>
  <sheets>
    <sheet name="Base" sheetId="79" r:id="rId1"/>
    <sheet name="Riferimenti" sheetId="42" r:id="rId2"/>
    <sheet name="Spiegazioni" sheetId="88" r:id="rId3"/>
    <sheet name="Sorgente" sheetId="93" r:id="rId4"/>
    <sheet name="Foglio1" sheetId="94" r:id="rId5"/>
  </sheets>
  <functionGroups builtInGroupCount="19"/>
  <externalReferences>
    <externalReference r:id="rId6"/>
  </externalReferences>
  <definedNames>
    <definedName name="_xlnm.Print_Area" localSheetId="0">Base!$A$1:$AE$424</definedName>
    <definedName name="_xlnm.Print_Area" localSheetId="2">Spiegazioni!$A$1:$K$55</definedName>
    <definedName name="codfisc" localSheetId="3">[1]Base!$E$7</definedName>
    <definedName name="codfisc">Base!$E$7</definedName>
    <definedName name="dref" localSheetId="0">Base!$V$9</definedName>
    <definedName name="int" localSheetId="3">#REF!</definedName>
    <definedName name="int">#REF!</definedName>
    <definedName name="max" localSheetId="3">#REF!</definedName>
    <definedName name="max">#REF!</definedName>
    <definedName name="min" localSheetId="3">#REF!</definedName>
    <definedName name="min">#REF!</definedName>
    <definedName name="nacc" localSheetId="3">[1]Base!$T$7</definedName>
    <definedName name="nacc">Base!$T$7</definedName>
    <definedName name="nPaz" localSheetId="0">Base!$C$6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24" i="42" l="1"/>
  <c r="Q24" i="42"/>
  <c r="R26" i="42"/>
  <c r="Q26" i="42"/>
  <c r="R27" i="42"/>
  <c r="Q27" i="42"/>
  <c r="R33" i="42"/>
  <c r="Q33" i="42"/>
  <c r="R62" i="42"/>
  <c r="Q62" i="42"/>
  <c r="S13" i="42"/>
  <c r="S14" i="42"/>
  <c r="S15" i="42"/>
  <c r="S16" i="42"/>
  <c r="S17" i="42"/>
  <c r="S18" i="42"/>
  <c r="S19" i="42"/>
  <c r="S20" i="42"/>
  <c r="S21" i="42"/>
  <c r="S22" i="42"/>
  <c r="S23" i="42"/>
  <c r="S24" i="42"/>
  <c r="S25" i="42"/>
  <c r="S26" i="42"/>
  <c r="S27" i="42"/>
  <c r="S28" i="42"/>
  <c r="S29" i="42"/>
  <c r="S30" i="42"/>
  <c r="S31" i="42"/>
  <c r="S32" i="42"/>
  <c r="S33" i="42"/>
  <c r="S34" i="42"/>
  <c r="S35" i="42"/>
  <c r="S36" i="42"/>
  <c r="S37" i="42"/>
  <c r="S38" i="42"/>
  <c r="S39" i="42"/>
  <c r="R39" i="42" s="1"/>
  <c r="S40" i="42"/>
  <c r="S41" i="42"/>
  <c r="S42" i="42"/>
  <c r="S43" i="42"/>
  <c r="S44" i="42"/>
  <c r="S45" i="42"/>
  <c r="R45" i="42" s="1"/>
  <c r="S46" i="42"/>
  <c r="S47" i="42"/>
  <c r="S48" i="42"/>
  <c r="R48" i="42" s="1"/>
  <c r="S49" i="42"/>
  <c r="S50" i="42"/>
  <c r="S51" i="42"/>
  <c r="S52" i="42"/>
  <c r="S53" i="42"/>
  <c r="R53" i="42" s="1"/>
  <c r="S54" i="42"/>
  <c r="R54" i="42" s="1"/>
  <c r="S55" i="42"/>
  <c r="S56" i="42"/>
  <c r="S57" i="42"/>
  <c r="S58" i="42"/>
  <c r="S59" i="42"/>
  <c r="S60" i="42"/>
  <c r="S61" i="42"/>
  <c r="S62" i="42"/>
  <c r="S63" i="42"/>
  <c r="S64" i="42"/>
  <c r="S65" i="42"/>
  <c r="S2" i="42"/>
  <c r="S3" i="42"/>
  <c r="S4" i="42"/>
  <c r="S5" i="42"/>
  <c r="S6" i="42"/>
  <c r="S7" i="42"/>
  <c r="S8" i="42"/>
  <c r="S9" i="42"/>
  <c r="S10" i="42"/>
  <c r="S11" i="42"/>
  <c r="P95" i="79"/>
  <c r="O95" i="79"/>
  <c r="P90" i="79"/>
  <c r="O90" i="79"/>
  <c r="P331" i="79"/>
  <c r="O331" i="79"/>
  <c r="Q54" i="42" l="1"/>
  <c r="Q53" i="42"/>
  <c r="Q48" i="42"/>
  <c r="Q45" i="42"/>
  <c r="Q39" i="42"/>
  <c r="N1079" i="93"/>
  <c r="N1078" i="93"/>
  <c r="N1077" i="93"/>
  <c r="N1076" i="93"/>
  <c r="N1075" i="93"/>
  <c r="N1074" i="93"/>
  <c r="N1073" i="93"/>
  <c r="N1072" i="93"/>
  <c r="N1070" i="93"/>
  <c r="N1069" i="93"/>
  <c r="N1068" i="93"/>
  <c r="N1067" i="93"/>
  <c r="N1066" i="93"/>
  <c r="N1065" i="93"/>
  <c r="N1064" i="93"/>
  <c r="N1063" i="93"/>
  <c r="N1061" i="93"/>
  <c r="N1060" i="93"/>
  <c r="N1059" i="93"/>
  <c r="N1058" i="93"/>
  <c r="N1057" i="93"/>
  <c r="N1056" i="93"/>
  <c r="N1055" i="93"/>
  <c r="N1054" i="93"/>
  <c r="N1053" i="93"/>
  <c r="N1052" i="93"/>
  <c r="N1051" i="93"/>
  <c r="N1050" i="93"/>
  <c r="N1049" i="93"/>
  <c r="N1048" i="93"/>
  <c r="N1047" i="93"/>
  <c r="N1046" i="93"/>
  <c r="N1045" i="93"/>
  <c r="N1044" i="93"/>
  <c r="N1043" i="93"/>
  <c r="N1042" i="93"/>
  <c r="N1041" i="93"/>
  <c r="N1040" i="93"/>
  <c r="N1039" i="93"/>
  <c r="N1038" i="93"/>
  <c r="N1037" i="93"/>
  <c r="N1036" i="93"/>
  <c r="N1035" i="93"/>
  <c r="N1034" i="93"/>
  <c r="N1033" i="93"/>
  <c r="N1032" i="93"/>
  <c r="N1031" i="93"/>
  <c r="N1030" i="93"/>
  <c r="N1029" i="93"/>
  <c r="N1028" i="93"/>
  <c r="N1027" i="93"/>
  <c r="N1026" i="93"/>
  <c r="N1025" i="93"/>
  <c r="N1023" i="93"/>
  <c r="N1020" i="93"/>
  <c r="N1019" i="93"/>
  <c r="N1018" i="93"/>
  <c r="N1017" i="93"/>
  <c r="N1016" i="93"/>
  <c r="N1015" i="93"/>
  <c r="N1013" i="93"/>
  <c r="N1012" i="93"/>
  <c r="N1011" i="93"/>
  <c r="N1010" i="93"/>
  <c r="N1009" i="93"/>
  <c r="N1007" i="93"/>
  <c r="N1006" i="93"/>
  <c r="N1005" i="93"/>
  <c r="N1004" i="93"/>
  <c r="N1003" i="93"/>
  <c r="N1001" i="93"/>
  <c r="N1000" i="93"/>
  <c r="N999" i="93"/>
  <c r="N998" i="93"/>
  <c r="N997" i="93"/>
  <c r="N996" i="93"/>
  <c r="N995" i="93"/>
  <c r="N994" i="93"/>
  <c r="N993" i="93"/>
  <c r="N992" i="93"/>
  <c r="N988" i="93"/>
  <c r="N987" i="93"/>
  <c r="N986" i="93"/>
  <c r="N985" i="93"/>
  <c r="N984" i="93"/>
  <c r="N983" i="93"/>
  <c r="N982" i="93"/>
  <c r="N981" i="93"/>
  <c r="N980" i="93"/>
  <c r="O968" i="93"/>
  <c r="O967" i="93"/>
  <c r="O966" i="93"/>
  <c r="O965" i="93"/>
  <c r="O964" i="93"/>
  <c r="O963" i="93"/>
  <c r="O962" i="93"/>
  <c r="O961" i="93"/>
  <c r="O960" i="93"/>
  <c r="O959" i="93"/>
  <c r="O958" i="93"/>
  <c r="O957" i="93"/>
  <c r="O956" i="93"/>
  <c r="O955" i="93"/>
  <c r="O954" i="93"/>
  <c r="O953" i="93"/>
  <c r="O952" i="93"/>
  <c r="O951" i="93"/>
  <c r="O950" i="93"/>
  <c r="O949" i="93"/>
  <c r="O948" i="93"/>
  <c r="O947" i="93"/>
  <c r="O946" i="93"/>
  <c r="O945" i="93"/>
  <c r="O944" i="93"/>
  <c r="O943" i="93"/>
  <c r="O942" i="93"/>
  <c r="O941" i="93"/>
  <c r="O940" i="93"/>
  <c r="O939" i="93"/>
  <c r="O938" i="93"/>
  <c r="O937" i="93"/>
  <c r="O936" i="93"/>
  <c r="O935" i="93"/>
  <c r="O934" i="93"/>
  <c r="O933" i="93"/>
  <c r="O932" i="93"/>
  <c r="O931" i="93"/>
  <c r="O930" i="93"/>
  <c r="O929" i="93"/>
  <c r="O928" i="93"/>
  <c r="O927" i="93"/>
  <c r="O926" i="93"/>
  <c r="O925" i="93"/>
  <c r="O924" i="93"/>
  <c r="O923" i="93"/>
  <c r="O922" i="93"/>
  <c r="O921" i="93"/>
  <c r="O920" i="93"/>
  <c r="O919" i="93"/>
  <c r="O918" i="93"/>
  <c r="O917" i="93"/>
  <c r="O916" i="93"/>
  <c r="O915" i="93"/>
  <c r="O914" i="93"/>
  <c r="O913" i="93"/>
  <c r="O912" i="93"/>
  <c r="O911" i="93"/>
  <c r="O910" i="93"/>
  <c r="O909" i="93"/>
  <c r="O908" i="93"/>
  <c r="O907" i="93"/>
  <c r="O906" i="93"/>
  <c r="O905" i="93"/>
  <c r="O904" i="93"/>
  <c r="O903" i="93"/>
  <c r="O902" i="93"/>
  <c r="O901" i="93"/>
  <c r="O900" i="93"/>
  <c r="O899" i="93"/>
  <c r="O898" i="93"/>
  <c r="O897" i="93"/>
  <c r="O896" i="93"/>
  <c r="O895" i="93"/>
  <c r="O894" i="93"/>
  <c r="O893" i="93"/>
  <c r="O892" i="93"/>
  <c r="O891" i="93"/>
  <c r="O890" i="93"/>
  <c r="O889" i="93"/>
  <c r="O888" i="93"/>
  <c r="O887" i="93"/>
  <c r="O886" i="93"/>
  <c r="O885" i="93"/>
  <c r="O884" i="93"/>
  <c r="O883" i="93"/>
  <c r="O882" i="93"/>
  <c r="O881" i="93"/>
  <c r="O880" i="93"/>
  <c r="O879" i="93"/>
  <c r="O878" i="93"/>
  <c r="O877" i="93"/>
  <c r="O876" i="93"/>
  <c r="O875" i="93"/>
  <c r="O874" i="93"/>
  <c r="O873" i="93"/>
  <c r="O872" i="93"/>
  <c r="O871" i="93"/>
  <c r="O870" i="93"/>
  <c r="O869" i="93"/>
  <c r="O868" i="93"/>
  <c r="O867" i="93"/>
  <c r="O866" i="93"/>
  <c r="O865" i="93"/>
  <c r="O864" i="93"/>
  <c r="O863" i="93"/>
  <c r="O862" i="93"/>
  <c r="O861" i="93"/>
  <c r="O860" i="93"/>
  <c r="O859" i="93"/>
  <c r="O858" i="93"/>
  <c r="O857" i="93"/>
  <c r="O856" i="93"/>
  <c r="O855" i="93"/>
  <c r="O854" i="93"/>
  <c r="O853" i="93"/>
  <c r="O852" i="93"/>
  <c r="O851" i="93"/>
  <c r="O850" i="93"/>
  <c r="O849" i="93"/>
  <c r="O848" i="93"/>
  <c r="O847" i="93"/>
  <c r="O846" i="93"/>
  <c r="O845" i="93"/>
  <c r="O844" i="93"/>
  <c r="O843" i="93"/>
  <c r="O842" i="93"/>
  <c r="O841" i="93"/>
  <c r="O840" i="93"/>
  <c r="O839" i="93"/>
  <c r="O838" i="93"/>
  <c r="O837" i="93"/>
  <c r="O836" i="93"/>
  <c r="O835" i="93"/>
  <c r="O834" i="93"/>
  <c r="O833" i="93"/>
  <c r="O832" i="93"/>
  <c r="O831" i="93"/>
  <c r="O830" i="93"/>
  <c r="O829" i="93"/>
  <c r="O828" i="93"/>
  <c r="O827" i="93"/>
  <c r="O826" i="93"/>
  <c r="O825" i="93"/>
  <c r="O824" i="93"/>
  <c r="O823" i="93"/>
  <c r="O822" i="93"/>
  <c r="O821" i="93"/>
  <c r="O820" i="93"/>
  <c r="O819" i="93"/>
  <c r="O818" i="93"/>
  <c r="O817" i="93"/>
  <c r="O816" i="93"/>
  <c r="O815" i="93"/>
  <c r="O814" i="93"/>
  <c r="O813" i="93"/>
  <c r="O812" i="93"/>
  <c r="O811" i="93"/>
  <c r="O810" i="93"/>
  <c r="O809" i="93"/>
  <c r="O808" i="93"/>
  <c r="O807" i="93"/>
  <c r="O806" i="93"/>
  <c r="O805" i="93"/>
  <c r="O804" i="93"/>
  <c r="O803" i="93"/>
  <c r="O802" i="93"/>
  <c r="O801" i="93"/>
  <c r="O800" i="93"/>
  <c r="O799" i="93"/>
  <c r="O798" i="93"/>
  <c r="O797" i="93"/>
  <c r="O796" i="93"/>
  <c r="O795" i="93"/>
  <c r="O794" i="93"/>
  <c r="O793" i="93"/>
  <c r="O792" i="93"/>
  <c r="O791" i="93"/>
  <c r="O790" i="93"/>
  <c r="O789" i="93"/>
  <c r="O788" i="93"/>
  <c r="O787" i="93"/>
  <c r="O786" i="93"/>
  <c r="O785" i="93"/>
  <c r="O784" i="93"/>
  <c r="O783" i="93"/>
  <c r="O782" i="93"/>
  <c r="O781" i="93"/>
  <c r="O780" i="93"/>
  <c r="O779" i="93"/>
  <c r="O778" i="93"/>
  <c r="O777" i="93"/>
  <c r="O776" i="93"/>
  <c r="O775" i="93"/>
  <c r="O774" i="93"/>
  <c r="O773" i="93"/>
  <c r="O772" i="93"/>
  <c r="O771" i="93"/>
  <c r="O770" i="93"/>
  <c r="O769" i="93"/>
  <c r="O768" i="93"/>
  <c r="O767" i="93"/>
  <c r="O766" i="93"/>
  <c r="O765" i="93"/>
  <c r="O764" i="93"/>
  <c r="O763" i="93"/>
  <c r="O762" i="93"/>
  <c r="O761" i="93"/>
  <c r="O760" i="93"/>
  <c r="O759" i="93"/>
  <c r="O758" i="93"/>
  <c r="O757" i="93"/>
  <c r="O756" i="93"/>
  <c r="O755" i="93"/>
  <c r="O754" i="93"/>
  <c r="O753" i="93"/>
  <c r="O752" i="93"/>
  <c r="O751" i="93"/>
  <c r="O750" i="93"/>
  <c r="O749" i="93"/>
  <c r="O748" i="93"/>
  <c r="O747" i="93"/>
  <c r="O746" i="93"/>
  <c r="O745" i="93"/>
  <c r="O744" i="93"/>
  <c r="O743" i="93"/>
  <c r="O742" i="93"/>
  <c r="O741" i="93"/>
  <c r="O740" i="93"/>
  <c r="O739" i="93"/>
  <c r="O738" i="93"/>
  <c r="O737" i="93"/>
  <c r="O736" i="93"/>
  <c r="O735" i="93"/>
  <c r="O734" i="93"/>
  <c r="O733" i="93"/>
  <c r="O732" i="93"/>
  <c r="O731" i="93"/>
  <c r="O730" i="93"/>
  <c r="O729" i="93"/>
  <c r="O728" i="93"/>
  <c r="O727" i="93"/>
  <c r="O726" i="93"/>
  <c r="O725" i="93"/>
  <c r="O724" i="93"/>
  <c r="O723" i="93"/>
  <c r="O722" i="93"/>
  <c r="O721" i="93"/>
  <c r="O720" i="93"/>
  <c r="O719" i="93"/>
  <c r="O718" i="93"/>
  <c r="O717" i="93"/>
  <c r="O716" i="93"/>
  <c r="O715" i="93"/>
  <c r="O714" i="93"/>
  <c r="O713" i="93"/>
  <c r="O712" i="93"/>
  <c r="O711" i="93"/>
  <c r="O710" i="93"/>
  <c r="O709" i="93"/>
  <c r="O708" i="93"/>
  <c r="O707" i="93"/>
  <c r="O706" i="93"/>
  <c r="O705" i="93"/>
  <c r="O704" i="93"/>
  <c r="O703" i="93"/>
  <c r="O702" i="93"/>
  <c r="O701" i="93"/>
  <c r="O700" i="93"/>
  <c r="O699" i="93"/>
  <c r="O698" i="93"/>
  <c r="O697" i="93"/>
  <c r="O696" i="93"/>
  <c r="O695" i="93"/>
  <c r="O694" i="93"/>
  <c r="O693" i="93"/>
  <c r="O692" i="93"/>
  <c r="O691" i="93"/>
  <c r="O690" i="93"/>
  <c r="O689" i="93"/>
  <c r="O688" i="93"/>
  <c r="O687" i="93"/>
  <c r="O686" i="93"/>
  <c r="O685" i="93"/>
  <c r="O684" i="93"/>
  <c r="O683" i="93"/>
  <c r="O682" i="93"/>
  <c r="O681" i="93"/>
  <c r="O680" i="93"/>
  <c r="O679" i="93"/>
  <c r="O678" i="93"/>
  <c r="O677" i="93"/>
  <c r="O676" i="93"/>
  <c r="O675" i="93"/>
  <c r="O674" i="93"/>
  <c r="O673" i="93"/>
  <c r="O672" i="93"/>
  <c r="O671" i="93"/>
  <c r="O670" i="93"/>
  <c r="O669" i="93"/>
  <c r="O668" i="93"/>
  <c r="O667" i="93"/>
  <c r="O666" i="93"/>
  <c r="O665" i="93"/>
  <c r="O664" i="93"/>
  <c r="O663" i="93"/>
  <c r="O662" i="93"/>
  <c r="O661" i="93"/>
  <c r="O660" i="93"/>
  <c r="O659" i="93"/>
  <c r="O658" i="93"/>
  <c r="O657" i="93"/>
  <c r="O656" i="93"/>
  <c r="O655" i="93"/>
  <c r="O654" i="93"/>
  <c r="O653" i="93"/>
  <c r="O652" i="93"/>
  <c r="O651" i="93"/>
  <c r="O650" i="93"/>
  <c r="O649" i="93"/>
  <c r="O648" i="93"/>
  <c r="O647" i="93"/>
  <c r="O646" i="93"/>
  <c r="O645" i="93"/>
  <c r="O644" i="93"/>
  <c r="O643" i="93"/>
  <c r="O642" i="93"/>
  <c r="O641" i="93"/>
  <c r="O640" i="93"/>
  <c r="O639" i="93"/>
  <c r="O638" i="93"/>
  <c r="O637" i="93"/>
  <c r="O636" i="93"/>
  <c r="O635" i="93"/>
  <c r="O634" i="93"/>
  <c r="O633" i="93"/>
  <c r="O632" i="93"/>
  <c r="O631" i="93"/>
  <c r="O630" i="93"/>
  <c r="O628" i="93"/>
  <c r="O627" i="93"/>
  <c r="O626" i="93"/>
  <c r="O625" i="93"/>
  <c r="O624" i="93"/>
  <c r="O623" i="93"/>
  <c r="O622" i="93"/>
  <c r="O621" i="93"/>
  <c r="O620" i="93"/>
  <c r="O619" i="93"/>
  <c r="O618" i="93"/>
  <c r="O617" i="93"/>
  <c r="O616" i="93"/>
  <c r="O615" i="93"/>
  <c r="O614" i="93"/>
  <c r="O613" i="93"/>
  <c r="O612" i="93"/>
  <c r="O611" i="93"/>
  <c r="O610" i="93"/>
  <c r="O609" i="93"/>
  <c r="O608" i="93"/>
  <c r="O607" i="93"/>
  <c r="O606" i="93"/>
  <c r="O605" i="93"/>
  <c r="O604" i="93"/>
  <c r="O603" i="93"/>
  <c r="O602" i="93"/>
  <c r="O601" i="93"/>
  <c r="O600" i="93"/>
  <c r="O599" i="93"/>
  <c r="O598" i="93"/>
  <c r="O597" i="93"/>
  <c r="O596" i="93"/>
  <c r="O595" i="93"/>
  <c r="O594" i="93"/>
  <c r="O593" i="93"/>
  <c r="O592" i="93"/>
  <c r="O591" i="93"/>
  <c r="O590" i="93"/>
  <c r="O589" i="93"/>
  <c r="O588" i="93"/>
  <c r="O587" i="93"/>
  <c r="O586" i="93"/>
  <c r="O585" i="93"/>
  <c r="O584" i="93"/>
  <c r="O583" i="93"/>
  <c r="O582" i="93"/>
  <c r="O581" i="93"/>
  <c r="O580" i="93"/>
  <c r="O579" i="93"/>
  <c r="O578" i="93"/>
  <c r="O577" i="93"/>
  <c r="O576" i="93"/>
  <c r="O575" i="93"/>
  <c r="O574" i="93"/>
  <c r="O573" i="93"/>
  <c r="O572" i="93"/>
  <c r="O571" i="93"/>
  <c r="O570" i="93"/>
  <c r="O569" i="93"/>
  <c r="O568" i="93"/>
  <c r="O567" i="93"/>
  <c r="O566" i="93"/>
  <c r="O565" i="93"/>
  <c r="O564" i="93"/>
  <c r="O563" i="93"/>
  <c r="O562" i="93"/>
  <c r="O561" i="93"/>
  <c r="O560" i="93"/>
  <c r="O559" i="93"/>
  <c r="O558" i="93"/>
  <c r="O557" i="93"/>
  <c r="O556" i="93"/>
  <c r="O555" i="93"/>
  <c r="O554" i="93"/>
  <c r="O553" i="93"/>
  <c r="O552" i="93"/>
  <c r="O551" i="93"/>
  <c r="O550" i="93"/>
  <c r="O549" i="93"/>
  <c r="O548" i="93"/>
  <c r="O547" i="93"/>
  <c r="O546" i="93"/>
  <c r="O545" i="93"/>
  <c r="O544" i="93"/>
  <c r="O543" i="93"/>
  <c r="O542" i="93"/>
  <c r="O541" i="93"/>
  <c r="O540" i="93"/>
  <c r="O539" i="93"/>
  <c r="O538" i="93"/>
  <c r="O537" i="93"/>
  <c r="O536" i="93"/>
  <c r="O535" i="93"/>
  <c r="O534" i="93"/>
  <c r="O533" i="93"/>
  <c r="O532" i="93"/>
  <c r="O531" i="93"/>
  <c r="O530" i="93"/>
  <c r="O529" i="93"/>
  <c r="O528" i="93"/>
  <c r="O527" i="93"/>
  <c r="O526" i="93"/>
  <c r="O525" i="93"/>
  <c r="O524" i="93"/>
  <c r="O523" i="93"/>
  <c r="O522" i="93"/>
  <c r="O521" i="93"/>
  <c r="O520" i="93"/>
  <c r="O519" i="93"/>
  <c r="O518" i="93"/>
  <c r="O517" i="93"/>
  <c r="O516" i="93"/>
  <c r="O515" i="93"/>
  <c r="O514" i="93"/>
  <c r="O513" i="93"/>
  <c r="O512" i="93"/>
  <c r="O511" i="93"/>
  <c r="O510" i="93"/>
  <c r="O509" i="93"/>
  <c r="O508" i="93"/>
  <c r="O507" i="93"/>
  <c r="O506" i="93"/>
  <c r="O505" i="93"/>
  <c r="O504" i="93"/>
  <c r="O503" i="93"/>
  <c r="O502" i="93"/>
  <c r="O501" i="93"/>
  <c r="O500" i="93"/>
  <c r="O499" i="93"/>
  <c r="O498" i="93"/>
  <c r="O497" i="93"/>
  <c r="O496" i="93"/>
  <c r="O495" i="93"/>
  <c r="O494" i="93"/>
  <c r="O493" i="93"/>
  <c r="O492" i="93"/>
  <c r="O491" i="93"/>
  <c r="O490" i="93"/>
  <c r="O489" i="93"/>
  <c r="O488" i="93"/>
  <c r="O487" i="93"/>
  <c r="O486" i="93"/>
  <c r="O485" i="93"/>
  <c r="O484" i="93"/>
  <c r="O483" i="93"/>
  <c r="O482" i="93"/>
  <c r="O481" i="93"/>
  <c r="O480" i="93"/>
  <c r="O479" i="93"/>
  <c r="O478" i="93"/>
  <c r="O477" i="93"/>
  <c r="O476" i="93"/>
  <c r="O475" i="93"/>
  <c r="O474" i="93"/>
  <c r="O473" i="93"/>
  <c r="O472" i="93"/>
  <c r="O471" i="93"/>
  <c r="O470" i="93"/>
  <c r="O469" i="93"/>
  <c r="O468" i="93"/>
  <c r="O467" i="93"/>
  <c r="O466" i="93"/>
  <c r="O465" i="93"/>
  <c r="O464" i="93"/>
  <c r="O463" i="93"/>
  <c r="O462" i="93"/>
  <c r="O461" i="93"/>
  <c r="O460" i="93"/>
  <c r="O459" i="93"/>
  <c r="O458" i="93"/>
  <c r="O457" i="93"/>
  <c r="O456" i="93"/>
  <c r="O455" i="93"/>
  <c r="O454" i="93"/>
  <c r="O453" i="93"/>
  <c r="O452" i="93"/>
  <c r="O451" i="93"/>
  <c r="O450" i="93"/>
  <c r="O449" i="93"/>
  <c r="O448" i="93"/>
  <c r="O447" i="93"/>
  <c r="O446" i="93"/>
  <c r="O445" i="93"/>
  <c r="O444" i="93"/>
  <c r="O443" i="93"/>
  <c r="O442" i="93"/>
  <c r="O441" i="93"/>
  <c r="O440" i="93"/>
  <c r="O439" i="93"/>
  <c r="O438" i="93"/>
  <c r="O437" i="93"/>
  <c r="O436" i="93"/>
  <c r="O435" i="93"/>
  <c r="O434" i="93"/>
  <c r="O433" i="93"/>
  <c r="O432" i="93"/>
  <c r="O431" i="93"/>
  <c r="O430" i="93"/>
  <c r="O429" i="93"/>
  <c r="O428" i="93"/>
  <c r="O427" i="93"/>
  <c r="O426" i="93"/>
  <c r="O425" i="93"/>
  <c r="O424" i="93"/>
  <c r="O423" i="93"/>
  <c r="O422" i="93"/>
  <c r="O421" i="93"/>
  <c r="O420" i="93"/>
  <c r="O419" i="93"/>
  <c r="O418" i="93"/>
  <c r="O417" i="93"/>
  <c r="O416" i="93"/>
  <c r="O415" i="93"/>
  <c r="O414" i="93"/>
  <c r="O413" i="93"/>
  <c r="O412" i="93"/>
  <c r="O411" i="93"/>
  <c r="O410" i="93"/>
  <c r="O409" i="93"/>
  <c r="O408" i="93"/>
  <c r="O407" i="93"/>
  <c r="O406" i="93"/>
  <c r="O405" i="93"/>
  <c r="O404" i="93"/>
  <c r="O403" i="93"/>
  <c r="O402" i="93"/>
  <c r="O401" i="93"/>
  <c r="O400" i="93"/>
  <c r="O399" i="93"/>
  <c r="O398" i="93"/>
  <c r="O397" i="93"/>
  <c r="O396" i="93"/>
  <c r="O395" i="93"/>
  <c r="O394" i="93"/>
  <c r="O393" i="93"/>
  <c r="O392" i="93"/>
  <c r="O391" i="93"/>
  <c r="O390" i="93"/>
  <c r="O389" i="93"/>
  <c r="O388" i="93"/>
  <c r="O387" i="93"/>
  <c r="O386" i="93"/>
  <c r="O385" i="93"/>
  <c r="O384" i="93"/>
  <c r="O383" i="93"/>
  <c r="O382" i="93"/>
  <c r="O381" i="93"/>
  <c r="O380" i="93"/>
  <c r="O379" i="93"/>
  <c r="O378" i="93"/>
  <c r="O377" i="93"/>
  <c r="O376" i="93"/>
  <c r="O375" i="93"/>
  <c r="O374" i="93"/>
  <c r="O373" i="93"/>
  <c r="O372" i="93"/>
  <c r="O371" i="93"/>
  <c r="O370" i="93"/>
  <c r="O369" i="93"/>
  <c r="O368" i="93"/>
  <c r="O367" i="93"/>
  <c r="O366" i="93"/>
  <c r="O365" i="93"/>
  <c r="O364" i="93"/>
  <c r="O363" i="93"/>
  <c r="O362" i="93"/>
  <c r="O361" i="93"/>
  <c r="O360" i="93"/>
  <c r="O359" i="93"/>
  <c r="O358" i="93"/>
  <c r="O357" i="93"/>
  <c r="O356" i="93"/>
  <c r="O355" i="93"/>
  <c r="O354" i="93"/>
  <c r="O353" i="93"/>
  <c r="O352" i="93"/>
  <c r="O351" i="93"/>
  <c r="O350" i="93"/>
  <c r="O349" i="93"/>
  <c r="O348" i="93"/>
  <c r="O347" i="93"/>
  <c r="O346" i="93"/>
  <c r="O345" i="93"/>
  <c r="O344" i="93"/>
  <c r="O343" i="93"/>
  <c r="O342" i="93"/>
  <c r="O341" i="93"/>
  <c r="O340" i="93"/>
  <c r="O339" i="93"/>
  <c r="O338" i="93"/>
  <c r="O337" i="93"/>
  <c r="O336" i="93"/>
  <c r="O335" i="93"/>
  <c r="O334" i="93"/>
  <c r="O333" i="93"/>
  <c r="O332" i="93"/>
  <c r="O331" i="93"/>
  <c r="O330" i="93"/>
  <c r="O329" i="93"/>
  <c r="O328" i="93"/>
  <c r="O327" i="93"/>
  <c r="O326" i="93"/>
  <c r="O325" i="93"/>
  <c r="O324" i="93"/>
  <c r="O323" i="93"/>
  <c r="O322" i="93"/>
  <c r="O321" i="93"/>
  <c r="O320" i="93"/>
  <c r="O319" i="93"/>
  <c r="O318" i="93"/>
  <c r="O317" i="93"/>
  <c r="O316" i="93"/>
  <c r="O315" i="93"/>
  <c r="O314" i="93"/>
  <c r="O313" i="93"/>
  <c r="O312" i="93"/>
  <c r="O311" i="93"/>
  <c r="O310" i="93"/>
  <c r="O309" i="93"/>
  <c r="O308" i="93"/>
  <c r="O307" i="93"/>
  <c r="O306" i="93"/>
  <c r="O305" i="93"/>
  <c r="O304" i="93"/>
  <c r="O303" i="93"/>
  <c r="O302" i="93"/>
  <c r="O301" i="93"/>
  <c r="O300" i="93"/>
  <c r="O299" i="93"/>
  <c r="O298" i="93"/>
  <c r="O297" i="93"/>
  <c r="O296" i="93"/>
  <c r="O295" i="93"/>
  <c r="O294" i="93"/>
  <c r="O293" i="93"/>
  <c r="O292" i="93"/>
  <c r="O291" i="93"/>
  <c r="O290" i="93"/>
  <c r="O289" i="93"/>
  <c r="O288" i="93"/>
  <c r="O287" i="93"/>
  <c r="O286" i="93"/>
  <c r="O285" i="93"/>
  <c r="O278" i="93"/>
  <c r="O277" i="93"/>
  <c r="O276" i="93"/>
  <c r="O275" i="93"/>
  <c r="O274" i="93"/>
  <c r="O273" i="93"/>
  <c r="O272" i="93"/>
  <c r="O271" i="93"/>
  <c r="O270" i="93"/>
  <c r="O269" i="93"/>
  <c r="O268" i="93"/>
  <c r="O267" i="93"/>
  <c r="O266" i="93"/>
  <c r="O265" i="93"/>
  <c r="O264" i="93"/>
  <c r="O263" i="93"/>
  <c r="O262" i="93"/>
  <c r="O261" i="93"/>
  <c r="O260" i="93"/>
  <c r="O259" i="93"/>
  <c r="O258" i="93"/>
  <c r="O257" i="93"/>
  <c r="O256" i="93"/>
  <c r="O255" i="93"/>
  <c r="O254" i="93"/>
  <c r="O253" i="93"/>
  <c r="O252" i="93"/>
  <c r="O251" i="93"/>
  <c r="O250" i="93"/>
  <c r="O249" i="93"/>
  <c r="O248" i="93"/>
  <c r="O247" i="93"/>
  <c r="O246" i="93"/>
  <c r="O245" i="93"/>
  <c r="O244" i="93"/>
  <c r="O243" i="93"/>
  <c r="O242" i="93"/>
  <c r="O241" i="93"/>
  <c r="O240" i="93"/>
  <c r="O239" i="93"/>
  <c r="O238" i="93"/>
  <c r="O237" i="93"/>
  <c r="O236" i="93"/>
  <c r="O235" i="93"/>
  <c r="O234" i="93"/>
  <c r="O233" i="93"/>
  <c r="O232" i="93"/>
  <c r="O231" i="93"/>
  <c r="O230" i="93"/>
  <c r="O229" i="93"/>
  <c r="O228" i="93"/>
  <c r="O227" i="93"/>
  <c r="O226" i="93"/>
  <c r="O225" i="93"/>
  <c r="O224" i="93"/>
  <c r="O223" i="93"/>
  <c r="O222" i="93"/>
  <c r="O221" i="93"/>
  <c r="O220" i="93"/>
  <c r="O219" i="93"/>
  <c r="O218" i="93"/>
  <c r="O217" i="93"/>
  <c r="O216" i="93"/>
  <c r="O215" i="93"/>
  <c r="O214" i="93"/>
  <c r="O213" i="93"/>
  <c r="O212" i="93"/>
  <c r="O211" i="93"/>
  <c r="O210" i="93"/>
  <c r="O209" i="93"/>
  <c r="O208" i="93"/>
  <c r="O207" i="93"/>
  <c r="O206" i="93"/>
  <c r="O205" i="93"/>
  <c r="O204" i="93"/>
  <c r="O203" i="93"/>
  <c r="O202" i="93"/>
  <c r="O201" i="93"/>
  <c r="O200" i="93"/>
  <c r="O199" i="93"/>
  <c r="O198" i="93"/>
  <c r="O197" i="93"/>
  <c r="O196" i="93"/>
  <c r="O195" i="93"/>
  <c r="O194" i="93"/>
  <c r="O193" i="93"/>
  <c r="O192" i="93"/>
  <c r="O191" i="93"/>
  <c r="O190" i="93"/>
  <c r="O189" i="93"/>
  <c r="O188" i="93"/>
  <c r="O187" i="93"/>
  <c r="O186" i="93"/>
  <c r="O185" i="93"/>
  <c r="O184" i="93"/>
  <c r="O183" i="93"/>
  <c r="O182" i="93"/>
  <c r="O181" i="93"/>
  <c r="O180" i="93"/>
  <c r="O179" i="93"/>
  <c r="O178" i="93"/>
  <c r="O177" i="93"/>
  <c r="O176" i="93"/>
  <c r="O175" i="93"/>
  <c r="O174" i="93"/>
  <c r="O173" i="93"/>
  <c r="O172" i="93"/>
  <c r="O171" i="93"/>
  <c r="O170" i="93"/>
  <c r="O169" i="93"/>
  <c r="O168" i="93"/>
  <c r="O167" i="93"/>
  <c r="O166" i="93"/>
  <c r="O165" i="93"/>
  <c r="O164" i="93"/>
  <c r="O163" i="93"/>
  <c r="O162" i="93"/>
  <c r="O161" i="93"/>
  <c r="O160" i="93"/>
  <c r="O159" i="93"/>
  <c r="O158" i="93"/>
  <c r="O157" i="93"/>
  <c r="O156" i="93"/>
  <c r="O155" i="93"/>
  <c r="O154" i="93"/>
  <c r="O153" i="93"/>
  <c r="O152" i="93"/>
  <c r="O151" i="93"/>
  <c r="O150" i="93"/>
  <c r="O149" i="93"/>
  <c r="O148" i="93"/>
  <c r="O147" i="93"/>
  <c r="O146" i="93"/>
  <c r="O145" i="93"/>
  <c r="O144" i="93"/>
  <c r="O143" i="93"/>
  <c r="O142" i="93"/>
  <c r="O141" i="93"/>
  <c r="O140" i="93"/>
  <c r="O139" i="93"/>
  <c r="O138" i="93"/>
  <c r="O137" i="93"/>
  <c r="O136" i="93"/>
  <c r="O135" i="93"/>
  <c r="O134" i="93"/>
  <c r="O133" i="93"/>
  <c r="O128" i="93"/>
  <c r="O127" i="93"/>
  <c r="O126" i="93"/>
  <c r="O125" i="93"/>
  <c r="O124" i="93"/>
  <c r="O123" i="93"/>
  <c r="O122" i="93"/>
  <c r="O121" i="93"/>
  <c r="O120" i="93"/>
  <c r="O119" i="93"/>
  <c r="O118" i="93"/>
  <c r="O117" i="93"/>
  <c r="O116" i="93"/>
  <c r="O115" i="93"/>
  <c r="O114" i="93"/>
  <c r="O113" i="93"/>
  <c r="O112" i="93"/>
  <c r="O111" i="93"/>
  <c r="O110" i="93"/>
  <c r="O109" i="93"/>
  <c r="O108" i="93"/>
  <c r="O107" i="93"/>
  <c r="O106" i="93"/>
  <c r="O105" i="93"/>
  <c r="O104" i="93"/>
  <c r="O103" i="93"/>
  <c r="O102" i="93"/>
  <c r="O101" i="93"/>
  <c r="O100" i="93"/>
  <c r="O99" i="93"/>
  <c r="O98" i="93"/>
  <c r="O97" i="93"/>
  <c r="O96" i="93"/>
  <c r="O95" i="93"/>
  <c r="O94" i="93"/>
  <c r="O93" i="93"/>
  <c r="O92" i="93"/>
  <c r="O91" i="93"/>
  <c r="O90" i="93"/>
  <c r="O89" i="93"/>
  <c r="O88" i="93"/>
  <c r="O87" i="93"/>
  <c r="O86" i="93"/>
  <c r="O85" i="93"/>
  <c r="O84" i="93"/>
  <c r="O83" i="93"/>
  <c r="O82" i="93"/>
  <c r="O81" i="93"/>
  <c r="O80" i="93"/>
  <c r="O79" i="93"/>
  <c r="O78" i="93"/>
  <c r="O77" i="93"/>
  <c r="O76" i="93"/>
  <c r="O75" i="93"/>
  <c r="O74" i="93"/>
  <c r="O73" i="93"/>
  <c r="O72" i="93"/>
  <c r="O71" i="93"/>
  <c r="O70" i="93"/>
  <c r="O69" i="93"/>
  <c r="O68" i="93"/>
  <c r="O67" i="93"/>
  <c r="O66" i="93"/>
  <c r="O65" i="93"/>
  <c r="O64" i="93"/>
  <c r="O63" i="93"/>
  <c r="O62" i="93"/>
  <c r="O61" i="93"/>
  <c r="O60" i="93"/>
  <c r="O59" i="93"/>
  <c r="O58" i="93"/>
  <c r="O57" i="93"/>
  <c r="O56" i="93"/>
  <c r="O55" i="93"/>
  <c r="O54" i="93"/>
  <c r="O53" i="93"/>
  <c r="O52" i="93"/>
  <c r="O51" i="93"/>
  <c r="O50" i="93"/>
  <c r="O49" i="93"/>
  <c r="O48" i="93"/>
  <c r="O47" i="93"/>
  <c r="O46" i="93"/>
  <c r="O45" i="93"/>
  <c r="O44" i="93"/>
  <c r="O43" i="93"/>
  <c r="O42" i="93"/>
  <c r="O41" i="93"/>
  <c r="O40" i="93"/>
  <c r="O39" i="93"/>
  <c r="O38" i="93"/>
  <c r="O37" i="93"/>
  <c r="O36" i="93"/>
  <c r="O35" i="93"/>
  <c r="O34" i="93"/>
  <c r="O33" i="93"/>
  <c r="O32" i="93"/>
  <c r="O31" i="93"/>
  <c r="O30" i="93"/>
  <c r="O29" i="93"/>
  <c r="O28" i="93"/>
  <c r="O27" i="93"/>
  <c r="O26" i="93"/>
  <c r="O25" i="93"/>
  <c r="O24" i="93"/>
  <c r="O23" i="93"/>
  <c r="O22" i="93"/>
  <c r="O21" i="93"/>
  <c r="O20" i="93"/>
  <c r="O19" i="93"/>
  <c r="O18" i="93"/>
  <c r="O17" i="93"/>
  <c r="O16" i="93"/>
  <c r="O15" i="93"/>
  <c r="O14" i="93"/>
  <c r="O13" i="93"/>
  <c r="O12" i="93"/>
  <c r="O11" i="93"/>
  <c r="O10" i="93"/>
  <c r="O9" i="93"/>
  <c r="O8" i="93"/>
  <c r="O7" i="93"/>
  <c r="O6" i="93"/>
  <c r="O5" i="93"/>
  <c r="O4" i="93"/>
  <c r="O3" i="93"/>
  <c r="O2" i="93"/>
  <c r="V29" i="42" l="1"/>
  <c r="W29" i="42"/>
  <c r="X29" i="42"/>
  <c r="V30" i="42"/>
  <c r="W30" i="42"/>
  <c r="X30" i="42"/>
  <c r="V31" i="42"/>
  <c r="W31" i="42"/>
  <c r="X31" i="42"/>
  <c r="V32" i="42"/>
  <c r="W32" i="42"/>
  <c r="X32" i="42"/>
  <c r="V33" i="42"/>
  <c r="W33" i="42"/>
  <c r="X33" i="42"/>
  <c r="V34" i="42"/>
  <c r="W34" i="42"/>
  <c r="X34" i="42"/>
  <c r="V35" i="42"/>
  <c r="W35" i="42"/>
  <c r="X35" i="42"/>
  <c r="V36" i="42"/>
  <c r="W36" i="42"/>
  <c r="X36" i="42"/>
  <c r="V37" i="42"/>
  <c r="W37" i="42"/>
  <c r="X37" i="42"/>
  <c r="V38" i="42"/>
  <c r="W38" i="42"/>
  <c r="X38" i="42"/>
  <c r="V39" i="42"/>
  <c r="W39" i="42"/>
  <c r="X39" i="42"/>
  <c r="V40" i="42"/>
  <c r="W40" i="42"/>
  <c r="X40" i="42"/>
  <c r="V41" i="42"/>
  <c r="W41" i="42"/>
  <c r="X41" i="42"/>
  <c r="V42" i="42"/>
  <c r="W42" i="42"/>
  <c r="X42" i="42"/>
  <c r="V43" i="42"/>
  <c r="W43" i="42"/>
  <c r="X43" i="42"/>
  <c r="V44" i="42"/>
  <c r="W44" i="42"/>
  <c r="X44" i="42"/>
  <c r="V45" i="42"/>
  <c r="W45" i="42"/>
  <c r="X45" i="42"/>
  <c r="V46" i="42"/>
  <c r="W46" i="42"/>
  <c r="X46" i="42"/>
  <c r="V47" i="42"/>
  <c r="W47" i="42"/>
  <c r="X47" i="42"/>
  <c r="V48" i="42"/>
  <c r="W48" i="42"/>
  <c r="X48" i="42"/>
  <c r="V49" i="42"/>
  <c r="W49" i="42"/>
  <c r="X49" i="42"/>
  <c r="V50" i="42"/>
  <c r="W50" i="42"/>
  <c r="X50" i="42"/>
  <c r="V51" i="42"/>
  <c r="W51" i="42"/>
  <c r="X51" i="42"/>
  <c r="V52" i="42"/>
  <c r="W52" i="42"/>
  <c r="X52" i="42"/>
  <c r="V53" i="42"/>
  <c r="W53" i="42"/>
  <c r="X53" i="42"/>
  <c r="V54" i="42"/>
  <c r="W54" i="42"/>
  <c r="X54" i="42"/>
  <c r="V55" i="42"/>
  <c r="W55" i="42"/>
  <c r="X55" i="42"/>
  <c r="V56" i="42"/>
  <c r="W56" i="42"/>
  <c r="X56" i="42"/>
  <c r="V57" i="42"/>
  <c r="W57" i="42"/>
  <c r="X57" i="42"/>
  <c r="V58" i="42"/>
  <c r="W58" i="42"/>
  <c r="X58" i="42"/>
  <c r="V59" i="42"/>
  <c r="W59" i="42"/>
  <c r="X59" i="42"/>
  <c r="V60" i="42"/>
  <c r="W60" i="42"/>
  <c r="X60" i="42"/>
  <c r="V61" i="42"/>
  <c r="W61" i="42"/>
  <c r="X61" i="42"/>
  <c r="V62" i="42"/>
  <c r="W62" i="42"/>
  <c r="X62" i="42"/>
  <c r="V63" i="42"/>
  <c r="W63" i="42"/>
  <c r="X63" i="42"/>
  <c r="V64" i="42"/>
  <c r="W64" i="42"/>
  <c r="X64" i="42"/>
  <c r="V65" i="42"/>
  <c r="W65" i="42"/>
  <c r="X65" i="42"/>
  <c r="V3" i="42"/>
  <c r="W3" i="42"/>
  <c r="X3" i="42"/>
  <c r="V4" i="42"/>
  <c r="W4" i="42"/>
  <c r="X4" i="42"/>
  <c r="V5" i="42"/>
  <c r="W5" i="42"/>
  <c r="X5" i="42"/>
  <c r="V6" i="42"/>
  <c r="W6" i="42"/>
  <c r="X6" i="42"/>
  <c r="V7" i="42"/>
  <c r="W7" i="42"/>
  <c r="X7" i="42"/>
  <c r="V8" i="42"/>
  <c r="W8" i="42"/>
  <c r="X8" i="42"/>
  <c r="V9" i="42"/>
  <c r="W9" i="42"/>
  <c r="X9" i="42"/>
  <c r="V10" i="42"/>
  <c r="W10" i="42"/>
  <c r="X10" i="42"/>
  <c r="V11" i="42"/>
  <c r="W11" i="42"/>
  <c r="X11" i="42"/>
  <c r="V12" i="42"/>
  <c r="W12" i="42"/>
  <c r="X12" i="42"/>
  <c r="V13" i="42"/>
  <c r="W13" i="42"/>
  <c r="X13" i="42"/>
  <c r="V14" i="42"/>
  <c r="W14" i="42"/>
  <c r="X14" i="42"/>
  <c r="V15" i="42"/>
  <c r="W15" i="42"/>
  <c r="X15" i="42"/>
  <c r="V16" i="42"/>
  <c r="W16" i="42"/>
  <c r="X16" i="42"/>
  <c r="V17" i="42"/>
  <c r="W17" i="42"/>
  <c r="X17" i="42"/>
  <c r="V18" i="42"/>
  <c r="W18" i="42"/>
  <c r="X18" i="42"/>
  <c r="V19" i="42"/>
  <c r="W19" i="42"/>
  <c r="X19" i="42"/>
  <c r="V20" i="42"/>
  <c r="W20" i="42"/>
  <c r="X20" i="42"/>
  <c r="V21" i="42"/>
  <c r="W21" i="42"/>
  <c r="X21" i="42"/>
  <c r="V22" i="42"/>
  <c r="W22" i="42"/>
  <c r="X22" i="42"/>
  <c r="V23" i="42"/>
  <c r="W23" i="42"/>
  <c r="X23" i="42"/>
  <c r="V24" i="42"/>
  <c r="W24" i="42"/>
  <c r="X24" i="42"/>
  <c r="V25" i="42"/>
  <c r="W25" i="42"/>
  <c r="X25" i="42"/>
  <c r="V26" i="42"/>
  <c r="W26" i="42"/>
  <c r="X26" i="42"/>
  <c r="V27" i="42"/>
  <c r="W27" i="42"/>
  <c r="X27" i="42"/>
  <c r="V28" i="42"/>
  <c r="W28" i="42"/>
  <c r="X28" i="42"/>
  <c r="M42" i="42" l="1"/>
  <c r="N42" i="42" s="1"/>
  <c r="M46" i="42"/>
  <c r="N46" i="42" s="1"/>
  <c r="M51" i="42"/>
  <c r="N51" i="42" s="1"/>
  <c r="M54" i="42"/>
  <c r="N54" i="42" s="1"/>
  <c r="AH410" i="79"/>
  <c r="AG410" i="79"/>
  <c r="K55" i="42"/>
  <c r="K56" i="42" s="1"/>
  <c r="K57" i="42" s="1"/>
  <c r="K58" i="42" s="1"/>
  <c r="K59" i="42" s="1"/>
  <c r="K60" i="42" s="1"/>
  <c r="K61" i="42" s="1"/>
  <c r="K62" i="42" s="1"/>
  <c r="K63" i="42" s="1"/>
  <c r="K64" i="42" s="1"/>
  <c r="K65" i="42" s="1"/>
  <c r="M65" i="42" s="1"/>
  <c r="N65" i="42" s="1"/>
  <c r="K52" i="42"/>
  <c r="M52" i="42" s="1"/>
  <c r="N52" i="42" s="1"/>
  <c r="K47" i="42"/>
  <c r="K48" i="42" s="1"/>
  <c r="Q410" i="79"/>
  <c r="P410" i="79"/>
  <c r="O410" i="79"/>
  <c r="C410" i="79"/>
  <c r="Q403" i="79"/>
  <c r="O403" i="79"/>
  <c r="C403" i="79"/>
  <c r="Q398" i="79"/>
  <c r="O398" i="79"/>
  <c r="C398" i="79"/>
  <c r="Q390" i="79"/>
  <c r="O390" i="79"/>
  <c r="C390" i="79"/>
  <c r="Q382" i="79"/>
  <c r="O382" i="79"/>
  <c r="C382" i="79"/>
  <c r="Q372" i="79"/>
  <c r="P372" i="79"/>
  <c r="O372" i="79"/>
  <c r="C372" i="79"/>
  <c r="Q367" i="79"/>
  <c r="P367" i="79"/>
  <c r="O367" i="79"/>
  <c r="C367" i="79"/>
  <c r="Q359" i="79"/>
  <c r="O359" i="79"/>
  <c r="C359" i="79"/>
  <c r="Q354" i="79"/>
  <c r="O354" i="79"/>
  <c r="C354" i="79"/>
  <c r="Q349" i="79"/>
  <c r="O349" i="79"/>
  <c r="C349" i="79"/>
  <c r="Q344" i="79"/>
  <c r="O344" i="79"/>
  <c r="C344" i="79"/>
  <c r="Q339" i="79"/>
  <c r="O339" i="79"/>
  <c r="C339" i="79"/>
  <c r="Q331" i="79"/>
  <c r="C331" i="79"/>
  <c r="Q326" i="79"/>
  <c r="O326" i="79"/>
  <c r="C326" i="79"/>
  <c r="Q321" i="79"/>
  <c r="P321" i="79"/>
  <c r="O321" i="79"/>
  <c r="C321" i="79"/>
  <c r="Q305" i="79"/>
  <c r="O305" i="79"/>
  <c r="C305" i="79"/>
  <c r="Q300" i="79"/>
  <c r="O300" i="79"/>
  <c r="C300" i="79"/>
  <c r="Q295" i="79"/>
  <c r="O295" i="79"/>
  <c r="C295" i="79"/>
  <c r="Q290" i="79"/>
  <c r="O290" i="79"/>
  <c r="C290" i="79"/>
  <c r="Q285" i="79"/>
  <c r="O285" i="79"/>
  <c r="C285" i="79"/>
  <c r="Q277" i="79"/>
  <c r="O277" i="79"/>
  <c r="C277" i="79"/>
  <c r="Q272" i="79"/>
  <c r="O272" i="79"/>
  <c r="C272" i="79"/>
  <c r="Q267" i="79"/>
  <c r="O267" i="79"/>
  <c r="C267" i="79"/>
  <c r="Q262" i="79"/>
  <c r="O262" i="79"/>
  <c r="C262" i="79"/>
  <c r="C254" i="79"/>
  <c r="P419" i="79"/>
  <c r="AB313" i="79"/>
  <c r="Y313" i="79"/>
  <c r="R313" i="79"/>
  <c r="A313" i="79"/>
  <c r="M64" i="42" l="1"/>
  <c r="N64" i="42" s="1"/>
  <c r="M63" i="42"/>
  <c r="N63" i="42" s="1"/>
  <c r="M56" i="42"/>
  <c r="N56" i="42" s="1"/>
  <c r="M55" i="42"/>
  <c r="N55" i="42" s="1"/>
  <c r="K49" i="42"/>
  <c r="M48" i="42"/>
  <c r="N48" i="42" s="1"/>
  <c r="M47" i="42"/>
  <c r="N47" i="42" s="1"/>
  <c r="M62" i="42"/>
  <c r="N62" i="42" s="1"/>
  <c r="O65" i="42"/>
  <c r="P65" i="42" s="1"/>
  <c r="M61" i="42"/>
  <c r="N61" i="42" s="1"/>
  <c r="K53" i="42"/>
  <c r="M53" i="42" s="1"/>
  <c r="N53" i="42" s="1"/>
  <c r="M60" i="42"/>
  <c r="N60" i="42" s="1"/>
  <c r="M59" i="42"/>
  <c r="N59" i="42" s="1"/>
  <c r="M58" i="42"/>
  <c r="N58" i="42" s="1"/>
  <c r="M57" i="42"/>
  <c r="N57" i="42" s="1"/>
  <c r="AG326" i="79"/>
  <c r="K50" i="42" l="1"/>
  <c r="M50" i="42" s="1"/>
  <c r="N50" i="42" s="1"/>
  <c r="M49" i="42"/>
  <c r="N49" i="42" s="1"/>
  <c r="AH326" i="79"/>
  <c r="O41" i="79" l="1"/>
  <c r="O21" i="79"/>
  <c r="P51" i="79" l="1"/>
  <c r="O51" i="79"/>
  <c r="W2" i="42" l="1"/>
  <c r="X2" i="42"/>
  <c r="S12" i="42"/>
  <c r="V2" i="42"/>
  <c r="R12" i="42" l="1"/>
  <c r="Q12" i="42"/>
  <c r="AG295" i="79"/>
  <c r="AH295" i="79"/>
  <c r="AH262" i="79"/>
  <c r="AG262" i="79"/>
  <c r="O2" i="42"/>
  <c r="AG398" i="79"/>
  <c r="AH398" i="79"/>
  <c r="AH372" i="79"/>
  <c r="AG372" i="79"/>
  <c r="AG277" i="79"/>
  <c r="AH277" i="79"/>
  <c r="AG354" i="79"/>
  <c r="AH354" i="79"/>
  <c r="AG339" i="79"/>
  <c r="AH339" i="79"/>
  <c r="AH305" i="79"/>
  <c r="AG305" i="79"/>
  <c r="AG290" i="79"/>
  <c r="AH290" i="79"/>
  <c r="O3" i="42"/>
  <c r="AG367" i="79"/>
  <c r="AH367" i="79"/>
  <c r="AG331" i="79"/>
  <c r="AH331" i="79"/>
  <c r="AG300" i="79"/>
  <c r="AH300" i="79"/>
  <c r="AG285" i="79"/>
  <c r="AH285" i="79"/>
  <c r="AH267" i="79"/>
  <c r="AG267" i="79"/>
  <c r="AG390" i="79"/>
  <c r="AH390" i="79"/>
  <c r="AG403" i="79"/>
  <c r="AH403" i="79"/>
  <c r="AH272" i="79"/>
  <c r="AG272" i="79"/>
  <c r="AH382" i="79"/>
  <c r="AH359" i="79"/>
  <c r="AG359" i="79"/>
  <c r="AG344" i="79"/>
  <c r="AH344" i="79"/>
  <c r="AG321" i="79"/>
  <c r="AH321" i="79"/>
  <c r="AG349" i="79"/>
  <c r="AH349" i="79"/>
  <c r="O26" i="42" l="1"/>
  <c r="O61" i="42"/>
  <c r="P61" i="42" s="1"/>
  <c r="AG382" i="79"/>
  <c r="O40" i="42"/>
  <c r="O64" i="42"/>
  <c r="O50" i="42"/>
  <c r="P50" i="42" s="1"/>
  <c r="O10" i="42"/>
  <c r="O8" i="42"/>
  <c r="P8" i="42" s="1"/>
  <c r="O39" i="42"/>
  <c r="P39" i="42" s="1"/>
  <c r="O4" i="42"/>
  <c r="O25" i="42"/>
  <c r="O63" i="42"/>
  <c r="P63" i="42" s="1"/>
  <c r="O11" i="42"/>
  <c r="P11" i="42" s="1"/>
  <c r="O55" i="42"/>
  <c r="O6" i="42"/>
  <c r="P6" i="42" s="1"/>
  <c r="O57" i="42"/>
  <c r="O51" i="42"/>
  <c r="P51" i="42" s="1"/>
  <c r="O58" i="42"/>
  <c r="O38" i="42"/>
  <c r="O27" i="42"/>
  <c r="O9" i="42"/>
  <c r="O43" i="42"/>
  <c r="O46" i="42"/>
  <c r="P46" i="42" s="1"/>
  <c r="P3" i="42"/>
  <c r="O13" i="42"/>
  <c r="O31" i="42"/>
  <c r="O29" i="42"/>
  <c r="O16" i="42"/>
  <c r="O47" i="42"/>
  <c r="O22" i="42"/>
  <c r="O28" i="42"/>
  <c r="O44" i="42"/>
  <c r="O18" i="42"/>
  <c r="O32" i="42"/>
  <c r="O49" i="42"/>
  <c r="O30" i="42"/>
  <c r="O5" i="42"/>
  <c r="O42" i="42"/>
  <c r="O7" i="42"/>
  <c r="O17" i="42"/>
  <c r="O33" i="42"/>
  <c r="O48" i="42"/>
  <c r="O34" i="42"/>
  <c r="O37" i="42"/>
  <c r="O59" i="42"/>
  <c r="O54" i="42"/>
  <c r="O19" i="42"/>
  <c r="O35" i="42"/>
  <c r="O53" i="42"/>
  <c r="O45" i="42"/>
  <c r="P2" i="42"/>
  <c r="O20" i="42"/>
  <c r="O62" i="42"/>
  <c r="O15" i="42"/>
  <c r="O36" i="42"/>
  <c r="O60" i="42"/>
  <c r="O41" i="42"/>
  <c r="O24" i="42"/>
  <c r="O23" i="42"/>
  <c r="O14" i="42"/>
  <c r="O12" i="42"/>
  <c r="O21" i="42"/>
  <c r="O56" i="42"/>
  <c r="Q224" i="79"/>
  <c r="Q254" i="79"/>
  <c r="O254" i="79"/>
  <c r="Q249" i="79"/>
  <c r="O249" i="79"/>
  <c r="Q244" i="79"/>
  <c r="O244" i="79"/>
  <c r="Q239" i="79"/>
  <c r="O239" i="79"/>
  <c r="Q234" i="79"/>
  <c r="O234" i="79"/>
  <c r="Q229" i="79"/>
  <c r="O229" i="79"/>
  <c r="Q219" i="79"/>
  <c r="O219" i="79"/>
  <c r="Q200" i="79"/>
  <c r="O200" i="79"/>
  <c r="Q195" i="79"/>
  <c r="O195" i="79"/>
  <c r="Q187" i="79"/>
  <c r="O187" i="79"/>
  <c r="Q182" i="79"/>
  <c r="O182" i="79"/>
  <c r="Q177" i="79"/>
  <c r="O177" i="79"/>
  <c r="Q172" i="79"/>
  <c r="O172" i="79"/>
  <c r="Q167" i="79"/>
  <c r="O167" i="79"/>
  <c r="Q162" i="79"/>
  <c r="O162" i="79"/>
  <c r="Q157" i="79"/>
  <c r="O157" i="79"/>
  <c r="Q152" i="79"/>
  <c r="O152" i="79"/>
  <c r="Q145" i="79"/>
  <c r="P145" i="79"/>
  <c r="O145" i="79"/>
  <c r="Q140" i="79"/>
  <c r="P140" i="79"/>
  <c r="O140" i="79"/>
  <c r="Q135" i="79"/>
  <c r="P135" i="79"/>
  <c r="O135" i="79"/>
  <c r="Q130" i="79"/>
  <c r="O130" i="79"/>
  <c r="Q125" i="79"/>
  <c r="O125" i="79"/>
  <c r="Q120" i="79"/>
  <c r="O120" i="79"/>
  <c r="Q115" i="79"/>
  <c r="O115" i="79"/>
  <c r="Q100" i="79"/>
  <c r="O100" i="79"/>
  <c r="Q95" i="79"/>
  <c r="Q90" i="79"/>
  <c r="Q78" i="79"/>
  <c r="P78" i="79"/>
  <c r="O78" i="79"/>
  <c r="Q73" i="79"/>
  <c r="P73" i="79"/>
  <c r="O73" i="79"/>
  <c r="Q68" i="79"/>
  <c r="P68" i="79"/>
  <c r="O68" i="79"/>
  <c r="Q83" i="79"/>
  <c r="O83" i="79"/>
  <c r="P46" i="79"/>
  <c r="P41" i="79"/>
  <c r="P36" i="79"/>
  <c r="P31" i="79"/>
  <c r="P26" i="79"/>
  <c r="P21" i="79"/>
  <c r="P10" i="42" l="1"/>
  <c r="P26" i="42"/>
  <c r="P57" i="42"/>
  <c r="P27" i="42"/>
  <c r="P58" i="42"/>
  <c r="P25" i="42"/>
  <c r="P43" i="42"/>
  <c r="P4" i="42"/>
  <c r="P13" i="42"/>
  <c r="P9" i="42"/>
  <c r="P55" i="42"/>
  <c r="P38" i="42"/>
  <c r="P20" i="42"/>
  <c r="P33" i="42"/>
  <c r="P44" i="42"/>
  <c r="P53" i="42"/>
  <c r="P59" i="42"/>
  <c r="P17" i="42"/>
  <c r="P42" i="42"/>
  <c r="P45" i="42"/>
  <c r="P37" i="42"/>
  <c r="P31" i="42"/>
  <c r="P41" i="42"/>
  <c r="P35" i="42"/>
  <c r="P5" i="42"/>
  <c r="P28" i="42"/>
  <c r="P19" i="42"/>
  <c r="P7" i="42"/>
  <c r="P49" i="42"/>
  <c r="P22" i="42"/>
  <c r="P15" i="42"/>
  <c r="P54" i="42"/>
  <c r="P32" i="42"/>
  <c r="P47" i="42"/>
  <c r="P60" i="42"/>
  <c r="P62" i="42"/>
  <c r="P34" i="42"/>
  <c r="P18" i="42"/>
  <c r="P16" i="42"/>
  <c r="P30" i="42"/>
  <c r="P36" i="42"/>
  <c r="P64" i="42"/>
  <c r="P48" i="42"/>
  <c r="P40" i="42"/>
  <c r="P29" i="42"/>
  <c r="P24" i="42"/>
  <c r="P23" i="42"/>
  <c r="P14" i="42"/>
  <c r="P12" i="42"/>
  <c r="P21" i="42"/>
  <c r="P56" i="42"/>
  <c r="AB209" i="79"/>
  <c r="Y209" i="79"/>
  <c r="R209" i="79"/>
  <c r="A209" i="79"/>
  <c r="AB108" i="79"/>
  <c r="Y108" i="79"/>
  <c r="R108" i="79"/>
  <c r="A108" i="79"/>
  <c r="M9" i="42" l="1"/>
  <c r="N9" i="42" s="1"/>
  <c r="M10" i="42"/>
  <c r="N10" i="42" s="1"/>
  <c r="M14" i="42"/>
  <c r="N14" i="42" s="1"/>
  <c r="M2" i="42"/>
  <c r="N2" i="42" s="1"/>
  <c r="Q59" i="79" l="1"/>
  <c r="P59" i="79"/>
  <c r="O59" i="79"/>
  <c r="Q46" i="79"/>
  <c r="O46" i="79"/>
  <c r="C59" i="79" l="1"/>
  <c r="AG59" i="79" l="1"/>
  <c r="AH59" i="79"/>
  <c r="K11" i="42"/>
  <c r="M11" i="42" s="1"/>
  <c r="N11" i="42" s="1"/>
  <c r="K12" i="42" l="1"/>
  <c r="M12" i="42" s="1"/>
  <c r="N12" i="42" s="1"/>
  <c r="K13" i="42" l="1"/>
  <c r="M13" i="42" s="1"/>
  <c r="N13" i="42" s="1"/>
  <c r="K15" i="42" l="1"/>
  <c r="M15" i="42" s="1"/>
  <c r="N15" i="42" s="1"/>
  <c r="C83" i="79"/>
  <c r="K16" i="42" l="1"/>
  <c r="M16" i="42" s="1"/>
  <c r="N16" i="42" s="1"/>
  <c r="K18" i="42" l="1"/>
  <c r="M17" i="42"/>
  <c r="N17" i="42" s="1"/>
  <c r="M18" i="42" l="1"/>
  <c r="N18" i="42" s="1"/>
  <c r="K19" i="42"/>
  <c r="M19" i="42" l="1"/>
  <c r="N19" i="42" s="1"/>
  <c r="K20" i="42"/>
  <c r="K21" i="42" l="1"/>
  <c r="M20" i="42"/>
  <c r="N20" i="42" s="1"/>
  <c r="K22" i="42" l="1"/>
  <c r="M21" i="42"/>
  <c r="N21" i="42" s="1"/>
  <c r="M22" i="42" l="1"/>
  <c r="N22" i="42" s="1"/>
  <c r="K23" i="42"/>
  <c r="M23" i="42" l="1"/>
  <c r="N23" i="42" s="1"/>
  <c r="K25" i="42" l="1"/>
  <c r="M24" i="42"/>
  <c r="N24" i="42" s="1"/>
  <c r="K26" i="42" l="1"/>
  <c r="K27" i="42" s="1"/>
  <c r="K28" i="42" s="1"/>
  <c r="K29" i="42" s="1"/>
  <c r="K30" i="42" s="1"/>
  <c r="K31" i="42" s="1"/>
  <c r="K33" i="42" s="1"/>
  <c r="K35" i="42" s="1"/>
  <c r="K36" i="42" s="1"/>
  <c r="K37" i="42" s="1"/>
  <c r="K38" i="42" s="1"/>
  <c r="K39" i="42" s="1"/>
  <c r="K40" i="42" s="1"/>
  <c r="K41" i="42" s="1"/>
  <c r="M25" i="42"/>
  <c r="N25" i="42" s="1"/>
  <c r="K43" i="42" l="1"/>
  <c r="M41" i="42"/>
  <c r="AB26" i="42"/>
  <c r="M43" i="42" l="1"/>
  <c r="N43" i="42" s="1"/>
  <c r="K44" i="42"/>
  <c r="C78" i="79"/>
  <c r="C249" i="79"/>
  <c r="C244" i="79"/>
  <c r="C239" i="79"/>
  <c r="C234" i="79"/>
  <c r="C229" i="79"/>
  <c r="C224" i="79"/>
  <c r="C219" i="79"/>
  <c r="C200" i="79"/>
  <c r="C195" i="79"/>
  <c r="C187" i="79"/>
  <c r="C182" i="79"/>
  <c r="C177" i="79"/>
  <c r="C172" i="79"/>
  <c r="C167" i="79"/>
  <c r="C162" i="79"/>
  <c r="C157" i="79"/>
  <c r="C152" i="79"/>
  <c r="C145" i="79"/>
  <c r="C140" i="79"/>
  <c r="C135" i="79"/>
  <c r="C130" i="79"/>
  <c r="C125" i="79"/>
  <c r="C120" i="79"/>
  <c r="C115" i="79"/>
  <c r="C100" i="79"/>
  <c r="C95" i="79"/>
  <c r="C90" i="79"/>
  <c r="C73" i="79"/>
  <c r="C68" i="79"/>
  <c r="Q51" i="79"/>
  <c r="C51" i="79"/>
  <c r="C46" i="79"/>
  <c r="Q41" i="79"/>
  <c r="C41" i="79"/>
  <c r="Q36" i="79"/>
  <c r="O36" i="79"/>
  <c r="C36" i="79"/>
  <c r="Q31" i="79"/>
  <c r="O31" i="79"/>
  <c r="C31" i="79"/>
  <c r="Q26" i="79"/>
  <c r="O26" i="79"/>
  <c r="C26" i="79"/>
  <c r="Q21" i="79"/>
  <c r="C21" i="79"/>
  <c r="K45" i="42" l="1"/>
  <c r="M45" i="42" s="1"/>
  <c r="N45" i="42" s="1"/>
  <c r="M44" i="42"/>
  <c r="N44" i="42" s="1"/>
  <c r="AH83" i="79"/>
  <c r="AG83" i="79"/>
  <c r="K3" i="42" l="1"/>
  <c r="M3" i="42" s="1"/>
  <c r="N3" i="42" s="1"/>
  <c r="K4" i="42" l="1"/>
  <c r="M4" i="42" l="1"/>
  <c r="N4" i="42" s="1"/>
  <c r="K5" i="42"/>
  <c r="K6" i="42" s="1"/>
  <c r="K7" i="42" l="1"/>
  <c r="K8" i="42" s="1"/>
  <c r="M8" i="42" s="1"/>
  <c r="N8" i="42" s="1"/>
  <c r="M5" i="42"/>
  <c r="N5" i="42" s="1"/>
  <c r="M6" i="42" l="1"/>
  <c r="N6" i="42" s="1"/>
  <c r="M7" i="42" l="1"/>
  <c r="N7" i="42" s="1"/>
  <c r="AH234" i="79" l="1"/>
  <c r="AH152" i="79"/>
  <c r="AH135" i="79"/>
  <c r="AH200" i="79"/>
  <c r="AH172" i="79"/>
  <c r="AH130" i="79"/>
  <c r="AH249" i="79"/>
  <c r="AH195" i="79"/>
  <c r="AH162" i="79"/>
  <c r="AH239" i="79"/>
  <c r="AH157" i="79"/>
  <c r="AH229" i="79"/>
  <c r="AH145" i="79"/>
  <c r="AH224" i="79"/>
  <c r="AH182" i="79"/>
  <c r="AH140" i="79"/>
  <c r="AH219" i="79"/>
  <c r="AH177" i="79"/>
  <c r="AH254" i="79"/>
  <c r="AH167" i="79"/>
  <c r="AH125" i="79"/>
  <c r="AH244" i="79"/>
  <c r="AH187" i="79"/>
  <c r="M31" i="42" l="1"/>
  <c r="N31" i="42" s="1"/>
  <c r="M33" i="42" l="1"/>
  <c r="N33" i="42" s="1"/>
  <c r="M32" i="42" l="1"/>
  <c r="N32" i="42" s="1"/>
  <c r="AG239" i="79" l="1"/>
  <c r="AG145" i="79"/>
  <c r="AG254" i="79"/>
  <c r="AG234" i="79"/>
  <c r="AG172" i="79"/>
  <c r="AG187" i="79"/>
  <c r="AG167" i="79"/>
  <c r="AG200" i="79"/>
  <c r="AG219" i="79"/>
  <c r="AG249" i="79"/>
  <c r="AG229" i="79"/>
  <c r="AG182" i="79"/>
  <c r="AG195" i="79"/>
  <c r="AG224" i="79"/>
  <c r="AG162" i="79"/>
  <c r="AG244" i="79"/>
  <c r="AG177" i="79"/>
  <c r="AG157" i="79"/>
  <c r="AG152" i="79"/>
  <c r="AG140" i="79" l="1"/>
  <c r="AG78" i="79" l="1"/>
  <c r="AH78" i="79"/>
  <c r="AH95" i="79"/>
  <c r="AG95" i="79"/>
  <c r="AH120" i="79"/>
  <c r="AG135" i="79"/>
  <c r="AG68" i="79"/>
  <c r="AG120" i="79"/>
  <c r="AG90" i="79"/>
  <c r="AH51" i="79"/>
  <c r="AH36" i="79"/>
  <c r="AH68" i="79"/>
  <c r="AH115" i="79"/>
  <c r="AG36" i="79"/>
  <c r="AG100" i="79"/>
  <c r="AH41" i="79"/>
  <c r="AG41" i="79"/>
  <c r="AH90" i="79"/>
  <c r="AG115" i="79"/>
  <c r="AH73" i="79"/>
  <c r="AH46" i="79"/>
  <c r="AG51" i="79"/>
  <c r="AG125" i="79"/>
  <c r="AG46" i="79"/>
  <c r="AG73" i="79"/>
  <c r="AG130" i="79"/>
  <c r="AH100" i="79"/>
  <c r="AH21" i="79" l="1"/>
  <c r="AH31" i="79"/>
  <c r="AG31" i="79"/>
  <c r="AG21" i="79"/>
  <c r="AH26" i="79"/>
  <c r="AG26" i="79"/>
  <c r="AB23" i="42" l="1"/>
  <c r="AB3" i="42" l="1"/>
  <c r="AB11" i="42"/>
  <c r="AB10" i="42"/>
  <c r="AB2" i="42"/>
  <c r="AB18" i="42"/>
  <c r="AB19" i="42"/>
  <c r="AB6" i="42"/>
  <c r="AB14" i="42"/>
  <c r="AB22" i="42"/>
  <c r="AB7" i="42"/>
  <c r="AB15" i="42"/>
  <c r="AA21" i="42"/>
  <c r="AA17" i="42"/>
  <c r="AA13" i="42"/>
  <c r="AA9" i="42"/>
  <c r="AA5" i="42"/>
  <c r="M26" i="42" l="1"/>
  <c r="N26" i="42" s="1"/>
  <c r="M27" i="42" l="1"/>
  <c r="N27" i="42" s="1"/>
  <c r="M28" i="42" l="1"/>
  <c r="N28" i="42" s="1"/>
  <c r="M29" i="42" l="1"/>
  <c r="N29" i="42" s="1"/>
  <c r="M30" i="42" l="1"/>
  <c r="N30" i="42" s="1"/>
  <c r="M34" i="42" l="1"/>
  <c r="N34" i="42" s="1"/>
  <c r="M35" i="42" l="1"/>
  <c r="N35" i="42" s="1"/>
  <c r="M36" i="42" l="1"/>
  <c r="N36" i="42" s="1"/>
  <c r="M37" i="42" l="1"/>
  <c r="N37" i="42" s="1"/>
  <c r="M38" i="42" l="1"/>
  <c r="N38" i="42" s="1"/>
  <c r="M39" i="42" l="1"/>
  <c r="N39" i="42" s="1"/>
  <c r="M40" i="42" l="1"/>
  <c r="N40" i="42" s="1"/>
  <c r="N41" i="42" l="1"/>
</calcChain>
</file>

<file path=xl/sharedStrings.xml><?xml version="1.0" encoding="utf-8"?>
<sst xmlns="http://schemas.openxmlformats.org/spreadsheetml/2006/main" count="1445" uniqueCount="462">
  <si>
    <t>Data</t>
  </si>
  <si>
    <t>Laboratorio Analisi Cliniche Val Sambro S.r.l.</t>
  </si>
  <si>
    <t>N° accettazione</t>
  </si>
  <si>
    <t>Codice ordine</t>
  </si>
  <si>
    <t>≤</t>
  </si>
  <si>
    <t>(Aspergillus)</t>
  </si>
  <si>
    <t>Range</t>
  </si>
  <si>
    <t>(Fusarium)</t>
  </si>
  <si>
    <t>(C. difficile, C. stricklandii, C. lituseburense &amp; others)</t>
  </si>
  <si>
    <t>(C. stricklandii, C. lituseburense, C. subterminale &amp; others)</t>
  </si>
  <si>
    <t>-</t>
  </si>
  <si>
    <t>METABOLOMIC PROFILE</t>
  </si>
  <si>
    <t>C.F.</t>
  </si>
  <si>
    <t>Creatinina (mg/dL)</t>
  </si>
  <si>
    <t>x</t>
  </si>
  <si>
    <t>y</t>
  </si>
  <si>
    <t>Riga Dati</t>
  </si>
  <si>
    <t>N°</t>
  </si>
  <si>
    <t>Descrizione</t>
  </si>
  <si>
    <t>BAMBINI</t>
  </si>
  <si>
    <t>VALORE</t>
  </si>
  <si>
    <t>Rilevato</t>
  </si>
  <si>
    <t>(CoQ10)</t>
  </si>
  <si>
    <t>p1</t>
  </si>
  <si>
    <t>p2</t>
  </si>
  <si>
    <t>=</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</si>
  <si>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</si>
  <si>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</si>
  <si>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</si>
  <si>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</si>
  <si>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</si>
  <si>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</si>
  <si>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</si>
  <si>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</si>
  <si>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</si>
  <si>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</si>
  <si>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</si>
  <si>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</si>
  <si>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</si>
  <si>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</si>
  <si>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</si>
  <si>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</si>
  <si>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</si>
  <si>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</si>
  <si>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</si>
  <si>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</si>
  <si>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</si>
  <si>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</si>
  <si>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</si>
  <si>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</si>
  <si>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</si>
  <si>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</si>
  <si>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</si>
  <si>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</si>
  <si>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</si>
  <si>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</si>
  <si>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</si>
  <si>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</si>
  <si>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</si>
  <si>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</si>
  <si>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</si>
  <si>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</si>
  <si>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</si>
  <si>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</si>
  <si>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</si>
  <si>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</si>
  <si>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</si>
  <si>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</si>
  <si>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</si>
  <si>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</si>
  <si>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</si>
  <si>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</si>
  <si>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</si>
  <si>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</si>
  <si>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</si>
  <si>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</si>
  <si>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</si>
  <si>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</si>
  <si>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MEDIA</t>
  </si>
  <si>
    <t>s.DEV</t>
  </si>
  <si>
    <t>VERDE</t>
  </si>
  <si>
    <t>Verde -</t>
  </si>
  <si>
    <t>Verde +</t>
  </si>
  <si>
    <t>Citrico</t>
  </si>
  <si>
    <t>Aconitico</t>
  </si>
  <si>
    <t>Isocitrico</t>
  </si>
  <si>
    <t>Succinico</t>
  </si>
  <si>
    <t>Fumarico</t>
  </si>
  <si>
    <t>2-Ossoglutarico</t>
  </si>
  <si>
    <t>Malico</t>
  </si>
  <si>
    <t>Metaboliti dei neurotrasmettitori</t>
  </si>
  <si>
    <t>Metaboliti della Fenilalanina e della Tirosina</t>
  </si>
  <si>
    <t>Omovanillico (HVA)</t>
  </si>
  <si>
    <t>Vanilmandelico (VMA)</t>
  </si>
  <si>
    <t>(Norepinefrina, Epinefrina)</t>
  </si>
  <si>
    <t>Metaboliti del Triptofano</t>
  </si>
  <si>
    <t>(Serotonina)</t>
  </si>
  <si>
    <t>Chinolinico</t>
  </si>
  <si>
    <t>Markers Metabolici nelle urine</t>
  </si>
  <si>
    <t xml:space="preserve">Range di </t>
  </si>
  <si>
    <t>Valore del</t>
  </si>
  <si>
    <t>Metodologia: LC/Spettrometria di Massa Tandem</t>
  </si>
  <si>
    <t>Riferimento</t>
  </si>
  <si>
    <t>Paziente</t>
  </si>
  <si>
    <t>Metaboliti degli Ossalati</t>
  </si>
  <si>
    <t>Markers Mitocondriali</t>
  </si>
  <si>
    <t>Marker Nutrizionali</t>
  </si>
  <si>
    <t>Pantotenico (B5)</t>
  </si>
  <si>
    <t>N-Acetil-L-Cisteina (NAC)</t>
  </si>
  <si>
    <t>Ascorbico ( C )</t>
  </si>
  <si>
    <t>4-Piridossico (B6)</t>
  </si>
  <si>
    <t>Metaboliti degli Amminoacidi</t>
  </si>
  <si>
    <t>Mandelico</t>
  </si>
  <si>
    <t>Omogentisico</t>
  </si>
  <si>
    <t>N-Acetilaspartico</t>
  </si>
  <si>
    <t>Malonico</t>
  </si>
  <si>
    <t>Sebacico</t>
  </si>
  <si>
    <t>Adipico</t>
  </si>
  <si>
    <t>Suberico</t>
  </si>
  <si>
    <t>Etilmalonico</t>
  </si>
  <si>
    <t>Crescita Microbica Intestinale</t>
  </si>
  <si>
    <t>Markers di Lieviti e Funghi</t>
  </si>
  <si>
    <t>Citramalico</t>
  </si>
  <si>
    <t>5-Idrossimetil-2-Furancarbossilico</t>
  </si>
  <si>
    <t>Tartarico</t>
  </si>
  <si>
    <t>Furancarbonilglicina</t>
  </si>
  <si>
    <t>Tricarballilico</t>
  </si>
  <si>
    <t>Arabinosio</t>
  </si>
  <si>
    <t>Arabitolo</t>
  </si>
  <si>
    <t>Furan-2,5-Dicarbossilico</t>
  </si>
  <si>
    <t>2-Idrossiglutarico</t>
  </si>
  <si>
    <t>Markers dei Batteri</t>
  </si>
  <si>
    <t>Ippurico</t>
  </si>
  <si>
    <t>Benzoico</t>
  </si>
  <si>
    <t>Markers dei Clostridi</t>
  </si>
  <si>
    <t>3-Indolacetico</t>
  </si>
  <si>
    <t>P-Cresolo</t>
  </si>
  <si>
    <t>Glicolico</t>
  </si>
  <si>
    <t>Glicerico</t>
  </si>
  <si>
    <t>Ciclo Glicolitico</t>
  </si>
  <si>
    <t>Piruvico</t>
  </si>
  <si>
    <t>Lattico</t>
  </si>
  <si>
    <t>Indicatori di Detossificazione</t>
  </si>
  <si>
    <t xml:space="preserve">Salicilati di Aspartame o batteri Gl </t>
  </si>
  <si>
    <t>Eccesso di Ammonio</t>
  </si>
  <si>
    <t>Orotico</t>
  </si>
  <si>
    <t>Glutatione</t>
  </si>
  <si>
    <t>Piroglutammico</t>
  </si>
  <si>
    <t>Chinurenico</t>
  </si>
  <si>
    <t xml:space="preserve"> METABOLITI DELLA PIRIMIDINA associati al METABOLISMO DEI FOLATI</t>
  </si>
  <si>
    <t>Timina</t>
  </si>
  <si>
    <t>Uracile</t>
  </si>
  <si>
    <t>p55</t>
  </si>
  <si>
    <t>p56</t>
  </si>
  <si>
    <t>p57</t>
  </si>
  <si>
    <t>p58</t>
  </si>
  <si>
    <t>s1</t>
  </si>
  <si>
    <t>s2</t>
  </si>
  <si>
    <t>s3</t>
  </si>
  <si>
    <t>s4</t>
  </si>
  <si>
    <t>µmoli/mmoli di creatinina</t>
  </si>
  <si>
    <t>Il suo deficit è correlato spesso a inefficienza enzimatica per carenza di cisteina, ferro o agenti antiossidanti, soprattutto in caso ci sia anche eccesso di aconitato. Se unica alterazione, non desta preoccupazione.</t>
  </si>
  <si>
    <t> </t>
  </si>
  <si>
    <t>Creatinina superiore ai limiti</t>
  </si>
  <si>
    <t xml:space="preserve"> Creatinina inferiore ai limiti</t>
  </si>
  <si>
    <t>The problem solving of epigenetic effects</t>
  </si>
  <si>
    <r>
      <t>Introduzione sul METABOLOMIC PROFILE :</t>
    </r>
    <r>
      <rPr>
        <i/>
        <sz val="11"/>
        <rFont val="Calibri"/>
        <family val="2"/>
      </rPr>
      <t xml:space="preserve"> Il test analizza gli acidi organici presenti nei metaboliti urinari. Queste biomolecole sono considerate dei veri markers funzionali, in grado di rilevare alterazioni dovute a carenze nutrizionali e vitaminiche, esposizione a tossici, metabolismo dei neurotrasmetitori, disfunzioni mitocondriali (ciclo di krebs), stress ossidativo, sovracrescita di batteri e funghi, livello degli ossalati.</t>
    </r>
  </si>
  <si>
    <t>La presenza di questi markers funzionali è intimamente correlata a molte patologie cronico-degenerative e diviene il fulcro della loro diagnostica, consentendo di attuare una proposta terapeutica unica nella sua personalizzazione.</t>
  </si>
  <si>
    <t>Il profilo del paziente evidenzia degli squilibri:</t>
  </si>
  <si>
    <t>2-Idrossi-3-Metilbutirrico</t>
  </si>
  <si>
    <t>4-Idrossifenilacetico</t>
  </si>
  <si>
    <t>3-Idrossifenilacetico</t>
  </si>
  <si>
    <t>3-Idrossibutirrico</t>
  </si>
  <si>
    <t>Popolazione Statistica</t>
  </si>
  <si>
    <t>Referto sottoscritto con firma digitale ai sensi degli artt. 20,21 n.2, 23 e 24 del d.Lgs. N. 82 del 7 marzo 2005 e successive modifiche</t>
  </si>
  <si>
    <t>Firmato digitalmente dott Alberto Santini il:</t>
  </si>
  <si>
    <t xml:space="preserve">* Per questi metaboliti l’eccesso nelle urine individua una carenza della vitamina /molecola di riferimento </t>
  </si>
  <si>
    <t>Direttore sanitario: Alberto Santini  Via Cairoli, 2 40121 Bologna Tel: 051240218; E-mail: valsambro@valsambro.it</t>
  </si>
  <si>
    <t>Analisi degli Acidi Organici - Profilo Nutrizionale  e Metabolico</t>
  </si>
  <si>
    <t>Il referto degli acidi organici riportati, ha valore unicamente inserito nel quadro clinico del</t>
  </si>
  <si>
    <t>paziente e valutato dallo specialista.</t>
  </si>
  <si>
    <t>METABOLITI DELLA PIRIMIDINA associati al metabolismo dei folati</t>
  </si>
  <si>
    <t>MARCATORI MITOCONDRIALI TCA</t>
  </si>
  <si>
    <t>METABOLITI NEUROTRASMETTITORI</t>
  </si>
  <si>
    <t>MARKER NUTRIZIONALI</t>
  </si>
  <si>
    <t>SOVRACCRESCITA FLORA BATTERICA INTESTINALE</t>
  </si>
  <si>
    <t>Marcatori di lieviti e funghi</t>
  </si>
  <si>
    <t>Metaboliti batterici</t>
  </si>
  <si>
    <t>METABOLITI CORRELATI A OSSALATI</t>
  </si>
  <si>
    <t xml:space="preserve">Si tratta di metaboliti derivati da una iper produzione di ossalati, fonte primaria di calcoli renali. </t>
  </si>
  <si>
    <t>OSSIDAZIONE ACIDI GRASSI e CORPO CHETONICO</t>
  </si>
  <si>
    <t>CICLO GLICOLITICO</t>
  </si>
  <si>
    <t>INDICATORI DI DETOSSIFICAZIONE</t>
  </si>
  <si>
    <t>Batteri GI e salicilati di aspartame</t>
  </si>
  <si>
    <t>Eccesso di ammonio</t>
  </si>
  <si>
    <t>Ratio HVA/VMA</t>
  </si>
  <si>
    <t>p59</t>
  </si>
  <si>
    <t xml:space="preserve">Il deficit di acido aconitico potrebbe evidenziare inefficienza dell'enzima aconitasi per carenza dei cofattori (cisteina e ferro) oppure per presenza di metalli pesanti che alterano la funzionalità enzimatica.  La sua carenza potrebbe essere concomitante con la carenza del suo predecessore, per inefficiente glicolisi o ossidazione dei grassi. </t>
  </si>
  <si>
    <t xml:space="preserve">L'eccesso potrebbe essere associato a un valore basso del metabolita successivo ( acido 2-ossoglutarico); in tal caso valutare supplementazione con cofattori enzimatici come B3, Mg e/o Mn.  Se non è associato ad altre alterazioni metaboliche, è di probabile origine nutrizionale.  </t>
  </si>
  <si>
    <t xml:space="preserve">L’eccessiva presenza di HVA nelle urine può manifestarsi in caso di mancanza di cofattori enzimatici (rame e vit.C) per la produzione di norepinefrina a partire dalla dopamina. Anche la supplementazione di quercitina aumenta i livelli plasmatici di HVA e quindi l’eliminazione nelle urine.  Flavonoidi alimentari contenuti in pomodoro, cipolla e te possono contribuire all’aumento di HVA.  Come accade per l'acido vanilmandelico (VMA), anche in questo caso si associa un aumento nelle urine di HVA a condizioni tumorali neuronali. Disordini dell’umore, forte stress e autismo possono indurre aumento di dopamina e quindi di HVA nelle urine.       </t>
  </si>
  <si>
    <t>Il deficit di acido citrico potrebbe essere correlato alla degradazione della massa muscolare per attività sportiva intensa oppure per problematiche legate alla funzionalità renale (calcolosi renale -in tal caso valutare i livelli di ossalati- , problemi renali cronici, acidosi renale tubulare). Anche condizioni diabetiche o iperparatiroidismo possono alterare tale valore. Valutare anche condizioni nutrizionali come stati di malnutrizione o carenza di potassio o agrumi.</t>
  </si>
  <si>
    <t xml:space="preserve">Scarsi valori di acido pantotenico potrebbero riflettere carenza di vitamina B5, per il quale si consiglia di rivedere l'alimentazione abituale del paziente e valutare integrazione specifica . </t>
  </si>
  <si>
    <t>L' eccesso è associato a una supplementazione  in corso o passata di vit.B5.</t>
  </si>
  <si>
    <t xml:space="preserve">L’eccesso nelle urine è correlato principalmente alla supplementazione di vit. C. L'eccesso di acido ascorbico potrebbe associarsi anche a iperossalemia . </t>
  </si>
  <si>
    <t>Valori molto alti sono associati a integrazione passata o in corso di vitamine del gruppo B.</t>
  </si>
  <si>
    <t>L'eccesso di N-acetilcistina è dovuto a supplementazione in corso o passata.</t>
  </si>
  <si>
    <t xml:space="preserve">Valori al di sopra del range di riferimento possono essere riscontrati in pazienti che assumono statine e riso rosso fermentato, per il quale si consiglia integrazione di CoQ10. Deficit dell'enzima HMG-CoA liasi possono elevare i livelli di HMG, comportando carenza di CoQ10 e disordini nello sviluppo e cardiomiopatie. </t>
  </si>
  <si>
    <t>La carenza non vede associazioni cliniche rilevanti</t>
  </si>
  <si>
    <t xml:space="preserve">L’eccesso di acido mandelico è correlato spesso al metabolismo della fenilalanina oppure all'esposizione a elementi tossici. Inoltre può essere elevato in caso di malattie genetiche PKU e tirosinemia. </t>
  </si>
  <si>
    <t xml:space="preserve">L'eccesso dell'acido 4-metil-2-ossovalerico potrebbe evidenziare insufficienza di tiamina, vitamine del gruppo B in generale e acido lipoico, integrazioni da effettuare in questi casi. Inoltre sarebbe opportuno indagare le abitudini alimentari del paziente. </t>
  </si>
  <si>
    <t>L'eccesso dell'acido malonico potrebbe indicare l'assunzione importante di alcuni alimenti o collegato a malattie riportate precedentemente.</t>
  </si>
  <si>
    <t>Il forte eccesso è correlato a una malattia autosomica recessiva caratterizzata da elevati livelli di tirosina nel sangue e massiccia escrezione di derivati ​​della tirosina nelle urine. </t>
  </si>
  <si>
    <t xml:space="preserve">L'eccesso minimo evidenzia stati di acidosi lattica o chetoacidosi. Nel casi in cui i livelli siano di molto superiori al range di riferimento, si tratta di patologie congenite importanti. </t>
  </si>
  <si>
    <t>La presenza in eccesso di acido citramalico identifica la sovraccrescita di lieviti oppure un introito elevato di frutta. Inoltre è da ricordare che un utilizzo importante di zuccheri (anche quelli della frutta) stimola la crescita dei lieviti.</t>
  </si>
  <si>
    <t>L'eccesso di acido ippurico è causato principalmente dal metabolismo batterico dei composti fenolici introdotti nell'alimentazione abituale . Più raramente può essere associato a intossicazione da idrocarburi.</t>
  </si>
  <si>
    <t>Il suo eccesso può essere correlato anche a fibrosi cistica , enteriti , disordine celiaco , sindrome dell’intestino corto o massiccio introito di conservanti alimentari.</t>
  </si>
  <si>
    <t>L'eccesso di acido glicolico in associazione all'aumento di acido ossalico, definisce iperossaluria genetica di tipo I. Diversamente la sua presenza eccessiva può essere di origine alimentare o derivata da produzione batterica o di lieviti intestinali.</t>
  </si>
  <si>
    <t>L'eccesso marcato di acido glicerico può rivelare aciduria D-glicerica. Diversamente la sua presenza eccessiva può essere di origine alimentare o derivata da lieviti intestinali.</t>
  </si>
  <si>
    <t xml:space="preserve">L'eccesso di acido piruvico può essere ridotto tramite integrazione di vit. B1,B2,B3,B5, magnesio e acido lipoico. Valutare anche lo stato nutrizionale o eventuali integrazioni amminoacidiche in corso. </t>
  </si>
  <si>
    <t>I marcatori mitocondriali del ciclo di Krebs ( o TCA – degli acidi tricarbossilici), rappresentano quegli acidi organici che vengono generati dai mitocondri per la produzione di energia cellulare. Disfunzioni mitocondriali, patologie cognitive, diabete, tumore, patologie cardiovascolari, sindrome da fatica cronica, possono alterare il processo di produzione energetica. Lo studio dell’escrezione urinaria di acidi organici permette di individuare una finestra terapeutica per queste specifiche patologie in modo da correggere le disfunzioni mitocondriali individuate. Tali disfunzioni possono derivare da carenze nutrizionali, da tossine o polimorfismi genetici. Diversi sono gli enzimi che regolano le reazioni del ciclo di Krebs, catalizzate da cofattori quali ferro, niacina, magnesio, manganese, tiamina, riboflavina, acido pantotenico e acido lipoico. Esposizione ad agenti tossici o metalli possono interferire con la funzionalità mitocondriale.</t>
  </si>
  <si>
    <t xml:space="preserve">Questi acidi organici provengono dal metabolismo di sintesi e degradazione di neurotrasmettori. Alterazioni dei processi enzimatici regolati da cofattori nutrizionali , predisposizioni genetiche, tossine, malattie croniche e stress possono influenzare la loro presenza nelle urine. </t>
  </si>
  <si>
    <t xml:space="preserve">I neurotrasmettitori sono sintetizzati a partire da aminoacidi essenziali tramite vitamine e minerali. Tra i più importanti neurotrasmettitori vediamo la dopamina che viene convertita in norepinefrina da una beta-idrossilasi regolata positivamente da vitamina C. A sua volta la norepinefrina è convertita in epinefrina mediante una reazione di metilazione. La formazione dei metaboliti omovanillico e vanilmandelico è mediata da enzimi MAO e COMT, a partire rispettivamente da dopamina e norepinefrina/epinefrina. </t>
  </si>
  <si>
    <t xml:space="preserve">Metaboliti derivanti dal metabolismo diretto o indiretto di vitamine, per lo più delle vitamina B. Le vitamine sono il fondamentale motore di molti processi enzimatici e la loro carenza potrebbe comportare malfunzionamenti metabolici anche importanti. </t>
  </si>
  <si>
    <t xml:space="preserve">Misurazione di intermedi metabolici coinvolti del catabolismo proteico. Gli amminoacidi sono un importante mattone per la cellula e il corpo, la loro valutazione è importante per indagare deficienze alimentari o enzimatiche. </t>
  </si>
  <si>
    <t>6a</t>
  </si>
  <si>
    <t xml:space="preserve">Metaboliti derivanti da sovraccrescita della flora batterica intestinale autoctona o patogena, da funghi o lieviti che colonizzano il tratto gastrointestinale. Alcuni dei metaboliti derivano dalla fermentazione di fenoli alimentari e flavonoidi, quindi risultano derivati da un corretto e salutare introito di alimentari ricchi di antiossidanti (se non c’è associata disbiosi). Quando multipli marcatori sono elevati, questo riflette informazioni importanti riguardo la disbiosi o altre disfunzioni GI.  </t>
  </si>
  <si>
    <t>6b</t>
  </si>
  <si>
    <t>6c</t>
  </si>
  <si>
    <t>Marcatori clostridi batterici</t>
  </si>
  <si>
    <t xml:space="preserve">Gli acidi grassi sono metabolizzati per fornire energia dal processo di beta-ossidazione. Vengono quindi convertiti in Acetyl-CoA mediante l’azione della carnitina che permette l’entrata all’interno della membrana mitocondriale. Nel caso in cui la beta-ossidazione sia compromessa, i grassi vengono metabolizzati mediante un percorso alternativo chiamato omega-ossidazione.  </t>
  </si>
  <si>
    <t xml:space="preserve">I corpi chetonici sono prodotti dal fegato e sono una fonte di energia in caso di assenza di glucosio. Solo una parte minima viene rilasciata nelle urine, la maggior parte deve essere ossidata in tessuti extraepatici con il consumo di ossigeno. </t>
  </si>
  <si>
    <t xml:space="preserve">Processo nel quale i carboidrati vengono convertiti a prodotti fondamentali per la produzione energetica mediante il ciclo di Krebs. I carboidrati, che contengono glucosio, vengono scissi per formare piruvato e due molecole di ATP. A sua volta il piruvato viene convertito in lattato e Acetil-CoA per la produzione energetica. </t>
  </si>
  <si>
    <t xml:space="preserve">Sono metaboliti urinari che riflettono l’esposizione a tossine ambientali  oppure da una sovra-regolazione del processo di detossificazione in risposta a stimoli tossici. In caso di alti valori tra questi, si consiglia di individuare la provenienza della tossicità e agire con antiossidanti e supporto nutrizionale adeguato per detossificare il metabolismo. </t>
  </si>
  <si>
    <t/>
  </si>
  <si>
    <t>p60</t>
  </si>
  <si>
    <t>p61</t>
  </si>
  <si>
    <t>p62</t>
  </si>
  <si>
    <t xml:space="preserve">L'accumulo nelle urine potrebbe essere dato da un blocco del ciclo mitocondriale a livello dell'enzima aconitasi per eventuale carenza di glutatione o ferro oppure per presenza di metalli pesanti (alluminio, mercurio, arsenico e stagno). L'eccesso può essere dovuto anche a un introito importante di alimenti che lo contengono (agrumi o conservanti naturali). Il suo accumulo potrebbe essere dato anche da sovraccrescita microbica intestinale. Valutare integrazione con glutatione o ferro, se la natura dello squilibrio non è di natura alimentare o microbica.  </t>
  </si>
  <si>
    <r>
      <t>L’acido aconitico</t>
    </r>
    <r>
      <rPr>
        <sz val="10"/>
        <color rgb="FF000000"/>
        <rFont val="Calibri"/>
        <family val="2"/>
      </rPr>
      <t xml:space="preserve"> è il secondo metabolita del ciclo di produzione energetica. Il passaggio che porta alla sua formazione a partire dall'acido citrico dipende dall'enzima aconitasi, la quale funzione dipende dalla disponibilità di glutammina e agenti antiossidanti.</t>
    </r>
    <r>
      <rPr>
        <sz val="10"/>
        <color rgb="FF0D0D0D"/>
        <rFont val="Calibri"/>
        <family val="2"/>
      </rPr>
      <t xml:space="preserve"> La differenza con l'acido citrico dovrebbe essere entro il 20%. Se non viene mantenuto questo rapporto ci potrebbe essere un deficit dell’enzima aconitasi: in tal caso agire con i cofattori enzimatici relativi glutammina, magnesio, ferro e valutare la presenza di metalli pesanti che potrebbero alterare la funzionalità dell'enzima. </t>
    </r>
  </si>
  <si>
    <t>L’eccesso di acido aconitico, associato a deficit di acido isocitrico (il metabolita successivo del ciclo), indica problemi enzimatici dell'aconitasi da ripristinare con supplementazione di glutatione in caso di problemi ossidativi; diversamente si può agire con i cofattori enzimatici cisteina e ferro (soprattutto per pazienti  anemici).</t>
  </si>
  <si>
    <r>
      <t>L’acido isocitrico</t>
    </r>
    <r>
      <rPr>
        <sz val="10"/>
        <color rgb="FF000000"/>
        <rFont val="Calibri"/>
        <family val="2"/>
      </rPr>
      <t xml:space="preserve"> è il terzo metabolita del ciclo TCA, è presente in diversi alimenti, come ribes rosso, uva spina e mele. Ciò potrebbe rendere l'acido isocitrico un potenziale biomarcatore per il consumo di questi alimenti.  </t>
    </r>
    <r>
      <rPr>
        <b/>
        <sz val="10"/>
        <color rgb="FF000000"/>
        <rFont val="Calibri"/>
        <family val="2"/>
      </rPr>
      <t xml:space="preserve"> </t>
    </r>
    <r>
      <rPr>
        <sz val="10"/>
        <color rgb="FF000000"/>
        <rFont val="Calibri"/>
        <family val="2"/>
      </rPr>
      <t xml:space="preserve">La sua produzione avviene per opera dell'enzima aconitasi, quindi è sensibile alla presenza di metalli pesanti e all'assenza di cofattori cisteina e ferro. L'acido isocitrico viene poi convertito in acido 2-ossoglutarico dall'enzima isocitrato deidrogenasi, dipendente dalla presenza di vit.B3, magnesio e manganese. </t>
    </r>
  </si>
  <si>
    <r>
      <t>L’acido 2-ossoglutarico</t>
    </r>
    <r>
      <rPr>
        <sz val="10"/>
        <color rgb="FF000000"/>
        <rFont val="Calibri"/>
        <family val="2"/>
      </rPr>
      <t xml:space="preserve"> è una molecola chiave nel ciclo TCA, svolgendo un ruolo fondamentale nel determinare la velocità complessiva di questo importante processo metabolico.Fornisce un'importante fonte di glutammina e glutammato che stimola la sintesi proteica e la formazione del tessuto osseo, inibisce la degradazione delle proteine​​nel muscolo e costituisce un importante combustibile metabolico per le cellule del tratto gastrointestinale.</t>
    </r>
  </si>
  <si>
    <t xml:space="preserve">In caso di eccesso potrebbe essere necessaria integrazione di cofattori quali vitamine del gruppo B, zinco, magnesio e manganese per stimolare l'attività della deidrogenasi per la formazione del metabolita successivo (acido succinico). Livelli molto elevati possono avere anche provenienza amminoacidica ( glutammina, istidina, arginina, prolina, glutammato) e questo spiegherebbe l'effetto energetico dell'integrazione di amminoacidi liberi.  </t>
  </si>
  <si>
    <t xml:space="preserve">Bassi livelli di acido  2-ossoglutarico possono riflettere la mancanza dei suoi precursori oppure una disfunzione enzimatica dovuta alla mancanza di cofattori nutrizionali, difetti genetici o esposizioni a tossine. Si è anche riscontrata correlazione tra bassi livelli di acido 2-ossoglutarico e un'eccessiva sintesi di acidi grassi saturi e trigliceridi in casi di insulino-resistenza. </t>
  </si>
  <si>
    <r>
      <t>L’acido succinico</t>
    </r>
    <r>
      <rPr>
        <sz val="10"/>
        <color rgb="FF000000"/>
        <rFont val="Calibri"/>
        <family val="2"/>
      </rPr>
      <t xml:space="preserve"> è il metabolita intermedio del ciclo di produzione energetica, prodotto dal precedente (succinil-CoA) per azione dell’enzima succinil-CoA sintasi, con produzione di NADH che fornisce direttamente elettroni alla catena respiratoria mitocondriale. I cofattori enzimatici sono Mg, vit.B1,2 e 3.  L'attività della succinil-CoA sintasi potrebbe essere alterata dalla presenza di metalli pesanti o sostanze tossiche.  A sua volta l'acido succinico è metabolizzato dall'enzima succinato deidrogenasi per la formazione di fumarico, azione mediata da cofattori quali ferro e vitamina B2 , con rilascio di FADH2. L'enzima succinato deidrogenasi gioca un ruolo chiave nel metabolismo mitocondriale e disfunzioni della sua funzionalità sono associate a tumore e patologie neurodegenerative.  </t>
    </r>
    <r>
      <rPr>
        <sz val="10"/>
        <color rgb="FF0D0D0D"/>
        <rFont val="Calibri"/>
        <family val="2"/>
      </rPr>
      <t xml:space="preserve">L'acido succinico è anche un metabolita microbico di </t>
    </r>
    <r>
      <rPr>
        <i/>
        <sz val="10"/>
        <color rgb="FF0D0D0D"/>
        <rFont val="Calibri"/>
        <family val="2"/>
      </rPr>
      <t>Bacteroidetes</t>
    </r>
    <r>
      <rPr>
        <sz val="10"/>
        <color rgb="FF0D0D0D"/>
        <rFont val="Calibri"/>
        <family val="2"/>
      </rPr>
      <t>.</t>
    </r>
  </si>
  <si>
    <r>
      <t xml:space="preserve">L'eccesso di acido succinico può essere dovuto a carenza di cofattori per la sua conversione in fumarico, quindi deficienza di ferro e vitamina B2 oppure per presenza di metalli pesanti o sostanze tossiche che inibiscono l'azione enzimatica.  In tal caso valutare integrazione con CoQ10 e/o magnesio. Può essere elevato anche per sovracrescita microbica intestinale, in particolare da parte di </t>
    </r>
    <r>
      <rPr>
        <i/>
        <sz val="10"/>
        <color rgb="FF000000"/>
        <rFont val="Calibri"/>
        <family val="2"/>
      </rPr>
      <t>Bacteroidetes.</t>
    </r>
    <r>
      <rPr>
        <sz val="10"/>
        <color rgb="FF000000"/>
        <rFont val="Calibri"/>
        <family val="2"/>
      </rPr>
      <t xml:space="preserve"> Diversi studi hanno dimostrato che l'aumento contemporaneo di acido succinico e fumarico giocano un ruolo importante nel processo oncogenico causato dal danno al DNA e ipermetilazione. La sua azione oncogenica sembra essere dovuta alla sua capacità di inibire enzimi con domini prolil idrossilasi che regolano la risposta all'ipossia del fattore di trascrizione HIF.  </t>
    </r>
  </si>
  <si>
    <t xml:space="preserve">Livelli bassi di acido succinico possono essere correlati a un dieta povera o scarso assorbimento di aminoacidi ramificati. Gli aminoacidi ramificati sono catabolizzati in acetil-CoA o succinil-CoA per entrare nel ciclo di Krebs, inoltre la carenza di vit.B12 può causare difetti nella conversione di metilmalonic-CoA in succinil-Coa (via della valina e isoleucina), con diminuzione dei livelli di succinil-COA. Valutare integrazione di vit.B12 e lo stato nutrizionale del paziente. </t>
  </si>
  <si>
    <r>
      <t>L’acido fumarico</t>
    </r>
    <r>
      <rPr>
        <sz val="10"/>
        <color rgb="FF000000"/>
        <rFont val="Calibri"/>
        <family val="2"/>
      </rPr>
      <t xml:space="preserve"> è tra i metaboliti terminali del ciclo, la sua produzione dipende dalla presenza di acido succinico, dall'enzima succinato deidrogenasi e i suoi cofattori vitamina B2 e ferro. A sua volta viene poi convertito in acido malico dall'enzima fumarasi. La sua quantità dipende anche dal catabolismo di fenilalanina e tirosina che entrano nel ciclo di Krebs per la produzione di energia tramite questo intermedio. Da studi recenti è stato identificato come probabile oncometabolita insieme all'acido succinico per la loro capacità di inibire enzimi contenti domini prolil- idrossilasi che regolano la risposta all'ipossia del fattore di trascrizione HIF. </t>
    </r>
  </si>
  <si>
    <t xml:space="preserve">L'eccesso è spesso correlato a un difetto dell'enzima fumarasi che lo dovrebbe convertire nell'acido malico, il metabolita successivo, oppure da un'alterata funzionalità mitocondriale. Per ripristinare la funzionalità mitocondriale si consiglia la supplementazione di CoQ10, NAD+, L-carnitina e acetyl-L-carnitina, riboflavina, nicotinamide, biotina e vitamine E. Il suo eccesso può essere correlato anche a integrazione di amminoacidi ramificati </t>
  </si>
  <si>
    <r>
      <t>L’acido malico</t>
    </r>
    <r>
      <rPr>
        <sz val="10"/>
        <color rgb="FF0D0D0D"/>
        <rFont val="Calibri"/>
        <family val="2"/>
      </rPr>
      <t xml:space="preserve"> deriva dalla conversione dell'acido fumarico a opera dell'enzima fumarasi. A sua volta viene poi convertito dalla malato deidrogenasi in ossalacetato; la malato deidrogenasi è un enzima fondamentale attivo sia nel ciclo di krebs che nel sistema shuttle malato-aspartato (sistema che media il trasferimento di elettroni provenienti dalla glicolisi -nel citosol- alla matrice mitocondriale, centrale per la fosforilazione ossidativa e generazione di ATP). Il cofattore necessario per questo enzima è la niacina (vit.B3)  L'acido malico si trova solitamente in quantità prossime allo 0. La sua presenza può essere correlata all’utilizzo di frutta ( mele e pere) o verdura . E’ inoltre un additivo e conservante di bibite e sciroppi. </t>
    </r>
  </si>
  <si>
    <t xml:space="preserve">L'eccesso di acido malico potrebbe evidenziare la necessità di vit.B3 e CoQ10 oppure potrebbe essere considerato come biomarcatore dell'utilizzo di alimenti che lo contengono. Se appare elevato insieme agli altri componenti del ciclo, si parla di disfunzione mitocondriale da riequlibrare. </t>
  </si>
  <si>
    <r>
      <rPr>
        <b/>
        <sz val="10"/>
        <color rgb="FF212121"/>
        <rFont val="Calibri"/>
        <family val="2"/>
        <scheme val="minor"/>
      </rPr>
      <t xml:space="preserve">L'acido 2-idrossiglutarato </t>
    </r>
    <r>
      <rPr>
        <sz val="10"/>
        <color rgb="FF212121"/>
        <rFont val="Calibri"/>
        <family val="2"/>
        <scheme val="minor"/>
      </rPr>
      <t xml:space="preserve">(2-HG) è strutturalmente simile al α-chetoglutarato (α-KG),  un prodotto intermedio del ciclo dell'acido tricarbossilico ; può essere generato riducendo il gruppo chetonico di α-KG a un gruppo ossidrile. Il ruolo significativo che il 2-HG svolge è stato certificato nella fisiopatologia dell'aciduria 2-idrossiglutarica (2HGA),  disturbo neurometabolico che porta a neurodegenerazione progressiva. E' stato riscontrato un ruolo importante di questo metabolita anche in tumori che vedono isocitrato deidrogenasi mutante 1/2 (IDH1/2mt) e nel carcinoma a cellule renali a cellule chiare (ccRCC). È infatti considerato un oncometabolita, sollevando molta attenzione sul suo meccanismo oncogenico. Negli ultimi anni, è stato verificato che il 2-HG si accumula nel contesto dell'ipossia o del pH acido, e ci sono anche ricerche che confermano il ruolo vitale che il 2-HG svolge nella decisione del destino delle cellule immunitarie. </t>
    </r>
  </si>
  <si>
    <t xml:space="preserve">L'eccesso di acido 2-idrossiglutarico evidenzia disturbo neurometabolico oppure potrebbe essere correlato a situazioni oncologiche . </t>
  </si>
  <si>
    <r>
      <t>L’acido omovanillico</t>
    </r>
    <r>
      <rPr>
        <sz val="10"/>
        <color rgb="FF000000"/>
        <rFont val="Calibri"/>
        <family val="2"/>
      </rPr>
      <t xml:space="preserve"> (HVA) è il metabolita diretto della dopamina, neurotrasmettitore di fondamentale importanza in quanto precursore di altri ormoni della famiglia delle catecolamine.  Nella produzione di dopamina, fenilalanina e tirosina, sono i principali attori insieme a cofattori enzimatici come il ferro, la tetraidrobiopterina e fosfato piridossico. La dopamina può essere anche prodotta dal tratto gastrointestinale. Successivamente la dopamina può essere convertita a norepinefrina, usando come cofattori vit.C e rame. Diversamente può essere utilizzata per metabolizzare l'acido omovanillico, mediante due enzimi MAO (monoamina ossidasi) e COMT  ( catecol-o-metiltransferasi)  che utilizzano rispettivamente come cofattori vit.B2 uno e SAMe, magnesio e B6 l'altro enzima. </t>
    </r>
  </si>
  <si>
    <t xml:space="preserve">La carenza di HVA è spesso associata a deficienza degli aminoacidi precursori (tirosina e/o fenilalanina) o dei cofattori enzimatici (ferro, tetrabiopterina, vit. B6, vit. B2 o SAMe). Può riflettere anche difetti di metilazione o variazioni di polimorfismi genetici. I tassi possono essere bassi anche in pazienti che assumono inibitori MAO contro disturbi depressivi o ansiogeni. Valutare integrazione di tirosina, fenilalanina o cofattori enzimatici . </t>
  </si>
  <si>
    <r>
      <t>L’</t>
    </r>
    <r>
      <rPr>
        <b/>
        <sz val="10"/>
        <color rgb="FF2E74B5"/>
        <rFont val="Calibri"/>
        <family val="2"/>
      </rPr>
      <t xml:space="preserve"> </t>
    </r>
    <r>
      <rPr>
        <b/>
        <sz val="10"/>
        <color rgb="FF000000"/>
        <rFont val="Calibri"/>
        <family val="2"/>
      </rPr>
      <t>acido vanilmandelico</t>
    </r>
    <r>
      <rPr>
        <sz val="10"/>
        <color rgb="FF000000"/>
        <rFont val="Calibri"/>
        <family val="2"/>
      </rPr>
      <t xml:space="preserve"> (VMA) viene generato dal fegato per ossidazione enzimatica. Viene prodotto a partire da epinefrina e norepinefrina, a loro volta di derivazione dopaminica.  Essendo un metabolita derivato dalla tirosina e fenilalanina, i suoi livelli riflettono la sintesi e metabolismo di catecolamine e la disponibilità di questi amminoacidi.</t>
    </r>
  </si>
  <si>
    <t xml:space="preserve">La carenza di VMA è spesso associata a deficit degli aminoacidi precursori (fenilalanina e/o tirosina), a insufficienti cofattori nutrizionali (tetrabiopterina, vit B6, ferro) e malformazioni genetiche . Il processo di metilazione è necessario per la formazione dei neurotrasmettitori e quindi difetti di metilazione possono incidere sulla sua carenza. Anche la mancanza di cofattori importanti per la formazione di norepinefrina ed epinefrine , come il rame , la vit.C e il SAMe ,  comportano la riduzione dei livelli del metabolita.  I tassi di VMA possono essere bassi anche nei pazienti che assumono inibitori MAO contro disturbi depressivi e ansiogeni.  </t>
  </si>
  <si>
    <t xml:space="preserve">L'eccesso di VMA potrebbe essere correlato a terapie antidepressive o stimolanti per ADHD ( Il Disturbo da Deficit di Attenzione/Iperattività)  che agiscono entrambi elevando il livello delle catecolamine. Livelli elevati di questo metabolita possono associarsi anche a generali disordini derivati dalla terza età . Eccesso di VMA nelle urine è a volte correlato a feocromocitoma , tumori della cresta neuronale , ipertensione renovascolare e neuroblastoma. In generale un aumento di catecolamine può associarsi a forte stress fisiologico , esercizio fisico e stress post-traumatico.  </t>
  </si>
  <si>
    <r>
      <t xml:space="preserve">Un aumento del rapporto HVA/VMA potrebbe essere causato dalla diminuzione della conversione di dopamina in noradrenalina a opera dell’enzima dopamina beta-idrossilasi (DBH), dipendente dal rame e dalla vitamina C che in questo caso potrebbero essere quindi carenti.  Un altro motivo potrebbe essere l’inibizione di questo enzima da parte dei sottoprodotti di </t>
    </r>
    <r>
      <rPr>
        <i/>
        <sz val="10"/>
        <color theme="1"/>
        <rFont val="Calibri"/>
        <family val="2"/>
        <scheme val="minor"/>
      </rPr>
      <t>Clostridia</t>
    </r>
    <r>
      <rPr>
        <sz val="10"/>
        <color theme="1"/>
        <rFont val="Calibri"/>
        <family val="2"/>
        <scheme val="minor"/>
      </rPr>
      <t xml:space="preserve"> (HPHA,4-cresolo o acido 4-idrossifenilacetico).  L’enzima DBH può essere inibito anche dalla presenza di muffe (acido fusarico), da prodotti farmaceutici come disulfiram o aspartame. Anche polimorfismi genetici del DBH oppure disturbi neuropsichiatrici possono causare aumento del rapporto HVA/VMA.</t>
    </r>
  </si>
  <si>
    <r>
      <rPr>
        <b/>
        <sz val="10"/>
        <rFont val="Calibri"/>
        <family val="2"/>
        <scheme val="minor"/>
      </rPr>
      <t>L'acido DOPAC</t>
    </r>
    <r>
      <rPr>
        <sz val="10"/>
        <rFont val="Calibri"/>
        <family val="2"/>
        <scheme val="minor"/>
      </rPr>
      <t xml:space="preserve"> è un acido fenolico e un metabolita del neurotrasmettitore dopamina. La dopamina subisce deaminazione ossidativa a opera della monoamina ossidasi (MAO) diventando 3,4-diidrossifenilacetaldeide (DOPAL), che viene metabolizzato principalmente in DOPAC tramite aldeide deidrogenasi (ALDH2).  Noti inibitori dell'enzima ALDH2 , es il 4-idrossi-2-nonenale (4HNE) , inibiscono l'ossidazione di DOPAL. Nel morbo di Parkinson la produzione di DOPAC viene notevolmente ridotta. In studi clinici è interessante calcolare sia la quantità di dopamina che di DOPAC  per valutare l'attività dei neuroni dopaminergici. Infatti possiamo considerare il DOPAC extracellulare come la quantità di dopamina prodotta e immagazzinata nel neurone presinaptico, mentre i livelli di dopamina rappresentano quanto effettivamente ne è stata rilasciata attraverso la depolarizzazione dei neuroni. DOPAC è uno dei principali acidi fenolici formati durante la fermentazione microbica umana di tè, agrumi e integratori di flavonoidi di soia. DOPAC può essere trovato nei batteri Gram-positivi. </t>
    </r>
  </si>
  <si>
    <r>
      <t xml:space="preserve">Alti livelli di DOPAC possono essere rilevati a causa di fattori che inibiscono la dopamina beta idrossilasi (DBH) come elevati metaboliti di </t>
    </r>
    <r>
      <rPr>
        <i/>
        <sz val="10"/>
        <color theme="1"/>
        <rFont val="Calibri"/>
        <family val="2"/>
        <scheme val="minor"/>
      </rPr>
      <t>Clostridia</t>
    </r>
    <r>
      <rPr>
        <sz val="10"/>
        <color theme="1"/>
        <rFont val="Calibri"/>
        <family val="2"/>
        <scheme val="minor"/>
      </rPr>
      <t>, carenze di S-adenosil metione (SAM-e) o carenze dell'enzima che utilizza SAM-e, catecolo Ometiltransferasi (COMT).</t>
    </r>
  </si>
  <si>
    <t>I bassi livelli di DOPAC possono essere dovuti alla diminuzione dell'assunzione o dell'assorbimento degli aminoacidi precursori della dopamina come la fenilalanina e / o la tirosina o alla diminuzione delle quantità di cofattori necessari per la biosintesi della dopamina come la tetraidrobiopterina e il coenzima della vitamina B6. I livelli di DOPAC possono anche essere bassi a causa del trattamento con inibitori della monoamino ossidasi (MAO) o polimorfismi genetici (SNP) di MAO o aldeide deidrogenasi (ALDH) che causano una diminuzione dell'attività enzimatica.</t>
  </si>
  <si>
    <r>
      <t>L’ acido 5-idrossiindolacetico</t>
    </r>
    <r>
      <rPr>
        <sz val="10"/>
        <color rgb="FF000000"/>
        <rFont val="Calibri"/>
        <family val="2"/>
      </rPr>
      <t xml:space="preserve"> (5-HIAA) deriva dal metabolismo della serotonina, formato a partire dal triptofano per opera della monoaminaossidasi (MAO). Alcuni alimenti ricchi di triptofano possono aumentare i livelli di 5-idrossiindolacetato: burro </t>
    </r>
    <r>
      <rPr>
        <sz val="10"/>
        <rFont val="Calibri"/>
        <family val="2"/>
      </rPr>
      <t xml:space="preserve">d’arachidi, noci, pollo, carne rossa, semi, banane (alimenti da preferire in caso di carenza). Scarsa serotina induce una scarsa mobilità intestinale e quindi costipazione. </t>
    </r>
  </si>
  <si>
    <t xml:space="preserve">Il deficit dell'acido 5-HIAA potrebbe indicare una ridotta produzione o consumo del neurotrasmettitore serotonina del quale è diretto metabolita. Quindi è spesso associato a sintomatologie depressive. Inoltre la carenza di 5-HIAA può essere associata a scarso introito dell'aminoacido triptofano, precursore della serotonina, oppure dei cofattori enzimatici necessari per la conversione (tetrabiopterina e vit.B6) , integrazioni consigliate in questi casi.  Anche polimorfismi genetici o mutazioni, così come difetti nella metilazione, possono ridurre i livelli di questo metabolita. Anche in pazienti che assumono inibitori della monoamina ossidasi (MAO) si possono riscontrare livelli bassi di questo metabolita, così come un utilizzo importante di alimenti che contengono tiramina ( vino rosso o cibi fermentati ). </t>
  </si>
  <si>
    <t xml:space="preserve">Valori urinari elevati di 5-HIAA possono riflettere scarsa motilità intestinale: la serotonina produce enterocromaffina intestinale necessaria per la motilità del tratto gastrointestinale, quindi la sua carenza provoca costipazione. Spesso ,infatti, farmaci antidepressivi vengono utilizzati per trattare problemi intestinali, comportando aumento dei livelli di 5-HIAA. L'aumento di questo metabolita può riflettere anche l’introito di alimenti che contengono triptofano o integratori con 5-idrossitriptofano (5-HTP). Tumori carcinoidi possono indurre elevati livelli urinari di 5-HIAA. Alcuni farmaci come aspirina, sciroppi espettoranti e paracetamolo possono avere un forte impatto sulla produzione di 5-HIAA e sono quindi da tenere in considerazione nella valutazione complessiva. Difetti di metilazione o mancanza di cofattori per la metilazione possono comportare alterazione dei livelli di 5-HIAA. </t>
  </si>
  <si>
    <r>
      <t>L’acido chinurenico</t>
    </r>
    <r>
      <rPr>
        <sz val="10"/>
        <color rgb="FF000000"/>
        <rFont val="Calibri"/>
        <family val="2"/>
      </rPr>
      <t xml:space="preserve"> è un metabolita del triptofano, importante per il meccanismo di produzione di NAD+ e per le reazioni di ossidoriduzione mitocondriali. A partire dal triptofano possono diramarsi tre pathway: il primo per la produzione proteica, il secondo per la produzione di serotonina e il terzo per la produzione di NAD+.  La via della chinurenina è particolarmente sensibile alla carenza di vitamina B6, che può elevare l'acido chinurenico urinario. Insieme all’acido chinolinico, può riflettere il fabbisogno di vitamina B3. L'acido chinurenico ha mostrato alcune proprietà neuroprotettive nel cervello, poiché può stimolare i recettori NMDA. Tuttavia, la sua importanza alla periferia non è ancora del tutto chiarita. Alcuni studi ne delineano proprietà antinfiammatorie, analgesiche, antiaterogeniche, antiossidanti. </t>
    </r>
  </si>
  <si>
    <t xml:space="preserve">L'eccesso di acido chinurenico può essere dovuto a carenza di vit.B6 , ma può riflettere anche deficienza di B3, integrazioni da valutare in questi casi. Contraccettivi orali e la terapia estrogenica sono stati implicati nell'aumento dell'escrezione di acido chinurenico sia direttamente dal metabolismo alterato del triptofano, sia dall'insufficienza di vitamina B6. Nel caso di disordini alimentari la carenza di vit.B6 si può manifestare con fotosensibilità, dermatiti, diarrea e demenza. E' ancora da chiarire il suo coinvolgimento nella patogenesi di una serie di condizioni neurologiche e nel processo d'invecchiamento. Alcuni studi riscontrano elevati livelli di acido chinurenico in pazienti affetti da HIV e da neuroborelliosi di Lyme, ma anche in pazienti con Alzheimer, sindrome di Down e malattia di Huntington. </t>
  </si>
  <si>
    <r>
      <t>L’acido chinolinico</t>
    </r>
    <r>
      <rPr>
        <sz val="10"/>
        <color rgb="FF000000"/>
        <rFont val="Calibri"/>
        <family val="2"/>
      </rPr>
      <t xml:space="preserve"> è un metabolita dell'aminoacido triptofano prodotto dal pathway della chinurenina, il meccanismo per la produzione di NAD+ fondamentale per le reazioni di ossidoriduzione mitocondriali. A partire dal triptofano possono diramarsi tre pathway: il primo per la produzione proteica, il secondo per la produzione di serotonina e il terzo per quella di NAD+ (e ac.chinolinico). Se quest’ultimo pathway viene preferito, è in corso una risposta infiammatoria e stressogena, che porterà a un deficit di serotonina. L’acido chinolinico agisce come agonista del recettore NMDA e ha un possibile ruolo nelle malattie neurodegenerative, data la sua azione infiammatoria , neurotossica e pro-ossidante. </t>
    </r>
  </si>
  <si>
    <t xml:space="preserve">Livelli elevati di acido chinolinico sono correlati a deficienza di vitamine B6 e B3, integrazioni consigliate in questi casi. Anche l’utilizzo di contraccettivi orali e terapia estrogenica implicano un aumento del metabolita, così come deficit neuropsicologici nei pazienti affetti da AIDS, Alzheimer, ischemia cerebrale , morbo di Parkinson, infiammazione cronica dovuta da infezione microbica intestinale, sovraesposizione a ftalati. I livelli di acido chinolinico appaiono aumentati anche in bambini affetti da infezioni batteriche con coinvolgimento del SNC e in pazienti adulti con poliovirus o malattia di Lyme. </t>
  </si>
  <si>
    <r>
      <t>L’acido pantotenico</t>
    </r>
    <r>
      <rPr>
        <sz val="10"/>
        <color rgb="FF000000"/>
        <rFont val="Calibri"/>
        <family val="2"/>
      </rPr>
      <t xml:space="preserve"> si riferisce alla vit. B5, vitamina idrosolubile necessaria per formare il coenzima-A , fondamentale per il metabolismo e la sintesi di carboidrati, proteine e grassi. Ha un ruolo importante nella regolazione del colesterolo nel sangue, nel mantenimento del sistema nervoso e dei livelli ormonali. Fonti alimentari di acido pantotenico sono la carne, le uova, i prodotti integrali, legumi, latte, frutta e verdura. Solitamente viene rilasciata rapidamente nelle urine.</t>
    </r>
  </si>
  <si>
    <r>
      <t>L’acido glutarico</t>
    </r>
    <r>
      <rPr>
        <sz val="10"/>
        <color rgb="FF000000"/>
        <rFont val="Calibri"/>
        <family val="2"/>
      </rPr>
      <t xml:space="preserve"> è un prodotto intermedio del metabolismo di alcuni aminoacidi, tra cui lisina e triptofano. L'aumento indica carenza di riboflavina (vitamina B2) , cofattore necessario all'enzima glutaril-CoA deidrogenasi che dovrebbe convertire l'acido glutarico in Cotonil-CoA. Altri possibili fattori che aumentano i livelli di acido glutarico includono difetti di ossidazione degli acidi grassi ed effetti metabolici dell'acido valproico (Depakene) o celiachia.</t>
    </r>
  </si>
  <si>
    <t>L'eccesso di acido glutarico potrebbe rappresentare carenza di vit.B2 o difetti di ossidazione.  Valori molto elevati di acido glutarico evidenziano la malattia genetica acidemia glutarica tipo I, in cui l'enzima che dovrebbe mediare il catabolismo amminoacidico non funziona correttamente.</t>
  </si>
  <si>
    <r>
      <t>L’acido metilmalonico</t>
    </r>
    <r>
      <rPr>
        <sz val="10"/>
        <color rgb="FF000000"/>
        <rFont val="Calibri"/>
        <family val="2"/>
      </rPr>
      <t xml:space="preserve"> è un metabolita formato a partire dal propionil-CoA derivato da valina, isoleucina, metionina, treonina e acidi grassi a catena dispari poi convertito in metilmalonil-CoA. Il metilmalonil-CoA ha due destini: il primo è quello di entrare nel ciclo di Krebs come succinil-CoA, tramite l'azione della metilmalonil-CoA mutasi , enzima che utilizza vit.B12 come cofattore ,il secondo destino è invece quello di essere convertito in acido metilmalonico e quindi eliminato tramite le urine. </t>
    </r>
  </si>
  <si>
    <t>L'eccesso di acido metilmalonico riflette deficienza di vit.B12 principalmente, ma può anche individuare una rara deficienza enzimatica della metilmalonil-CoA mutasi. La deficienza di vit.B12 potrebbe essere causata da problemi di assorbimento intestinale , alcolismo e dieta strettamente vegana. Fonti alimentari di vitamina B12 sono principalmente di origine animale : fegato, latte e derivati, manzo e uova. Il livello di acido metilmalonico sembra essere un indicatore maggiormente sensibile alla carenza di vitamina B12 rispetto la quantificazione della vitamina B12 direttamente nel siero. E’ importante monitorare questo metabolita nella prevenzione del declino cognitivo e neuropatia.</t>
  </si>
  <si>
    <r>
      <t>L’N-acetilcisteina</t>
    </r>
    <r>
      <rPr>
        <sz val="10"/>
        <color rgb="FF000000"/>
        <rFont val="Calibri"/>
        <family val="2"/>
      </rPr>
      <t xml:space="preserve"> è un potente antiossidante che aumenta le riserve di glutatione nel corpo. Insieme al glutatione, di cui è precursore, l'N-acetilcisteina si lega direttamente ai metaboliti tossici svolgendo anche un' azione citoprotettiva per la cellula. Sebbene l'N-acetilcisteina possa essere utile in determinate condizioni , l'uso eccessivo del supplemento potrebbe essere dannoso. L'integrazione di NAC viene spesso utilizzata in casi di sovradosaggio di paracetamolo, nel quale l'N-acetilcisteina agisce per mantenere o reintegrare le riserve di glutatione impoverite nel fegato e migliorare il metabolismo non tossico del paracetamolo. NAC viene utilizzato anche come agente mucolitico o antivirale in pazienti con HIV .</t>
    </r>
  </si>
  <si>
    <r>
      <t>L’acido ascorbico</t>
    </r>
    <r>
      <rPr>
        <sz val="10"/>
        <color rgb="FF000000"/>
        <rFont val="Calibri"/>
        <family val="2"/>
      </rPr>
      <t xml:space="preserve"> si trova naturalmente in frutta e verdura ed è un nutriente essenziale nella dieta umana. La forma biologicamente attiva dell'acido ascorbico è la vitamina C. Il corpo umano non è in grado di sintetizzarlo in autonomia, quindi è essenziale introdurlo tramite l'alimentazione. Fonti alimentari di vitamina C sono kiwi, fragole, agrumi, ananas, verdure e ortaggi freschi.  La vit.C funziona come agente riducente e coenzima di diverse vie metaboliche ( biosintesi carnitina e noradrenalina, metabolismo tirosina, idrossilazione del collagene e amidazione degli ormoni peptidici) . La sua capacità di donare elettroni lo rende un potente antiossidante solubile in acqua che elimina prontamente i radicali liberi come ossigeno molecolare, superossido, radicale idrossile e acido ipocloroso. In questo contesto, diversi meccanismi potrebbero spiegare un legame tra vit.C e malattie cardiache, in primis la relazione tra l'ossidazione del colesterolo LDL e vit.C ed E, oltre che i meccanismi che sembrano migliorare la vasodilatazione e reattività vascolare . </t>
    </r>
  </si>
  <si>
    <t xml:space="preserve">Il suo deficit è associato a mancanza. E’ consigliabile supplementazione di vitamina C in questi casi. </t>
  </si>
  <si>
    <r>
      <t>L’acido 4-piridossico</t>
    </r>
    <r>
      <rPr>
        <sz val="10"/>
        <color rgb="FF000000"/>
        <rFont val="Calibri"/>
        <family val="2"/>
      </rPr>
      <t xml:space="preserve"> è un membro della classe di composti noti come metilpiridine ed è il prodotto catabolico della  vitamina B6. La vitamina B6 interviene nel processo di trasformazione di proteine, carboidrati e grassi e contribuisce alla formazione dell'emoglobina . E' inoltre importante per il normale sviluppo cerebrale e per il sistema immunitario . E' inoltre fondamentale per la sintesi della serotonina , che insieme ad altri neurotrasmettitori contibuisce a regolare l'umore, il sonno, l'appetito, la memoria e la capacità di concentrazione. Poiché alcuni individui possono richiedere dosi molto elevate di vitamina B6, valori elevati non indicano la necessità di ridurre l'assunzione di vitamina B6. Fonti alimentari di vitamina B6 sono carne, pesce, fegato, cereali integrali, uova , latte e formaggi , ma anche ceci , lenticchie e frutta secca .</t>
    </r>
  </si>
  <si>
    <t xml:space="preserve"> Il deficit di acido 4-piridossico nelle urine potrebbe essere correlato a scarsi livelli di vit.B6, alti ossalati, bassi neurotrasmettitori o problemi di malassorbimento. Valutare integrazione di vitamina B6.</t>
  </si>
  <si>
    <r>
      <t>L’acido 3-idrossi-3-metilglutarico (HMG)</t>
    </r>
    <r>
      <rPr>
        <sz val="10"/>
        <color rgb="FF000000"/>
        <rFont val="Calibri"/>
        <family val="2"/>
      </rPr>
      <t xml:space="preserve"> è un intermedio nel processo di degradazione della leucina, ma anche un precursore metabolico del colesterolo e del CoQ10. Il 3-idrossi-3-metilglutaril-CoA viene solitamente convertito in acetil-CoA e acetoacetato dall'enzima 3-idrossi-3-metiglutaril-CoA liasi ma in caso di inefficienza enzimatica non avviene tale conversione con accumulo di HMG che comporta tossicità mitocondriale.  L'enzima HMG-CoA liasi ha un ruolo importante anche nella formazione del corpo chetonico 3-idrossibutirrico. HMG è un metabolita con azione ipolipidemizzante e inibisce la sintesi di colesterolo.  Farmaci che interferiscono con l’enzima HMG-CoA liasi inducono elevati livelli di HMG e conseguenti bassi livelli di colesterolo e CoQ10. </t>
    </r>
  </si>
  <si>
    <r>
      <t>L’acido mandelico</t>
    </r>
    <r>
      <rPr>
        <sz val="10"/>
        <color rgb="FF000000"/>
        <rFont val="Calibri"/>
        <family val="2"/>
      </rPr>
      <t xml:space="preserve"> è un derivato della fenilalanina e del metabolismo di adrenalina e noradrenalina. L'acido mandelico può essere anche prodotto dall'esposizione allo stirene, un composto ambientale tossico. Ha anche proprietà antibatteriche e lenitive, per il quale viene utilizzato spesso nella cosmesi.</t>
    </r>
  </si>
  <si>
    <r>
      <rPr>
        <b/>
        <sz val="10"/>
        <color rgb="FF000000"/>
        <rFont val="Calibri"/>
        <family val="2"/>
      </rPr>
      <t>L'acido omogentisico</t>
    </r>
    <r>
      <rPr>
        <sz val="10"/>
        <color rgb="FF000000"/>
        <rFont val="Calibri"/>
        <family val="2"/>
      </rPr>
      <t xml:space="preserve">, noto anche come acido melanico, </t>
    </r>
    <r>
      <rPr>
        <b/>
        <sz val="10"/>
        <color rgb="FF000000"/>
        <rFont val="Calibri"/>
        <family val="2"/>
      </rPr>
      <t xml:space="preserve"> </t>
    </r>
    <r>
      <rPr>
        <sz val="10"/>
        <color rgb="FF000000"/>
        <rFont val="Calibri"/>
        <family val="2"/>
      </rPr>
      <t>è un</t>
    </r>
    <r>
      <rPr>
        <b/>
        <sz val="10"/>
        <color rgb="FF000000"/>
        <rFont val="Calibri"/>
        <family val="2"/>
      </rPr>
      <t xml:space="preserve"> </t>
    </r>
    <r>
      <rPr>
        <sz val="10"/>
        <color rgb="FF000000"/>
        <rFont val="Calibri"/>
        <family val="2"/>
      </rPr>
      <t>metabolita implicato nel processo di degradazione di tirosina e fenilalanina, mediato dall'enzima omogentisica ossidasi e dal cofattore ferro.  Se l'enzima è mutato,  avviene eccesso di acido omogentisico e manifestazione dei segni clinici di alcaptonuria, rara malattia metabolica: cambio di colore delle urine, artrite, nefrolitiasi, patologie della valvola cardiaca, ecc.. Può considerarsi un possibile marker di rischio coronarico per stress ossidativo, oltre che una osteotossina e tossina renale, provocando danni a ossa, articolazioni e/o reni. Difatti l'accumulo di acido omogentisico provoca danni alla cartilagine e alle valvole cardiache, oltre a precipitare come calcoli renali. La conversione dell'acido omogentisico ad acido acetico benzochinone, porta alla formazione di polimeri che si depositano nel collagene cartilagineo  provocando ocronosi e poi osteoartrite.</t>
    </r>
  </si>
  <si>
    <t xml:space="preserve">L'eccesso è raro e generalmente associato ad alcaptonuria . Se il valore è leggermente alterato, integrare il cofattore enzimatico ferro e l'antiossidante vit.C, quindi ricontrollare nel tempo indagando le funzionalità cardiache, renali e articolari. Valutare una dieta a basso contenuto proteico. </t>
  </si>
  <si>
    <r>
      <rPr>
        <b/>
        <sz val="10"/>
        <color rgb="FF000000"/>
        <rFont val="Calibri"/>
        <family val="2"/>
      </rPr>
      <t>L'acido 2-idrossiisocaproico</t>
    </r>
    <r>
      <rPr>
        <sz val="10"/>
        <color rgb="FF000000"/>
        <rFont val="Calibri"/>
        <family val="2"/>
      </rPr>
      <t xml:space="preserve"> è un prodotto finale del metabolismo della leucina . Viene ampiamente utilizzato dalla comunità del body building . Da studi recenti , sembra dimostrato che nei pazienti con la malattia dello sciroppo d'acero acceleri la perossidazione lipidica.  L'acido 2-idrossiisocaproico è anche prodotto da Lactobacilli e altre specie funginee. </t>
    </r>
  </si>
  <si>
    <t>L'eccesso moderato dell'acido 2-idrossiisocaproico si associa a integrazione di leucina oppure a sovracrescita funginea. Se in forte eccesso, indagare se si tratta di malattia di sciroppo d'acero (MSUD), una malattia metabolica ereditaria prevalentemente caratterizzata da disfunzione neurologica , psicomotoria e  ritardo mentale.</t>
  </si>
  <si>
    <r>
      <t>L’acido N-acetilaspartico</t>
    </r>
    <r>
      <rPr>
        <sz val="10"/>
        <color rgb="FF000000"/>
        <rFont val="Calibri"/>
        <family val="2"/>
      </rPr>
      <t xml:space="preserve"> è un derivato dell'acido aspartico, amminoacido presente in dolcificanti con aspartame , integratori con acido aspartico o sali derivati oppure in fonti vegetali e animali in minor misura . L'acido N-acetilaspartico è la seconda molecola più concentrata nel cervello dopo l'amminoacido glutammato. Le varie funzioni svolte dall'acido N-acetilaspartico sono ancora in fase di studio, ma le principali funzioni proposte includono (1) agire come osmolita neuronale coinvolto nell'equilibrio dei fluidi nel cervello, (2) servire come fonte di acetato per la sintesi di lipidi e mielina negli oligodendrociti , (3) servire come precursore per la sintesi dell'importante neurotrasmettitore dipeptide N-acetilaspartilglutammato (NAAG), e (4) svolgere un ruolo potenziale nella produzione di energia dall'aminoacido glutammato nei mitocondri neuronali. Alti livelli di acido N-acetilaspartico possono portare a segnali neurali anormali, sviluppo intellettuale ritardato o arrestato e difficoltà con le capacità motorie generali. Quando presente in livelli sufficientemente elevati, l'acido N-acetilaspartico può essere una neurotossina, un acidogeno e una metabotossina. Questa situazione si manifesta in caso di disturbi genetici , come la malattia di Canavan , provocando degenerazione cerebrale.</t>
    </r>
  </si>
  <si>
    <t xml:space="preserve">Il leggero eccesso di acido N-acetilaspartico potrebbe derivare da un forte uso di prodotti con aspartato (bevande o soia). Se molto superiore , seguire degli accertamenti a livello neuronale. </t>
  </si>
  <si>
    <r>
      <t>L’acido malonico</t>
    </r>
    <r>
      <rPr>
        <sz val="10"/>
        <color rgb="FF000000"/>
        <rFont val="Calibri"/>
        <family val="2"/>
      </rPr>
      <t xml:space="preserve"> è coinvolto nella biosintesi degli acidi grassi , unendosi con l'acido acetico per la conversione in acido acetoacetico. L'acido malonico è stato rilevato in diversi alimenti come barbabietole rosse, mais, fagioli e latte di vacca. Ciò potrebbe rendere l'acido malonico un potenziale biomarcatore per il consumo di questi alimenti. L'acido malonico è stato trovato associato a diverse malattie come l'esofagite eosinofila, l'aciduria malonica e metilmalonica combinata e la preeclampsia precoce.</t>
    </r>
  </si>
  <si>
    <r>
      <t xml:space="preserve"> L’acido 4-idrossifenilpiruvico</t>
    </r>
    <r>
      <rPr>
        <sz val="10"/>
        <color rgb="FF000000"/>
        <rFont val="Calibri"/>
        <family val="2"/>
      </rPr>
      <t xml:space="preserve"> è un chetoacido coinvolto nella via del catabolismo della tirosina, che viene poi convertito in acido omogentisico dall'enzima 4-idrossifenilpiruvico acido diossigenasi (HPD). Il deficit dell'enzima HPD provoca fenilchetonuria, un errore congenito metabolico. </t>
    </r>
  </si>
  <si>
    <r>
      <rPr>
        <b/>
        <sz val="10"/>
        <color rgb="FF000000"/>
        <rFont val="Calibri"/>
        <family val="2"/>
      </rPr>
      <t xml:space="preserve">L'acido 2-idrossi-3-metilbutirrico </t>
    </r>
    <r>
      <rPr>
        <sz val="10"/>
        <color rgb="FF000000"/>
        <rFont val="Calibri"/>
        <family val="2"/>
      </rPr>
      <t xml:space="preserve">ha origine principalmente dalla chetogenesi e dal metabolismo della valina, leucina e isoleucina . E' presente in pazienti con fenilchetonuria, acidemia, malattia dello sciroppo d'acero e altre patologie metaboliche congenite oppure in casi di chetoacidosi.  </t>
    </r>
  </si>
  <si>
    <r>
      <rPr>
        <b/>
        <sz val="10"/>
        <color rgb="FF202122"/>
        <rFont val="Calibri"/>
        <family val="2"/>
      </rPr>
      <t>Uracile e timina</t>
    </r>
    <r>
      <rPr>
        <sz val="10"/>
        <color rgb="FF202122"/>
        <rFont val="Calibri"/>
        <family val="2"/>
      </rPr>
      <t xml:space="preserve"> sono correlati al metabolismo dell'acido folico. L'acido folico è fondamentale per la replicazione del materiale genico in quanto ricopre un ruolo chiave nella biosintesi di purine e pirimidine (costituenti del DNA e dell'RNA) oltre che di aminoacidi : nell'uomo viene assimilato dalla dieta e non sintetizzato. La carenza di acido folico è implicata negativamente in questi processi di regolazione genomica o epigenetica. L'enzima 5,10-metiltetridrofolato reduttasi (5,10-MTHFR) è un enzima dipendente dall'acido folico che esiste in forma polimorfica. L'azione dell'enzima 5,10-MTHFR regola sia l'espressione fenotipica del DNA che il metabolismo dell'omocisteina. A fronte di un corretto apporto nutrizionale di acido folico la presenza ottimale di 5,10-MTHFR protegge dal rischio di un non corretto sviluppo embriogenetico così come dallo sviluppo di molte malattie degenerative. Uracile e timina vengono liberati dal RNA e DNA , con aumento di instabilità genomica ed effetti epigenetici, nel caso di deficienza di acido folico. </t>
    </r>
  </si>
  <si>
    <r>
      <t>L'eccesso di uno o entrambi i metaboliti uracile e timina, è correlato a disturbi del metabolismo dell'acido folico, deficienza di acido folico e disturbi genetici del metabolismo delle pirimidine. Uno scarso apporto di acido folico e la conseguente ridotta produzione dell'enzima 5,10-MTHFR che interviene nella corretta conversione dalla dUMP (deossiuridina monofosfato) a dTMP (deossitimidina monofosfato), determina un aumento della mis-incorporazione dell'uracile</t>
    </r>
    <r>
      <rPr>
        <b/>
        <sz val="10"/>
        <color rgb="FF202122"/>
        <rFont val="Calibri"/>
        <family val="2"/>
      </rPr>
      <t xml:space="preserve"> </t>
    </r>
    <r>
      <rPr>
        <sz val="10"/>
        <color rgb="FF202122"/>
        <rFont val="Calibri"/>
        <family val="2"/>
      </rPr>
      <t>nel DNA con un aumento dell'instabilità genomica. Ricerche dimostrano che i processi che intervengono nella morte cellulare programmata sono strettamente correlati con la presenza dell'acido folico circolante che è responsabile dell'integrità del genoma umano.</t>
    </r>
  </si>
  <si>
    <r>
      <t>L’acido citramalico</t>
    </r>
    <r>
      <rPr>
        <sz val="10"/>
        <color rgb="FF000000"/>
        <rFont val="Calibri"/>
        <family val="2"/>
      </rPr>
      <t xml:space="preserve"> è un analogo dell'acido malico. Si trova in quasi tutti gli organismi viventi,  ma è principalmente un metabolita sottoprodotto di alcune specie di lievito ( es. </t>
    </r>
    <r>
      <rPr>
        <i/>
        <sz val="10"/>
        <color rgb="FF000000"/>
        <rFont val="Calibri"/>
        <family val="2"/>
      </rPr>
      <t>Saccharomyces , Propionibacterium acnes</t>
    </r>
    <r>
      <rPr>
        <sz val="10"/>
        <color rgb="FF000000"/>
        <rFont val="Calibri"/>
        <family val="2"/>
      </rPr>
      <t xml:space="preserve"> e </t>
    </r>
    <r>
      <rPr>
        <i/>
        <sz val="10"/>
        <color rgb="FF000000"/>
        <rFont val="Calibri"/>
        <family val="2"/>
      </rPr>
      <t>Aspergillus niger</t>
    </r>
    <r>
      <rPr>
        <sz val="10"/>
        <color rgb="FF000000"/>
        <rFont val="Calibri"/>
        <family val="2"/>
      </rPr>
      <t xml:space="preserve">…). L'acido citramalico può essere scomposto dall'enzima citramalato liasi, che converte il citramalato in acetato e piruvato. In maniera opposta, la citramalato sintasi è un enzima presente nei batteri che sintetizza l'acido citramalico da acetil-CoA, piruvato e acqua. L'acido citramalico può avere un ruolo utile nelle diagnosi mediche: è  stato trovato nelle urine di due fratelli con caratteristiche autistiche. L'acido citramalico può anche essere usato come marcatore urinario per la disbiosi intestinale. La sua presenza urinaria può essere anche influenzata dal massiccio introito alimentare di frutta (mele, mirtilli rossi e barbabietola da zucchero). </t>
    </r>
  </si>
  <si>
    <r>
      <t xml:space="preserve">L’acido 5-idrossimetil-2-furancarbossilico, </t>
    </r>
    <r>
      <rPr>
        <sz val="10"/>
        <color rgb="FF000000"/>
        <rFont val="Calibri"/>
        <family val="2"/>
      </rPr>
      <t>anche detto acido Sumiki, è un metabolita umano naturale.</t>
    </r>
    <r>
      <rPr>
        <b/>
        <sz val="10"/>
        <color rgb="FF000000"/>
        <rFont val="Calibri"/>
        <family val="2"/>
      </rPr>
      <t xml:space="preserve"> </t>
    </r>
    <r>
      <rPr>
        <sz val="10"/>
        <color rgb="FF000000"/>
        <rFont val="Calibri"/>
        <family val="2"/>
      </rPr>
      <t>Viene anche prodotto da alcune specie di funghi e lieviti, es</t>
    </r>
    <r>
      <rPr>
        <i/>
        <sz val="10"/>
        <color rgb="FF000000"/>
        <rFont val="Calibri"/>
        <family val="2"/>
      </rPr>
      <t>.Aspergillus</t>
    </r>
    <r>
      <rPr>
        <sz val="10"/>
        <color rgb="FF000000"/>
        <rFont val="Calibri"/>
        <family val="2"/>
      </rPr>
      <t xml:space="preserve">. </t>
    </r>
  </si>
  <si>
    <r>
      <t xml:space="preserve">L'acido Sumiki può essere escreto in eccesso da soggetti normali dopo un carico di fenilalanina .L'acido Sumiki è un sottoprodotto del fungo </t>
    </r>
    <r>
      <rPr>
        <i/>
        <sz val="10"/>
        <color rgb="FF202122"/>
        <rFont val="Calibri"/>
        <family val="2"/>
      </rPr>
      <t>Aspergillus</t>
    </r>
    <r>
      <rPr>
        <sz val="10"/>
        <color rgb="FF202122"/>
        <rFont val="Calibri"/>
        <family val="2"/>
      </rPr>
      <t xml:space="preserve"> e probabilmente anche di altre specie di funghi e lieviti.</t>
    </r>
  </si>
  <si>
    <r>
      <t>L’acido tartarico</t>
    </r>
    <r>
      <rPr>
        <sz val="10"/>
        <color rgb="FF000000"/>
        <rFont val="Calibri"/>
        <family val="2"/>
      </rPr>
      <t xml:space="preserve"> è un metabolita aspecifico di infezioni da lieviti e batteri come da </t>
    </r>
    <r>
      <rPr>
        <i/>
        <sz val="10"/>
        <color rgb="FF000000"/>
        <rFont val="Calibri"/>
        <family val="2"/>
      </rPr>
      <t>Agrobacterium, Nocardia, Rhizobium, Saccharomyces</t>
    </r>
    <r>
      <rPr>
        <sz val="10"/>
        <color rgb="FF000000"/>
        <rFont val="Calibri"/>
        <family val="2"/>
      </rPr>
      <t xml:space="preserve">. Può derivare anche dall'utilizzo massiccio di vino , grappe, cioccolato o conservanti alimentari . Naturalmente presente nei prodotti derivati dalla spremitura dell'uva , viene invece aggiunto come conservante , antiossidante, emulsionante e acidificante dall'industria alimentare . Consumato ad alte dosi agisce come tossina muscolare con alterazioni gravi come paralisi e morte. </t>
    </r>
  </si>
  <si>
    <r>
      <t xml:space="preserve">I livelli elevati nelle urine possono essere dovuti alla presenza di lieviti (nell'intestino o nella vescica). Anche l’infezione da </t>
    </r>
    <r>
      <rPr>
        <i/>
        <sz val="10"/>
        <color rgb="FF202122"/>
        <rFont val="Calibri"/>
        <family val="2"/>
      </rPr>
      <t>Candida</t>
    </r>
    <r>
      <rPr>
        <sz val="10"/>
        <color rgb="FF202122"/>
        <rFont val="Calibri"/>
        <family val="2"/>
      </rPr>
      <t xml:space="preserve"> stimola  produzione di questo metabolita. Indagare inoltre le abitudini alimentari del paziente , essendo biomarcatore di alcuni alimenti prima elencati.  Alti livelli di acido tartarico sono stati trovati nei bambini autistici.</t>
    </r>
  </si>
  <si>
    <r>
      <t>Furan carbonil glicina</t>
    </r>
    <r>
      <rPr>
        <sz val="10"/>
        <color rgb="FF000000"/>
        <rFont val="Calibri"/>
        <family val="2"/>
      </rPr>
      <t xml:space="preserve"> è un metabolita aspecifico prodotto da </t>
    </r>
    <r>
      <rPr>
        <i/>
        <sz val="10"/>
        <color rgb="FF000000"/>
        <rFont val="Calibri"/>
        <family val="2"/>
      </rPr>
      <t>Aspergillus</t>
    </r>
    <r>
      <rPr>
        <sz val="10"/>
        <color rgb="FF000000"/>
        <rFont val="Calibri"/>
        <family val="2"/>
      </rPr>
      <t xml:space="preserve"> e altre specie funginee nel tratto gastrointestinale. L'</t>
    </r>
    <r>
      <rPr>
        <i/>
        <sz val="10"/>
        <color rgb="FF000000"/>
        <rFont val="Calibri"/>
        <family val="2"/>
      </rPr>
      <t>Aspergillus</t>
    </r>
    <r>
      <rPr>
        <sz val="10"/>
        <color rgb="FF000000"/>
        <rFont val="Calibri"/>
        <family val="2"/>
      </rPr>
      <t xml:space="preserve"> trasmette micosi opportunistiche: similmente a </t>
    </r>
    <r>
      <rPr>
        <i/>
        <sz val="10"/>
        <color rgb="FF000000"/>
        <rFont val="Calibri"/>
        <family val="2"/>
      </rPr>
      <t>Candida albicans</t>
    </r>
    <r>
      <rPr>
        <sz val="10"/>
        <color rgb="FF000000"/>
        <rFont val="Calibri"/>
        <family val="2"/>
      </rPr>
      <t xml:space="preserve">, </t>
    </r>
    <r>
      <rPr>
        <i/>
        <sz val="10"/>
        <color rgb="FF000000"/>
        <rFont val="Calibri"/>
        <family val="2"/>
      </rPr>
      <t>Aspergillus</t>
    </r>
    <r>
      <rPr>
        <sz val="10"/>
        <color rgb="FF000000"/>
        <rFont val="Calibri"/>
        <family val="2"/>
      </rPr>
      <t xml:space="preserve"> crea danno nell'ospite (uomo) esclusivamente in condizioni a esso favorevoli. Difatti, </t>
    </r>
    <r>
      <rPr>
        <i/>
        <sz val="10"/>
        <color rgb="FF000000"/>
        <rFont val="Calibri"/>
        <family val="2"/>
      </rPr>
      <t>Aspergillus</t>
    </r>
    <r>
      <rPr>
        <sz val="10"/>
        <color rgb="FF000000"/>
        <rFont val="Calibri"/>
        <family val="2"/>
      </rPr>
      <t xml:space="preserve"> rientra tra i microorganismi commensali che, solo in alcune precise circostanze, si trasformano in patogeni opportunisti. Il calo delle difese immunitarie dell'ospite, l'asma e le cisti bronchiali si rivelano importanti fattori predisponenti. La fonte di esposizione più comune è il cibo ammuffito oppure muffe ambientali casalinghe .</t>
    </r>
  </si>
  <si>
    <t>L'eccesso di furancarbonilglicina identifica sovracrescita funginea per cui si consiglia di indagare le abitudini alimentari e eventuali esposizioni ambientali. Valutare quindi una terapia anti-funginea ed eventualmente eseguire un test specifico per le infezioni funginee .</t>
  </si>
  <si>
    <r>
      <rPr>
        <b/>
        <sz val="10"/>
        <rFont val="Calibri"/>
        <family val="2"/>
        <scheme val="minor"/>
      </rPr>
      <t>L'acido tricarballilico</t>
    </r>
    <r>
      <rPr>
        <sz val="10"/>
        <rFont val="Calibri"/>
        <family val="2"/>
        <scheme val="minor"/>
      </rPr>
      <t xml:space="preserve"> è un sottoprodotto chimico rilasciato dalle fumonisine (contaminante di prodotti a base di mais ) durante il passaggio attraverso il tratto gastrointestinale. Le fumonisine sono tossine funginee prodotte principalmente dal fungo Fusarium verticillioides. L'acido tricarballilico è un inibitore dell'enzima aconitasi , chelante del magnesio, e quindi interferisce con il ciclo di Krebs. Inoltre, l'acido tricarballilico è un sottoprodotto della raffinazione dello zucchero di barbabietola e dello zucchero d'acero e potrebbe comparire dopo l'ingestione di questi zuccheri. </t>
    </r>
  </si>
  <si>
    <t>L'eccesso di acido tricarballilico potrebbe identificare sovracrescita funginea.  Le sindromi cliniche dovute alla micotossina intatta sono rare e caratterizzate da dolore addominale e diarrea. Può apparire anche dopo il consumo di barbabietola da zucchero o sciroppo d'acero.</t>
  </si>
  <si>
    <r>
      <rPr>
        <b/>
        <sz val="10"/>
        <rFont val="Calibri"/>
        <family val="2"/>
        <scheme val="minor"/>
      </rPr>
      <t>L' Arabinosio</t>
    </r>
    <r>
      <rPr>
        <sz val="10"/>
        <rFont val="Calibri"/>
        <family val="2"/>
        <scheme val="minor"/>
      </rPr>
      <t xml:space="preserve"> è uno zucchero pentoso  prodotto di degradazione dell'acido ialuronico, è possibile trovarlo anche in alcuni tipi di frutta ( mele, prugne, ciliegie e uva) . L'arabinosio si trova in tutti gli organismi, dai batteri alle piante agli animali. Esistono due diversi percorsi di utilizzo dell'arabinosio in natura: batterico e fungino. La via batterica converte l'arabinosio in xilulosio-5-P dopo di che entra nella via del pentoso fosfato per la produzione di etanolo. La via fungina converte l'arabinosio in L-arabinitolo e infine entra nella via del pentoso fosfato non ossidativo per un ulteriore metabolismo. La presenza di arabinosio nelle urine può indicare una crescita eccessiva di lievito intestinale come</t>
    </r>
    <r>
      <rPr>
        <i/>
        <sz val="10"/>
        <rFont val="Calibri"/>
        <family val="2"/>
        <scheme val="minor"/>
      </rPr>
      <t xml:space="preserve"> Candida albicans</t>
    </r>
    <r>
      <rPr>
        <sz val="10"/>
        <rFont val="Calibri"/>
        <family val="2"/>
        <scheme val="minor"/>
      </rPr>
      <t xml:space="preserve"> o altre specie di lieviti / funghi. L-arabinosio è anche un metabolita microbico trovato e prodotto da </t>
    </r>
    <r>
      <rPr>
        <i/>
        <sz val="10"/>
        <rFont val="Calibri"/>
        <family val="2"/>
        <scheme val="minor"/>
      </rPr>
      <t>Mycobacterium</t>
    </r>
    <r>
      <rPr>
        <sz val="10"/>
        <rFont val="Calibri"/>
        <family val="2"/>
        <scheme val="minor"/>
      </rPr>
      <t xml:space="preserve">. La candidosi è un'infezione opportunistica causata dal lievito e può portare a vari cambiamenti: disbiosi, allergie e intolleranze alimentari, stress ossidativo, ecc. </t>
    </r>
  </si>
  <si>
    <r>
      <t>L'eccesso di arabinosio potrebbe indicare infezione in corso di</t>
    </r>
    <r>
      <rPr>
        <i/>
        <sz val="10"/>
        <color rgb="FF000000"/>
        <rFont val="Calibri"/>
        <family val="2"/>
      </rPr>
      <t xml:space="preserve"> Candida</t>
    </r>
    <r>
      <rPr>
        <sz val="10"/>
        <color rgb="FF000000"/>
        <rFont val="Calibri"/>
        <family val="2"/>
      </rPr>
      <t xml:space="preserve"> o altri lieviti. Valutare anche lo stile alimentare del paziente in caso di presenza importante di questo metabolita, ridurre gli zuccheri. Potrebbe essere anche un marcatore di un utilizzo importante di frutta. </t>
    </r>
  </si>
  <si>
    <r>
      <rPr>
        <b/>
        <sz val="10"/>
        <rFont val="Calibri"/>
        <family val="2"/>
        <scheme val="minor"/>
      </rPr>
      <t>L'Arabitolo</t>
    </r>
    <r>
      <rPr>
        <sz val="10"/>
        <rFont val="Calibri"/>
        <family val="2"/>
        <scheme val="minor"/>
      </rPr>
      <t xml:space="preserve"> è poliolo (alcol dello zucchero) ottenuto dalla riduzione dell'arabinosio. E' considerato marcatore di candidosi invasiva o infezione da </t>
    </r>
    <r>
      <rPr>
        <i/>
        <sz val="10"/>
        <rFont val="Calibri"/>
        <family val="2"/>
        <scheme val="minor"/>
      </rPr>
      <t>Debaryomyces, Pichia</t>
    </r>
    <r>
      <rPr>
        <sz val="10"/>
        <rFont val="Calibri"/>
        <family val="2"/>
        <scheme val="minor"/>
      </rPr>
      <t xml:space="preserve"> e </t>
    </r>
    <r>
      <rPr>
        <i/>
        <sz val="10"/>
        <rFont val="Calibri"/>
        <family val="2"/>
        <scheme val="minor"/>
      </rPr>
      <t>Zygosaccharomyces</t>
    </r>
    <r>
      <rPr>
        <sz val="10"/>
        <rFont val="Calibri"/>
        <family val="2"/>
        <scheme val="minor"/>
      </rPr>
      <t>.</t>
    </r>
  </si>
  <si>
    <t xml:space="preserve">L'eccesso di arabitolo nelle urine identifica infezione funginea in corso. E' stato inoltre associato al morbo di Alzheimer. Errori congeniti metabolici possono causarne l'incremento nelle urine. </t>
  </si>
  <si>
    <r>
      <rPr>
        <b/>
        <sz val="10"/>
        <rFont val="Calibri"/>
        <family val="2"/>
        <scheme val="minor"/>
      </rPr>
      <t>L' acido 2,5-furandicarbossilico</t>
    </r>
    <r>
      <rPr>
        <sz val="10"/>
        <rFont val="Calibri"/>
        <family val="2"/>
        <scheme val="minor"/>
      </rPr>
      <t xml:space="preserve"> è un normale metabolita urinario nell'uomo, probabilmente derivante dall'utilizzo nella dieta di carne sottoposta a cottura. L'acido 2,5-furandicarbossilico è anche un metabolita microbico aspecifico e biomarcatore di forti quantità di fruttosio.</t>
    </r>
  </si>
  <si>
    <t xml:space="preserve">L'eccesso di acido 2,5-furandicarbossilico si associa a crescita funginea aspecifica o forte introito di frutta. </t>
  </si>
  <si>
    <r>
      <rPr>
        <b/>
        <sz val="10"/>
        <rFont val="Calibri"/>
        <family val="2"/>
        <scheme val="minor"/>
      </rPr>
      <t>L’acido 4-idrossiippurico</t>
    </r>
    <r>
      <rPr>
        <sz val="10"/>
        <rFont val="Calibri"/>
        <family val="2"/>
        <scheme val="minor"/>
      </rPr>
      <t xml:space="preserve"> è un prodotto finale microbico derivato dal metabolismo dei polifenoli da parte della microflora intestinale oppure di origine alimentare/farmacologica per assunzione di polifenoli o parabeni. </t>
    </r>
  </si>
  <si>
    <t>L'eccesso di 4-idrossiippurico può evidenziare l'esposizione dell'individuo a parabeni presenti in cibi,  cosmetici e in gran parte dei prodotti farmaceutici . Seppur in passato siano stati definiti sicuri per l'uomo, la loro bassa tossicità continua a essere discussa. L'eccesso di questo metabolita si può associare anche all'assunzione di frutti contenenti polifenoli ricchi di antociani, flavonoli e idrossicinnamati, oppure a un eccesso di batteri che metabolizzano polifenoli.</t>
  </si>
  <si>
    <r>
      <rPr>
        <b/>
        <sz val="10"/>
        <rFont val="Calibri"/>
        <family val="2"/>
        <scheme val="minor"/>
      </rPr>
      <t>L’acido ippurico</t>
    </r>
    <r>
      <rPr>
        <sz val="10"/>
        <rFont val="Calibri"/>
        <family val="2"/>
        <scheme val="minor"/>
      </rPr>
      <t xml:space="preserve"> deriva dall’acido benzoico coniugato con la glicina nel fegato ( Benzoato + Glicina -&gt; Ippurato). La maggior parte dell'acido ippurico nell'urina è derivato dalla degradazione microbica dell'acido clorogenico in acido benzoico. L'acido clorogenico è una sostanza comunemente trovata in bevande (te, caffè) e frutti (mele, pere, mirtilli, carote, pomodori, pesche) ma anche in semi di girasole , patate,melanzane e patate dolci. L'acido benzoico è presente in grande quantità nel succo di mirtillo ed è un conservante alimentare. L'acido ippurico può generarsi anche a causa dell'esposizione prolungata al solvente chimico toluene.  In generale è più rappresentativo come marcatore del metabolismo dei composti fenolici a opera batterica. </t>
    </r>
  </si>
  <si>
    <t>Livelli bassi di acido ippurico sono associati a disbiosi, eventualmente da indagare tramite test specifico.</t>
  </si>
  <si>
    <r>
      <rPr>
        <b/>
        <sz val="10"/>
        <rFont val="Calibri"/>
        <family val="2"/>
        <scheme val="minor"/>
      </rPr>
      <t xml:space="preserve">L’acido benzoico </t>
    </r>
    <r>
      <rPr>
        <sz val="10"/>
        <rFont val="Calibri"/>
        <family val="2"/>
        <scheme val="minor"/>
      </rPr>
      <t xml:space="preserve">è un sottoprodotto del metabolismo della fenilalanina nei batteri. Viene anche prodotto quando i batteri intestinali ( </t>
    </r>
    <r>
      <rPr>
        <i/>
        <sz val="10"/>
        <rFont val="Calibri"/>
        <family val="2"/>
        <scheme val="minor"/>
      </rPr>
      <t>E.Coli, Bifidi, Lactobacilli , Eubacterium, Bacteroidetes</t>
    </r>
    <r>
      <rPr>
        <sz val="10"/>
        <rFont val="Calibri"/>
        <family val="2"/>
        <scheme val="minor"/>
      </rPr>
      <t xml:space="preserve">) elaborano i polifenoli (da frutta, caffè, te o verdure ). Si può trovare nell’agente infettivo </t>
    </r>
    <r>
      <rPr>
        <i/>
        <sz val="10"/>
        <rFont val="Calibri"/>
        <family val="2"/>
        <scheme val="minor"/>
      </rPr>
      <t>Serratia</t>
    </r>
    <r>
      <rPr>
        <sz val="10"/>
        <rFont val="Calibri"/>
        <family val="2"/>
        <scheme val="minor"/>
      </rPr>
      <t>.</t>
    </r>
  </si>
  <si>
    <r>
      <rPr>
        <b/>
        <sz val="10"/>
        <rFont val="Calibri"/>
        <family val="2"/>
        <scheme val="minor"/>
      </rPr>
      <t>L’acido 4-idrossifenilacetico</t>
    </r>
    <r>
      <rPr>
        <sz val="10"/>
        <rFont val="Calibri"/>
        <family val="2"/>
        <scheme val="minor"/>
      </rPr>
      <t xml:space="preserve"> è un metabolita microbico prodotto da </t>
    </r>
    <r>
      <rPr>
        <i/>
        <sz val="10"/>
        <rFont val="Calibri"/>
        <family val="2"/>
        <scheme val="minor"/>
      </rPr>
      <t>Acinetobacter, Clostridium, Klebsiella, Pseudomonas e Proteus</t>
    </r>
    <r>
      <rPr>
        <sz val="10"/>
        <rFont val="Calibri"/>
        <family val="2"/>
        <scheme val="minor"/>
      </rPr>
      <t>. Questo metabolita viene prodotto a partire dalla Tirosina e può essere convertito in Cresolo. Fonti importanti alimentari come soia, tacchino, pollo, mandorle, semi di zucca rendono questo metabolita biomarcatore dell'utilizzo di questi alimenti.</t>
    </r>
  </si>
  <si>
    <r>
      <t xml:space="preserve">L'eccesso di questo metabolita è associato alla crescita eccessiva di piccoli batteri intestinali da specie </t>
    </r>
    <r>
      <rPr>
        <i/>
        <sz val="10"/>
        <rFont val="Calibri"/>
        <family val="2"/>
        <scheme val="minor"/>
      </rPr>
      <t>Clostridia</t>
    </r>
    <r>
      <rPr>
        <sz val="10"/>
        <rFont val="Calibri"/>
        <family val="2"/>
        <scheme val="minor"/>
      </rPr>
      <t xml:space="preserve"> tra cui C. </t>
    </r>
    <r>
      <rPr>
        <i/>
        <sz val="10"/>
        <rFont val="Calibri"/>
        <family val="2"/>
        <scheme val="minor"/>
      </rPr>
      <t>difficile, C. stricklandii, C. lituseburense, C. subterminale, C. putrefaciens e C. propionicum</t>
    </r>
    <r>
      <rPr>
        <sz val="10"/>
        <rFont val="Calibri"/>
        <family val="2"/>
        <scheme val="minor"/>
      </rPr>
      <t xml:space="preserve">. Anche l'infezione da </t>
    </r>
    <r>
      <rPr>
        <i/>
        <sz val="10"/>
        <rFont val="Calibri"/>
        <family val="2"/>
        <scheme val="minor"/>
      </rPr>
      <t>Giardia Lamblia</t>
    </r>
    <r>
      <rPr>
        <sz val="10"/>
        <rFont val="Calibri"/>
        <family val="2"/>
        <scheme val="minor"/>
      </rPr>
      <t>, patologie del piccolo intestino, utilizzo di antibiotici contro batteri aerobici, fibrosi cistica, intolleranza transitoria al lattosio possono indurre aumento di questo metabolita.</t>
    </r>
  </si>
  <si>
    <r>
      <rPr>
        <b/>
        <sz val="10"/>
        <rFont val="Calibri"/>
        <family val="2"/>
        <scheme val="minor"/>
      </rPr>
      <t>L’acido 3-indolo acetico</t>
    </r>
    <r>
      <rPr>
        <sz val="10"/>
        <rFont val="Calibri"/>
        <family val="2"/>
        <scheme val="minor"/>
      </rPr>
      <t xml:space="preserve"> è un metabolita derivante dal triptofano mediante putrefazione intestinale . La sua produzione deriva principalmente da </t>
    </r>
    <r>
      <rPr>
        <i/>
        <sz val="10"/>
        <rFont val="Calibri"/>
        <family val="2"/>
        <scheme val="minor"/>
      </rPr>
      <t>E.Coli, P.vulgaris, A.faciens</t>
    </r>
    <r>
      <rPr>
        <sz val="10"/>
        <rFont val="Calibri"/>
        <family val="2"/>
        <scheme val="minor"/>
      </rPr>
      <t xml:space="preserve"> e </t>
    </r>
    <r>
      <rPr>
        <i/>
        <sz val="10"/>
        <rFont val="Calibri"/>
        <family val="2"/>
        <scheme val="minor"/>
      </rPr>
      <t>M.aerogenes</t>
    </r>
    <r>
      <rPr>
        <sz val="10"/>
        <rFont val="Calibri"/>
        <family val="2"/>
        <scheme val="minor"/>
      </rPr>
      <t xml:space="preserve">, in alcuni casi anche da </t>
    </r>
    <r>
      <rPr>
        <i/>
        <sz val="10"/>
        <rFont val="Calibri"/>
        <family val="2"/>
        <scheme val="minor"/>
      </rPr>
      <t>Clostridia</t>
    </r>
    <r>
      <rPr>
        <sz val="10"/>
        <rFont val="Calibri"/>
        <family val="2"/>
        <scheme val="minor"/>
      </rPr>
      <t>.</t>
    </r>
  </si>
  <si>
    <t>L'eccesso di 3-indolacetico ( e del suo intermedio scatolo) potrebbe essere indotto da una dieta ricca di carne. Un’eccessiva produzione è segno di tossicità dell’organismo causata da disbiosi o da una dieta sbilanciata . Quantità molto elevate di questo metabolita derivato dal triptofano potrebbero indicare un esaurimento del triptofano necessario per altre funzioni fisiologiche.</t>
  </si>
  <si>
    <r>
      <rPr>
        <b/>
        <sz val="10"/>
        <rFont val="Calibri"/>
        <family val="2"/>
        <scheme val="minor"/>
      </rPr>
      <t xml:space="preserve">Il P-cresolo </t>
    </r>
    <r>
      <rPr>
        <sz val="10"/>
        <rFont val="Calibri"/>
        <family val="2"/>
        <scheme val="minor"/>
      </rPr>
      <t xml:space="preserve">è un metabolita degli aminoacidi aromatici prodotto dalla microflora intestinale. Tirosina e fenilalanina vengono convertiti prima in acido 4-idrossifenilacetico, poi questa viene decarbossilata in p-cresolo (putrefazione).  Tale ruolo è svolto sia da batteri aerobi (principalmente gli enterobatteri), ma anche da anaerobi  (principalmente il </t>
    </r>
    <r>
      <rPr>
        <i/>
        <sz val="10"/>
        <rFont val="Calibri"/>
        <family val="2"/>
        <scheme val="minor"/>
      </rPr>
      <t>Clostridium</t>
    </r>
    <r>
      <rPr>
        <sz val="10"/>
        <rFont val="Calibri"/>
        <family val="2"/>
        <scheme val="minor"/>
      </rPr>
      <t>). Il</t>
    </r>
    <r>
      <rPr>
        <i/>
        <sz val="10"/>
        <rFont val="Calibri"/>
        <family val="2"/>
        <scheme val="minor"/>
      </rPr>
      <t xml:space="preserve"> Clostrium difficile</t>
    </r>
    <r>
      <rPr>
        <sz val="10"/>
        <rFont val="Calibri"/>
        <family val="2"/>
        <scheme val="minor"/>
      </rPr>
      <t xml:space="preserve"> è un batterio spesso diffuso negli ospedali,  capace di provocare aumenti della produzione di cresolo nei soggetti affetti .I ceppi di </t>
    </r>
    <r>
      <rPr>
        <i/>
        <sz val="10"/>
        <rFont val="Calibri"/>
        <family val="2"/>
        <scheme val="minor"/>
      </rPr>
      <t>C.difficile</t>
    </r>
    <r>
      <rPr>
        <sz val="10"/>
        <rFont val="Calibri"/>
        <family val="2"/>
        <scheme val="minor"/>
      </rPr>
      <t xml:space="preserve"> producono tossine che scatenano diarrea, colite e complicazioni di queste fino alla morte nei soggetti più debilitati. Eccessive quantità di p-cresolo possono inibire l'enzima dopamina-beta-idrossilasi , portando a squilibri dei neurotrasmettitori. Elevate quantità di p-cresolo sono state riscontrate in soggetti autistici . </t>
    </r>
  </si>
  <si>
    <t xml:space="preserve"> Nell'uremia, le modificazioni della flora intestinale determinano la crescita eccessiva specifica dei batteri che sono specifici produttori di p-cresolo. Eccesso di proteine nell'alimentazione si traduce nell'aumento di secrezione di questo metabolita.  Anche patologie legate ai reni evidenziano aumento di p-cresolo. </t>
  </si>
  <si>
    <r>
      <rPr>
        <b/>
        <sz val="10"/>
        <rFont val="Calibri"/>
        <family val="2"/>
        <scheme val="minor"/>
      </rPr>
      <t>L’acido 3-idrossifenilacetico</t>
    </r>
    <r>
      <rPr>
        <sz val="10"/>
        <rFont val="Calibri"/>
        <family val="2"/>
        <scheme val="minor"/>
      </rPr>
      <t xml:space="preserve"> viene prodotto per fermentazione aminoacidica (prettamente tirosina) causata da cattiva digestione e assorbimento. Spesso viene utilizzato come marcatore per malassorbimento proteico . Anche l’introito di polifenoli alimentari ( vino, te verde, uva) provoca la comparsa di questo metabolita nelle urine. La sua presenza nelle urine dipende anche da infezione causata da </t>
    </r>
    <r>
      <rPr>
        <i/>
        <sz val="10"/>
        <rFont val="Calibri"/>
        <family val="2"/>
        <scheme val="minor"/>
      </rPr>
      <t>Clostridi</t>
    </r>
    <r>
      <rPr>
        <sz val="10"/>
        <rFont val="Calibri"/>
        <family val="2"/>
        <scheme val="minor"/>
      </rPr>
      <t xml:space="preserve"> oppure da </t>
    </r>
    <r>
      <rPr>
        <i/>
        <sz val="10"/>
        <rFont val="Calibri"/>
        <family val="2"/>
        <scheme val="minor"/>
      </rPr>
      <t xml:space="preserve">Klebsiella. </t>
    </r>
  </si>
  <si>
    <r>
      <t xml:space="preserve">Mentre in soggetti sani questi residui sono limitati, possono essere numerosi in caso di fenilchetonuria, rara patologia metabolica. Può essere anche un marcatore dell’utilizzo di alimenti con polifenoli , del malassorbimento proteico e forte disbiosi causata da </t>
    </r>
    <r>
      <rPr>
        <i/>
        <sz val="10"/>
        <rFont val="Calibri"/>
        <family val="2"/>
        <scheme val="minor"/>
      </rPr>
      <t>Clostridi</t>
    </r>
    <r>
      <rPr>
        <sz val="10"/>
        <rFont val="Calibri"/>
        <family val="2"/>
        <scheme val="minor"/>
      </rPr>
      <t xml:space="preserve"> o </t>
    </r>
    <r>
      <rPr>
        <i/>
        <sz val="10"/>
        <rFont val="Calibri"/>
        <family val="2"/>
        <scheme val="minor"/>
      </rPr>
      <t xml:space="preserve">Klebsiella. </t>
    </r>
  </si>
  <si>
    <r>
      <rPr>
        <b/>
        <sz val="10"/>
        <color theme="1"/>
        <rFont val="Calibri"/>
        <family val="2"/>
        <scheme val="minor"/>
      </rPr>
      <t xml:space="preserve">HPHPA </t>
    </r>
    <r>
      <rPr>
        <sz val="10"/>
        <color theme="1"/>
        <rFont val="Calibri"/>
        <family val="2"/>
        <scheme val="minor"/>
      </rPr>
      <t xml:space="preserve">è l'acronimo di acido 3-(3-idrossifenil)-3-idrossipropionico. E' relativamente abbondante nelle urine umane adulte ed è benigno in quantità ridotte. La fonte di questo composto sembra essere per lo più proveniente da batteri anaerobici del genere </t>
    </r>
    <r>
      <rPr>
        <i/>
        <sz val="10"/>
        <color theme="1"/>
        <rFont val="Calibri"/>
        <family val="2"/>
        <scheme val="minor"/>
      </rPr>
      <t>Clostridium</t>
    </r>
    <r>
      <rPr>
        <sz val="10"/>
        <color theme="1"/>
        <rFont val="Calibri"/>
        <family val="2"/>
        <scheme val="minor"/>
      </rPr>
      <t xml:space="preserve">.  I </t>
    </r>
    <r>
      <rPr>
        <i/>
        <sz val="10"/>
        <color theme="1"/>
        <rFont val="Calibri"/>
        <family val="2"/>
        <scheme val="minor"/>
      </rPr>
      <t xml:space="preserve">Clostridi </t>
    </r>
    <r>
      <rPr>
        <sz val="10"/>
        <color theme="1"/>
        <rFont val="Calibri"/>
        <family val="2"/>
        <scheme val="minor"/>
      </rPr>
      <t xml:space="preserve">possono alterare in maniera importante i neurotrasmettitori cerebrali, inattivando la dopamina beta-idrossilasi portando in questo modo a un'eccessiva produzione di dopamina e ridotta di noradrenalina. L'eccesso di dopamina è associato a forme di disturbo psicotico. Nel caso questo marcatore sia elevato, è utile rapportarlo con il principale metabolita della dopamina (ac.omovanillico) e con quello della noradrenalina (ac.vanilmandelico).  </t>
    </r>
  </si>
  <si>
    <r>
      <t xml:space="preserve">L'eccesso di HPHPA indica un'eccessiva crescita di batteri </t>
    </r>
    <r>
      <rPr>
        <i/>
        <sz val="10"/>
        <color theme="1"/>
        <rFont val="Calibri"/>
        <family val="2"/>
        <scheme val="minor"/>
      </rPr>
      <t>Clostridi</t>
    </r>
    <r>
      <rPr>
        <sz val="10"/>
        <color theme="1"/>
        <rFont val="Calibri"/>
        <family val="2"/>
        <scheme val="minor"/>
      </rPr>
      <t xml:space="preserve"> nel tratto gastrointestinale. Quando cronicamente elevato, l'impatto che si riscontra nell'uomo è correlato spesso a schizofrenia e spettro autistico, infatti questo metabolita è conunemente elevato nei casi GAPS ( Sindrome dell'intestino e della psicologia).</t>
    </r>
  </si>
  <si>
    <r>
      <rPr>
        <b/>
        <sz val="10"/>
        <rFont val="Calibri"/>
        <family val="2"/>
        <scheme val="minor"/>
      </rPr>
      <t xml:space="preserve">L’acido glicolico </t>
    </r>
    <r>
      <rPr>
        <sz val="10"/>
        <rFont val="Calibri"/>
        <family val="2"/>
        <scheme val="minor"/>
      </rPr>
      <t>è il più piccolo alfa-idrossiacido. Risulta essere molto elevato in casi di iperossaluria genetica di tipo I. I valori normali dell'acido glicolico escludono la causa genetica di aumento significativo dell'acido ossalico nelle urine.  La tossicità renale dell'acido glicolico è dovuta al suo metabolismo con l'acido ossalico. Questi due acidi, insieme al lattico , sono responsabili di acidosi metabolica del gap anionico. L'acido glicolico è presente anche a livello alimentare (glicerolo o glicerina), ma più spesso viene prodotto da lieviti  (</t>
    </r>
    <r>
      <rPr>
        <i/>
        <sz val="10"/>
        <rFont val="Calibri"/>
        <family val="2"/>
        <scheme val="minor"/>
      </rPr>
      <t xml:space="preserve">Aspergillo, Penicillo </t>
    </r>
    <r>
      <rPr>
        <sz val="10"/>
        <rFont val="Calibri"/>
        <family val="2"/>
        <scheme val="minor"/>
      </rPr>
      <t xml:space="preserve">o </t>
    </r>
    <r>
      <rPr>
        <i/>
        <sz val="10"/>
        <rFont val="Calibri"/>
        <family val="2"/>
        <scheme val="minor"/>
      </rPr>
      <t>Candida</t>
    </r>
    <r>
      <rPr>
        <sz val="10"/>
        <rFont val="Calibri"/>
        <family val="2"/>
        <scheme val="minor"/>
      </rPr>
      <t xml:space="preserve">) o batteri gastrointestinali ( </t>
    </r>
    <r>
      <rPr>
        <i/>
        <sz val="10"/>
        <rFont val="Calibri"/>
        <family val="2"/>
        <scheme val="minor"/>
      </rPr>
      <t>Acetobatteri, Corinebatteri, Escherichia</t>
    </r>
    <r>
      <rPr>
        <sz val="10"/>
        <rFont val="Calibri"/>
        <family val="2"/>
        <scheme val="minor"/>
      </rPr>
      <t>..).</t>
    </r>
  </si>
  <si>
    <r>
      <rPr>
        <b/>
        <sz val="10"/>
        <rFont val="Calibri"/>
        <family val="2"/>
        <scheme val="minor"/>
      </rPr>
      <t>L’acido glicerico</t>
    </r>
    <r>
      <rPr>
        <sz val="10"/>
        <rFont val="Calibri"/>
        <family val="2"/>
        <scheme val="minor"/>
      </rPr>
      <t xml:space="preserve"> può essere un marcatore della patologia genetica aciduria D-glicerica , agendo come metabotossina e acidogeno. Altrimenti l'acido glicerico può derivare da fonti microbiche come lieviti (</t>
    </r>
    <r>
      <rPr>
        <i/>
        <sz val="10"/>
        <rFont val="Calibri"/>
        <family val="2"/>
        <scheme val="minor"/>
      </rPr>
      <t>Aspergillo, Penicillo</t>
    </r>
    <r>
      <rPr>
        <sz val="10"/>
        <rFont val="Calibri"/>
        <family val="2"/>
        <scheme val="minor"/>
      </rPr>
      <t xml:space="preserve"> o </t>
    </r>
    <r>
      <rPr>
        <i/>
        <sz val="10"/>
        <rFont val="Calibri"/>
        <family val="2"/>
        <scheme val="minor"/>
      </rPr>
      <t>Candida</t>
    </r>
    <r>
      <rPr>
        <sz val="10"/>
        <rFont val="Calibri"/>
        <family val="2"/>
        <scheme val="minor"/>
      </rPr>
      <t xml:space="preserve">) oppure da fonti alimentari di glicerolo o glicerina. </t>
    </r>
  </si>
  <si>
    <r>
      <rPr>
        <b/>
        <sz val="10"/>
        <rFont val="Calibri"/>
        <family val="2"/>
        <scheme val="minor"/>
      </rPr>
      <t>L’acido</t>
    </r>
    <r>
      <rPr>
        <sz val="10"/>
        <rFont val="Calibri"/>
        <family val="2"/>
        <scheme val="minor"/>
      </rPr>
      <t xml:space="preserve"> </t>
    </r>
    <r>
      <rPr>
        <b/>
        <sz val="10"/>
        <rFont val="Calibri"/>
        <family val="2"/>
        <scheme val="minor"/>
      </rPr>
      <t xml:space="preserve">sebacico </t>
    </r>
    <r>
      <rPr>
        <sz val="10"/>
        <rFont val="Calibri"/>
        <family val="2"/>
        <scheme val="minor"/>
      </rPr>
      <t xml:space="preserve"> è un normale acido urinario derivato dal metabolismo degli acidi grassi . </t>
    </r>
  </si>
  <si>
    <t>L'eccesso di acido sebacico è correlato a chetosi oppure a digiuno-digiuno intermittente. Si può associare anche a carenza di carnitina, dedita al trasporto di grassi, oppure a polimorfismi genetici che alterano la formazione e metabolismo di quest'ultima;  anche in casi di difetti di ossidazione degli acidi grassi, in associazioni a sintomi come ipoglicemia,ipotonia, vomito, letargia, ecc.., i valori di acido sebacico possono essere superiori ai limiti.  L'eccessiva assunzione di trigliceridi (come l'olio di cocco) o alimenti contenenti acido adipico , ne aumentano l'escrezione urinaria. Tenere in considerazione che questo metabolita può comportare affaticamento mitocondriale con danno di membrana e produzione di radicali liberi. Valutare integrazione con carnitina.</t>
  </si>
  <si>
    <r>
      <rPr>
        <b/>
        <sz val="10"/>
        <rFont val="Calibri"/>
        <family val="2"/>
        <scheme val="minor"/>
      </rPr>
      <t xml:space="preserve">L’acido adipico </t>
    </r>
    <r>
      <rPr>
        <sz val="10"/>
        <rFont val="Calibri"/>
        <family val="2"/>
        <scheme val="minor"/>
      </rPr>
      <t xml:space="preserve">è un metabolita degli acidi grassi prodotto dalla beta-ossidazione perossisomale. </t>
    </r>
  </si>
  <si>
    <t xml:space="preserve">L'eccesso di acido adipico è correlato a chetosi o acidosi metabolica, oppure a carenza di carnitina (carrier dei grassi) provocando ossidazione incompleta degli acidi grassi.  Valori molto elevati possono indicare polimorfismi genetici che alterano la formazione e il metabolismo della carnitina oppure carenza di cofattori come vit.B2 e magnesio. In caso di difetti di ossidazione degli acidi grassi sono associati sintomi come ipoglicemia,ipotonia, vomito, letargia, ecc.. Tenere in considerazione che questi metaboliti possono comportare affaticamento mitocondriale con danno di membrana e produzione di radicali liberi. Valutare integrazione con carnitina , lisina e vitamina B2. </t>
  </si>
  <si>
    <r>
      <rPr>
        <b/>
        <sz val="10"/>
        <rFont val="Calibri"/>
        <family val="2"/>
        <scheme val="minor"/>
      </rPr>
      <t>L’acido</t>
    </r>
    <r>
      <rPr>
        <sz val="10"/>
        <rFont val="Calibri"/>
        <family val="2"/>
        <scheme val="minor"/>
      </rPr>
      <t xml:space="preserve"> </t>
    </r>
    <r>
      <rPr>
        <b/>
        <sz val="10"/>
        <rFont val="Calibri"/>
        <family val="2"/>
        <scheme val="minor"/>
      </rPr>
      <t>suberico</t>
    </r>
    <r>
      <rPr>
        <sz val="10"/>
        <rFont val="Calibri"/>
        <family val="2"/>
        <scheme val="minor"/>
      </rPr>
      <t xml:space="preserve"> è un metabolita degli acidi grassi prodotto dalla beta-ossidazione perossisomale. E' un prodotto di degradazione metabolica derivato dall'acido oleico. </t>
    </r>
  </si>
  <si>
    <t xml:space="preserve">L'eccesso di acido suberico è correlato a chetosi o acidosi metabolica, oppure a carenza di carnitina (carrier dei grassi) provocando ossidazione incompleta degli acidi grassi.  Valori molto elevati possono indicare polimorfismi genetici che alterano la formazione e il metabolismo della carnitina oppure carenza di cofattori come vit.B2 e magnesio. In caso di difetti di ossidazione degli acidi grassi sono associati sintomi come ipoglicemia,ipotonia, vomito, letargia, ecc.. Tenere in considerazione che questi metaboliti possono comportare affaticamento mitocondriale con danno di membrana e produzione di radicali liberi. Valutare integrazione con carnitina , lisina e vitamina B2. </t>
  </si>
  <si>
    <r>
      <rPr>
        <b/>
        <sz val="10"/>
        <rFont val="Calibri"/>
        <family val="2"/>
        <scheme val="minor"/>
      </rPr>
      <t xml:space="preserve">L’acido etilmalonico </t>
    </r>
    <r>
      <rPr>
        <sz val="10"/>
        <rFont val="Calibri"/>
        <family val="2"/>
        <scheme val="minor"/>
      </rPr>
      <t xml:space="preserve">è un acido grasso ramificato sintetizzato prettamente a partire dall'acido malonico. Livelli cronicamente elevati sono associati a due errori congeniti del metabolismo: deficit acil-CoA deidrogenasi a catena corta (SCAD) ed encefalopatia etilmalonica . Se è particolarmente elevato agisce come acidogeno e metabotossina.  </t>
    </r>
  </si>
  <si>
    <t xml:space="preserve">L'eccesso di acido etilmalonico può indicare polimorfismi genetici che alterano la formazione e il metabolismo della carnitina oppure carenza di cofattori come vit.B2 e magnesio. In caso di difetti di ossidazione degli acidi grassi sono associati sintomi come ipoglicemia,ipotonia, vomito, letargia, ecc.. Valutare integrazione con carnitina , lisina e vitamina B2. </t>
  </si>
  <si>
    <r>
      <rPr>
        <b/>
        <sz val="10"/>
        <rFont val="Calibri"/>
        <family val="2"/>
        <scheme val="minor"/>
      </rPr>
      <t>L’acido 3-idrossibutirrico</t>
    </r>
    <r>
      <rPr>
        <sz val="10"/>
        <rFont val="Calibri"/>
        <family val="2"/>
        <scheme val="minor"/>
      </rPr>
      <t xml:space="preserve"> è un corpo chetonico prodotto dal fegato in caso di mancanza di energia da parte dei carboidrati o prodotto da acidosi metabolica data dal fallimento del processo di glicolisi (in caso di pazienti diabetici).  Difetti nella citocromo ossidasi ne comportano l'eccesso , come la dieta restrittiva nei confronti di carboidrati e ricca di grassi e proteine (chetogenica).</t>
    </r>
  </si>
  <si>
    <t xml:space="preserve">L'eccesso di acido 3-idrossibutirrico si riscontra spesso in pazienti che seguono una dieta chetogenica o digiuno-digiuno intermittente. Inoltre è possibile una sua eccessiva produzione in caso di diabete mellito o malattie genetiche che intaccano la glicolisi. </t>
  </si>
  <si>
    <t xml:space="preserve">L'eccesso di acido lattico può essere ridotto tramite l'integrazione con i cofattori enzimatici del PDC (Vit.B2,B3,B5 e acido lipoico) o con CoQ10. Da valutare le condizioni patologiche e sportive del paziente. </t>
  </si>
  <si>
    <r>
      <rPr>
        <b/>
        <sz val="10"/>
        <rFont val="Calibri"/>
        <family val="2"/>
        <scheme val="minor"/>
      </rPr>
      <t>L'acido 2-idrossiippurico</t>
    </r>
    <r>
      <rPr>
        <sz val="10"/>
        <rFont val="Calibri"/>
        <family val="2"/>
        <scheme val="minor"/>
      </rPr>
      <t xml:space="preserve"> (acido salicilurico) è un coniugato dell'aminoacido glicina e dell'acido benzoico. Viene formato dall'organismo per eliminare i salicilati in eccesso derivanti dall'utilizzo di aspirina o dal consumo di dolcificanti a base di aspartame. L'acido 2-idrossiippurico può derivare anche dalla conversione di tirosina e fenilalanina a opera dei batteri gastrointestinali. Tassi molto elevati inibiscono la dopamina beta-idrossilasi con elevazione di HVA (acido omovanillico) e riduzione di VMA (acido vanilmandelico). </t>
    </r>
  </si>
  <si>
    <t>L'aumento nelle urine può essere correlato anche alla crescita di batteri gastrointestinali, all'utilizzo di dolcificanti artificiali contenenti aspartame o eccessivo utilizzo di aspirina.</t>
  </si>
  <si>
    <r>
      <rPr>
        <b/>
        <sz val="10"/>
        <rFont val="Calibri"/>
        <family val="2"/>
        <scheme val="minor"/>
      </rPr>
      <t>L’acido orotico</t>
    </r>
    <r>
      <rPr>
        <sz val="10"/>
        <rFont val="Calibri"/>
        <family val="2"/>
        <scheme val="minor"/>
      </rPr>
      <t xml:space="preserve"> è un prodotto intermedio nella sintesi di nucleotidi ed è collegato al metabolismo dell’arginina come marcatore del bilanciamento di ammonio nel ciclo dell’urea. Nel caso in cui ci sia un'insufficiente capacità di detossificazione dell'ammonio mediante ciclo dell’urea, avviene la sintesi di orotato.</t>
    </r>
  </si>
  <si>
    <t xml:space="preserve">L’aumento nelle urine di questo metabolita è rappresentativo di una deficienza di arginina e in contemporanea di una diminuzione dell’efficienza di detossificare l' ammoniaca e una ridotta formazione di ossido nitrico. Errori innati del metabolismo possono aumentare i livelli di orotato e ammoniaca, oppure può derivare da eccessiva crescita batterica intestinale. Anche un forte utilizzo di latticini e latte di mucca induce innalzamento di orotato nelle urine, eccessivo utilizzo di proteine nella dieta o abuso di alcol. Farmaci come allopurinolo e 6-azauridina sembrano essere correlati con la sintesi di pirimidine e quindi di orotato. Valutare integrazione con arginina e magnesio. </t>
  </si>
  <si>
    <r>
      <rPr>
        <b/>
        <sz val="10"/>
        <rFont val="Calibri"/>
        <family val="2"/>
        <scheme val="minor"/>
      </rPr>
      <t>L’acido piroglutammico</t>
    </r>
    <r>
      <rPr>
        <sz val="10"/>
        <rFont val="Calibri"/>
        <family val="2"/>
        <scheme val="minor"/>
      </rPr>
      <t xml:space="preserve"> , anche chiamato 5-oxoprolina , è prodotto e utilizzato da GGT (gamma-glutamil transferasi) per la produzione e riciclo di glutatione , fondamentale antiossidante. Il glutatione è un tripeptide formato da glutammina, glicina e cisteina. Il piroglutammato è un precursore del glutatione tramite il quale riesce ad avvenire l’unione dei tre amminoacidi . Questa azione è mediata da cofattori quali magnesio e ATP.  In condizioni fisiologiche, è presente una modesta quantità di piroglutammato nelle urine .</t>
    </r>
  </si>
  <si>
    <t>Le condizioni patologiche nel quale avviene aumento di piroglutammato nelle urine sono dovute all’alterazione di uno o più enzimi che collaborano nel ciclo per la sua sintesi o una disfunzione mitocondriale per stress ossidativo oppure per cause alimentari (restrizione glicina, cisteina, glutammina e magnesio o integrazione di taurina) o farmacologiche ( farmaci che richiedono coniugazione con glutatione). Anche condizioni di deficienza di glutatione, a es. a causa di tossicità da acetomifene, conducono a elevati livelli di piroglutammato. Valutare integrazione con glutatione, NAC e amminoacidi (metionina e glicina).</t>
  </si>
  <si>
    <t>Il deficit evidenzia carenza di glutatione o dei cofattori necessari per la sua sintesi ( glutammina , glicina e cisteina).</t>
  </si>
  <si>
    <r>
      <t>L</t>
    </r>
    <r>
      <rPr>
        <b/>
        <sz val="10"/>
        <rFont val="Calibri"/>
        <family val="2"/>
        <scheme val="minor"/>
      </rPr>
      <t>'acido 2-idrossibutirrico</t>
    </r>
    <r>
      <rPr>
        <sz val="10"/>
        <rFont val="Calibri"/>
        <family val="2"/>
        <scheme val="minor"/>
      </rPr>
      <t xml:space="preserve"> è un prodotto dei tessuti mammiferi (soprattutto epatici) che catabolizzano la L-treonina o sintetizzano il glutatione, pertanto viene considerato un marcatore dello stress ossidativo. L'acido 2-idrossibutirrico è un acido organico prodotto da alfa-chetobutirrato ( sottoprodotto nella via di sintesi del glutatione) attraverso gli enzimi lattato deidrogenasi (LDH) o alfa-idrossibutirrato deidrogenasi (HBDH), enzimi catalizzati dal NADH. In caso di stress metabolico, è fondamentale avere forniture importanti di L-cisteina per la sintesi di glutatione, quindi l'omocisteina viene deviata alla via di transolforazione formando cistationina. Dalla scissione di cistationina in cisteina, si viene a formare  alfa-chetobutirrato e poi l'acido 2-idrossibutirrico.  Anche lo stress ossidativo indotto da insulino-resistenza aumenta il tasso di sintesi epatica del glutatione, pertanto potrebbe essere utilizzato come biomarcatore di stadi prediabetici. </t>
    </r>
  </si>
  <si>
    <t xml:space="preserve">Elevati livelli di 2-idrossibutirrico sono associati a condizioni nel quale la sintesi epatica di glutatione a partire dalla metionina sono aumentati per cause di stress ossidativo o funzioni di disintossicazione. Condizioni di cattiva alimentazione, fumo, mancanza di esercizio inibiscono l'azione dell' alfa-idrossibutirrato deidrogenasi (HBDH) che catalizza la conversione del 2-idrossibutirrato in acetato, causandone quindi un aumento a livello urinario.  Si può associare a stadi prediabetici oppure si trova elevato in malattie infettive come il morbillo. In caso di asfissia alla nascita o malattie metaboliche ereditarie, potrebbe apparire elevato. </t>
  </si>
  <si>
    <t>La creatinina viene comunemente calcolata per la valutazione degli analiti urinari. La sua escrezione è influenzata dal muscolo scheletrico e stato corporeo. L’introito di proteine alimentari contenenti arginina e glicina ( precursori della creatinina) e supplementazione di creatinina stessa possono aumentarne i livelli. Anche lo stato di idratazione gioca un ruolo importante. L’eccesso di creatinina può evidenziare anche una disfunzione renale.</t>
  </si>
  <si>
    <t>La creatinina viene comunemente calcolata per la valutazione degli analiti urinari. La sua escrezione è influenzata dal muscolo scheletrico e stato corporeo. Il suo deficit viene solitamente correlato a una massa muscolare troppo scarsa. Un valore basso potrebbe anche indicare un aumento della velocità di filtrazione glomerulare (eGFR).</t>
  </si>
  <si>
    <r>
      <rPr>
        <b/>
        <sz val="10"/>
        <rFont val="Calibri"/>
        <family val="2"/>
        <scheme val="minor"/>
      </rPr>
      <t>L'acido piruvico e lattico</t>
    </r>
    <r>
      <rPr>
        <sz val="10"/>
        <rFont val="Calibri"/>
        <family val="2"/>
        <scheme val="minor"/>
      </rPr>
      <t xml:space="preserve"> sono prodotti dell'operazione centrale per la produzione di energia, la glicolisi, il processo catabolico del glucosio. Tale processo è regolato dalla presenza di zinco e vitamine del gruppo B . Il lattato viene processato a partire dal piruvato per ossidazione, entrando poi nel ciclo di produzione energetica in TCA in condizioni aerobiche. Il lattato può accumularsi se i cofattori PDC (Complesso Piruvato Deidrogenasi) sono insufficienti, se sono presenti polimorfismi strutturali o in caso di deficienza di CoQ10 creando un blocco nella fosforilazione ossidativa. La mancanza di ATP mitocondriale può indurre un forte aumento di lattato con contemporanea diminuzione di piruvato. Anche condizioni di anaerobiosi dovute a eccessivo sforzo fisico, resistenza insulinica, patologie polmonari o anemia possono indurre aumento lattato. Il piruvato può essere prodotto anche dal catabolismo amminoacidico ( alanina, serina, cistina, glicina, triptofano e treonina). Elevate concentrazioni di piruvato possono essere correlate a mancanza di cofattori nutrizionali (come vitamina B1,B2,B3,B7, magnesio e acido lipoico) per la sua conversione in Acetil-CoA e ossalacetato. Altre cause possono provenire da eccessivo introito di carboidrati.</t>
    </r>
  </si>
  <si>
    <t>Metaboliti legati ai difetti genetici del ciclo mitocondriale</t>
  </si>
  <si>
    <t>1-8</t>
  </si>
  <si>
    <t>9-15</t>
  </si>
  <si>
    <t>16-22</t>
  </si>
  <si>
    <t>23-30</t>
  </si>
  <si>
    <t>31-32</t>
  </si>
  <si>
    <t>33-40</t>
  </si>
  <si>
    <t>41-43</t>
  </si>
  <si>
    <t>44-48</t>
  </si>
  <si>
    <t>49-50</t>
  </si>
  <si>
    <t>51-55</t>
  </si>
  <si>
    <t>58-61</t>
  </si>
  <si>
    <t>56-57</t>
  </si>
  <si>
    <t>(Dopamina)</t>
  </si>
  <si>
    <r>
      <t>3,4-</t>
    </r>
    <r>
      <rPr>
        <b/>
        <sz val="11"/>
        <color rgb="FF00B050"/>
        <rFont val="Calibri"/>
        <family val="2"/>
      </rPr>
      <t>D</t>
    </r>
    <r>
      <rPr>
        <b/>
        <sz val="11"/>
        <color rgb="FFFF0000"/>
        <rFont val="Calibri"/>
        <family val="2"/>
      </rPr>
      <t>iidrossifenilacetico</t>
    </r>
  </si>
  <si>
    <t>5-Idrossiindolacetico </t>
  </si>
  <si>
    <t>(B2)</t>
  </si>
  <si>
    <t>(B12)</t>
  </si>
  <si>
    <t>Glutarico*</t>
  </si>
  <si>
    <t>Metilmalonico*</t>
  </si>
  <si>
    <t>3-Idrossi-3-Metilglutarico*</t>
  </si>
  <si>
    <t>4-Metil-2-Ossovalerico</t>
  </si>
  <si>
    <t>2-Idrossiisocaproico</t>
  </si>
  <si>
    <r>
      <t>4-</t>
    </r>
    <r>
      <rPr>
        <b/>
        <sz val="11"/>
        <color rgb="FFC00000"/>
        <rFont val="Calibri"/>
        <family val="2"/>
      </rPr>
      <t>Idrossifenilpiruvico</t>
    </r>
  </si>
  <si>
    <t>3-(3-Idrossifenil)-3-Idrossipropionico</t>
  </si>
  <si>
    <t>Chetoni e Ossidazione degli Acidi Grassi</t>
  </si>
  <si>
    <t>2-Idrossiippurico</t>
  </si>
  <si>
    <t>2-Idrossibutirrico</t>
  </si>
  <si>
    <t>N°.</t>
  </si>
  <si>
    <t>Data:</t>
  </si>
  <si>
    <t>1.</t>
  </si>
  <si>
    <r>
      <t>L’acido citrico</t>
    </r>
    <r>
      <rPr>
        <sz val="10"/>
        <color rgb="FF000000"/>
        <rFont val="Calibri"/>
        <family val="2"/>
      </rPr>
      <t xml:space="preserve"> è il primo metabolita del ciclo TCA ( ciclo degli acidi tricarbossilici o ciclo dell'acido citrico ), via metabolica centrale per tutti gli animali, piante e batteri.  L'acido citrico deriva dalla condensazione dell'ossalacetato (ultimo metabolita del ciclo TCA) con acetil-CoA proveniente dal catabolismo di carboidrati, grassi e proteine. Le reazioni chimiche del ciclo TCA generano fino ai 2/3  dell'energia derivata dal cibo per gli organismi superiori. E' inoltre possibile che tale via venga percorsa a ritroso, quindi a partire dall'acido citrico avviene la sua scomposizione in acetil-CoA per la sintesi di acidi grassi e ossalacetato. Dall'acido citrico, per opera dell'enzima aconitasi, si genera l'acido aconitico. Per la funzionalità dell'enzima aconitasi è importante la presenza del cofattore ferro e l'azione antiossidante mediata dal glutatione.  L'acido citrico può essere introdotto anche con la dieta specialmente tramite limoni e lime oppure in alimenti nel quale viene utilizzato come conservante naturale.  Può essere anche prodotto da lieviti o batteri intestinali.</t>
    </r>
  </si>
  <si>
    <t>→</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</si>
  <si>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</si>
  <si>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</si>
  <si>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</si>
  <si>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</si>
  <si>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</si>
  <si>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</si>
  <si>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</si>
  <si>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</si>
  <si>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</si>
  <si>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</si>
  <si>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</si>
  <si>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</si>
  <si>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</si>
  <si>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</si>
  <si>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</si>
  <si>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</si>
  <si>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</si>
  <si>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</si>
  <si>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</si>
  <si>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</si>
  <si>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</si>
  <si>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</si>
  <si>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</si>
  <si>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</si>
  <si>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</si>
  <si>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</si>
  <si>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</si>
  <si>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</si>
  <si>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</si>
  <si>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</si>
  <si>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</si>
  <si>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32.</t>
  </si>
  <si>
    <t>34.</t>
  </si>
  <si>
    <t>35.</t>
  </si>
  <si>
    <t>36.</t>
  </si>
  <si>
    <t>37.</t>
  </si>
  <si>
    <t>38.</t>
  </si>
  <si>
    <t>40.</t>
  </si>
  <si>
    <t>39.</t>
  </si>
  <si>
    <t>41.</t>
  </si>
  <si>
    <t>42.</t>
  </si>
  <si>
    <t>43.</t>
  </si>
  <si>
    <t>44.</t>
  </si>
  <si>
    <t>45.</t>
  </si>
  <si>
    <t>46.</t>
  </si>
  <si>
    <t>47.</t>
  </si>
  <si>
    <t>48.</t>
  </si>
  <si>
    <t>49.</t>
  </si>
  <si>
    <t>50.</t>
  </si>
  <si>
    <t>51.</t>
  </si>
  <si>
    <t>52.</t>
  </si>
  <si>
    <t>53.</t>
  </si>
  <si>
    <t>54.</t>
  </si>
  <si>
    <t>55.</t>
  </si>
  <si>
    <t>56.</t>
  </si>
  <si>
    <t>58.</t>
  </si>
  <si>
    <t>59.</t>
  </si>
  <si>
    <t>60.</t>
  </si>
  <si>
    <t>61.</t>
  </si>
  <si>
    <t>62.</t>
  </si>
  <si>
    <r>
      <rPr>
        <b/>
        <sz val="10"/>
        <color theme="1"/>
        <rFont val="Calibri"/>
        <family val="2"/>
        <scheme val="minor"/>
      </rPr>
      <t>HVA/VMA</t>
    </r>
    <r>
      <rPr>
        <sz val="10"/>
        <color theme="1"/>
        <rFont val="Calibri"/>
        <family val="2"/>
        <scheme val="minor"/>
      </rPr>
      <t xml:space="preserve"> può essere utile per definire l’equilibrio tra la produzione dei neurotrasmettitori dopamina ed epinefrina/noradrenalina, che condividono il pathway oppure potrebbe evidenziare infezione da</t>
    </r>
    <r>
      <rPr>
        <i/>
        <sz val="10"/>
        <color theme="1"/>
        <rFont val="Calibri"/>
        <family val="2"/>
        <scheme val="minor"/>
      </rPr>
      <t xml:space="preserve"> Clostridia</t>
    </r>
    <r>
      <rPr>
        <sz val="10"/>
        <color theme="1"/>
        <rFont val="Calibri"/>
        <family val="2"/>
        <scheme val="minor"/>
      </rPr>
      <t xml:space="preserve"> o muffe.</t>
    </r>
  </si>
  <si>
    <t>BAMBINO</t>
  </si>
  <si>
    <t>Minore di 13 anni</t>
  </si>
  <si>
    <t>HPHPA</t>
  </si>
  <si>
    <t>METABOLITI DI AMMINOACIDI</t>
  </si>
  <si>
    <t xml:space="preserve">Nel Dna e nell’Rna tre basi azotate (timina, uracile e citosina) sono definite pirimidine. Nel processo di replicazione del materiale genetico , l’acido folico ricopre un ruolo fondamentale nella biosintesi delle pirimidine ( e anche purine) . La presenza di uracile e timina nelle urine potrebbe quindi rappresentare un’indagine interessante per la ricerca di instabilità genomica causata da mancanza di acido folico o mutazioni genetiche. </t>
  </si>
  <si>
    <t>METABOLITI IN ECCESSO</t>
  </si>
  <si>
    <t>METABOLITI IN DIFETTO</t>
  </si>
  <si>
    <t>Il decifit di acido chinurenico è raro e spesso non viene considerato patologico. In questi casi è utile valutare questo valore insieme all'acido 5-idrossindolacetico : se entrambi risultano bassi, allora c'è una probabile inefficienza del triptofano a intraprendere questa via metabolica perchè potrebbe essere utilizzato per scopi di sintesi proteica (sportivi,bambini in fase di sviluppo..) oppure potrebbe esserre necessaria un'integrazione .</t>
  </si>
  <si>
    <t>p63</t>
  </si>
  <si>
    <t>Ossalico</t>
  </si>
  <si>
    <t>L’eccesso di acido ossalico potrebbe essere associato a integrazione importante di vitamina C o infezione funginea e disbiosi. Se anche gli altri metaboliti degli ossalati (acido glicolico e acido glicerico) sono elevati è probabile che si tratti di una predisposizione genetica a iperossaluria; diversamente si può agire trattando in maniera specifica la flora batterica intestinale e limitare l’assunzione di ossalati e vit.C. Valutare integrazione di magnesio e citrato per favorire l’espulsione di calcoli renali.</t>
  </si>
  <si>
    <t>63.</t>
  </si>
  <si>
    <t>4-Idrossiippurico</t>
  </si>
  <si>
    <t>Indacano    (mg/dL)</t>
  </si>
  <si>
    <t>p64</t>
  </si>
  <si>
    <r>
      <rPr>
        <b/>
        <sz val="11"/>
        <rFont val="Calibri"/>
        <family val="2"/>
      </rPr>
      <t>L’indacano</t>
    </r>
    <r>
      <rPr>
        <sz val="11"/>
        <rFont val="Calibri"/>
        <family val="2"/>
      </rPr>
      <t xml:space="preserve"> è  un composto organico incolore costituito da un anello indolo coniugato al glucosio. E’ un sostanza presente naturalmente nelle urine di umani e mammiferi in generale, in quanto metabolita del triptofano. Il triptofano viene convertito in indolo dai batteri intestinali , in particolare da ( es. </t>
    </r>
    <r>
      <rPr>
        <i/>
        <sz val="11"/>
        <rFont val="Calibri"/>
        <family val="2"/>
      </rPr>
      <t xml:space="preserve">Peptostreptococcus indolicus, Bacteroides putredinis e Clostridium sporogenes) </t>
    </r>
    <r>
      <rPr>
        <sz val="11"/>
        <rFont val="Calibri"/>
        <family val="2"/>
      </rPr>
      <t xml:space="preserve"> che lo metabolizzano permettendo la perdita della catena laterale; l’indolo prodotto viene quindi assorbito dalla mucosa intestinale entrando nel circolo entero-epatico. Nel fegato subisce un processo enzimatico di detossificazione bifasica : nel primo step viene trasformato in 3-idrossiindolo e successivamente coniugato con acido solforico o acido glucoronico  per la sua escrezione tramite i reni e le urine sotto forma di indacano . La concentrazione urinaria di indacano riflette la presenza di fenomeni putrefattivi a carico delle proteine e dei composti azotati , processo mediato da alcune specie batteriche come Proteus e Klebsiella. L’azione fondamentale di questi batteri permette di compiere il primo step di detossificazione dei composti  con formazione di sostante endotossiche ( ammoniaca, scatolo, indolo, fenoli) che successivamente raggiungono il fegato compromettendone la funzionalità. L’indolo, insieme allo scatolo, è responsabile di gran parte dell’odore delle feci . </t>
    </r>
  </si>
  <si>
    <r>
      <t xml:space="preserve">L’eccessiva presenza di indacano è correlato a disbiosi che può essere lieve (intorno di 20 mg/l)  , media ( se indacano è tra i 20 e 40 mg/l) o grave (se superiore a 40 mg/l).  Valutare anche lo stato nutrizionale in quanto una dieta ricca di proteine induce un aumento di questo metabolita. Una carenza di batteri </t>
    </r>
    <r>
      <rPr>
        <i/>
        <sz val="11"/>
        <rFont val="Calibri"/>
        <family val="2"/>
      </rPr>
      <t xml:space="preserve">Lactobacilli </t>
    </r>
    <r>
      <rPr>
        <sz val="11"/>
        <rFont val="Calibri"/>
        <family val="2"/>
      </rPr>
      <t>contribuisce alla mancata eubiosi del paziente, causando sintomi come gonfiore, difficoltà digestive , stanchezza e debolezza immunitaria.</t>
    </r>
    <r>
      <rPr>
        <i/>
        <sz val="11"/>
        <rFont val="Calibri"/>
        <family val="2"/>
      </rPr>
      <t xml:space="preserve"> </t>
    </r>
    <r>
      <rPr>
        <sz val="11"/>
        <rFont val="Calibri"/>
        <family val="2"/>
      </rPr>
      <t>Altre cause potrebbero essere malattie metaboliche come la “sindrome del pannolino blu” oppure la malattia di Hartnup.</t>
    </r>
  </si>
  <si>
    <t>57.</t>
  </si>
  <si>
    <t>64.</t>
  </si>
  <si>
    <r>
      <rPr>
        <b/>
        <sz val="10"/>
        <rFont val="Calibri"/>
        <family val="2"/>
      </rPr>
      <t>L’acido ossalico</t>
    </r>
    <r>
      <rPr>
        <sz val="10"/>
        <rFont val="Calibri"/>
        <family val="2"/>
      </rPr>
      <t xml:space="preserve"> è un forte acido dicarbossilico prodotto dal corpo umano dal metabolismo dell’acido gliossico o dall’acido ascorbico. E’ conosciuto primariamente per il suo ruolo nella formazione dei calcoli renali in associazione con il calcio.  Per quanto il contributo alimentare da parte di verdure a foglia verde, frutta fresca e frutta secca possa influire sulla formazione di ossalati di calcio, questi risultano avere anche un effetto protettivo quindi è bene farne un uso seppur limitato. Anche l’integrazione di acido ascorbico, precursore dell’ossalico, potrebbe favorire la formazione di calcoli renali per cui se ne consiglia un’integrazione minima per i soggetti predisposti a calcolosi. I maggiori produttori di acido ossalico sono alcune specie di </t>
    </r>
    <r>
      <rPr>
        <i/>
        <sz val="10"/>
        <rFont val="Calibri"/>
        <family val="2"/>
      </rPr>
      <t xml:space="preserve">Aspergillus, Peniciullim </t>
    </r>
    <r>
      <rPr>
        <sz val="10"/>
        <rFont val="Calibri"/>
        <family val="2"/>
      </rPr>
      <t>e</t>
    </r>
    <r>
      <rPr>
        <i/>
        <sz val="10"/>
        <rFont val="Calibri"/>
        <family val="2"/>
      </rPr>
      <t xml:space="preserve"> Candida</t>
    </r>
    <r>
      <rPr>
        <sz val="10"/>
        <rFont val="Calibri"/>
        <family val="2"/>
      </rPr>
      <t>, per cui è consigliabile una terapia antifunginea ad hoc, somministrazione di batteri lattici e agenti probiotici. Predisposizioni genetiche per deficit dell’enzima fumarasi e iperossaluria primaria I o deficit dei perossisomi possono causare un aumento importante di ossalati con conseguenti danni a pelle, vasi sanguigni e tessuti ossei. In questi casi mantenendo elevati i livelli di magnesio e citrato urinario, si può aiutare l’espulsione dei calcoli e limitare le patologie da deposito di ossalati.</t>
    </r>
  </si>
  <si>
    <r>
      <rPr>
        <b/>
        <sz val="10"/>
        <color rgb="FF000000"/>
        <rFont val="Calibri"/>
        <family val="2"/>
      </rPr>
      <t>L’acido 4-metil-2-ossovalerico</t>
    </r>
    <r>
      <rPr>
        <sz val="10"/>
        <color rgb="FF000000"/>
        <rFont val="Calibri"/>
        <family val="2"/>
      </rPr>
      <t xml:space="preserve">, anche detto chetoleucina, è un metabolita anomalo che deriva dalla scomposizione incompleta degli aminoacidi a catena ramificata. Isoleucina, leucina e valina sono tre aminoacidi essenziali a catena ramificata (BCAA) che vengono assunti tramite l'uso di proteine o integratori sportivi, fornendo energia pronta all'utilizzo. Il muscolo scheletrico catabolizza questi aminoacidi BCAA tramite enzimi aminotransferasi per formare chetoacidi nel sangue in modo che poi vengono metabolizzati successivamente dal fegato. I BCAA sono substrati per la sintesi proteica, la produzione di energia , produzione di neurotrasmettitori e altri processi metabolici. I chetoacidi richiedono un complesso enzimatico chiamato alfa-chetoacido deidrogenasi a catena ramificata (BCKD) per essere metabolizzati, complesso enzimatico che richiede cofattori vitaminici quali vit. B1,B2,B3,B5 e acido lipoico.  I chetoacidi se non vengono metabolizzati si accumulano diventando nerutossiche e metabotossiche. Una neurotossina provoca danni alle cellule nervose e ai tessuti nervosi. Una metabotossina è un metabolita endogeno che provoca effetti negativi sulla salute a livelli cronicamente elevati. Livelli cronicamente elevati di chetoleucina sono associati alla malattia delle urine a sciroppo d'acero , malattia metabolica causata da una carenza del complesso alfa-chetoacido deidrogenasi a catena ramificata (BCKD) che porta all'accumulo degli aminoacidi a catena ramificata (leucina, isoleucina e valina) e dei loro sottoprodotti tossici ( chetoacidi) nel sangue e nelle urine.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</si>
</sst>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00"/>
    <numFmt numFmtId="165" formatCode="0.0"/>
    <numFmt numFmtId="166" formatCode="_-* #,##0.0_-;\-* #,##0.0_-;_-* &quot;-&quot;??_-;_-@_-"/>
  </numFmts>
  <fonts count="118">
    <font>
      <sz val="10"/>
      <name val="Arial"/>
    </font>
    <font>
      <sz val="11"/>
      <color theme="1"/>
      <name val="Calibri"/>
      <family val="2"/>
      <scheme val="minor"/>
    </font>
    <font>
      <sz val="8"/>
      <name val="Arial"/>
      <family val="2"/>
    </font>
    <font>
      <sz val="12"/>
      <name val="Tms Rmn"/>
    </font>
    <font>
      <sz val="10"/>
      <name val="Verdana"/>
      <family val="2"/>
    </font>
    <font>
      <b/>
      <sz val="16"/>
      <name val="Arial"/>
      <family val="2"/>
    </font>
    <font>
      <b/>
      <i/>
      <sz val="12"/>
      <name val="Arial"/>
      <family val="2"/>
    </font>
    <font>
      <sz val="8"/>
      <name val="Verdana"/>
      <family val="2"/>
    </font>
    <font>
      <b/>
      <sz val="20"/>
      <color rgb="FF0000FF"/>
      <name val="Calibri"/>
      <family val="2"/>
    </font>
    <font>
      <sz val="14"/>
      <name val="Calibri"/>
      <family val="2"/>
      <scheme val="minor"/>
    </font>
    <font>
      <b/>
      <sz val="8"/>
      <color rgb="FFFF0000"/>
      <name val="Verdana"/>
      <family val="2"/>
    </font>
    <font>
      <sz val="10"/>
      <name val="Arial"/>
      <family val="2"/>
    </font>
    <font>
      <sz val="9"/>
      <name val="Malgun Gothic"/>
      <family val="2"/>
    </font>
    <font>
      <i/>
      <sz val="8"/>
      <color rgb="FFFF0000"/>
      <name val="Tahoma"/>
      <family val="2"/>
    </font>
    <font>
      <sz val="8"/>
      <name val="Tahoma"/>
      <family val="2"/>
    </font>
    <font>
      <b/>
      <sz val="12"/>
      <name val="Calibri"/>
      <family val="2"/>
      <scheme val="minor"/>
    </font>
    <font>
      <b/>
      <sz val="12"/>
      <name val="Arial"/>
      <family val="2"/>
    </font>
    <font>
      <b/>
      <sz val="10"/>
      <name val="Arial"/>
      <family val="2"/>
    </font>
    <font>
      <i/>
      <sz val="9"/>
      <name val="Arial"/>
      <family val="2"/>
    </font>
    <font>
      <b/>
      <sz val="22"/>
      <color rgb="FF0000FF"/>
      <name val="Calibri"/>
      <family val="2"/>
      <scheme val="minor"/>
    </font>
    <font>
      <sz val="10"/>
      <color rgb="FF000000"/>
      <name val="Arial"/>
      <family val="2"/>
    </font>
    <font>
      <sz val="9"/>
      <name val="Arial"/>
      <family val="2"/>
    </font>
    <font>
      <sz val="8"/>
      <name val="Calibri"/>
      <family val="2"/>
      <scheme val="minor"/>
    </font>
    <font>
      <b/>
      <sz val="11"/>
      <name val="Calibri"/>
      <family val="2"/>
      <scheme val="minor"/>
    </font>
    <font>
      <sz val="9"/>
      <name val="Verdana"/>
      <family val="2"/>
    </font>
    <font>
      <sz val="9"/>
      <name val="Tahoma"/>
      <family val="2"/>
    </font>
    <font>
      <b/>
      <sz val="9"/>
      <color rgb="FFFF0000"/>
      <name val="Verdana"/>
      <family val="2"/>
    </font>
    <font>
      <sz val="10"/>
      <name val="Tahoma"/>
      <family val="2"/>
    </font>
    <font>
      <b/>
      <sz val="10"/>
      <color rgb="FFFF0000"/>
      <name val="Verdana"/>
      <family val="2"/>
    </font>
    <font>
      <i/>
      <sz val="8"/>
      <color theme="1"/>
      <name val="Tahoma"/>
      <family val="2"/>
    </font>
    <font>
      <sz val="11"/>
      <name val="Calibri"/>
      <family val="2"/>
    </font>
    <font>
      <b/>
      <sz val="11"/>
      <color rgb="FF000000"/>
      <name val="Calibri"/>
      <family val="2"/>
    </font>
    <font>
      <sz val="11"/>
      <color rgb="FF000000"/>
      <name val="Calibri"/>
      <family val="2"/>
    </font>
    <font>
      <i/>
      <sz val="11"/>
      <color rgb="FF000000"/>
      <name val="Calibri"/>
      <family val="2"/>
    </font>
    <font>
      <sz val="13"/>
      <color rgb="FF2E74B5"/>
      <name val="Calibri Light"/>
      <family val="2"/>
    </font>
    <font>
      <sz val="11"/>
      <color rgb="FF202122"/>
      <name val="Calibri"/>
      <family val="2"/>
    </font>
    <font>
      <sz val="11"/>
      <name val="Calibri"/>
      <family val="2"/>
      <scheme val="minor"/>
    </font>
    <font>
      <i/>
      <sz val="11"/>
      <name val="Calibri"/>
      <family val="2"/>
      <scheme val="minor"/>
    </font>
    <font>
      <b/>
      <i/>
      <sz val="13"/>
      <color rgb="FF2F5496"/>
      <name val="Calibri Light"/>
      <family val="2"/>
    </font>
    <font>
      <i/>
      <sz val="11"/>
      <name val="Calibri"/>
      <family val="2"/>
    </font>
    <font>
      <i/>
      <u/>
      <sz val="11"/>
      <name val="Calibri"/>
      <family val="2"/>
    </font>
    <font>
      <b/>
      <sz val="14"/>
      <color rgb="FF000000"/>
      <name val="Calibri"/>
      <family val="2"/>
    </font>
    <font>
      <b/>
      <sz val="18"/>
      <color rgb="FF2F5496"/>
      <name val="Calibri Light"/>
      <family val="2"/>
    </font>
    <font>
      <b/>
      <sz val="11"/>
      <name val="Calibri"/>
      <family val="2"/>
    </font>
    <font>
      <b/>
      <sz val="14"/>
      <name val="Calibri"/>
      <family val="2"/>
    </font>
    <font>
      <sz val="8"/>
      <color rgb="FF0000FF"/>
      <name val="Verdana"/>
      <family val="2"/>
    </font>
    <font>
      <sz val="8"/>
      <color rgb="FF0000FF"/>
      <name val="Arial"/>
      <family val="2"/>
    </font>
    <font>
      <sz val="12"/>
      <color rgb="FF0000FF"/>
      <name val="Calibri"/>
      <family val="2"/>
      <scheme val="minor"/>
    </font>
    <font>
      <sz val="9"/>
      <color rgb="FF0000FF"/>
      <name val="Malgun Gothic"/>
      <family val="2"/>
    </font>
    <font>
      <sz val="10"/>
      <color rgb="FF0000FF"/>
      <name val="Arial"/>
      <family val="2"/>
    </font>
    <font>
      <sz val="10"/>
      <color rgb="FF0000FF"/>
      <name val="Verdana"/>
      <family val="2"/>
    </font>
    <font>
      <i/>
      <sz val="8"/>
      <color rgb="FF0000FF"/>
      <name val="Tahoma"/>
      <family val="2"/>
    </font>
    <font>
      <b/>
      <sz val="20"/>
      <color theme="0"/>
      <name val="Calibri"/>
      <family val="2"/>
      <scheme val="minor"/>
    </font>
    <font>
      <b/>
      <i/>
      <sz val="10"/>
      <name val="Calibri"/>
      <family val="2"/>
      <scheme val="minor"/>
    </font>
    <font>
      <sz val="10"/>
      <name val="Calibri"/>
      <family val="2"/>
      <scheme val="minor"/>
    </font>
    <font>
      <b/>
      <sz val="12"/>
      <color rgb="FF0000FF"/>
      <name val="Calibri"/>
      <family val="2"/>
      <scheme val="minor"/>
    </font>
    <font>
      <sz val="12"/>
      <name val="Verdana"/>
      <family val="2"/>
    </font>
    <font>
      <sz val="12"/>
      <name val="Arial"/>
      <family val="2"/>
    </font>
    <font>
      <b/>
      <sz val="11"/>
      <color rgb="FF0000FF"/>
      <name val="Calibri"/>
      <family val="2"/>
      <scheme val="minor"/>
    </font>
    <font>
      <sz val="11"/>
      <name val="Verdana"/>
      <family val="2"/>
    </font>
    <font>
      <b/>
      <sz val="11"/>
      <name val="Arial"/>
      <family val="2"/>
    </font>
    <font>
      <b/>
      <u/>
      <sz val="10"/>
      <name val="Arial"/>
      <family val="2"/>
    </font>
    <font>
      <sz val="16"/>
      <color rgb="FF0070C0"/>
      <name val="Calibri"/>
      <family val="2"/>
    </font>
    <font>
      <sz val="9"/>
      <name val="Calibri"/>
      <family val="2"/>
      <scheme val="minor"/>
    </font>
    <font>
      <b/>
      <sz val="10"/>
      <color rgb="FF000000"/>
      <name val="Calibri"/>
      <family val="2"/>
    </font>
    <font>
      <sz val="10"/>
      <color rgb="FF000000"/>
      <name val="Calibri"/>
      <family val="2"/>
    </font>
    <font>
      <sz val="10"/>
      <color theme="1"/>
      <name val="Calibri"/>
      <family val="2"/>
      <scheme val="minor"/>
    </font>
    <font>
      <sz val="10"/>
      <color rgb="FF6A6A6B"/>
      <name val="Calibri "/>
    </font>
    <font>
      <sz val="10"/>
      <color rgb="FF202122"/>
      <name val="Calibri"/>
      <family val="2"/>
    </font>
    <font>
      <b/>
      <sz val="10"/>
      <color theme="3" tint="0.39997558519241921"/>
      <name val="Calibri"/>
      <family val="2"/>
      <scheme val="minor"/>
    </font>
    <font>
      <sz val="10"/>
      <color rgb="FF0D0D0D"/>
      <name val="Calibri"/>
      <family val="2"/>
    </font>
    <font>
      <i/>
      <sz val="10"/>
      <color rgb="FF0D0D0D"/>
      <name val="Calibri"/>
      <family val="2"/>
    </font>
    <font>
      <i/>
      <sz val="10"/>
      <color rgb="FF000000"/>
      <name val="Calibri"/>
      <family val="2"/>
    </font>
    <font>
      <b/>
      <sz val="10"/>
      <color rgb="FF0D0D0D"/>
      <name val="Calibri"/>
      <family val="2"/>
    </font>
    <font>
      <sz val="10"/>
      <color rgb="FF212121"/>
      <name val="Calibri"/>
      <family val="2"/>
      <scheme val="minor"/>
    </font>
    <font>
      <b/>
      <sz val="10"/>
      <color rgb="FF212121"/>
      <name val="Calibri"/>
      <family val="2"/>
      <scheme val="minor"/>
    </font>
    <font>
      <sz val="10"/>
      <color rgb="FFFF0000"/>
      <name val="Arial"/>
      <family val="2"/>
    </font>
    <font>
      <b/>
      <sz val="10"/>
      <color rgb="FF2E74B5"/>
      <name val="Calibri"/>
      <family val="2"/>
    </font>
    <font>
      <i/>
      <sz val="10"/>
      <color theme="1"/>
      <name val="Calibri"/>
      <family val="2"/>
      <scheme val="minor"/>
    </font>
    <font>
      <b/>
      <sz val="10"/>
      <name val="Calibri"/>
      <family val="2"/>
      <scheme val="minor"/>
    </font>
    <font>
      <sz val="10"/>
      <name val="Calibri"/>
      <family val="2"/>
    </font>
    <font>
      <b/>
      <sz val="10"/>
      <color rgb="FFFF0000"/>
      <name val="Arial"/>
      <family val="2"/>
    </font>
    <font>
      <sz val="13"/>
      <color rgb="FF000000"/>
      <name val="Wingdings"/>
      <charset val="2"/>
    </font>
    <font>
      <u/>
      <sz val="10"/>
      <color rgb="FF000000"/>
      <name val="Calibri"/>
      <family val="2"/>
    </font>
    <font>
      <u/>
      <sz val="11"/>
      <color rgb="FF000000"/>
      <name val="Calibri"/>
      <family val="2"/>
    </font>
    <font>
      <b/>
      <sz val="10"/>
      <color rgb="FF202122"/>
      <name val="Calibri"/>
      <family val="2"/>
    </font>
    <font>
      <i/>
      <sz val="10"/>
      <color rgb="FF202122"/>
      <name val="Calibri"/>
      <family val="2"/>
    </font>
    <font>
      <i/>
      <sz val="10"/>
      <name val="Calibri"/>
      <family val="2"/>
      <scheme val="minor"/>
    </font>
    <font>
      <b/>
      <sz val="10"/>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9C5700"/>
      <name val="Calibri"/>
      <family val="2"/>
      <scheme val="minor"/>
    </font>
    <font>
      <b/>
      <sz val="11"/>
      <color rgb="FFFF0000"/>
      <name val="Calibri"/>
      <family val="2"/>
    </font>
    <font>
      <b/>
      <sz val="11"/>
      <color rgb="FF00B050"/>
      <name val="Calibri"/>
      <family val="2"/>
    </font>
    <font>
      <b/>
      <sz val="11"/>
      <color rgb="FFC00000"/>
      <name val="Calibri"/>
      <family val="2"/>
    </font>
    <font>
      <b/>
      <sz val="11"/>
      <color rgb="FF130000"/>
      <name val="Calibri"/>
      <family val="2"/>
    </font>
    <font>
      <i/>
      <sz val="10"/>
      <name val="Arial"/>
      <family val="2"/>
    </font>
    <font>
      <b/>
      <sz val="9"/>
      <name val="Arial"/>
      <family val="2"/>
    </font>
    <font>
      <sz val="11"/>
      <color rgb="FF2E74B5"/>
      <name val="Calibri Light"/>
      <family val="2"/>
    </font>
    <font>
      <sz val="10"/>
      <name val="Arial"/>
      <family val="2"/>
    </font>
    <font>
      <b/>
      <sz val="10"/>
      <name val="Calibri"/>
      <family val="2"/>
    </font>
    <font>
      <sz val="10"/>
      <color rgb="FF000000"/>
      <name val="Calibri"/>
      <family val="2"/>
      <scheme val="minor"/>
    </font>
    <font>
      <sz val="11"/>
      <color rgb="FF000000"/>
      <name val="Calibri"/>
      <family val="2"/>
      <scheme val="minor"/>
    </font>
    <font>
      <i/>
      <sz val="10"/>
      <name val="Calibri"/>
      <family val="2"/>
    </font>
    <font>
      <sz val="9"/>
      <name val="Calibri"/>
      <family val="2"/>
    </font>
  </fonts>
  <fills count="40">
    <fill>
      <patternFill patternType="none"/>
    </fill>
    <fill>
      <patternFill patternType="gray125"/>
    </fill>
    <fill>
      <patternFill patternType="solid">
        <fgColor rgb="FFBCD3EE"/>
        <bgColor indexed="64"/>
      </patternFill>
    </fill>
    <fill>
      <patternFill patternType="solid">
        <fgColor rgb="FFCADCF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79998168889431442"/>
        <bgColor indexed="64"/>
      </patternFill>
    </fill>
    <fill>
      <patternFill patternType="solid">
        <fgColor rgb="FFFF0000"/>
        <bgColor indexed="64"/>
      </patternFill>
    </fill>
    <fill>
      <patternFill patternType="lightUp">
        <fgColor rgb="FFFF0000"/>
        <bgColor theme="3" tint="0.79998168889431442"/>
      </patternFill>
    </fill>
  </fills>
  <borders count="30">
    <border>
      <left/>
      <right/>
      <top/>
      <bottom/>
      <diagonal/>
    </border>
    <border>
      <left/>
      <right/>
      <top/>
      <bottom style="double">
        <color indexed="64"/>
      </bottom>
      <diagonal/>
    </border>
    <border>
      <left/>
      <right/>
      <top/>
      <bottom style="thick">
        <color rgb="FF0000FF"/>
      </bottom>
      <diagonal/>
    </border>
    <border>
      <left/>
      <right/>
      <top/>
      <bottom style="thin">
        <color indexed="64"/>
      </bottom>
      <diagonal/>
    </border>
    <border>
      <left/>
      <right/>
      <top style="thick">
        <color rgb="FF0000FF"/>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ck">
        <color rgb="FF0000FF"/>
      </top>
      <bottom style="thin">
        <color indexed="64"/>
      </bottom>
      <diagonal/>
    </border>
    <border>
      <left/>
      <right/>
      <top style="thin">
        <color indexed="64"/>
      </top>
      <bottom/>
      <diagonal/>
    </border>
    <border>
      <left/>
      <right/>
      <top style="medium">
        <color auto="1"/>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s>
  <cellStyleXfs count="46">
    <xf numFmtId="0" fontId="0" fillId="0" borderId="0"/>
    <xf numFmtId="0" fontId="3" fillId="0" borderId="0"/>
    <xf numFmtId="0" fontId="11" fillId="0" borderId="0"/>
    <xf numFmtId="0" fontId="89" fillId="0" borderId="0" applyNumberFormat="0" applyFill="0" applyBorder="0" applyAlignment="0" applyProtection="0"/>
    <xf numFmtId="0" fontId="90" fillId="0" borderId="14" applyNumberFormat="0" applyFill="0" applyAlignment="0" applyProtection="0"/>
    <xf numFmtId="0" fontId="91" fillId="0" borderId="15" applyNumberFormat="0" applyFill="0" applyAlignment="0" applyProtection="0"/>
    <xf numFmtId="0" fontId="92" fillId="0" borderId="16" applyNumberFormat="0" applyFill="0" applyAlignment="0" applyProtection="0"/>
    <xf numFmtId="0" fontId="92" fillId="0" borderId="0" applyNumberFormat="0" applyFill="0" applyBorder="0" applyAlignment="0" applyProtection="0"/>
    <xf numFmtId="0" fontId="93" fillId="6" borderId="0" applyNumberFormat="0" applyBorder="0" applyAlignment="0" applyProtection="0"/>
    <xf numFmtId="0" fontId="94" fillId="7" borderId="0" applyNumberFormat="0" applyBorder="0" applyAlignment="0" applyProtection="0"/>
    <xf numFmtId="0" fontId="95" fillId="9" borderId="17" applyNumberFormat="0" applyAlignment="0" applyProtection="0"/>
    <xf numFmtId="0" fontId="96" fillId="10" borderId="18" applyNumberFormat="0" applyAlignment="0" applyProtection="0"/>
    <xf numFmtId="0" fontId="97" fillId="10" borderId="17" applyNumberFormat="0" applyAlignment="0" applyProtection="0"/>
    <xf numFmtId="0" fontId="98" fillId="0" borderId="19" applyNumberFormat="0" applyFill="0" applyAlignment="0" applyProtection="0"/>
    <xf numFmtId="0" fontId="99" fillId="11" borderId="20" applyNumberFormat="0" applyAlignment="0" applyProtection="0"/>
    <xf numFmtId="0" fontId="100" fillId="0" borderId="0" applyNumberFormat="0" applyFill="0" applyBorder="0" applyAlignment="0" applyProtection="0"/>
    <xf numFmtId="0" fontId="101" fillId="0" borderId="0" applyNumberFormat="0" applyFill="0" applyBorder="0" applyAlignment="0" applyProtection="0"/>
    <xf numFmtId="0" fontId="102" fillId="0" borderId="22" applyNumberFormat="0" applyFill="0" applyAlignment="0" applyProtection="0"/>
    <xf numFmtId="0" fontId="103"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03"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03"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03"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03"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03"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0" borderId="0"/>
    <xf numFmtId="0" fontId="104" fillId="8" borderId="0" applyNumberFormat="0" applyBorder="0" applyAlignment="0" applyProtection="0"/>
    <xf numFmtId="0" fontId="1" fillId="12" borderId="21" applyNumberFormat="0" applyFont="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43" fontId="112" fillId="0" borderId="0" applyFont="0" applyFill="0" applyBorder="0" applyAlignment="0" applyProtection="0"/>
  </cellStyleXfs>
  <cellXfs count="291">
    <xf numFmtId="0" fontId="0" fillId="0" borderId="0" xfId="0"/>
    <xf numFmtId="0" fontId="9" fillId="0" borderId="0" xfId="1" applyFont="1"/>
    <xf numFmtId="0" fontId="4" fillId="0" borderId="0" xfId="2" applyFont="1"/>
    <xf numFmtId="0" fontId="11" fillId="0" borderId="0" xfId="2"/>
    <xf numFmtId="0" fontId="4" fillId="0" borderId="2" xfId="2" applyFont="1" applyBorder="1"/>
    <xf numFmtId="0" fontId="11" fillId="0" borderId="2" xfId="2" applyBorder="1"/>
    <xf numFmtId="0" fontId="5" fillId="0" borderId="0" xfId="2" applyFont="1"/>
    <xf numFmtId="0" fontId="4" fillId="0" borderId="1" xfId="2" applyFont="1" applyBorder="1"/>
    <xf numFmtId="0" fontId="11" fillId="0" borderId="1" xfId="2" applyBorder="1"/>
    <xf numFmtId="0" fontId="6" fillId="0" borderId="0" xfId="2" applyFont="1"/>
    <xf numFmtId="0" fontId="0" fillId="0" borderId="0" xfId="0" applyAlignment="1">
      <alignment horizontal="right"/>
    </xf>
    <xf numFmtId="0" fontId="17" fillId="0" borderId="0" xfId="2" applyFont="1"/>
    <xf numFmtId="0" fontId="16" fillId="0" borderId="0" xfId="2" applyFont="1"/>
    <xf numFmtId="0" fontId="4" fillId="2" borderId="0" xfId="2" applyFont="1" applyFill="1"/>
    <xf numFmtId="0" fontId="11" fillId="2" borderId="0" xfId="2" applyFill="1"/>
    <xf numFmtId="0" fontId="17" fillId="2" borderId="0" xfId="2" applyFont="1" applyFill="1" applyAlignment="1">
      <alignment horizontal="center"/>
    </xf>
    <xf numFmtId="0" fontId="16" fillId="2" borderId="0" xfId="2" applyFont="1" applyFill="1"/>
    <xf numFmtId="0" fontId="0" fillId="0" borderId="5" xfId="0" applyBorder="1"/>
    <xf numFmtId="0" fontId="15" fillId="0" borderId="0" xfId="2" applyFont="1"/>
    <xf numFmtId="0" fontId="15" fillId="0" borderId="3" xfId="1" applyFont="1" applyBorder="1"/>
    <xf numFmtId="0" fontId="15" fillId="0" borderId="0" xfId="1" applyFont="1" applyAlignment="1">
      <alignment vertical="top"/>
    </xf>
    <xf numFmtId="0" fontId="4" fillId="0" borderId="0" xfId="2" applyFont="1" applyAlignment="1">
      <alignment vertical="center"/>
    </xf>
    <xf numFmtId="0" fontId="0" fillId="0" borderId="0" xfId="0" quotePrefix="1" applyAlignment="1">
      <alignment horizontal="right"/>
    </xf>
    <xf numFmtId="0" fontId="15" fillId="0" borderId="3" xfId="2" applyFont="1" applyBorder="1"/>
    <xf numFmtId="0" fontId="7" fillId="0" borderId="0" xfId="2" applyFont="1"/>
    <xf numFmtId="0" fontId="14" fillId="0" borderId="0" xfId="2" applyFont="1" applyAlignment="1">
      <alignment horizontal="left"/>
    </xf>
    <xf numFmtId="0" fontId="22" fillId="0" borderId="0" xfId="0" applyFont="1" applyAlignment="1">
      <alignment horizontal="center"/>
    </xf>
    <xf numFmtId="0" fontId="12" fillId="0" borderId="0" xfId="2" applyFont="1" applyAlignment="1">
      <alignment horizontal="left" vertical="center"/>
    </xf>
    <xf numFmtId="0" fontId="0" fillId="0" borderId="0" xfId="0"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xf numFmtId="0" fontId="0" fillId="0" borderId="10" xfId="0" applyBorder="1"/>
    <xf numFmtId="0" fontId="0" fillId="0" borderId="11" xfId="0" applyBorder="1"/>
    <xf numFmtId="0" fontId="0" fillId="0" borderId="12" xfId="0" applyBorder="1"/>
    <xf numFmtId="2" fontId="0" fillId="0" borderId="0" xfId="0" applyNumberFormat="1"/>
    <xf numFmtId="0" fontId="21" fillId="0" borderId="0" xfId="0" applyFont="1"/>
    <xf numFmtId="0" fontId="7" fillId="0" borderId="0" xfId="2" applyFont="1" applyAlignment="1">
      <alignment horizontal="left"/>
    </xf>
    <xf numFmtId="0" fontId="14" fillId="0" borderId="0" xfId="2" applyFont="1" applyAlignment="1">
      <alignment horizontal="center"/>
    </xf>
    <xf numFmtId="0" fontId="25" fillId="0" borderId="0" xfId="2" applyFont="1" applyAlignment="1">
      <alignment horizontal="center"/>
    </xf>
    <xf numFmtId="0" fontId="24" fillId="0" borderId="0" xfId="2" applyFont="1"/>
    <xf numFmtId="0" fontId="21" fillId="0" borderId="0" xfId="2" applyFont="1"/>
    <xf numFmtId="0" fontId="27" fillId="0" borderId="0" xfId="2" applyFont="1" applyAlignment="1">
      <alignment horizontal="center"/>
    </xf>
    <xf numFmtId="0" fontId="10" fillId="0" borderId="0" xfId="2" applyFont="1" applyAlignment="1">
      <alignment horizontal="center"/>
    </xf>
    <xf numFmtId="0" fontId="0" fillId="0" borderId="0" xfId="0" quotePrefix="1"/>
    <xf numFmtId="0" fontId="7" fillId="0" borderId="0" xfId="2" applyFont="1" applyAlignment="1">
      <alignment vertical="center"/>
    </xf>
    <xf numFmtId="0" fontId="17" fillId="0" borderId="0" xfId="2" applyFont="1" applyAlignment="1">
      <alignment horizontal="center"/>
    </xf>
    <xf numFmtId="0" fontId="0" fillId="0" borderId="3" xfId="0" applyBorder="1"/>
    <xf numFmtId="0" fontId="11" fillId="0" borderId="0" xfId="2" applyAlignment="1">
      <alignment horizontal="left"/>
    </xf>
    <xf numFmtId="0" fontId="29" fillId="0" borderId="0" xfId="2" applyFont="1" applyAlignment="1">
      <alignment horizontal="right"/>
    </xf>
    <xf numFmtId="0" fontId="36" fillId="0" borderId="0" xfId="0" applyFont="1"/>
    <xf numFmtId="0" fontId="30" fillId="0" borderId="0" xfId="0" applyFont="1" applyAlignment="1">
      <alignment wrapText="1"/>
    </xf>
    <xf numFmtId="0" fontId="36" fillId="0" borderId="3" xfId="0" applyFont="1" applyBorder="1" applyAlignment="1">
      <alignment vertical="center"/>
    </xf>
    <xf numFmtId="0" fontId="36" fillId="0" borderId="3" xfId="0" applyFont="1" applyBorder="1"/>
    <xf numFmtId="0" fontId="2" fillId="0" borderId="1" xfId="2" applyFont="1" applyBorder="1"/>
    <xf numFmtId="0" fontId="18" fillId="0" borderId="1" xfId="2" applyFont="1" applyBorder="1" applyAlignment="1">
      <alignment horizontal="center"/>
    </xf>
    <xf numFmtId="0" fontId="46" fillId="0" borderId="0" xfId="2" applyFont="1"/>
    <xf numFmtId="0" fontId="48" fillId="0" borderId="0" xfId="2" applyFont="1" applyAlignment="1">
      <alignment horizontal="left" vertical="center"/>
    </xf>
    <xf numFmtId="0" fontId="49" fillId="0" borderId="0" xfId="2" applyFont="1"/>
    <xf numFmtId="0" fontId="50" fillId="0" borderId="0" xfId="2" applyFont="1"/>
    <xf numFmtId="0" fontId="54" fillId="0" borderId="0" xfId="2" applyFont="1"/>
    <xf numFmtId="0" fontId="54" fillId="0" borderId="0" xfId="2" applyFont="1" applyAlignment="1">
      <alignment horizontal="center"/>
    </xf>
    <xf numFmtId="0" fontId="37" fillId="0" borderId="0" xfId="2" applyFont="1"/>
    <xf numFmtId="0" fontId="36" fillId="0" borderId="0" xfId="2" applyFont="1"/>
    <xf numFmtId="0" fontId="23" fillId="0" borderId="0" xfId="2" applyFont="1"/>
    <xf numFmtId="0" fontId="55" fillId="0" borderId="0" xfId="1" applyFont="1" applyAlignment="1">
      <alignment horizontal="left"/>
    </xf>
    <xf numFmtId="0" fontId="56" fillId="0" borderId="0" xfId="2" applyFont="1"/>
    <xf numFmtId="0" fontId="57" fillId="0" borderId="0" xfId="2" applyFont="1"/>
    <xf numFmtId="0" fontId="56" fillId="0" borderId="3" xfId="2" applyFont="1" applyBorder="1"/>
    <xf numFmtId="0" fontId="11" fillId="0" borderId="0" xfId="2" applyAlignment="1">
      <alignment horizontal="center"/>
    </xf>
    <xf numFmtId="0" fontId="54" fillId="0" borderId="0" xfId="0" applyFont="1"/>
    <xf numFmtId="0" fontId="54" fillId="0" borderId="0" xfId="0" applyFont="1" applyProtection="1">
      <protection hidden="1"/>
    </xf>
    <xf numFmtId="0" fontId="59" fillId="0" borderId="0" xfId="2" applyFont="1"/>
    <xf numFmtId="0" fontId="36" fillId="0" borderId="0" xfId="1" applyFont="1" applyAlignment="1">
      <alignment vertical="center"/>
    </xf>
    <xf numFmtId="0" fontId="60" fillId="0" borderId="0" xfId="2" applyFont="1"/>
    <xf numFmtId="0" fontId="61" fillId="0" borderId="0" xfId="0" applyFont="1"/>
    <xf numFmtId="0" fontId="4" fillId="0" borderId="0" xfId="2" applyFont="1" applyAlignment="1">
      <alignment horizontal="left"/>
    </xf>
    <xf numFmtId="0" fontId="24" fillId="0" borderId="0" xfId="2" applyFont="1" applyAlignment="1">
      <alignment horizontal="left"/>
    </xf>
    <xf numFmtId="0" fontId="24" fillId="0" borderId="0" xfId="2" applyFont="1" applyAlignment="1">
      <alignment horizontal="center"/>
    </xf>
    <xf numFmtId="0" fontId="13" fillId="0" borderId="0" xfId="2" applyFont="1" applyAlignment="1">
      <alignment horizontal="left"/>
    </xf>
    <xf numFmtId="0" fontId="26" fillId="0" borderId="0" xfId="2" applyFont="1" applyAlignment="1">
      <alignment horizontal="center"/>
    </xf>
    <xf numFmtId="0" fontId="51" fillId="0" borderId="0" xfId="2" applyFont="1" applyAlignment="1">
      <alignment horizontal="left"/>
    </xf>
    <xf numFmtId="0" fontId="7" fillId="0" borderId="0" xfId="2" applyFont="1" applyAlignment="1">
      <alignment horizontal="center"/>
    </xf>
    <xf numFmtId="0" fontId="45" fillId="0" borderId="0" xfId="2" applyFont="1" applyAlignment="1">
      <alignment horizontal="center"/>
    </xf>
    <xf numFmtId="0" fontId="28" fillId="0" borderId="0" xfId="2" applyFont="1" applyAlignment="1">
      <alignment horizontal="center"/>
    </xf>
    <xf numFmtId="0" fontId="4" fillId="0" borderId="0" xfId="2" applyFont="1" applyAlignment="1">
      <alignment horizontal="center"/>
    </xf>
    <xf numFmtId="0" fontId="7" fillId="0" borderId="0" xfId="2" applyFont="1" applyAlignment="1">
      <alignment horizontal="center" vertical="center"/>
    </xf>
    <xf numFmtId="0" fontId="0" fillId="0" borderId="3" xfId="0" quotePrefix="1" applyBorder="1"/>
    <xf numFmtId="164" fontId="63" fillId="0" borderId="0" xfId="0" applyNumberFormat="1" applyFont="1"/>
    <xf numFmtId="0" fontId="0" fillId="0" borderId="3" xfId="0" applyBorder="1" applyAlignment="1">
      <alignment horizontal="center"/>
    </xf>
    <xf numFmtId="0" fontId="11" fillId="0" borderId="0" xfId="2" applyAlignment="1">
      <alignment vertical="center"/>
    </xf>
    <xf numFmtId="0" fontId="31" fillId="0" borderId="0" xfId="2" applyFont="1" applyAlignment="1">
      <alignment vertical="top" wrapText="1"/>
    </xf>
    <xf numFmtId="0" fontId="32" fillId="0" borderId="0" xfId="2" applyFont="1" applyAlignment="1">
      <alignment vertical="top" wrapText="1"/>
    </xf>
    <xf numFmtId="0" fontId="36" fillId="0" borderId="0" xfId="2" applyFont="1" applyAlignment="1">
      <alignment wrapText="1"/>
    </xf>
    <xf numFmtId="0" fontId="65" fillId="0" borderId="0" xfId="2" applyFont="1" applyAlignment="1">
      <alignment vertical="center" wrapText="1"/>
    </xf>
    <xf numFmtId="0" fontId="36" fillId="0" borderId="0" xfId="2" applyFont="1" applyAlignment="1">
      <alignment horizontal="left" vertical="top" wrapText="1"/>
    </xf>
    <xf numFmtId="0" fontId="31" fillId="0" borderId="0" xfId="2" applyFont="1" applyAlignment="1">
      <alignment horizontal="left" vertical="center" wrapText="1"/>
    </xf>
    <xf numFmtId="0" fontId="64" fillId="0" borderId="0" xfId="2" applyFont="1" applyAlignment="1">
      <alignment horizontal="center" vertical="top" wrapText="1"/>
    </xf>
    <xf numFmtId="0" fontId="36" fillId="0" borderId="0" xfId="0" applyFont="1" applyAlignment="1">
      <alignment vertical="center"/>
    </xf>
    <xf numFmtId="0" fontId="64" fillId="0" borderId="0" xfId="2" applyFont="1" applyAlignment="1">
      <alignment vertical="top" wrapText="1"/>
    </xf>
    <xf numFmtId="0" fontId="74" fillId="0" borderId="0" xfId="2" applyFont="1" applyAlignment="1">
      <alignment wrapText="1"/>
    </xf>
    <xf numFmtId="0" fontId="74" fillId="0" borderId="0" xfId="2" applyFont="1" applyAlignment="1">
      <alignment horizontal="left" wrapText="1"/>
    </xf>
    <xf numFmtId="0" fontId="11" fillId="0" borderId="0" xfId="2" applyAlignment="1">
      <alignment horizontal="center" wrapText="1"/>
    </xf>
    <xf numFmtId="0" fontId="67" fillId="0" borderId="0" xfId="2" applyFont="1" applyAlignment="1">
      <alignment vertical="center" wrapText="1"/>
    </xf>
    <xf numFmtId="0" fontId="66" fillId="0" borderId="0" xfId="2" applyFont="1" applyAlignment="1">
      <alignment vertical="center" wrapText="1"/>
    </xf>
    <xf numFmtId="0" fontId="54" fillId="0" borderId="0" xfId="2" applyFont="1" applyAlignment="1">
      <alignment wrapText="1"/>
    </xf>
    <xf numFmtId="0" fontId="66" fillId="0" borderId="0" xfId="2" applyFont="1" applyAlignment="1">
      <alignment vertical="top" wrapText="1"/>
    </xf>
    <xf numFmtId="0" fontId="81" fillId="0" borderId="0" xfId="2" applyFont="1" applyAlignment="1">
      <alignment horizontal="center" wrapText="1"/>
    </xf>
    <xf numFmtId="0" fontId="32" fillId="0" borderId="0" xfId="2" applyFont="1" applyAlignment="1">
      <alignment vertical="center" wrapText="1"/>
    </xf>
    <xf numFmtId="0" fontId="32" fillId="0" borderId="0" xfId="2" applyFont="1" applyAlignment="1">
      <alignment horizontal="left" vertical="center" indent="4"/>
    </xf>
    <xf numFmtId="0" fontId="82" fillId="0" borderId="0" xfId="2" applyFont="1" applyAlignment="1">
      <alignment vertical="top" wrapText="1"/>
    </xf>
    <xf numFmtId="0" fontId="31" fillId="0" borderId="0" xfId="2" applyFont="1" applyAlignment="1">
      <alignment vertical="center" wrapText="1"/>
    </xf>
    <xf numFmtId="0" fontId="83" fillId="0" borderId="0" xfId="2" applyFont="1" applyAlignment="1">
      <alignment vertical="center" wrapText="1"/>
    </xf>
    <xf numFmtId="0" fontId="32" fillId="0" borderId="0" xfId="2" applyFont="1" applyAlignment="1">
      <alignment vertical="center"/>
    </xf>
    <xf numFmtId="0" fontId="32" fillId="0" borderId="0" xfId="2" applyFont="1" applyAlignment="1">
      <alignment horizontal="left" vertical="center" indent="2"/>
    </xf>
    <xf numFmtId="0" fontId="68" fillId="0" borderId="0" xfId="2" applyFont="1" applyAlignment="1">
      <alignment vertical="center" wrapText="1"/>
    </xf>
    <xf numFmtId="0" fontId="35" fillId="0" borderId="0" xfId="2" applyFont="1" applyAlignment="1">
      <alignment vertical="center" wrapText="1"/>
    </xf>
    <xf numFmtId="0" fontId="54" fillId="0" borderId="0" xfId="2" applyFont="1" applyAlignment="1">
      <alignment vertical="center" wrapText="1"/>
    </xf>
    <xf numFmtId="0" fontId="11" fillId="0" borderId="0" xfId="2" applyAlignment="1">
      <alignment wrapText="1"/>
    </xf>
    <xf numFmtId="0" fontId="36" fillId="0" borderId="0" xfId="2" applyFont="1" applyAlignment="1">
      <alignment horizontal="left" vertical="center" wrapText="1"/>
    </xf>
    <xf numFmtId="0" fontId="36" fillId="0" borderId="0" xfId="2" applyFont="1" applyAlignment="1">
      <alignment vertical="center" wrapText="1"/>
    </xf>
    <xf numFmtId="0" fontId="36" fillId="0" borderId="0" xfId="2" applyFont="1" applyAlignment="1">
      <alignment horizontal="left" wrapText="1"/>
    </xf>
    <xf numFmtId="0" fontId="36" fillId="0" borderId="0" xfId="2" applyFont="1" applyAlignment="1">
      <alignment horizontal="center" wrapText="1"/>
    </xf>
    <xf numFmtId="0" fontId="69" fillId="0" borderId="0" xfId="2" quotePrefix="1" applyFont="1" applyAlignment="1">
      <alignment horizontal="right"/>
    </xf>
    <xf numFmtId="0" fontId="54" fillId="0" borderId="0" xfId="2" applyFont="1" applyAlignment="1">
      <alignment horizontal="center" wrapText="1"/>
    </xf>
    <xf numFmtId="0" fontId="79" fillId="0" borderId="0" xfId="2" applyFont="1"/>
    <xf numFmtId="0" fontId="65" fillId="0" borderId="0" xfId="2" applyFont="1" applyAlignment="1">
      <alignment vertical="center"/>
    </xf>
    <xf numFmtId="0" fontId="54" fillId="0" borderId="0" xfId="2" applyFont="1" applyAlignment="1">
      <alignment horizontal="left" vertical="top"/>
    </xf>
    <xf numFmtId="0" fontId="53" fillId="4" borderId="0" xfId="2" applyFont="1" applyFill="1"/>
    <xf numFmtId="0" fontId="0" fillId="0" borderId="3" xfId="0" applyBorder="1" applyAlignment="1">
      <alignment horizontal="right"/>
    </xf>
    <xf numFmtId="0" fontId="0" fillId="0" borderId="13" xfId="0" applyBorder="1"/>
    <xf numFmtId="0" fontId="36" fillId="0" borderId="13" xfId="0" applyFont="1" applyBorder="1"/>
    <xf numFmtId="0" fontId="105" fillId="0" borderId="0" xfId="0" applyFont="1"/>
    <xf numFmtId="0" fontId="107" fillId="0" borderId="0" xfId="0" applyFont="1"/>
    <xf numFmtId="0" fontId="108" fillId="0" borderId="0" xfId="0" applyFont="1"/>
    <xf numFmtId="0" fontId="15" fillId="0" borderId="0" xfId="1" applyFont="1" applyAlignment="1">
      <alignment horizontal="center"/>
    </xf>
    <xf numFmtId="0" fontId="109" fillId="0" borderId="0" xfId="2" applyFont="1"/>
    <xf numFmtId="0" fontId="79" fillId="0" borderId="0" xfId="2" applyFont="1" applyAlignment="1">
      <alignment vertical="center"/>
    </xf>
    <xf numFmtId="0" fontId="36" fillId="0" borderId="23" xfId="2" applyFont="1" applyBorder="1"/>
    <xf numFmtId="0" fontId="23" fillId="0" borderId="23" xfId="1" applyFont="1" applyBorder="1"/>
    <xf numFmtId="0" fontId="23" fillId="0" borderId="23" xfId="1" applyFont="1" applyBorder="1" applyAlignment="1">
      <alignment horizontal="right"/>
    </xf>
    <xf numFmtId="0" fontId="102" fillId="0" borderId="23" xfId="1" applyFont="1" applyBorder="1"/>
    <xf numFmtId="0" fontId="58" fillId="0" borderId="23" xfId="1" applyFont="1" applyBorder="1"/>
    <xf numFmtId="0" fontId="36" fillId="0" borderId="23" xfId="2" applyFont="1" applyBorder="1" applyAlignment="1">
      <alignment horizontal="right"/>
    </xf>
    <xf numFmtId="14" fontId="23" fillId="0" borderId="23" xfId="1" applyNumberFormat="1" applyFont="1" applyBorder="1"/>
    <xf numFmtId="0" fontId="4" fillId="0" borderId="23" xfId="2" applyFont="1" applyBorder="1"/>
    <xf numFmtId="0" fontId="62" fillId="0" borderId="0" xfId="2" applyFont="1"/>
    <xf numFmtId="0" fontId="11" fillId="0" borderId="0" xfId="2" quotePrefix="1" applyAlignment="1">
      <alignment horizontal="right"/>
    </xf>
    <xf numFmtId="0" fontId="33" fillId="0" borderId="0" xfId="2" applyFont="1" applyAlignment="1">
      <alignment vertical="top" wrapText="1"/>
    </xf>
    <xf numFmtId="0" fontId="34" fillId="0" borderId="0" xfId="2" applyFont="1" applyAlignment="1">
      <alignment vertical="center"/>
    </xf>
    <xf numFmtId="0" fontId="11" fillId="0" borderId="0" xfId="2" applyAlignment="1">
      <alignment horizontal="right"/>
    </xf>
    <xf numFmtId="0" fontId="39" fillId="0" borderId="0" xfId="2" applyFont="1" applyAlignment="1">
      <alignment vertical="center"/>
    </xf>
    <xf numFmtId="0" fontId="110" fillId="0" borderId="0" xfId="2" applyFont="1" applyAlignment="1">
      <alignment horizontal="right" vertical="center"/>
    </xf>
    <xf numFmtId="0" fontId="111" fillId="0" borderId="0" xfId="2" applyFont="1" applyAlignment="1">
      <alignment vertical="center"/>
    </xf>
    <xf numFmtId="2" fontId="11" fillId="0" borderId="0" xfId="0" applyNumberFormat="1" applyFont="1"/>
    <xf numFmtId="0" fontId="110" fillId="0" borderId="0" xfId="2" applyFont="1" applyAlignment="1">
      <alignment horizontal="right" vertical="top"/>
    </xf>
    <xf numFmtId="0" fontId="44" fillId="0" borderId="0" xfId="2" applyFont="1" applyAlignment="1">
      <alignment horizontal="right" vertical="center"/>
    </xf>
    <xf numFmtId="2" fontId="11" fillId="0" borderId="6" xfId="2" applyNumberFormat="1" applyBorder="1"/>
    <xf numFmtId="2" fontId="63" fillId="0" borderId="0" xfId="0" applyNumberFormat="1" applyFont="1"/>
    <xf numFmtId="0" fontId="110" fillId="0" borderId="25" xfId="2" applyFont="1" applyBorder="1" applyAlignment="1">
      <alignment horizontal="right" vertical="center"/>
    </xf>
    <xf numFmtId="0" fontId="79" fillId="0" borderId="25" xfId="2" applyFont="1" applyBorder="1"/>
    <xf numFmtId="0" fontId="11" fillId="0" borderId="25" xfId="2" applyBorder="1"/>
    <xf numFmtId="0" fontId="0" fillId="0" borderId="0" xfId="0" applyAlignment="1">
      <alignment vertical="top"/>
    </xf>
    <xf numFmtId="0" fontId="30" fillId="0" borderId="0" xfId="0" applyFont="1"/>
    <xf numFmtId="0" fontId="64" fillId="0" borderId="0" xfId="2" applyFont="1" applyAlignment="1">
      <alignment horizontal="left" vertical="top" wrapText="1"/>
    </xf>
    <xf numFmtId="0" fontId="65" fillId="0" borderId="0" xfId="2" applyFont="1" applyAlignment="1">
      <alignment horizontal="left" vertical="top" wrapText="1"/>
    </xf>
    <xf numFmtId="0" fontId="70" fillId="0" borderId="0" xfId="2" applyFont="1" applyAlignment="1">
      <alignment horizontal="left" vertical="top" wrapText="1"/>
    </xf>
    <xf numFmtId="0" fontId="66" fillId="0" borderId="0" xfId="2" applyFont="1" applyAlignment="1">
      <alignment horizontal="left" vertical="top" wrapText="1"/>
    </xf>
    <xf numFmtId="0" fontId="74" fillId="0" borderId="0" xfId="2" applyFont="1" applyAlignment="1">
      <alignment horizontal="left" vertical="top" wrapText="1"/>
    </xf>
    <xf numFmtId="0" fontId="76" fillId="0" borderId="0" xfId="2" applyFont="1" applyAlignment="1">
      <alignment horizontal="center" vertical="center" wrapText="1"/>
    </xf>
    <xf numFmtId="0" fontId="54" fillId="0" borderId="0" xfId="2" applyFont="1" applyAlignment="1">
      <alignment horizontal="left" vertical="top" wrapText="1"/>
    </xf>
    <xf numFmtId="0" fontId="65" fillId="0" borderId="0" xfId="2" applyFont="1" applyAlignment="1">
      <alignment horizontal="center" vertical="top" wrapText="1"/>
    </xf>
    <xf numFmtId="0" fontId="32" fillId="0" borderId="0" xfId="2" applyFont="1" applyAlignment="1">
      <alignment horizontal="left" vertical="top" wrapText="1"/>
    </xf>
    <xf numFmtId="0" fontId="65" fillId="0" borderId="0" xfId="2" applyFont="1" applyAlignment="1">
      <alignment horizontal="left" vertical="center" wrapText="1"/>
    </xf>
    <xf numFmtId="0" fontId="68" fillId="0" borderId="0" xfId="2" applyFont="1" applyAlignment="1">
      <alignment horizontal="left" vertical="top" wrapText="1"/>
    </xf>
    <xf numFmtId="0" fontId="64" fillId="0" borderId="0" xfId="2" applyFont="1" applyAlignment="1">
      <alignment horizontal="left" vertical="center" wrapText="1"/>
    </xf>
    <xf numFmtId="0" fontId="54" fillId="0" borderId="0" xfId="2" applyFont="1" applyAlignment="1">
      <alignment horizontal="left" vertical="center" wrapText="1"/>
    </xf>
    <xf numFmtId="0" fontId="54" fillId="0" borderId="0" xfId="2" applyFont="1" applyAlignment="1">
      <alignment horizontal="left" wrapText="1"/>
    </xf>
    <xf numFmtId="0" fontId="33" fillId="0" borderId="0" xfId="2" applyFont="1" applyAlignment="1">
      <alignment horizontal="left" vertical="top" wrapText="1"/>
    </xf>
    <xf numFmtId="0" fontId="33" fillId="0" borderId="0" xfId="2" applyFont="1" applyAlignment="1">
      <alignment horizontal="left" vertical="center" wrapText="1"/>
    </xf>
    <xf numFmtId="0" fontId="115" fillId="0" borderId="0" xfId="2" applyFont="1" applyAlignment="1">
      <alignment vertical="center"/>
    </xf>
    <xf numFmtId="165" fontId="24" fillId="0" borderId="0" xfId="2" applyNumberFormat="1" applyFont="1" applyAlignment="1">
      <alignment horizontal="left"/>
    </xf>
    <xf numFmtId="165" fontId="10" fillId="0" borderId="0" xfId="2" applyNumberFormat="1" applyFont="1" applyAlignment="1">
      <alignment horizontal="center"/>
    </xf>
    <xf numFmtId="165" fontId="4" fillId="0" borderId="0" xfId="2" applyNumberFormat="1" applyFont="1"/>
    <xf numFmtId="165" fontId="11" fillId="0" borderId="0" xfId="2" applyNumberFormat="1"/>
    <xf numFmtId="165" fontId="21" fillId="0" borderId="0" xfId="2" applyNumberFormat="1" applyFont="1"/>
    <xf numFmtId="165" fontId="14" fillId="0" borderId="0" xfId="2" applyNumberFormat="1" applyFont="1" applyAlignment="1">
      <alignment horizontal="left"/>
    </xf>
    <xf numFmtId="165" fontId="17" fillId="2" borderId="0" xfId="2" applyNumberFormat="1" applyFont="1" applyFill="1" applyAlignment="1">
      <alignment horizontal="center"/>
    </xf>
    <xf numFmtId="165" fontId="11" fillId="2" borderId="0" xfId="2" applyNumberFormat="1" applyFill="1"/>
    <xf numFmtId="165" fontId="26" fillId="0" borderId="0" xfId="2" applyNumberFormat="1" applyFont="1" applyAlignment="1">
      <alignment horizontal="center"/>
    </xf>
    <xf numFmtId="165" fontId="17" fillId="0" borderId="0" xfId="2" applyNumberFormat="1" applyFont="1" applyAlignment="1">
      <alignment horizontal="center"/>
    </xf>
    <xf numFmtId="165" fontId="24" fillId="0" borderId="0" xfId="2" applyNumberFormat="1" applyFont="1"/>
    <xf numFmtId="0" fontId="0" fillId="37" borderId="26" xfId="0" applyFill="1" applyBorder="1"/>
    <xf numFmtId="0" fontId="0" fillId="37" borderId="5" xfId="0" applyFill="1" applyBorder="1"/>
    <xf numFmtId="0" fontId="0" fillId="37" borderId="27" xfId="0" applyFill="1" applyBorder="1"/>
    <xf numFmtId="0" fontId="0" fillId="37" borderId="28" xfId="0" applyFill="1" applyBorder="1"/>
    <xf numFmtId="0" fontId="0" fillId="37" borderId="29" xfId="0" applyFill="1" applyBorder="1"/>
    <xf numFmtId="0" fontId="11" fillId="37" borderId="29" xfId="0" applyFont="1" applyFill="1" applyBorder="1"/>
    <xf numFmtId="0" fontId="4" fillId="0" borderId="5" xfId="2" applyFont="1" applyBorder="1"/>
    <xf numFmtId="0" fontId="11" fillId="37" borderId="5" xfId="0" applyFont="1" applyFill="1" applyBorder="1"/>
    <xf numFmtId="0" fontId="76" fillId="38" borderId="0" xfId="0" applyFont="1" applyFill="1"/>
    <xf numFmtId="0" fontId="0" fillId="38" borderId="3" xfId="0" applyFill="1" applyBorder="1"/>
    <xf numFmtId="165" fontId="0" fillId="39" borderId="5" xfId="0" applyNumberFormat="1" applyFill="1" applyBorder="1"/>
    <xf numFmtId="0" fontId="53" fillId="4" borderId="0" xfId="2" applyFont="1" applyFill="1" applyAlignment="1">
      <alignment horizontal="left"/>
    </xf>
    <xf numFmtId="0" fontId="15" fillId="0" borderId="0" xfId="1" applyFont="1" applyAlignment="1">
      <alignment horizontal="center"/>
    </xf>
    <xf numFmtId="0" fontId="51" fillId="0" borderId="0" xfId="2" applyFont="1" applyAlignment="1">
      <alignment horizontal="left"/>
    </xf>
    <xf numFmtId="0" fontId="15" fillId="3" borderId="0" xfId="2" applyFont="1" applyFill="1" applyAlignment="1">
      <alignment horizontal="left"/>
    </xf>
    <xf numFmtId="0" fontId="23" fillId="0" borderId="23" xfId="1" applyFont="1" applyBorder="1" applyAlignment="1">
      <alignment horizontal="left"/>
    </xf>
    <xf numFmtId="0" fontId="19" fillId="0" borderId="0" xfId="1" applyFont="1" applyAlignment="1">
      <alignment horizontal="left"/>
    </xf>
    <xf numFmtId="0" fontId="23" fillId="0" borderId="24" xfId="2" applyFont="1" applyBorder="1" applyAlignment="1">
      <alignment horizontal="center" vertical="center"/>
    </xf>
    <xf numFmtId="0" fontId="23" fillId="0" borderId="0" xfId="2" applyFont="1" applyAlignment="1">
      <alignment horizontal="center" vertical="center"/>
    </xf>
    <xf numFmtId="0" fontId="79" fillId="0" borderId="0" xfId="2" applyFont="1" applyAlignment="1">
      <alignment horizontal="center" vertical="center"/>
    </xf>
    <xf numFmtId="0" fontId="23" fillId="0" borderId="0" xfId="2" applyFont="1" applyAlignment="1">
      <alignment horizontal="center"/>
    </xf>
    <xf numFmtId="0" fontId="79" fillId="0" borderId="0" xfId="2" applyFont="1" applyAlignment="1">
      <alignment horizontal="center"/>
    </xf>
    <xf numFmtId="0" fontId="22" fillId="0" borderId="0" xfId="2" applyFont="1" applyAlignment="1">
      <alignment horizontal="center"/>
    </xf>
    <xf numFmtId="0" fontId="79" fillId="0" borderId="0" xfId="2" applyFont="1" applyAlignment="1">
      <alignment horizontal="center" vertical="center" wrapText="1"/>
    </xf>
    <xf numFmtId="0" fontId="24" fillId="0" borderId="0" xfId="2" applyFont="1" applyAlignment="1">
      <alignment horizontal="center"/>
    </xf>
    <xf numFmtId="0" fontId="24" fillId="0" borderId="0" xfId="2" applyFont="1" applyAlignment="1">
      <alignment horizontal="left"/>
    </xf>
    <xf numFmtId="0" fontId="26" fillId="0" borderId="0" xfId="2" applyFont="1" applyAlignment="1">
      <alignment horizontal="center"/>
    </xf>
    <xf numFmtId="0" fontId="47" fillId="0" borderId="0" xfId="2" applyFont="1" applyAlignment="1">
      <alignment horizontal="center" vertical="center"/>
    </xf>
    <xf numFmtId="0" fontId="23" fillId="0" borderId="23" xfId="2" applyFont="1" applyBorder="1" applyAlignment="1">
      <alignment horizontal="left"/>
    </xf>
    <xf numFmtId="14" fontId="23" fillId="0" borderId="23" xfId="1" applyNumberFormat="1" applyFont="1" applyBorder="1" applyAlignment="1">
      <alignment horizontal="left"/>
    </xf>
    <xf numFmtId="0" fontId="13" fillId="0" borderId="0" xfId="2" applyFont="1" applyAlignment="1">
      <alignment horizontal="left"/>
    </xf>
    <xf numFmtId="0" fontId="45" fillId="0" borderId="0" xfId="2" applyFont="1" applyAlignment="1">
      <alignment vertical="center"/>
    </xf>
    <xf numFmtId="0" fontId="47" fillId="0" borderId="0" xfId="2" applyFont="1" applyAlignment="1">
      <alignment horizontal="left" vertical="center"/>
    </xf>
    <xf numFmtId="0" fontId="28" fillId="0" borderId="0" xfId="2" applyFont="1" applyAlignment="1">
      <alignment horizontal="center"/>
    </xf>
    <xf numFmtId="0" fontId="45" fillId="0" borderId="0" xfId="2" applyFont="1"/>
    <xf numFmtId="165" fontId="24" fillId="0" borderId="0" xfId="2" applyNumberFormat="1" applyFont="1" applyAlignment="1">
      <alignment horizontal="left"/>
    </xf>
    <xf numFmtId="0" fontId="45" fillId="0" borderId="0" xfId="2" applyFont="1" applyAlignment="1">
      <alignment horizontal="center" vertical="center"/>
    </xf>
    <xf numFmtId="0" fontId="117" fillId="0" borderId="0" xfId="2" applyFont="1" applyAlignment="1">
      <alignment horizontal="center"/>
    </xf>
    <xf numFmtId="0" fontId="36" fillId="0" borderId="4" xfId="1" applyFont="1" applyBorder="1" applyAlignment="1">
      <alignment horizontal="left" vertical="center"/>
    </xf>
    <xf numFmtId="0" fontId="8" fillId="0" borderId="0" xfId="2" applyFont="1" applyAlignment="1">
      <alignment horizontal="left" vertical="center"/>
    </xf>
    <xf numFmtId="0" fontId="15" fillId="0" borderId="0" xfId="1" applyFont="1" applyAlignment="1">
      <alignment horizontal="left"/>
    </xf>
    <xf numFmtId="0" fontId="15" fillId="0" borderId="0" xfId="2" applyFont="1" applyAlignment="1">
      <alignment horizontal="left"/>
    </xf>
    <xf numFmtId="14" fontId="15" fillId="0" borderId="3" xfId="2" applyNumberFormat="1" applyFont="1" applyBorder="1" applyAlignment="1">
      <alignment horizontal="right"/>
    </xf>
    <xf numFmtId="0" fontId="15" fillId="0" borderId="3" xfId="2" applyFont="1" applyBorder="1" applyAlignment="1">
      <alignment horizontal="right"/>
    </xf>
    <xf numFmtId="0" fontId="52" fillId="5" borderId="0" xfId="2" applyFont="1" applyFill="1" applyAlignment="1">
      <alignment horizontal="center" vertical="center"/>
    </xf>
    <xf numFmtId="0" fontId="15" fillId="0" borderId="3" xfId="1" applyFont="1" applyBorder="1" applyAlignment="1">
      <alignment horizontal="center"/>
    </xf>
    <xf numFmtId="0" fontId="11" fillId="0" borderId="0" xfId="2" applyAlignment="1">
      <alignment horizontal="center"/>
    </xf>
    <xf numFmtId="0" fontId="22" fillId="0" borderId="0" xfId="2" applyFont="1" applyAlignment="1">
      <alignment horizontal="left"/>
    </xf>
    <xf numFmtId="165" fontId="24" fillId="0" borderId="0" xfId="2" applyNumberFormat="1" applyFont="1" applyAlignment="1">
      <alignment horizontal="center"/>
    </xf>
    <xf numFmtId="0" fontId="4" fillId="0" borderId="0" xfId="2" applyFont="1" applyAlignment="1">
      <alignment horizontal="center"/>
    </xf>
    <xf numFmtId="0" fontId="7" fillId="0" borderId="0" xfId="2" applyFont="1" applyAlignment="1">
      <alignment horizontal="center" vertical="center"/>
    </xf>
    <xf numFmtId="166" fontId="24" fillId="0" borderId="0" xfId="45" applyNumberFormat="1" applyFont="1" applyAlignment="1">
      <alignment horizontal="left"/>
    </xf>
    <xf numFmtId="0" fontId="13" fillId="0" borderId="0" xfId="2" applyFont="1" applyAlignment="1">
      <alignment horizontal="right"/>
    </xf>
    <xf numFmtId="1" fontId="24" fillId="0" borderId="0" xfId="2" applyNumberFormat="1" applyFont="1" applyAlignment="1">
      <alignment horizontal="left"/>
    </xf>
    <xf numFmtId="164" fontId="24" fillId="0" borderId="0" xfId="2" applyNumberFormat="1" applyFont="1" applyAlignment="1">
      <alignment horizontal="center"/>
    </xf>
    <xf numFmtId="0" fontId="13" fillId="0" borderId="0" xfId="2" applyFont="1" applyAlignment="1">
      <alignment horizontal="center"/>
    </xf>
    <xf numFmtId="0" fontId="54" fillId="0" borderId="0" xfId="2" applyFont="1" applyAlignment="1">
      <alignment horizontal="left"/>
    </xf>
    <xf numFmtId="14" fontId="54" fillId="0" borderId="0" xfId="2" applyNumberFormat="1" applyFont="1" applyAlignment="1">
      <alignment horizontal="left"/>
    </xf>
    <xf numFmtId="0" fontId="11" fillId="0" borderId="3" xfId="0" applyFont="1" applyBorder="1" applyAlignment="1">
      <alignment horizontal="center"/>
    </xf>
    <xf numFmtId="0" fontId="0" fillId="0" borderId="3" xfId="0" applyBorder="1" applyAlignment="1">
      <alignment horizontal="center"/>
    </xf>
    <xf numFmtId="0" fontId="113" fillId="0" borderId="0" xfId="0" applyFont="1" applyAlignment="1">
      <alignment horizontal="left" wrapText="1"/>
    </xf>
    <xf numFmtId="0" fontId="113" fillId="0" borderId="10" xfId="0" applyFont="1" applyBorder="1" applyAlignment="1">
      <alignment horizontal="left" wrapText="1"/>
    </xf>
    <xf numFmtId="0" fontId="43" fillId="0" borderId="9" xfId="0" applyFont="1" applyBorder="1" applyAlignment="1">
      <alignment horizontal="center" wrapText="1"/>
    </xf>
    <xf numFmtId="0" fontId="43" fillId="0" borderId="0" xfId="0" applyFont="1" applyAlignment="1">
      <alignment horizontal="center" wrapText="1"/>
    </xf>
    <xf numFmtId="0" fontId="43" fillId="0" borderId="10" xfId="0" applyFont="1" applyBorder="1" applyAlignment="1">
      <alignment horizontal="center" wrapText="1"/>
    </xf>
    <xf numFmtId="0" fontId="40" fillId="0" borderId="0" xfId="0" applyFont="1" applyAlignment="1">
      <alignment horizontal="left" wrapText="1"/>
    </xf>
    <xf numFmtId="0" fontId="44" fillId="0" borderId="0" xfId="0" applyFont="1" applyAlignment="1">
      <alignment horizontal="right" vertical="center"/>
    </xf>
    <xf numFmtId="0" fontId="41" fillId="0" borderId="0" xfId="0" applyFont="1" applyAlignment="1">
      <alignment horizontal="left" vertical="top" wrapText="1"/>
    </xf>
    <xf numFmtId="0" fontId="42" fillId="0" borderId="0" xfId="0" applyFont="1" applyAlignment="1">
      <alignment horizontal="center" wrapText="1"/>
    </xf>
    <xf numFmtId="0" fontId="38" fillId="0" borderId="0" xfId="0" applyFont="1" applyAlignment="1">
      <alignment horizontal="center" wrapText="1"/>
    </xf>
    <xf numFmtId="0" fontId="39" fillId="0" borderId="0" xfId="0" applyFont="1" applyAlignment="1">
      <alignment horizontal="left" vertical="top" wrapText="1"/>
    </xf>
    <xf numFmtId="0" fontId="64" fillId="0" borderId="0" xfId="2" applyFont="1" applyAlignment="1">
      <alignment horizontal="left" vertical="top" wrapText="1"/>
    </xf>
    <xf numFmtId="0" fontId="65" fillId="0" borderId="0" xfId="2" applyFont="1" applyAlignment="1">
      <alignment horizontal="left" vertical="top" wrapText="1"/>
    </xf>
    <xf numFmtId="0" fontId="70" fillId="0" borderId="0" xfId="2" applyFont="1" applyAlignment="1">
      <alignment horizontal="left" vertical="top" wrapText="1"/>
    </xf>
    <xf numFmtId="0" fontId="73" fillId="0" borderId="0" xfId="2" applyFont="1" applyAlignment="1">
      <alignment horizontal="left" vertical="top" wrapText="1"/>
    </xf>
    <xf numFmtId="0" fontId="66" fillId="0" borderId="0" xfId="2" applyFont="1" applyAlignment="1">
      <alignment horizontal="left" vertical="top" wrapText="1"/>
    </xf>
    <xf numFmtId="0" fontId="74" fillId="0" borderId="0" xfId="2" applyFont="1" applyAlignment="1">
      <alignment horizontal="left" vertical="top" wrapText="1"/>
    </xf>
    <xf numFmtId="0" fontId="76" fillId="0" borderId="0" xfId="2" applyFont="1" applyAlignment="1">
      <alignment horizontal="center" vertical="center" wrapText="1"/>
    </xf>
    <xf numFmtId="0" fontId="114" fillId="0" borderId="0" xfId="2" applyFont="1" applyAlignment="1">
      <alignment horizontal="left" vertical="top" wrapText="1"/>
    </xf>
    <xf numFmtId="0" fontId="54" fillId="0" borderId="0" xfId="2" applyFont="1" applyAlignment="1">
      <alignment horizontal="left" vertical="top" wrapText="1"/>
    </xf>
    <xf numFmtId="0" fontId="65" fillId="0" borderId="0" xfId="2" applyFont="1" applyAlignment="1">
      <alignment horizontal="left" vertical="center"/>
    </xf>
    <xf numFmtId="0" fontId="65" fillId="0" borderId="0" xfId="2" applyFont="1" applyAlignment="1">
      <alignment vertical="top" wrapText="1"/>
    </xf>
    <xf numFmtId="0" fontId="32" fillId="0" borderId="0" xfId="2" applyFont="1" applyAlignment="1">
      <alignment horizontal="left" vertical="top" wrapText="1"/>
    </xf>
    <xf numFmtId="0" fontId="83" fillId="0" borderId="0" xfId="2" applyFont="1" applyAlignment="1">
      <alignment horizontal="left" vertical="top" wrapText="1"/>
    </xf>
    <xf numFmtId="0" fontId="65" fillId="0" borderId="0" xfId="2" applyFont="1" applyAlignment="1">
      <alignment horizontal="left" vertical="center" wrapText="1"/>
    </xf>
    <xf numFmtId="0" fontId="84" fillId="0" borderId="0" xfId="2" applyFont="1" applyAlignment="1">
      <alignment horizontal="left" vertical="center" wrapText="1"/>
    </xf>
    <xf numFmtId="0" fontId="68" fillId="0" borderId="0" xfId="2" applyFont="1" applyAlignment="1">
      <alignment horizontal="left" vertical="top" wrapText="1"/>
    </xf>
    <xf numFmtId="0" fontId="32" fillId="0" borderId="0" xfId="2" applyFont="1" applyAlignment="1">
      <alignment horizontal="left" vertical="center" wrapText="1"/>
    </xf>
    <xf numFmtId="0" fontId="64" fillId="0" borderId="0" xfId="2" applyFont="1" applyAlignment="1">
      <alignment horizontal="left" vertical="center" wrapText="1"/>
    </xf>
    <xf numFmtId="0" fontId="35" fillId="0" borderId="0" xfId="2" applyFont="1" applyAlignment="1">
      <alignment horizontal="left" vertical="top" wrapText="1"/>
    </xf>
    <xf numFmtId="0" fontId="54" fillId="0" borderId="0" xfId="2" applyFont="1" applyAlignment="1">
      <alignment horizontal="left" vertical="center" wrapText="1"/>
    </xf>
    <xf numFmtId="0" fontId="30" fillId="0" borderId="0" xfId="2" applyFont="1" applyAlignment="1">
      <alignment horizontal="left" vertical="top" wrapText="1"/>
    </xf>
    <xf numFmtId="0" fontId="37" fillId="0" borderId="0" xfId="2" applyFont="1" applyAlignment="1">
      <alignment horizontal="center" vertical="center" wrapText="1"/>
    </xf>
    <xf numFmtId="0" fontId="80" fillId="0" borderId="0" xfId="2" applyFont="1" applyAlignment="1">
      <alignment horizontal="left" vertical="top" wrapText="1"/>
    </xf>
    <xf numFmtId="0" fontId="54" fillId="0" borderId="0" xfId="2" applyFont="1" applyAlignment="1">
      <alignment horizontal="left" wrapText="1"/>
    </xf>
    <xf numFmtId="0" fontId="33" fillId="0" borderId="0" xfId="2" applyFont="1" applyAlignment="1">
      <alignment horizontal="left" vertical="top" wrapText="1"/>
    </xf>
    <xf numFmtId="0" fontId="33" fillId="0" borderId="0" xfId="2" applyFont="1" applyAlignment="1">
      <alignment horizontal="left" vertical="center" wrapText="1"/>
    </xf>
    <xf numFmtId="0" fontId="39" fillId="0" borderId="0" xfId="2" applyFont="1" applyAlignment="1">
      <alignment horizontal="left" vertical="top" wrapText="1"/>
    </xf>
    <xf numFmtId="0" fontId="39" fillId="0" borderId="0" xfId="2" applyFont="1" applyAlignment="1">
      <alignment horizontal="left" vertical="center" wrapText="1"/>
    </xf>
  </cellXfs>
  <cellStyles count="46">
    <cellStyle name="20% - Colore 1" xfId="19" builtinId="30" customBuiltin="1"/>
    <cellStyle name="20% - Colore 2" xfId="22" builtinId="34" customBuiltin="1"/>
    <cellStyle name="20% - Colore 3" xfId="25" builtinId="38" customBuiltin="1"/>
    <cellStyle name="20% - Colore 4" xfId="28" builtinId="42" customBuiltin="1"/>
    <cellStyle name="20% - Colore 5" xfId="31" builtinId="46" customBuiltin="1"/>
    <cellStyle name="20% - Colore 6" xfId="34" builtinId="50" customBuiltin="1"/>
    <cellStyle name="40% - Colore 1" xfId="20" builtinId="31" customBuiltin="1"/>
    <cellStyle name="40% - Colore 2" xfId="23" builtinId="35" customBuiltin="1"/>
    <cellStyle name="40% - Colore 3" xfId="26" builtinId="39" customBuiltin="1"/>
    <cellStyle name="40% - Colore 4" xfId="29" builtinId="43" customBuiltin="1"/>
    <cellStyle name="40% - Colore 5" xfId="32" builtinId="47" customBuiltin="1"/>
    <cellStyle name="40% - Colore 6" xfId="35" builtinId="51" customBuiltin="1"/>
    <cellStyle name="60% - Colore 1 2" xfId="39" xr:uid="{00000000-0005-0000-0000-00000C000000}"/>
    <cellStyle name="60% - Colore 2 2" xfId="40" xr:uid="{00000000-0005-0000-0000-00000D000000}"/>
    <cellStyle name="60% - Colore 3 2" xfId="41" xr:uid="{00000000-0005-0000-0000-00000E000000}"/>
    <cellStyle name="60% - Colore 4 2" xfId="42" xr:uid="{00000000-0005-0000-0000-00000F000000}"/>
    <cellStyle name="60% - Colore 5 2" xfId="43" xr:uid="{00000000-0005-0000-0000-000010000000}"/>
    <cellStyle name="60% - Colore 6 2" xfId="44" xr:uid="{00000000-0005-0000-0000-000011000000}"/>
    <cellStyle name="Calcolo" xfId="12" builtinId="22" customBuiltin="1"/>
    <cellStyle name="Cella collegata" xfId="13" builtinId="24" customBuiltin="1"/>
    <cellStyle name="Cella da controllare" xfId="14" builtinId="23" customBuiltin="1"/>
    <cellStyle name="Colore 1" xfId="18" builtinId="29" customBuiltin="1"/>
    <cellStyle name="Colore 2" xfId="21" builtinId="33" customBuiltin="1"/>
    <cellStyle name="Colore 3" xfId="24" builtinId="37" customBuiltin="1"/>
    <cellStyle name="Colore 4" xfId="27" builtinId="41" customBuiltin="1"/>
    <cellStyle name="Colore 5" xfId="30" builtinId="45" customBuiltin="1"/>
    <cellStyle name="Colore 6" xfId="33" builtinId="49" customBuiltin="1"/>
    <cellStyle name="Input" xfId="10" builtinId="20" customBuiltin="1"/>
    <cellStyle name="Migliaia" xfId="45" builtinId="3"/>
    <cellStyle name="Neutrale 2" xfId="37" xr:uid="{00000000-0005-0000-0000-00001D000000}"/>
    <cellStyle name="Normale" xfId="0" builtinId="0"/>
    <cellStyle name="Normale 2" xfId="2" xr:uid="{00000000-0005-0000-0000-00001F000000}"/>
    <cellStyle name="Normale 3" xfId="36" xr:uid="{00000000-0005-0000-0000-000020000000}"/>
    <cellStyle name="Normale_Montebello (20.10.03)" xfId="1" xr:uid="{00000000-0005-0000-0000-000021000000}"/>
    <cellStyle name="Nota 2" xfId="38" xr:uid="{00000000-0005-0000-0000-000022000000}"/>
    <cellStyle name="Output" xfId="11" builtinId="21" customBuiltin="1"/>
    <cellStyle name="Testo avviso" xfId="15" builtinId="11" customBuiltin="1"/>
    <cellStyle name="Testo descrittivo" xfId="16" builtinId="53" customBuiltin="1"/>
    <cellStyle name="Titolo" xfId="3" builtinId="15" customBuiltin="1"/>
    <cellStyle name="Titolo 1" xfId="4" builtinId="16" customBuiltin="1"/>
    <cellStyle name="Titolo 2" xfId="5" builtinId="17" customBuiltin="1"/>
    <cellStyle name="Titolo 3" xfId="6" builtinId="18" customBuiltin="1"/>
    <cellStyle name="Titolo 4" xfId="7" builtinId="19" customBuiltin="1"/>
    <cellStyle name="Totale" xfId="17" builtinId="25" customBuiltin="1"/>
    <cellStyle name="Valore non valido" xfId="9" builtinId="27" customBuiltin="1"/>
    <cellStyle name="Valore valido" xfId="8" builtinId="26" customBuiltin="1"/>
  </cellStyles>
  <dxfs count="0"/>
  <tableStyles count="0" defaultTableStyle="TableStyleMedium2" defaultPivotStyle="PivotStyleLight16"/>
  <colors>
    <mruColors>
      <color rgb="FF00FF00"/>
      <color rgb="FFBEECE5"/>
      <color rgb="FF0000FF"/>
      <color rgb="FFFF6699"/>
      <color rgb="FFFFFF4B"/>
      <color rgb="FFFF9B9B"/>
      <color rgb="FFFFFF47"/>
      <color rgb="FFACEC98"/>
      <color rgb="FFE0F8D8"/>
      <color rgb="FFC4F9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965-4156-AF65-868F9A9566B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9EBD3D8B-E2A9-47B0-8A85-6ADB85FD3006}"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965-4156-AF65-868F9A9566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Riferimenti!$N$13</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Base!$S$83</c15:f>
                <c15:dlblRangeCache>
                  <c:ptCount val="1"/>
                </c15:dlblRangeCache>
              </c15:datalabelsRange>
            </c:ext>
            <c:ext xmlns:c16="http://schemas.microsoft.com/office/drawing/2014/chart" uri="{C3380CC4-5D6E-409C-BE32-E72D297353CC}">
              <c16:uniqueId val="{00000001-6965-4156-AF65-868F9A9566B2}"/>
            </c:ext>
          </c:extLst>
        </c:ser>
        <c:dLbls>
          <c:showLegendKey val="0"/>
          <c:showVal val="0"/>
          <c:showCatName val="0"/>
          <c:showSerName val="0"/>
          <c:showPercent val="0"/>
          <c:showBubbleSize val="0"/>
        </c:dLbls>
        <c:axId val="-287845488"/>
        <c:axId val="-288955040"/>
      </c:scatterChart>
      <c:valAx>
        <c:axId val="-28784548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288955040"/>
        <c:crosses val="autoZero"/>
        <c:crossBetween val="midCat"/>
        <c:majorUnit val="3.4"/>
      </c:valAx>
      <c:valAx>
        <c:axId val="-288955040"/>
        <c:scaling>
          <c:orientation val="minMax"/>
          <c:max val="1"/>
          <c:min val="-1"/>
        </c:scaling>
        <c:delete val="1"/>
        <c:axPos val="l"/>
        <c:numFmt formatCode="General" sourceLinked="1"/>
        <c:majorTickMark val="none"/>
        <c:minorTickMark val="none"/>
        <c:tickLblPos val="nextTo"/>
        <c:crossAx val="-28784548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C0E1-4253-9DC1-7F381DAB920D}"/>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7766C21B-71B8-4233-B205-F6D8EC41CCF5}"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C0E1-4253-9DC1-7F381DAB92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Riferimenti!$N$14</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Base!$S$90</c15:f>
                <c15:dlblRangeCache>
                  <c:ptCount val="1"/>
                </c15:dlblRangeCache>
              </c15:datalabelsRange>
            </c:ext>
            <c:ext xmlns:c16="http://schemas.microsoft.com/office/drawing/2014/chart" uri="{C3380CC4-5D6E-409C-BE32-E72D297353CC}">
              <c16:uniqueId val="{00000001-C0E1-4253-9DC1-7F381DAB920D}"/>
            </c:ext>
          </c:extLst>
        </c:ser>
        <c:dLbls>
          <c:showLegendKey val="0"/>
          <c:showVal val="0"/>
          <c:showCatName val="0"/>
          <c:showSerName val="0"/>
          <c:showPercent val="0"/>
          <c:showBubbleSize val="0"/>
        </c:dLbls>
        <c:axId val="-85075088"/>
        <c:axId val="-85070192"/>
      </c:scatterChart>
      <c:valAx>
        <c:axId val="-8507508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70192"/>
        <c:crosses val="autoZero"/>
        <c:crossBetween val="midCat"/>
        <c:majorUnit val="3.4"/>
      </c:valAx>
      <c:valAx>
        <c:axId val="-85070192"/>
        <c:scaling>
          <c:orientation val="minMax"/>
          <c:max val="1"/>
          <c:min val="-1"/>
        </c:scaling>
        <c:delete val="1"/>
        <c:axPos val="l"/>
        <c:numFmt formatCode="General" sourceLinked="1"/>
        <c:majorTickMark val="none"/>
        <c:minorTickMark val="none"/>
        <c:tickLblPos val="nextTo"/>
        <c:crossAx val="-8507508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C31-4E79-86B2-FFFB6BDDF7E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AC76A9B-A75D-4824-A6AD-ABF391970F4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C31-4E79-86B2-FFFB6BDDF7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Riferimenti!$N$15</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Base!$S$95</c15:f>
                <c15:dlblRangeCache>
                  <c:ptCount val="1"/>
                </c15:dlblRangeCache>
              </c15:datalabelsRange>
            </c:ext>
            <c:ext xmlns:c16="http://schemas.microsoft.com/office/drawing/2014/chart" uri="{C3380CC4-5D6E-409C-BE32-E72D297353CC}">
              <c16:uniqueId val="{00000001-4C31-4E79-86B2-FFFB6BDDF7E0}"/>
            </c:ext>
          </c:extLst>
        </c:ser>
        <c:dLbls>
          <c:showLegendKey val="0"/>
          <c:showVal val="0"/>
          <c:showCatName val="0"/>
          <c:showSerName val="0"/>
          <c:showPercent val="0"/>
          <c:showBubbleSize val="0"/>
        </c:dLbls>
        <c:axId val="-85068016"/>
        <c:axId val="-85069648"/>
      </c:scatterChart>
      <c:valAx>
        <c:axId val="-8506801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69648"/>
        <c:crosses val="autoZero"/>
        <c:crossBetween val="midCat"/>
        <c:majorUnit val="3.4"/>
      </c:valAx>
      <c:valAx>
        <c:axId val="-85069648"/>
        <c:scaling>
          <c:orientation val="minMax"/>
          <c:max val="1"/>
          <c:min val="-1"/>
        </c:scaling>
        <c:delete val="1"/>
        <c:axPos val="l"/>
        <c:numFmt formatCode="General" sourceLinked="1"/>
        <c:majorTickMark val="none"/>
        <c:minorTickMark val="none"/>
        <c:tickLblPos val="nextTo"/>
        <c:crossAx val="-8506801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552-44AC-94AD-10EAC2838B6A}"/>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DECB1B3-F909-43F7-8BDC-88317FA0E1EE}"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552-44AC-94AD-10EAC2838B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Riferimenti!$N$16</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Base!$S$100</c15:f>
                <c15:dlblRangeCache>
                  <c:ptCount val="1"/>
                </c15:dlblRangeCache>
              </c15:datalabelsRange>
            </c:ext>
            <c:ext xmlns:c16="http://schemas.microsoft.com/office/drawing/2014/chart" uri="{C3380CC4-5D6E-409C-BE32-E72D297353CC}">
              <c16:uniqueId val="{00000001-0552-44AC-94AD-10EAC2838B6A}"/>
            </c:ext>
          </c:extLst>
        </c:ser>
        <c:dLbls>
          <c:showLegendKey val="0"/>
          <c:showVal val="0"/>
          <c:showCatName val="0"/>
          <c:showSerName val="0"/>
          <c:showPercent val="0"/>
          <c:showBubbleSize val="0"/>
        </c:dLbls>
        <c:axId val="-85074544"/>
        <c:axId val="-85068560"/>
      </c:scatterChart>
      <c:valAx>
        <c:axId val="-8507454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68560"/>
        <c:crosses val="autoZero"/>
        <c:crossBetween val="midCat"/>
        <c:majorUnit val="3.4"/>
      </c:valAx>
      <c:valAx>
        <c:axId val="-85068560"/>
        <c:scaling>
          <c:orientation val="minMax"/>
          <c:max val="1"/>
          <c:min val="-1"/>
        </c:scaling>
        <c:delete val="1"/>
        <c:axPos val="l"/>
        <c:numFmt formatCode="General" sourceLinked="1"/>
        <c:majorTickMark val="none"/>
        <c:minorTickMark val="none"/>
        <c:tickLblPos val="nextTo"/>
        <c:crossAx val="-8507454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8B1-4736-AA07-EE2EA02D52E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EF93BDC-6448-4C0E-A1D4-B1026BA0359F}"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8B1-4736-AA07-EE2EA02D52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Riferimenti!$N$17</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Base!$S$115</c15:f>
                <c15:dlblRangeCache>
                  <c:ptCount val="1"/>
                </c15:dlblRangeCache>
              </c15:datalabelsRange>
            </c:ext>
            <c:ext xmlns:c16="http://schemas.microsoft.com/office/drawing/2014/chart" uri="{C3380CC4-5D6E-409C-BE32-E72D297353CC}">
              <c16:uniqueId val="{00000001-78B1-4736-AA07-EE2EA02D52E1}"/>
            </c:ext>
          </c:extLst>
        </c:ser>
        <c:dLbls>
          <c:showLegendKey val="0"/>
          <c:showVal val="0"/>
          <c:showCatName val="0"/>
          <c:showSerName val="0"/>
          <c:showPercent val="0"/>
          <c:showBubbleSize val="0"/>
        </c:dLbls>
        <c:axId val="-85074000"/>
        <c:axId val="-85071824"/>
      </c:scatterChart>
      <c:valAx>
        <c:axId val="-8507400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71824"/>
        <c:crosses val="autoZero"/>
        <c:crossBetween val="midCat"/>
        <c:majorUnit val="3.4"/>
      </c:valAx>
      <c:valAx>
        <c:axId val="-85071824"/>
        <c:scaling>
          <c:orientation val="minMax"/>
          <c:max val="1"/>
          <c:min val="-1"/>
        </c:scaling>
        <c:delete val="1"/>
        <c:axPos val="l"/>
        <c:numFmt formatCode="General" sourceLinked="1"/>
        <c:majorTickMark val="none"/>
        <c:minorTickMark val="none"/>
        <c:tickLblPos val="nextTo"/>
        <c:crossAx val="-8507400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A683-46CA-8C5A-DCD1612CE6E3}"/>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BE36C55-F6D9-4CD9-A67D-47949D3B06A3}"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A683-46CA-8C5A-DCD1612CE6E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Riferimenti!$N$18</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Base!$S$120</c15:f>
                <c15:dlblRangeCache>
                  <c:ptCount val="1"/>
                </c15:dlblRangeCache>
              </c15:datalabelsRange>
            </c:ext>
            <c:ext xmlns:c16="http://schemas.microsoft.com/office/drawing/2014/chart" uri="{C3380CC4-5D6E-409C-BE32-E72D297353CC}">
              <c16:uniqueId val="{00000001-A683-46CA-8C5A-DCD1612CE6E3}"/>
            </c:ext>
          </c:extLst>
        </c:ser>
        <c:dLbls>
          <c:showLegendKey val="0"/>
          <c:showVal val="0"/>
          <c:showCatName val="0"/>
          <c:showSerName val="0"/>
          <c:showPercent val="0"/>
          <c:showBubbleSize val="0"/>
        </c:dLbls>
        <c:axId val="-85069104"/>
        <c:axId val="-85075632"/>
      </c:scatterChart>
      <c:valAx>
        <c:axId val="-850691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75632"/>
        <c:crosses val="autoZero"/>
        <c:crossBetween val="midCat"/>
        <c:majorUnit val="3.4"/>
      </c:valAx>
      <c:valAx>
        <c:axId val="-85075632"/>
        <c:scaling>
          <c:orientation val="minMax"/>
          <c:max val="1"/>
          <c:min val="-1"/>
        </c:scaling>
        <c:delete val="1"/>
        <c:axPos val="l"/>
        <c:numFmt formatCode="General" sourceLinked="1"/>
        <c:majorTickMark val="none"/>
        <c:minorTickMark val="none"/>
        <c:tickLblPos val="nextTo"/>
        <c:crossAx val="-850691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896-4DD0-B157-45C9E705EAE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DF775EEA-8C16-43D7-8253-8A49DC46B97F}"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896-4DD0-B157-45C9E705EA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Riferimenti!$N$19</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Base!$S$125</c15:f>
                <c15:dlblRangeCache>
                  <c:ptCount val="1"/>
                </c15:dlblRangeCache>
              </c15:datalabelsRange>
            </c:ext>
            <c:ext xmlns:c16="http://schemas.microsoft.com/office/drawing/2014/chart" uri="{C3380CC4-5D6E-409C-BE32-E72D297353CC}">
              <c16:uniqueId val="{00000001-4896-4DD0-B157-45C9E705EAE8}"/>
            </c:ext>
          </c:extLst>
        </c:ser>
        <c:dLbls>
          <c:showLegendKey val="0"/>
          <c:showVal val="0"/>
          <c:showCatName val="0"/>
          <c:showSerName val="0"/>
          <c:showPercent val="0"/>
          <c:showBubbleSize val="0"/>
        </c:dLbls>
        <c:axId val="-85067472"/>
        <c:axId val="-85082704"/>
      </c:scatterChart>
      <c:valAx>
        <c:axId val="-8506747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82704"/>
        <c:crosses val="autoZero"/>
        <c:crossBetween val="midCat"/>
        <c:majorUnit val="3.4"/>
      </c:valAx>
      <c:valAx>
        <c:axId val="-85082704"/>
        <c:scaling>
          <c:orientation val="minMax"/>
          <c:max val="1"/>
          <c:min val="-1"/>
        </c:scaling>
        <c:delete val="1"/>
        <c:axPos val="l"/>
        <c:numFmt formatCode="General" sourceLinked="1"/>
        <c:majorTickMark val="none"/>
        <c:minorTickMark val="none"/>
        <c:tickLblPos val="nextTo"/>
        <c:crossAx val="-8506747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CE1-4A6D-99BD-CADB5B3EE58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368644B-AE78-411A-966D-9199404F53CB}"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CE1-4A6D-99BD-CADB5B3EE5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Riferimenti!$N$20</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Base!$S$130</c15:f>
                <c15:dlblRangeCache>
                  <c:ptCount val="1"/>
                </c15:dlblRangeCache>
              </c15:datalabelsRange>
            </c:ext>
            <c:ext xmlns:c16="http://schemas.microsoft.com/office/drawing/2014/chart" uri="{C3380CC4-5D6E-409C-BE32-E72D297353CC}">
              <c16:uniqueId val="{00000001-7CE1-4A6D-99BD-CADB5B3EE582}"/>
            </c:ext>
          </c:extLst>
        </c:ser>
        <c:dLbls>
          <c:showLegendKey val="0"/>
          <c:showVal val="0"/>
          <c:showCatName val="0"/>
          <c:showSerName val="0"/>
          <c:showPercent val="0"/>
          <c:showBubbleSize val="0"/>
        </c:dLbls>
        <c:axId val="-85076176"/>
        <c:axId val="-85081616"/>
      </c:scatterChart>
      <c:valAx>
        <c:axId val="-8507617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81616"/>
        <c:crosses val="autoZero"/>
        <c:crossBetween val="midCat"/>
        <c:majorUnit val="3.4"/>
      </c:valAx>
      <c:valAx>
        <c:axId val="-85081616"/>
        <c:scaling>
          <c:orientation val="minMax"/>
          <c:max val="1"/>
          <c:min val="-1"/>
        </c:scaling>
        <c:delete val="1"/>
        <c:axPos val="l"/>
        <c:numFmt formatCode="General" sourceLinked="1"/>
        <c:majorTickMark val="none"/>
        <c:minorTickMark val="none"/>
        <c:tickLblPos val="nextTo"/>
        <c:crossAx val="-8507617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262-402C-AE17-DA4FE46C08B4}"/>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E571C73F-D897-4AC1-96CE-49241044E95C}"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262-402C-AE17-DA4FE46C08B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Riferimenti!$N$21</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Base!$S$135</c15:f>
                <c15:dlblRangeCache>
                  <c:ptCount val="1"/>
                </c15:dlblRangeCache>
              </c15:datalabelsRange>
            </c:ext>
            <c:ext xmlns:c16="http://schemas.microsoft.com/office/drawing/2014/chart" uri="{C3380CC4-5D6E-409C-BE32-E72D297353CC}">
              <c16:uniqueId val="{00000001-3262-402C-AE17-DA4FE46C08B4}"/>
            </c:ext>
          </c:extLst>
        </c:ser>
        <c:dLbls>
          <c:showLegendKey val="0"/>
          <c:showVal val="0"/>
          <c:showCatName val="0"/>
          <c:showSerName val="0"/>
          <c:showPercent val="0"/>
          <c:showBubbleSize val="0"/>
        </c:dLbls>
        <c:axId val="-85073456"/>
        <c:axId val="-85082160"/>
      </c:scatterChart>
      <c:valAx>
        <c:axId val="-8507345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82160"/>
        <c:crosses val="autoZero"/>
        <c:crossBetween val="midCat"/>
        <c:majorUnit val="3.4"/>
      </c:valAx>
      <c:valAx>
        <c:axId val="-85082160"/>
        <c:scaling>
          <c:orientation val="minMax"/>
          <c:max val="1"/>
          <c:min val="-1"/>
        </c:scaling>
        <c:delete val="1"/>
        <c:axPos val="l"/>
        <c:numFmt formatCode="General" sourceLinked="1"/>
        <c:majorTickMark val="none"/>
        <c:minorTickMark val="none"/>
        <c:tickLblPos val="nextTo"/>
        <c:crossAx val="-8507345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5EC-4387-8137-E20A88DA8FF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7061ACE-9F96-4FAA-959B-F3D74B66A82D}"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5EC-4387-8137-E20A88DA8FF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Riferimenti!$N$22</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Base!$S$140</c15:f>
                <c15:dlblRangeCache>
                  <c:ptCount val="1"/>
                </c15:dlblRangeCache>
              </c15:datalabelsRange>
            </c:ext>
            <c:ext xmlns:c16="http://schemas.microsoft.com/office/drawing/2014/chart" uri="{C3380CC4-5D6E-409C-BE32-E72D297353CC}">
              <c16:uniqueId val="{00000001-25EC-4387-8137-E20A88DA8FF1}"/>
            </c:ext>
          </c:extLst>
        </c:ser>
        <c:dLbls>
          <c:showLegendKey val="0"/>
          <c:showVal val="0"/>
          <c:showCatName val="0"/>
          <c:showSerName val="0"/>
          <c:showPercent val="0"/>
          <c:showBubbleSize val="0"/>
        </c:dLbls>
        <c:axId val="-85081072"/>
        <c:axId val="-85072912"/>
      </c:scatterChart>
      <c:valAx>
        <c:axId val="-8508107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72912"/>
        <c:crosses val="autoZero"/>
        <c:crossBetween val="midCat"/>
        <c:majorUnit val="3.4"/>
      </c:valAx>
      <c:valAx>
        <c:axId val="-85072912"/>
        <c:scaling>
          <c:orientation val="minMax"/>
          <c:max val="1"/>
          <c:min val="-1"/>
        </c:scaling>
        <c:delete val="1"/>
        <c:axPos val="l"/>
        <c:numFmt formatCode="General" sourceLinked="1"/>
        <c:majorTickMark val="none"/>
        <c:minorTickMark val="none"/>
        <c:tickLblPos val="nextTo"/>
        <c:crossAx val="-8508107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986-42B7-A093-0C5BAF30B154}"/>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A9C0B05E-DAAD-42C7-9574-17628541E012}"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986-42B7-A093-0C5BAF30B15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Riferimenti!$N$23</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Base!$S$145</c15:f>
                <c15:dlblRangeCache>
                  <c:ptCount val="1"/>
                </c15:dlblRangeCache>
              </c15:datalabelsRange>
            </c:ext>
            <c:ext xmlns:c16="http://schemas.microsoft.com/office/drawing/2014/chart" uri="{C3380CC4-5D6E-409C-BE32-E72D297353CC}">
              <c16:uniqueId val="{00000001-3986-42B7-A093-0C5BAF30B154}"/>
            </c:ext>
          </c:extLst>
        </c:ser>
        <c:dLbls>
          <c:showLegendKey val="0"/>
          <c:showVal val="0"/>
          <c:showCatName val="0"/>
          <c:showSerName val="0"/>
          <c:showPercent val="0"/>
          <c:showBubbleSize val="0"/>
        </c:dLbls>
        <c:axId val="-85072368"/>
        <c:axId val="-85078352"/>
      </c:scatterChart>
      <c:valAx>
        <c:axId val="-8507236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78352"/>
        <c:crosses val="autoZero"/>
        <c:crossBetween val="midCat"/>
        <c:majorUnit val="3.4"/>
      </c:valAx>
      <c:valAx>
        <c:axId val="-85078352"/>
        <c:scaling>
          <c:orientation val="minMax"/>
          <c:max val="1"/>
          <c:min val="-1"/>
        </c:scaling>
        <c:delete val="1"/>
        <c:axPos val="l"/>
        <c:numFmt formatCode="General" sourceLinked="1"/>
        <c:majorTickMark val="none"/>
        <c:minorTickMark val="none"/>
        <c:tickLblPos val="nextTo"/>
        <c:crossAx val="-8507236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613-42E5-8C3D-F3B160DECDA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703DA0FE-2F2D-4570-AF77-E03AB9F5D35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613-42E5-8C3D-F3B160DECD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Riferimenti!$N$24</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Base!$S$152</c15:f>
                <c15:dlblRangeCache>
                  <c:ptCount val="1"/>
                </c15:dlblRangeCache>
              </c15:datalabelsRange>
            </c:ext>
            <c:ext xmlns:c16="http://schemas.microsoft.com/office/drawing/2014/chart" uri="{C3380CC4-5D6E-409C-BE32-E72D297353CC}">
              <c16:uniqueId val="{00000001-0613-42E5-8C3D-F3B160DECDAB}"/>
            </c:ext>
          </c:extLst>
        </c:ser>
        <c:dLbls>
          <c:showLegendKey val="0"/>
          <c:showVal val="0"/>
          <c:showCatName val="0"/>
          <c:showSerName val="0"/>
          <c:showPercent val="0"/>
          <c:showBubbleSize val="0"/>
        </c:dLbls>
        <c:axId val="-85080528"/>
        <c:axId val="-85071280"/>
      </c:scatterChart>
      <c:valAx>
        <c:axId val="-8508052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71280"/>
        <c:crosses val="autoZero"/>
        <c:crossBetween val="midCat"/>
        <c:majorUnit val="3.4"/>
      </c:valAx>
      <c:valAx>
        <c:axId val="-85071280"/>
        <c:scaling>
          <c:orientation val="minMax"/>
          <c:max val="1"/>
          <c:min val="-1"/>
        </c:scaling>
        <c:delete val="1"/>
        <c:axPos val="l"/>
        <c:numFmt formatCode="General" sourceLinked="1"/>
        <c:majorTickMark val="none"/>
        <c:minorTickMark val="none"/>
        <c:tickLblPos val="nextTo"/>
        <c:crossAx val="-8508052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8022-4CAB-B62A-A6C31F0144B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9741485-0E61-409E-86F7-A724366A143C}"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8022-4CAB-B62A-A6C31F0144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Riferimenti!$N$25</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Base!$S$157</c15:f>
                <c15:dlblRangeCache>
                  <c:ptCount val="1"/>
                </c15:dlblRangeCache>
              </c15:datalabelsRange>
            </c:ext>
            <c:ext xmlns:c16="http://schemas.microsoft.com/office/drawing/2014/chart" uri="{C3380CC4-5D6E-409C-BE32-E72D297353CC}">
              <c16:uniqueId val="{00000001-8022-4CAB-B62A-A6C31F0144B0}"/>
            </c:ext>
          </c:extLst>
        </c:ser>
        <c:dLbls>
          <c:showLegendKey val="0"/>
          <c:showVal val="0"/>
          <c:showCatName val="0"/>
          <c:showSerName val="0"/>
          <c:showPercent val="0"/>
          <c:showBubbleSize val="0"/>
        </c:dLbls>
        <c:axId val="-85077264"/>
        <c:axId val="-85079984"/>
      </c:scatterChart>
      <c:valAx>
        <c:axId val="-8507726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79984"/>
        <c:crosses val="autoZero"/>
        <c:crossBetween val="midCat"/>
        <c:majorUnit val="3.4"/>
      </c:valAx>
      <c:valAx>
        <c:axId val="-85079984"/>
        <c:scaling>
          <c:orientation val="minMax"/>
          <c:max val="1"/>
          <c:min val="-1"/>
        </c:scaling>
        <c:delete val="1"/>
        <c:axPos val="l"/>
        <c:numFmt formatCode="General" sourceLinked="1"/>
        <c:majorTickMark val="none"/>
        <c:minorTickMark val="none"/>
        <c:tickLblPos val="nextTo"/>
        <c:crossAx val="-8507726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394-4500-B9C2-66B0103E8CC4}"/>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BD044849-3F50-4C61-A358-6532A8D020D9}"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394-4500-B9C2-66B0103E8C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Riferimenti!$N$26</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Base!$S$162</c15:f>
                <c15:dlblRangeCache>
                  <c:ptCount val="1"/>
                </c15:dlblRangeCache>
              </c15:datalabelsRange>
            </c:ext>
            <c:ext xmlns:c16="http://schemas.microsoft.com/office/drawing/2014/chart" uri="{C3380CC4-5D6E-409C-BE32-E72D297353CC}">
              <c16:uniqueId val="{00000001-3394-4500-B9C2-66B0103E8CC4}"/>
            </c:ext>
          </c:extLst>
        </c:ser>
        <c:dLbls>
          <c:showLegendKey val="0"/>
          <c:showVal val="0"/>
          <c:showCatName val="0"/>
          <c:showSerName val="0"/>
          <c:showPercent val="0"/>
          <c:showBubbleSize val="0"/>
        </c:dLbls>
        <c:axId val="-85079440"/>
        <c:axId val="-85070736"/>
      </c:scatterChart>
      <c:valAx>
        <c:axId val="-8507944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70736"/>
        <c:crosses val="autoZero"/>
        <c:crossBetween val="midCat"/>
        <c:majorUnit val="3.4"/>
      </c:valAx>
      <c:valAx>
        <c:axId val="-85070736"/>
        <c:scaling>
          <c:orientation val="minMax"/>
          <c:max val="1"/>
          <c:min val="-1"/>
        </c:scaling>
        <c:delete val="1"/>
        <c:axPos val="l"/>
        <c:numFmt formatCode="General" sourceLinked="1"/>
        <c:majorTickMark val="none"/>
        <c:minorTickMark val="none"/>
        <c:tickLblPos val="nextTo"/>
        <c:crossAx val="-8507944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8EBC-466A-8C3B-1B529A0FDF9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F1D4244-8FEF-469A-80B0-304AC528FFAB}"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8EBC-466A-8C3B-1B529A0FDF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Riferimenti!$N$27</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Base!$S$167</c15:f>
                <c15:dlblRangeCache>
                  <c:ptCount val="1"/>
                </c15:dlblRangeCache>
              </c15:datalabelsRange>
            </c:ext>
            <c:ext xmlns:c16="http://schemas.microsoft.com/office/drawing/2014/chart" uri="{C3380CC4-5D6E-409C-BE32-E72D297353CC}">
              <c16:uniqueId val="{00000001-8EBC-466A-8C3B-1B529A0FDF98}"/>
            </c:ext>
          </c:extLst>
        </c:ser>
        <c:dLbls>
          <c:showLegendKey val="0"/>
          <c:showVal val="0"/>
          <c:showCatName val="0"/>
          <c:showSerName val="0"/>
          <c:showPercent val="0"/>
          <c:showBubbleSize val="0"/>
        </c:dLbls>
        <c:axId val="-85078896"/>
        <c:axId val="-85077808"/>
      </c:scatterChart>
      <c:valAx>
        <c:axId val="-8507889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5077808"/>
        <c:crosses val="autoZero"/>
        <c:crossBetween val="midCat"/>
        <c:majorUnit val="3.4"/>
      </c:valAx>
      <c:valAx>
        <c:axId val="-85077808"/>
        <c:scaling>
          <c:orientation val="minMax"/>
          <c:max val="1"/>
          <c:min val="-1"/>
        </c:scaling>
        <c:delete val="1"/>
        <c:axPos val="l"/>
        <c:numFmt formatCode="General" sourceLinked="1"/>
        <c:majorTickMark val="none"/>
        <c:minorTickMark val="none"/>
        <c:tickLblPos val="nextTo"/>
        <c:crossAx val="-8507889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B23-4EA6-824E-8B8C3E46164F}"/>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CFEA272-2DF0-4396-B34C-5C20DC591928}"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B23-4EA6-824E-8B8C3E46164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Riferimenti!$N$28</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Base!$S$172</c15:f>
                <c15:dlblRangeCache>
                  <c:ptCount val="1"/>
                </c15:dlblRangeCache>
              </c15:datalabelsRange>
            </c:ext>
            <c:ext xmlns:c16="http://schemas.microsoft.com/office/drawing/2014/chart" uri="{C3380CC4-5D6E-409C-BE32-E72D297353CC}">
              <c16:uniqueId val="{00000001-2B23-4EA6-824E-8B8C3E46164F}"/>
            </c:ext>
          </c:extLst>
        </c:ser>
        <c:dLbls>
          <c:showLegendKey val="0"/>
          <c:showVal val="0"/>
          <c:showCatName val="0"/>
          <c:showSerName val="0"/>
          <c:showPercent val="0"/>
          <c:showBubbleSize val="0"/>
        </c:dLbls>
        <c:axId val="-85076720"/>
        <c:axId val="-83314544"/>
      </c:scatterChart>
      <c:valAx>
        <c:axId val="-8507672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14544"/>
        <c:crosses val="autoZero"/>
        <c:crossBetween val="midCat"/>
        <c:majorUnit val="3.4"/>
      </c:valAx>
      <c:valAx>
        <c:axId val="-83314544"/>
        <c:scaling>
          <c:orientation val="minMax"/>
          <c:max val="1"/>
          <c:min val="-1"/>
        </c:scaling>
        <c:delete val="1"/>
        <c:axPos val="l"/>
        <c:numFmt formatCode="General" sourceLinked="1"/>
        <c:majorTickMark val="none"/>
        <c:minorTickMark val="none"/>
        <c:tickLblPos val="nextTo"/>
        <c:crossAx val="-8507672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9820-4249-B0FE-F421D4A424DE}"/>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671F628-A83F-428B-8CAE-6A62B9D106AD}"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9820-4249-B0FE-F421D4A424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Riferimenti!$N$29</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Base!$S$177</c15:f>
                <c15:dlblRangeCache>
                  <c:ptCount val="1"/>
                </c15:dlblRangeCache>
              </c15:datalabelsRange>
            </c:ext>
            <c:ext xmlns:c16="http://schemas.microsoft.com/office/drawing/2014/chart" uri="{C3380CC4-5D6E-409C-BE32-E72D297353CC}">
              <c16:uniqueId val="{00000001-9820-4249-B0FE-F421D4A424DE}"/>
            </c:ext>
          </c:extLst>
        </c:ser>
        <c:dLbls>
          <c:showLegendKey val="0"/>
          <c:showVal val="0"/>
          <c:showCatName val="0"/>
          <c:showSerName val="0"/>
          <c:showPercent val="0"/>
          <c:showBubbleSize val="0"/>
        </c:dLbls>
        <c:axId val="-83314000"/>
        <c:axId val="-83309648"/>
      </c:scatterChart>
      <c:valAx>
        <c:axId val="-8331400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09648"/>
        <c:crosses val="autoZero"/>
        <c:crossBetween val="midCat"/>
        <c:majorUnit val="3.4"/>
      </c:valAx>
      <c:valAx>
        <c:axId val="-83309648"/>
        <c:scaling>
          <c:orientation val="minMax"/>
          <c:max val="1"/>
          <c:min val="-1"/>
        </c:scaling>
        <c:delete val="1"/>
        <c:axPos val="l"/>
        <c:numFmt formatCode="General" sourceLinked="1"/>
        <c:majorTickMark val="none"/>
        <c:minorTickMark val="none"/>
        <c:tickLblPos val="nextTo"/>
        <c:crossAx val="-8331400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0AA-4078-BC07-1E5EBC1EC04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3E21164-46D8-4AFC-87B6-48B2AED872D1}"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0AA-4078-BC07-1E5EBC1EC0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Riferimenti!$N$30</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Base!$S$182</c15:f>
                <c15:dlblRangeCache>
                  <c:ptCount val="1"/>
                </c15:dlblRangeCache>
              </c15:datalabelsRange>
            </c:ext>
            <c:ext xmlns:c16="http://schemas.microsoft.com/office/drawing/2014/chart" uri="{C3380CC4-5D6E-409C-BE32-E72D297353CC}">
              <c16:uniqueId val="{00000001-00AA-4078-BC07-1E5EBC1EC04B}"/>
            </c:ext>
          </c:extLst>
        </c:ser>
        <c:dLbls>
          <c:showLegendKey val="0"/>
          <c:showVal val="0"/>
          <c:showCatName val="0"/>
          <c:showSerName val="0"/>
          <c:showPercent val="0"/>
          <c:showBubbleSize val="0"/>
        </c:dLbls>
        <c:axId val="-83305840"/>
        <c:axId val="-83305296"/>
      </c:scatterChart>
      <c:valAx>
        <c:axId val="-8330584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05296"/>
        <c:crosses val="autoZero"/>
        <c:crossBetween val="midCat"/>
        <c:majorUnit val="3.4"/>
      </c:valAx>
      <c:valAx>
        <c:axId val="-83305296"/>
        <c:scaling>
          <c:orientation val="minMax"/>
          <c:max val="1"/>
          <c:min val="-1"/>
        </c:scaling>
        <c:delete val="1"/>
        <c:axPos val="l"/>
        <c:numFmt formatCode="General" sourceLinked="1"/>
        <c:majorTickMark val="none"/>
        <c:minorTickMark val="none"/>
        <c:tickLblPos val="nextTo"/>
        <c:crossAx val="-8330584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5C6-4F59-BCE1-4ED0BE2170D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28C84BA-6392-4EBB-93CB-0AFA9822ADDF}"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5C6-4F59-BCE1-4ED0BE2170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Riferimenti!$N$31</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Base!$S$187</c15:f>
                <c15:dlblRangeCache>
                  <c:ptCount val="1"/>
                </c15:dlblRangeCache>
              </c15:datalabelsRange>
            </c:ext>
            <c:ext xmlns:c16="http://schemas.microsoft.com/office/drawing/2014/chart" uri="{C3380CC4-5D6E-409C-BE32-E72D297353CC}">
              <c16:uniqueId val="{00000001-65C6-4F59-BCE1-4ED0BE2170D8}"/>
            </c:ext>
          </c:extLst>
        </c:ser>
        <c:dLbls>
          <c:showLegendKey val="0"/>
          <c:showVal val="0"/>
          <c:showCatName val="0"/>
          <c:showSerName val="0"/>
          <c:showPercent val="0"/>
          <c:showBubbleSize val="0"/>
        </c:dLbls>
        <c:axId val="-83309104"/>
        <c:axId val="-83312368"/>
      </c:scatterChart>
      <c:valAx>
        <c:axId val="-833091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12368"/>
        <c:crosses val="autoZero"/>
        <c:crossBetween val="midCat"/>
        <c:majorUnit val="3.4"/>
      </c:valAx>
      <c:valAx>
        <c:axId val="-83312368"/>
        <c:scaling>
          <c:orientation val="minMax"/>
          <c:max val="1"/>
          <c:min val="-1"/>
        </c:scaling>
        <c:delete val="1"/>
        <c:axPos val="l"/>
        <c:numFmt formatCode="General" sourceLinked="1"/>
        <c:majorTickMark val="none"/>
        <c:minorTickMark val="none"/>
        <c:tickLblPos val="nextTo"/>
        <c:crossAx val="-833091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368-4CC6-8FD5-3B4168B74B8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A3E52AD0-0294-4852-BB6E-7B90B5DB245C}"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368-4CC6-8FD5-3B4168B74B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Riferimenti!$N$32</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Base!$S$195</c15:f>
                <c15:dlblRangeCache>
                  <c:ptCount val="1"/>
                </c15:dlblRangeCache>
              </c15:datalabelsRange>
            </c:ext>
            <c:ext xmlns:c16="http://schemas.microsoft.com/office/drawing/2014/chart" uri="{C3380CC4-5D6E-409C-BE32-E72D297353CC}">
              <c16:uniqueId val="{00000001-6368-4CC6-8FD5-3B4168B74B87}"/>
            </c:ext>
          </c:extLst>
        </c:ser>
        <c:dLbls>
          <c:showLegendKey val="0"/>
          <c:showVal val="0"/>
          <c:showCatName val="0"/>
          <c:showSerName val="0"/>
          <c:showPercent val="0"/>
          <c:showBubbleSize val="0"/>
        </c:dLbls>
        <c:axId val="-83304752"/>
        <c:axId val="-83306384"/>
      </c:scatterChart>
      <c:valAx>
        <c:axId val="-8330475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06384"/>
        <c:crosses val="autoZero"/>
        <c:crossBetween val="midCat"/>
        <c:majorUnit val="3.4"/>
      </c:valAx>
      <c:valAx>
        <c:axId val="-83306384"/>
        <c:scaling>
          <c:orientation val="minMax"/>
          <c:max val="1"/>
          <c:min val="-1"/>
        </c:scaling>
        <c:delete val="1"/>
        <c:axPos val="l"/>
        <c:numFmt formatCode="General" sourceLinked="1"/>
        <c:majorTickMark val="none"/>
        <c:minorTickMark val="none"/>
        <c:tickLblPos val="nextTo"/>
        <c:crossAx val="-8330475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ABEE-4368-A2BD-ED52FD9B0E9F}"/>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C2D7603-CCED-440F-943D-23FFA16E670E}"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ABEE-4368-A2BD-ED52FD9B0E9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Riferimenti!$N$33</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Base!$S$200</c15:f>
                <c15:dlblRangeCache>
                  <c:ptCount val="1"/>
                </c15:dlblRangeCache>
              </c15:datalabelsRange>
            </c:ext>
            <c:ext xmlns:c16="http://schemas.microsoft.com/office/drawing/2014/chart" uri="{C3380CC4-5D6E-409C-BE32-E72D297353CC}">
              <c16:uniqueId val="{00000001-ABEE-4368-A2BD-ED52FD9B0E9F}"/>
            </c:ext>
          </c:extLst>
        </c:ser>
        <c:dLbls>
          <c:showLegendKey val="0"/>
          <c:showVal val="0"/>
          <c:showCatName val="0"/>
          <c:showSerName val="0"/>
          <c:showPercent val="0"/>
          <c:showBubbleSize val="0"/>
        </c:dLbls>
        <c:axId val="-83313456"/>
        <c:axId val="-83302032"/>
      </c:scatterChart>
      <c:valAx>
        <c:axId val="-8331345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02032"/>
        <c:crosses val="autoZero"/>
        <c:crossBetween val="midCat"/>
        <c:majorUnit val="3.4"/>
      </c:valAx>
      <c:valAx>
        <c:axId val="-83302032"/>
        <c:scaling>
          <c:orientation val="minMax"/>
          <c:max val="1"/>
          <c:min val="-1"/>
        </c:scaling>
        <c:delete val="1"/>
        <c:axPos val="l"/>
        <c:numFmt formatCode="General" sourceLinked="1"/>
        <c:majorTickMark val="none"/>
        <c:minorTickMark val="none"/>
        <c:tickLblPos val="nextTo"/>
        <c:crossAx val="-8331345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1A94-4EE0-A644-6B8A51C9440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C4FDBA28-B26D-4D60-B85F-AE5E0EDE4462}"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1A94-4EE0-A644-6B8A51C944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Riferimenti!$N$34</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Base!$S$219</c15:f>
                <c15:dlblRangeCache>
                  <c:ptCount val="1"/>
                </c15:dlblRangeCache>
              </c15:datalabelsRange>
            </c:ext>
            <c:ext xmlns:c16="http://schemas.microsoft.com/office/drawing/2014/chart" uri="{C3380CC4-5D6E-409C-BE32-E72D297353CC}">
              <c16:uniqueId val="{00000001-1A94-4EE0-A644-6B8A51C94407}"/>
            </c:ext>
          </c:extLst>
        </c:ser>
        <c:dLbls>
          <c:showLegendKey val="0"/>
          <c:showVal val="0"/>
          <c:showCatName val="0"/>
          <c:showSerName val="0"/>
          <c:showPercent val="0"/>
          <c:showBubbleSize val="0"/>
        </c:dLbls>
        <c:axId val="-83310736"/>
        <c:axId val="-83312912"/>
      </c:scatterChart>
      <c:valAx>
        <c:axId val="-8331073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12912"/>
        <c:crosses val="autoZero"/>
        <c:crossBetween val="midCat"/>
        <c:majorUnit val="3.4"/>
      </c:valAx>
      <c:valAx>
        <c:axId val="-83312912"/>
        <c:scaling>
          <c:orientation val="minMax"/>
          <c:max val="1"/>
          <c:min val="-1"/>
        </c:scaling>
        <c:delete val="1"/>
        <c:axPos val="l"/>
        <c:numFmt formatCode="General" sourceLinked="1"/>
        <c:majorTickMark val="none"/>
        <c:minorTickMark val="none"/>
        <c:tickLblPos val="nextTo"/>
        <c:crossAx val="-8331073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E2C1-46B8-A9D1-52FAF8DDF5B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61222B1-926C-4BFF-86ED-186394D93C9D}"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E2C1-46B8-A9D1-52FAF8DDF5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Riferimenti!$N$35</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Base!$S$224</c15:f>
                <c15:dlblRangeCache>
                  <c:ptCount val="1"/>
                </c15:dlblRangeCache>
              </c15:datalabelsRange>
            </c:ext>
            <c:ext xmlns:c16="http://schemas.microsoft.com/office/drawing/2014/chart" uri="{C3380CC4-5D6E-409C-BE32-E72D297353CC}">
              <c16:uniqueId val="{00000001-E2C1-46B8-A9D1-52FAF8DDF5B0}"/>
            </c:ext>
          </c:extLst>
        </c:ser>
        <c:dLbls>
          <c:showLegendKey val="0"/>
          <c:showVal val="0"/>
          <c:showCatName val="0"/>
          <c:showSerName val="0"/>
          <c:showPercent val="0"/>
          <c:showBubbleSize val="0"/>
        </c:dLbls>
        <c:axId val="-83316176"/>
        <c:axId val="-83307472"/>
      </c:scatterChart>
      <c:valAx>
        <c:axId val="-8331617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07472"/>
        <c:crosses val="autoZero"/>
        <c:crossBetween val="midCat"/>
        <c:majorUnit val="3.4"/>
      </c:valAx>
      <c:valAx>
        <c:axId val="-83307472"/>
        <c:scaling>
          <c:orientation val="minMax"/>
          <c:max val="1"/>
          <c:min val="-1"/>
        </c:scaling>
        <c:delete val="1"/>
        <c:axPos val="l"/>
        <c:numFmt formatCode="General" sourceLinked="1"/>
        <c:majorTickMark val="none"/>
        <c:minorTickMark val="none"/>
        <c:tickLblPos val="nextTo"/>
        <c:crossAx val="-8331617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930A-4063-B7C0-F9248CFACD9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CB3569E7-3F60-426A-997B-394FD339FBE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930A-4063-B7C0-F9248CFACD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Riferimenti!$N$36</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Base!$S$229</c15:f>
                <c15:dlblRangeCache>
                  <c:ptCount val="1"/>
                </c15:dlblRangeCache>
              </c15:datalabelsRange>
            </c:ext>
            <c:ext xmlns:c16="http://schemas.microsoft.com/office/drawing/2014/chart" uri="{C3380CC4-5D6E-409C-BE32-E72D297353CC}">
              <c16:uniqueId val="{00000001-930A-4063-B7C0-F9248CFACD91}"/>
            </c:ext>
          </c:extLst>
        </c:ser>
        <c:dLbls>
          <c:showLegendKey val="0"/>
          <c:showVal val="0"/>
          <c:showCatName val="0"/>
          <c:showSerName val="0"/>
          <c:showPercent val="0"/>
          <c:showBubbleSize val="0"/>
        </c:dLbls>
        <c:axId val="-83308016"/>
        <c:axId val="-83306928"/>
      </c:scatterChart>
      <c:valAx>
        <c:axId val="-8330801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06928"/>
        <c:crosses val="autoZero"/>
        <c:crossBetween val="midCat"/>
        <c:majorUnit val="3.4"/>
      </c:valAx>
      <c:valAx>
        <c:axId val="-83306928"/>
        <c:scaling>
          <c:orientation val="minMax"/>
          <c:max val="1"/>
          <c:min val="-1"/>
        </c:scaling>
        <c:delete val="1"/>
        <c:axPos val="l"/>
        <c:numFmt formatCode="General" sourceLinked="1"/>
        <c:majorTickMark val="none"/>
        <c:minorTickMark val="none"/>
        <c:tickLblPos val="nextTo"/>
        <c:crossAx val="-8330801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8CD2-4905-83E5-D55E893EC7E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84F2C54-28CA-4EAE-BBB3-3C92B8B29C37}"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8CD2-4905-83E5-D55E893EC7E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Riferimenti!$N$37</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Base!$S$234</c15:f>
                <c15:dlblRangeCache>
                  <c:ptCount val="1"/>
                </c15:dlblRangeCache>
              </c15:datalabelsRange>
            </c:ext>
            <c:ext xmlns:c16="http://schemas.microsoft.com/office/drawing/2014/chart" uri="{C3380CC4-5D6E-409C-BE32-E72D297353CC}">
              <c16:uniqueId val="{00000001-8CD2-4905-83E5-D55E893EC7E7}"/>
            </c:ext>
          </c:extLst>
        </c:ser>
        <c:dLbls>
          <c:showLegendKey val="0"/>
          <c:showVal val="0"/>
          <c:showCatName val="0"/>
          <c:showSerName val="0"/>
          <c:showPercent val="0"/>
          <c:showBubbleSize val="0"/>
        </c:dLbls>
        <c:axId val="-83315088"/>
        <c:axId val="-83304208"/>
      </c:scatterChart>
      <c:valAx>
        <c:axId val="-8331508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04208"/>
        <c:crosses val="autoZero"/>
        <c:crossBetween val="midCat"/>
        <c:majorUnit val="3.4"/>
      </c:valAx>
      <c:valAx>
        <c:axId val="-83304208"/>
        <c:scaling>
          <c:orientation val="minMax"/>
          <c:max val="1"/>
          <c:min val="-1"/>
        </c:scaling>
        <c:delete val="1"/>
        <c:axPos val="l"/>
        <c:numFmt formatCode="General" sourceLinked="1"/>
        <c:majorTickMark val="none"/>
        <c:minorTickMark val="none"/>
        <c:tickLblPos val="nextTo"/>
        <c:crossAx val="-8331508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55B6-4100-8969-FA9A1F9FB8D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517257BF-D78D-49EF-BF6A-57347E8F1561}"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55B6-4100-8969-FA9A1F9FB8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Riferimenti!$N$38</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Base!$S$239</c15:f>
                <c15:dlblRangeCache>
                  <c:ptCount val="1"/>
                </c15:dlblRangeCache>
              </c15:datalabelsRange>
            </c:ext>
            <c:ext xmlns:c16="http://schemas.microsoft.com/office/drawing/2014/chart" uri="{C3380CC4-5D6E-409C-BE32-E72D297353CC}">
              <c16:uniqueId val="{00000001-55B6-4100-8969-FA9A1F9FB8D2}"/>
            </c:ext>
          </c:extLst>
        </c:ser>
        <c:dLbls>
          <c:showLegendKey val="0"/>
          <c:showVal val="0"/>
          <c:showCatName val="0"/>
          <c:showSerName val="0"/>
          <c:showPercent val="0"/>
          <c:showBubbleSize val="0"/>
        </c:dLbls>
        <c:axId val="-83303664"/>
        <c:axId val="-83315632"/>
      </c:scatterChart>
      <c:valAx>
        <c:axId val="-8330366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15632"/>
        <c:crosses val="autoZero"/>
        <c:crossBetween val="midCat"/>
        <c:majorUnit val="3.4"/>
      </c:valAx>
      <c:valAx>
        <c:axId val="-83315632"/>
        <c:scaling>
          <c:orientation val="minMax"/>
          <c:max val="1"/>
          <c:min val="-1"/>
        </c:scaling>
        <c:delete val="1"/>
        <c:axPos val="l"/>
        <c:numFmt formatCode="General" sourceLinked="1"/>
        <c:majorTickMark val="none"/>
        <c:minorTickMark val="none"/>
        <c:tickLblPos val="nextTo"/>
        <c:crossAx val="-8330366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BB2-4F54-BFD8-E5C36926DC5A}"/>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35D7D8B-155D-4C4A-B4EB-1986408B681E}"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BB2-4F54-BFD8-E5C36926DC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Riferimenti!$N$39</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Base!$S$244</c15:f>
                <c15:dlblRangeCache>
                  <c:ptCount val="1"/>
                </c15:dlblRangeCache>
              </c15:datalabelsRange>
            </c:ext>
            <c:ext xmlns:c16="http://schemas.microsoft.com/office/drawing/2014/chart" uri="{C3380CC4-5D6E-409C-BE32-E72D297353CC}">
              <c16:uniqueId val="{00000001-3BB2-4F54-BFD8-E5C36926DC5A}"/>
            </c:ext>
          </c:extLst>
        </c:ser>
        <c:dLbls>
          <c:showLegendKey val="0"/>
          <c:showVal val="0"/>
          <c:showCatName val="0"/>
          <c:showSerName val="0"/>
          <c:showPercent val="0"/>
          <c:showBubbleSize val="0"/>
        </c:dLbls>
        <c:axId val="-83308560"/>
        <c:axId val="-83301488"/>
      </c:scatterChart>
      <c:valAx>
        <c:axId val="-8330856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01488"/>
        <c:crosses val="autoZero"/>
        <c:crossBetween val="midCat"/>
        <c:majorUnit val="3.4"/>
      </c:valAx>
      <c:valAx>
        <c:axId val="-83301488"/>
        <c:scaling>
          <c:orientation val="minMax"/>
          <c:max val="1"/>
          <c:min val="-1"/>
        </c:scaling>
        <c:delete val="1"/>
        <c:axPos val="l"/>
        <c:numFmt formatCode="General" sourceLinked="1"/>
        <c:majorTickMark val="none"/>
        <c:minorTickMark val="none"/>
        <c:tickLblPos val="nextTo"/>
        <c:crossAx val="-8330856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565-4233-A307-DFB3C17E83B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BBA3E638-45FE-4CDE-801A-0D195DD678D9}"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565-4233-A307-DFB3C17E83B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Riferimenti!$N$40</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Base!$S$249</c15:f>
                <c15:dlblRangeCache>
                  <c:ptCount val="1"/>
                </c15:dlblRangeCache>
              </c15:datalabelsRange>
            </c:ext>
            <c:ext xmlns:c16="http://schemas.microsoft.com/office/drawing/2014/chart" uri="{C3380CC4-5D6E-409C-BE32-E72D297353CC}">
              <c16:uniqueId val="{00000001-0565-4233-A307-DFB3C17E83B8}"/>
            </c:ext>
          </c:extLst>
        </c:ser>
        <c:dLbls>
          <c:showLegendKey val="0"/>
          <c:showVal val="0"/>
          <c:showCatName val="0"/>
          <c:showSerName val="0"/>
          <c:showPercent val="0"/>
          <c:showBubbleSize val="0"/>
        </c:dLbls>
        <c:axId val="-83303120"/>
        <c:axId val="-83310192"/>
      </c:scatterChart>
      <c:valAx>
        <c:axId val="-8330312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10192"/>
        <c:crosses val="autoZero"/>
        <c:crossBetween val="midCat"/>
        <c:majorUnit val="3.4"/>
      </c:valAx>
      <c:valAx>
        <c:axId val="-83310192"/>
        <c:scaling>
          <c:orientation val="minMax"/>
          <c:max val="1"/>
          <c:min val="-1"/>
        </c:scaling>
        <c:delete val="1"/>
        <c:axPos val="l"/>
        <c:numFmt formatCode="General" sourceLinked="1"/>
        <c:majorTickMark val="none"/>
        <c:minorTickMark val="none"/>
        <c:tickLblPos val="nextTo"/>
        <c:crossAx val="-8330312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9917-4D0A-B7AD-9207B585A54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77F2129A-193C-441A-8578-D7A78045CD0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9917-4D0A-B7AD-9207B585A54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Riferimenti!$N$41</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Base!$S$254</c15:f>
                <c15:dlblRangeCache>
                  <c:ptCount val="1"/>
                </c15:dlblRangeCache>
              </c15:datalabelsRange>
            </c:ext>
            <c:ext xmlns:c16="http://schemas.microsoft.com/office/drawing/2014/chart" uri="{C3380CC4-5D6E-409C-BE32-E72D297353CC}">
              <c16:uniqueId val="{00000001-9917-4D0A-B7AD-9207B585A540}"/>
            </c:ext>
          </c:extLst>
        </c:ser>
        <c:dLbls>
          <c:showLegendKey val="0"/>
          <c:showVal val="0"/>
          <c:showCatName val="0"/>
          <c:showSerName val="0"/>
          <c:showPercent val="0"/>
          <c:showBubbleSize val="0"/>
        </c:dLbls>
        <c:axId val="-83311824"/>
        <c:axId val="-83302576"/>
      </c:scatterChart>
      <c:valAx>
        <c:axId val="-8331182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02576"/>
        <c:crosses val="autoZero"/>
        <c:crossBetween val="midCat"/>
        <c:majorUnit val="3.4"/>
      </c:valAx>
      <c:valAx>
        <c:axId val="-83302576"/>
        <c:scaling>
          <c:orientation val="minMax"/>
          <c:max val="1"/>
          <c:min val="-1"/>
        </c:scaling>
        <c:delete val="1"/>
        <c:axPos val="l"/>
        <c:numFmt formatCode="General" sourceLinked="1"/>
        <c:majorTickMark val="none"/>
        <c:minorTickMark val="none"/>
        <c:tickLblPos val="nextTo"/>
        <c:crossAx val="-8331182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7E3-4CF8-8D45-E2503AC7B97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7ED2F762-1708-4933-A83F-26607B4351CC}"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7E3-4CF8-8D45-E2503AC7B9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Base!$S$26</c15:f>
                <c15:dlblRangeCache>
                  <c:ptCount val="1"/>
                </c15:dlblRangeCache>
              </c15:datalabelsRange>
            </c:ext>
            <c:ext xmlns:c16="http://schemas.microsoft.com/office/drawing/2014/chart" uri="{C3380CC4-5D6E-409C-BE32-E72D297353CC}">
              <c16:uniqueId val="{00000001-47E3-4CF8-8D45-E2503AC7B972}"/>
            </c:ext>
          </c:extLst>
        </c:ser>
        <c:dLbls>
          <c:showLegendKey val="0"/>
          <c:showVal val="0"/>
          <c:showCatName val="0"/>
          <c:showSerName val="0"/>
          <c:showPercent val="0"/>
          <c:showBubbleSize val="0"/>
        </c:dLbls>
        <c:axId val="-83311280"/>
        <c:axId val="-83316720"/>
      </c:scatterChart>
      <c:valAx>
        <c:axId val="-8331128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3316720"/>
        <c:crosses val="autoZero"/>
        <c:crossBetween val="midCat"/>
        <c:majorUnit val="3.4"/>
      </c:valAx>
      <c:valAx>
        <c:axId val="-83316720"/>
        <c:scaling>
          <c:orientation val="minMax"/>
          <c:max val="1"/>
          <c:min val="-1"/>
        </c:scaling>
        <c:delete val="1"/>
        <c:axPos val="l"/>
        <c:numFmt formatCode="General" sourceLinked="1"/>
        <c:majorTickMark val="none"/>
        <c:minorTickMark val="none"/>
        <c:tickLblPos val="nextTo"/>
        <c:crossAx val="-8331128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900C-40CE-88C5-CAA4939612B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C5BAA84E-B356-49F0-983A-E7276AE6619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900C-40CE-88C5-CAA4939612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Riferimenti!$N$42</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Base!$S$262</c15:f>
                <c15:dlblRangeCache>
                  <c:ptCount val="1"/>
                </c15:dlblRangeCache>
              </c15:datalabelsRange>
            </c:ext>
            <c:ext xmlns:c16="http://schemas.microsoft.com/office/drawing/2014/chart" uri="{C3380CC4-5D6E-409C-BE32-E72D297353CC}">
              <c16:uniqueId val="{00000001-900C-40CE-88C5-CAA4939612B0}"/>
            </c:ext>
          </c:extLst>
        </c:ser>
        <c:dLbls>
          <c:showLegendKey val="0"/>
          <c:showVal val="0"/>
          <c:showCatName val="0"/>
          <c:showSerName val="0"/>
          <c:showPercent val="0"/>
          <c:showBubbleSize val="0"/>
        </c:dLbls>
        <c:axId val="-82017440"/>
        <c:axId val="-82002752"/>
      </c:scatterChart>
      <c:valAx>
        <c:axId val="-8201744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02752"/>
        <c:crosses val="autoZero"/>
        <c:crossBetween val="midCat"/>
        <c:majorUnit val="3.4"/>
      </c:valAx>
      <c:valAx>
        <c:axId val="-82002752"/>
        <c:scaling>
          <c:orientation val="minMax"/>
          <c:max val="1"/>
          <c:min val="-1"/>
        </c:scaling>
        <c:delete val="1"/>
        <c:axPos val="l"/>
        <c:numFmt formatCode="General" sourceLinked="1"/>
        <c:majorTickMark val="none"/>
        <c:minorTickMark val="none"/>
        <c:tickLblPos val="nextTo"/>
        <c:crossAx val="-8201744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024-4535-9F8B-4C1615D8982C}"/>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BA0493CE-793C-4C79-A081-6332C5F6466E}"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024-4535-9F8B-4C1615D898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Riferimenti!$N$43</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Base!$S$267</c15:f>
                <c15:dlblRangeCache>
                  <c:ptCount val="1"/>
                </c15:dlblRangeCache>
              </c15:datalabelsRange>
            </c:ext>
            <c:ext xmlns:c16="http://schemas.microsoft.com/office/drawing/2014/chart" uri="{C3380CC4-5D6E-409C-BE32-E72D297353CC}">
              <c16:uniqueId val="{00000001-3024-4535-9F8B-4C1615D8982C}"/>
            </c:ext>
          </c:extLst>
        </c:ser>
        <c:dLbls>
          <c:showLegendKey val="0"/>
          <c:showVal val="0"/>
          <c:showCatName val="0"/>
          <c:showSerName val="0"/>
          <c:showPercent val="0"/>
          <c:showBubbleSize val="0"/>
        </c:dLbls>
        <c:axId val="-82006016"/>
        <c:axId val="-82004928"/>
      </c:scatterChart>
      <c:valAx>
        <c:axId val="-8200601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04928"/>
        <c:crosses val="autoZero"/>
        <c:crossBetween val="midCat"/>
        <c:majorUnit val="3.4"/>
      </c:valAx>
      <c:valAx>
        <c:axId val="-82004928"/>
        <c:scaling>
          <c:orientation val="minMax"/>
          <c:max val="1"/>
          <c:min val="-1"/>
        </c:scaling>
        <c:delete val="1"/>
        <c:axPos val="l"/>
        <c:numFmt formatCode="General" sourceLinked="1"/>
        <c:majorTickMark val="none"/>
        <c:minorTickMark val="none"/>
        <c:tickLblPos val="nextTo"/>
        <c:crossAx val="-8200601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774-414D-BAC4-F723B6F30C35}"/>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8C9446B-3DD4-4616-A122-F9FD2059EA93}"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774-414D-BAC4-F723B6F30C3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Riferimenti!$N$44</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Base!$S$272</c15:f>
                <c15:dlblRangeCache>
                  <c:ptCount val="1"/>
                </c15:dlblRangeCache>
              </c15:datalabelsRange>
            </c:ext>
            <c:ext xmlns:c16="http://schemas.microsoft.com/office/drawing/2014/chart" uri="{C3380CC4-5D6E-409C-BE32-E72D297353CC}">
              <c16:uniqueId val="{00000001-2774-414D-BAC4-F723B6F30C35}"/>
            </c:ext>
          </c:extLst>
        </c:ser>
        <c:dLbls>
          <c:showLegendKey val="0"/>
          <c:showVal val="0"/>
          <c:showCatName val="0"/>
          <c:showSerName val="0"/>
          <c:showPercent val="0"/>
          <c:showBubbleSize val="0"/>
        </c:dLbls>
        <c:axId val="-82017984"/>
        <c:axId val="-82005472"/>
      </c:scatterChart>
      <c:valAx>
        <c:axId val="-8201798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05472"/>
        <c:crosses val="autoZero"/>
        <c:crossBetween val="midCat"/>
        <c:majorUnit val="3.4"/>
      </c:valAx>
      <c:valAx>
        <c:axId val="-82005472"/>
        <c:scaling>
          <c:orientation val="minMax"/>
          <c:max val="1"/>
          <c:min val="-1"/>
        </c:scaling>
        <c:delete val="1"/>
        <c:axPos val="l"/>
        <c:numFmt formatCode="General" sourceLinked="1"/>
        <c:majorTickMark val="none"/>
        <c:minorTickMark val="none"/>
        <c:tickLblPos val="nextTo"/>
        <c:crossAx val="-8201798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11DD-4263-89A8-96C067D56DED}"/>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0347C04-7227-473B-ABA2-4DF28FB37B89}"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11DD-4263-89A8-96C067D56DE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Riferimenti!$N$46</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Base!$S$285</c15:f>
                <c15:dlblRangeCache>
                  <c:ptCount val="1"/>
                </c15:dlblRangeCache>
              </c15:datalabelsRange>
            </c:ext>
            <c:ext xmlns:c16="http://schemas.microsoft.com/office/drawing/2014/chart" uri="{C3380CC4-5D6E-409C-BE32-E72D297353CC}">
              <c16:uniqueId val="{00000001-11DD-4263-89A8-96C067D56DED}"/>
            </c:ext>
          </c:extLst>
        </c:ser>
        <c:dLbls>
          <c:showLegendKey val="0"/>
          <c:showVal val="0"/>
          <c:showCatName val="0"/>
          <c:showSerName val="0"/>
          <c:showPercent val="0"/>
          <c:showBubbleSize val="0"/>
        </c:dLbls>
        <c:axId val="-82016896"/>
        <c:axId val="-82012544"/>
      </c:scatterChart>
      <c:valAx>
        <c:axId val="-8201689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12544"/>
        <c:crosses val="autoZero"/>
        <c:crossBetween val="midCat"/>
        <c:majorUnit val="3.4"/>
      </c:valAx>
      <c:valAx>
        <c:axId val="-82012544"/>
        <c:scaling>
          <c:orientation val="minMax"/>
          <c:max val="1"/>
          <c:min val="-1"/>
        </c:scaling>
        <c:delete val="1"/>
        <c:axPos val="l"/>
        <c:numFmt formatCode="General" sourceLinked="1"/>
        <c:majorTickMark val="none"/>
        <c:minorTickMark val="none"/>
        <c:tickLblPos val="nextTo"/>
        <c:crossAx val="-8201689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8F6-41B9-8BE0-90F9CD535DD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EA51E03F-F5CA-492F-8D5A-897E4E788076}"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8F6-41B9-8BE0-90F9CD535DD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Riferimenti!$N$47</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Base!$S$290</c15:f>
                <c15:dlblRangeCache>
                  <c:ptCount val="1"/>
                </c15:dlblRangeCache>
              </c15:datalabelsRange>
            </c:ext>
            <c:ext xmlns:c16="http://schemas.microsoft.com/office/drawing/2014/chart" uri="{C3380CC4-5D6E-409C-BE32-E72D297353CC}">
              <c16:uniqueId val="{00000001-D8F6-41B9-8BE0-90F9CD535DDB}"/>
            </c:ext>
          </c:extLst>
        </c:ser>
        <c:dLbls>
          <c:showLegendKey val="0"/>
          <c:showVal val="0"/>
          <c:showCatName val="0"/>
          <c:showSerName val="0"/>
          <c:showPercent val="0"/>
          <c:showBubbleSize val="0"/>
        </c:dLbls>
        <c:axId val="-82014720"/>
        <c:axId val="-82006560"/>
      </c:scatterChart>
      <c:valAx>
        <c:axId val="-8201472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06560"/>
        <c:crosses val="autoZero"/>
        <c:crossBetween val="midCat"/>
        <c:majorUnit val="3.4"/>
      </c:valAx>
      <c:valAx>
        <c:axId val="-82006560"/>
        <c:scaling>
          <c:orientation val="minMax"/>
          <c:max val="1"/>
          <c:min val="-1"/>
        </c:scaling>
        <c:delete val="1"/>
        <c:axPos val="l"/>
        <c:numFmt formatCode="General" sourceLinked="1"/>
        <c:majorTickMark val="none"/>
        <c:minorTickMark val="none"/>
        <c:tickLblPos val="nextTo"/>
        <c:crossAx val="-8201472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350-44AA-AA17-85DB72C5253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D4E7D4A-5FA1-4311-A94F-BC0EC3C86A4C}"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350-44AA-AA17-85DB72C5253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Riferimenti!$N$48</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Base!$S$295</c15:f>
                <c15:dlblRangeCache>
                  <c:ptCount val="1"/>
                </c15:dlblRangeCache>
              </c15:datalabelsRange>
            </c:ext>
            <c:ext xmlns:c16="http://schemas.microsoft.com/office/drawing/2014/chart" uri="{C3380CC4-5D6E-409C-BE32-E72D297353CC}">
              <c16:uniqueId val="{00000001-7350-44AA-AA17-85DB72C52532}"/>
            </c:ext>
          </c:extLst>
        </c:ser>
        <c:dLbls>
          <c:showLegendKey val="0"/>
          <c:showVal val="0"/>
          <c:showCatName val="0"/>
          <c:showSerName val="0"/>
          <c:showPercent val="0"/>
          <c:showBubbleSize val="0"/>
        </c:dLbls>
        <c:axId val="-82014176"/>
        <c:axId val="-82012000"/>
      </c:scatterChart>
      <c:valAx>
        <c:axId val="-8201417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12000"/>
        <c:crosses val="autoZero"/>
        <c:crossBetween val="midCat"/>
        <c:majorUnit val="3.4"/>
      </c:valAx>
      <c:valAx>
        <c:axId val="-82012000"/>
        <c:scaling>
          <c:orientation val="minMax"/>
          <c:max val="1"/>
          <c:min val="-1"/>
        </c:scaling>
        <c:delete val="1"/>
        <c:axPos val="l"/>
        <c:numFmt formatCode="General" sourceLinked="1"/>
        <c:majorTickMark val="none"/>
        <c:minorTickMark val="none"/>
        <c:tickLblPos val="nextTo"/>
        <c:crossAx val="-8201417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3E1-4BF5-AAF1-5452E02E2326}"/>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DBC3737-B4FD-432C-B115-805B086876CC}"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3E1-4BF5-AAF1-5452E02E232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Riferimenti!$N$49</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Base!$S$300</c15:f>
                <c15:dlblRangeCache>
                  <c:ptCount val="1"/>
                </c15:dlblRangeCache>
              </c15:datalabelsRange>
            </c:ext>
            <c:ext xmlns:c16="http://schemas.microsoft.com/office/drawing/2014/chart" uri="{C3380CC4-5D6E-409C-BE32-E72D297353CC}">
              <c16:uniqueId val="{00000001-23E1-4BF5-AAF1-5452E02E2326}"/>
            </c:ext>
          </c:extLst>
        </c:ser>
        <c:dLbls>
          <c:showLegendKey val="0"/>
          <c:showVal val="0"/>
          <c:showCatName val="0"/>
          <c:showSerName val="0"/>
          <c:showPercent val="0"/>
          <c:showBubbleSize val="0"/>
        </c:dLbls>
        <c:axId val="-82010912"/>
        <c:axId val="-82015264"/>
      </c:scatterChart>
      <c:valAx>
        <c:axId val="-8201091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15264"/>
        <c:crosses val="autoZero"/>
        <c:crossBetween val="midCat"/>
        <c:majorUnit val="3.4"/>
      </c:valAx>
      <c:valAx>
        <c:axId val="-82015264"/>
        <c:scaling>
          <c:orientation val="minMax"/>
          <c:max val="1"/>
          <c:min val="-1"/>
        </c:scaling>
        <c:delete val="1"/>
        <c:axPos val="l"/>
        <c:numFmt formatCode="General" sourceLinked="1"/>
        <c:majorTickMark val="none"/>
        <c:minorTickMark val="none"/>
        <c:tickLblPos val="nextTo"/>
        <c:crossAx val="-8201091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1508-4EE6-9DFD-8434BD95003D}"/>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D103AA8-E056-49EC-AB34-BF444312EA21}"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1508-4EE6-9DFD-8434BD9500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Riferimenti!$N$50</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Base!$S$305</c15:f>
                <c15:dlblRangeCache>
                  <c:ptCount val="1"/>
                </c15:dlblRangeCache>
              </c15:datalabelsRange>
            </c:ext>
            <c:ext xmlns:c16="http://schemas.microsoft.com/office/drawing/2014/chart" uri="{C3380CC4-5D6E-409C-BE32-E72D297353CC}">
              <c16:uniqueId val="{00000001-1508-4EE6-9DFD-8434BD95003D}"/>
            </c:ext>
          </c:extLst>
        </c:ser>
        <c:dLbls>
          <c:showLegendKey val="0"/>
          <c:showVal val="0"/>
          <c:showCatName val="0"/>
          <c:showSerName val="0"/>
          <c:showPercent val="0"/>
          <c:showBubbleSize val="0"/>
        </c:dLbls>
        <c:axId val="-82013632"/>
        <c:axId val="-82003296"/>
      </c:scatterChart>
      <c:valAx>
        <c:axId val="-8201363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03296"/>
        <c:crosses val="autoZero"/>
        <c:crossBetween val="midCat"/>
        <c:majorUnit val="3.4"/>
      </c:valAx>
      <c:valAx>
        <c:axId val="-82003296"/>
        <c:scaling>
          <c:orientation val="minMax"/>
          <c:max val="1"/>
          <c:min val="-1"/>
        </c:scaling>
        <c:delete val="1"/>
        <c:axPos val="l"/>
        <c:numFmt formatCode="General" sourceLinked="1"/>
        <c:majorTickMark val="none"/>
        <c:minorTickMark val="none"/>
        <c:tickLblPos val="nextTo"/>
        <c:crossAx val="-8201363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5C5A-4AAF-B884-30455D59056E}"/>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95B3554-5989-465B-A986-91AC3447552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5C5A-4AAF-B884-30455D5905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Riferimenti!$N$51</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Base!$S$321</c15:f>
                <c15:dlblRangeCache>
                  <c:ptCount val="1"/>
                </c15:dlblRangeCache>
              </c15:datalabelsRange>
            </c:ext>
            <c:ext xmlns:c16="http://schemas.microsoft.com/office/drawing/2014/chart" uri="{C3380CC4-5D6E-409C-BE32-E72D297353CC}">
              <c16:uniqueId val="{00000001-5C5A-4AAF-B884-30455D59056E}"/>
            </c:ext>
          </c:extLst>
        </c:ser>
        <c:dLbls>
          <c:showLegendKey val="0"/>
          <c:showVal val="0"/>
          <c:showCatName val="0"/>
          <c:showSerName val="0"/>
          <c:showPercent val="0"/>
          <c:showBubbleSize val="0"/>
        </c:dLbls>
        <c:axId val="-82016352"/>
        <c:axId val="-82013088"/>
      </c:scatterChart>
      <c:valAx>
        <c:axId val="-8201635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13088"/>
        <c:crosses val="autoZero"/>
        <c:crossBetween val="midCat"/>
        <c:majorUnit val="3.4"/>
      </c:valAx>
      <c:valAx>
        <c:axId val="-82013088"/>
        <c:scaling>
          <c:orientation val="minMax"/>
          <c:max val="1"/>
          <c:min val="-1"/>
        </c:scaling>
        <c:delete val="1"/>
        <c:axPos val="l"/>
        <c:numFmt formatCode="General" sourceLinked="1"/>
        <c:majorTickMark val="none"/>
        <c:minorTickMark val="none"/>
        <c:tickLblPos val="nextTo"/>
        <c:crossAx val="-8201635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EBE1-4427-8D6B-923B8890A50C}"/>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9C9D25EF-9E90-4A92-BFC5-E82C1748D3CE}"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EBE1-4427-8D6B-923B8890A50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Riferimenti!$N$54</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Base!$S$339</c15:f>
                <c15:dlblRangeCache>
                  <c:ptCount val="1"/>
                </c15:dlblRangeCache>
              </c15:datalabelsRange>
            </c:ext>
            <c:ext xmlns:c16="http://schemas.microsoft.com/office/drawing/2014/chart" uri="{C3380CC4-5D6E-409C-BE32-E72D297353CC}">
              <c16:uniqueId val="{00000001-EBE1-4427-8D6B-923B8890A50C}"/>
            </c:ext>
          </c:extLst>
        </c:ser>
        <c:dLbls>
          <c:showLegendKey val="0"/>
          <c:showVal val="0"/>
          <c:showCatName val="0"/>
          <c:showSerName val="0"/>
          <c:showPercent val="0"/>
          <c:showBubbleSize val="0"/>
        </c:dLbls>
        <c:axId val="-82011456"/>
        <c:axId val="-82008736"/>
      </c:scatterChart>
      <c:valAx>
        <c:axId val="-8201145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08736"/>
        <c:crosses val="autoZero"/>
        <c:crossBetween val="midCat"/>
        <c:majorUnit val="3.4"/>
      </c:valAx>
      <c:valAx>
        <c:axId val="-82008736"/>
        <c:scaling>
          <c:orientation val="minMax"/>
          <c:max val="1"/>
          <c:min val="-1"/>
        </c:scaling>
        <c:delete val="1"/>
        <c:axPos val="l"/>
        <c:numFmt formatCode="General" sourceLinked="1"/>
        <c:majorTickMark val="none"/>
        <c:minorTickMark val="none"/>
        <c:tickLblPos val="nextTo"/>
        <c:crossAx val="-8201145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E8B-4D01-A535-70D3F64F44B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76A6CD5-5006-4C72-8F39-25A3772347C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E8B-4D01-A535-70D3F64F44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Riferimenti!$N$55</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Base!$S$344</c15:f>
                <c15:dlblRangeCache>
                  <c:ptCount val="1"/>
                </c15:dlblRangeCache>
              </c15:datalabelsRange>
            </c:ext>
            <c:ext xmlns:c16="http://schemas.microsoft.com/office/drawing/2014/chart" uri="{C3380CC4-5D6E-409C-BE32-E72D297353CC}">
              <c16:uniqueId val="{00000001-DE8B-4D01-A535-70D3F64F44B2}"/>
            </c:ext>
          </c:extLst>
        </c:ser>
        <c:dLbls>
          <c:showLegendKey val="0"/>
          <c:showVal val="0"/>
          <c:showCatName val="0"/>
          <c:showSerName val="0"/>
          <c:showPercent val="0"/>
          <c:showBubbleSize val="0"/>
        </c:dLbls>
        <c:axId val="-82004384"/>
        <c:axId val="-82008192"/>
      </c:scatterChart>
      <c:valAx>
        <c:axId val="-8200438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08192"/>
        <c:crosses val="autoZero"/>
        <c:crossBetween val="midCat"/>
        <c:majorUnit val="3.4"/>
      </c:valAx>
      <c:valAx>
        <c:axId val="-82008192"/>
        <c:scaling>
          <c:orientation val="minMax"/>
          <c:max val="1"/>
          <c:min val="-1"/>
        </c:scaling>
        <c:delete val="1"/>
        <c:axPos val="l"/>
        <c:numFmt formatCode="General" sourceLinked="1"/>
        <c:majorTickMark val="none"/>
        <c:minorTickMark val="none"/>
        <c:tickLblPos val="nextTo"/>
        <c:crossAx val="-8200438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43F-4BAA-B326-CB2E829254A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8D4C6EC-2949-4737-836E-EFC61548E109}"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43F-4BAA-B326-CB2E829254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Riferimenti!$N$56</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Base!$S$349</c15:f>
                <c15:dlblRangeCache>
                  <c:ptCount val="1"/>
                </c15:dlblRangeCache>
              </c15:datalabelsRange>
            </c:ext>
            <c:ext xmlns:c16="http://schemas.microsoft.com/office/drawing/2014/chart" uri="{C3380CC4-5D6E-409C-BE32-E72D297353CC}">
              <c16:uniqueId val="{00000001-743F-4BAA-B326-CB2E829254AB}"/>
            </c:ext>
          </c:extLst>
        </c:ser>
        <c:dLbls>
          <c:showLegendKey val="0"/>
          <c:showVal val="0"/>
          <c:showCatName val="0"/>
          <c:showSerName val="0"/>
          <c:showPercent val="0"/>
          <c:showBubbleSize val="0"/>
        </c:dLbls>
        <c:axId val="-82010368"/>
        <c:axId val="-82009824"/>
      </c:scatterChart>
      <c:valAx>
        <c:axId val="-8201036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09824"/>
        <c:crosses val="autoZero"/>
        <c:crossBetween val="midCat"/>
        <c:majorUnit val="3.4"/>
      </c:valAx>
      <c:valAx>
        <c:axId val="-82009824"/>
        <c:scaling>
          <c:orientation val="minMax"/>
          <c:max val="1"/>
          <c:min val="-1"/>
        </c:scaling>
        <c:delete val="1"/>
        <c:axPos val="l"/>
        <c:numFmt formatCode="General" sourceLinked="1"/>
        <c:majorTickMark val="none"/>
        <c:minorTickMark val="none"/>
        <c:tickLblPos val="nextTo"/>
        <c:crossAx val="-8201036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1E32-439D-B042-2ADB01DE80B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F995878-D53B-4861-BA0F-504F384BDB7F}"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1E32-439D-B042-2ADB01DE80B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Riferimenti!$N$57</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Base!$S$354</c15:f>
                <c15:dlblRangeCache>
                  <c:ptCount val="1"/>
                </c15:dlblRangeCache>
              </c15:datalabelsRange>
            </c:ext>
            <c:ext xmlns:c16="http://schemas.microsoft.com/office/drawing/2014/chart" uri="{C3380CC4-5D6E-409C-BE32-E72D297353CC}">
              <c16:uniqueId val="{00000001-1E32-439D-B042-2ADB01DE80B7}"/>
            </c:ext>
          </c:extLst>
        </c:ser>
        <c:dLbls>
          <c:showLegendKey val="0"/>
          <c:showVal val="0"/>
          <c:showCatName val="0"/>
          <c:showSerName val="0"/>
          <c:showPercent val="0"/>
          <c:showBubbleSize val="0"/>
        </c:dLbls>
        <c:axId val="-82009280"/>
        <c:axId val="-82007648"/>
      </c:scatterChart>
      <c:valAx>
        <c:axId val="-8200928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07648"/>
        <c:crosses val="autoZero"/>
        <c:crossBetween val="midCat"/>
        <c:majorUnit val="3.4"/>
      </c:valAx>
      <c:valAx>
        <c:axId val="-82007648"/>
        <c:scaling>
          <c:orientation val="minMax"/>
          <c:max val="1"/>
          <c:min val="-1"/>
        </c:scaling>
        <c:delete val="1"/>
        <c:axPos val="l"/>
        <c:numFmt formatCode="General" sourceLinked="1"/>
        <c:majorTickMark val="none"/>
        <c:minorTickMark val="none"/>
        <c:tickLblPos val="nextTo"/>
        <c:crossAx val="-8200928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9BE5-408E-83B0-CF953F38BAD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DA329663-64C9-470A-BD20-225D2685039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9BE5-408E-83B0-CF953F38BA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Riferimenti!$N$58</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Base!$S$359</c15:f>
                <c15:dlblRangeCache>
                  <c:ptCount val="1"/>
                </c15:dlblRangeCache>
              </c15:datalabelsRange>
            </c:ext>
            <c:ext xmlns:c16="http://schemas.microsoft.com/office/drawing/2014/chart" uri="{C3380CC4-5D6E-409C-BE32-E72D297353CC}">
              <c16:uniqueId val="{00000001-9BE5-408E-83B0-CF953F38BAD8}"/>
            </c:ext>
          </c:extLst>
        </c:ser>
        <c:dLbls>
          <c:showLegendKey val="0"/>
          <c:showVal val="0"/>
          <c:showCatName val="0"/>
          <c:showSerName val="0"/>
          <c:showPercent val="0"/>
          <c:showBubbleSize val="0"/>
        </c:dLbls>
        <c:axId val="-82007104"/>
        <c:axId val="-82003840"/>
      </c:scatterChart>
      <c:valAx>
        <c:axId val="-820071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2003840"/>
        <c:crosses val="autoZero"/>
        <c:crossBetween val="midCat"/>
        <c:majorUnit val="3.4"/>
      </c:valAx>
      <c:valAx>
        <c:axId val="-82003840"/>
        <c:scaling>
          <c:orientation val="minMax"/>
          <c:max val="1"/>
          <c:min val="-1"/>
        </c:scaling>
        <c:delete val="1"/>
        <c:axPos val="l"/>
        <c:numFmt formatCode="General" sourceLinked="1"/>
        <c:majorTickMark val="none"/>
        <c:minorTickMark val="none"/>
        <c:tickLblPos val="nextTo"/>
        <c:crossAx val="-820071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986-418B-A544-F17E034236D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45BE62F-C247-40FB-8F85-A142DA8C757B}"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986-418B-A544-F17E034236D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Riferimenti!$N$59</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Base!$S$367</c15:f>
                <c15:dlblRangeCache>
                  <c:ptCount val="1"/>
                </c15:dlblRangeCache>
              </c15:datalabelsRange>
            </c:ext>
            <c:ext xmlns:c16="http://schemas.microsoft.com/office/drawing/2014/chart" uri="{C3380CC4-5D6E-409C-BE32-E72D297353CC}">
              <c16:uniqueId val="{00000001-7986-418B-A544-F17E034236DB}"/>
            </c:ext>
          </c:extLst>
        </c:ser>
        <c:dLbls>
          <c:showLegendKey val="0"/>
          <c:showVal val="0"/>
          <c:showCatName val="0"/>
          <c:showSerName val="0"/>
          <c:showPercent val="0"/>
          <c:showBubbleSize val="0"/>
        </c:dLbls>
        <c:axId val="-82015808"/>
        <c:axId val="-80474688"/>
      </c:scatterChart>
      <c:valAx>
        <c:axId val="-8201580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74688"/>
        <c:crosses val="autoZero"/>
        <c:crossBetween val="midCat"/>
        <c:majorUnit val="3.4"/>
      </c:valAx>
      <c:valAx>
        <c:axId val="-80474688"/>
        <c:scaling>
          <c:orientation val="minMax"/>
          <c:max val="1"/>
          <c:min val="-1"/>
        </c:scaling>
        <c:delete val="1"/>
        <c:axPos val="l"/>
        <c:numFmt formatCode="General" sourceLinked="1"/>
        <c:majorTickMark val="none"/>
        <c:minorTickMark val="none"/>
        <c:tickLblPos val="nextTo"/>
        <c:crossAx val="-8201580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DD5-404D-8A44-476C3E875EED}"/>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60714FE-2335-4CD2-B2F2-CB70CCCD87EF}"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DD5-404D-8A44-476C3E875EE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Riferimenti!$N$60</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Base!$S$372</c15:f>
                <c15:dlblRangeCache>
                  <c:ptCount val="1"/>
                </c15:dlblRangeCache>
              </c15:datalabelsRange>
            </c:ext>
            <c:ext xmlns:c16="http://schemas.microsoft.com/office/drawing/2014/chart" uri="{C3380CC4-5D6E-409C-BE32-E72D297353CC}">
              <c16:uniqueId val="{00000001-7DD5-404D-8A44-476C3E875EED}"/>
            </c:ext>
          </c:extLst>
        </c:ser>
        <c:dLbls>
          <c:showLegendKey val="0"/>
          <c:showVal val="0"/>
          <c:showCatName val="0"/>
          <c:showSerName val="0"/>
          <c:showPercent val="0"/>
          <c:showBubbleSize val="0"/>
        </c:dLbls>
        <c:axId val="-80470336"/>
        <c:axId val="-80475232"/>
      </c:scatterChart>
      <c:valAx>
        <c:axId val="-8047033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75232"/>
        <c:crosses val="autoZero"/>
        <c:crossBetween val="midCat"/>
        <c:majorUnit val="3.4"/>
      </c:valAx>
      <c:valAx>
        <c:axId val="-80475232"/>
        <c:scaling>
          <c:orientation val="minMax"/>
          <c:max val="1"/>
          <c:min val="-1"/>
        </c:scaling>
        <c:delete val="1"/>
        <c:axPos val="l"/>
        <c:numFmt formatCode="General" sourceLinked="1"/>
        <c:majorTickMark val="none"/>
        <c:minorTickMark val="none"/>
        <c:tickLblPos val="nextTo"/>
        <c:crossAx val="-8047033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A5F5-487E-AE5B-7E5248BA646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A26E1BA-F44A-46C3-98EF-D0B2C31E3CA5}"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A5F5-487E-AE5B-7E5248BA646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Riferimenti!$N$61</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Base!$S$382</c15:f>
                <c15:dlblRangeCache>
                  <c:ptCount val="1"/>
                </c15:dlblRangeCache>
              </c15:datalabelsRange>
            </c:ext>
            <c:ext xmlns:c16="http://schemas.microsoft.com/office/drawing/2014/chart" uri="{C3380CC4-5D6E-409C-BE32-E72D297353CC}">
              <c16:uniqueId val="{00000001-A5F5-487E-AE5B-7E5248BA6460}"/>
            </c:ext>
          </c:extLst>
        </c:ser>
        <c:dLbls>
          <c:showLegendKey val="0"/>
          <c:showVal val="0"/>
          <c:showCatName val="0"/>
          <c:showSerName val="0"/>
          <c:showPercent val="0"/>
          <c:showBubbleSize val="0"/>
        </c:dLbls>
        <c:axId val="-80469792"/>
        <c:axId val="-80475776"/>
      </c:scatterChart>
      <c:valAx>
        <c:axId val="-8046979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75776"/>
        <c:crosses val="autoZero"/>
        <c:crossBetween val="midCat"/>
        <c:majorUnit val="3.4"/>
      </c:valAx>
      <c:valAx>
        <c:axId val="-80475776"/>
        <c:scaling>
          <c:orientation val="minMax"/>
          <c:max val="1"/>
          <c:min val="-1"/>
        </c:scaling>
        <c:delete val="1"/>
        <c:axPos val="l"/>
        <c:numFmt formatCode="General" sourceLinked="1"/>
        <c:majorTickMark val="none"/>
        <c:minorTickMark val="none"/>
        <c:tickLblPos val="nextTo"/>
        <c:crossAx val="-8046979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C171-4D41-87DE-DEB9ED6D7386}"/>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313C54D-B896-40C8-AA08-291691EB831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C171-4D41-87DE-DEB9ED6D73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Riferimenti!$N$62</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Base!$S$390</c15:f>
                <c15:dlblRangeCache>
                  <c:ptCount val="1"/>
                </c15:dlblRangeCache>
              </c15:datalabelsRange>
            </c:ext>
            <c:ext xmlns:c16="http://schemas.microsoft.com/office/drawing/2014/chart" uri="{C3380CC4-5D6E-409C-BE32-E72D297353CC}">
              <c16:uniqueId val="{00000001-C171-4D41-87DE-DEB9ED6D7386}"/>
            </c:ext>
          </c:extLst>
        </c:ser>
        <c:dLbls>
          <c:showLegendKey val="0"/>
          <c:showVal val="0"/>
          <c:showCatName val="0"/>
          <c:showSerName val="0"/>
          <c:showPercent val="0"/>
          <c:showBubbleSize val="0"/>
        </c:dLbls>
        <c:axId val="-80467616"/>
        <c:axId val="-80469248"/>
      </c:scatterChart>
      <c:valAx>
        <c:axId val="-8046761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69248"/>
        <c:crosses val="autoZero"/>
        <c:crossBetween val="midCat"/>
        <c:majorUnit val="3.4"/>
      </c:valAx>
      <c:valAx>
        <c:axId val="-80469248"/>
        <c:scaling>
          <c:orientation val="minMax"/>
          <c:max val="1"/>
          <c:min val="-1"/>
        </c:scaling>
        <c:delete val="1"/>
        <c:axPos val="l"/>
        <c:numFmt formatCode="General" sourceLinked="1"/>
        <c:majorTickMark val="none"/>
        <c:minorTickMark val="none"/>
        <c:tickLblPos val="nextTo"/>
        <c:crossAx val="-8046761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CE6-4FAA-A2FC-D0C93147F56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E137695-9ECE-4857-AF7E-8F1268F8B9F8}"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CE6-4FAA-A2FC-D0C93147F5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Riferimenti!$N$63</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Base!$S$398</c15:f>
                <c15:dlblRangeCache>
                  <c:ptCount val="1"/>
                </c15:dlblRangeCache>
              </c15:datalabelsRange>
            </c:ext>
            <c:ext xmlns:c16="http://schemas.microsoft.com/office/drawing/2014/chart" uri="{C3380CC4-5D6E-409C-BE32-E72D297353CC}">
              <c16:uniqueId val="{00000001-0CE6-4FAA-A2FC-D0C93147F567}"/>
            </c:ext>
          </c:extLst>
        </c:ser>
        <c:dLbls>
          <c:showLegendKey val="0"/>
          <c:showVal val="0"/>
          <c:showCatName val="0"/>
          <c:showSerName val="0"/>
          <c:showPercent val="0"/>
          <c:showBubbleSize val="0"/>
        </c:dLbls>
        <c:axId val="-80472512"/>
        <c:axId val="-80477408"/>
      </c:scatterChart>
      <c:valAx>
        <c:axId val="-8047251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77408"/>
        <c:crosses val="autoZero"/>
        <c:crossBetween val="midCat"/>
        <c:majorUnit val="3.4"/>
      </c:valAx>
      <c:valAx>
        <c:axId val="-80477408"/>
        <c:scaling>
          <c:orientation val="minMax"/>
          <c:max val="1"/>
          <c:min val="-1"/>
        </c:scaling>
        <c:delete val="1"/>
        <c:axPos val="l"/>
        <c:numFmt formatCode="General" sourceLinked="1"/>
        <c:majorTickMark val="none"/>
        <c:minorTickMark val="none"/>
        <c:tickLblPos val="nextTo"/>
        <c:crossAx val="-8047251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A0D9-4056-BCCE-36EB21B83A0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DA744901-BCC0-4A57-B7FA-4915675ECBBB}"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A0D9-4056-BCCE-36EB21B83A0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Riferimenti!$N$64</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Base!$S$403</c15:f>
                <c15:dlblRangeCache>
                  <c:ptCount val="1"/>
                </c15:dlblRangeCache>
              </c15:datalabelsRange>
            </c:ext>
            <c:ext xmlns:c16="http://schemas.microsoft.com/office/drawing/2014/chart" uri="{C3380CC4-5D6E-409C-BE32-E72D297353CC}">
              <c16:uniqueId val="{00000001-A0D9-4056-BCCE-36EB21B83A01}"/>
            </c:ext>
          </c:extLst>
        </c:ser>
        <c:dLbls>
          <c:showLegendKey val="0"/>
          <c:showVal val="0"/>
          <c:showCatName val="0"/>
          <c:showSerName val="0"/>
          <c:showPercent val="0"/>
          <c:showBubbleSize val="0"/>
        </c:dLbls>
        <c:axId val="-80468704"/>
        <c:axId val="-80468160"/>
      </c:scatterChart>
      <c:valAx>
        <c:axId val="-804687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68160"/>
        <c:crosses val="autoZero"/>
        <c:crossBetween val="midCat"/>
        <c:majorUnit val="3.4"/>
      </c:valAx>
      <c:valAx>
        <c:axId val="-80468160"/>
        <c:scaling>
          <c:orientation val="minMax"/>
          <c:max val="1"/>
          <c:min val="-1"/>
        </c:scaling>
        <c:delete val="1"/>
        <c:axPos val="l"/>
        <c:numFmt formatCode="General" sourceLinked="1"/>
        <c:majorTickMark val="none"/>
        <c:minorTickMark val="none"/>
        <c:tickLblPos val="nextTo"/>
        <c:crossAx val="-804687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EF8-4AAE-AF7F-9FD8338F0E7F}"/>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EB32E5C5-B608-491C-B921-6225C68C8B3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EF8-4AAE-AF7F-9FD8338F0E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Riferimenti!$N$53</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Base!$S$331</c15:f>
                <c15:dlblRangeCache>
                  <c:ptCount val="1"/>
                </c15:dlblRangeCache>
              </c15:datalabelsRange>
            </c:ext>
            <c:ext xmlns:c16="http://schemas.microsoft.com/office/drawing/2014/chart" uri="{C3380CC4-5D6E-409C-BE32-E72D297353CC}">
              <c16:uniqueId val="{00000001-DEF8-4AAE-AF7F-9FD8338F0E7F}"/>
            </c:ext>
          </c:extLst>
        </c:ser>
        <c:dLbls>
          <c:showLegendKey val="0"/>
          <c:showVal val="0"/>
          <c:showCatName val="0"/>
          <c:showSerName val="0"/>
          <c:showPercent val="0"/>
          <c:showBubbleSize val="0"/>
        </c:dLbls>
        <c:axId val="-80464352"/>
        <c:axId val="-80473056"/>
      </c:scatterChart>
      <c:valAx>
        <c:axId val="-8046435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73056"/>
        <c:crosses val="autoZero"/>
        <c:crossBetween val="midCat"/>
        <c:majorUnit val="3.4"/>
      </c:valAx>
      <c:valAx>
        <c:axId val="-80473056"/>
        <c:scaling>
          <c:orientation val="minMax"/>
          <c:max val="1"/>
          <c:min val="-1"/>
        </c:scaling>
        <c:delete val="1"/>
        <c:axPos val="l"/>
        <c:numFmt formatCode="General" sourceLinked="1"/>
        <c:majorTickMark val="none"/>
        <c:minorTickMark val="none"/>
        <c:tickLblPos val="nextTo"/>
        <c:crossAx val="-8046435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E11-4F05-80AA-FA8BDF1FA3CF}"/>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50FE9A57-D8E6-407C-9DF3-B8690D633CFD}"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E11-4F05-80AA-FA8BDF1FA3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Riferimenti!$N$52</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Base!$S$326</c15:f>
                <c15:dlblRangeCache>
                  <c:ptCount val="1"/>
                </c15:dlblRangeCache>
              </c15:datalabelsRange>
            </c:ext>
            <c:ext xmlns:c16="http://schemas.microsoft.com/office/drawing/2014/chart" uri="{C3380CC4-5D6E-409C-BE32-E72D297353CC}">
              <c16:uniqueId val="{00000001-2E11-4F05-80AA-FA8BDF1FA3CF}"/>
            </c:ext>
          </c:extLst>
        </c:ser>
        <c:dLbls>
          <c:showLegendKey val="0"/>
          <c:showVal val="0"/>
          <c:showCatName val="0"/>
          <c:showSerName val="0"/>
          <c:showPercent val="0"/>
          <c:showBubbleSize val="0"/>
        </c:dLbls>
        <c:axId val="-80477952"/>
        <c:axId val="-80465984"/>
      </c:scatterChart>
      <c:valAx>
        <c:axId val="-8047795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65984"/>
        <c:crosses val="autoZero"/>
        <c:crossBetween val="midCat"/>
        <c:majorUnit val="3.4"/>
      </c:valAx>
      <c:valAx>
        <c:axId val="-80465984"/>
        <c:scaling>
          <c:orientation val="minMax"/>
          <c:max val="1"/>
          <c:min val="-1"/>
        </c:scaling>
        <c:delete val="1"/>
        <c:axPos val="l"/>
        <c:numFmt formatCode="General" sourceLinked="1"/>
        <c:majorTickMark val="none"/>
        <c:minorTickMark val="none"/>
        <c:tickLblPos val="nextTo"/>
        <c:crossAx val="-8047795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966-42B8-B1B7-D8C9AECECF5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D6DFF46-B79C-4CEA-A673-580E4ABE0DC7}"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966-42B8-B1B7-D8C9AECECF5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Riferimenti!$N$45</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Base!$S$277</c15:f>
                <c15:dlblRangeCache>
                  <c:ptCount val="1"/>
                </c15:dlblRangeCache>
              </c15:datalabelsRange>
            </c:ext>
            <c:ext xmlns:c16="http://schemas.microsoft.com/office/drawing/2014/chart" uri="{C3380CC4-5D6E-409C-BE32-E72D297353CC}">
              <c16:uniqueId val="{00000001-4966-42B8-B1B7-D8C9AECECF51}"/>
            </c:ext>
          </c:extLst>
        </c:ser>
        <c:dLbls>
          <c:showLegendKey val="0"/>
          <c:showVal val="0"/>
          <c:showCatName val="0"/>
          <c:showSerName val="0"/>
          <c:showPercent val="0"/>
          <c:showBubbleSize val="0"/>
        </c:dLbls>
        <c:axId val="-80467072"/>
        <c:axId val="-80463808"/>
      </c:scatterChart>
      <c:valAx>
        <c:axId val="-8046707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63808"/>
        <c:crosses val="autoZero"/>
        <c:crossBetween val="midCat"/>
        <c:majorUnit val="3.4"/>
      </c:valAx>
      <c:valAx>
        <c:axId val="-80463808"/>
        <c:scaling>
          <c:orientation val="minMax"/>
          <c:max val="1"/>
          <c:min val="-1"/>
        </c:scaling>
        <c:delete val="1"/>
        <c:axPos val="l"/>
        <c:numFmt formatCode="General" sourceLinked="1"/>
        <c:majorTickMark val="none"/>
        <c:minorTickMark val="none"/>
        <c:tickLblPos val="nextTo"/>
        <c:crossAx val="-8046707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5A5A-4AB5-9AFD-0B9B1FFBA223}"/>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9DA496BE-EE63-48BB-B5C3-C4A80FC7484F}"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5A5A-4AB5-9AFD-0B9B1FFBA22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Riferimenti!$N$65</c:f>
              <c:numCache>
                <c:formatCode>0.00</c:formatCode>
                <c:ptCount val="1"/>
                <c:pt idx="0">
                  <c:v>0</c:v>
                </c:pt>
              </c:numCache>
            </c:numRef>
          </c:xVal>
          <c:yVal>
            <c:numLit>
              <c:formatCode>General</c:formatCode>
              <c:ptCount val="1"/>
              <c:pt idx="0">
                <c:v>0</c:v>
              </c:pt>
            </c:numLit>
          </c:yVal>
          <c:smooth val="0"/>
          <c:extLst>
            <c:ext xmlns:c15="http://schemas.microsoft.com/office/drawing/2012/chart" uri="{02D57815-91ED-43cb-92C2-25804820EDAC}">
              <c15:datalabelsRange>
                <c15:f>Base!$S$410</c15:f>
                <c15:dlblRangeCache>
                  <c:ptCount val="1"/>
                </c15:dlblRangeCache>
              </c15:datalabelsRange>
            </c:ext>
            <c:ext xmlns:c16="http://schemas.microsoft.com/office/drawing/2014/chart" uri="{C3380CC4-5D6E-409C-BE32-E72D297353CC}">
              <c16:uniqueId val="{00000001-5A5A-4AB5-9AFD-0B9B1FFBA223}"/>
            </c:ext>
          </c:extLst>
        </c:ser>
        <c:dLbls>
          <c:showLegendKey val="0"/>
          <c:showVal val="0"/>
          <c:showCatName val="0"/>
          <c:showSerName val="0"/>
          <c:showPercent val="0"/>
          <c:showBubbleSize val="0"/>
        </c:dLbls>
        <c:axId val="-80476864"/>
        <c:axId val="-80466528"/>
      </c:scatterChart>
      <c:valAx>
        <c:axId val="-8047686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66528"/>
        <c:crosses val="autoZero"/>
        <c:crossBetween val="midCat"/>
        <c:majorUnit val="3.4"/>
      </c:valAx>
      <c:valAx>
        <c:axId val="-80466528"/>
        <c:scaling>
          <c:orientation val="minMax"/>
          <c:max val="1"/>
          <c:min val="-1"/>
        </c:scaling>
        <c:delete val="1"/>
        <c:axPos val="l"/>
        <c:numFmt formatCode="General" sourceLinked="1"/>
        <c:majorTickMark val="none"/>
        <c:minorTickMark val="none"/>
        <c:tickLblPos val="nextTo"/>
        <c:crossAx val="-8047686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E9AA-435A-959E-21853D63A5E9}"/>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D7E9C966-1EE9-4AAC-885B-95DC3ED0E1A9}"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E9AA-435A-959E-21853D63A5E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Base!$S$31</c15:f>
                <c15:dlblRangeCache>
                  <c:ptCount val="1"/>
                </c15:dlblRangeCache>
              </c15:datalabelsRange>
            </c:ext>
            <c:ext xmlns:c16="http://schemas.microsoft.com/office/drawing/2014/chart" uri="{C3380CC4-5D6E-409C-BE32-E72D297353CC}">
              <c16:uniqueId val="{00000001-E9AA-435A-959E-21853D63A5E9}"/>
            </c:ext>
          </c:extLst>
        </c:ser>
        <c:dLbls>
          <c:showLegendKey val="0"/>
          <c:showVal val="0"/>
          <c:showCatName val="0"/>
          <c:showSerName val="0"/>
          <c:showPercent val="0"/>
          <c:showBubbleSize val="0"/>
        </c:dLbls>
        <c:axId val="-80465440"/>
        <c:axId val="-80464896"/>
      </c:scatterChart>
      <c:valAx>
        <c:axId val="-8046544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64896"/>
        <c:crosses val="autoZero"/>
        <c:crossBetween val="midCat"/>
        <c:majorUnit val="3.4"/>
      </c:valAx>
      <c:valAx>
        <c:axId val="-80464896"/>
        <c:scaling>
          <c:orientation val="minMax"/>
          <c:max val="1"/>
          <c:min val="-1"/>
        </c:scaling>
        <c:delete val="1"/>
        <c:axPos val="l"/>
        <c:numFmt formatCode="General" sourceLinked="1"/>
        <c:majorTickMark val="none"/>
        <c:minorTickMark val="none"/>
        <c:tickLblPos val="nextTo"/>
        <c:crossAx val="-8046544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5A2F-45B1-8376-56246AB55C15}"/>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BF2AEA7-79AA-402A-B858-7F15B97F15AD}"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5A2F-45B1-8376-56246AB55C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Base!$S$36</c15:f>
                <c15:dlblRangeCache>
                  <c:ptCount val="1"/>
                </c15:dlblRangeCache>
              </c15:datalabelsRange>
            </c:ext>
            <c:ext xmlns:c16="http://schemas.microsoft.com/office/drawing/2014/chart" uri="{C3380CC4-5D6E-409C-BE32-E72D297353CC}">
              <c16:uniqueId val="{00000001-5A2F-45B1-8376-56246AB55C15}"/>
            </c:ext>
          </c:extLst>
        </c:ser>
        <c:dLbls>
          <c:showLegendKey val="0"/>
          <c:showVal val="0"/>
          <c:showCatName val="0"/>
          <c:showSerName val="0"/>
          <c:showPercent val="0"/>
          <c:showBubbleSize val="0"/>
        </c:dLbls>
        <c:axId val="-80474144"/>
        <c:axId val="-80473600"/>
      </c:scatterChart>
      <c:valAx>
        <c:axId val="-8047414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73600"/>
        <c:crosses val="autoZero"/>
        <c:crossBetween val="midCat"/>
        <c:majorUnit val="3.4"/>
      </c:valAx>
      <c:valAx>
        <c:axId val="-80473600"/>
        <c:scaling>
          <c:orientation val="minMax"/>
          <c:max val="1"/>
          <c:min val="-1"/>
        </c:scaling>
        <c:delete val="1"/>
        <c:axPos val="l"/>
        <c:numFmt formatCode="General" sourceLinked="1"/>
        <c:majorTickMark val="none"/>
        <c:minorTickMark val="none"/>
        <c:tickLblPos val="nextTo"/>
        <c:crossAx val="-8047414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0D6-4F05-8B9E-CD85C912CB7A}"/>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4C269C3-BFE8-456C-867E-67ABE1F5E5E9}"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0D6-4F05-8B9E-CD85C912CB7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Base!$S$41</c15:f>
                <c15:dlblRangeCache>
                  <c:ptCount val="1"/>
                </c15:dlblRangeCache>
              </c15:datalabelsRange>
            </c:ext>
            <c:ext xmlns:c16="http://schemas.microsoft.com/office/drawing/2014/chart" uri="{C3380CC4-5D6E-409C-BE32-E72D297353CC}">
              <c16:uniqueId val="{00000001-60D6-4F05-8B9E-CD85C912CB7A}"/>
            </c:ext>
          </c:extLst>
        </c:ser>
        <c:dLbls>
          <c:showLegendKey val="0"/>
          <c:showVal val="0"/>
          <c:showCatName val="0"/>
          <c:showSerName val="0"/>
          <c:showPercent val="0"/>
          <c:showBubbleSize val="0"/>
        </c:dLbls>
        <c:axId val="-80463264"/>
        <c:axId val="-80462720"/>
      </c:scatterChart>
      <c:valAx>
        <c:axId val="-8046326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62720"/>
        <c:crosses val="autoZero"/>
        <c:crossBetween val="midCat"/>
        <c:majorUnit val="3.4"/>
      </c:valAx>
      <c:valAx>
        <c:axId val="-80462720"/>
        <c:scaling>
          <c:orientation val="minMax"/>
          <c:max val="1"/>
          <c:min val="-1"/>
        </c:scaling>
        <c:delete val="1"/>
        <c:axPos val="l"/>
        <c:numFmt formatCode="General" sourceLinked="1"/>
        <c:majorTickMark val="none"/>
        <c:minorTickMark val="none"/>
        <c:tickLblPos val="nextTo"/>
        <c:crossAx val="-8046326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2B9-4406-AB6C-FAA1B01A756C}"/>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0CE9B66-8B0D-423D-A273-DCAAE2849741}"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2B9-4406-AB6C-FAA1B01A75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Riferimenti!$N$7</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Base!$S$46</c15:f>
                <c15:dlblRangeCache>
                  <c:ptCount val="1"/>
                </c15:dlblRangeCache>
              </c15:datalabelsRange>
            </c:ext>
            <c:ext xmlns:c16="http://schemas.microsoft.com/office/drawing/2014/chart" uri="{C3380CC4-5D6E-409C-BE32-E72D297353CC}">
              <c16:uniqueId val="{00000001-62B9-4406-AB6C-FAA1B01A756C}"/>
            </c:ext>
          </c:extLst>
        </c:ser>
        <c:dLbls>
          <c:showLegendKey val="0"/>
          <c:showVal val="0"/>
          <c:showCatName val="0"/>
          <c:showSerName val="0"/>
          <c:showPercent val="0"/>
          <c:showBubbleSize val="0"/>
        </c:dLbls>
        <c:axId val="-80471968"/>
        <c:axId val="-80471424"/>
      </c:scatterChart>
      <c:valAx>
        <c:axId val="-8047196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71424"/>
        <c:crosses val="autoZero"/>
        <c:crossBetween val="midCat"/>
        <c:majorUnit val="3.4"/>
      </c:valAx>
      <c:valAx>
        <c:axId val="-80471424"/>
        <c:scaling>
          <c:orientation val="minMax"/>
          <c:max val="1"/>
          <c:min val="-1"/>
        </c:scaling>
        <c:delete val="1"/>
        <c:axPos val="l"/>
        <c:numFmt formatCode="General" sourceLinked="1"/>
        <c:majorTickMark val="none"/>
        <c:minorTickMark val="none"/>
        <c:tickLblPos val="nextTo"/>
        <c:crossAx val="-8047196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8DF7-459F-A8AE-8E4D1051D9BF}"/>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921FFBF-437B-41F9-A43D-85BE221D14A1}"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8DF7-459F-A8AE-8E4D1051D9B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Riferimenti!$N$8</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Base!$S$51</c15:f>
                <c15:dlblRangeCache>
                  <c:ptCount val="1"/>
                </c15:dlblRangeCache>
              </c15:datalabelsRange>
            </c:ext>
            <c:ext xmlns:c16="http://schemas.microsoft.com/office/drawing/2014/chart" uri="{C3380CC4-5D6E-409C-BE32-E72D297353CC}">
              <c16:uniqueId val="{00000001-8DF7-459F-A8AE-8E4D1051D9BF}"/>
            </c:ext>
          </c:extLst>
        </c:ser>
        <c:dLbls>
          <c:showLegendKey val="0"/>
          <c:showVal val="0"/>
          <c:showCatName val="0"/>
          <c:showSerName val="0"/>
          <c:showPercent val="0"/>
          <c:showBubbleSize val="0"/>
        </c:dLbls>
        <c:axId val="-80476320"/>
        <c:axId val="-80470880"/>
      </c:scatterChart>
      <c:valAx>
        <c:axId val="-8047632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80470880"/>
        <c:crosses val="autoZero"/>
        <c:crossBetween val="midCat"/>
        <c:majorUnit val="3.4"/>
      </c:valAx>
      <c:valAx>
        <c:axId val="-80470880"/>
        <c:scaling>
          <c:orientation val="minMax"/>
          <c:max val="1"/>
          <c:min val="-1"/>
        </c:scaling>
        <c:delete val="1"/>
        <c:axPos val="l"/>
        <c:numFmt formatCode="General" sourceLinked="1"/>
        <c:majorTickMark val="none"/>
        <c:minorTickMark val="none"/>
        <c:tickLblPos val="nextTo"/>
        <c:crossAx val="-8047632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1AE-49C3-BCCB-7544B6449DC5}"/>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636E758-D7D7-4C05-ADB0-A9A50DAA0395}"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1AE-49C3-BCCB-7544B6449DC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Riferimenti!$N$9</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Base!$S$59</c15:f>
                <c15:dlblRangeCache>
                  <c:ptCount val="1"/>
                </c15:dlblRangeCache>
              </c15:datalabelsRange>
            </c:ext>
            <c:ext xmlns:c16="http://schemas.microsoft.com/office/drawing/2014/chart" uri="{C3380CC4-5D6E-409C-BE32-E72D297353CC}">
              <c16:uniqueId val="{00000001-D1AE-49C3-BCCB-7544B6449DC5}"/>
            </c:ext>
          </c:extLst>
        </c:ser>
        <c:dLbls>
          <c:showLegendKey val="0"/>
          <c:showVal val="0"/>
          <c:showCatName val="0"/>
          <c:showSerName val="0"/>
          <c:showPercent val="0"/>
          <c:showBubbleSize val="0"/>
        </c:dLbls>
        <c:axId val="-79034704"/>
        <c:axId val="-79044496"/>
      </c:scatterChart>
      <c:valAx>
        <c:axId val="-790347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79044496"/>
        <c:crosses val="autoZero"/>
        <c:crossBetween val="midCat"/>
        <c:majorUnit val="3.4"/>
      </c:valAx>
      <c:valAx>
        <c:axId val="-79044496"/>
        <c:scaling>
          <c:orientation val="minMax"/>
          <c:max val="1"/>
          <c:min val="-1"/>
        </c:scaling>
        <c:delete val="1"/>
        <c:axPos val="l"/>
        <c:numFmt formatCode="General" sourceLinked="1"/>
        <c:majorTickMark val="none"/>
        <c:minorTickMark val="none"/>
        <c:tickLblPos val="nextTo"/>
        <c:crossAx val="-790347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54A-4A50-84DB-F9B6BA42BBA6}"/>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92E571E-C2D7-4EE6-A3F8-8C8C48125D98}"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54A-4A50-84DB-F9B6BA42BBA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Riferimenti!$N$10</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Base!$S$68</c15:f>
                <c15:dlblRangeCache>
                  <c:ptCount val="1"/>
                </c15:dlblRangeCache>
              </c15:datalabelsRange>
            </c:ext>
            <c:ext xmlns:c16="http://schemas.microsoft.com/office/drawing/2014/chart" uri="{C3380CC4-5D6E-409C-BE32-E72D297353CC}">
              <c16:uniqueId val="{00000001-654A-4A50-84DB-F9B6BA42BBA6}"/>
            </c:ext>
          </c:extLst>
        </c:ser>
        <c:dLbls>
          <c:showLegendKey val="0"/>
          <c:showVal val="0"/>
          <c:showCatName val="0"/>
          <c:showSerName val="0"/>
          <c:showPercent val="0"/>
          <c:showBubbleSize val="0"/>
        </c:dLbls>
        <c:axId val="-79043952"/>
        <c:axId val="-79034160"/>
      </c:scatterChart>
      <c:valAx>
        <c:axId val="-7904395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79034160"/>
        <c:crosses val="autoZero"/>
        <c:crossBetween val="midCat"/>
        <c:majorUnit val="3.4"/>
      </c:valAx>
      <c:valAx>
        <c:axId val="-79034160"/>
        <c:scaling>
          <c:orientation val="minMax"/>
          <c:max val="1"/>
          <c:min val="-1"/>
        </c:scaling>
        <c:delete val="1"/>
        <c:axPos val="l"/>
        <c:numFmt formatCode="General" sourceLinked="1"/>
        <c:majorTickMark val="none"/>
        <c:minorTickMark val="none"/>
        <c:tickLblPos val="nextTo"/>
        <c:crossAx val="-7904395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B88C-4582-A225-A5728476379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F398ADC-5CEB-4EB5-B4BD-B72D377F5704}"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B88C-4582-A225-A572847637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Base!$S$21</c15:f>
                <c15:dlblRangeCache>
                  <c:ptCount val="1"/>
                </c15:dlblRangeCache>
              </c15:datalabelsRange>
            </c:ext>
            <c:ext xmlns:c16="http://schemas.microsoft.com/office/drawing/2014/chart" uri="{C3380CC4-5D6E-409C-BE32-E72D297353CC}">
              <c16:uniqueId val="{00000001-B88C-4582-A225-A57284763797}"/>
            </c:ext>
          </c:extLst>
        </c:ser>
        <c:dLbls>
          <c:showLegendKey val="0"/>
          <c:showVal val="0"/>
          <c:showCatName val="0"/>
          <c:showSerName val="0"/>
          <c:showPercent val="0"/>
          <c:showBubbleSize val="0"/>
        </c:dLbls>
        <c:axId val="-79038512"/>
        <c:axId val="-79040144"/>
      </c:scatterChart>
      <c:valAx>
        <c:axId val="-7903851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79040144"/>
        <c:crosses val="autoZero"/>
        <c:crossBetween val="midCat"/>
        <c:majorUnit val="3.4"/>
      </c:valAx>
      <c:valAx>
        <c:axId val="-79040144"/>
        <c:scaling>
          <c:orientation val="minMax"/>
          <c:max val="1"/>
          <c:min val="-1"/>
        </c:scaling>
        <c:delete val="1"/>
        <c:axPos val="l"/>
        <c:numFmt formatCode="General" sourceLinked="1"/>
        <c:majorTickMark val="none"/>
        <c:minorTickMark val="none"/>
        <c:tickLblPos val="nextTo"/>
        <c:crossAx val="-7903851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F93-4F64-A1CC-35F88816D796}"/>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25DFA8A-4499-4961-BEC9-268A61ECBB4A}"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F93-4F64-A1CC-35F88816D79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Riferimenti!$N$11</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Base!$S$73</c15:f>
                <c15:dlblRangeCache>
                  <c:ptCount val="1"/>
                </c15:dlblRangeCache>
              </c15:datalabelsRange>
            </c:ext>
            <c:ext xmlns:c16="http://schemas.microsoft.com/office/drawing/2014/chart" uri="{C3380CC4-5D6E-409C-BE32-E72D297353CC}">
              <c16:uniqueId val="{00000001-4F93-4F64-A1CC-35F88816D796}"/>
            </c:ext>
          </c:extLst>
        </c:ser>
        <c:dLbls>
          <c:showLegendKey val="0"/>
          <c:showVal val="0"/>
          <c:showCatName val="0"/>
          <c:showSerName val="0"/>
          <c:showPercent val="0"/>
          <c:showBubbleSize val="0"/>
        </c:dLbls>
        <c:axId val="-79036880"/>
        <c:axId val="-79043408"/>
      </c:scatterChart>
      <c:valAx>
        <c:axId val="-7903688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79043408"/>
        <c:crosses val="autoZero"/>
        <c:crossBetween val="midCat"/>
        <c:majorUnit val="3.4"/>
      </c:valAx>
      <c:valAx>
        <c:axId val="-79043408"/>
        <c:scaling>
          <c:orientation val="minMax"/>
          <c:max val="1"/>
          <c:min val="-1"/>
        </c:scaling>
        <c:delete val="1"/>
        <c:axPos val="l"/>
        <c:numFmt formatCode="General" sourceLinked="1"/>
        <c:majorTickMark val="none"/>
        <c:minorTickMark val="none"/>
        <c:tickLblPos val="nextTo"/>
        <c:crossAx val="-7903688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FA1-49DC-9B41-D7A40C67869A}"/>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A2A8D01F-3602-4EC7-BB3C-9E63771B7A12}" type="CELLRANGE">
                      <a:rPr lang="en-US"/>
                      <a:pPr>
                        <a:defRPr sz="900" b="0" i="0" u="none" strike="noStrike" kern="1200" baseline="0">
                          <a:solidFill>
                            <a:schemeClr val="tx1"/>
                          </a:solidFill>
                          <a:latin typeface="+mn-lt"/>
                          <a:ea typeface="+mn-ea"/>
                          <a:cs typeface="+mn-cs"/>
                        </a:defRPr>
                      </a:pPr>
                      <a:t>[INTERVALLOCELLE]</a:t>
                    </a:fld>
                    <a:endParaRPr lang="en-GB"/>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FA1-49DC-9B41-D7A40C67869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Riferimenti!$N$12</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Base!$S$78</c15:f>
                <c15:dlblRangeCache>
                  <c:ptCount val="1"/>
                </c15:dlblRangeCache>
              </c15:datalabelsRange>
            </c:ext>
            <c:ext xmlns:c16="http://schemas.microsoft.com/office/drawing/2014/chart" uri="{C3380CC4-5D6E-409C-BE32-E72D297353CC}">
              <c16:uniqueId val="{00000001-DFA1-49DC-9B41-D7A40C67869A}"/>
            </c:ext>
          </c:extLst>
        </c:ser>
        <c:dLbls>
          <c:showLegendKey val="0"/>
          <c:showVal val="0"/>
          <c:showCatName val="0"/>
          <c:showSerName val="0"/>
          <c:showPercent val="0"/>
          <c:showBubbleSize val="0"/>
        </c:dLbls>
        <c:axId val="-79036880"/>
        <c:axId val="-79043408"/>
      </c:scatterChart>
      <c:valAx>
        <c:axId val="-7903688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79043408"/>
        <c:crosses val="autoZero"/>
        <c:crossBetween val="midCat"/>
        <c:majorUnit val="3.4"/>
      </c:valAx>
      <c:valAx>
        <c:axId val="-79043408"/>
        <c:scaling>
          <c:orientation val="minMax"/>
          <c:max val="1"/>
          <c:min val="-1"/>
        </c:scaling>
        <c:delete val="1"/>
        <c:axPos val="l"/>
        <c:numFmt formatCode="General" sourceLinked="1"/>
        <c:majorTickMark val="none"/>
        <c:minorTickMark val="none"/>
        <c:tickLblPos val="nextTo"/>
        <c:crossAx val="-7903688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chart" Target="../charts/chart25.xml"/><Relationship Id="rId21" Type="http://schemas.openxmlformats.org/officeDocument/2006/relationships/chart" Target="../charts/chart20.xml"/><Relationship Id="rId34" Type="http://schemas.openxmlformats.org/officeDocument/2006/relationships/chart" Target="../charts/chart33.xml"/><Relationship Id="rId42" Type="http://schemas.openxmlformats.org/officeDocument/2006/relationships/chart" Target="../charts/chart41.xml"/><Relationship Id="rId47" Type="http://schemas.openxmlformats.org/officeDocument/2006/relationships/chart" Target="../charts/chart46.xml"/><Relationship Id="rId50" Type="http://schemas.openxmlformats.org/officeDocument/2006/relationships/chart" Target="../charts/chart49.xml"/><Relationship Id="rId55" Type="http://schemas.openxmlformats.org/officeDocument/2006/relationships/chart" Target="../charts/chart54.xml"/><Relationship Id="rId63" Type="http://schemas.openxmlformats.org/officeDocument/2006/relationships/chart" Target="../charts/chart62.xml"/><Relationship Id="rId7" Type="http://schemas.openxmlformats.org/officeDocument/2006/relationships/chart" Target="../charts/chart6.xml"/><Relationship Id="rId2" Type="http://schemas.openxmlformats.org/officeDocument/2006/relationships/chart" Target="../charts/chart1.xml"/><Relationship Id="rId16" Type="http://schemas.openxmlformats.org/officeDocument/2006/relationships/chart" Target="../charts/chart15.xml"/><Relationship Id="rId29" Type="http://schemas.openxmlformats.org/officeDocument/2006/relationships/chart" Target="../charts/chart28.xml"/><Relationship Id="rId11" Type="http://schemas.openxmlformats.org/officeDocument/2006/relationships/chart" Target="../charts/chart10.xml"/><Relationship Id="rId24" Type="http://schemas.openxmlformats.org/officeDocument/2006/relationships/chart" Target="../charts/chart23.xml"/><Relationship Id="rId32" Type="http://schemas.openxmlformats.org/officeDocument/2006/relationships/chart" Target="../charts/chart31.xml"/><Relationship Id="rId37" Type="http://schemas.openxmlformats.org/officeDocument/2006/relationships/chart" Target="../charts/chart36.xml"/><Relationship Id="rId40" Type="http://schemas.openxmlformats.org/officeDocument/2006/relationships/chart" Target="../charts/chart39.xml"/><Relationship Id="rId45" Type="http://schemas.openxmlformats.org/officeDocument/2006/relationships/chart" Target="../charts/chart44.xml"/><Relationship Id="rId53" Type="http://schemas.openxmlformats.org/officeDocument/2006/relationships/chart" Target="../charts/chart52.xml"/><Relationship Id="rId58" Type="http://schemas.openxmlformats.org/officeDocument/2006/relationships/chart" Target="../charts/chart57.xml"/><Relationship Id="rId5" Type="http://schemas.openxmlformats.org/officeDocument/2006/relationships/chart" Target="../charts/chart4.xml"/><Relationship Id="rId61" Type="http://schemas.openxmlformats.org/officeDocument/2006/relationships/chart" Target="../charts/chart60.xml"/><Relationship Id="rId19" Type="http://schemas.openxmlformats.org/officeDocument/2006/relationships/chart" Target="../charts/chart18.xml"/><Relationship Id="rId14" Type="http://schemas.openxmlformats.org/officeDocument/2006/relationships/chart" Target="../charts/chart13.xml"/><Relationship Id="rId22" Type="http://schemas.openxmlformats.org/officeDocument/2006/relationships/chart" Target="../charts/chart21.xml"/><Relationship Id="rId27" Type="http://schemas.openxmlformats.org/officeDocument/2006/relationships/chart" Target="../charts/chart26.xml"/><Relationship Id="rId30" Type="http://schemas.openxmlformats.org/officeDocument/2006/relationships/chart" Target="../charts/chart29.xml"/><Relationship Id="rId35" Type="http://schemas.openxmlformats.org/officeDocument/2006/relationships/chart" Target="../charts/chart34.xml"/><Relationship Id="rId43" Type="http://schemas.openxmlformats.org/officeDocument/2006/relationships/chart" Target="../charts/chart42.xml"/><Relationship Id="rId48" Type="http://schemas.openxmlformats.org/officeDocument/2006/relationships/chart" Target="../charts/chart47.xml"/><Relationship Id="rId56" Type="http://schemas.openxmlformats.org/officeDocument/2006/relationships/chart" Target="../charts/chart55.xml"/><Relationship Id="rId64" Type="http://schemas.openxmlformats.org/officeDocument/2006/relationships/chart" Target="../charts/chart63.xml"/><Relationship Id="rId8" Type="http://schemas.openxmlformats.org/officeDocument/2006/relationships/chart" Target="../charts/chart7.xml"/><Relationship Id="rId51" Type="http://schemas.openxmlformats.org/officeDocument/2006/relationships/chart" Target="../charts/chart50.xml"/><Relationship Id="rId3" Type="http://schemas.openxmlformats.org/officeDocument/2006/relationships/chart" Target="../charts/chart2.xml"/><Relationship Id="rId12" Type="http://schemas.openxmlformats.org/officeDocument/2006/relationships/chart" Target="../charts/chart11.xml"/><Relationship Id="rId17" Type="http://schemas.openxmlformats.org/officeDocument/2006/relationships/chart" Target="../charts/chart16.xml"/><Relationship Id="rId25" Type="http://schemas.openxmlformats.org/officeDocument/2006/relationships/chart" Target="../charts/chart24.xml"/><Relationship Id="rId33" Type="http://schemas.openxmlformats.org/officeDocument/2006/relationships/chart" Target="../charts/chart32.xml"/><Relationship Id="rId38" Type="http://schemas.openxmlformats.org/officeDocument/2006/relationships/chart" Target="../charts/chart37.xml"/><Relationship Id="rId46" Type="http://schemas.openxmlformats.org/officeDocument/2006/relationships/chart" Target="../charts/chart45.xml"/><Relationship Id="rId59" Type="http://schemas.openxmlformats.org/officeDocument/2006/relationships/chart" Target="../charts/chart58.xml"/><Relationship Id="rId20" Type="http://schemas.openxmlformats.org/officeDocument/2006/relationships/chart" Target="../charts/chart19.xml"/><Relationship Id="rId41" Type="http://schemas.openxmlformats.org/officeDocument/2006/relationships/chart" Target="../charts/chart40.xml"/><Relationship Id="rId54" Type="http://schemas.openxmlformats.org/officeDocument/2006/relationships/chart" Target="../charts/chart53.xml"/><Relationship Id="rId62" Type="http://schemas.openxmlformats.org/officeDocument/2006/relationships/chart" Target="../charts/chart61.xml"/><Relationship Id="rId1" Type="http://schemas.openxmlformats.org/officeDocument/2006/relationships/image" Target="../media/image1.jpg"/><Relationship Id="rId6" Type="http://schemas.openxmlformats.org/officeDocument/2006/relationships/chart" Target="../charts/chart5.xml"/><Relationship Id="rId15" Type="http://schemas.openxmlformats.org/officeDocument/2006/relationships/chart" Target="../charts/chart14.xml"/><Relationship Id="rId23" Type="http://schemas.openxmlformats.org/officeDocument/2006/relationships/chart" Target="../charts/chart22.xml"/><Relationship Id="rId28" Type="http://schemas.openxmlformats.org/officeDocument/2006/relationships/chart" Target="../charts/chart27.xml"/><Relationship Id="rId36" Type="http://schemas.openxmlformats.org/officeDocument/2006/relationships/chart" Target="../charts/chart35.xml"/><Relationship Id="rId49" Type="http://schemas.openxmlformats.org/officeDocument/2006/relationships/chart" Target="../charts/chart48.xml"/><Relationship Id="rId57" Type="http://schemas.openxmlformats.org/officeDocument/2006/relationships/chart" Target="../charts/chart56.xml"/><Relationship Id="rId10" Type="http://schemas.openxmlformats.org/officeDocument/2006/relationships/chart" Target="../charts/chart9.xml"/><Relationship Id="rId31" Type="http://schemas.openxmlformats.org/officeDocument/2006/relationships/chart" Target="../charts/chart30.xml"/><Relationship Id="rId44" Type="http://schemas.openxmlformats.org/officeDocument/2006/relationships/chart" Target="../charts/chart43.xml"/><Relationship Id="rId52" Type="http://schemas.openxmlformats.org/officeDocument/2006/relationships/chart" Target="../charts/chart51.xml"/><Relationship Id="rId60" Type="http://schemas.openxmlformats.org/officeDocument/2006/relationships/chart" Target="../charts/chart59.xml"/><Relationship Id="rId65" Type="http://schemas.openxmlformats.org/officeDocument/2006/relationships/chart" Target="../charts/chart64.xml"/><Relationship Id="rId4" Type="http://schemas.openxmlformats.org/officeDocument/2006/relationships/chart" Target="../charts/chart3.xml"/><Relationship Id="rId9" Type="http://schemas.openxmlformats.org/officeDocument/2006/relationships/chart" Target="../charts/chart8.xml"/><Relationship Id="rId13" Type="http://schemas.openxmlformats.org/officeDocument/2006/relationships/chart" Target="../charts/chart12.xml"/><Relationship Id="rId18" Type="http://schemas.openxmlformats.org/officeDocument/2006/relationships/chart" Target="../charts/chart17.xml"/><Relationship Id="rId39" Type="http://schemas.openxmlformats.org/officeDocument/2006/relationships/chart" Target="../charts/chart3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9525</xdr:colOff>
          <xdr:row>10</xdr:row>
          <xdr:rowOff>161925</xdr:rowOff>
        </xdr:from>
        <xdr:to>
          <xdr:col>33</xdr:col>
          <xdr:colOff>219075</xdr:colOff>
          <xdr:row>12</xdr:row>
          <xdr:rowOff>19050</xdr:rowOff>
        </xdr:to>
        <xdr:sp macro="" textlink="">
          <xdr:nvSpPr>
            <xdr:cNvPr id="39937" name="Button 3" hidden="1">
              <a:extLst>
                <a:ext uri="{63B3BB69-23CF-44E3-9099-C40C66FF867C}">
                  <a14:compatExt spid="_x0000_s39937"/>
                </a:ext>
                <a:ext uri="{FF2B5EF4-FFF2-40B4-BE49-F238E27FC236}">
                  <a16:creationId xmlns:a16="http://schemas.microsoft.com/office/drawing/2014/main" id="{00000000-0008-0000-00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Formatta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12</xdr:row>
          <xdr:rowOff>142875</xdr:rowOff>
        </xdr:from>
        <xdr:to>
          <xdr:col>33</xdr:col>
          <xdr:colOff>209550</xdr:colOff>
          <xdr:row>13</xdr:row>
          <xdr:rowOff>171450</xdr:rowOff>
        </xdr:to>
        <xdr:sp macro="" textlink="">
          <xdr:nvSpPr>
            <xdr:cNvPr id="39938" name="Button 4" hidden="1">
              <a:extLst>
                <a:ext uri="{63B3BB69-23CF-44E3-9099-C40C66FF867C}">
                  <a14:compatExt spid="_x0000_s39938"/>
                </a:ext>
                <a:ext uri="{FF2B5EF4-FFF2-40B4-BE49-F238E27FC236}">
                  <a16:creationId xmlns:a16="http://schemas.microsoft.com/office/drawing/2014/main" id="{00000000-0008-0000-00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Referto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xdr:colOff>
          <xdr:row>14</xdr:row>
          <xdr:rowOff>133350</xdr:rowOff>
        </xdr:from>
        <xdr:to>
          <xdr:col>33</xdr:col>
          <xdr:colOff>238125</xdr:colOff>
          <xdr:row>16</xdr:row>
          <xdr:rowOff>57150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000-000003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Spiegazioni</a:t>
              </a:r>
            </a:p>
          </xdr:txBody>
        </xdr:sp>
        <xdr:clientData fPrintsWithSheet="0"/>
      </xdr:twoCellAnchor>
    </mc:Choice>
    <mc:Fallback/>
  </mc:AlternateContent>
  <xdr:oneCellAnchor>
    <xdr:from>
      <xdr:col>0</xdr:col>
      <xdr:colOff>90054</xdr:colOff>
      <xdr:row>0</xdr:row>
      <xdr:rowOff>90053</xdr:rowOff>
    </xdr:from>
    <xdr:ext cx="1313033" cy="928256"/>
    <xdr:pic>
      <xdr:nvPicPr>
        <xdr:cNvPr id="136" name="Immagin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4" y="11381508"/>
          <a:ext cx="1313033" cy="928256"/>
        </a:xfrm>
        <a:prstGeom prst="rect">
          <a:avLst/>
        </a:prstGeom>
      </xdr:spPr>
    </xdr:pic>
    <xdr:clientData/>
  </xdr:oneCellAnchor>
  <xdr:twoCellAnchor>
    <xdr:from>
      <xdr:col>21</xdr:col>
      <xdr:colOff>0</xdr:colOff>
      <xdr:row>25</xdr:row>
      <xdr:rowOff>0</xdr:rowOff>
    </xdr:from>
    <xdr:to>
      <xdr:col>30</xdr:col>
      <xdr:colOff>21264</xdr:colOff>
      <xdr:row>26</xdr:row>
      <xdr:rowOff>53788</xdr:rowOff>
    </xdr:to>
    <xdr:sp macro="" textlink="">
      <xdr:nvSpPr>
        <xdr:cNvPr id="179" name="rect 2">
          <a:extLst>
            <a:ext uri="{FF2B5EF4-FFF2-40B4-BE49-F238E27FC236}">
              <a16:creationId xmlns:a16="http://schemas.microsoft.com/office/drawing/2014/main" id="{00000000-0008-0000-0000-0000B3000000}"/>
            </a:ext>
          </a:extLst>
        </xdr:cNvPr>
        <xdr:cNvSpPr/>
      </xdr:nvSpPr>
      <xdr:spPr>
        <a:xfrm>
          <a:off x="4160520" y="4427220"/>
          <a:ext cx="3038784" cy="129988"/>
        </a:xfrm>
        <a:prstGeom prst="roundRect">
          <a:avLst>
            <a:gd name="adj" fmla="val 50000"/>
          </a:avLst>
        </a:prstGeom>
        <a:gradFill flip="none" rotWithShape="1">
          <a:gsLst>
            <a:gs pos="0">
              <a:srgbClr val="FF0000"/>
            </a:gs>
            <a:gs pos="100000">
              <a:srgbClr val="FF0000"/>
            </a:gs>
            <a:gs pos="7000">
              <a:srgbClr val="FF0000"/>
            </a:gs>
            <a:gs pos="7000">
              <a:srgbClr val="FFFF62"/>
            </a:gs>
            <a:gs pos="41000">
              <a:srgbClr val="FFFF62"/>
            </a:gs>
            <a:gs pos="41000">
              <a:srgbClr val="00FF00"/>
            </a:gs>
            <a:gs pos="72000">
              <a:srgbClr val="00FF00"/>
            </a:gs>
            <a:gs pos="72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21</xdr:col>
      <xdr:colOff>0</xdr:colOff>
      <xdr:row>82</xdr:row>
      <xdr:rowOff>0</xdr:rowOff>
    </xdr:from>
    <xdr:to>
      <xdr:col>30</xdr:col>
      <xdr:colOff>25619</xdr:colOff>
      <xdr:row>83</xdr:row>
      <xdr:rowOff>53788</xdr:rowOff>
    </xdr:to>
    <xdr:sp macro="" textlink="">
      <xdr:nvSpPr>
        <xdr:cNvPr id="220" name="rect 12">
          <a:extLst>
            <a:ext uri="{FF2B5EF4-FFF2-40B4-BE49-F238E27FC236}">
              <a16:creationId xmlns:a16="http://schemas.microsoft.com/office/drawing/2014/main" id="{00000000-0008-0000-0000-0000DC000000}"/>
            </a:ext>
          </a:extLst>
        </xdr:cNvPr>
        <xdr:cNvSpPr/>
      </xdr:nvSpPr>
      <xdr:spPr>
        <a:xfrm>
          <a:off x="4201886" y="9764486"/>
          <a:ext cx="3062733" cy="129988"/>
        </a:xfrm>
        <a:prstGeom prst="roundRect">
          <a:avLst>
            <a:gd name="adj" fmla="val 50000"/>
          </a:avLst>
        </a:prstGeom>
        <a:gradFill flip="none" rotWithShape="1">
          <a:gsLst>
            <a:gs pos="0">
              <a:srgbClr val="FFFF62"/>
            </a:gs>
            <a:gs pos="100000">
              <a:srgbClr val="FF0000"/>
            </a:gs>
            <a:gs pos="39000">
              <a:srgbClr val="FFFF62"/>
            </a:gs>
            <a:gs pos="39000">
              <a:srgbClr val="00FF00"/>
            </a:gs>
            <a:gs pos="79000">
              <a:srgbClr val="00FF00"/>
            </a:gs>
            <a:gs pos="79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81</xdr:row>
      <xdr:rowOff>0</xdr:rowOff>
    </xdr:from>
    <xdr:to>
      <xdr:col>31</xdr:col>
      <xdr:colOff>7302</xdr:colOff>
      <xdr:row>85</xdr:row>
      <xdr:rowOff>4483</xdr:rowOff>
    </xdr:to>
    <xdr:graphicFrame macro="">
      <xdr:nvGraphicFramePr>
        <xdr:cNvPr id="222" name="Grafico 12">
          <a:extLst>
            <a:ext uri="{FF2B5EF4-FFF2-40B4-BE49-F238E27FC236}">
              <a16:creationId xmlns:a16="http://schemas.microsoft.com/office/drawing/2014/main" id="{00000000-0008-0000-0000-0000D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89</xdr:row>
      <xdr:rowOff>0</xdr:rowOff>
    </xdr:from>
    <xdr:to>
      <xdr:col>30</xdr:col>
      <xdr:colOff>25619</xdr:colOff>
      <xdr:row>90</xdr:row>
      <xdr:rowOff>53788</xdr:rowOff>
    </xdr:to>
    <xdr:sp macro="" textlink="">
      <xdr:nvSpPr>
        <xdr:cNvPr id="224" name="rect 13">
          <a:extLst>
            <a:ext uri="{FF2B5EF4-FFF2-40B4-BE49-F238E27FC236}">
              <a16:creationId xmlns:a16="http://schemas.microsoft.com/office/drawing/2014/main" id="{00000000-0008-0000-0000-0000E0000000}"/>
            </a:ext>
          </a:extLst>
        </xdr:cNvPr>
        <xdr:cNvSpPr/>
      </xdr:nvSpPr>
      <xdr:spPr>
        <a:xfrm>
          <a:off x="4201886" y="10580914"/>
          <a:ext cx="3062733" cy="129988"/>
        </a:xfrm>
        <a:prstGeom prst="roundRect">
          <a:avLst>
            <a:gd name="adj" fmla="val 50000"/>
          </a:avLst>
        </a:prstGeom>
        <a:gradFill flip="none" rotWithShape="1">
          <a:gsLst>
            <a:gs pos="0">
              <a:srgbClr val="FF0000"/>
            </a:gs>
            <a:gs pos="100000">
              <a:srgbClr val="FF0000"/>
            </a:gs>
            <a:gs pos="7000">
              <a:srgbClr val="FF0000"/>
            </a:gs>
            <a:gs pos="7000">
              <a:srgbClr val="FFFF62"/>
            </a:gs>
            <a:gs pos="36000">
              <a:srgbClr val="FFFF62"/>
            </a:gs>
            <a:gs pos="36000">
              <a:srgbClr val="00FF00"/>
            </a:gs>
            <a:gs pos="78000">
              <a:srgbClr val="00FF00"/>
            </a:gs>
            <a:gs pos="78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88</xdr:row>
      <xdr:rowOff>0</xdr:rowOff>
    </xdr:from>
    <xdr:to>
      <xdr:col>31</xdr:col>
      <xdr:colOff>7302</xdr:colOff>
      <xdr:row>92</xdr:row>
      <xdr:rowOff>4483</xdr:rowOff>
    </xdr:to>
    <xdr:graphicFrame macro="">
      <xdr:nvGraphicFramePr>
        <xdr:cNvPr id="226" name="Grafico 13">
          <a:extLst>
            <a:ext uri="{FF2B5EF4-FFF2-40B4-BE49-F238E27FC236}">
              <a16:creationId xmlns:a16="http://schemas.microsoft.com/office/drawing/2014/main" id="{00000000-0008-0000-0000-0000E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94</xdr:row>
      <xdr:rowOff>0</xdr:rowOff>
    </xdr:from>
    <xdr:to>
      <xdr:col>30</xdr:col>
      <xdr:colOff>25619</xdr:colOff>
      <xdr:row>95</xdr:row>
      <xdr:rowOff>53788</xdr:rowOff>
    </xdr:to>
    <xdr:sp macro="" textlink="">
      <xdr:nvSpPr>
        <xdr:cNvPr id="228" name="rect 14">
          <a:extLst>
            <a:ext uri="{FF2B5EF4-FFF2-40B4-BE49-F238E27FC236}">
              <a16:creationId xmlns:a16="http://schemas.microsoft.com/office/drawing/2014/main" id="{00000000-0008-0000-0000-0000E4000000}"/>
            </a:ext>
          </a:extLst>
        </xdr:cNvPr>
        <xdr:cNvSpPr/>
      </xdr:nvSpPr>
      <xdr:spPr>
        <a:xfrm>
          <a:off x="4201886" y="11016343"/>
          <a:ext cx="3062733" cy="129988"/>
        </a:xfrm>
        <a:prstGeom prst="roundRect">
          <a:avLst>
            <a:gd name="adj" fmla="val 50000"/>
          </a:avLst>
        </a:prstGeom>
        <a:gradFill flip="none" rotWithShape="1">
          <a:gsLst>
            <a:gs pos="0">
              <a:srgbClr val="FF0000"/>
            </a:gs>
            <a:gs pos="100000">
              <a:srgbClr val="FF0000"/>
            </a:gs>
            <a:gs pos="7000">
              <a:srgbClr val="FF0000"/>
            </a:gs>
            <a:gs pos="7000">
              <a:srgbClr val="FFFF62"/>
            </a:gs>
            <a:gs pos="23000">
              <a:srgbClr val="FFFF62"/>
            </a:gs>
            <a:gs pos="23000">
              <a:srgbClr val="00FF00"/>
            </a:gs>
            <a:gs pos="87000">
              <a:srgbClr val="00FF00"/>
            </a:gs>
            <a:gs pos="87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93</xdr:row>
      <xdr:rowOff>0</xdr:rowOff>
    </xdr:from>
    <xdr:to>
      <xdr:col>31</xdr:col>
      <xdr:colOff>7302</xdr:colOff>
      <xdr:row>97</xdr:row>
      <xdr:rowOff>4484</xdr:rowOff>
    </xdr:to>
    <xdr:graphicFrame macro="">
      <xdr:nvGraphicFramePr>
        <xdr:cNvPr id="230" name="Grafico 14">
          <a:extLst>
            <a:ext uri="{FF2B5EF4-FFF2-40B4-BE49-F238E27FC236}">
              <a16:creationId xmlns:a16="http://schemas.microsoft.com/office/drawing/2014/main" id="{00000000-0008-0000-0000-0000E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0</xdr:colOff>
      <xdr:row>99</xdr:row>
      <xdr:rowOff>0</xdr:rowOff>
    </xdr:from>
    <xdr:to>
      <xdr:col>30</xdr:col>
      <xdr:colOff>25619</xdr:colOff>
      <xdr:row>100</xdr:row>
      <xdr:rowOff>53788</xdr:rowOff>
    </xdr:to>
    <xdr:sp macro="" textlink="">
      <xdr:nvSpPr>
        <xdr:cNvPr id="232" name="rect 15">
          <a:extLst>
            <a:ext uri="{FF2B5EF4-FFF2-40B4-BE49-F238E27FC236}">
              <a16:creationId xmlns:a16="http://schemas.microsoft.com/office/drawing/2014/main" id="{00000000-0008-0000-0000-0000E8000000}"/>
            </a:ext>
          </a:extLst>
        </xdr:cNvPr>
        <xdr:cNvSpPr/>
      </xdr:nvSpPr>
      <xdr:spPr>
        <a:xfrm>
          <a:off x="4201886" y="11451771"/>
          <a:ext cx="3062733" cy="129988"/>
        </a:xfrm>
        <a:prstGeom prst="roundRect">
          <a:avLst>
            <a:gd name="adj" fmla="val 50000"/>
          </a:avLst>
        </a:prstGeom>
        <a:gradFill flip="none" rotWithShape="1">
          <a:gsLst>
            <a:gs pos="0">
              <a:srgbClr val="FFFF62"/>
            </a:gs>
            <a:gs pos="100000">
              <a:srgbClr val="FF0000"/>
            </a:gs>
            <a:gs pos="38000">
              <a:srgbClr val="FFFF62"/>
            </a:gs>
            <a:gs pos="38000">
              <a:srgbClr val="00FF00"/>
            </a:gs>
            <a:gs pos="77000">
              <a:srgbClr val="00FF00"/>
            </a:gs>
            <a:gs pos="77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98</xdr:row>
      <xdr:rowOff>0</xdr:rowOff>
    </xdr:from>
    <xdr:to>
      <xdr:col>31</xdr:col>
      <xdr:colOff>7302</xdr:colOff>
      <xdr:row>102</xdr:row>
      <xdr:rowOff>4483</xdr:rowOff>
    </xdr:to>
    <xdr:graphicFrame macro="">
      <xdr:nvGraphicFramePr>
        <xdr:cNvPr id="234" name="Grafico 15">
          <a:extLst>
            <a:ext uri="{FF2B5EF4-FFF2-40B4-BE49-F238E27FC236}">
              <a16:creationId xmlns:a16="http://schemas.microsoft.com/office/drawing/2014/main" id="{00000000-0008-0000-0000-0000E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0</xdr:colOff>
      <xdr:row>114</xdr:row>
      <xdr:rowOff>0</xdr:rowOff>
    </xdr:from>
    <xdr:to>
      <xdr:col>30</xdr:col>
      <xdr:colOff>17454</xdr:colOff>
      <xdr:row>115</xdr:row>
      <xdr:rowOff>53788</xdr:rowOff>
    </xdr:to>
    <xdr:sp macro="" textlink="">
      <xdr:nvSpPr>
        <xdr:cNvPr id="344" name="rect 16">
          <a:extLst>
            <a:ext uri="{FF2B5EF4-FFF2-40B4-BE49-F238E27FC236}">
              <a16:creationId xmlns:a16="http://schemas.microsoft.com/office/drawing/2014/main" id="{00000000-0008-0000-0000-000058010000}"/>
            </a:ext>
          </a:extLst>
        </xdr:cNvPr>
        <xdr:cNvSpPr/>
      </xdr:nvSpPr>
      <xdr:spPr>
        <a:xfrm>
          <a:off x="4010025" y="12896850"/>
          <a:ext cx="2932104" cy="129988"/>
        </a:xfrm>
        <a:prstGeom prst="roundRect">
          <a:avLst>
            <a:gd name="adj" fmla="val 50000"/>
          </a:avLst>
        </a:prstGeom>
        <a:gradFill flip="none" rotWithShape="1">
          <a:gsLst>
            <a:gs pos="0">
              <a:srgbClr val="FFFF62"/>
            </a:gs>
            <a:gs pos="100000">
              <a:srgbClr val="FF0000"/>
            </a:gs>
            <a:gs pos="25000">
              <a:srgbClr val="FFFF62"/>
            </a:gs>
            <a:gs pos="25000">
              <a:srgbClr val="00FF00"/>
            </a:gs>
            <a:gs pos="76000">
              <a:srgbClr val="00FF00"/>
            </a:gs>
            <a:gs pos="76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113</xdr:row>
      <xdr:rowOff>0</xdr:rowOff>
    </xdr:from>
    <xdr:to>
      <xdr:col>31</xdr:col>
      <xdr:colOff>7302</xdr:colOff>
      <xdr:row>117</xdr:row>
      <xdr:rowOff>4483</xdr:rowOff>
    </xdr:to>
    <xdr:graphicFrame macro="">
      <xdr:nvGraphicFramePr>
        <xdr:cNvPr id="346" name="Grafico 16">
          <a:extLst>
            <a:ext uri="{FF2B5EF4-FFF2-40B4-BE49-F238E27FC236}">
              <a16:creationId xmlns:a16="http://schemas.microsoft.com/office/drawing/2014/main" id="{00000000-0008-0000-0000-00005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0</xdr:colOff>
      <xdr:row>119</xdr:row>
      <xdr:rowOff>0</xdr:rowOff>
    </xdr:from>
    <xdr:to>
      <xdr:col>30</xdr:col>
      <xdr:colOff>17454</xdr:colOff>
      <xdr:row>120</xdr:row>
      <xdr:rowOff>53788</xdr:rowOff>
    </xdr:to>
    <xdr:sp macro="" textlink="">
      <xdr:nvSpPr>
        <xdr:cNvPr id="348" name="rect 17">
          <a:extLst>
            <a:ext uri="{FF2B5EF4-FFF2-40B4-BE49-F238E27FC236}">
              <a16:creationId xmlns:a16="http://schemas.microsoft.com/office/drawing/2014/main" id="{00000000-0008-0000-0000-00005C010000}"/>
            </a:ext>
          </a:extLst>
        </xdr:cNvPr>
        <xdr:cNvSpPr/>
      </xdr:nvSpPr>
      <xdr:spPr>
        <a:xfrm>
          <a:off x="4010025" y="13325475"/>
          <a:ext cx="2932104" cy="129988"/>
        </a:xfrm>
        <a:prstGeom prst="roundRect">
          <a:avLst>
            <a:gd name="adj" fmla="val 50000"/>
          </a:avLst>
        </a:prstGeom>
        <a:gradFill flip="none" rotWithShape="1">
          <a:gsLst>
            <a:gs pos="0">
              <a:srgbClr val="FFFF62"/>
            </a:gs>
            <a:gs pos="100000">
              <a:srgbClr val="FF0000"/>
            </a:gs>
            <a:gs pos="23000">
              <a:srgbClr val="FFFF62"/>
            </a:gs>
            <a:gs pos="23000">
              <a:srgbClr val="00FF00"/>
            </a:gs>
            <a:gs pos="73000">
              <a:srgbClr val="00FF00"/>
            </a:gs>
            <a:gs pos="73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118</xdr:row>
      <xdr:rowOff>0</xdr:rowOff>
    </xdr:from>
    <xdr:to>
      <xdr:col>31</xdr:col>
      <xdr:colOff>7302</xdr:colOff>
      <xdr:row>122</xdr:row>
      <xdr:rowOff>4483</xdr:rowOff>
    </xdr:to>
    <xdr:graphicFrame macro="">
      <xdr:nvGraphicFramePr>
        <xdr:cNvPr id="350" name="Grafico 17">
          <a:extLst>
            <a:ext uri="{FF2B5EF4-FFF2-40B4-BE49-F238E27FC236}">
              <a16:creationId xmlns:a16="http://schemas.microsoft.com/office/drawing/2014/main" id="{00000000-0008-0000-0000-00005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124</xdr:row>
      <xdr:rowOff>0</xdr:rowOff>
    </xdr:from>
    <xdr:to>
      <xdr:col>30</xdr:col>
      <xdr:colOff>17454</xdr:colOff>
      <xdr:row>125</xdr:row>
      <xdr:rowOff>53788</xdr:rowOff>
    </xdr:to>
    <xdr:sp macro="" textlink="">
      <xdr:nvSpPr>
        <xdr:cNvPr id="352" name="rect 18">
          <a:extLst>
            <a:ext uri="{FF2B5EF4-FFF2-40B4-BE49-F238E27FC236}">
              <a16:creationId xmlns:a16="http://schemas.microsoft.com/office/drawing/2014/main" id="{00000000-0008-0000-0000-000060010000}"/>
            </a:ext>
          </a:extLst>
        </xdr:cNvPr>
        <xdr:cNvSpPr/>
      </xdr:nvSpPr>
      <xdr:spPr>
        <a:xfrm>
          <a:off x="4010025" y="13754100"/>
          <a:ext cx="2932104" cy="129988"/>
        </a:xfrm>
        <a:prstGeom prst="roundRect">
          <a:avLst>
            <a:gd name="adj" fmla="val 50000"/>
          </a:avLst>
        </a:prstGeom>
        <a:gradFill flip="none" rotWithShape="1">
          <a:gsLst>
            <a:gs pos="0">
              <a:srgbClr val="FFFF62"/>
            </a:gs>
            <a:gs pos="100000">
              <a:srgbClr val="FF0000"/>
            </a:gs>
            <a:gs pos="39000">
              <a:srgbClr val="FFFF62"/>
            </a:gs>
            <a:gs pos="39000">
              <a:srgbClr val="00FF00"/>
            </a:gs>
            <a:gs pos="75000">
              <a:srgbClr val="00FF00"/>
            </a:gs>
            <a:gs pos="75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123</xdr:row>
      <xdr:rowOff>0</xdr:rowOff>
    </xdr:from>
    <xdr:to>
      <xdr:col>31</xdr:col>
      <xdr:colOff>7302</xdr:colOff>
      <xdr:row>127</xdr:row>
      <xdr:rowOff>4483</xdr:rowOff>
    </xdr:to>
    <xdr:graphicFrame macro="">
      <xdr:nvGraphicFramePr>
        <xdr:cNvPr id="354" name="Grafico 18">
          <a:extLst>
            <a:ext uri="{FF2B5EF4-FFF2-40B4-BE49-F238E27FC236}">
              <a16:creationId xmlns:a16="http://schemas.microsoft.com/office/drawing/2014/main" id="{00000000-0008-0000-0000-00006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0</xdr:colOff>
      <xdr:row>129</xdr:row>
      <xdr:rowOff>0</xdr:rowOff>
    </xdr:from>
    <xdr:to>
      <xdr:col>30</xdr:col>
      <xdr:colOff>17454</xdr:colOff>
      <xdr:row>130</xdr:row>
      <xdr:rowOff>53788</xdr:rowOff>
    </xdr:to>
    <xdr:sp macro="" textlink="">
      <xdr:nvSpPr>
        <xdr:cNvPr id="356" name="rect 19">
          <a:extLst>
            <a:ext uri="{FF2B5EF4-FFF2-40B4-BE49-F238E27FC236}">
              <a16:creationId xmlns:a16="http://schemas.microsoft.com/office/drawing/2014/main" id="{00000000-0008-0000-0000-000064010000}"/>
            </a:ext>
          </a:extLst>
        </xdr:cNvPr>
        <xdr:cNvSpPr/>
      </xdr:nvSpPr>
      <xdr:spPr>
        <a:xfrm>
          <a:off x="4010025" y="14182725"/>
          <a:ext cx="2932104" cy="129988"/>
        </a:xfrm>
        <a:prstGeom prst="roundRect">
          <a:avLst>
            <a:gd name="adj" fmla="val 50000"/>
          </a:avLst>
        </a:prstGeom>
        <a:gradFill flip="none" rotWithShape="1">
          <a:gsLst>
            <a:gs pos="0">
              <a:srgbClr val="FFFF62"/>
            </a:gs>
            <a:gs pos="100000">
              <a:srgbClr val="FF0000"/>
            </a:gs>
            <a:gs pos="25000">
              <a:srgbClr val="FFFF62"/>
            </a:gs>
            <a:gs pos="25000">
              <a:srgbClr val="00FF00"/>
            </a:gs>
            <a:gs pos="80000">
              <a:srgbClr val="00FF00"/>
            </a:gs>
            <a:gs pos="80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128</xdr:row>
      <xdr:rowOff>0</xdr:rowOff>
    </xdr:from>
    <xdr:to>
      <xdr:col>31</xdr:col>
      <xdr:colOff>7302</xdr:colOff>
      <xdr:row>132</xdr:row>
      <xdr:rowOff>4483</xdr:rowOff>
    </xdr:to>
    <xdr:graphicFrame macro="">
      <xdr:nvGraphicFramePr>
        <xdr:cNvPr id="358" name="Grafico 19">
          <a:extLst>
            <a:ext uri="{FF2B5EF4-FFF2-40B4-BE49-F238E27FC236}">
              <a16:creationId xmlns:a16="http://schemas.microsoft.com/office/drawing/2014/main" id="{00000000-0008-0000-0000-00006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0</xdr:colOff>
      <xdr:row>134</xdr:row>
      <xdr:rowOff>0</xdr:rowOff>
    </xdr:from>
    <xdr:to>
      <xdr:col>30</xdr:col>
      <xdr:colOff>17454</xdr:colOff>
      <xdr:row>135</xdr:row>
      <xdr:rowOff>53788</xdr:rowOff>
    </xdr:to>
    <xdr:sp macro="" textlink="">
      <xdr:nvSpPr>
        <xdr:cNvPr id="360" name="rect 20">
          <a:extLst>
            <a:ext uri="{FF2B5EF4-FFF2-40B4-BE49-F238E27FC236}">
              <a16:creationId xmlns:a16="http://schemas.microsoft.com/office/drawing/2014/main" id="{00000000-0008-0000-0000-000068010000}"/>
            </a:ext>
          </a:extLst>
        </xdr:cNvPr>
        <xdr:cNvSpPr/>
      </xdr:nvSpPr>
      <xdr:spPr>
        <a:xfrm>
          <a:off x="4010025" y="14611350"/>
          <a:ext cx="2932104" cy="129988"/>
        </a:xfrm>
        <a:prstGeom prst="roundRect">
          <a:avLst>
            <a:gd name="adj" fmla="val 50000"/>
          </a:avLst>
        </a:prstGeom>
        <a:gradFill flip="none" rotWithShape="1">
          <a:gsLst>
            <a:gs pos="0">
              <a:srgbClr val="FF0000"/>
            </a:gs>
            <a:gs pos="100000">
              <a:srgbClr val="FF0000"/>
            </a:gs>
            <a:gs pos="7000">
              <a:srgbClr val="FF0000"/>
            </a:gs>
            <a:gs pos="7000">
              <a:srgbClr val="FFFF62"/>
            </a:gs>
            <a:gs pos="40000">
              <a:srgbClr val="FFFF62"/>
            </a:gs>
            <a:gs pos="40000">
              <a:srgbClr val="00FF00"/>
            </a:gs>
            <a:gs pos="83000">
              <a:srgbClr val="00FF00"/>
            </a:gs>
            <a:gs pos="83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133</xdr:row>
      <xdr:rowOff>0</xdr:rowOff>
    </xdr:from>
    <xdr:to>
      <xdr:col>31</xdr:col>
      <xdr:colOff>7302</xdr:colOff>
      <xdr:row>137</xdr:row>
      <xdr:rowOff>4483</xdr:rowOff>
    </xdr:to>
    <xdr:graphicFrame macro="">
      <xdr:nvGraphicFramePr>
        <xdr:cNvPr id="362" name="Grafico 20">
          <a:extLst>
            <a:ext uri="{FF2B5EF4-FFF2-40B4-BE49-F238E27FC236}">
              <a16:creationId xmlns:a16="http://schemas.microsoft.com/office/drawing/2014/main" id="{00000000-0008-0000-0000-00006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21</xdr:col>
      <xdr:colOff>0</xdr:colOff>
      <xdr:row>139</xdr:row>
      <xdr:rowOff>0</xdr:rowOff>
    </xdr:from>
    <xdr:to>
      <xdr:col>30</xdr:col>
      <xdr:colOff>17454</xdr:colOff>
      <xdr:row>140</xdr:row>
      <xdr:rowOff>53788</xdr:rowOff>
    </xdr:to>
    <xdr:sp macro="" textlink="">
      <xdr:nvSpPr>
        <xdr:cNvPr id="364" name="rect 21">
          <a:extLst>
            <a:ext uri="{FF2B5EF4-FFF2-40B4-BE49-F238E27FC236}">
              <a16:creationId xmlns:a16="http://schemas.microsoft.com/office/drawing/2014/main" id="{00000000-0008-0000-0000-00006C010000}"/>
            </a:ext>
          </a:extLst>
        </xdr:cNvPr>
        <xdr:cNvSpPr/>
      </xdr:nvSpPr>
      <xdr:spPr>
        <a:xfrm>
          <a:off x="4010025" y="15039975"/>
          <a:ext cx="2932104" cy="129988"/>
        </a:xfrm>
        <a:prstGeom prst="roundRect">
          <a:avLst>
            <a:gd name="adj" fmla="val 50000"/>
          </a:avLst>
        </a:prstGeom>
        <a:gradFill flip="none" rotWithShape="1">
          <a:gsLst>
            <a:gs pos="0">
              <a:srgbClr val="FF0000"/>
            </a:gs>
            <a:gs pos="100000">
              <a:srgbClr val="FF0000"/>
            </a:gs>
            <a:gs pos="7000">
              <a:srgbClr val="FF0000"/>
            </a:gs>
            <a:gs pos="7000">
              <a:srgbClr val="FFFF62"/>
            </a:gs>
            <a:gs pos="36000">
              <a:srgbClr val="FFFF62"/>
            </a:gs>
            <a:gs pos="36000">
              <a:srgbClr val="00FF00"/>
            </a:gs>
            <a:gs pos="71000">
              <a:srgbClr val="00FF00"/>
            </a:gs>
            <a:gs pos="71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138</xdr:row>
      <xdr:rowOff>0</xdr:rowOff>
    </xdr:from>
    <xdr:to>
      <xdr:col>31</xdr:col>
      <xdr:colOff>7302</xdr:colOff>
      <xdr:row>142</xdr:row>
      <xdr:rowOff>4483</xdr:rowOff>
    </xdr:to>
    <xdr:graphicFrame macro="">
      <xdr:nvGraphicFramePr>
        <xdr:cNvPr id="366" name="Grafico 21">
          <a:extLst>
            <a:ext uri="{FF2B5EF4-FFF2-40B4-BE49-F238E27FC236}">
              <a16:creationId xmlns:a16="http://schemas.microsoft.com/office/drawing/2014/main" id="{00000000-0008-0000-0000-00006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0</xdr:colOff>
      <xdr:row>144</xdr:row>
      <xdr:rowOff>0</xdr:rowOff>
    </xdr:from>
    <xdr:to>
      <xdr:col>30</xdr:col>
      <xdr:colOff>17454</xdr:colOff>
      <xdr:row>145</xdr:row>
      <xdr:rowOff>53788</xdr:rowOff>
    </xdr:to>
    <xdr:sp macro="" textlink="">
      <xdr:nvSpPr>
        <xdr:cNvPr id="368" name="rect 22">
          <a:extLst>
            <a:ext uri="{FF2B5EF4-FFF2-40B4-BE49-F238E27FC236}">
              <a16:creationId xmlns:a16="http://schemas.microsoft.com/office/drawing/2014/main" id="{00000000-0008-0000-0000-000070010000}"/>
            </a:ext>
          </a:extLst>
        </xdr:cNvPr>
        <xdr:cNvSpPr/>
      </xdr:nvSpPr>
      <xdr:spPr>
        <a:xfrm>
          <a:off x="4010025" y="15468600"/>
          <a:ext cx="2932104" cy="129988"/>
        </a:xfrm>
        <a:prstGeom prst="roundRect">
          <a:avLst>
            <a:gd name="adj" fmla="val 50000"/>
          </a:avLst>
        </a:prstGeom>
        <a:gradFill flip="none" rotWithShape="1">
          <a:gsLst>
            <a:gs pos="0">
              <a:srgbClr val="FF0000"/>
            </a:gs>
            <a:gs pos="100000">
              <a:srgbClr val="FF0000"/>
            </a:gs>
            <a:gs pos="7000">
              <a:srgbClr val="FF0000"/>
            </a:gs>
            <a:gs pos="7000">
              <a:srgbClr val="FFFF62"/>
            </a:gs>
            <a:gs pos="28000">
              <a:srgbClr val="FFFF62"/>
            </a:gs>
            <a:gs pos="28000">
              <a:srgbClr val="00FF00"/>
            </a:gs>
            <a:gs pos="73000">
              <a:srgbClr val="00FF00"/>
            </a:gs>
            <a:gs pos="73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143</xdr:row>
      <xdr:rowOff>0</xdr:rowOff>
    </xdr:from>
    <xdr:to>
      <xdr:col>31</xdr:col>
      <xdr:colOff>7302</xdr:colOff>
      <xdr:row>147</xdr:row>
      <xdr:rowOff>4483</xdr:rowOff>
    </xdr:to>
    <xdr:graphicFrame macro="">
      <xdr:nvGraphicFramePr>
        <xdr:cNvPr id="370" name="Grafico 22">
          <a:extLst>
            <a:ext uri="{FF2B5EF4-FFF2-40B4-BE49-F238E27FC236}">
              <a16:creationId xmlns:a16="http://schemas.microsoft.com/office/drawing/2014/main" id="{00000000-0008-0000-0000-00007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21</xdr:col>
      <xdr:colOff>0</xdr:colOff>
      <xdr:row>151</xdr:row>
      <xdr:rowOff>0</xdr:rowOff>
    </xdr:from>
    <xdr:to>
      <xdr:col>30</xdr:col>
      <xdr:colOff>17454</xdr:colOff>
      <xdr:row>152</xdr:row>
      <xdr:rowOff>53788</xdr:rowOff>
    </xdr:to>
    <xdr:sp macro="" textlink="">
      <xdr:nvSpPr>
        <xdr:cNvPr id="372" name="rect 23">
          <a:extLst>
            <a:ext uri="{FF2B5EF4-FFF2-40B4-BE49-F238E27FC236}">
              <a16:creationId xmlns:a16="http://schemas.microsoft.com/office/drawing/2014/main" id="{00000000-0008-0000-0000-000074010000}"/>
            </a:ext>
          </a:extLst>
        </xdr:cNvPr>
        <xdr:cNvSpPr/>
      </xdr:nvSpPr>
      <xdr:spPr>
        <a:xfrm>
          <a:off x="4010025" y="16202025"/>
          <a:ext cx="2932104" cy="129988"/>
        </a:xfrm>
        <a:prstGeom prst="roundRect">
          <a:avLst>
            <a:gd name="adj" fmla="val 50000"/>
          </a:avLst>
        </a:prstGeom>
        <a:gradFill flip="none" rotWithShape="1">
          <a:gsLst>
            <a:gs pos="0">
              <a:srgbClr val="FFFF62"/>
            </a:gs>
            <a:gs pos="100000">
              <a:srgbClr val="FF0000"/>
            </a:gs>
            <a:gs pos="29000">
              <a:srgbClr val="FFFF62"/>
            </a:gs>
            <a:gs pos="29000">
              <a:srgbClr val="00FF00"/>
            </a:gs>
            <a:gs pos="87000">
              <a:srgbClr val="00FF00"/>
            </a:gs>
            <a:gs pos="87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150</xdr:row>
      <xdr:rowOff>0</xdr:rowOff>
    </xdr:from>
    <xdr:to>
      <xdr:col>31</xdr:col>
      <xdr:colOff>7302</xdr:colOff>
      <xdr:row>154</xdr:row>
      <xdr:rowOff>4483</xdr:rowOff>
    </xdr:to>
    <xdr:graphicFrame macro="">
      <xdr:nvGraphicFramePr>
        <xdr:cNvPr id="374" name="Grafico 23">
          <a:extLst>
            <a:ext uri="{FF2B5EF4-FFF2-40B4-BE49-F238E27FC236}">
              <a16:creationId xmlns:a16="http://schemas.microsoft.com/office/drawing/2014/main" id="{00000000-0008-0000-0000-00007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21</xdr:col>
      <xdr:colOff>0</xdr:colOff>
      <xdr:row>156</xdr:row>
      <xdr:rowOff>0</xdr:rowOff>
    </xdr:from>
    <xdr:to>
      <xdr:col>30</xdr:col>
      <xdr:colOff>17454</xdr:colOff>
      <xdr:row>157</xdr:row>
      <xdr:rowOff>53788</xdr:rowOff>
    </xdr:to>
    <xdr:sp macro="" textlink="">
      <xdr:nvSpPr>
        <xdr:cNvPr id="376" name="rect 24">
          <a:extLst>
            <a:ext uri="{FF2B5EF4-FFF2-40B4-BE49-F238E27FC236}">
              <a16:creationId xmlns:a16="http://schemas.microsoft.com/office/drawing/2014/main" id="{00000000-0008-0000-0000-000078010000}"/>
            </a:ext>
          </a:extLst>
        </xdr:cNvPr>
        <xdr:cNvSpPr/>
      </xdr:nvSpPr>
      <xdr:spPr>
        <a:xfrm>
          <a:off x="4010025" y="16630650"/>
          <a:ext cx="2932104" cy="129988"/>
        </a:xfrm>
        <a:prstGeom prst="roundRect">
          <a:avLst>
            <a:gd name="adj" fmla="val 50000"/>
          </a:avLst>
        </a:prstGeom>
        <a:gradFill flip="none" rotWithShape="1">
          <a:gsLst>
            <a:gs pos="0">
              <a:srgbClr val="FFFF62"/>
            </a:gs>
            <a:gs pos="100000">
              <a:srgbClr val="FF0000"/>
            </a:gs>
            <a:gs pos="37000">
              <a:srgbClr val="FFFF62"/>
            </a:gs>
            <a:gs pos="37000">
              <a:srgbClr val="00FF00"/>
            </a:gs>
            <a:gs pos="76000">
              <a:srgbClr val="00FF00"/>
            </a:gs>
            <a:gs pos="76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155</xdr:row>
      <xdr:rowOff>0</xdr:rowOff>
    </xdr:from>
    <xdr:to>
      <xdr:col>31</xdr:col>
      <xdr:colOff>7302</xdr:colOff>
      <xdr:row>159</xdr:row>
      <xdr:rowOff>4483</xdr:rowOff>
    </xdr:to>
    <xdr:graphicFrame macro="">
      <xdr:nvGraphicFramePr>
        <xdr:cNvPr id="378" name="Grafico 24">
          <a:extLst>
            <a:ext uri="{FF2B5EF4-FFF2-40B4-BE49-F238E27FC236}">
              <a16:creationId xmlns:a16="http://schemas.microsoft.com/office/drawing/2014/main" id="{00000000-0008-0000-0000-00007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161</xdr:row>
      <xdr:rowOff>0</xdr:rowOff>
    </xdr:from>
    <xdr:to>
      <xdr:col>30</xdr:col>
      <xdr:colOff>17454</xdr:colOff>
      <xdr:row>162</xdr:row>
      <xdr:rowOff>53788</xdr:rowOff>
    </xdr:to>
    <xdr:sp macro="" textlink="">
      <xdr:nvSpPr>
        <xdr:cNvPr id="380" name="rect 25">
          <a:extLst>
            <a:ext uri="{FF2B5EF4-FFF2-40B4-BE49-F238E27FC236}">
              <a16:creationId xmlns:a16="http://schemas.microsoft.com/office/drawing/2014/main" id="{00000000-0008-0000-0000-00007C010000}"/>
            </a:ext>
          </a:extLst>
        </xdr:cNvPr>
        <xdr:cNvSpPr/>
      </xdr:nvSpPr>
      <xdr:spPr>
        <a:xfrm>
          <a:off x="4010025" y="17059275"/>
          <a:ext cx="2932104" cy="129988"/>
        </a:xfrm>
        <a:prstGeom prst="roundRect">
          <a:avLst>
            <a:gd name="adj" fmla="val 50000"/>
          </a:avLst>
        </a:prstGeom>
        <a:gradFill flip="none" rotWithShape="1">
          <a:gsLst>
            <a:gs pos="0">
              <a:srgbClr val="FFFF62"/>
            </a:gs>
            <a:gs pos="100000">
              <a:srgbClr val="FF0000"/>
            </a:gs>
            <a:gs pos="25000">
              <a:srgbClr val="FFFF62"/>
            </a:gs>
            <a:gs pos="25000">
              <a:srgbClr val="00FF00"/>
            </a:gs>
            <a:gs pos="79000">
              <a:srgbClr val="00FF00"/>
            </a:gs>
            <a:gs pos="79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160</xdr:row>
      <xdr:rowOff>0</xdr:rowOff>
    </xdr:from>
    <xdr:to>
      <xdr:col>31</xdr:col>
      <xdr:colOff>7302</xdr:colOff>
      <xdr:row>164</xdr:row>
      <xdr:rowOff>4483</xdr:rowOff>
    </xdr:to>
    <xdr:graphicFrame macro="">
      <xdr:nvGraphicFramePr>
        <xdr:cNvPr id="382" name="Grafico 25">
          <a:extLst>
            <a:ext uri="{FF2B5EF4-FFF2-40B4-BE49-F238E27FC236}">
              <a16:creationId xmlns:a16="http://schemas.microsoft.com/office/drawing/2014/main" id="{00000000-0008-0000-0000-00007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166</xdr:row>
      <xdr:rowOff>0</xdr:rowOff>
    </xdr:from>
    <xdr:to>
      <xdr:col>30</xdr:col>
      <xdr:colOff>17454</xdr:colOff>
      <xdr:row>167</xdr:row>
      <xdr:rowOff>53788</xdr:rowOff>
    </xdr:to>
    <xdr:sp macro="" textlink="">
      <xdr:nvSpPr>
        <xdr:cNvPr id="384" name="rect 26">
          <a:extLst>
            <a:ext uri="{FF2B5EF4-FFF2-40B4-BE49-F238E27FC236}">
              <a16:creationId xmlns:a16="http://schemas.microsoft.com/office/drawing/2014/main" id="{00000000-0008-0000-0000-000080010000}"/>
            </a:ext>
          </a:extLst>
        </xdr:cNvPr>
        <xdr:cNvSpPr/>
      </xdr:nvSpPr>
      <xdr:spPr>
        <a:xfrm>
          <a:off x="4010025" y="17487900"/>
          <a:ext cx="2932104" cy="129988"/>
        </a:xfrm>
        <a:prstGeom prst="roundRect">
          <a:avLst>
            <a:gd name="adj" fmla="val 50000"/>
          </a:avLst>
        </a:prstGeom>
        <a:gradFill flip="none" rotWithShape="1">
          <a:gsLst>
            <a:gs pos="0">
              <a:srgbClr val="FFFF62"/>
            </a:gs>
            <a:gs pos="100000">
              <a:srgbClr val="FF0000"/>
            </a:gs>
            <a:gs pos="41000">
              <a:srgbClr val="FFFF62"/>
            </a:gs>
            <a:gs pos="41000">
              <a:srgbClr val="00FF00"/>
            </a:gs>
            <a:gs pos="77000">
              <a:srgbClr val="00FF00"/>
            </a:gs>
            <a:gs pos="77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165</xdr:row>
      <xdr:rowOff>0</xdr:rowOff>
    </xdr:from>
    <xdr:to>
      <xdr:col>31</xdr:col>
      <xdr:colOff>7302</xdr:colOff>
      <xdr:row>169</xdr:row>
      <xdr:rowOff>4483</xdr:rowOff>
    </xdr:to>
    <xdr:graphicFrame macro="">
      <xdr:nvGraphicFramePr>
        <xdr:cNvPr id="386" name="Grafico 26">
          <a:extLst>
            <a:ext uri="{FF2B5EF4-FFF2-40B4-BE49-F238E27FC236}">
              <a16:creationId xmlns:a16="http://schemas.microsoft.com/office/drawing/2014/main" id="{00000000-0008-0000-0000-00008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171</xdr:row>
      <xdr:rowOff>0</xdr:rowOff>
    </xdr:from>
    <xdr:to>
      <xdr:col>30</xdr:col>
      <xdr:colOff>17454</xdr:colOff>
      <xdr:row>172</xdr:row>
      <xdr:rowOff>53788</xdr:rowOff>
    </xdr:to>
    <xdr:sp macro="" textlink="">
      <xdr:nvSpPr>
        <xdr:cNvPr id="388" name="rect 27">
          <a:extLst>
            <a:ext uri="{FF2B5EF4-FFF2-40B4-BE49-F238E27FC236}">
              <a16:creationId xmlns:a16="http://schemas.microsoft.com/office/drawing/2014/main" id="{00000000-0008-0000-0000-000084010000}"/>
            </a:ext>
          </a:extLst>
        </xdr:cNvPr>
        <xdr:cNvSpPr/>
      </xdr:nvSpPr>
      <xdr:spPr>
        <a:xfrm>
          <a:off x="4010025" y="17916525"/>
          <a:ext cx="2932104" cy="129988"/>
        </a:xfrm>
        <a:prstGeom prst="roundRect">
          <a:avLst>
            <a:gd name="adj" fmla="val 50000"/>
          </a:avLst>
        </a:prstGeom>
        <a:gradFill flip="none" rotWithShape="1">
          <a:gsLst>
            <a:gs pos="0">
              <a:srgbClr val="FFFF62"/>
            </a:gs>
            <a:gs pos="100000">
              <a:srgbClr val="FF0000"/>
            </a:gs>
            <a:gs pos="40000">
              <a:srgbClr val="FFFF62"/>
            </a:gs>
            <a:gs pos="40000">
              <a:srgbClr val="00FF00"/>
            </a:gs>
            <a:gs pos="70000">
              <a:srgbClr val="00FF00"/>
            </a:gs>
            <a:gs pos="70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170</xdr:row>
      <xdr:rowOff>0</xdr:rowOff>
    </xdr:from>
    <xdr:to>
      <xdr:col>31</xdr:col>
      <xdr:colOff>7302</xdr:colOff>
      <xdr:row>174</xdr:row>
      <xdr:rowOff>4483</xdr:rowOff>
    </xdr:to>
    <xdr:graphicFrame macro="">
      <xdr:nvGraphicFramePr>
        <xdr:cNvPr id="390" name="Grafico 27">
          <a:extLst>
            <a:ext uri="{FF2B5EF4-FFF2-40B4-BE49-F238E27FC236}">
              <a16:creationId xmlns:a16="http://schemas.microsoft.com/office/drawing/2014/main" id="{00000000-0008-0000-0000-00008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176</xdr:row>
      <xdr:rowOff>0</xdr:rowOff>
    </xdr:from>
    <xdr:to>
      <xdr:col>30</xdr:col>
      <xdr:colOff>17454</xdr:colOff>
      <xdr:row>177</xdr:row>
      <xdr:rowOff>53788</xdr:rowOff>
    </xdr:to>
    <xdr:sp macro="" textlink="">
      <xdr:nvSpPr>
        <xdr:cNvPr id="392" name="rect 28">
          <a:extLst>
            <a:ext uri="{FF2B5EF4-FFF2-40B4-BE49-F238E27FC236}">
              <a16:creationId xmlns:a16="http://schemas.microsoft.com/office/drawing/2014/main" id="{00000000-0008-0000-0000-000088010000}"/>
            </a:ext>
          </a:extLst>
        </xdr:cNvPr>
        <xdr:cNvSpPr/>
      </xdr:nvSpPr>
      <xdr:spPr>
        <a:xfrm>
          <a:off x="4010025" y="18345150"/>
          <a:ext cx="2932104" cy="129988"/>
        </a:xfrm>
        <a:prstGeom prst="roundRect">
          <a:avLst>
            <a:gd name="adj" fmla="val 50000"/>
          </a:avLst>
        </a:prstGeom>
        <a:gradFill flip="none" rotWithShape="1">
          <a:gsLst>
            <a:gs pos="0">
              <a:srgbClr val="FFFF62"/>
            </a:gs>
            <a:gs pos="100000">
              <a:srgbClr val="FF0000"/>
            </a:gs>
            <a:gs pos="31000">
              <a:srgbClr val="FFFF62"/>
            </a:gs>
            <a:gs pos="31000">
              <a:srgbClr val="00FF00"/>
            </a:gs>
            <a:gs pos="84000">
              <a:srgbClr val="00FF00"/>
            </a:gs>
            <a:gs pos="84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175</xdr:row>
      <xdr:rowOff>0</xdr:rowOff>
    </xdr:from>
    <xdr:to>
      <xdr:col>31</xdr:col>
      <xdr:colOff>7302</xdr:colOff>
      <xdr:row>179</xdr:row>
      <xdr:rowOff>4483</xdr:rowOff>
    </xdr:to>
    <xdr:graphicFrame macro="">
      <xdr:nvGraphicFramePr>
        <xdr:cNvPr id="394" name="Grafico 28">
          <a:extLst>
            <a:ext uri="{FF2B5EF4-FFF2-40B4-BE49-F238E27FC236}">
              <a16:creationId xmlns:a16="http://schemas.microsoft.com/office/drawing/2014/main" id="{00000000-0008-0000-0000-00008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21</xdr:col>
      <xdr:colOff>0</xdr:colOff>
      <xdr:row>181</xdr:row>
      <xdr:rowOff>0</xdr:rowOff>
    </xdr:from>
    <xdr:to>
      <xdr:col>30</xdr:col>
      <xdr:colOff>17454</xdr:colOff>
      <xdr:row>182</xdr:row>
      <xdr:rowOff>53788</xdr:rowOff>
    </xdr:to>
    <xdr:sp macro="" textlink="">
      <xdr:nvSpPr>
        <xdr:cNvPr id="396" name="rect 29">
          <a:extLst>
            <a:ext uri="{FF2B5EF4-FFF2-40B4-BE49-F238E27FC236}">
              <a16:creationId xmlns:a16="http://schemas.microsoft.com/office/drawing/2014/main" id="{00000000-0008-0000-0000-00008C010000}"/>
            </a:ext>
          </a:extLst>
        </xdr:cNvPr>
        <xdr:cNvSpPr/>
      </xdr:nvSpPr>
      <xdr:spPr>
        <a:xfrm>
          <a:off x="4010025" y="18773775"/>
          <a:ext cx="2932104" cy="129988"/>
        </a:xfrm>
        <a:prstGeom prst="roundRect">
          <a:avLst>
            <a:gd name="adj" fmla="val 50000"/>
          </a:avLst>
        </a:prstGeom>
        <a:gradFill flip="none" rotWithShape="1">
          <a:gsLst>
            <a:gs pos="0">
              <a:srgbClr val="FFFF62"/>
            </a:gs>
            <a:gs pos="100000">
              <a:srgbClr val="FF0000"/>
            </a:gs>
            <a:gs pos="33000">
              <a:srgbClr val="FFFF62"/>
            </a:gs>
            <a:gs pos="33000">
              <a:srgbClr val="00FF00"/>
            </a:gs>
            <a:gs pos="77000">
              <a:srgbClr val="00FF00"/>
            </a:gs>
            <a:gs pos="77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180</xdr:row>
      <xdr:rowOff>0</xdr:rowOff>
    </xdr:from>
    <xdr:to>
      <xdr:col>31</xdr:col>
      <xdr:colOff>7302</xdr:colOff>
      <xdr:row>184</xdr:row>
      <xdr:rowOff>4483</xdr:rowOff>
    </xdr:to>
    <xdr:graphicFrame macro="">
      <xdr:nvGraphicFramePr>
        <xdr:cNvPr id="398" name="Grafico 29">
          <a:extLst>
            <a:ext uri="{FF2B5EF4-FFF2-40B4-BE49-F238E27FC236}">
              <a16:creationId xmlns:a16="http://schemas.microsoft.com/office/drawing/2014/main" id="{00000000-0008-0000-0000-00008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21</xdr:col>
      <xdr:colOff>0</xdr:colOff>
      <xdr:row>186</xdr:row>
      <xdr:rowOff>0</xdr:rowOff>
    </xdr:from>
    <xdr:to>
      <xdr:col>30</xdr:col>
      <xdr:colOff>17454</xdr:colOff>
      <xdr:row>187</xdr:row>
      <xdr:rowOff>53788</xdr:rowOff>
    </xdr:to>
    <xdr:sp macro="" textlink="">
      <xdr:nvSpPr>
        <xdr:cNvPr id="400" name="rect 30">
          <a:extLst>
            <a:ext uri="{FF2B5EF4-FFF2-40B4-BE49-F238E27FC236}">
              <a16:creationId xmlns:a16="http://schemas.microsoft.com/office/drawing/2014/main" id="{00000000-0008-0000-0000-000090010000}"/>
            </a:ext>
          </a:extLst>
        </xdr:cNvPr>
        <xdr:cNvSpPr/>
      </xdr:nvSpPr>
      <xdr:spPr>
        <a:xfrm>
          <a:off x="4010025" y="19202400"/>
          <a:ext cx="2932104" cy="129988"/>
        </a:xfrm>
        <a:prstGeom prst="roundRect">
          <a:avLst>
            <a:gd name="adj" fmla="val 50000"/>
          </a:avLst>
        </a:prstGeom>
        <a:gradFill flip="none" rotWithShape="1">
          <a:gsLst>
            <a:gs pos="0">
              <a:srgbClr val="FFFF62"/>
            </a:gs>
            <a:gs pos="100000">
              <a:srgbClr val="FF0000"/>
            </a:gs>
            <a:gs pos="30000">
              <a:srgbClr val="FFFF62"/>
            </a:gs>
            <a:gs pos="30000">
              <a:srgbClr val="00FF00"/>
            </a:gs>
            <a:gs pos="86000">
              <a:srgbClr val="00FF00"/>
            </a:gs>
            <a:gs pos="86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185</xdr:row>
      <xdr:rowOff>0</xdr:rowOff>
    </xdr:from>
    <xdr:to>
      <xdr:col>31</xdr:col>
      <xdr:colOff>7302</xdr:colOff>
      <xdr:row>189</xdr:row>
      <xdr:rowOff>4483</xdr:rowOff>
    </xdr:to>
    <xdr:graphicFrame macro="">
      <xdr:nvGraphicFramePr>
        <xdr:cNvPr id="402" name="Grafico 30">
          <a:extLst>
            <a:ext uri="{FF2B5EF4-FFF2-40B4-BE49-F238E27FC236}">
              <a16:creationId xmlns:a16="http://schemas.microsoft.com/office/drawing/2014/main" id="{00000000-0008-0000-0000-00009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21</xdr:col>
      <xdr:colOff>0</xdr:colOff>
      <xdr:row>194</xdr:row>
      <xdr:rowOff>0</xdr:rowOff>
    </xdr:from>
    <xdr:to>
      <xdr:col>30</xdr:col>
      <xdr:colOff>17454</xdr:colOff>
      <xdr:row>195</xdr:row>
      <xdr:rowOff>53788</xdr:rowOff>
    </xdr:to>
    <xdr:sp macro="" textlink="">
      <xdr:nvSpPr>
        <xdr:cNvPr id="404" name="rect 31">
          <a:extLst>
            <a:ext uri="{FF2B5EF4-FFF2-40B4-BE49-F238E27FC236}">
              <a16:creationId xmlns:a16="http://schemas.microsoft.com/office/drawing/2014/main" id="{00000000-0008-0000-0000-000094010000}"/>
            </a:ext>
          </a:extLst>
        </xdr:cNvPr>
        <xdr:cNvSpPr/>
      </xdr:nvSpPr>
      <xdr:spPr>
        <a:xfrm>
          <a:off x="4010025" y="20050125"/>
          <a:ext cx="2932104" cy="129988"/>
        </a:xfrm>
        <a:prstGeom prst="roundRect">
          <a:avLst>
            <a:gd name="adj" fmla="val 50000"/>
          </a:avLst>
        </a:prstGeom>
        <a:gradFill flip="none" rotWithShape="1">
          <a:gsLst>
            <a:gs pos="0">
              <a:srgbClr val="FFFF62"/>
            </a:gs>
            <a:gs pos="100000">
              <a:srgbClr val="FF0000"/>
            </a:gs>
            <a:gs pos="37000">
              <a:srgbClr val="FFFF62"/>
            </a:gs>
            <a:gs pos="37000">
              <a:srgbClr val="00FF00"/>
            </a:gs>
            <a:gs pos="74000">
              <a:srgbClr val="00FF00"/>
            </a:gs>
            <a:gs pos="74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193</xdr:row>
      <xdr:rowOff>0</xdr:rowOff>
    </xdr:from>
    <xdr:to>
      <xdr:col>31</xdr:col>
      <xdr:colOff>7302</xdr:colOff>
      <xdr:row>197</xdr:row>
      <xdr:rowOff>4483</xdr:rowOff>
    </xdr:to>
    <xdr:graphicFrame macro="">
      <xdr:nvGraphicFramePr>
        <xdr:cNvPr id="406" name="Grafico 31">
          <a:extLst>
            <a:ext uri="{FF2B5EF4-FFF2-40B4-BE49-F238E27FC236}">
              <a16:creationId xmlns:a16="http://schemas.microsoft.com/office/drawing/2014/main" id="{00000000-0008-0000-0000-00009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21</xdr:col>
      <xdr:colOff>0</xdr:colOff>
      <xdr:row>199</xdr:row>
      <xdr:rowOff>0</xdr:rowOff>
    </xdr:from>
    <xdr:to>
      <xdr:col>30</xdr:col>
      <xdr:colOff>17454</xdr:colOff>
      <xdr:row>200</xdr:row>
      <xdr:rowOff>53788</xdr:rowOff>
    </xdr:to>
    <xdr:sp macro="" textlink="">
      <xdr:nvSpPr>
        <xdr:cNvPr id="408" name="rect 32">
          <a:extLst>
            <a:ext uri="{FF2B5EF4-FFF2-40B4-BE49-F238E27FC236}">
              <a16:creationId xmlns:a16="http://schemas.microsoft.com/office/drawing/2014/main" id="{00000000-0008-0000-0000-000098010000}"/>
            </a:ext>
          </a:extLst>
        </xdr:cNvPr>
        <xdr:cNvSpPr/>
      </xdr:nvSpPr>
      <xdr:spPr>
        <a:xfrm>
          <a:off x="4010025" y="20478750"/>
          <a:ext cx="2932104" cy="129988"/>
        </a:xfrm>
        <a:prstGeom prst="roundRect">
          <a:avLst>
            <a:gd name="adj" fmla="val 50000"/>
          </a:avLst>
        </a:prstGeom>
        <a:gradFill flip="none" rotWithShape="1">
          <a:gsLst>
            <a:gs pos="0">
              <a:srgbClr val="FFFF62"/>
            </a:gs>
            <a:gs pos="100000">
              <a:srgbClr val="FF0000"/>
            </a:gs>
            <a:gs pos="26000">
              <a:srgbClr val="FFFF62"/>
            </a:gs>
            <a:gs pos="26000">
              <a:srgbClr val="00FF00"/>
            </a:gs>
            <a:gs pos="84000">
              <a:srgbClr val="00FF00"/>
            </a:gs>
            <a:gs pos="84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198</xdr:row>
      <xdr:rowOff>0</xdr:rowOff>
    </xdr:from>
    <xdr:to>
      <xdr:col>31</xdr:col>
      <xdr:colOff>7302</xdr:colOff>
      <xdr:row>202</xdr:row>
      <xdr:rowOff>4483</xdr:rowOff>
    </xdr:to>
    <xdr:graphicFrame macro="">
      <xdr:nvGraphicFramePr>
        <xdr:cNvPr id="410" name="Grafico 32">
          <a:extLst>
            <a:ext uri="{FF2B5EF4-FFF2-40B4-BE49-F238E27FC236}">
              <a16:creationId xmlns:a16="http://schemas.microsoft.com/office/drawing/2014/main" id="{00000000-0008-0000-0000-00009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21</xdr:col>
      <xdr:colOff>0</xdr:colOff>
      <xdr:row>218</xdr:row>
      <xdr:rowOff>0</xdr:rowOff>
    </xdr:from>
    <xdr:to>
      <xdr:col>30</xdr:col>
      <xdr:colOff>17454</xdr:colOff>
      <xdr:row>219</xdr:row>
      <xdr:rowOff>53788</xdr:rowOff>
    </xdr:to>
    <xdr:sp macro="" textlink="">
      <xdr:nvSpPr>
        <xdr:cNvPr id="412" name="rect 33">
          <a:extLst>
            <a:ext uri="{FF2B5EF4-FFF2-40B4-BE49-F238E27FC236}">
              <a16:creationId xmlns:a16="http://schemas.microsoft.com/office/drawing/2014/main" id="{00000000-0008-0000-0000-00009C010000}"/>
            </a:ext>
          </a:extLst>
        </xdr:cNvPr>
        <xdr:cNvSpPr/>
      </xdr:nvSpPr>
      <xdr:spPr>
        <a:xfrm>
          <a:off x="4010025" y="22812375"/>
          <a:ext cx="2932104" cy="129988"/>
        </a:xfrm>
        <a:prstGeom prst="roundRect">
          <a:avLst>
            <a:gd name="adj" fmla="val 50000"/>
          </a:avLst>
        </a:prstGeom>
        <a:gradFill flip="none" rotWithShape="1">
          <a:gsLst>
            <a:gs pos="0">
              <a:srgbClr val="FFFF62"/>
            </a:gs>
            <a:gs pos="100000">
              <a:srgbClr val="FF0000"/>
            </a:gs>
            <a:gs pos="24000">
              <a:srgbClr val="FFFF62"/>
            </a:gs>
            <a:gs pos="24000">
              <a:srgbClr val="00FF00"/>
            </a:gs>
            <a:gs pos="73000">
              <a:srgbClr val="00FF00"/>
            </a:gs>
            <a:gs pos="73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217</xdr:row>
      <xdr:rowOff>0</xdr:rowOff>
    </xdr:from>
    <xdr:to>
      <xdr:col>31</xdr:col>
      <xdr:colOff>7302</xdr:colOff>
      <xdr:row>221</xdr:row>
      <xdr:rowOff>4483</xdr:rowOff>
    </xdr:to>
    <xdr:graphicFrame macro="">
      <xdr:nvGraphicFramePr>
        <xdr:cNvPr id="414" name="Grafico 33">
          <a:extLst>
            <a:ext uri="{FF2B5EF4-FFF2-40B4-BE49-F238E27FC236}">
              <a16:creationId xmlns:a16="http://schemas.microsoft.com/office/drawing/2014/main" id="{00000000-0008-0000-0000-00009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0</xdr:colOff>
      <xdr:row>223</xdr:row>
      <xdr:rowOff>0</xdr:rowOff>
    </xdr:from>
    <xdr:to>
      <xdr:col>30</xdr:col>
      <xdr:colOff>17454</xdr:colOff>
      <xdr:row>224</xdr:row>
      <xdr:rowOff>53788</xdr:rowOff>
    </xdr:to>
    <xdr:sp macro="" textlink="">
      <xdr:nvSpPr>
        <xdr:cNvPr id="416" name="rect 34">
          <a:extLst>
            <a:ext uri="{FF2B5EF4-FFF2-40B4-BE49-F238E27FC236}">
              <a16:creationId xmlns:a16="http://schemas.microsoft.com/office/drawing/2014/main" id="{00000000-0008-0000-0000-0000A0010000}"/>
            </a:ext>
          </a:extLst>
        </xdr:cNvPr>
        <xdr:cNvSpPr/>
      </xdr:nvSpPr>
      <xdr:spPr>
        <a:xfrm>
          <a:off x="4010025" y="23241000"/>
          <a:ext cx="2932104" cy="129988"/>
        </a:xfrm>
        <a:prstGeom prst="roundRect">
          <a:avLst>
            <a:gd name="adj" fmla="val 50000"/>
          </a:avLst>
        </a:prstGeom>
        <a:gradFill flip="none" rotWithShape="1">
          <a:gsLst>
            <a:gs pos="0">
              <a:srgbClr val="FFFF62"/>
            </a:gs>
            <a:gs pos="100000">
              <a:srgbClr val="FF0000"/>
            </a:gs>
            <a:gs pos="42000">
              <a:srgbClr val="FFFF62"/>
            </a:gs>
            <a:gs pos="42000">
              <a:srgbClr val="00FF00"/>
            </a:gs>
            <a:gs pos="74000">
              <a:srgbClr val="00FF00"/>
            </a:gs>
            <a:gs pos="74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222</xdr:row>
      <xdr:rowOff>0</xdr:rowOff>
    </xdr:from>
    <xdr:to>
      <xdr:col>31</xdr:col>
      <xdr:colOff>7302</xdr:colOff>
      <xdr:row>226</xdr:row>
      <xdr:rowOff>4483</xdr:rowOff>
    </xdr:to>
    <xdr:graphicFrame macro="">
      <xdr:nvGraphicFramePr>
        <xdr:cNvPr id="418" name="Grafico 34">
          <a:extLst>
            <a:ext uri="{FF2B5EF4-FFF2-40B4-BE49-F238E27FC236}">
              <a16:creationId xmlns:a16="http://schemas.microsoft.com/office/drawing/2014/main" id="{00000000-0008-0000-0000-0000A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21</xdr:col>
      <xdr:colOff>0</xdr:colOff>
      <xdr:row>228</xdr:row>
      <xdr:rowOff>0</xdr:rowOff>
    </xdr:from>
    <xdr:to>
      <xdr:col>30</xdr:col>
      <xdr:colOff>17454</xdr:colOff>
      <xdr:row>229</xdr:row>
      <xdr:rowOff>53788</xdr:rowOff>
    </xdr:to>
    <xdr:sp macro="" textlink="">
      <xdr:nvSpPr>
        <xdr:cNvPr id="420" name="rect 35">
          <a:extLst>
            <a:ext uri="{FF2B5EF4-FFF2-40B4-BE49-F238E27FC236}">
              <a16:creationId xmlns:a16="http://schemas.microsoft.com/office/drawing/2014/main" id="{00000000-0008-0000-0000-0000A4010000}"/>
            </a:ext>
          </a:extLst>
        </xdr:cNvPr>
        <xdr:cNvSpPr/>
      </xdr:nvSpPr>
      <xdr:spPr>
        <a:xfrm>
          <a:off x="4010025" y="23669625"/>
          <a:ext cx="2932104" cy="129988"/>
        </a:xfrm>
        <a:prstGeom prst="roundRect">
          <a:avLst>
            <a:gd name="adj" fmla="val 50000"/>
          </a:avLst>
        </a:prstGeom>
        <a:gradFill flip="none" rotWithShape="1">
          <a:gsLst>
            <a:gs pos="0">
              <a:srgbClr val="FFFF62"/>
            </a:gs>
            <a:gs pos="100000">
              <a:srgbClr val="FF0000"/>
            </a:gs>
            <a:gs pos="23000">
              <a:srgbClr val="FFFF62"/>
            </a:gs>
            <a:gs pos="23000">
              <a:srgbClr val="00FF00"/>
            </a:gs>
            <a:gs pos="75000">
              <a:srgbClr val="00FF00"/>
            </a:gs>
            <a:gs pos="75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227</xdr:row>
      <xdr:rowOff>0</xdr:rowOff>
    </xdr:from>
    <xdr:to>
      <xdr:col>31</xdr:col>
      <xdr:colOff>7302</xdr:colOff>
      <xdr:row>231</xdr:row>
      <xdr:rowOff>4483</xdr:rowOff>
    </xdr:to>
    <xdr:graphicFrame macro="">
      <xdr:nvGraphicFramePr>
        <xdr:cNvPr id="422" name="Grafico 35">
          <a:extLst>
            <a:ext uri="{FF2B5EF4-FFF2-40B4-BE49-F238E27FC236}">
              <a16:creationId xmlns:a16="http://schemas.microsoft.com/office/drawing/2014/main" id="{00000000-0008-0000-0000-0000A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21</xdr:col>
      <xdr:colOff>0</xdr:colOff>
      <xdr:row>233</xdr:row>
      <xdr:rowOff>0</xdr:rowOff>
    </xdr:from>
    <xdr:to>
      <xdr:col>30</xdr:col>
      <xdr:colOff>17454</xdr:colOff>
      <xdr:row>234</xdr:row>
      <xdr:rowOff>53788</xdr:rowOff>
    </xdr:to>
    <xdr:sp macro="" textlink="">
      <xdr:nvSpPr>
        <xdr:cNvPr id="424" name="rect 36">
          <a:extLst>
            <a:ext uri="{FF2B5EF4-FFF2-40B4-BE49-F238E27FC236}">
              <a16:creationId xmlns:a16="http://schemas.microsoft.com/office/drawing/2014/main" id="{00000000-0008-0000-0000-0000A8010000}"/>
            </a:ext>
          </a:extLst>
        </xdr:cNvPr>
        <xdr:cNvSpPr/>
      </xdr:nvSpPr>
      <xdr:spPr>
        <a:xfrm>
          <a:off x="4010025" y="24098250"/>
          <a:ext cx="2932104" cy="129988"/>
        </a:xfrm>
        <a:prstGeom prst="roundRect">
          <a:avLst>
            <a:gd name="adj" fmla="val 50000"/>
          </a:avLst>
        </a:prstGeom>
        <a:gradFill flip="none" rotWithShape="1">
          <a:gsLst>
            <a:gs pos="0">
              <a:srgbClr val="FFFF62"/>
            </a:gs>
            <a:gs pos="100000">
              <a:srgbClr val="FF0000"/>
            </a:gs>
            <a:gs pos="35000">
              <a:srgbClr val="FFFF62"/>
            </a:gs>
            <a:gs pos="35000">
              <a:srgbClr val="00FF00"/>
            </a:gs>
            <a:gs pos="76000">
              <a:srgbClr val="00FF00"/>
            </a:gs>
            <a:gs pos="76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232</xdr:row>
      <xdr:rowOff>0</xdr:rowOff>
    </xdr:from>
    <xdr:to>
      <xdr:col>31</xdr:col>
      <xdr:colOff>7302</xdr:colOff>
      <xdr:row>236</xdr:row>
      <xdr:rowOff>4483</xdr:rowOff>
    </xdr:to>
    <xdr:graphicFrame macro="">
      <xdr:nvGraphicFramePr>
        <xdr:cNvPr id="426" name="Grafico 36">
          <a:extLst>
            <a:ext uri="{FF2B5EF4-FFF2-40B4-BE49-F238E27FC236}">
              <a16:creationId xmlns:a16="http://schemas.microsoft.com/office/drawing/2014/main" id="{00000000-0008-0000-0000-0000A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21</xdr:col>
      <xdr:colOff>0</xdr:colOff>
      <xdr:row>238</xdr:row>
      <xdr:rowOff>0</xdr:rowOff>
    </xdr:from>
    <xdr:to>
      <xdr:col>30</xdr:col>
      <xdr:colOff>17454</xdr:colOff>
      <xdr:row>239</xdr:row>
      <xdr:rowOff>53788</xdr:rowOff>
    </xdr:to>
    <xdr:sp macro="" textlink="">
      <xdr:nvSpPr>
        <xdr:cNvPr id="428" name="rect 37">
          <a:extLst>
            <a:ext uri="{FF2B5EF4-FFF2-40B4-BE49-F238E27FC236}">
              <a16:creationId xmlns:a16="http://schemas.microsoft.com/office/drawing/2014/main" id="{00000000-0008-0000-0000-0000AC010000}"/>
            </a:ext>
          </a:extLst>
        </xdr:cNvPr>
        <xdr:cNvSpPr/>
      </xdr:nvSpPr>
      <xdr:spPr>
        <a:xfrm>
          <a:off x="4010025" y="24526875"/>
          <a:ext cx="2932104" cy="129988"/>
        </a:xfrm>
        <a:prstGeom prst="roundRect">
          <a:avLst>
            <a:gd name="adj" fmla="val 50000"/>
          </a:avLst>
        </a:prstGeom>
        <a:gradFill flip="none" rotWithShape="1">
          <a:gsLst>
            <a:gs pos="0">
              <a:srgbClr val="FFFF62"/>
            </a:gs>
            <a:gs pos="100000">
              <a:srgbClr val="FF0000"/>
            </a:gs>
            <a:gs pos="24000">
              <a:srgbClr val="FFFF62"/>
            </a:gs>
            <a:gs pos="24000">
              <a:srgbClr val="00FF00"/>
            </a:gs>
            <a:gs pos="77000">
              <a:srgbClr val="00FF00"/>
            </a:gs>
            <a:gs pos="77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237</xdr:row>
      <xdr:rowOff>0</xdr:rowOff>
    </xdr:from>
    <xdr:to>
      <xdr:col>31</xdr:col>
      <xdr:colOff>7302</xdr:colOff>
      <xdr:row>241</xdr:row>
      <xdr:rowOff>4483</xdr:rowOff>
    </xdr:to>
    <xdr:graphicFrame macro="">
      <xdr:nvGraphicFramePr>
        <xdr:cNvPr id="430" name="Grafico 37">
          <a:extLst>
            <a:ext uri="{FF2B5EF4-FFF2-40B4-BE49-F238E27FC236}">
              <a16:creationId xmlns:a16="http://schemas.microsoft.com/office/drawing/2014/main" id="{00000000-0008-0000-0000-0000A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21</xdr:col>
      <xdr:colOff>0</xdr:colOff>
      <xdr:row>243</xdr:row>
      <xdr:rowOff>0</xdr:rowOff>
    </xdr:from>
    <xdr:to>
      <xdr:col>30</xdr:col>
      <xdr:colOff>17454</xdr:colOff>
      <xdr:row>244</xdr:row>
      <xdr:rowOff>53788</xdr:rowOff>
    </xdr:to>
    <xdr:sp macro="" textlink="">
      <xdr:nvSpPr>
        <xdr:cNvPr id="432" name="rect 38">
          <a:extLst>
            <a:ext uri="{FF2B5EF4-FFF2-40B4-BE49-F238E27FC236}">
              <a16:creationId xmlns:a16="http://schemas.microsoft.com/office/drawing/2014/main" id="{00000000-0008-0000-0000-0000B0010000}"/>
            </a:ext>
          </a:extLst>
        </xdr:cNvPr>
        <xdr:cNvSpPr/>
      </xdr:nvSpPr>
      <xdr:spPr>
        <a:xfrm>
          <a:off x="4010025" y="24955500"/>
          <a:ext cx="2932104" cy="129988"/>
        </a:xfrm>
        <a:prstGeom prst="roundRect">
          <a:avLst>
            <a:gd name="adj" fmla="val 50000"/>
          </a:avLst>
        </a:prstGeom>
        <a:gradFill flip="none" rotWithShape="1">
          <a:gsLst>
            <a:gs pos="0">
              <a:srgbClr val="FFFF62"/>
            </a:gs>
            <a:gs pos="100000">
              <a:srgbClr val="FF0000"/>
            </a:gs>
            <a:gs pos="35000">
              <a:srgbClr val="FFFF62"/>
            </a:gs>
            <a:gs pos="35000">
              <a:srgbClr val="00FF00"/>
            </a:gs>
            <a:gs pos="78000">
              <a:srgbClr val="00FF00"/>
            </a:gs>
            <a:gs pos="78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242</xdr:row>
      <xdr:rowOff>0</xdr:rowOff>
    </xdr:from>
    <xdr:to>
      <xdr:col>31</xdr:col>
      <xdr:colOff>7302</xdr:colOff>
      <xdr:row>246</xdr:row>
      <xdr:rowOff>4483</xdr:rowOff>
    </xdr:to>
    <xdr:graphicFrame macro="">
      <xdr:nvGraphicFramePr>
        <xdr:cNvPr id="434" name="Grafico 38">
          <a:extLst>
            <a:ext uri="{FF2B5EF4-FFF2-40B4-BE49-F238E27FC236}">
              <a16:creationId xmlns:a16="http://schemas.microsoft.com/office/drawing/2014/main" id="{00000000-0008-0000-0000-0000B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21</xdr:col>
      <xdr:colOff>0</xdr:colOff>
      <xdr:row>248</xdr:row>
      <xdr:rowOff>0</xdr:rowOff>
    </xdr:from>
    <xdr:to>
      <xdr:col>30</xdr:col>
      <xdr:colOff>17454</xdr:colOff>
      <xdr:row>249</xdr:row>
      <xdr:rowOff>53788</xdr:rowOff>
    </xdr:to>
    <xdr:sp macro="" textlink="">
      <xdr:nvSpPr>
        <xdr:cNvPr id="436" name="rect 39">
          <a:extLst>
            <a:ext uri="{FF2B5EF4-FFF2-40B4-BE49-F238E27FC236}">
              <a16:creationId xmlns:a16="http://schemas.microsoft.com/office/drawing/2014/main" id="{00000000-0008-0000-0000-0000B4010000}"/>
            </a:ext>
          </a:extLst>
        </xdr:cNvPr>
        <xdr:cNvSpPr/>
      </xdr:nvSpPr>
      <xdr:spPr>
        <a:xfrm>
          <a:off x="4010025" y="25384125"/>
          <a:ext cx="2932104" cy="129988"/>
        </a:xfrm>
        <a:prstGeom prst="roundRect">
          <a:avLst>
            <a:gd name="adj" fmla="val 50000"/>
          </a:avLst>
        </a:prstGeom>
        <a:gradFill flip="none" rotWithShape="1">
          <a:gsLst>
            <a:gs pos="0">
              <a:srgbClr val="FFFF62"/>
            </a:gs>
            <a:gs pos="100000">
              <a:srgbClr val="FF0000"/>
            </a:gs>
            <a:gs pos="34000">
              <a:srgbClr val="FFFF62"/>
            </a:gs>
            <a:gs pos="34000">
              <a:srgbClr val="00FF00"/>
            </a:gs>
            <a:gs pos="79000">
              <a:srgbClr val="00FF00"/>
            </a:gs>
            <a:gs pos="79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247</xdr:row>
      <xdr:rowOff>0</xdr:rowOff>
    </xdr:from>
    <xdr:to>
      <xdr:col>31</xdr:col>
      <xdr:colOff>7302</xdr:colOff>
      <xdr:row>251</xdr:row>
      <xdr:rowOff>4483</xdr:rowOff>
    </xdr:to>
    <xdr:graphicFrame macro="">
      <xdr:nvGraphicFramePr>
        <xdr:cNvPr id="438" name="Grafico 39">
          <a:extLst>
            <a:ext uri="{FF2B5EF4-FFF2-40B4-BE49-F238E27FC236}">
              <a16:creationId xmlns:a16="http://schemas.microsoft.com/office/drawing/2014/main" id="{00000000-0008-0000-0000-0000B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21</xdr:col>
      <xdr:colOff>0</xdr:colOff>
      <xdr:row>253</xdr:row>
      <xdr:rowOff>0</xdr:rowOff>
    </xdr:from>
    <xdr:to>
      <xdr:col>30</xdr:col>
      <xdr:colOff>17454</xdr:colOff>
      <xdr:row>254</xdr:row>
      <xdr:rowOff>53788</xdr:rowOff>
    </xdr:to>
    <xdr:sp macro="" textlink="">
      <xdr:nvSpPr>
        <xdr:cNvPr id="440" name="rect 40">
          <a:extLst>
            <a:ext uri="{FF2B5EF4-FFF2-40B4-BE49-F238E27FC236}">
              <a16:creationId xmlns:a16="http://schemas.microsoft.com/office/drawing/2014/main" id="{00000000-0008-0000-0000-0000B8010000}"/>
            </a:ext>
          </a:extLst>
        </xdr:cNvPr>
        <xdr:cNvSpPr/>
      </xdr:nvSpPr>
      <xdr:spPr>
        <a:xfrm>
          <a:off x="4010025" y="25812750"/>
          <a:ext cx="2932104" cy="129988"/>
        </a:xfrm>
        <a:prstGeom prst="roundRect">
          <a:avLst>
            <a:gd name="adj" fmla="val 50000"/>
          </a:avLst>
        </a:prstGeom>
        <a:gradFill flip="none" rotWithShape="1">
          <a:gsLst>
            <a:gs pos="0">
              <a:srgbClr val="FFFF62"/>
            </a:gs>
            <a:gs pos="100000">
              <a:srgbClr val="FF0000"/>
            </a:gs>
            <a:gs pos="24000">
              <a:srgbClr val="FFFF62"/>
            </a:gs>
            <a:gs pos="24000">
              <a:srgbClr val="00FF00"/>
            </a:gs>
            <a:gs pos="80000">
              <a:srgbClr val="00FF00"/>
            </a:gs>
            <a:gs pos="80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252</xdr:row>
      <xdr:rowOff>0</xdr:rowOff>
    </xdr:from>
    <xdr:to>
      <xdr:col>31</xdr:col>
      <xdr:colOff>7302</xdr:colOff>
      <xdr:row>256</xdr:row>
      <xdr:rowOff>4483</xdr:rowOff>
    </xdr:to>
    <xdr:graphicFrame macro="">
      <xdr:nvGraphicFramePr>
        <xdr:cNvPr id="442" name="Grafico 40">
          <a:extLst>
            <a:ext uri="{FF2B5EF4-FFF2-40B4-BE49-F238E27FC236}">
              <a16:creationId xmlns:a16="http://schemas.microsoft.com/office/drawing/2014/main" id="{00000000-0008-0000-0000-0000B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21</xdr:col>
      <xdr:colOff>0</xdr:colOff>
      <xdr:row>19</xdr:row>
      <xdr:rowOff>130968</xdr:rowOff>
    </xdr:from>
    <xdr:to>
      <xdr:col>30</xdr:col>
      <xdr:colOff>21264</xdr:colOff>
      <xdr:row>21</xdr:row>
      <xdr:rowOff>53788</xdr:rowOff>
    </xdr:to>
    <xdr:sp macro="" textlink="">
      <xdr:nvSpPr>
        <xdr:cNvPr id="132" name="rect 1">
          <a:extLst>
            <a:ext uri="{FF2B5EF4-FFF2-40B4-BE49-F238E27FC236}">
              <a16:creationId xmlns:a16="http://schemas.microsoft.com/office/drawing/2014/main" id="{00000000-0008-0000-0000-000084000000}"/>
            </a:ext>
          </a:extLst>
        </xdr:cNvPr>
        <xdr:cNvSpPr/>
      </xdr:nvSpPr>
      <xdr:spPr>
        <a:xfrm>
          <a:off x="4030266" y="3923109"/>
          <a:ext cx="2914482" cy="131179"/>
        </a:xfrm>
        <a:prstGeom prst="roundRect">
          <a:avLst>
            <a:gd name="adj" fmla="val 50000"/>
          </a:avLst>
        </a:prstGeom>
        <a:gradFill flip="none" rotWithShape="1">
          <a:gsLst>
            <a:gs pos="0">
              <a:srgbClr val="FFFF62"/>
            </a:gs>
            <a:gs pos="100000">
              <a:srgbClr val="FF0000"/>
            </a:gs>
            <a:gs pos="32000">
              <a:srgbClr val="FFFF62"/>
            </a:gs>
            <a:gs pos="32000">
              <a:srgbClr val="00FF00"/>
            </a:gs>
            <a:gs pos="83000">
              <a:srgbClr val="00FF00"/>
            </a:gs>
            <a:gs pos="83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24</xdr:row>
      <xdr:rowOff>0</xdr:rowOff>
    </xdr:from>
    <xdr:to>
      <xdr:col>31</xdr:col>
      <xdr:colOff>7302</xdr:colOff>
      <xdr:row>28</xdr:row>
      <xdr:rowOff>4483</xdr:rowOff>
    </xdr:to>
    <xdr:graphicFrame macro="">
      <xdr:nvGraphicFramePr>
        <xdr:cNvPr id="140" name="Grafico 2">
          <a:extLst>
            <a:ext uri="{FF2B5EF4-FFF2-40B4-BE49-F238E27FC236}">
              <a16:creationId xmlns:a16="http://schemas.microsoft.com/office/drawing/2014/main" id="{00000000-0008-0000-0000-00008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oneCellAnchor>
    <xdr:from>
      <xdr:col>0</xdr:col>
      <xdr:colOff>90054</xdr:colOff>
      <xdr:row>103</xdr:row>
      <xdr:rowOff>90053</xdr:rowOff>
    </xdr:from>
    <xdr:ext cx="1313033" cy="928256"/>
    <xdr:pic>
      <xdr:nvPicPr>
        <xdr:cNvPr id="130" name="Immagine 129">
          <a:extLst>
            <a:ext uri="{FF2B5EF4-FFF2-40B4-BE49-F238E27FC236}">
              <a16:creationId xmlns:a16="http://schemas.microsoft.com/office/drawing/2014/main" id="{00000000-0008-0000-0000-00008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4" y="90053"/>
          <a:ext cx="1313033" cy="928256"/>
        </a:xfrm>
        <a:prstGeom prst="rect">
          <a:avLst/>
        </a:prstGeom>
      </xdr:spPr>
    </xdr:pic>
    <xdr:clientData/>
  </xdr:oneCellAnchor>
  <xdr:oneCellAnchor>
    <xdr:from>
      <xdr:col>0</xdr:col>
      <xdr:colOff>90054</xdr:colOff>
      <xdr:row>204</xdr:row>
      <xdr:rowOff>90053</xdr:rowOff>
    </xdr:from>
    <xdr:ext cx="1313033" cy="928256"/>
    <xdr:pic>
      <xdr:nvPicPr>
        <xdr:cNvPr id="133" name="Immagin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4" y="11695313"/>
          <a:ext cx="1313033" cy="928256"/>
        </a:xfrm>
        <a:prstGeom prst="rect">
          <a:avLst/>
        </a:prstGeom>
      </xdr:spPr>
    </xdr:pic>
    <xdr:clientData/>
  </xdr:oneCellAnchor>
  <xdr:twoCellAnchor>
    <xdr:from>
      <xdr:col>21</xdr:col>
      <xdr:colOff>0</xdr:colOff>
      <xdr:row>261</xdr:row>
      <xdr:rowOff>0</xdr:rowOff>
    </xdr:from>
    <xdr:to>
      <xdr:col>30</xdr:col>
      <xdr:colOff>17454</xdr:colOff>
      <xdr:row>262</xdr:row>
      <xdr:rowOff>53788</xdr:rowOff>
    </xdr:to>
    <xdr:sp macro="" textlink="">
      <xdr:nvSpPr>
        <xdr:cNvPr id="139" name="rect 41">
          <a:extLst>
            <a:ext uri="{FF2B5EF4-FFF2-40B4-BE49-F238E27FC236}">
              <a16:creationId xmlns:a16="http://schemas.microsoft.com/office/drawing/2014/main" id="{00000000-0008-0000-0000-00008B000000}"/>
            </a:ext>
          </a:extLst>
        </xdr:cNvPr>
        <xdr:cNvSpPr/>
      </xdr:nvSpPr>
      <xdr:spPr>
        <a:xfrm>
          <a:off x="4206240" y="28468320"/>
          <a:ext cx="3034974" cy="129988"/>
        </a:xfrm>
        <a:prstGeom prst="roundRect">
          <a:avLst>
            <a:gd name="adj" fmla="val 50000"/>
          </a:avLst>
        </a:prstGeom>
        <a:gradFill flip="none" rotWithShape="1">
          <a:gsLst>
            <a:gs pos="0">
              <a:srgbClr val="FFFF62"/>
            </a:gs>
            <a:gs pos="100000">
              <a:srgbClr val="FF0000"/>
            </a:gs>
            <a:gs pos="28000">
              <a:srgbClr val="FFFF62"/>
            </a:gs>
            <a:gs pos="28000">
              <a:srgbClr val="00FF00"/>
            </a:gs>
            <a:gs pos="81000">
              <a:srgbClr val="00FF00"/>
            </a:gs>
            <a:gs pos="81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260</xdr:row>
      <xdr:rowOff>0</xdr:rowOff>
    </xdr:from>
    <xdr:to>
      <xdr:col>31</xdr:col>
      <xdr:colOff>7302</xdr:colOff>
      <xdr:row>264</xdr:row>
      <xdr:rowOff>4483</xdr:rowOff>
    </xdr:to>
    <xdr:graphicFrame macro="">
      <xdr:nvGraphicFramePr>
        <xdr:cNvPr id="141" name="Grafico 41">
          <a:extLst>
            <a:ext uri="{FF2B5EF4-FFF2-40B4-BE49-F238E27FC236}">
              <a16:creationId xmlns:a16="http://schemas.microsoft.com/office/drawing/2014/main" id="{00000000-0008-0000-0000-00008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21</xdr:col>
      <xdr:colOff>0</xdr:colOff>
      <xdr:row>266</xdr:row>
      <xdr:rowOff>0</xdr:rowOff>
    </xdr:from>
    <xdr:to>
      <xdr:col>30</xdr:col>
      <xdr:colOff>17454</xdr:colOff>
      <xdr:row>267</xdr:row>
      <xdr:rowOff>53788</xdr:rowOff>
    </xdr:to>
    <xdr:sp macro="" textlink="">
      <xdr:nvSpPr>
        <xdr:cNvPr id="143" name="rect 42">
          <a:extLst>
            <a:ext uri="{FF2B5EF4-FFF2-40B4-BE49-F238E27FC236}">
              <a16:creationId xmlns:a16="http://schemas.microsoft.com/office/drawing/2014/main" id="{00000000-0008-0000-0000-00008F000000}"/>
            </a:ext>
          </a:extLst>
        </xdr:cNvPr>
        <xdr:cNvSpPr/>
      </xdr:nvSpPr>
      <xdr:spPr>
        <a:xfrm>
          <a:off x="4206240" y="28902660"/>
          <a:ext cx="3034974" cy="129988"/>
        </a:xfrm>
        <a:prstGeom prst="roundRect">
          <a:avLst>
            <a:gd name="adj" fmla="val 50000"/>
          </a:avLst>
        </a:prstGeom>
        <a:gradFill flip="none" rotWithShape="1">
          <a:gsLst>
            <a:gs pos="0">
              <a:srgbClr val="FFFF62"/>
            </a:gs>
            <a:gs pos="100000">
              <a:srgbClr val="FF0000"/>
            </a:gs>
            <a:gs pos="29000">
              <a:srgbClr val="FFFF62"/>
            </a:gs>
            <a:gs pos="29000">
              <a:srgbClr val="00FF00"/>
            </a:gs>
            <a:gs pos="82000">
              <a:srgbClr val="00FF00"/>
            </a:gs>
            <a:gs pos="82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265</xdr:row>
      <xdr:rowOff>0</xdr:rowOff>
    </xdr:from>
    <xdr:to>
      <xdr:col>31</xdr:col>
      <xdr:colOff>7302</xdr:colOff>
      <xdr:row>269</xdr:row>
      <xdr:rowOff>4483</xdr:rowOff>
    </xdr:to>
    <xdr:graphicFrame macro="">
      <xdr:nvGraphicFramePr>
        <xdr:cNvPr id="145" name="Grafico 42">
          <a:extLst>
            <a:ext uri="{FF2B5EF4-FFF2-40B4-BE49-F238E27FC236}">
              <a16:creationId xmlns:a16="http://schemas.microsoft.com/office/drawing/2014/main" id="{00000000-0008-0000-0000-00009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21</xdr:col>
      <xdr:colOff>0</xdr:colOff>
      <xdr:row>271</xdr:row>
      <xdr:rowOff>0</xdr:rowOff>
    </xdr:from>
    <xdr:to>
      <xdr:col>30</xdr:col>
      <xdr:colOff>17454</xdr:colOff>
      <xdr:row>272</xdr:row>
      <xdr:rowOff>53788</xdr:rowOff>
    </xdr:to>
    <xdr:sp macro="" textlink="">
      <xdr:nvSpPr>
        <xdr:cNvPr id="146" name="rect 43">
          <a:extLst>
            <a:ext uri="{FF2B5EF4-FFF2-40B4-BE49-F238E27FC236}">
              <a16:creationId xmlns:a16="http://schemas.microsoft.com/office/drawing/2014/main" id="{00000000-0008-0000-0000-000092000000}"/>
            </a:ext>
          </a:extLst>
        </xdr:cNvPr>
        <xdr:cNvSpPr/>
      </xdr:nvSpPr>
      <xdr:spPr>
        <a:xfrm>
          <a:off x="4206240" y="29337000"/>
          <a:ext cx="3034974" cy="129988"/>
        </a:xfrm>
        <a:prstGeom prst="roundRect">
          <a:avLst>
            <a:gd name="adj" fmla="val 50000"/>
          </a:avLst>
        </a:prstGeom>
        <a:gradFill flip="none" rotWithShape="1">
          <a:gsLst>
            <a:gs pos="0">
              <a:srgbClr val="FFFF62"/>
            </a:gs>
            <a:gs pos="100000">
              <a:srgbClr val="FF0000"/>
            </a:gs>
            <a:gs pos="30000">
              <a:srgbClr val="FFFF62"/>
            </a:gs>
            <a:gs pos="30000">
              <a:srgbClr val="00FF00"/>
            </a:gs>
            <a:gs pos="83000">
              <a:srgbClr val="00FF00"/>
            </a:gs>
            <a:gs pos="83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270</xdr:row>
      <xdr:rowOff>0</xdr:rowOff>
    </xdr:from>
    <xdr:to>
      <xdr:col>31</xdr:col>
      <xdr:colOff>7302</xdr:colOff>
      <xdr:row>274</xdr:row>
      <xdr:rowOff>4483</xdr:rowOff>
    </xdr:to>
    <xdr:graphicFrame macro="">
      <xdr:nvGraphicFramePr>
        <xdr:cNvPr id="147" name="Grafico 43">
          <a:extLst>
            <a:ext uri="{FF2B5EF4-FFF2-40B4-BE49-F238E27FC236}">
              <a16:creationId xmlns:a16="http://schemas.microsoft.com/office/drawing/2014/main" id="{00000000-0008-0000-0000-00009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21</xdr:col>
      <xdr:colOff>0</xdr:colOff>
      <xdr:row>284</xdr:row>
      <xdr:rowOff>0</xdr:rowOff>
    </xdr:from>
    <xdr:to>
      <xdr:col>30</xdr:col>
      <xdr:colOff>17454</xdr:colOff>
      <xdr:row>285</xdr:row>
      <xdr:rowOff>53788</xdr:rowOff>
    </xdr:to>
    <xdr:sp macro="" textlink="">
      <xdr:nvSpPr>
        <xdr:cNvPr id="148" name="rect 45">
          <a:extLst>
            <a:ext uri="{FF2B5EF4-FFF2-40B4-BE49-F238E27FC236}">
              <a16:creationId xmlns:a16="http://schemas.microsoft.com/office/drawing/2014/main" id="{00000000-0008-0000-0000-000094000000}"/>
            </a:ext>
          </a:extLst>
        </xdr:cNvPr>
        <xdr:cNvSpPr/>
      </xdr:nvSpPr>
      <xdr:spPr>
        <a:xfrm>
          <a:off x="4206240" y="30579060"/>
          <a:ext cx="3034974" cy="129988"/>
        </a:xfrm>
        <a:prstGeom prst="roundRect">
          <a:avLst>
            <a:gd name="adj" fmla="val 50000"/>
          </a:avLst>
        </a:prstGeom>
        <a:gradFill flip="none" rotWithShape="1">
          <a:gsLst>
            <a:gs pos="0">
              <a:srgbClr val="FFFF62"/>
            </a:gs>
            <a:gs pos="100000">
              <a:srgbClr val="FF0000"/>
            </a:gs>
            <a:gs pos="26000">
              <a:srgbClr val="FFFF62"/>
            </a:gs>
            <a:gs pos="26000">
              <a:srgbClr val="00FF00"/>
            </a:gs>
            <a:gs pos="85000">
              <a:srgbClr val="00FF00"/>
            </a:gs>
            <a:gs pos="85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283</xdr:row>
      <xdr:rowOff>0</xdr:rowOff>
    </xdr:from>
    <xdr:to>
      <xdr:col>31</xdr:col>
      <xdr:colOff>7302</xdr:colOff>
      <xdr:row>287</xdr:row>
      <xdr:rowOff>4483</xdr:rowOff>
    </xdr:to>
    <xdr:graphicFrame macro="">
      <xdr:nvGraphicFramePr>
        <xdr:cNvPr id="149" name="Grafico 45">
          <a:extLst>
            <a:ext uri="{FF2B5EF4-FFF2-40B4-BE49-F238E27FC236}">
              <a16:creationId xmlns:a16="http://schemas.microsoft.com/office/drawing/2014/main" id="{00000000-0008-0000-0000-00009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21</xdr:col>
      <xdr:colOff>0</xdr:colOff>
      <xdr:row>289</xdr:row>
      <xdr:rowOff>0</xdr:rowOff>
    </xdr:from>
    <xdr:to>
      <xdr:col>30</xdr:col>
      <xdr:colOff>17454</xdr:colOff>
      <xdr:row>290</xdr:row>
      <xdr:rowOff>53788</xdr:rowOff>
    </xdr:to>
    <xdr:sp macro="" textlink="">
      <xdr:nvSpPr>
        <xdr:cNvPr id="150" name="rect 46">
          <a:extLst>
            <a:ext uri="{FF2B5EF4-FFF2-40B4-BE49-F238E27FC236}">
              <a16:creationId xmlns:a16="http://schemas.microsoft.com/office/drawing/2014/main" id="{00000000-0008-0000-0000-000096000000}"/>
            </a:ext>
          </a:extLst>
        </xdr:cNvPr>
        <xdr:cNvSpPr/>
      </xdr:nvSpPr>
      <xdr:spPr>
        <a:xfrm>
          <a:off x="4206240" y="31013400"/>
          <a:ext cx="3034974" cy="129988"/>
        </a:xfrm>
        <a:prstGeom prst="roundRect">
          <a:avLst>
            <a:gd name="adj" fmla="val 50000"/>
          </a:avLst>
        </a:prstGeom>
        <a:gradFill flip="none" rotWithShape="1">
          <a:gsLst>
            <a:gs pos="0">
              <a:srgbClr val="FFFF62"/>
            </a:gs>
            <a:gs pos="100000">
              <a:srgbClr val="FF0000"/>
            </a:gs>
            <a:gs pos="23000">
              <a:srgbClr val="FFFF62"/>
            </a:gs>
            <a:gs pos="23000">
              <a:srgbClr val="00FF00"/>
            </a:gs>
            <a:gs pos="86000">
              <a:srgbClr val="00FF00"/>
            </a:gs>
            <a:gs pos="86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288</xdr:row>
      <xdr:rowOff>0</xdr:rowOff>
    </xdr:from>
    <xdr:to>
      <xdr:col>31</xdr:col>
      <xdr:colOff>7302</xdr:colOff>
      <xdr:row>292</xdr:row>
      <xdr:rowOff>4483</xdr:rowOff>
    </xdr:to>
    <xdr:graphicFrame macro="">
      <xdr:nvGraphicFramePr>
        <xdr:cNvPr id="151" name="Grafico 46">
          <a:extLst>
            <a:ext uri="{FF2B5EF4-FFF2-40B4-BE49-F238E27FC236}">
              <a16:creationId xmlns:a16="http://schemas.microsoft.com/office/drawing/2014/main" id="{00000000-0008-0000-0000-00009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21</xdr:col>
      <xdr:colOff>0</xdr:colOff>
      <xdr:row>294</xdr:row>
      <xdr:rowOff>0</xdr:rowOff>
    </xdr:from>
    <xdr:to>
      <xdr:col>30</xdr:col>
      <xdr:colOff>17454</xdr:colOff>
      <xdr:row>295</xdr:row>
      <xdr:rowOff>53788</xdr:rowOff>
    </xdr:to>
    <xdr:sp macro="" textlink="">
      <xdr:nvSpPr>
        <xdr:cNvPr id="152" name="rect 47">
          <a:extLst>
            <a:ext uri="{FF2B5EF4-FFF2-40B4-BE49-F238E27FC236}">
              <a16:creationId xmlns:a16="http://schemas.microsoft.com/office/drawing/2014/main" id="{00000000-0008-0000-0000-000098000000}"/>
            </a:ext>
          </a:extLst>
        </xdr:cNvPr>
        <xdr:cNvSpPr/>
      </xdr:nvSpPr>
      <xdr:spPr>
        <a:xfrm>
          <a:off x="4206240" y="31447740"/>
          <a:ext cx="3034974" cy="129988"/>
        </a:xfrm>
        <a:prstGeom prst="roundRect">
          <a:avLst>
            <a:gd name="adj" fmla="val 50000"/>
          </a:avLst>
        </a:prstGeom>
        <a:gradFill flip="none" rotWithShape="1">
          <a:gsLst>
            <a:gs pos="0">
              <a:srgbClr val="FFFF62"/>
            </a:gs>
            <a:gs pos="100000">
              <a:srgbClr val="FF0000"/>
            </a:gs>
            <a:gs pos="40000">
              <a:srgbClr val="FFFF62"/>
            </a:gs>
            <a:gs pos="40000">
              <a:srgbClr val="00FF00"/>
            </a:gs>
            <a:gs pos="87000">
              <a:srgbClr val="00FF00"/>
            </a:gs>
            <a:gs pos="87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293</xdr:row>
      <xdr:rowOff>0</xdr:rowOff>
    </xdr:from>
    <xdr:to>
      <xdr:col>31</xdr:col>
      <xdr:colOff>7302</xdr:colOff>
      <xdr:row>297</xdr:row>
      <xdr:rowOff>4483</xdr:rowOff>
    </xdr:to>
    <xdr:graphicFrame macro="">
      <xdr:nvGraphicFramePr>
        <xdr:cNvPr id="153" name="Grafico 47">
          <a:extLst>
            <a:ext uri="{FF2B5EF4-FFF2-40B4-BE49-F238E27FC236}">
              <a16:creationId xmlns:a16="http://schemas.microsoft.com/office/drawing/2014/main" id="{00000000-0008-0000-0000-00009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21</xdr:col>
      <xdr:colOff>0</xdr:colOff>
      <xdr:row>299</xdr:row>
      <xdr:rowOff>0</xdr:rowOff>
    </xdr:from>
    <xdr:to>
      <xdr:col>30</xdr:col>
      <xdr:colOff>17454</xdr:colOff>
      <xdr:row>300</xdr:row>
      <xdr:rowOff>53788</xdr:rowOff>
    </xdr:to>
    <xdr:sp macro="" textlink="">
      <xdr:nvSpPr>
        <xdr:cNvPr id="154" name="rect 48">
          <a:extLst>
            <a:ext uri="{FF2B5EF4-FFF2-40B4-BE49-F238E27FC236}">
              <a16:creationId xmlns:a16="http://schemas.microsoft.com/office/drawing/2014/main" id="{00000000-0008-0000-0000-00009A000000}"/>
            </a:ext>
          </a:extLst>
        </xdr:cNvPr>
        <xdr:cNvSpPr/>
      </xdr:nvSpPr>
      <xdr:spPr>
        <a:xfrm>
          <a:off x="4206240" y="31882080"/>
          <a:ext cx="3034974" cy="129988"/>
        </a:xfrm>
        <a:prstGeom prst="roundRect">
          <a:avLst>
            <a:gd name="adj" fmla="val 50000"/>
          </a:avLst>
        </a:prstGeom>
        <a:gradFill flip="none" rotWithShape="1">
          <a:gsLst>
            <a:gs pos="0">
              <a:srgbClr val="FFFF62"/>
            </a:gs>
            <a:gs pos="100000">
              <a:srgbClr val="FF0000"/>
            </a:gs>
            <a:gs pos="39000">
              <a:srgbClr val="FFFF62"/>
            </a:gs>
            <a:gs pos="39000">
              <a:srgbClr val="00FF00"/>
            </a:gs>
            <a:gs pos="88000">
              <a:srgbClr val="00FF00"/>
            </a:gs>
            <a:gs pos="88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298</xdr:row>
      <xdr:rowOff>0</xdr:rowOff>
    </xdr:from>
    <xdr:to>
      <xdr:col>31</xdr:col>
      <xdr:colOff>7302</xdr:colOff>
      <xdr:row>302</xdr:row>
      <xdr:rowOff>4483</xdr:rowOff>
    </xdr:to>
    <xdr:graphicFrame macro="">
      <xdr:nvGraphicFramePr>
        <xdr:cNvPr id="155" name="Grafico 48">
          <a:extLst>
            <a:ext uri="{FF2B5EF4-FFF2-40B4-BE49-F238E27FC236}">
              <a16:creationId xmlns:a16="http://schemas.microsoft.com/office/drawing/2014/main" id="{00000000-0008-0000-0000-00009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21</xdr:col>
      <xdr:colOff>0</xdr:colOff>
      <xdr:row>304</xdr:row>
      <xdr:rowOff>0</xdr:rowOff>
    </xdr:from>
    <xdr:to>
      <xdr:col>30</xdr:col>
      <xdr:colOff>17454</xdr:colOff>
      <xdr:row>305</xdr:row>
      <xdr:rowOff>53788</xdr:rowOff>
    </xdr:to>
    <xdr:sp macro="" textlink="">
      <xdr:nvSpPr>
        <xdr:cNvPr id="156" name="rect 49">
          <a:extLst>
            <a:ext uri="{FF2B5EF4-FFF2-40B4-BE49-F238E27FC236}">
              <a16:creationId xmlns:a16="http://schemas.microsoft.com/office/drawing/2014/main" id="{00000000-0008-0000-0000-00009C000000}"/>
            </a:ext>
          </a:extLst>
        </xdr:cNvPr>
        <xdr:cNvSpPr/>
      </xdr:nvSpPr>
      <xdr:spPr>
        <a:xfrm>
          <a:off x="4206240" y="32316420"/>
          <a:ext cx="3034974" cy="129988"/>
        </a:xfrm>
        <a:prstGeom prst="roundRect">
          <a:avLst>
            <a:gd name="adj" fmla="val 50000"/>
          </a:avLst>
        </a:prstGeom>
        <a:gradFill flip="none" rotWithShape="1">
          <a:gsLst>
            <a:gs pos="0">
              <a:srgbClr val="FFFF62"/>
            </a:gs>
            <a:gs pos="100000">
              <a:srgbClr val="FF0000"/>
            </a:gs>
            <a:gs pos="26000">
              <a:srgbClr val="FFFF62"/>
            </a:gs>
            <a:gs pos="26000">
              <a:srgbClr val="00FF00"/>
            </a:gs>
            <a:gs pos="89000">
              <a:srgbClr val="00FF00"/>
            </a:gs>
            <a:gs pos="89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303</xdr:row>
      <xdr:rowOff>0</xdr:rowOff>
    </xdr:from>
    <xdr:to>
      <xdr:col>31</xdr:col>
      <xdr:colOff>7302</xdr:colOff>
      <xdr:row>307</xdr:row>
      <xdr:rowOff>4483</xdr:rowOff>
    </xdr:to>
    <xdr:graphicFrame macro="">
      <xdr:nvGraphicFramePr>
        <xdr:cNvPr id="157" name="Grafico 49">
          <a:extLst>
            <a:ext uri="{FF2B5EF4-FFF2-40B4-BE49-F238E27FC236}">
              <a16:creationId xmlns:a16="http://schemas.microsoft.com/office/drawing/2014/main" id="{00000000-0008-0000-0000-00009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21</xdr:col>
      <xdr:colOff>0</xdr:colOff>
      <xdr:row>320</xdr:row>
      <xdr:rowOff>0</xdr:rowOff>
    </xdr:from>
    <xdr:to>
      <xdr:col>30</xdr:col>
      <xdr:colOff>17454</xdr:colOff>
      <xdr:row>321</xdr:row>
      <xdr:rowOff>53788</xdr:rowOff>
    </xdr:to>
    <xdr:sp macro="" textlink="">
      <xdr:nvSpPr>
        <xdr:cNvPr id="158" name="rect 50">
          <a:extLst>
            <a:ext uri="{FF2B5EF4-FFF2-40B4-BE49-F238E27FC236}">
              <a16:creationId xmlns:a16="http://schemas.microsoft.com/office/drawing/2014/main" id="{00000000-0008-0000-0000-00009E000000}"/>
            </a:ext>
          </a:extLst>
        </xdr:cNvPr>
        <xdr:cNvSpPr/>
      </xdr:nvSpPr>
      <xdr:spPr>
        <a:xfrm>
          <a:off x="4206240" y="35029140"/>
          <a:ext cx="3034974" cy="129988"/>
        </a:xfrm>
        <a:prstGeom prst="roundRect">
          <a:avLst>
            <a:gd name="adj" fmla="val 50000"/>
          </a:avLst>
        </a:prstGeom>
        <a:gradFill flip="none" rotWithShape="1">
          <a:gsLst>
            <a:gs pos="0">
              <a:srgbClr val="FF0000"/>
            </a:gs>
            <a:gs pos="100000">
              <a:srgbClr val="FF0000"/>
            </a:gs>
            <a:gs pos="7000">
              <a:srgbClr val="FF0000"/>
            </a:gs>
            <a:gs pos="7000">
              <a:srgbClr val="FFFF62"/>
            </a:gs>
            <a:gs pos="31000">
              <a:srgbClr val="FFFF62"/>
            </a:gs>
            <a:gs pos="31000">
              <a:srgbClr val="00FF00"/>
            </a:gs>
            <a:gs pos="90000">
              <a:srgbClr val="00FF00"/>
            </a:gs>
            <a:gs pos="90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319</xdr:row>
      <xdr:rowOff>0</xdr:rowOff>
    </xdr:from>
    <xdr:to>
      <xdr:col>31</xdr:col>
      <xdr:colOff>7302</xdr:colOff>
      <xdr:row>322</xdr:row>
      <xdr:rowOff>71158</xdr:rowOff>
    </xdr:to>
    <xdr:graphicFrame macro="">
      <xdr:nvGraphicFramePr>
        <xdr:cNvPr id="159" name="Grafico 50">
          <a:extLst>
            <a:ext uri="{FF2B5EF4-FFF2-40B4-BE49-F238E27FC236}">
              <a16:creationId xmlns:a16="http://schemas.microsoft.com/office/drawing/2014/main" id="{00000000-0008-0000-0000-00009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21</xdr:col>
      <xdr:colOff>0</xdr:colOff>
      <xdr:row>325</xdr:row>
      <xdr:rowOff>0</xdr:rowOff>
    </xdr:from>
    <xdr:to>
      <xdr:col>30</xdr:col>
      <xdr:colOff>17454</xdr:colOff>
      <xdr:row>326</xdr:row>
      <xdr:rowOff>53788</xdr:rowOff>
    </xdr:to>
    <xdr:sp macro="" textlink="">
      <xdr:nvSpPr>
        <xdr:cNvPr id="160" name="rect 51">
          <a:extLst>
            <a:ext uri="{FF2B5EF4-FFF2-40B4-BE49-F238E27FC236}">
              <a16:creationId xmlns:a16="http://schemas.microsoft.com/office/drawing/2014/main" id="{00000000-0008-0000-0000-0000A0000000}"/>
            </a:ext>
          </a:extLst>
        </xdr:cNvPr>
        <xdr:cNvSpPr/>
      </xdr:nvSpPr>
      <xdr:spPr>
        <a:xfrm>
          <a:off x="4206240" y="35471100"/>
          <a:ext cx="3034974" cy="129988"/>
        </a:xfrm>
        <a:prstGeom prst="roundRect">
          <a:avLst>
            <a:gd name="adj" fmla="val 50000"/>
          </a:avLst>
        </a:prstGeom>
        <a:gradFill flip="none" rotWithShape="1">
          <a:gsLst>
            <a:gs pos="0">
              <a:srgbClr val="FF0000"/>
            </a:gs>
            <a:gs pos="100000">
              <a:srgbClr val="FF0000"/>
            </a:gs>
            <a:gs pos="7000">
              <a:srgbClr val="FF0000"/>
            </a:gs>
            <a:gs pos="7000">
              <a:srgbClr val="FFFF62"/>
            </a:gs>
            <a:gs pos="32000">
              <a:srgbClr val="FFFF62"/>
            </a:gs>
            <a:gs pos="32000">
              <a:srgbClr val="00FF00"/>
            </a:gs>
            <a:gs pos="73000">
              <a:srgbClr val="00FF00"/>
            </a:gs>
            <a:gs pos="73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21</xdr:col>
      <xdr:colOff>0</xdr:colOff>
      <xdr:row>338</xdr:row>
      <xdr:rowOff>0</xdr:rowOff>
    </xdr:from>
    <xdr:to>
      <xdr:col>30</xdr:col>
      <xdr:colOff>17454</xdr:colOff>
      <xdr:row>339</xdr:row>
      <xdr:rowOff>53788</xdr:rowOff>
    </xdr:to>
    <xdr:sp macro="" textlink="">
      <xdr:nvSpPr>
        <xdr:cNvPr id="161" name="rect 53">
          <a:extLst>
            <a:ext uri="{FF2B5EF4-FFF2-40B4-BE49-F238E27FC236}">
              <a16:creationId xmlns:a16="http://schemas.microsoft.com/office/drawing/2014/main" id="{00000000-0008-0000-0000-0000A1000000}"/>
            </a:ext>
          </a:extLst>
        </xdr:cNvPr>
        <xdr:cNvSpPr/>
      </xdr:nvSpPr>
      <xdr:spPr>
        <a:xfrm>
          <a:off x="4206240" y="36743640"/>
          <a:ext cx="3034974" cy="129988"/>
        </a:xfrm>
        <a:prstGeom prst="roundRect">
          <a:avLst>
            <a:gd name="adj" fmla="val 50000"/>
          </a:avLst>
        </a:prstGeom>
        <a:gradFill flip="none" rotWithShape="1">
          <a:gsLst>
            <a:gs pos="0">
              <a:srgbClr val="FFFF62"/>
            </a:gs>
            <a:gs pos="100000">
              <a:srgbClr val="FF0000"/>
            </a:gs>
            <a:gs pos="28000">
              <a:srgbClr val="FFFF62"/>
            </a:gs>
            <a:gs pos="28000">
              <a:srgbClr val="00FF00"/>
            </a:gs>
            <a:gs pos="75000">
              <a:srgbClr val="00FF00"/>
            </a:gs>
            <a:gs pos="75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337</xdr:row>
      <xdr:rowOff>0</xdr:rowOff>
    </xdr:from>
    <xdr:to>
      <xdr:col>31</xdr:col>
      <xdr:colOff>7302</xdr:colOff>
      <xdr:row>341</xdr:row>
      <xdr:rowOff>4483</xdr:rowOff>
    </xdr:to>
    <xdr:graphicFrame macro="">
      <xdr:nvGraphicFramePr>
        <xdr:cNvPr id="162" name="Grafico 53">
          <a:extLst>
            <a:ext uri="{FF2B5EF4-FFF2-40B4-BE49-F238E27FC236}">
              <a16:creationId xmlns:a16="http://schemas.microsoft.com/office/drawing/2014/main" id="{00000000-0008-0000-0000-0000A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21</xdr:col>
      <xdr:colOff>0</xdr:colOff>
      <xdr:row>343</xdr:row>
      <xdr:rowOff>0</xdr:rowOff>
    </xdr:from>
    <xdr:to>
      <xdr:col>30</xdr:col>
      <xdr:colOff>17454</xdr:colOff>
      <xdr:row>344</xdr:row>
      <xdr:rowOff>53788</xdr:rowOff>
    </xdr:to>
    <xdr:sp macro="" textlink="">
      <xdr:nvSpPr>
        <xdr:cNvPr id="163" name="rect 54">
          <a:extLst>
            <a:ext uri="{FF2B5EF4-FFF2-40B4-BE49-F238E27FC236}">
              <a16:creationId xmlns:a16="http://schemas.microsoft.com/office/drawing/2014/main" id="{00000000-0008-0000-0000-0000A3000000}"/>
            </a:ext>
          </a:extLst>
        </xdr:cNvPr>
        <xdr:cNvSpPr/>
      </xdr:nvSpPr>
      <xdr:spPr>
        <a:xfrm>
          <a:off x="4206240" y="37177980"/>
          <a:ext cx="3034974" cy="129988"/>
        </a:xfrm>
        <a:prstGeom prst="roundRect">
          <a:avLst>
            <a:gd name="adj" fmla="val 50000"/>
          </a:avLst>
        </a:prstGeom>
        <a:gradFill flip="none" rotWithShape="1">
          <a:gsLst>
            <a:gs pos="0">
              <a:srgbClr val="FFFF62"/>
            </a:gs>
            <a:gs pos="100000">
              <a:srgbClr val="FF0000"/>
            </a:gs>
            <a:gs pos="31000">
              <a:srgbClr val="FFFF62"/>
            </a:gs>
            <a:gs pos="31000">
              <a:srgbClr val="00FF00"/>
            </a:gs>
            <a:gs pos="76000">
              <a:srgbClr val="00FF00"/>
            </a:gs>
            <a:gs pos="76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342</xdr:row>
      <xdr:rowOff>0</xdr:rowOff>
    </xdr:from>
    <xdr:to>
      <xdr:col>31</xdr:col>
      <xdr:colOff>7302</xdr:colOff>
      <xdr:row>346</xdr:row>
      <xdr:rowOff>4483</xdr:rowOff>
    </xdr:to>
    <xdr:graphicFrame macro="">
      <xdr:nvGraphicFramePr>
        <xdr:cNvPr id="164" name="Grafico 54">
          <a:extLst>
            <a:ext uri="{FF2B5EF4-FFF2-40B4-BE49-F238E27FC236}">
              <a16:creationId xmlns:a16="http://schemas.microsoft.com/office/drawing/2014/main" id="{00000000-0008-0000-00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21</xdr:col>
      <xdr:colOff>0</xdr:colOff>
      <xdr:row>348</xdr:row>
      <xdr:rowOff>0</xdr:rowOff>
    </xdr:from>
    <xdr:to>
      <xdr:col>30</xdr:col>
      <xdr:colOff>17454</xdr:colOff>
      <xdr:row>349</xdr:row>
      <xdr:rowOff>53788</xdr:rowOff>
    </xdr:to>
    <xdr:sp macro="" textlink="">
      <xdr:nvSpPr>
        <xdr:cNvPr id="165" name="rect 55">
          <a:extLst>
            <a:ext uri="{FF2B5EF4-FFF2-40B4-BE49-F238E27FC236}">
              <a16:creationId xmlns:a16="http://schemas.microsoft.com/office/drawing/2014/main" id="{00000000-0008-0000-0000-0000A5000000}"/>
            </a:ext>
          </a:extLst>
        </xdr:cNvPr>
        <xdr:cNvSpPr/>
      </xdr:nvSpPr>
      <xdr:spPr>
        <a:xfrm>
          <a:off x="4206240" y="37612320"/>
          <a:ext cx="3034974" cy="129988"/>
        </a:xfrm>
        <a:prstGeom prst="roundRect">
          <a:avLst>
            <a:gd name="adj" fmla="val 50000"/>
          </a:avLst>
        </a:prstGeom>
        <a:gradFill flip="none" rotWithShape="1">
          <a:gsLst>
            <a:gs pos="0">
              <a:srgbClr val="FFFF62"/>
            </a:gs>
            <a:gs pos="100000">
              <a:srgbClr val="FF0000"/>
            </a:gs>
            <a:gs pos="40000">
              <a:srgbClr val="FFFF62"/>
            </a:gs>
            <a:gs pos="40000">
              <a:srgbClr val="00FF00"/>
            </a:gs>
            <a:gs pos="77000">
              <a:srgbClr val="00FF00"/>
            </a:gs>
            <a:gs pos="77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347</xdr:row>
      <xdr:rowOff>0</xdr:rowOff>
    </xdr:from>
    <xdr:to>
      <xdr:col>31</xdr:col>
      <xdr:colOff>7302</xdr:colOff>
      <xdr:row>351</xdr:row>
      <xdr:rowOff>4483</xdr:rowOff>
    </xdr:to>
    <xdr:graphicFrame macro="">
      <xdr:nvGraphicFramePr>
        <xdr:cNvPr id="166" name="Grafico 55">
          <a:extLst>
            <a:ext uri="{FF2B5EF4-FFF2-40B4-BE49-F238E27FC236}">
              <a16:creationId xmlns:a16="http://schemas.microsoft.com/office/drawing/2014/main" id="{00000000-0008-0000-0000-0000A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21</xdr:col>
      <xdr:colOff>0</xdr:colOff>
      <xdr:row>353</xdr:row>
      <xdr:rowOff>0</xdr:rowOff>
    </xdr:from>
    <xdr:to>
      <xdr:col>30</xdr:col>
      <xdr:colOff>17454</xdr:colOff>
      <xdr:row>354</xdr:row>
      <xdr:rowOff>53788</xdr:rowOff>
    </xdr:to>
    <xdr:sp macro="" textlink="">
      <xdr:nvSpPr>
        <xdr:cNvPr id="167" name="rect 56">
          <a:extLst>
            <a:ext uri="{FF2B5EF4-FFF2-40B4-BE49-F238E27FC236}">
              <a16:creationId xmlns:a16="http://schemas.microsoft.com/office/drawing/2014/main" id="{00000000-0008-0000-0000-0000A7000000}"/>
            </a:ext>
          </a:extLst>
        </xdr:cNvPr>
        <xdr:cNvSpPr/>
      </xdr:nvSpPr>
      <xdr:spPr>
        <a:xfrm>
          <a:off x="4206240" y="38046660"/>
          <a:ext cx="3034974" cy="129988"/>
        </a:xfrm>
        <a:prstGeom prst="roundRect">
          <a:avLst>
            <a:gd name="adj" fmla="val 50000"/>
          </a:avLst>
        </a:prstGeom>
        <a:gradFill flip="none" rotWithShape="1">
          <a:gsLst>
            <a:gs pos="0">
              <a:srgbClr val="FFFF62"/>
            </a:gs>
            <a:gs pos="100000">
              <a:srgbClr val="FF0000"/>
            </a:gs>
            <a:gs pos="42000">
              <a:srgbClr val="FFFF62"/>
            </a:gs>
            <a:gs pos="42000">
              <a:srgbClr val="00FF00"/>
            </a:gs>
            <a:gs pos="78000">
              <a:srgbClr val="00FF00"/>
            </a:gs>
            <a:gs pos="78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352</xdr:row>
      <xdr:rowOff>0</xdr:rowOff>
    </xdr:from>
    <xdr:to>
      <xdr:col>31</xdr:col>
      <xdr:colOff>7302</xdr:colOff>
      <xdr:row>356</xdr:row>
      <xdr:rowOff>4483</xdr:rowOff>
    </xdr:to>
    <xdr:graphicFrame macro="">
      <xdr:nvGraphicFramePr>
        <xdr:cNvPr id="168" name="Grafico 56">
          <a:extLst>
            <a:ext uri="{FF2B5EF4-FFF2-40B4-BE49-F238E27FC236}">
              <a16:creationId xmlns:a16="http://schemas.microsoft.com/office/drawing/2014/main" id="{00000000-0008-0000-0000-0000A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21</xdr:col>
      <xdr:colOff>0</xdr:colOff>
      <xdr:row>358</xdr:row>
      <xdr:rowOff>0</xdr:rowOff>
    </xdr:from>
    <xdr:to>
      <xdr:col>30</xdr:col>
      <xdr:colOff>17454</xdr:colOff>
      <xdr:row>359</xdr:row>
      <xdr:rowOff>53788</xdr:rowOff>
    </xdr:to>
    <xdr:sp macro="" textlink="">
      <xdr:nvSpPr>
        <xdr:cNvPr id="169" name="rect 57">
          <a:extLst>
            <a:ext uri="{FF2B5EF4-FFF2-40B4-BE49-F238E27FC236}">
              <a16:creationId xmlns:a16="http://schemas.microsoft.com/office/drawing/2014/main" id="{00000000-0008-0000-0000-0000A9000000}"/>
            </a:ext>
          </a:extLst>
        </xdr:cNvPr>
        <xdr:cNvSpPr/>
      </xdr:nvSpPr>
      <xdr:spPr>
        <a:xfrm>
          <a:off x="4206240" y="38481000"/>
          <a:ext cx="3034974" cy="129988"/>
        </a:xfrm>
        <a:prstGeom prst="roundRect">
          <a:avLst>
            <a:gd name="adj" fmla="val 50000"/>
          </a:avLst>
        </a:prstGeom>
        <a:gradFill flip="none" rotWithShape="1">
          <a:gsLst>
            <a:gs pos="0">
              <a:srgbClr val="FFFF62"/>
            </a:gs>
            <a:gs pos="100000">
              <a:srgbClr val="FF0000"/>
            </a:gs>
            <a:gs pos="36000">
              <a:srgbClr val="FFFF62"/>
            </a:gs>
            <a:gs pos="36000">
              <a:srgbClr val="00FF00"/>
            </a:gs>
            <a:gs pos="79000">
              <a:srgbClr val="00FF00"/>
            </a:gs>
            <a:gs pos="79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357</xdr:row>
      <xdr:rowOff>0</xdr:rowOff>
    </xdr:from>
    <xdr:to>
      <xdr:col>31</xdr:col>
      <xdr:colOff>7302</xdr:colOff>
      <xdr:row>361</xdr:row>
      <xdr:rowOff>4483</xdr:rowOff>
    </xdr:to>
    <xdr:graphicFrame macro="">
      <xdr:nvGraphicFramePr>
        <xdr:cNvPr id="170" name="Grafico 57">
          <a:extLst>
            <a:ext uri="{FF2B5EF4-FFF2-40B4-BE49-F238E27FC236}">
              <a16:creationId xmlns:a16="http://schemas.microsoft.com/office/drawing/2014/main" id="{00000000-0008-0000-0000-0000A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21</xdr:col>
      <xdr:colOff>0</xdr:colOff>
      <xdr:row>366</xdr:row>
      <xdr:rowOff>0</xdr:rowOff>
    </xdr:from>
    <xdr:to>
      <xdr:col>30</xdr:col>
      <xdr:colOff>17454</xdr:colOff>
      <xdr:row>367</xdr:row>
      <xdr:rowOff>53788</xdr:rowOff>
    </xdr:to>
    <xdr:sp macro="" textlink="">
      <xdr:nvSpPr>
        <xdr:cNvPr id="171" name="rect 58">
          <a:extLst>
            <a:ext uri="{FF2B5EF4-FFF2-40B4-BE49-F238E27FC236}">
              <a16:creationId xmlns:a16="http://schemas.microsoft.com/office/drawing/2014/main" id="{00000000-0008-0000-0000-0000AB000000}"/>
            </a:ext>
          </a:extLst>
        </xdr:cNvPr>
        <xdr:cNvSpPr/>
      </xdr:nvSpPr>
      <xdr:spPr>
        <a:xfrm>
          <a:off x="4206240" y="39303960"/>
          <a:ext cx="3034974" cy="129988"/>
        </a:xfrm>
        <a:prstGeom prst="roundRect">
          <a:avLst>
            <a:gd name="adj" fmla="val 50000"/>
          </a:avLst>
        </a:prstGeom>
        <a:gradFill flip="none" rotWithShape="1">
          <a:gsLst>
            <a:gs pos="0">
              <a:srgbClr val="FF0000"/>
            </a:gs>
            <a:gs pos="100000">
              <a:srgbClr val="FF0000"/>
            </a:gs>
            <a:gs pos="7000">
              <a:srgbClr val="FF0000"/>
            </a:gs>
            <a:gs pos="7000">
              <a:srgbClr val="FFFF62"/>
            </a:gs>
            <a:gs pos="40000">
              <a:srgbClr val="FFFF62"/>
            </a:gs>
            <a:gs pos="40000">
              <a:srgbClr val="00FF00"/>
            </a:gs>
            <a:gs pos="80000">
              <a:srgbClr val="00FF00"/>
            </a:gs>
            <a:gs pos="80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365</xdr:row>
      <xdr:rowOff>0</xdr:rowOff>
    </xdr:from>
    <xdr:to>
      <xdr:col>31</xdr:col>
      <xdr:colOff>7302</xdr:colOff>
      <xdr:row>369</xdr:row>
      <xdr:rowOff>4483</xdr:rowOff>
    </xdr:to>
    <xdr:graphicFrame macro="">
      <xdr:nvGraphicFramePr>
        <xdr:cNvPr id="172" name="Grafico 58">
          <a:extLst>
            <a:ext uri="{FF2B5EF4-FFF2-40B4-BE49-F238E27FC236}">
              <a16:creationId xmlns:a16="http://schemas.microsoft.com/office/drawing/2014/main" id="{00000000-0008-0000-0000-0000A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21</xdr:col>
      <xdr:colOff>0</xdr:colOff>
      <xdr:row>371</xdr:row>
      <xdr:rowOff>0</xdr:rowOff>
    </xdr:from>
    <xdr:to>
      <xdr:col>30</xdr:col>
      <xdr:colOff>17454</xdr:colOff>
      <xdr:row>372</xdr:row>
      <xdr:rowOff>53788</xdr:rowOff>
    </xdr:to>
    <xdr:sp macro="" textlink="">
      <xdr:nvSpPr>
        <xdr:cNvPr id="173" name="rect 59">
          <a:extLst>
            <a:ext uri="{FF2B5EF4-FFF2-40B4-BE49-F238E27FC236}">
              <a16:creationId xmlns:a16="http://schemas.microsoft.com/office/drawing/2014/main" id="{00000000-0008-0000-0000-0000AD000000}"/>
            </a:ext>
          </a:extLst>
        </xdr:cNvPr>
        <xdr:cNvSpPr/>
      </xdr:nvSpPr>
      <xdr:spPr>
        <a:xfrm>
          <a:off x="4206240" y="39738300"/>
          <a:ext cx="3034974" cy="129988"/>
        </a:xfrm>
        <a:prstGeom prst="roundRect">
          <a:avLst>
            <a:gd name="adj" fmla="val 50000"/>
          </a:avLst>
        </a:prstGeom>
        <a:gradFill flip="none" rotWithShape="1">
          <a:gsLst>
            <a:gs pos="0">
              <a:srgbClr val="FF0000"/>
            </a:gs>
            <a:gs pos="100000">
              <a:srgbClr val="FF0000"/>
            </a:gs>
            <a:gs pos="7000">
              <a:srgbClr val="FF0000"/>
            </a:gs>
            <a:gs pos="7000">
              <a:srgbClr val="FFFF62"/>
            </a:gs>
            <a:gs pos="32000">
              <a:srgbClr val="FFFF62"/>
            </a:gs>
            <a:gs pos="32000">
              <a:srgbClr val="00FF00"/>
            </a:gs>
            <a:gs pos="81000">
              <a:srgbClr val="00FF00"/>
            </a:gs>
            <a:gs pos="81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370</xdr:row>
      <xdr:rowOff>0</xdr:rowOff>
    </xdr:from>
    <xdr:to>
      <xdr:col>31</xdr:col>
      <xdr:colOff>7302</xdr:colOff>
      <xdr:row>374</xdr:row>
      <xdr:rowOff>4483</xdr:rowOff>
    </xdr:to>
    <xdr:graphicFrame macro="">
      <xdr:nvGraphicFramePr>
        <xdr:cNvPr id="174" name="Grafico 59">
          <a:extLst>
            <a:ext uri="{FF2B5EF4-FFF2-40B4-BE49-F238E27FC236}">
              <a16:creationId xmlns:a16="http://schemas.microsoft.com/office/drawing/2014/main" id="{00000000-0008-0000-0000-0000A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21</xdr:col>
      <xdr:colOff>0</xdr:colOff>
      <xdr:row>381</xdr:row>
      <xdr:rowOff>0</xdr:rowOff>
    </xdr:from>
    <xdr:to>
      <xdr:col>30</xdr:col>
      <xdr:colOff>17454</xdr:colOff>
      <xdr:row>382</xdr:row>
      <xdr:rowOff>53788</xdr:rowOff>
    </xdr:to>
    <xdr:sp macro="" textlink="">
      <xdr:nvSpPr>
        <xdr:cNvPr id="175" name="rect 60">
          <a:extLst>
            <a:ext uri="{FF2B5EF4-FFF2-40B4-BE49-F238E27FC236}">
              <a16:creationId xmlns:a16="http://schemas.microsoft.com/office/drawing/2014/main" id="{00000000-0008-0000-0000-0000AF000000}"/>
            </a:ext>
          </a:extLst>
        </xdr:cNvPr>
        <xdr:cNvSpPr/>
      </xdr:nvSpPr>
      <xdr:spPr>
        <a:xfrm>
          <a:off x="4206240" y="40858440"/>
          <a:ext cx="3034974" cy="129988"/>
        </a:xfrm>
        <a:prstGeom prst="roundRect">
          <a:avLst>
            <a:gd name="adj" fmla="val 50000"/>
          </a:avLst>
        </a:prstGeom>
        <a:gradFill flip="none" rotWithShape="1">
          <a:gsLst>
            <a:gs pos="0">
              <a:srgbClr val="FFFF62"/>
            </a:gs>
            <a:gs pos="100000">
              <a:srgbClr val="FF0000"/>
            </a:gs>
            <a:gs pos="25000">
              <a:srgbClr val="FFFF62"/>
            </a:gs>
            <a:gs pos="25000">
              <a:srgbClr val="00FF00"/>
            </a:gs>
            <a:gs pos="82000">
              <a:srgbClr val="00FF00"/>
            </a:gs>
            <a:gs pos="82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380</xdr:row>
      <xdr:rowOff>0</xdr:rowOff>
    </xdr:from>
    <xdr:to>
      <xdr:col>31</xdr:col>
      <xdr:colOff>7302</xdr:colOff>
      <xdr:row>384</xdr:row>
      <xdr:rowOff>4483</xdr:rowOff>
    </xdr:to>
    <xdr:graphicFrame macro="">
      <xdr:nvGraphicFramePr>
        <xdr:cNvPr id="176" name="Grafico 60">
          <a:extLst>
            <a:ext uri="{FF2B5EF4-FFF2-40B4-BE49-F238E27FC236}">
              <a16:creationId xmlns:a16="http://schemas.microsoft.com/office/drawing/2014/main" id="{00000000-0008-0000-0000-0000B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21</xdr:col>
      <xdr:colOff>0</xdr:colOff>
      <xdr:row>389</xdr:row>
      <xdr:rowOff>0</xdr:rowOff>
    </xdr:from>
    <xdr:to>
      <xdr:col>30</xdr:col>
      <xdr:colOff>17454</xdr:colOff>
      <xdr:row>390</xdr:row>
      <xdr:rowOff>53788</xdr:rowOff>
    </xdr:to>
    <xdr:sp macro="" textlink="">
      <xdr:nvSpPr>
        <xdr:cNvPr id="177" name="rect 61">
          <a:extLst>
            <a:ext uri="{FF2B5EF4-FFF2-40B4-BE49-F238E27FC236}">
              <a16:creationId xmlns:a16="http://schemas.microsoft.com/office/drawing/2014/main" id="{00000000-0008-0000-0000-0000B1000000}"/>
            </a:ext>
          </a:extLst>
        </xdr:cNvPr>
        <xdr:cNvSpPr/>
      </xdr:nvSpPr>
      <xdr:spPr>
        <a:xfrm>
          <a:off x="4206240" y="41658540"/>
          <a:ext cx="3034974" cy="129988"/>
        </a:xfrm>
        <a:prstGeom prst="roundRect">
          <a:avLst>
            <a:gd name="adj" fmla="val 50000"/>
          </a:avLst>
        </a:prstGeom>
        <a:gradFill flip="none" rotWithShape="1">
          <a:gsLst>
            <a:gs pos="0">
              <a:srgbClr val="FFFF62"/>
            </a:gs>
            <a:gs pos="100000">
              <a:srgbClr val="FF0000"/>
            </a:gs>
            <a:gs pos="38000">
              <a:srgbClr val="FFFF62"/>
            </a:gs>
            <a:gs pos="38000">
              <a:srgbClr val="00FF00"/>
            </a:gs>
            <a:gs pos="83000">
              <a:srgbClr val="00FF00"/>
            </a:gs>
            <a:gs pos="83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388</xdr:row>
      <xdr:rowOff>0</xdr:rowOff>
    </xdr:from>
    <xdr:to>
      <xdr:col>31</xdr:col>
      <xdr:colOff>7302</xdr:colOff>
      <xdr:row>392</xdr:row>
      <xdr:rowOff>4483</xdr:rowOff>
    </xdr:to>
    <xdr:graphicFrame macro="">
      <xdr:nvGraphicFramePr>
        <xdr:cNvPr id="178" name="Grafico 61">
          <a:extLst>
            <a:ext uri="{FF2B5EF4-FFF2-40B4-BE49-F238E27FC236}">
              <a16:creationId xmlns:a16="http://schemas.microsoft.com/office/drawing/2014/main" id="{00000000-0008-0000-0000-0000B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21</xdr:col>
      <xdr:colOff>0</xdr:colOff>
      <xdr:row>397</xdr:row>
      <xdr:rowOff>0</xdr:rowOff>
    </xdr:from>
    <xdr:to>
      <xdr:col>30</xdr:col>
      <xdr:colOff>17454</xdr:colOff>
      <xdr:row>398</xdr:row>
      <xdr:rowOff>53788</xdr:rowOff>
    </xdr:to>
    <xdr:sp macro="" textlink="">
      <xdr:nvSpPr>
        <xdr:cNvPr id="180" name="rect 62">
          <a:extLst>
            <a:ext uri="{FF2B5EF4-FFF2-40B4-BE49-F238E27FC236}">
              <a16:creationId xmlns:a16="http://schemas.microsoft.com/office/drawing/2014/main" id="{00000000-0008-0000-0000-0000B4000000}"/>
            </a:ext>
          </a:extLst>
        </xdr:cNvPr>
        <xdr:cNvSpPr/>
      </xdr:nvSpPr>
      <xdr:spPr>
        <a:xfrm>
          <a:off x="4206240" y="42466260"/>
          <a:ext cx="3034974" cy="129988"/>
        </a:xfrm>
        <a:prstGeom prst="roundRect">
          <a:avLst>
            <a:gd name="adj" fmla="val 50000"/>
          </a:avLst>
        </a:prstGeom>
        <a:gradFill flip="none" rotWithShape="1">
          <a:gsLst>
            <a:gs pos="0">
              <a:srgbClr val="FFFF62"/>
            </a:gs>
            <a:gs pos="100000">
              <a:srgbClr val="FF0000"/>
            </a:gs>
            <a:gs pos="26000">
              <a:srgbClr val="FFFF62"/>
            </a:gs>
            <a:gs pos="26000">
              <a:srgbClr val="00FF00"/>
            </a:gs>
            <a:gs pos="84000">
              <a:srgbClr val="00FF00"/>
            </a:gs>
            <a:gs pos="84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396</xdr:row>
      <xdr:rowOff>0</xdr:rowOff>
    </xdr:from>
    <xdr:to>
      <xdr:col>31</xdr:col>
      <xdr:colOff>7302</xdr:colOff>
      <xdr:row>400</xdr:row>
      <xdr:rowOff>4483</xdr:rowOff>
    </xdr:to>
    <xdr:graphicFrame macro="">
      <xdr:nvGraphicFramePr>
        <xdr:cNvPr id="181" name="Grafico 62">
          <a:extLst>
            <a:ext uri="{FF2B5EF4-FFF2-40B4-BE49-F238E27FC236}">
              <a16:creationId xmlns:a16="http://schemas.microsoft.com/office/drawing/2014/main" id="{00000000-0008-0000-0000-0000B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21</xdr:col>
      <xdr:colOff>0</xdr:colOff>
      <xdr:row>402</xdr:row>
      <xdr:rowOff>0</xdr:rowOff>
    </xdr:from>
    <xdr:to>
      <xdr:col>30</xdr:col>
      <xdr:colOff>17454</xdr:colOff>
      <xdr:row>403</xdr:row>
      <xdr:rowOff>53788</xdr:rowOff>
    </xdr:to>
    <xdr:sp macro="" textlink="">
      <xdr:nvSpPr>
        <xdr:cNvPr id="182" name="rect 63">
          <a:extLst>
            <a:ext uri="{FF2B5EF4-FFF2-40B4-BE49-F238E27FC236}">
              <a16:creationId xmlns:a16="http://schemas.microsoft.com/office/drawing/2014/main" id="{00000000-0008-0000-0000-0000B6000000}"/>
            </a:ext>
          </a:extLst>
        </xdr:cNvPr>
        <xdr:cNvSpPr/>
      </xdr:nvSpPr>
      <xdr:spPr>
        <a:xfrm>
          <a:off x="4206240" y="42900600"/>
          <a:ext cx="3034974" cy="129988"/>
        </a:xfrm>
        <a:prstGeom prst="roundRect">
          <a:avLst>
            <a:gd name="adj" fmla="val 50000"/>
          </a:avLst>
        </a:prstGeom>
        <a:gradFill flip="none" rotWithShape="1">
          <a:gsLst>
            <a:gs pos="0">
              <a:srgbClr val="FFFF62"/>
            </a:gs>
            <a:gs pos="100000">
              <a:srgbClr val="FF0000"/>
            </a:gs>
            <a:gs pos="39000">
              <a:srgbClr val="FFFF62"/>
            </a:gs>
            <a:gs pos="39000">
              <a:srgbClr val="00FF00"/>
            </a:gs>
            <a:gs pos="85000">
              <a:srgbClr val="00FF00"/>
            </a:gs>
            <a:gs pos="85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401</xdr:row>
      <xdr:rowOff>0</xdr:rowOff>
    </xdr:from>
    <xdr:to>
      <xdr:col>31</xdr:col>
      <xdr:colOff>7302</xdr:colOff>
      <xdr:row>405</xdr:row>
      <xdr:rowOff>4483</xdr:rowOff>
    </xdr:to>
    <xdr:graphicFrame macro="">
      <xdr:nvGraphicFramePr>
        <xdr:cNvPr id="184" name="Grafico 63">
          <a:extLst>
            <a:ext uri="{FF2B5EF4-FFF2-40B4-BE49-F238E27FC236}">
              <a16:creationId xmlns:a16="http://schemas.microsoft.com/office/drawing/2014/main" id="{00000000-0008-0000-0000-0000B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21</xdr:col>
      <xdr:colOff>0</xdr:colOff>
      <xdr:row>409</xdr:row>
      <xdr:rowOff>0</xdr:rowOff>
    </xdr:from>
    <xdr:to>
      <xdr:col>30</xdr:col>
      <xdr:colOff>17454</xdr:colOff>
      <xdr:row>410</xdr:row>
      <xdr:rowOff>53788</xdr:rowOff>
    </xdr:to>
    <xdr:sp macro="" textlink="">
      <xdr:nvSpPr>
        <xdr:cNvPr id="185" name="rect 64">
          <a:extLst>
            <a:ext uri="{FF2B5EF4-FFF2-40B4-BE49-F238E27FC236}">
              <a16:creationId xmlns:a16="http://schemas.microsoft.com/office/drawing/2014/main" id="{00000000-0008-0000-0000-0000B9000000}"/>
            </a:ext>
          </a:extLst>
        </xdr:cNvPr>
        <xdr:cNvSpPr/>
      </xdr:nvSpPr>
      <xdr:spPr>
        <a:xfrm>
          <a:off x="4206240" y="43670220"/>
          <a:ext cx="3034974" cy="129988"/>
        </a:xfrm>
        <a:prstGeom prst="roundRect">
          <a:avLst>
            <a:gd name="adj" fmla="val 50000"/>
          </a:avLst>
        </a:prstGeom>
        <a:gradFill flip="none" rotWithShape="1">
          <a:gsLst>
            <a:gs pos="0">
              <a:srgbClr val="FF0000"/>
            </a:gs>
            <a:gs pos="100000">
              <a:srgbClr val="FF0000"/>
            </a:gs>
            <a:gs pos="7000">
              <a:srgbClr val="FF0000"/>
            </a:gs>
            <a:gs pos="7000">
              <a:srgbClr val="FFFF62"/>
            </a:gs>
            <a:gs pos="33000">
              <a:srgbClr val="FFFF62"/>
            </a:gs>
            <a:gs pos="33000">
              <a:srgbClr val="00FF00"/>
            </a:gs>
            <a:gs pos="88000">
              <a:srgbClr val="00FF00"/>
            </a:gs>
            <a:gs pos="88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oneCellAnchor>
    <xdr:from>
      <xdr:col>0</xdr:col>
      <xdr:colOff>90054</xdr:colOff>
      <xdr:row>308</xdr:row>
      <xdr:rowOff>90053</xdr:rowOff>
    </xdr:from>
    <xdr:ext cx="1313033" cy="928256"/>
    <xdr:pic>
      <xdr:nvPicPr>
        <xdr:cNvPr id="186" name="Immagine 185">
          <a:extLst>
            <a:ext uri="{FF2B5EF4-FFF2-40B4-BE49-F238E27FC236}">
              <a16:creationId xmlns:a16="http://schemas.microsoft.com/office/drawing/2014/main" id="{00000000-0008-0000-0000-0000B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4" y="32703653"/>
          <a:ext cx="1313033" cy="928256"/>
        </a:xfrm>
        <a:prstGeom prst="rect">
          <a:avLst/>
        </a:prstGeom>
      </xdr:spPr>
    </xdr:pic>
    <xdr:clientData/>
  </xdr:oneCellAnchor>
  <xdr:twoCellAnchor>
    <xdr:from>
      <xdr:col>21</xdr:col>
      <xdr:colOff>0</xdr:colOff>
      <xdr:row>330</xdr:row>
      <xdr:rowOff>0</xdr:rowOff>
    </xdr:from>
    <xdr:to>
      <xdr:col>30</xdr:col>
      <xdr:colOff>17454</xdr:colOff>
      <xdr:row>331</xdr:row>
      <xdr:rowOff>53788</xdr:rowOff>
    </xdr:to>
    <xdr:sp macro="" textlink="">
      <xdr:nvSpPr>
        <xdr:cNvPr id="188" name="rect 52">
          <a:extLst>
            <a:ext uri="{FF2B5EF4-FFF2-40B4-BE49-F238E27FC236}">
              <a16:creationId xmlns:a16="http://schemas.microsoft.com/office/drawing/2014/main" id="{00000000-0008-0000-0000-0000BC000000}"/>
            </a:ext>
          </a:extLst>
        </xdr:cNvPr>
        <xdr:cNvSpPr/>
      </xdr:nvSpPr>
      <xdr:spPr>
        <a:xfrm>
          <a:off x="4206240" y="35913060"/>
          <a:ext cx="3034974" cy="129988"/>
        </a:xfrm>
        <a:prstGeom prst="roundRect">
          <a:avLst>
            <a:gd name="adj" fmla="val 50000"/>
          </a:avLst>
        </a:prstGeom>
        <a:gradFill flip="none" rotWithShape="1">
          <a:gsLst>
            <a:gs pos="0">
              <a:srgbClr val="FF0000"/>
            </a:gs>
            <a:gs pos="100000">
              <a:srgbClr val="FF0000"/>
            </a:gs>
            <a:gs pos="7000">
              <a:srgbClr val="FF0000"/>
            </a:gs>
            <a:gs pos="7000">
              <a:srgbClr val="FFFF62"/>
            </a:gs>
            <a:gs pos="34000">
              <a:srgbClr val="FFFF62"/>
            </a:gs>
            <a:gs pos="34000">
              <a:srgbClr val="00FF00"/>
            </a:gs>
            <a:gs pos="74000">
              <a:srgbClr val="00FF00"/>
            </a:gs>
            <a:gs pos="74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329</xdr:row>
      <xdr:rowOff>0</xdr:rowOff>
    </xdr:from>
    <xdr:to>
      <xdr:col>31</xdr:col>
      <xdr:colOff>7302</xdr:colOff>
      <xdr:row>332</xdr:row>
      <xdr:rowOff>71158</xdr:rowOff>
    </xdr:to>
    <xdr:graphicFrame macro="">
      <xdr:nvGraphicFramePr>
        <xdr:cNvPr id="190" name="Grafico 52">
          <a:extLst>
            <a:ext uri="{FF2B5EF4-FFF2-40B4-BE49-F238E27FC236}">
              <a16:creationId xmlns:a16="http://schemas.microsoft.com/office/drawing/2014/main" id="{00000000-0008-0000-0000-0000B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20</xdr:col>
      <xdr:colOff>0</xdr:colOff>
      <xdr:row>324</xdr:row>
      <xdr:rowOff>0</xdr:rowOff>
    </xdr:from>
    <xdr:to>
      <xdr:col>31</xdr:col>
      <xdr:colOff>7302</xdr:colOff>
      <xdr:row>327</xdr:row>
      <xdr:rowOff>71158</xdr:rowOff>
    </xdr:to>
    <xdr:graphicFrame macro="">
      <xdr:nvGraphicFramePr>
        <xdr:cNvPr id="192" name="Grafico 51">
          <a:extLst>
            <a:ext uri="{FF2B5EF4-FFF2-40B4-BE49-F238E27FC236}">
              <a16:creationId xmlns:a16="http://schemas.microsoft.com/office/drawing/2014/main" id="{00000000-0008-0000-0000-0000C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21</xdr:col>
      <xdr:colOff>0</xdr:colOff>
      <xdr:row>276</xdr:row>
      <xdr:rowOff>0</xdr:rowOff>
    </xdr:from>
    <xdr:to>
      <xdr:col>30</xdr:col>
      <xdr:colOff>17454</xdr:colOff>
      <xdr:row>277</xdr:row>
      <xdr:rowOff>53788</xdr:rowOff>
    </xdr:to>
    <xdr:sp macro="" textlink="">
      <xdr:nvSpPr>
        <xdr:cNvPr id="194" name="rect 44">
          <a:extLst>
            <a:ext uri="{FF2B5EF4-FFF2-40B4-BE49-F238E27FC236}">
              <a16:creationId xmlns:a16="http://schemas.microsoft.com/office/drawing/2014/main" id="{00000000-0008-0000-0000-0000C2000000}"/>
            </a:ext>
          </a:extLst>
        </xdr:cNvPr>
        <xdr:cNvSpPr/>
      </xdr:nvSpPr>
      <xdr:spPr>
        <a:xfrm>
          <a:off x="4206240" y="29771340"/>
          <a:ext cx="3034974" cy="129988"/>
        </a:xfrm>
        <a:prstGeom prst="roundRect">
          <a:avLst>
            <a:gd name="adj" fmla="val 50000"/>
          </a:avLst>
        </a:prstGeom>
        <a:gradFill flip="none" rotWithShape="1">
          <a:gsLst>
            <a:gs pos="0">
              <a:srgbClr val="FFFF62"/>
            </a:gs>
            <a:gs pos="100000">
              <a:srgbClr val="FF0000"/>
            </a:gs>
            <a:gs pos="24000">
              <a:srgbClr val="FFFF62"/>
            </a:gs>
            <a:gs pos="24000">
              <a:srgbClr val="00FF00"/>
            </a:gs>
            <a:gs pos="84000">
              <a:srgbClr val="00FF00"/>
            </a:gs>
            <a:gs pos="84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275</xdr:row>
      <xdr:rowOff>0</xdr:rowOff>
    </xdr:from>
    <xdr:to>
      <xdr:col>31</xdr:col>
      <xdr:colOff>7302</xdr:colOff>
      <xdr:row>279</xdr:row>
      <xdr:rowOff>4483</xdr:rowOff>
    </xdr:to>
    <xdr:graphicFrame macro="">
      <xdr:nvGraphicFramePr>
        <xdr:cNvPr id="196" name="Grafico 44">
          <a:extLst>
            <a:ext uri="{FF2B5EF4-FFF2-40B4-BE49-F238E27FC236}">
              <a16:creationId xmlns:a16="http://schemas.microsoft.com/office/drawing/2014/main" id="{00000000-0008-0000-0000-0000C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20</xdr:col>
      <xdr:colOff>0</xdr:colOff>
      <xdr:row>408</xdr:row>
      <xdr:rowOff>0</xdr:rowOff>
    </xdr:from>
    <xdr:to>
      <xdr:col>31</xdr:col>
      <xdr:colOff>7302</xdr:colOff>
      <xdr:row>412</xdr:row>
      <xdr:rowOff>4483</xdr:rowOff>
    </xdr:to>
    <xdr:graphicFrame macro="">
      <xdr:nvGraphicFramePr>
        <xdr:cNvPr id="198" name="Grafico 64">
          <a:extLst>
            <a:ext uri="{FF2B5EF4-FFF2-40B4-BE49-F238E27FC236}">
              <a16:creationId xmlns:a16="http://schemas.microsoft.com/office/drawing/2014/main" id="{00000000-0008-0000-0000-0000C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21</xdr:col>
      <xdr:colOff>0</xdr:colOff>
      <xdr:row>30</xdr:row>
      <xdr:rowOff>0</xdr:rowOff>
    </xdr:from>
    <xdr:to>
      <xdr:col>30</xdr:col>
      <xdr:colOff>21264</xdr:colOff>
      <xdr:row>31</xdr:row>
      <xdr:rowOff>56170</xdr:rowOff>
    </xdr:to>
    <xdr:sp macro="" textlink="">
      <xdr:nvSpPr>
        <xdr:cNvPr id="137" name="rect 3">
          <a:extLst>
            <a:ext uri="{FF2B5EF4-FFF2-40B4-BE49-F238E27FC236}">
              <a16:creationId xmlns:a16="http://schemas.microsoft.com/office/drawing/2014/main" id="{00000000-0008-0000-0000-000089000000}"/>
            </a:ext>
          </a:extLst>
        </xdr:cNvPr>
        <xdr:cNvSpPr/>
      </xdr:nvSpPr>
      <xdr:spPr>
        <a:xfrm>
          <a:off x="4191000" y="4848225"/>
          <a:ext cx="3021639" cy="132370"/>
        </a:xfrm>
        <a:prstGeom prst="roundRect">
          <a:avLst>
            <a:gd name="adj" fmla="val 50000"/>
          </a:avLst>
        </a:prstGeom>
        <a:gradFill flip="none" rotWithShape="1">
          <a:gsLst>
            <a:gs pos="0">
              <a:srgbClr val="FF0000"/>
            </a:gs>
            <a:gs pos="100000">
              <a:srgbClr val="FF0000"/>
            </a:gs>
            <a:gs pos="7000">
              <a:srgbClr val="FF0000"/>
            </a:gs>
            <a:gs pos="7000">
              <a:srgbClr val="FFFF62"/>
            </a:gs>
            <a:gs pos="41000">
              <a:srgbClr val="FFFF62"/>
            </a:gs>
            <a:gs pos="41000">
              <a:srgbClr val="00FF00"/>
            </a:gs>
            <a:gs pos="72000">
              <a:srgbClr val="00FF00"/>
            </a:gs>
            <a:gs pos="72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29</xdr:row>
      <xdr:rowOff>0</xdr:rowOff>
    </xdr:from>
    <xdr:to>
      <xdr:col>31</xdr:col>
      <xdr:colOff>7302</xdr:colOff>
      <xdr:row>33</xdr:row>
      <xdr:rowOff>4483</xdr:rowOff>
    </xdr:to>
    <xdr:graphicFrame macro="">
      <xdr:nvGraphicFramePr>
        <xdr:cNvPr id="200" name="Grafico 3">
          <a:extLst>
            <a:ext uri="{FF2B5EF4-FFF2-40B4-BE49-F238E27FC236}">
              <a16:creationId xmlns:a16="http://schemas.microsoft.com/office/drawing/2014/main" id="{00000000-0008-0000-0000-0000C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21</xdr:col>
      <xdr:colOff>0</xdr:colOff>
      <xdr:row>35</xdr:row>
      <xdr:rowOff>0</xdr:rowOff>
    </xdr:from>
    <xdr:to>
      <xdr:col>30</xdr:col>
      <xdr:colOff>21264</xdr:colOff>
      <xdr:row>36</xdr:row>
      <xdr:rowOff>56170</xdr:rowOff>
    </xdr:to>
    <xdr:sp macro="" textlink="">
      <xdr:nvSpPr>
        <xdr:cNvPr id="203" name="rect 4">
          <a:extLst>
            <a:ext uri="{FF2B5EF4-FFF2-40B4-BE49-F238E27FC236}">
              <a16:creationId xmlns:a16="http://schemas.microsoft.com/office/drawing/2014/main" id="{00000000-0008-0000-0000-0000CB000000}"/>
            </a:ext>
          </a:extLst>
        </xdr:cNvPr>
        <xdr:cNvSpPr/>
      </xdr:nvSpPr>
      <xdr:spPr>
        <a:xfrm>
          <a:off x="4191000" y="5276850"/>
          <a:ext cx="3021639" cy="132370"/>
        </a:xfrm>
        <a:prstGeom prst="roundRect">
          <a:avLst>
            <a:gd name="adj" fmla="val 50000"/>
          </a:avLst>
        </a:prstGeom>
        <a:gradFill flip="none" rotWithShape="1">
          <a:gsLst>
            <a:gs pos="0">
              <a:srgbClr val="FF0000"/>
            </a:gs>
            <a:gs pos="100000">
              <a:srgbClr val="FF0000"/>
            </a:gs>
            <a:gs pos="7000">
              <a:srgbClr val="FF0000"/>
            </a:gs>
            <a:gs pos="7000">
              <a:srgbClr val="FFFF62"/>
            </a:gs>
            <a:gs pos="26000">
              <a:srgbClr val="FFFF62"/>
            </a:gs>
            <a:gs pos="26000">
              <a:srgbClr val="00FF00"/>
            </a:gs>
            <a:gs pos="77000">
              <a:srgbClr val="00FF00"/>
            </a:gs>
            <a:gs pos="77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34</xdr:row>
      <xdr:rowOff>0</xdr:rowOff>
    </xdr:from>
    <xdr:to>
      <xdr:col>31</xdr:col>
      <xdr:colOff>7302</xdr:colOff>
      <xdr:row>38</xdr:row>
      <xdr:rowOff>4483</xdr:rowOff>
    </xdr:to>
    <xdr:graphicFrame macro="">
      <xdr:nvGraphicFramePr>
        <xdr:cNvPr id="207" name="Grafico 4">
          <a:extLst>
            <a:ext uri="{FF2B5EF4-FFF2-40B4-BE49-F238E27FC236}">
              <a16:creationId xmlns:a16="http://schemas.microsoft.com/office/drawing/2014/main" id="{00000000-0008-0000-0000-0000C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21</xdr:col>
      <xdr:colOff>0</xdr:colOff>
      <xdr:row>40</xdr:row>
      <xdr:rowOff>0</xdr:rowOff>
    </xdr:from>
    <xdr:to>
      <xdr:col>30</xdr:col>
      <xdr:colOff>21264</xdr:colOff>
      <xdr:row>41</xdr:row>
      <xdr:rowOff>56170</xdr:rowOff>
    </xdr:to>
    <xdr:sp macro="" textlink="">
      <xdr:nvSpPr>
        <xdr:cNvPr id="211" name="rect 5">
          <a:extLst>
            <a:ext uri="{FF2B5EF4-FFF2-40B4-BE49-F238E27FC236}">
              <a16:creationId xmlns:a16="http://schemas.microsoft.com/office/drawing/2014/main" id="{00000000-0008-0000-0000-0000D3000000}"/>
            </a:ext>
          </a:extLst>
        </xdr:cNvPr>
        <xdr:cNvSpPr/>
      </xdr:nvSpPr>
      <xdr:spPr>
        <a:xfrm>
          <a:off x="4191000" y="5705475"/>
          <a:ext cx="3021639" cy="132370"/>
        </a:xfrm>
        <a:prstGeom prst="roundRect">
          <a:avLst>
            <a:gd name="adj" fmla="val 50000"/>
          </a:avLst>
        </a:prstGeom>
        <a:gradFill flip="none" rotWithShape="1">
          <a:gsLst>
            <a:gs pos="0">
              <a:srgbClr val="FFFF62"/>
            </a:gs>
            <a:gs pos="100000">
              <a:srgbClr val="FF0000"/>
            </a:gs>
            <a:gs pos="31000">
              <a:srgbClr val="FFFF62"/>
            </a:gs>
            <a:gs pos="31000">
              <a:srgbClr val="00FF00"/>
            </a:gs>
            <a:gs pos="72000">
              <a:srgbClr val="00FF00"/>
            </a:gs>
            <a:gs pos="72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39</xdr:row>
      <xdr:rowOff>0</xdr:rowOff>
    </xdr:from>
    <xdr:to>
      <xdr:col>31</xdr:col>
      <xdr:colOff>7302</xdr:colOff>
      <xdr:row>43</xdr:row>
      <xdr:rowOff>4483</xdr:rowOff>
    </xdr:to>
    <xdr:graphicFrame macro="">
      <xdr:nvGraphicFramePr>
        <xdr:cNvPr id="215" name="Grafico 5">
          <a:extLst>
            <a:ext uri="{FF2B5EF4-FFF2-40B4-BE49-F238E27FC236}">
              <a16:creationId xmlns:a16="http://schemas.microsoft.com/office/drawing/2014/main" id="{00000000-0008-0000-0000-0000D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21</xdr:col>
      <xdr:colOff>0</xdr:colOff>
      <xdr:row>45</xdr:row>
      <xdr:rowOff>0</xdr:rowOff>
    </xdr:from>
    <xdr:to>
      <xdr:col>30</xdr:col>
      <xdr:colOff>21264</xdr:colOff>
      <xdr:row>46</xdr:row>
      <xdr:rowOff>56170</xdr:rowOff>
    </xdr:to>
    <xdr:sp macro="" textlink="">
      <xdr:nvSpPr>
        <xdr:cNvPr id="218" name="rect 6">
          <a:extLst>
            <a:ext uri="{FF2B5EF4-FFF2-40B4-BE49-F238E27FC236}">
              <a16:creationId xmlns:a16="http://schemas.microsoft.com/office/drawing/2014/main" id="{00000000-0008-0000-0000-0000DA000000}"/>
            </a:ext>
          </a:extLst>
        </xdr:cNvPr>
        <xdr:cNvSpPr/>
      </xdr:nvSpPr>
      <xdr:spPr>
        <a:xfrm>
          <a:off x="4191000" y="6134100"/>
          <a:ext cx="3021639" cy="132370"/>
        </a:xfrm>
        <a:prstGeom prst="roundRect">
          <a:avLst>
            <a:gd name="adj" fmla="val 50000"/>
          </a:avLst>
        </a:prstGeom>
        <a:gradFill flip="none" rotWithShape="1">
          <a:gsLst>
            <a:gs pos="0">
              <a:srgbClr val="FFFF62"/>
            </a:gs>
            <a:gs pos="100000">
              <a:srgbClr val="FF0000"/>
            </a:gs>
            <a:gs pos="30000">
              <a:srgbClr val="FFFF62"/>
            </a:gs>
            <a:gs pos="30000">
              <a:srgbClr val="00FF00"/>
            </a:gs>
            <a:gs pos="72000">
              <a:srgbClr val="00FF00"/>
            </a:gs>
            <a:gs pos="72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44</xdr:row>
      <xdr:rowOff>0</xdr:rowOff>
    </xdr:from>
    <xdr:to>
      <xdr:col>31</xdr:col>
      <xdr:colOff>7302</xdr:colOff>
      <xdr:row>48</xdr:row>
      <xdr:rowOff>4483</xdr:rowOff>
    </xdr:to>
    <xdr:graphicFrame macro="">
      <xdr:nvGraphicFramePr>
        <xdr:cNvPr id="221" name="Grafico 6">
          <a:extLst>
            <a:ext uri="{FF2B5EF4-FFF2-40B4-BE49-F238E27FC236}">
              <a16:creationId xmlns:a16="http://schemas.microsoft.com/office/drawing/2014/main" id="{00000000-0008-0000-0000-0000D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21</xdr:col>
      <xdr:colOff>0</xdr:colOff>
      <xdr:row>50</xdr:row>
      <xdr:rowOff>0</xdr:rowOff>
    </xdr:from>
    <xdr:to>
      <xdr:col>30</xdr:col>
      <xdr:colOff>21264</xdr:colOff>
      <xdr:row>51</xdr:row>
      <xdr:rowOff>56170</xdr:rowOff>
    </xdr:to>
    <xdr:sp macro="" textlink="">
      <xdr:nvSpPr>
        <xdr:cNvPr id="225" name="rect 7">
          <a:extLst>
            <a:ext uri="{FF2B5EF4-FFF2-40B4-BE49-F238E27FC236}">
              <a16:creationId xmlns:a16="http://schemas.microsoft.com/office/drawing/2014/main" id="{00000000-0008-0000-0000-0000E1000000}"/>
            </a:ext>
          </a:extLst>
        </xdr:cNvPr>
        <xdr:cNvSpPr/>
      </xdr:nvSpPr>
      <xdr:spPr>
        <a:xfrm>
          <a:off x="4191000" y="6562725"/>
          <a:ext cx="3021639" cy="132370"/>
        </a:xfrm>
        <a:prstGeom prst="roundRect">
          <a:avLst>
            <a:gd name="adj" fmla="val 50000"/>
          </a:avLst>
        </a:prstGeom>
        <a:gradFill flip="none" rotWithShape="1">
          <a:gsLst>
            <a:gs pos="0">
              <a:srgbClr val="FF0000"/>
            </a:gs>
            <a:gs pos="100000">
              <a:srgbClr val="FF0000"/>
            </a:gs>
            <a:gs pos="7000">
              <a:srgbClr val="FF0000"/>
            </a:gs>
            <a:gs pos="7000">
              <a:srgbClr val="FFFF62"/>
            </a:gs>
            <a:gs pos="40000">
              <a:srgbClr val="FFFF62"/>
            </a:gs>
            <a:gs pos="40000">
              <a:srgbClr val="00FF00"/>
            </a:gs>
            <a:gs pos="70000">
              <a:srgbClr val="00FF00"/>
            </a:gs>
            <a:gs pos="70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49</xdr:row>
      <xdr:rowOff>0</xdr:rowOff>
    </xdr:from>
    <xdr:to>
      <xdr:col>31</xdr:col>
      <xdr:colOff>7302</xdr:colOff>
      <xdr:row>53</xdr:row>
      <xdr:rowOff>4483</xdr:rowOff>
    </xdr:to>
    <xdr:graphicFrame macro="">
      <xdr:nvGraphicFramePr>
        <xdr:cNvPr id="229" name="Grafico 7">
          <a:extLst>
            <a:ext uri="{FF2B5EF4-FFF2-40B4-BE49-F238E27FC236}">
              <a16:creationId xmlns:a16="http://schemas.microsoft.com/office/drawing/2014/main" id="{00000000-0008-0000-0000-0000E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21</xdr:col>
      <xdr:colOff>0</xdr:colOff>
      <xdr:row>58</xdr:row>
      <xdr:rowOff>0</xdr:rowOff>
    </xdr:from>
    <xdr:to>
      <xdr:col>30</xdr:col>
      <xdr:colOff>21264</xdr:colOff>
      <xdr:row>59</xdr:row>
      <xdr:rowOff>56170</xdr:rowOff>
    </xdr:to>
    <xdr:sp macro="" textlink="">
      <xdr:nvSpPr>
        <xdr:cNvPr id="233" name="rect 8">
          <a:extLst>
            <a:ext uri="{FF2B5EF4-FFF2-40B4-BE49-F238E27FC236}">
              <a16:creationId xmlns:a16="http://schemas.microsoft.com/office/drawing/2014/main" id="{00000000-0008-0000-0000-0000E9000000}"/>
            </a:ext>
          </a:extLst>
        </xdr:cNvPr>
        <xdr:cNvSpPr/>
      </xdr:nvSpPr>
      <xdr:spPr>
        <a:xfrm>
          <a:off x="4191000" y="7362825"/>
          <a:ext cx="3021639" cy="132370"/>
        </a:xfrm>
        <a:prstGeom prst="roundRect">
          <a:avLst>
            <a:gd name="adj" fmla="val 50000"/>
          </a:avLst>
        </a:prstGeom>
        <a:gradFill flip="none" rotWithShape="1">
          <a:gsLst>
            <a:gs pos="0">
              <a:srgbClr val="FFFF62"/>
            </a:gs>
            <a:gs pos="100000">
              <a:srgbClr val="FF0000"/>
            </a:gs>
            <a:gs pos="26000">
              <a:srgbClr val="FFFF62"/>
            </a:gs>
            <a:gs pos="26000">
              <a:srgbClr val="00FF00"/>
            </a:gs>
            <a:gs pos="76000">
              <a:srgbClr val="00FF00"/>
            </a:gs>
            <a:gs pos="76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57</xdr:row>
      <xdr:rowOff>0</xdr:rowOff>
    </xdr:from>
    <xdr:to>
      <xdr:col>31</xdr:col>
      <xdr:colOff>7302</xdr:colOff>
      <xdr:row>61</xdr:row>
      <xdr:rowOff>4483</xdr:rowOff>
    </xdr:to>
    <xdr:graphicFrame macro="">
      <xdr:nvGraphicFramePr>
        <xdr:cNvPr id="236" name="Grafico 8">
          <a:extLst>
            <a:ext uri="{FF2B5EF4-FFF2-40B4-BE49-F238E27FC236}">
              <a16:creationId xmlns:a16="http://schemas.microsoft.com/office/drawing/2014/main" id="{00000000-0008-0000-0000-0000E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21</xdr:col>
      <xdr:colOff>0</xdr:colOff>
      <xdr:row>67</xdr:row>
      <xdr:rowOff>0</xdr:rowOff>
    </xdr:from>
    <xdr:to>
      <xdr:col>30</xdr:col>
      <xdr:colOff>21264</xdr:colOff>
      <xdr:row>68</xdr:row>
      <xdr:rowOff>56170</xdr:rowOff>
    </xdr:to>
    <xdr:sp macro="" textlink="">
      <xdr:nvSpPr>
        <xdr:cNvPr id="238" name="rect 9">
          <a:extLst>
            <a:ext uri="{FF2B5EF4-FFF2-40B4-BE49-F238E27FC236}">
              <a16:creationId xmlns:a16="http://schemas.microsoft.com/office/drawing/2014/main" id="{00000000-0008-0000-0000-0000EE000000}"/>
            </a:ext>
          </a:extLst>
        </xdr:cNvPr>
        <xdr:cNvSpPr/>
      </xdr:nvSpPr>
      <xdr:spPr>
        <a:xfrm>
          <a:off x="4191000" y="8362950"/>
          <a:ext cx="3021639" cy="132370"/>
        </a:xfrm>
        <a:prstGeom prst="roundRect">
          <a:avLst>
            <a:gd name="adj" fmla="val 50000"/>
          </a:avLst>
        </a:prstGeom>
        <a:gradFill flip="none" rotWithShape="1">
          <a:gsLst>
            <a:gs pos="0">
              <a:srgbClr val="FF0000"/>
            </a:gs>
            <a:gs pos="100000">
              <a:srgbClr val="FF0000"/>
            </a:gs>
            <a:gs pos="7000">
              <a:srgbClr val="FF0000"/>
            </a:gs>
            <a:gs pos="7000">
              <a:srgbClr val="FFFF62"/>
            </a:gs>
            <a:gs pos="34000">
              <a:srgbClr val="FFFF62"/>
            </a:gs>
            <a:gs pos="34000">
              <a:srgbClr val="00FF00"/>
            </a:gs>
            <a:gs pos="85000">
              <a:srgbClr val="00FF00"/>
            </a:gs>
            <a:gs pos="85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66</xdr:row>
      <xdr:rowOff>0</xdr:rowOff>
    </xdr:from>
    <xdr:to>
      <xdr:col>31</xdr:col>
      <xdr:colOff>7302</xdr:colOff>
      <xdr:row>70</xdr:row>
      <xdr:rowOff>4483</xdr:rowOff>
    </xdr:to>
    <xdr:graphicFrame macro="">
      <xdr:nvGraphicFramePr>
        <xdr:cNvPr id="240" name="Grafico 9">
          <a:extLst>
            <a:ext uri="{FF2B5EF4-FFF2-40B4-BE49-F238E27FC236}">
              <a16:creationId xmlns:a16="http://schemas.microsoft.com/office/drawing/2014/main" id="{00000000-0008-0000-0000-0000F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21</xdr:col>
      <xdr:colOff>0</xdr:colOff>
      <xdr:row>72</xdr:row>
      <xdr:rowOff>0</xdr:rowOff>
    </xdr:from>
    <xdr:to>
      <xdr:col>30</xdr:col>
      <xdr:colOff>21264</xdr:colOff>
      <xdr:row>73</xdr:row>
      <xdr:rowOff>56170</xdr:rowOff>
    </xdr:to>
    <xdr:sp macro="" textlink="">
      <xdr:nvSpPr>
        <xdr:cNvPr id="242" name="rect 10">
          <a:extLst>
            <a:ext uri="{FF2B5EF4-FFF2-40B4-BE49-F238E27FC236}">
              <a16:creationId xmlns:a16="http://schemas.microsoft.com/office/drawing/2014/main" id="{00000000-0008-0000-0000-0000F2000000}"/>
            </a:ext>
          </a:extLst>
        </xdr:cNvPr>
        <xdr:cNvSpPr/>
      </xdr:nvSpPr>
      <xdr:spPr>
        <a:xfrm>
          <a:off x="4191000" y="8791575"/>
          <a:ext cx="3021639" cy="132370"/>
        </a:xfrm>
        <a:prstGeom prst="roundRect">
          <a:avLst>
            <a:gd name="adj" fmla="val 50000"/>
          </a:avLst>
        </a:prstGeom>
        <a:gradFill flip="none" rotWithShape="1">
          <a:gsLst>
            <a:gs pos="0">
              <a:srgbClr val="FFFF62"/>
            </a:gs>
            <a:gs pos="100000">
              <a:srgbClr val="FF0000"/>
            </a:gs>
            <a:gs pos="30000">
              <a:srgbClr val="FFFF62"/>
            </a:gs>
            <a:gs pos="30000">
              <a:srgbClr val="00FF00"/>
            </a:gs>
            <a:gs pos="72000">
              <a:srgbClr val="00FF00"/>
            </a:gs>
            <a:gs pos="72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19</xdr:row>
      <xdr:rowOff>0</xdr:rowOff>
    </xdr:from>
    <xdr:to>
      <xdr:col>31</xdr:col>
      <xdr:colOff>7302</xdr:colOff>
      <xdr:row>23</xdr:row>
      <xdr:rowOff>4483</xdr:rowOff>
    </xdr:to>
    <xdr:graphicFrame macro="">
      <xdr:nvGraphicFramePr>
        <xdr:cNvPr id="246" name="Grafico 1">
          <a:extLst>
            <a:ext uri="{FF2B5EF4-FFF2-40B4-BE49-F238E27FC236}">
              <a16:creationId xmlns:a16="http://schemas.microsoft.com/office/drawing/2014/main" id="{00000000-0008-0000-0000-0000F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21</xdr:col>
      <xdr:colOff>0</xdr:colOff>
      <xdr:row>77</xdr:row>
      <xdr:rowOff>0</xdr:rowOff>
    </xdr:from>
    <xdr:to>
      <xdr:col>30</xdr:col>
      <xdr:colOff>21264</xdr:colOff>
      <xdr:row>78</xdr:row>
      <xdr:rowOff>56170</xdr:rowOff>
    </xdr:to>
    <xdr:sp macro="" textlink="">
      <xdr:nvSpPr>
        <xdr:cNvPr id="4" name="rect 11">
          <a:extLst>
            <a:ext uri="{FF2B5EF4-FFF2-40B4-BE49-F238E27FC236}">
              <a16:creationId xmlns:a16="http://schemas.microsoft.com/office/drawing/2014/main" id="{00000000-0008-0000-0000-000004000000}"/>
            </a:ext>
          </a:extLst>
        </xdr:cNvPr>
        <xdr:cNvSpPr/>
      </xdr:nvSpPr>
      <xdr:spPr>
        <a:xfrm>
          <a:off x="4191000" y="9220200"/>
          <a:ext cx="3021639" cy="132370"/>
        </a:xfrm>
        <a:prstGeom prst="roundRect">
          <a:avLst>
            <a:gd name="adj" fmla="val 50000"/>
          </a:avLst>
        </a:prstGeom>
        <a:gradFill flip="none" rotWithShape="1">
          <a:gsLst>
            <a:gs pos="0">
              <a:srgbClr val="FF0000"/>
            </a:gs>
            <a:gs pos="100000">
              <a:srgbClr val="FF0000"/>
            </a:gs>
            <a:gs pos="7000">
              <a:srgbClr val="FF0000"/>
            </a:gs>
            <a:gs pos="7000">
              <a:srgbClr val="FFFF62"/>
            </a:gs>
            <a:gs pos="38000">
              <a:srgbClr val="FFFF62"/>
            </a:gs>
            <a:gs pos="38000">
              <a:srgbClr val="00FF00"/>
            </a:gs>
            <a:gs pos="81000">
              <a:srgbClr val="00FF00"/>
            </a:gs>
            <a:gs pos="81000">
              <a:srgbClr val="FFFF62"/>
            </a:gs>
            <a:gs pos="93000">
              <a:srgbClr val="FFFF62"/>
            </a:gs>
            <a:gs pos="93000">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71</xdr:row>
      <xdr:rowOff>0</xdr:rowOff>
    </xdr:from>
    <xdr:to>
      <xdr:col>31</xdr:col>
      <xdr:colOff>7302</xdr:colOff>
      <xdr:row>75</xdr:row>
      <xdr:rowOff>4483</xdr:rowOff>
    </xdr:to>
    <xdr:graphicFrame macro="">
      <xdr:nvGraphicFramePr>
        <xdr:cNvPr id="5" name="Grafico 10">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20</xdr:col>
      <xdr:colOff>0</xdr:colOff>
      <xdr:row>76</xdr:row>
      <xdr:rowOff>0</xdr:rowOff>
    </xdr:from>
    <xdr:to>
      <xdr:col>31</xdr:col>
      <xdr:colOff>7302</xdr:colOff>
      <xdr:row>80</xdr:row>
      <xdr:rowOff>4483</xdr:rowOff>
    </xdr:to>
    <xdr:graphicFrame macro="">
      <xdr:nvGraphicFramePr>
        <xdr:cNvPr id="6" name="Grafico 11">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xdr:colOff>
          <xdr:row>5</xdr:row>
          <xdr:rowOff>19050</xdr:rowOff>
        </xdr:from>
        <xdr:to>
          <xdr:col>15</xdr:col>
          <xdr:colOff>314325</xdr:colOff>
          <xdr:row>6</xdr:row>
          <xdr:rowOff>142875</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200-000001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Interruzioni</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TheBonus\Dropbox\AA_db_NEW\Modelli\Methabol_RD.xlsm" TargetMode="External"/><Relationship Id="rId1" Type="http://schemas.openxmlformats.org/officeDocument/2006/relationships/externalLinkPath" Target="file:///\\192.168.1.50\Rete\Modelli\Methabol_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
      <sheetName val="Riferimenti"/>
      <sheetName val="Spiegazioni"/>
      <sheetName val="Sorgente"/>
    </sheetNames>
    <sheetDataSet>
      <sheetData sheetId="0"/>
      <sheetData sheetId="1"/>
      <sheetData sheetId="2"/>
      <sheetData sheetId="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8"/>
  <dimension ref="A1:BK426"/>
  <sheetViews>
    <sheetView topLeftCell="A413" zoomScale="80" zoomScaleNormal="80" zoomScaleSheetLayoutView="90" workbookViewId="0">
      <selection activeCell="AI12" sqref="AI12"/>
    </sheetView>
  </sheetViews>
  <sheetFormatPr defaultColWidth="8.85546875" defaultRowHeight="12.75"/>
  <cols>
    <col min="1" max="1" width="3.42578125" style="2" bestFit="1" customWidth="1"/>
    <col min="2" max="2" width="0.7109375" style="3" customWidth="1"/>
    <col min="3" max="3" width="2.28515625" style="2" customWidth="1"/>
    <col min="4" max="4" width="2.7109375" style="2" bestFit="1" customWidth="1"/>
    <col min="5" max="6" width="2.28515625" style="2" customWidth="1"/>
    <col min="7" max="8" width="2.28515625" style="3" customWidth="1"/>
    <col min="9" max="14" width="2.28515625" style="2" customWidth="1"/>
    <col min="15" max="15" width="5.7109375" style="2" customWidth="1"/>
    <col min="16" max="16" width="3.28515625" style="2" customWidth="1"/>
    <col min="17" max="17" width="6.140625" style="2" customWidth="1"/>
    <col min="18" max="18" width="2.85546875" style="2" customWidth="1"/>
    <col min="19" max="19" width="4.28515625" style="2" customWidth="1"/>
    <col min="20" max="20" width="4" style="2" customWidth="1"/>
    <col min="21" max="21" width="2" style="2" customWidth="1"/>
    <col min="22" max="22" width="4.85546875" style="69" customWidth="1"/>
    <col min="23" max="30" width="4.85546875" style="2" customWidth="1"/>
    <col min="31" max="31" width="2.140625" style="2" customWidth="1"/>
    <col min="32" max="35" width="8.7109375" style="2" customWidth="1"/>
    <col min="36" max="36" width="10" style="2" customWidth="1"/>
    <col min="37" max="37" width="11.5703125" style="2" bestFit="1" customWidth="1"/>
    <col min="38" max="38" width="8.7109375" style="2" customWidth="1"/>
    <col min="39" max="40" width="2.140625" style="2" customWidth="1"/>
    <col min="41" max="41" width="4" style="2" bestFit="1" customWidth="1"/>
    <col min="42" max="47" width="2.140625" style="2" customWidth="1"/>
    <col min="48" max="48" width="3.28515625" style="2" customWidth="1"/>
    <col min="49" max="49" width="4.7109375" style="2" customWidth="1"/>
    <col min="50" max="66" width="2.140625" style="2" customWidth="1"/>
    <col min="67" max="72" width="2.28515625" style="2" customWidth="1"/>
    <col min="73" max="73" width="10.5703125" style="2" customWidth="1"/>
    <col min="74" max="16384" width="8.85546875" style="2"/>
  </cols>
  <sheetData>
    <row r="1" spans="1:61" ht="13.9" customHeight="1">
      <c r="B1" s="2"/>
      <c r="G1" s="2"/>
      <c r="H1" s="2"/>
      <c r="Q1" s="3"/>
      <c r="T1" s="3"/>
      <c r="U1" s="3"/>
      <c r="V1" s="2"/>
      <c r="W1" s="3"/>
      <c r="Z1" s="3"/>
      <c r="AB1" s="3"/>
      <c r="AK1" s="3"/>
      <c r="AL1" s="3"/>
      <c r="AM1" s="3"/>
      <c r="AN1" s="3"/>
    </row>
    <row r="2" spans="1:61" ht="40.9" customHeight="1">
      <c r="B2" s="2"/>
      <c r="F2" s="3"/>
      <c r="H2" s="2"/>
      <c r="I2" s="3"/>
      <c r="J2" s="208" t="s">
        <v>1</v>
      </c>
      <c r="K2" s="208"/>
      <c r="L2" s="208"/>
      <c r="M2" s="208"/>
      <c r="N2" s="208"/>
      <c r="O2" s="208"/>
      <c r="P2" s="208"/>
      <c r="Q2" s="208"/>
      <c r="R2" s="208"/>
      <c r="S2" s="208"/>
      <c r="T2" s="208"/>
      <c r="U2" s="208"/>
      <c r="V2" s="208"/>
      <c r="W2" s="208"/>
      <c r="X2" s="208"/>
      <c r="Y2" s="208"/>
      <c r="Z2" s="208"/>
      <c r="AA2" s="208"/>
      <c r="AB2" s="208"/>
      <c r="AC2" s="208"/>
      <c r="AD2" s="208"/>
      <c r="AK2" s="204"/>
      <c r="AL2" s="204"/>
      <c r="AM2" s="204"/>
      <c r="AN2" s="204"/>
      <c r="AO2" s="204"/>
      <c r="AP2" s="204"/>
      <c r="AQ2" s="204"/>
      <c r="AR2" s="204"/>
      <c r="AS2" s="204"/>
      <c r="AT2" s="204"/>
      <c r="AU2" s="204"/>
    </row>
    <row r="3" spans="1:61" ht="12.6" customHeight="1">
      <c r="B3" s="2"/>
      <c r="G3" s="2"/>
      <c r="H3" s="2"/>
      <c r="J3" s="208"/>
      <c r="K3" s="208"/>
      <c r="L3" s="208"/>
      <c r="M3" s="208"/>
      <c r="N3" s="208"/>
      <c r="O3" s="208"/>
      <c r="P3" s="208"/>
      <c r="Q3" s="208"/>
      <c r="R3" s="208"/>
      <c r="S3" s="208"/>
      <c r="T3" s="208"/>
      <c r="U3" s="208"/>
      <c r="V3" s="208"/>
      <c r="W3" s="208"/>
      <c r="X3" s="208"/>
      <c r="Y3" s="208"/>
      <c r="Z3" s="208"/>
      <c r="AA3" s="208"/>
      <c r="AB3" s="208"/>
      <c r="AC3" s="208"/>
      <c r="AD3" s="208"/>
      <c r="AK3" s="3"/>
      <c r="AL3" s="3"/>
      <c r="AM3" s="3"/>
      <c r="AN3" s="3"/>
    </row>
    <row r="4" spans="1:61" ht="21" customHeight="1" thickBot="1">
      <c r="A4" s="4"/>
      <c r="B4" s="5"/>
      <c r="C4" s="5"/>
      <c r="D4" s="5"/>
      <c r="E4" s="5"/>
      <c r="F4" s="5"/>
      <c r="G4" s="5"/>
      <c r="H4" s="5"/>
      <c r="I4" s="5"/>
      <c r="J4" s="5"/>
      <c r="K4" s="5"/>
      <c r="L4" s="5"/>
      <c r="M4" s="5"/>
      <c r="N4" s="5"/>
      <c r="O4" s="5"/>
      <c r="P4" s="5"/>
      <c r="Q4" s="5"/>
      <c r="R4" s="5"/>
      <c r="S4" s="5"/>
      <c r="T4" s="5"/>
      <c r="U4" s="5"/>
      <c r="V4" s="5"/>
      <c r="W4" s="5"/>
      <c r="X4" s="5"/>
      <c r="Y4" s="5"/>
      <c r="Z4" s="5"/>
      <c r="AA4" s="5"/>
      <c r="AB4" s="5"/>
      <c r="AC4" s="5"/>
      <c r="AD4" s="5"/>
      <c r="AK4" s="3"/>
      <c r="AL4" s="3"/>
      <c r="AM4" s="3"/>
      <c r="AN4" s="3"/>
    </row>
    <row r="5" spans="1:61" ht="15.6" customHeight="1" thickTop="1">
      <c r="B5" s="73"/>
      <c r="C5" s="230" t="s">
        <v>177</v>
      </c>
      <c r="D5" s="230"/>
      <c r="E5" s="230"/>
      <c r="F5" s="230"/>
      <c r="G5" s="230"/>
      <c r="H5" s="230"/>
      <c r="I5" s="230"/>
      <c r="J5" s="230"/>
      <c r="K5" s="230"/>
      <c r="L5" s="230"/>
      <c r="M5" s="230"/>
      <c r="N5" s="230"/>
      <c r="O5" s="230"/>
      <c r="P5" s="230"/>
      <c r="Q5" s="230"/>
      <c r="R5" s="230"/>
      <c r="S5" s="230"/>
      <c r="T5" s="230"/>
      <c r="U5" s="230"/>
      <c r="V5" s="230"/>
      <c r="W5" s="230"/>
      <c r="X5" s="230"/>
      <c r="Y5" s="230"/>
      <c r="Z5" s="230"/>
      <c r="AA5" s="230"/>
      <c r="AB5" s="230"/>
      <c r="AC5" s="230"/>
      <c r="AD5" s="230"/>
      <c r="AE5" s="73"/>
      <c r="AG5" s="84" t="s">
        <v>441</v>
      </c>
      <c r="AK5" s="3"/>
      <c r="AL5" s="3"/>
      <c r="AM5" s="3"/>
      <c r="AO5" s="3"/>
      <c r="AP5" s="3"/>
      <c r="AQ5" s="3"/>
      <c r="AR5" s="3"/>
    </row>
    <row r="6" spans="1:61" ht="21" customHeight="1">
      <c r="B6" s="231"/>
      <c r="C6" s="232"/>
      <c r="D6" s="232"/>
      <c r="E6" s="232"/>
      <c r="F6" s="232"/>
      <c r="G6" s="232"/>
      <c r="H6" s="232"/>
      <c r="I6" s="232"/>
      <c r="J6" s="232"/>
      <c r="K6" s="232"/>
      <c r="L6" s="232"/>
      <c r="M6" s="232"/>
      <c r="N6" s="232"/>
      <c r="O6" s="232"/>
      <c r="P6" s="232"/>
      <c r="Q6" s="232"/>
      <c r="R6" s="65"/>
      <c r="S6" s="65"/>
      <c r="T6" s="233" t="s">
        <v>2</v>
      </c>
      <c r="U6" s="233"/>
      <c r="V6" s="233"/>
      <c r="W6" s="233"/>
      <c r="X6" s="66"/>
      <c r="Y6" s="18"/>
      <c r="Z6" s="18" t="s">
        <v>3</v>
      </c>
      <c r="AA6" s="18"/>
      <c r="AB6" s="18"/>
      <c r="AC6" s="18"/>
      <c r="AD6" s="67"/>
      <c r="AK6" s="3"/>
      <c r="AL6" s="3"/>
      <c r="AM6" s="3"/>
      <c r="AN6" s="18"/>
      <c r="AP6" s="3"/>
      <c r="AQ6" s="3"/>
      <c r="AR6" s="3"/>
    </row>
    <row r="7" spans="1:61" ht="18" customHeight="1">
      <c r="B7" s="231"/>
      <c r="C7" s="18" t="s">
        <v>12</v>
      </c>
      <c r="D7" s="20"/>
      <c r="E7" s="18"/>
      <c r="F7" s="135"/>
      <c r="G7" s="135"/>
      <c r="H7" s="135"/>
      <c r="I7" s="135"/>
      <c r="J7" s="135"/>
      <c r="K7" s="135"/>
      <c r="L7" s="135"/>
      <c r="M7" s="135"/>
      <c r="N7" s="135"/>
      <c r="O7" s="135"/>
      <c r="P7" s="67"/>
      <c r="Q7" s="67"/>
      <c r="R7" s="67"/>
      <c r="S7" s="67"/>
      <c r="T7" s="237"/>
      <c r="U7" s="237"/>
      <c r="V7" s="237"/>
      <c r="W7" s="237"/>
      <c r="X7" s="19"/>
      <c r="Y7" s="18"/>
      <c r="Z7" s="19"/>
      <c r="AA7" s="19"/>
      <c r="AB7" s="19"/>
      <c r="AC7" s="19"/>
      <c r="AD7" s="67"/>
      <c r="AK7" s="3"/>
      <c r="AP7" s="3"/>
      <c r="AQ7" s="3"/>
      <c r="AR7" s="3"/>
    </row>
    <row r="8" spans="1:61" ht="10.15" customHeight="1">
      <c r="B8" s="2"/>
      <c r="C8" s="67"/>
      <c r="D8" s="67"/>
      <c r="E8" s="67"/>
      <c r="F8" s="67"/>
      <c r="G8" s="67"/>
      <c r="H8" s="67"/>
      <c r="I8" s="67"/>
      <c r="J8" s="67"/>
      <c r="K8" s="67"/>
      <c r="L8" s="67"/>
      <c r="M8" s="67"/>
      <c r="N8" s="67"/>
      <c r="O8" s="67"/>
      <c r="P8" s="67"/>
      <c r="Q8" s="67"/>
      <c r="R8" s="67"/>
      <c r="S8" s="67"/>
      <c r="T8" s="67"/>
      <c r="U8" s="66"/>
      <c r="V8" s="66"/>
      <c r="W8" s="66"/>
      <c r="X8" s="66"/>
      <c r="Y8" s="18"/>
      <c r="Z8" s="66"/>
      <c r="AA8" s="66"/>
      <c r="AB8" s="66"/>
      <c r="AC8" s="66"/>
      <c r="AD8" s="67"/>
      <c r="AK8" s="3"/>
      <c r="AL8" s="3"/>
      <c r="AM8" s="3"/>
      <c r="AP8" s="3"/>
      <c r="AQ8" s="3"/>
      <c r="AR8" s="3"/>
    </row>
    <row r="9" spans="1:61" ht="15.75">
      <c r="B9" s="23"/>
      <c r="C9" s="23"/>
      <c r="D9" s="23"/>
      <c r="E9" s="23"/>
      <c r="F9" s="23"/>
      <c r="G9" s="23"/>
      <c r="H9" s="23"/>
      <c r="I9" s="23"/>
      <c r="J9" s="23"/>
      <c r="K9" s="23"/>
      <c r="L9" s="23"/>
      <c r="M9" s="23"/>
      <c r="N9" s="23"/>
      <c r="O9" s="66"/>
      <c r="P9" s="66"/>
      <c r="Q9" s="66"/>
      <c r="R9" s="66"/>
      <c r="S9" s="66"/>
      <c r="T9" s="23" t="s">
        <v>0</v>
      </c>
      <c r="U9" s="68"/>
      <c r="V9" s="234"/>
      <c r="W9" s="235"/>
      <c r="X9" s="235"/>
      <c r="Y9" s="66"/>
      <c r="Z9" s="18"/>
      <c r="AA9" s="18"/>
      <c r="AB9" s="18"/>
      <c r="AC9" s="18"/>
      <c r="AD9" s="18"/>
      <c r="AG9" s="36"/>
      <c r="AK9" s="3"/>
      <c r="AL9" s="3"/>
      <c r="AM9" s="3"/>
      <c r="AP9" s="3"/>
      <c r="AQ9" s="3"/>
      <c r="AR9" s="3"/>
    </row>
    <row r="10" spans="1:61" ht="8.4499999999999993"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K10" s="3"/>
      <c r="AL10" s="3"/>
      <c r="AM10" s="3"/>
      <c r="AP10" s="3"/>
      <c r="AQ10" s="3"/>
      <c r="AR10" s="3"/>
      <c r="AU10" s="3"/>
      <c r="AV10" s="3"/>
      <c r="AW10" s="3"/>
    </row>
    <row r="11" spans="1:61" ht="12.6" customHeight="1" thickTop="1">
      <c r="B11" s="1"/>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K11" s="3"/>
      <c r="AL11" s="3"/>
      <c r="AM11" s="3"/>
      <c r="AQ11" s="3"/>
      <c r="AR11" s="3"/>
    </row>
    <row r="12" spans="1:61" ht="19.149999999999999" customHeight="1">
      <c r="A12" s="236" t="s">
        <v>178</v>
      </c>
      <c r="B12" s="23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I12" s="198"/>
      <c r="AK12" s="3"/>
      <c r="AL12" s="3"/>
      <c r="AM12" s="3"/>
      <c r="AP12" s="36"/>
      <c r="AQ12" s="3"/>
      <c r="AR12" s="3"/>
      <c r="BD12" s="3"/>
    </row>
    <row r="13" spans="1:61" ht="19.149999999999999" customHeight="1">
      <c r="A13" s="236"/>
      <c r="B13" s="236"/>
      <c r="C13" s="236"/>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6"/>
      <c r="AF13" s="6"/>
      <c r="AG13" s="6"/>
      <c r="AH13" s="6"/>
      <c r="AK13" s="3"/>
      <c r="AL13" s="6"/>
      <c r="AM13" s="3"/>
      <c r="AO13" s="36"/>
      <c r="AP13" s="36"/>
      <c r="AQ13" s="3"/>
      <c r="AR13" s="3"/>
    </row>
    <row r="14" spans="1:61" ht="13.9" customHeight="1">
      <c r="A14" s="211" t="s">
        <v>98</v>
      </c>
      <c r="B14" s="211"/>
      <c r="C14" s="211"/>
      <c r="D14" s="211"/>
      <c r="E14" s="211"/>
      <c r="F14" s="211"/>
      <c r="G14" s="211"/>
      <c r="H14" s="211"/>
      <c r="I14" s="211"/>
      <c r="J14" s="211"/>
      <c r="K14" s="211"/>
      <c r="L14" s="211"/>
      <c r="M14" s="11"/>
      <c r="N14" s="11"/>
      <c r="O14" s="211" t="s">
        <v>99</v>
      </c>
      <c r="P14" s="211"/>
      <c r="Q14" s="211"/>
      <c r="R14" s="136"/>
      <c r="S14" s="211" t="s">
        <v>100</v>
      </c>
      <c r="T14" s="211"/>
      <c r="W14" s="215" t="s">
        <v>173</v>
      </c>
      <c r="X14" s="215"/>
      <c r="Y14" s="215"/>
      <c r="Z14" s="215"/>
      <c r="AA14" s="215"/>
      <c r="AB14" s="215"/>
      <c r="AC14" s="215"/>
      <c r="AD14" s="215"/>
      <c r="AE14" s="6"/>
      <c r="AF14" s="6"/>
      <c r="AG14" s="6"/>
      <c r="AH14" s="6"/>
      <c r="AI14" s="6"/>
      <c r="AK14" s="3"/>
      <c r="AL14" s="6"/>
      <c r="AM14" s="3"/>
      <c r="AQ14" s="3"/>
      <c r="AR14" s="3"/>
    </row>
    <row r="15" spans="1:61" ht="13.9" customHeight="1">
      <c r="A15" s="211"/>
      <c r="B15" s="211"/>
      <c r="C15" s="211"/>
      <c r="D15" s="211"/>
      <c r="E15" s="211"/>
      <c r="F15" s="211"/>
      <c r="G15" s="211"/>
      <c r="H15" s="211"/>
      <c r="I15" s="211"/>
      <c r="J15" s="211"/>
      <c r="K15" s="211"/>
      <c r="L15" s="211"/>
      <c r="M15" s="11"/>
      <c r="N15" s="11"/>
      <c r="O15" s="213" t="s">
        <v>102</v>
      </c>
      <c r="P15" s="213"/>
      <c r="Q15" s="213"/>
      <c r="S15" s="213" t="s">
        <v>103</v>
      </c>
      <c r="T15" s="213"/>
      <c r="V15" s="137"/>
      <c r="W15" s="215" t="s">
        <v>442</v>
      </c>
      <c r="X15" s="215"/>
      <c r="Y15" s="215"/>
      <c r="Z15" s="215"/>
      <c r="AA15" s="215"/>
      <c r="AB15" s="215"/>
      <c r="AC15" s="215"/>
      <c r="AD15" s="215"/>
      <c r="AK15" s="3"/>
      <c r="AL15" s="3"/>
      <c r="AM15" s="3"/>
      <c r="AQ15" s="3"/>
      <c r="AR15" s="3"/>
      <c r="AS15" s="3"/>
      <c r="AT15" s="3"/>
      <c r="AU15" s="3"/>
      <c r="AV15" s="3"/>
      <c r="AW15" s="3"/>
      <c r="AX15" s="3"/>
      <c r="AY15" s="21"/>
      <c r="AZ15" s="21"/>
      <c r="BA15" s="21"/>
    </row>
    <row r="16" spans="1:61" ht="13.9" customHeight="1" thickBot="1">
      <c r="A16" s="54"/>
      <c r="B16" s="54"/>
      <c r="C16" s="54"/>
      <c r="D16" s="54"/>
      <c r="E16" s="54"/>
      <c r="F16" s="54"/>
      <c r="G16" s="54"/>
      <c r="H16" s="54"/>
      <c r="I16" s="54"/>
      <c r="J16" s="54"/>
      <c r="K16" s="54"/>
      <c r="L16" s="54"/>
      <c r="M16" s="54"/>
      <c r="N16" s="54"/>
      <c r="O16" s="8"/>
      <c r="P16" s="55" t="s">
        <v>160</v>
      </c>
      <c r="Q16" s="8"/>
      <c r="R16" s="8"/>
      <c r="S16" s="8"/>
      <c r="T16" s="8"/>
      <c r="U16" s="8"/>
      <c r="V16" s="8"/>
      <c r="W16" s="8"/>
      <c r="X16" s="8"/>
      <c r="Y16" s="8"/>
      <c r="Z16" s="8"/>
      <c r="AA16" s="8"/>
      <c r="AB16" s="8"/>
      <c r="AC16" s="8"/>
      <c r="AD16" s="7"/>
      <c r="AI16" s="3"/>
      <c r="AJ16" s="3"/>
      <c r="AK16" s="3"/>
      <c r="AL16" s="3"/>
      <c r="AM16" s="3"/>
      <c r="AN16" s="3"/>
      <c r="AV16"/>
      <c r="AW16"/>
      <c r="AX16"/>
      <c r="AY16"/>
      <c r="AZ16"/>
      <c r="BA16"/>
      <c r="BB16"/>
      <c r="BC16"/>
      <c r="BD16"/>
      <c r="BE16"/>
      <c r="BF16"/>
      <c r="BG16"/>
      <c r="BH16"/>
      <c r="BI16"/>
    </row>
    <row r="17" spans="1:62" ht="9" customHeight="1" thickTop="1">
      <c r="A17" s="11"/>
      <c r="B17" s="9"/>
      <c r="D17" s="3"/>
      <c r="G17" s="2"/>
      <c r="H17" s="2"/>
      <c r="O17" s="46"/>
      <c r="P17" s="46"/>
      <c r="Q17" s="46"/>
      <c r="S17" s="46"/>
      <c r="T17" s="3"/>
      <c r="U17" s="3"/>
      <c r="V17" s="2"/>
      <c r="W17" s="3"/>
      <c r="Z17" s="12"/>
      <c r="AB17" s="3"/>
      <c r="AN17" s="3"/>
      <c r="AV17"/>
      <c r="AW17"/>
      <c r="AX17"/>
      <c r="AY17"/>
      <c r="AZ17"/>
      <c r="BA17"/>
      <c r="BB17"/>
      <c r="BC17"/>
      <c r="BD17"/>
      <c r="BE17"/>
      <c r="BF17"/>
      <c r="BG17"/>
      <c r="BH17"/>
      <c r="BI17"/>
    </row>
    <row r="18" spans="1:62" ht="15.6" customHeight="1">
      <c r="A18" s="206" t="s">
        <v>105</v>
      </c>
      <c r="B18" s="206"/>
      <c r="C18" s="206"/>
      <c r="D18" s="206"/>
      <c r="E18" s="206"/>
      <c r="F18" s="206"/>
      <c r="G18" s="206"/>
      <c r="H18" s="206"/>
      <c r="I18" s="206"/>
      <c r="J18" s="206"/>
      <c r="K18" s="206"/>
      <c r="L18" s="206"/>
      <c r="M18" s="206"/>
      <c r="N18" s="206"/>
      <c r="O18" s="15"/>
      <c r="P18" s="15"/>
      <c r="Q18" s="15"/>
      <c r="R18" s="13"/>
      <c r="S18" s="15"/>
      <c r="T18" s="14"/>
      <c r="U18" s="14"/>
      <c r="V18" s="13"/>
      <c r="W18" s="14"/>
      <c r="X18" s="13"/>
      <c r="Y18" s="13"/>
      <c r="Z18" s="16"/>
      <c r="AA18" s="13"/>
      <c r="AB18" s="14"/>
      <c r="AC18" s="13"/>
      <c r="AD18" s="13"/>
      <c r="AF18" s="2">
        <v>0</v>
      </c>
      <c r="AG18" s="238" t="s">
        <v>80</v>
      </c>
      <c r="AH18" s="238"/>
      <c r="AN18" s="3"/>
      <c r="AV18"/>
      <c r="AW18"/>
      <c r="AX18"/>
      <c r="AY18"/>
      <c r="AZ18"/>
      <c r="BA18"/>
      <c r="BB18"/>
      <c r="BC18"/>
      <c r="BD18"/>
      <c r="BE18"/>
      <c r="BF18"/>
      <c r="BG18"/>
      <c r="BH18"/>
      <c r="BI18"/>
    </row>
    <row r="19" spans="1:62" ht="9" customHeight="1">
      <c r="V19" s="2"/>
      <c r="AN19" s="3"/>
      <c r="AO19" s="3"/>
      <c r="AP19" s="3"/>
      <c r="AQ19" s="3"/>
      <c r="AR19" s="3"/>
      <c r="AS19" s="3"/>
      <c r="AT19" s="3"/>
      <c r="AU19" s="3"/>
      <c r="AV19"/>
      <c r="AW19"/>
      <c r="AX19"/>
      <c r="AY19"/>
      <c r="AZ19"/>
      <c r="BA19"/>
      <c r="BB19"/>
      <c r="BC19"/>
      <c r="BD19"/>
      <c r="BE19"/>
      <c r="BF19"/>
      <c r="BG19"/>
      <c r="BH19"/>
      <c r="BI19"/>
      <c r="BJ19" s="3"/>
    </row>
    <row r="20" spans="1:62" ht="10.9" customHeight="1">
      <c r="A20" s="3"/>
      <c r="C20" s="3"/>
      <c r="P20" s="3"/>
      <c r="Q20" s="3"/>
      <c r="R20" s="3"/>
      <c r="S20" s="3"/>
      <c r="T20" s="3"/>
      <c r="U20" s="239"/>
      <c r="V20" s="239"/>
      <c r="W20" s="3"/>
      <c r="X20" s="3"/>
      <c r="Y20" s="3"/>
      <c r="Z20" s="3"/>
      <c r="AA20" s="3"/>
      <c r="AB20" s="3"/>
      <c r="AC20" s="214"/>
      <c r="AD20" s="214"/>
      <c r="AE20" s="3"/>
      <c r="AF20" s="3"/>
      <c r="AN20" s="3"/>
      <c r="AO20" s="3"/>
      <c r="AP20" s="3"/>
      <c r="AQ20" s="3"/>
      <c r="AR20" s="3"/>
      <c r="AS20" s="3"/>
      <c r="AT20" s="3"/>
      <c r="AU20" s="3"/>
      <c r="AV20"/>
      <c r="AW20"/>
      <c r="AX20"/>
      <c r="AY20"/>
      <c r="AZ20"/>
      <c r="BA20"/>
      <c r="BB20"/>
      <c r="BC20"/>
      <c r="BD20"/>
      <c r="BE20"/>
      <c r="BF20"/>
      <c r="BG20"/>
      <c r="BH20"/>
      <c r="BI20"/>
      <c r="BJ20" s="3"/>
    </row>
    <row r="21" spans="1:62" ht="6" customHeight="1">
      <c r="A21" s="226">
        <v>1</v>
      </c>
      <c r="B21" s="56"/>
      <c r="C21" s="224" t="str">
        <f>INDEX(Riferimenti!$B$2:$B$60,A21)</f>
        <v>Citrico</v>
      </c>
      <c r="D21" s="224"/>
      <c r="E21" s="224"/>
      <c r="F21" s="224"/>
      <c r="G21" s="224"/>
      <c r="H21" s="224"/>
      <c r="I21" s="224"/>
      <c r="J21" s="224"/>
      <c r="K21" s="224"/>
      <c r="L21" s="224"/>
      <c r="M21" s="224"/>
      <c r="N21" s="224"/>
      <c r="O21" s="216" t="str">
        <f>IF(INDEX(Riferimenti!$C$2:$C$66,A21)&gt;0,INDEX(Riferimenti!$C$2:$C$66,A21),"")</f>
        <v/>
      </c>
      <c r="P21" s="216" t="str">
        <f>INDEX(Riferimenti!$D$2:$D$66,A21)</f>
        <v>≤</v>
      </c>
      <c r="Q21" s="227">
        <f>INDEX(Riferimenti!$E$2:$E$65,A21)</f>
        <v>398.9</v>
      </c>
      <c r="R21" s="225"/>
      <c r="S21" s="240"/>
      <c r="T21" s="240"/>
      <c r="V21" s="2"/>
      <c r="AG21" s="216">
        <f>INDEX(Riferimenti!$Q$2:$Q$60,A21)</f>
        <v>151.30000000000001</v>
      </c>
      <c r="AH21" s="216">
        <f>INDEX(Riferimenti!$R$2:$R$60,A21)</f>
        <v>316.3</v>
      </c>
      <c r="AV21"/>
      <c r="AW21"/>
      <c r="AX21"/>
      <c r="AY21"/>
      <c r="AZ21"/>
      <c r="BA21"/>
      <c r="BB21"/>
      <c r="BC21"/>
      <c r="BD21"/>
      <c r="BE21"/>
      <c r="BF21"/>
      <c r="BG21"/>
      <c r="BH21"/>
      <c r="BI21"/>
      <c r="BJ21" s="3"/>
    </row>
    <row r="22" spans="1:62" ht="5.45" customHeight="1">
      <c r="A22" s="226"/>
      <c r="B22" s="56"/>
      <c r="C22" s="224"/>
      <c r="D22" s="224"/>
      <c r="E22" s="224"/>
      <c r="F22" s="224"/>
      <c r="G22" s="224"/>
      <c r="H22" s="224"/>
      <c r="I22" s="224"/>
      <c r="J22" s="224"/>
      <c r="K22" s="224"/>
      <c r="L22" s="224"/>
      <c r="M22" s="224"/>
      <c r="N22" s="224"/>
      <c r="O22" s="216"/>
      <c r="P22" s="216"/>
      <c r="Q22" s="227"/>
      <c r="R22" s="225"/>
      <c r="S22" s="240"/>
      <c r="T22" s="240"/>
      <c r="U22"/>
      <c r="V22"/>
      <c r="W22"/>
      <c r="X22"/>
      <c r="Y22"/>
      <c r="Z22"/>
      <c r="AA22"/>
      <c r="AB22"/>
      <c r="AC22"/>
      <c r="AD22"/>
      <c r="AE22"/>
      <c r="AF22"/>
      <c r="AG22" s="216"/>
      <c r="AH22" s="216"/>
      <c r="AN22" s="3"/>
      <c r="AV22"/>
      <c r="AW22"/>
      <c r="AX22"/>
      <c r="AY22"/>
      <c r="AZ22"/>
      <c r="BA22"/>
      <c r="BB22"/>
      <c r="BC22"/>
      <c r="BD22"/>
      <c r="BE22"/>
      <c r="BF22"/>
      <c r="BG22"/>
      <c r="BH22"/>
      <c r="BI22"/>
      <c r="BJ22" s="3"/>
    </row>
    <row r="23" spans="1:62" ht="6" customHeight="1">
      <c r="A23" s="228"/>
      <c r="B23" s="228"/>
      <c r="C23" s="228"/>
      <c r="D23" s="228"/>
      <c r="E23" s="228"/>
      <c r="F23" s="228"/>
      <c r="G23" s="228"/>
      <c r="H23" s="228"/>
      <c r="I23" s="228"/>
      <c r="J23" s="228"/>
      <c r="K23" s="228"/>
      <c r="L23" s="228"/>
      <c r="M23" s="228"/>
      <c r="N23" s="57"/>
      <c r="O23" s="78"/>
      <c r="P23" s="39"/>
      <c r="Q23" s="77"/>
      <c r="R23" s="80"/>
      <c r="S23" s="181"/>
      <c r="T23" s="182"/>
      <c r="U23" s="26"/>
      <c r="V23" s="43"/>
      <c r="W23" s="43"/>
      <c r="X23" s="43"/>
      <c r="Y23" s="43"/>
      <c r="Z23" s="43"/>
      <c r="AA23" s="43"/>
      <c r="AB23" s="43"/>
      <c r="AC23" s="43"/>
      <c r="AD23" s="43"/>
      <c r="AE23" s="43"/>
      <c r="AF23" s="43"/>
      <c r="AG23"/>
      <c r="AH23"/>
      <c r="AI23"/>
      <c r="AJ23"/>
      <c r="AK23"/>
      <c r="AL23"/>
      <c r="AM23"/>
      <c r="AN23" s="43"/>
      <c r="AO23"/>
      <c r="AP23"/>
      <c r="AQ23"/>
      <c r="AR23"/>
      <c r="AS23"/>
      <c r="AT23"/>
      <c r="AU23"/>
      <c r="AV23"/>
      <c r="AW23"/>
      <c r="AX23"/>
      <c r="AY23"/>
      <c r="AZ23"/>
      <c r="BA23"/>
      <c r="BB23"/>
      <c r="BC23"/>
      <c r="BD23"/>
      <c r="BE23"/>
      <c r="BF23"/>
      <c r="BG23"/>
      <c r="BH23"/>
      <c r="BI23"/>
      <c r="BJ23" s="3"/>
    </row>
    <row r="24" spans="1:62" ht="6" customHeight="1">
      <c r="A24" s="228"/>
      <c r="B24" s="228"/>
      <c r="C24" s="228"/>
      <c r="D24" s="228"/>
      <c r="E24" s="228"/>
      <c r="F24" s="228"/>
      <c r="G24" s="228"/>
      <c r="H24" s="228"/>
      <c r="I24" s="228"/>
      <c r="J24" s="228"/>
      <c r="K24" s="228"/>
      <c r="L24" s="228"/>
      <c r="M24" s="228"/>
      <c r="N24" s="57"/>
      <c r="O24" s="78"/>
      <c r="P24" s="39"/>
      <c r="Q24" s="77"/>
      <c r="R24" s="80"/>
      <c r="S24" s="181"/>
      <c r="T24" s="183"/>
      <c r="V24" s="2"/>
      <c r="AG24"/>
      <c r="AH24"/>
      <c r="AI24"/>
      <c r="AJ24"/>
      <c r="AL24"/>
      <c r="AM24"/>
      <c r="AN24" s="3"/>
      <c r="AO24"/>
      <c r="AP24"/>
      <c r="AQ24"/>
      <c r="AR24"/>
      <c r="AS24"/>
      <c r="AT24"/>
      <c r="AU24"/>
      <c r="AV24"/>
      <c r="AW24"/>
      <c r="AX24"/>
      <c r="AY24"/>
      <c r="AZ24"/>
      <c r="BA24"/>
      <c r="BB24"/>
      <c r="BC24"/>
      <c r="BD24"/>
      <c r="BE24"/>
      <c r="BF24"/>
      <c r="BG24"/>
      <c r="BH24"/>
      <c r="BI24"/>
      <c r="BJ24" s="3"/>
    </row>
    <row r="25" spans="1:62" ht="10.9" customHeight="1">
      <c r="A25" s="58"/>
      <c r="B25" s="58"/>
      <c r="C25" s="58"/>
      <c r="D25" s="59"/>
      <c r="E25" s="59"/>
      <c r="F25" s="59"/>
      <c r="G25" s="58"/>
      <c r="H25" s="58"/>
      <c r="I25" s="59"/>
      <c r="J25" s="59"/>
      <c r="K25" s="59"/>
      <c r="L25" s="59"/>
      <c r="M25" s="59"/>
      <c r="N25" s="59"/>
      <c r="O25" s="40"/>
      <c r="P25" s="41"/>
      <c r="Q25" s="48"/>
      <c r="R25" s="3"/>
      <c r="S25" s="184"/>
      <c r="T25" s="184"/>
      <c r="U25" s="214"/>
      <c r="V25" s="214"/>
      <c r="W25" s="3"/>
      <c r="X25" s="3"/>
      <c r="Y25" s="3"/>
      <c r="Z25" s="3"/>
      <c r="AA25" s="3"/>
      <c r="AB25" s="3"/>
      <c r="AC25" s="214"/>
      <c r="AD25" s="214"/>
      <c r="AE25" s="3"/>
      <c r="AF25" s="3"/>
      <c r="AG25"/>
      <c r="AH25"/>
      <c r="AI25"/>
      <c r="AJ25"/>
      <c r="AL25" s="3"/>
      <c r="AM25" s="3"/>
      <c r="AN25" s="3"/>
      <c r="AO25"/>
      <c r="AP25"/>
      <c r="AQ25"/>
      <c r="AR25"/>
      <c r="AS25"/>
      <c r="AT25"/>
      <c r="AU25"/>
      <c r="AV25"/>
      <c r="AW25"/>
      <c r="AX25"/>
      <c r="AY25"/>
      <c r="AZ25"/>
      <c r="BA25"/>
      <c r="BB25"/>
      <c r="BC25"/>
      <c r="BD25"/>
      <c r="BE25"/>
      <c r="BF25"/>
      <c r="BG25"/>
      <c r="BH25"/>
      <c r="BI25"/>
      <c r="BJ25" s="3"/>
    </row>
    <row r="26" spans="1:62" ht="6" customHeight="1">
      <c r="A26" s="226">
        <v>2</v>
      </c>
      <c r="B26" s="56"/>
      <c r="C26" s="224" t="str">
        <f>INDEX(Riferimenti!$B$2:$B$60,A26)</f>
        <v>Aconitico</v>
      </c>
      <c r="D26" s="224"/>
      <c r="E26" s="224"/>
      <c r="F26" s="224"/>
      <c r="G26" s="224"/>
      <c r="H26" s="224"/>
      <c r="I26" s="224"/>
      <c r="J26" s="224"/>
      <c r="K26" s="224"/>
      <c r="L26" s="224"/>
      <c r="M26" s="224"/>
      <c r="N26" s="224"/>
      <c r="O26" s="216">
        <f>INDEX(Riferimenti!$C$2:$C$65,A26)</f>
        <v>3.3</v>
      </c>
      <c r="P26" s="216" t="str">
        <f>INDEX(Riferimenti!$D$2:$D$66,A26)</f>
        <v>-</v>
      </c>
      <c r="Q26" s="217">
        <f>INDEX(Riferimenti!$E$2:$E$65,A26)</f>
        <v>59.8</v>
      </c>
      <c r="R26" s="225"/>
      <c r="S26" s="240"/>
      <c r="T26" s="240"/>
      <c r="V26" s="2"/>
      <c r="AG26" s="216">
        <f>INDEX(Riferimenti!$Q$2:$Q$60,A26)</f>
        <v>17.399999999999999</v>
      </c>
      <c r="AH26" s="216">
        <f>INDEX(Riferimenti!$R$2:$R$60,A26)</f>
        <v>45.7</v>
      </c>
      <c r="AI26"/>
      <c r="AJ26"/>
      <c r="AK26" s="241"/>
      <c r="AL26" s="241"/>
      <c r="AM26" s="241"/>
      <c r="AO26"/>
      <c r="AP26"/>
      <c r="AQ26"/>
      <c r="AR26"/>
      <c r="AS26"/>
      <c r="AT26"/>
      <c r="AU26"/>
      <c r="AV26"/>
      <c r="AW26"/>
      <c r="AX26"/>
      <c r="AY26"/>
      <c r="AZ26"/>
      <c r="BA26"/>
      <c r="BB26"/>
      <c r="BC26"/>
      <c r="BD26"/>
      <c r="BE26"/>
      <c r="BF26"/>
      <c r="BG26"/>
      <c r="BH26"/>
      <c r="BI26"/>
      <c r="BJ26" s="3"/>
    </row>
    <row r="27" spans="1:62" ht="5.45" customHeight="1">
      <c r="A27" s="226"/>
      <c r="B27" s="56"/>
      <c r="C27" s="224"/>
      <c r="D27" s="224"/>
      <c r="E27" s="224"/>
      <c r="F27" s="224"/>
      <c r="G27" s="224"/>
      <c r="H27" s="224"/>
      <c r="I27" s="224"/>
      <c r="J27" s="224"/>
      <c r="K27" s="224"/>
      <c r="L27" s="224"/>
      <c r="M27" s="224"/>
      <c r="N27" s="224"/>
      <c r="O27" s="216"/>
      <c r="P27" s="216"/>
      <c r="Q27" s="217"/>
      <c r="R27" s="225"/>
      <c r="S27" s="240"/>
      <c r="T27" s="240"/>
      <c r="U27"/>
      <c r="V27"/>
      <c r="W27"/>
      <c r="X27"/>
      <c r="Y27"/>
      <c r="Z27"/>
      <c r="AA27"/>
      <c r="AB27"/>
      <c r="AC27"/>
      <c r="AD27"/>
      <c r="AE27"/>
      <c r="AF27"/>
      <c r="AG27" s="216"/>
      <c r="AH27" s="216"/>
      <c r="AI27"/>
      <c r="AJ27"/>
      <c r="AK27" s="241"/>
      <c r="AL27" s="241"/>
      <c r="AM27" s="241"/>
      <c r="AN27" s="3"/>
      <c r="AO27"/>
      <c r="AP27"/>
      <c r="AQ27"/>
      <c r="AR27"/>
      <c r="AS27"/>
      <c r="AT27"/>
      <c r="AU27"/>
      <c r="AV27"/>
      <c r="AW27"/>
      <c r="AX27"/>
      <c r="AY27"/>
      <c r="AZ27"/>
      <c r="BA27"/>
      <c r="BB27"/>
      <c r="BC27"/>
      <c r="BD27"/>
      <c r="BE27"/>
      <c r="BF27"/>
      <c r="BG27"/>
      <c r="BH27"/>
      <c r="BI27"/>
      <c r="BJ27" s="3"/>
    </row>
    <row r="28" spans="1:62" ht="6" customHeight="1">
      <c r="A28" s="228"/>
      <c r="B28" s="228"/>
      <c r="C28" s="228"/>
      <c r="D28" s="228"/>
      <c r="E28" s="228"/>
      <c r="F28" s="228"/>
      <c r="G28" s="228"/>
      <c r="H28" s="228"/>
      <c r="I28" s="228"/>
      <c r="J28" s="228"/>
      <c r="K28" s="228"/>
      <c r="L28" s="228"/>
      <c r="M28" s="228"/>
      <c r="N28" s="57"/>
      <c r="O28" s="78"/>
      <c r="P28" s="39"/>
      <c r="Q28" s="77"/>
      <c r="R28" s="80"/>
      <c r="S28" s="181"/>
      <c r="T28" s="182"/>
      <c r="U28" s="26"/>
      <c r="V28" s="43"/>
      <c r="W28" s="43"/>
      <c r="X28" s="43"/>
      <c r="Y28" s="43"/>
      <c r="Z28" s="43"/>
      <c r="AA28" s="43"/>
      <c r="AB28" s="43"/>
      <c r="AC28" s="43"/>
      <c r="AD28" s="43"/>
      <c r="AE28" s="43"/>
      <c r="AF28" s="43"/>
      <c r="AG28"/>
      <c r="AH28"/>
      <c r="AI28"/>
      <c r="AJ28"/>
      <c r="AK28" s="3"/>
      <c r="AL28" s="3"/>
      <c r="AM28" s="3"/>
      <c r="AN28" s="43"/>
      <c r="AO28"/>
      <c r="AP28"/>
      <c r="AQ28"/>
      <c r="AR28"/>
      <c r="AS28"/>
      <c r="AT28"/>
      <c r="AU28"/>
      <c r="AV28"/>
      <c r="AW28"/>
      <c r="AX28"/>
      <c r="AY28"/>
      <c r="AZ28"/>
      <c r="BA28"/>
      <c r="BB28"/>
      <c r="BC28"/>
      <c r="BD28"/>
      <c r="BE28"/>
      <c r="BF28"/>
      <c r="BG28"/>
      <c r="BH28"/>
      <c r="BI28"/>
      <c r="BJ28" s="3"/>
    </row>
    <row r="29" spans="1:62" ht="6" customHeight="1">
      <c r="A29" s="228"/>
      <c r="B29" s="228"/>
      <c r="C29" s="228"/>
      <c r="D29" s="228"/>
      <c r="E29" s="228"/>
      <c r="F29" s="228"/>
      <c r="G29" s="228"/>
      <c r="H29" s="228"/>
      <c r="I29" s="228"/>
      <c r="J29" s="228"/>
      <c r="K29" s="228"/>
      <c r="L29" s="228"/>
      <c r="M29" s="228"/>
      <c r="N29" s="57"/>
      <c r="O29" s="78"/>
      <c r="P29" s="39"/>
      <c r="Q29" s="77"/>
      <c r="R29" s="80"/>
      <c r="S29" s="181"/>
      <c r="T29" s="183"/>
      <c r="V29" s="2"/>
      <c r="AG29"/>
      <c r="AH29"/>
      <c r="AI29"/>
      <c r="AJ29"/>
      <c r="AK29" s="3"/>
      <c r="AL29" s="3"/>
      <c r="AM29" s="3"/>
      <c r="AN29" s="3"/>
      <c r="AO29"/>
      <c r="AP29"/>
      <c r="AQ29"/>
      <c r="AR29"/>
      <c r="AS29"/>
      <c r="AT29"/>
      <c r="AU29"/>
      <c r="AV29"/>
      <c r="AW29"/>
      <c r="AX29"/>
      <c r="AY29"/>
      <c r="AZ29"/>
      <c r="BA29"/>
      <c r="BB29"/>
      <c r="BC29"/>
      <c r="BD29"/>
      <c r="BE29"/>
      <c r="BF29"/>
      <c r="BG29"/>
      <c r="BH29"/>
      <c r="BI29"/>
      <c r="BJ29" s="3"/>
    </row>
    <row r="30" spans="1:62" ht="10.9" customHeight="1">
      <c r="A30" s="58"/>
      <c r="B30" s="58"/>
      <c r="C30" s="58"/>
      <c r="D30" s="59"/>
      <c r="E30" s="59"/>
      <c r="F30" s="59"/>
      <c r="G30" s="58"/>
      <c r="H30" s="58"/>
      <c r="I30" s="59"/>
      <c r="J30" s="59"/>
      <c r="K30" s="59"/>
      <c r="L30" s="59"/>
      <c r="M30" s="59"/>
      <c r="N30" s="59"/>
      <c r="P30" s="3"/>
      <c r="Q30" s="48"/>
      <c r="R30" s="3"/>
      <c r="S30" s="184"/>
      <c r="T30" s="184"/>
      <c r="U30" s="214"/>
      <c r="V30" s="214"/>
      <c r="W30" s="3"/>
      <c r="X30" s="3"/>
      <c r="Y30" s="3"/>
      <c r="Z30" s="3"/>
      <c r="AA30" s="3"/>
      <c r="AB30" s="3"/>
      <c r="AC30" s="214"/>
      <c r="AD30" s="214"/>
      <c r="AE30" s="3"/>
      <c r="AF30" s="3"/>
      <c r="AG30"/>
      <c r="AH30"/>
      <c r="AI30"/>
      <c r="AJ30"/>
      <c r="AK30" s="3"/>
      <c r="AL30" s="3"/>
      <c r="AM30" s="3"/>
      <c r="AN30" s="3"/>
      <c r="AO30"/>
      <c r="AP30"/>
      <c r="AQ30"/>
      <c r="AR30"/>
      <c r="AS30"/>
      <c r="AT30"/>
      <c r="AU30"/>
      <c r="AV30"/>
      <c r="AW30"/>
      <c r="AX30"/>
      <c r="AY30"/>
      <c r="AZ30"/>
      <c r="BA30"/>
      <c r="BB30"/>
      <c r="BC30"/>
      <c r="BD30"/>
      <c r="BE30"/>
      <c r="BF30"/>
      <c r="BG30"/>
      <c r="BH30"/>
      <c r="BI30"/>
      <c r="BJ30" s="3"/>
    </row>
    <row r="31" spans="1:62" ht="6" customHeight="1">
      <c r="A31" s="226">
        <v>3</v>
      </c>
      <c r="B31" s="56"/>
      <c r="C31" s="224" t="str">
        <f>INDEX(Riferimenti!$B$2:$B$60,A31)</f>
        <v>Isocitrico</v>
      </c>
      <c r="D31" s="224"/>
      <c r="E31" s="224"/>
      <c r="F31" s="224"/>
      <c r="G31" s="224"/>
      <c r="H31" s="224"/>
      <c r="I31" s="224"/>
      <c r="J31" s="224"/>
      <c r="K31" s="224"/>
      <c r="L31" s="224"/>
      <c r="M31" s="224"/>
      <c r="N31" s="224"/>
      <c r="O31" s="216">
        <f>INDEX(Riferimenti!$C$2:$C$65,A31)</f>
        <v>10.199999999999999</v>
      </c>
      <c r="P31" s="216" t="str">
        <f>INDEX(Riferimenti!$D$2:$D$66,A31)</f>
        <v>-</v>
      </c>
      <c r="Q31" s="217">
        <f>INDEX(Riferimenti!$E$2:$E$65,A31)</f>
        <v>58.9</v>
      </c>
      <c r="R31" s="225"/>
      <c r="S31" s="240"/>
      <c r="T31" s="240"/>
      <c r="V31" s="2"/>
      <c r="AG31" s="216">
        <f>INDEX(Riferimenti!$Q$2:$Q$60,A31)</f>
        <v>22.3</v>
      </c>
      <c r="AH31" s="216">
        <f>INDEX(Riferimenti!$R$2:$R$60,A31)</f>
        <v>46.7</v>
      </c>
      <c r="AI31"/>
      <c r="AJ31"/>
      <c r="AK31" s="241"/>
      <c r="AL31" s="241"/>
      <c r="AM31" s="241"/>
      <c r="AO31"/>
      <c r="AP31"/>
      <c r="AQ31"/>
      <c r="AR31"/>
      <c r="AS31"/>
      <c r="AT31"/>
      <c r="AU31"/>
      <c r="AV31"/>
      <c r="AW31"/>
      <c r="AX31"/>
      <c r="AY31"/>
      <c r="AZ31"/>
      <c r="BA31"/>
      <c r="BB31"/>
      <c r="BC31"/>
      <c r="BD31"/>
      <c r="BE31"/>
      <c r="BF31"/>
      <c r="BG31"/>
      <c r="BH31"/>
      <c r="BI31"/>
      <c r="BJ31" s="3"/>
    </row>
    <row r="32" spans="1:62" ht="5.45" customHeight="1">
      <c r="A32" s="226"/>
      <c r="B32" s="56"/>
      <c r="C32" s="224"/>
      <c r="D32" s="224"/>
      <c r="E32" s="224"/>
      <c r="F32" s="224"/>
      <c r="G32" s="224"/>
      <c r="H32" s="224"/>
      <c r="I32" s="224"/>
      <c r="J32" s="224"/>
      <c r="K32" s="224"/>
      <c r="L32" s="224"/>
      <c r="M32" s="224"/>
      <c r="N32" s="224"/>
      <c r="O32" s="216"/>
      <c r="P32" s="216"/>
      <c r="Q32" s="217"/>
      <c r="R32" s="225"/>
      <c r="S32" s="240"/>
      <c r="T32" s="240"/>
      <c r="U32"/>
      <c r="V32"/>
      <c r="W32"/>
      <c r="X32"/>
      <c r="Y32"/>
      <c r="Z32"/>
      <c r="AA32"/>
      <c r="AB32"/>
      <c r="AC32"/>
      <c r="AD32"/>
      <c r="AE32"/>
      <c r="AF32"/>
      <c r="AG32" s="216"/>
      <c r="AH32" s="216"/>
      <c r="AI32"/>
      <c r="AJ32"/>
      <c r="AK32" s="241"/>
      <c r="AL32" s="241"/>
      <c r="AM32" s="241"/>
      <c r="AN32" s="3"/>
      <c r="AO32"/>
      <c r="AP32"/>
      <c r="AQ32"/>
      <c r="AR32"/>
      <c r="AS32"/>
      <c r="AT32"/>
      <c r="AU32"/>
      <c r="AV32"/>
      <c r="AW32"/>
      <c r="AX32"/>
      <c r="AY32"/>
      <c r="AZ32"/>
      <c r="BA32"/>
      <c r="BB32"/>
      <c r="BC32"/>
      <c r="BD32"/>
      <c r="BE32"/>
      <c r="BF32"/>
      <c r="BG32"/>
      <c r="BH32"/>
      <c r="BI32"/>
      <c r="BJ32" s="3"/>
    </row>
    <row r="33" spans="1:62" ht="6" customHeight="1">
      <c r="A33" s="228"/>
      <c r="B33" s="228"/>
      <c r="C33" s="228"/>
      <c r="D33" s="228"/>
      <c r="E33" s="228"/>
      <c r="F33" s="228"/>
      <c r="G33" s="228"/>
      <c r="H33" s="228"/>
      <c r="I33" s="228"/>
      <c r="J33" s="228"/>
      <c r="K33" s="228"/>
      <c r="L33" s="228"/>
      <c r="M33" s="228"/>
      <c r="N33" s="57"/>
      <c r="O33" s="78"/>
      <c r="P33" s="39"/>
      <c r="Q33" s="77"/>
      <c r="R33" s="80"/>
      <c r="S33" s="181"/>
      <c r="T33" s="182"/>
      <c r="U33" s="26"/>
      <c r="V33" s="43"/>
      <c r="W33" s="43"/>
      <c r="X33" s="43"/>
      <c r="Y33" s="43"/>
      <c r="Z33" s="43"/>
      <c r="AA33" s="43"/>
      <c r="AB33" s="43"/>
      <c r="AC33" s="43"/>
      <c r="AD33" s="43"/>
      <c r="AE33" s="43"/>
      <c r="AF33" s="43"/>
      <c r="AG33"/>
      <c r="AH33"/>
      <c r="AI33"/>
      <c r="AJ33"/>
      <c r="AN33" s="43"/>
      <c r="AO33"/>
      <c r="AP33"/>
      <c r="AQ33"/>
      <c r="AR33"/>
      <c r="AS33"/>
      <c r="AT33"/>
      <c r="AU33"/>
      <c r="AV33"/>
      <c r="AW33"/>
      <c r="AX33"/>
      <c r="AY33"/>
      <c r="AZ33"/>
      <c r="BA33"/>
      <c r="BB33"/>
      <c r="BC33"/>
      <c r="BD33"/>
      <c r="BE33"/>
      <c r="BF33"/>
      <c r="BG33"/>
      <c r="BH33"/>
      <c r="BI33"/>
      <c r="BJ33" s="3"/>
    </row>
    <row r="34" spans="1:62" ht="6" customHeight="1">
      <c r="A34" s="228"/>
      <c r="B34" s="228"/>
      <c r="C34" s="228"/>
      <c r="D34" s="228"/>
      <c r="E34" s="228"/>
      <c r="F34" s="228"/>
      <c r="G34" s="228"/>
      <c r="H34" s="228"/>
      <c r="I34" s="228"/>
      <c r="J34" s="228"/>
      <c r="K34" s="228"/>
      <c r="L34" s="228"/>
      <c r="M34" s="228"/>
      <c r="N34" s="57"/>
      <c r="O34" s="78"/>
      <c r="P34" s="39"/>
      <c r="Q34" s="77"/>
      <c r="R34" s="80"/>
      <c r="S34" s="181"/>
      <c r="T34" s="183"/>
      <c r="V34" s="2"/>
      <c r="AG34"/>
      <c r="AH34"/>
      <c r="AI34"/>
      <c r="AJ34"/>
      <c r="AN34" s="3"/>
      <c r="AO34"/>
      <c r="AP34"/>
      <c r="AQ34"/>
      <c r="AR34"/>
      <c r="AS34"/>
      <c r="AT34"/>
      <c r="AU34"/>
      <c r="AV34"/>
      <c r="AW34"/>
      <c r="AX34"/>
      <c r="AY34"/>
      <c r="AZ34"/>
      <c r="BA34"/>
      <c r="BB34"/>
      <c r="BC34"/>
      <c r="BD34"/>
      <c r="BE34"/>
      <c r="BF34"/>
      <c r="BG34"/>
      <c r="BH34"/>
      <c r="BI34"/>
      <c r="BJ34" s="3"/>
    </row>
    <row r="35" spans="1:62" ht="10.9" customHeight="1">
      <c r="A35" s="58"/>
      <c r="B35" s="58"/>
      <c r="C35" s="58"/>
      <c r="D35" s="59"/>
      <c r="E35" s="59"/>
      <c r="F35" s="59"/>
      <c r="G35" s="58"/>
      <c r="H35" s="58"/>
      <c r="I35" s="59"/>
      <c r="J35" s="59"/>
      <c r="K35" s="59"/>
      <c r="L35" s="59"/>
      <c r="M35" s="59"/>
      <c r="N35" s="59"/>
      <c r="P35" s="3"/>
      <c r="Q35" s="48"/>
      <c r="R35" s="3"/>
      <c r="S35" s="184"/>
      <c r="T35" s="184"/>
      <c r="U35" s="214"/>
      <c r="V35" s="214"/>
      <c r="W35" s="3"/>
      <c r="X35" s="3"/>
      <c r="Y35" s="3"/>
      <c r="Z35" s="3"/>
      <c r="AA35" s="3"/>
      <c r="AB35" s="3"/>
      <c r="AC35" s="214"/>
      <c r="AD35" s="214"/>
      <c r="AE35" s="3"/>
      <c r="AF35" s="3"/>
      <c r="AG35"/>
      <c r="AH35"/>
      <c r="AI35"/>
      <c r="AJ35"/>
      <c r="AN35" s="3"/>
      <c r="AO35"/>
      <c r="AP35"/>
      <c r="AQ35"/>
      <c r="AR35"/>
      <c r="AS35"/>
      <c r="AT35"/>
      <c r="AU35"/>
      <c r="AV35"/>
      <c r="AW35"/>
      <c r="AX35"/>
      <c r="AY35"/>
      <c r="AZ35"/>
      <c r="BA35"/>
      <c r="BB35"/>
      <c r="BC35"/>
      <c r="BD35"/>
      <c r="BE35"/>
      <c r="BF35"/>
      <c r="BG35"/>
      <c r="BH35"/>
      <c r="BI35"/>
      <c r="BJ35" s="3"/>
    </row>
    <row r="36" spans="1:62" ht="6" customHeight="1">
      <c r="A36" s="226">
        <v>4</v>
      </c>
      <c r="B36" s="56"/>
      <c r="C36" s="224" t="str">
        <f>INDEX(Riferimenti!$B$2:$B$60,A36)</f>
        <v>2-Ossoglutarico</v>
      </c>
      <c r="D36" s="224"/>
      <c r="E36" s="224"/>
      <c r="F36" s="224"/>
      <c r="G36" s="224"/>
      <c r="H36" s="224"/>
      <c r="I36" s="224"/>
      <c r="J36" s="224"/>
      <c r="K36" s="224"/>
      <c r="L36" s="224"/>
      <c r="M36" s="224"/>
      <c r="N36" s="224"/>
      <c r="O36" s="216">
        <f>INDEX(Riferimenti!$C$2:$C$65,A36)</f>
        <v>3.2</v>
      </c>
      <c r="P36" s="216" t="str">
        <f>INDEX(Riferimenti!$D$2:$D$66,A36)</f>
        <v>-</v>
      </c>
      <c r="Q36" s="227">
        <f>INDEX(Riferimenti!$E$2:$E$65,A36)</f>
        <v>31.1</v>
      </c>
      <c r="R36" s="225"/>
      <c r="S36" s="240"/>
      <c r="T36" s="240"/>
      <c r="V36" s="2"/>
      <c r="AG36" s="216">
        <f>INDEX(Riferimenti!$Q$2:$Q$60,A36)</f>
        <v>10.199999999999999</v>
      </c>
      <c r="AH36" s="216">
        <f>INDEX(Riferimenti!$R$2:$R$60,A36)</f>
        <v>24.2</v>
      </c>
      <c r="AI36"/>
      <c r="AJ36"/>
      <c r="AK36" s="241"/>
      <c r="AL36" s="241"/>
      <c r="AM36" s="241"/>
      <c r="AO36"/>
      <c r="AP36"/>
      <c r="AQ36"/>
      <c r="AR36"/>
      <c r="AS36"/>
      <c r="AT36"/>
      <c r="AU36"/>
      <c r="AV36"/>
      <c r="AW36"/>
      <c r="AX36"/>
      <c r="AY36"/>
      <c r="AZ36"/>
      <c r="BA36"/>
      <c r="BB36"/>
      <c r="BC36"/>
      <c r="BD36"/>
      <c r="BE36"/>
      <c r="BF36"/>
      <c r="BG36"/>
      <c r="BH36"/>
      <c r="BI36"/>
      <c r="BJ36" s="3"/>
    </row>
    <row r="37" spans="1:62" ht="5.45" customHeight="1">
      <c r="A37" s="226"/>
      <c r="B37" s="56"/>
      <c r="C37" s="224"/>
      <c r="D37" s="224"/>
      <c r="E37" s="224"/>
      <c r="F37" s="224"/>
      <c r="G37" s="224"/>
      <c r="H37" s="224"/>
      <c r="I37" s="224"/>
      <c r="J37" s="224"/>
      <c r="K37" s="224"/>
      <c r="L37" s="224"/>
      <c r="M37" s="224"/>
      <c r="N37" s="224"/>
      <c r="O37" s="216"/>
      <c r="P37" s="216"/>
      <c r="Q37" s="227"/>
      <c r="R37" s="225"/>
      <c r="S37" s="240"/>
      <c r="T37" s="240"/>
      <c r="U37"/>
      <c r="V37"/>
      <c r="W37"/>
      <c r="X37"/>
      <c r="Y37"/>
      <c r="Z37"/>
      <c r="AA37"/>
      <c r="AB37"/>
      <c r="AC37"/>
      <c r="AD37"/>
      <c r="AE37"/>
      <c r="AF37"/>
      <c r="AG37" s="216"/>
      <c r="AH37" s="216"/>
      <c r="AI37"/>
      <c r="AJ37"/>
      <c r="AK37" s="241"/>
      <c r="AL37" s="241"/>
      <c r="AM37" s="241"/>
      <c r="AN37" s="3"/>
      <c r="AO37"/>
      <c r="AP37"/>
      <c r="AQ37"/>
      <c r="AR37"/>
      <c r="AS37"/>
      <c r="AT37"/>
      <c r="AU37"/>
      <c r="AV37"/>
      <c r="AW37"/>
      <c r="AX37"/>
      <c r="AY37"/>
      <c r="AZ37"/>
      <c r="BA37"/>
      <c r="BB37"/>
      <c r="BC37"/>
      <c r="BD37"/>
      <c r="BE37"/>
      <c r="BF37"/>
      <c r="BG37"/>
      <c r="BH37"/>
      <c r="BI37"/>
      <c r="BJ37" s="3"/>
    </row>
    <row r="38" spans="1:62" ht="6" customHeight="1">
      <c r="A38" s="228"/>
      <c r="B38" s="228"/>
      <c r="C38" s="228"/>
      <c r="D38" s="228"/>
      <c r="E38" s="228"/>
      <c r="F38" s="228"/>
      <c r="G38" s="228"/>
      <c r="H38" s="228"/>
      <c r="I38" s="228"/>
      <c r="J38" s="228"/>
      <c r="K38" s="228"/>
      <c r="L38" s="228"/>
      <c r="M38" s="228"/>
      <c r="N38" s="57"/>
      <c r="O38" s="78"/>
      <c r="P38" s="39"/>
      <c r="Q38" s="77"/>
      <c r="R38" s="80"/>
      <c r="S38" s="181"/>
      <c r="T38" s="182"/>
      <c r="U38" s="26"/>
      <c r="V38" s="43"/>
      <c r="W38" s="43"/>
      <c r="X38" s="43"/>
      <c r="Y38" s="43"/>
      <c r="Z38" s="43"/>
      <c r="AA38" s="43"/>
      <c r="AB38" s="43"/>
      <c r="AC38" s="43"/>
      <c r="AD38" s="43"/>
      <c r="AE38" s="43"/>
      <c r="AF38" s="43"/>
      <c r="AG38"/>
      <c r="AH38"/>
      <c r="AI38"/>
      <c r="AJ38"/>
      <c r="AN38" s="43"/>
      <c r="AO38"/>
      <c r="AP38"/>
      <c r="AQ38"/>
      <c r="AR38"/>
      <c r="AS38"/>
      <c r="AT38"/>
      <c r="AU38"/>
      <c r="AV38"/>
      <c r="AW38"/>
      <c r="AX38"/>
      <c r="AY38"/>
      <c r="AZ38"/>
      <c r="BA38"/>
      <c r="BB38"/>
      <c r="BC38"/>
      <c r="BD38"/>
      <c r="BE38"/>
      <c r="BF38"/>
      <c r="BG38"/>
      <c r="BH38"/>
      <c r="BI38"/>
      <c r="BJ38" s="3"/>
    </row>
    <row r="39" spans="1:62" ht="6" customHeight="1">
      <c r="A39" s="228"/>
      <c r="B39" s="228"/>
      <c r="C39" s="228"/>
      <c r="D39" s="228"/>
      <c r="E39" s="228"/>
      <c r="F39" s="228"/>
      <c r="G39" s="228"/>
      <c r="H39" s="228"/>
      <c r="I39" s="228"/>
      <c r="J39" s="228"/>
      <c r="K39" s="228"/>
      <c r="L39" s="228"/>
      <c r="M39" s="228"/>
      <c r="N39" s="57"/>
      <c r="O39" s="78"/>
      <c r="P39" s="39"/>
      <c r="Q39" s="77"/>
      <c r="R39" s="80"/>
      <c r="S39" s="181"/>
      <c r="T39" s="183"/>
      <c r="V39" s="2"/>
      <c r="AG39"/>
      <c r="AH39"/>
      <c r="AI39"/>
      <c r="AJ39"/>
      <c r="AN39" s="3"/>
      <c r="AO39"/>
      <c r="AP39"/>
      <c r="AQ39"/>
      <c r="AR39"/>
      <c r="AS39"/>
      <c r="AT39"/>
      <c r="AU39"/>
      <c r="AV39"/>
      <c r="AW39"/>
      <c r="AX39"/>
      <c r="AY39"/>
      <c r="AZ39"/>
      <c r="BA39"/>
      <c r="BB39"/>
      <c r="BC39"/>
      <c r="BD39"/>
      <c r="BE39"/>
      <c r="BF39"/>
      <c r="BG39"/>
      <c r="BH39"/>
      <c r="BI39"/>
      <c r="BJ39" s="3"/>
    </row>
    <row r="40" spans="1:62" ht="10.9" customHeight="1">
      <c r="A40" s="58"/>
      <c r="B40" s="58"/>
      <c r="C40" s="58"/>
      <c r="D40" s="59"/>
      <c r="E40" s="59"/>
      <c r="F40" s="59"/>
      <c r="G40" s="58"/>
      <c r="H40" s="58"/>
      <c r="I40" s="59"/>
      <c r="J40" s="59"/>
      <c r="K40" s="59"/>
      <c r="L40" s="59"/>
      <c r="M40" s="59"/>
      <c r="N40" s="59"/>
      <c r="P40" s="3"/>
      <c r="Q40" s="48"/>
      <c r="R40" s="3"/>
      <c r="S40" s="184"/>
      <c r="T40" s="184"/>
      <c r="U40" s="214"/>
      <c r="V40" s="214"/>
      <c r="W40" s="3"/>
      <c r="X40" s="3"/>
      <c r="Y40" s="3"/>
      <c r="Z40" s="3"/>
      <c r="AA40" s="3"/>
      <c r="AB40" s="3"/>
      <c r="AC40" s="214"/>
      <c r="AD40" s="214"/>
      <c r="AE40" s="3"/>
      <c r="AF40" s="3"/>
      <c r="AG40"/>
      <c r="AH40"/>
      <c r="AI40"/>
      <c r="AJ40"/>
      <c r="AN40" s="3"/>
      <c r="AO40"/>
      <c r="AP40"/>
      <c r="AQ40"/>
      <c r="AR40"/>
      <c r="AS40"/>
      <c r="AT40"/>
      <c r="AU40"/>
      <c r="AV40"/>
      <c r="AW40"/>
      <c r="AX40"/>
      <c r="AY40"/>
      <c r="AZ40"/>
      <c r="BA40"/>
      <c r="BB40"/>
      <c r="BC40"/>
      <c r="BD40"/>
      <c r="BE40"/>
      <c r="BF40"/>
      <c r="BG40"/>
      <c r="BH40"/>
      <c r="BI40"/>
      <c r="BJ40" s="3"/>
    </row>
    <row r="41" spans="1:62" ht="6" customHeight="1">
      <c r="A41" s="226">
        <v>5</v>
      </c>
      <c r="B41" s="56"/>
      <c r="C41" s="224" t="str">
        <f>INDEX(Riferimenti!$B$2:$B$60,A41)</f>
        <v>Succinico</v>
      </c>
      <c r="D41" s="224"/>
      <c r="E41" s="224"/>
      <c r="F41" s="224"/>
      <c r="G41" s="224"/>
      <c r="H41" s="224"/>
      <c r="I41" s="224"/>
      <c r="J41" s="224"/>
      <c r="K41" s="224"/>
      <c r="L41" s="224"/>
      <c r="M41" s="224"/>
      <c r="N41" s="224"/>
      <c r="O41" s="216" t="str">
        <f>IF(INDEX(Riferimenti!$C$2:$C$66,A41)&gt;0,INDEX(Riferimenti!$C$2:$C$66,A41),"")</f>
        <v/>
      </c>
      <c r="P41" s="216" t="str">
        <f>INDEX(Riferimenti!$D$2:$D$66,A41)</f>
        <v>≤</v>
      </c>
      <c r="Q41" s="227">
        <f>INDEX(Riferimenti!$E$2:$E$65,A41)</f>
        <v>1.7</v>
      </c>
      <c r="R41" s="225"/>
      <c r="S41" s="240"/>
      <c r="T41" s="240"/>
      <c r="V41" s="2"/>
      <c r="AG41" s="216">
        <f>INDEX(Riferimenti!$Q$2:$Q$60,A41)</f>
        <v>0.2</v>
      </c>
      <c r="AH41" s="216">
        <f>INDEX(Riferimenti!$R$2:$R$60,A41)</f>
        <v>1.2</v>
      </c>
      <c r="AI41"/>
      <c r="AJ41"/>
      <c r="AK41" s="241"/>
      <c r="AL41" s="241"/>
      <c r="AM41" s="241"/>
      <c r="AO41"/>
      <c r="AP41"/>
      <c r="AQ41"/>
      <c r="AR41"/>
      <c r="AS41"/>
      <c r="AT41"/>
      <c r="AU41"/>
      <c r="AV41"/>
      <c r="AW41"/>
      <c r="AX41"/>
      <c r="AY41"/>
      <c r="AZ41"/>
      <c r="BA41"/>
      <c r="BB41"/>
      <c r="BC41"/>
      <c r="BD41"/>
      <c r="BE41"/>
      <c r="BF41"/>
      <c r="BG41"/>
      <c r="BH41"/>
      <c r="BI41"/>
      <c r="BJ41" s="3"/>
    </row>
    <row r="42" spans="1:62" ht="5.45" customHeight="1">
      <c r="A42" s="226"/>
      <c r="B42" s="56"/>
      <c r="C42" s="224"/>
      <c r="D42" s="224"/>
      <c r="E42" s="224"/>
      <c r="F42" s="224"/>
      <c r="G42" s="224"/>
      <c r="H42" s="224"/>
      <c r="I42" s="224"/>
      <c r="J42" s="224"/>
      <c r="K42" s="224"/>
      <c r="L42" s="224"/>
      <c r="M42" s="224"/>
      <c r="N42" s="224"/>
      <c r="O42" s="216"/>
      <c r="P42" s="216"/>
      <c r="Q42" s="227"/>
      <c r="R42" s="225"/>
      <c r="S42" s="240"/>
      <c r="T42" s="240"/>
      <c r="U42"/>
      <c r="V42"/>
      <c r="W42"/>
      <c r="X42"/>
      <c r="Y42"/>
      <c r="Z42"/>
      <c r="AA42"/>
      <c r="AB42"/>
      <c r="AC42"/>
      <c r="AD42"/>
      <c r="AE42"/>
      <c r="AF42"/>
      <c r="AG42" s="216"/>
      <c r="AH42" s="216"/>
      <c r="AI42"/>
      <c r="AJ42"/>
      <c r="AK42" s="241"/>
      <c r="AL42" s="241"/>
      <c r="AM42" s="241"/>
      <c r="AN42" s="3"/>
      <c r="AO42"/>
      <c r="AP42"/>
      <c r="AQ42"/>
      <c r="AR42"/>
      <c r="AS42"/>
      <c r="AT42"/>
      <c r="AU42"/>
      <c r="AV42"/>
      <c r="AW42"/>
      <c r="AX42"/>
      <c r="AY42"/>
      <c r="AZ42"/>
      <c r="BA42"/>
      <c r="BB42"/>
      <c r="BC42"/>
      <c r="BD42"/>
      <c r="BE42"/>
      <c r="BF42"/>
      <c r="BG42"/>
      <c r="BH42"/>
      <c r="BI42"/>
      <c r="BJ42" s="3"/>
    </row>
    <row r="43" spans="1:62" ht="6" customHeight="1">
      <c r="A43" s="228"/>
      <c r="B43" s="228"/>
      <c r="C43" s="228"/>
      <c r="D43" s="228"/>
      <c r="E43" s="228"/>
      <c r="F43" s="228"/>
      <c r="G43" s="228"/>
      <c r="H43" s="228"/>
      <c r="I43" s="228"/>
      <c r="J43" s="228"/>
      <c r="K43" s="228"/>
      <c r="L43" s="228"/>
      <c r="M43" s="228"/>
      <c r="N43" s="57"/>
      <c r="O43" s="78"/>
      <c r="P43" s="39"/>
      <c r="Q43" s="77"/>
      <c r="R43" s="80"/>
      <c r="S43" s="181"/>
      <c r="T43" s="182"/>
      <c r="U43" s="26"/>
      <c r="V43" s="43"/>
      <c r="W43" s="43"/>
      <c r="X43" s="43"/>
      <c r="Y43" s="43"/>
      <c r="Z43" s="43"/>
      <c r="AA43" s="43"/>
      <c r="AB43" s="43"/>
      <c r="AC43" s="43"/>
      <c r="AD43" s="43"/>
      <c r="AE43" s="43"/>
      <c r="AF43" s="43"/>
      <c r="AG43"/>
      <c r="AH43"/>
      <c r="AI43"/>
      <c r="AJ43"/>
      <c r="AN43" s="43"/>
      <c r="AO43"/>
      <c r="AP43"/>
      <c r="AQ43"/>
      <c r="AR43"/>
      <c r="AS43"/>
      <c r="AT43"/>
      <c r="AU43"/>
      <c r="AV43"/>
      <c r="AW43"/>
      <c r="AX43"/>
      <c r="AY43"/>
      <c r="AZ43"/>
      <c r="BA43"/>
      <c r="BB43"/>
      <c r="BC43"/>
      <c r="BD43"/>
      <c r="BE43"/>
      <c r="BF43"/>
      <c r="BG43"/>
      <c r="BH43"/>
      <c r="BI43"/>
      <c r="BJ43" s="3"/>
    </row>
    <row r="44" spans="1:62" ht="6" customHeight="1">
      <c r="A44" s="228"/>
      <c r="B44" s="228"/>
      <c r="C44" s="228"/>
      <c r="D44" s="228"/>
      <c r="E44" s="228"/>
      <c r="F44" s="228"/>
      <c r="G44" s="228"/>
      <c r="H44" s="228"/>
      <c r="I44" s="228"/>
      <c r="J44" s="228"/>
      <c r="K44" s="228"/>
      <c r="L44" s="228"/>
      <c r="M44" s="228"/>
      <c r="N44" s="57"/>
      <c r="O44" s="78"/>
      <c r="P44" s="39"/>
      <c r="Q44" s="77"/>
      <c r="R44" s="80"/>
      <c r="S44" s="181"/>
      <c r="T44" s="183"/>
      <c r="V44" s="2"/>
      <c r="AG44"/>
      <c r="AH44"/>
      <c r="AI44"/>
      <c r="AJ44"/>
      <c r="AN44" s="3"/>
      <c r="AO44"/>
      <c r="AP44"/>
      <c r="AQ44"/>
      <c r="AR44"/>
      <c r="AS44"/>
      <c r="AT44"/>
      <c r="AU44"/>
      <c r="AV44"/>
      <c r="AW44"/>
      <c r="AX44"/>
      <c r="AY44"/>
      <c r="AZ44"/>
      <c r="BA44"/>
      <c r="BB44"/>
      <c r="BC44"/>
      <c r="BD44"/>
      <c r="BE44"/>
      <c r="BF44"/>
      <c r="BG44"/>
      <c r="BH44"/>
      <c r="BI44"/>
      <c r="BJ44" s="3"/>
    </row>
    <row r="45" spans="1:62" ht="10.9" customHeight="1">
      <c r="A45" s="58"/>
      <c r="B45" s="58"/>
      <c r="C45" s="58"/>
      <c r="D45" s="59"/>
      <c r="E45" s="59"/>
      <c r="F45" s="59"/>
      <c r="G45" s="58"/>
      <c r="H45" s="58"/>
      <c r="I45" s="59"/>
      <c r="J45" s="59"/>
      <c r="K45" s="59"/>
      <c r="L45" s="59"/>
      <c r="M45" s="59"/>
      <c r="N45" s="59"/>
      <c r="P45" s="3"/>
      <c r="Q45" s="48"/>
      <c r="R45" s="3"/>
      <c r="S45" s="184"/>
      <c r="T45" s="184"/>
      <c r="U45" s="214"/>
      <c r="V45" s="214"/>
      <c r="W45" s="3"/>
      <c r="X45" s="3"/>
      <c r="Y45" s="3"/>
      <c r="Z45" s="3"/>
      <c r="AA45" s="3"/>
      <c r="AB45" s="3"/>
      <c r="AC45" s="214"/>
      <c r="AD45" s="214"/>
      <c r="AE45" s="3"/>
      <c r="AF45" s="3"/>
      <c r="AG45"/>
      <c r="AH45"/>
      <c r="AI45"/>
      <c r="AJ45"/>
      <c r="AN45" s="3"/>
      <c r="AO45"/>
      <c r="AP45"/>
      <c r="AQ45"/>
      <c r="AR45"/>
      <c r="AS45"/>
      <c r="AT45"/>
      <c r="AU45"/>
      <c r="AV45"/>
      <c r="AW45"/>
      <c r="AX45"/>
      <c r="AY45"/>
      <c r="AZ45"/>
      <c r="BA45"/>
      <c r="BB45"/>
      <c r="BC45"/>
      <c r="BD45"/>
      <c r="BE45"/>
      <c r="BF45"/>
      <c r="BG45"/>
      <c r="BH45"/>
      <c r="BI45"/>
      <c r="BJ45" s="3"/>
    </row>
    <row r="46" spans="1:62" ht="6" customHeight="1">
      <c r="A46" s="226">
        <v>6</v>
      </c>
      <c r="B46" s="56"/>
      <c r="C46" s="224" t="str">
        <f>INDEX(Riferimenti!$B$2:$B$60,A46)</f>
        <v>Fumarico</v>
      </c>
      <c r="D46" s="224"/>
      <c r="E46" s="224"/>
      <c r="F46" s="224"/>
      <c r="G46" s="224"/>
      <c r="H46" s="224"/>
      <c r="I46" s="224"/>
      <c r="J46" s="224"/>
      <c r="K46" s="224"/>
      <c r="L46" s="224"/>
      <c r="M46" s="224"/>
      <c r="N46" s="224"/>
      <c r="O46" s="216" t="str">
        <f>IF(INDEX(Riferimenti!$C$2:$C$66,A46)&gt;0,INDEX(Riferimenti!$C$2:$C$66,A46),"")</f>
        <v/>
      </c>
      <c r="P46" s="216" t="str">
        <f>INDEX(Riferimenti!$D$2:$D$66,A46)</f>
        <v>≤</v>
      </c>
      <c r="Q46" s="227">
        <f>INDEX(Riferimenti!$E$2:$E$66,A46)</f>
        <v>2.2999999999999998</v>
      </c>
      <c r="R46" s="225"/>
      <c r="S46" s="240"/>
      <c r="T46" s="240"/>
      <c r="V46" s="2"/>
      <c r="AG46" s="216">
        <f>INDEX(Riferimenti!$Q$2:$Q$60,A46)</f>
        <v>0.2</v>
      </c>
      <c r="AH46" s="216">
        <f>INDEX(Riferimenti!$R$2:$R$60,A46)</f>
        <v>1.6</v>
      </c>
      <c r="AI46"/>
      <c r="AJ46"/>
      <c r="AK46" s="241"/>
      <c r="AL46" s="241"/>
      <c r="AM46" s="241"/>
      <c r="AO46"/>
      <c r="AP46"/>
      <c r="AQ46"/>
      <c r="AR46"/>
      <c r="AS46"/>
      <c r="AT46"/>
      <c r="AU46"/>
      <c r="AV46"/>
      <c r="AW46"/>
      <c r="AX46"/>
      <c r="AY46"/>
      <c r="AZ46"/>
      <c r="BA46"/>
      <c r="BB46"/>
      <c r="BC46"/>
      <c r="BD46"/>
      <c r="BE46"/>
      <c r="BF46"/>
      <c r="BG46"/>
      <c r="BH46"/>
      <c r="BI46"/>
      <c r="BJ46" s="3"/>
    </row>
    <row r="47" spans="1:62" ht="5.45" customHeight="1">
      <c r="A47" s="226"/>
      <c r="B47" s="56"/>
      <c r="C47" s="224"/>
      <c r="D47" s="224"/>
      <c r="E47" s="224"/>
      <c r="F47" s="224"/>
      <c r="G47" s="224"/>
      <c r="H47" s="224"/>
      <c r="I47" s="224"/>
      <c r="J47" s="224"/>
      <c r="K47" s="224"/>
      <c r="L47" s="224"/>
      <c r="M47" s="224"/>
      <c r="N47" s="224"/>
      <c r="O47" s="216"/>
      <c r="P47" s="216"/>
      <c r="Q47" s="227"/>
      <c r="R47" s="225"/>
      <c r="S47" s="240"/>
      <c r="T47" s="240"/>
      <c r="U47"/>
      <c r="V47"/>
      <c r="W47"/>
      <c r="X47"/>
      <c r="Y47"/>
      <c r="Z47"/>
      <c r="AA47"/>
      <c r="AB47"/>
      <c r="AC47"/>
      <c r="AD47"/>
      <c r="AE47"/>
      <c r="AF47"/>
      <c r="AG47" s="216"/>
      <c r="AH47" s="216"/>
      <c r="AI47"/>
      <c r="AJ47"/>
      <c r="AK47" s="241"/>
      <c r="AL47" s="241"/>
      <c r="AM47" s="241"/>
      <c r="AN47" s="3"/>
      <c r="AO47"/>
      <c r="AP47"/>
      <c r="AQ47"/>
      <c r="AR47"/>
      <c r="AS47"/>
      <c r="AT47"/>
      <c r="AU47"/>
      <c r="AV47"/>
      <c r="AW47"/>
      <c r="AX47"/>
      <c r="AY47"/>
      <c r="AZ47"/>
      <c r="BA47"/>
      <c r="BB47"/>
      <c r="BC47"/>
      <c r="BD47"/>
      <c r="BE47"/>
      <c r="BF47"/>
      <c r="BG47"/>
      <c r="BH47"/>
      <c r="BI47"/>
      <c r="BJ47" s="3"/>
    </row>
    <row r="48" spans="1:62" ht="6" customHeight="1">
      <c r="A48" s="228"/>
      <c r="B48" s="228"/>
      <c r="C48" s="228"/>
      <c r="D48" s="228"/>
      <c r="E48" s="228"/>
      <c r="F48" s="228"/>
      <c r="G48" s="228"/>
      <c r="H48" s="228"/>
      <c r="I48" s="228"/>
      <c r="J48" s="228"/>
      <c r="K48" s="228"/>
      <c r="L48" s="228"/>
      <c r="M48" s="228"/>
      <c r="N48" s="57"/>
      <c r="O48" s="78"/>
      <c r="P48" s="39"/>
      <c r="Q48" s="77"/>
      <c r="R48" s="80"/>
      <c r="S48" s="181"/>
      <c r="T48" s="182"/>
      <c r="U48" s="26"/>
      <c r="V48" s="43"/>
      <c r="W48" s="43"/>
      <c r="X48" s="43"/>
      <c r="Y48" s="43"/>
      <c r="Z48" s="43"/>
      <c r="AA48" s="43"/>
      <c r="AB48" s="43"/>
      <c r="AC48" s="43"/>
      <c r="AD48" s="43"/>
      <c r="AE48" s="43"/>
      <c r="AF48" s="43"/>
      <c r="AG48"/>
      <c r="AH48"/>
      <c r="AI48"/>
      <c r="AJ48"/>
      <c r="AN48" s="43"/>
      <c r="AO48"/>
      <c r="AP48"/>
      <c r="AQ48"/>
      <c r="AR48"/>
      <c r="AS48"/>
      <c r="AT48"/>
      <c r="AU48"/>
      <c r="AV48"/>
      <c r="AW48"/>
      <c r="AX48"/>
      <c r="AY48"/>
      <c r="AZ48"/>
      <c r="BA48"/>
      <c r="BB48"/>
      <c r="BC48"/>
      <c r="BD48"/>
      <c r="BE48"/>
      <c r="BF48"/>
      <c r="BG48"/>
      <c r="BH48"/>
      <c r="BI48"/>
      <c r="BJ48" s="3"/>
    </row>
    <row r="49" spans="1:63" ht="6" customHeight="1">
      <c r="A49" s="228"/>
      <c r="B49" s="228"/>
      <c r="C49" s="228"/>
      <c r="D49" s="228"/>
      <c r="E49" s="228"/>
      <c r="F49" s="228"/>
      <c r="G49" s="228"/>
      <c r="H49" s="228"/>
      <c r="I49" s="228"/>
      <c r="J49" s="228"/>
      <c r="K49" s="228"/>
      <c r="L49" s="228"/>
      <c r="M49" s="228"/>
      <c r="N49" s="57"/>
      <c r="O49" s="78"/>
      <c r="P49" s="39"/>
      <c r="Q49" s="77"/>
      <c r="R49" s="80"/>
      <c r="S49" s="181"/>
      <c r="T49" s="183"/>
      <c r="V49" s="2"/>
      <c r="AG49"/>
      <c r="AH49"/>
      <c r="AI49"/>
      <c r="AJ49"/>
      <c r="AN49" s="3"/>
      <c r="AO49"/>
      <c r="AP49"/>
      <c r="AQ49"/>
      <c r="AR49"/>
      <c r="AS49"/>
      <c r="AT49"/>
      <c r="AU49"/>
      <c r="AV49"/>
      <c r="AW49"/>
      <c r="AX49"/>
      <c r="AY49"/>
      <c r="AZ49"/>
      <c r="BA49"/>
      <c r="BB49"/>
      <c r="BC49"/>
      <c r="BD49"/>
      <c r="BE49"/>
      <c r="BF49"/>
      <c r="BG49"/>
      <c r="BH49"/>
      <c r="BI49"/>
      <c r="BJ49" s="3"/>
    </row>
    <row r="50" spans="1:63" ht="10.9" customHeight="1">
      <c r="A50" s="58"/>
      <c r="B50" s="58"/>
      <c r="C50" s="58"/>
      <c r="D50" s="59"/>
      <c r="E50" s="59"/>
      <c r="F50" s="59"/>
      <c r="G50" s="58"/>
      <c r="H50" s="58"/>
      <c r="I50" s="59"/>
      <c r="J50" s="59"/>
      <c r="K50" s="59"/>
      <c r="L50" s="59"/>
      <c r="M50" s="59"/>
      <c r="N50" s="59"/>
      <c r="P50" s="3"/>
      <c r="Q50" s="48"/>
      <c r="R50" s="3"/>
      <c r="S50" s="184"/>
      <c r="T50" s="184"/>
      <c r="U50" s="214"/>
      <c r="V50" s="214"/>
      <c r="W50" s="3"/>
      <c r="X50" s="3"/>
      <c r="Y50" s="3"/>
      <c r="Z50" s="3"/>
      <c r="AA50" s="3"/>
      <c r="AB50" s="3"/>
      <c r="AC50" s="214"/>
      <c r="AD50" s="214"/>
      <c r="AE50" s="3"/>
      <c r="AF50" s="3"/>
      <c r="AG50"/>
      <c r="AH50"/>
      <c r="AI50"/>
      <c r="AJ50"/>
      <c r="AN50" s="3"/>
      <c r="AO50"/>
      <c r="AP50"/>
      <c r="AQ50"/>
      <c r="AR50"/>
      <c r="AS50"/>
      <c r="AT50"/>
      <c r="AU50"/>
      <c r="AV50"/>
      <c r="AW50"/>
      <c r="AX50"/>
      <c r="AY50"/>
      <c r="AZ50"/>
      <c r="BA50"/>
      <c r="BB50"/>
      <c r="BC50"/>
      <c r="BD50"/>
      <c r="BE50"/>
      <c r="BF50"/>
      <c r="BG50"/>
      <c r="BH50"/>
      <c r="BI50"/>
      <c r="BJ50" s="3"/>
    </row>
    <row r="51" spans="1:63" ht="6" customHeight="1">
      <c r="A51" s="226">
        <v>7</v>
      </c>
      <c r="B51" s="56"/>
      <c r="C51" s="224" t="str">
        <f>INDEX(Riferimenti!$B$2:$B$60,A51)</f>
        <v>Malico</v>
      </c>
      <c r="D51" s="224"/>
      <c r="E51" s="224"/>
      <c r="F51" s="224"/>
      <c r="G51" s="224"/>
      <c r="H51" s="224"/>
      <c r="I51" s="224"/>
      <c r="J51" s="224"/>
      <c r="K51" s="224"/>
      <c r="L51" s="224"/>
      <c r="M51" s="224"/>
      <c r="N51" s="224"/>
      <c r="O51" s="216">
        <f>IF(INDEX(Riferimenti!$C$2:$C$66,A51)&gt;0,INDEX(Riferimenti!$C$2:$C$66,A51),"")</f>
        <v>0.3</v>
      </c>
      <c r="P51" s="216" t="str">
        <f>INDEX(Riferimenti!$D$2:$D$66,A51)</f>
        <v>-</v>
      </c>
      <c r="Q51" s="227">
        <f>INDEX(Riferimenti!$E$2:$E$65,A51)</f>
        <v>1.4</v>
      </c>
      <c r="R51" s="225"/>
      <c r="S51" s="240"/>
      <c r="T51" s="240"/>
      <c r="V51" s="2"/>
      <c r="AG51" s="216">
        <f>INDEX(Riferimenti!$Q$2:$Q$60,A51)</f>
        <v>0.1</v>
      </c>
      <c r="AH51" s="216">
        <f>INDEX(Riferimenti!$R$2:$R$60,A51)</f>
        <v>1</v>
      </c>
      <c r="AI51"/>
      <c r="AJ51"/>
      <c r="AK51" s="241"/>
      <c r="AL51" s="241"/>
      <c r="AM51" s="241"/>
      <c r="AO51"/>
      <c r="AP51"/>
      <c r="AQ51"/>
      <c r="AR51"/>
      <c r="AS51"/>
      <c r="AT51"/>
      <c r="AU51"/>
      <c r="AV51"/>
      <c r="AW51"/>
      <c r="AX51"/>
      <c r="AY51"/>
      <c r="AZ51"/>
      <c r="BA51"/>
      <c r="BB51"/>
      <c r="BC51"/>
      <c r="BD51"/>
      <c r="BE51"/>
      <c r="BF51"/>
      <c r="BG51"/>
      <c r="BH51"/>
      <c r="BI51"/>
      <c r="BJ51" s="3"/>
    </row>
    <row r="52" spans="1:63" ht="5.45" customHeight="1">
      <c r="A52" s="226"/>
      <c r="B52" s="56"/>
      <c r="C52" s="224"/>
      <c r="D52" s="224"/>
      <c r="E52" s="224"/>
      <c r="F52" s="224"/>
      <c r="G52" s="224"/>
      <c r="H52" s="224"/>
      <c r="I52" s="224"/>
      <c r="J52" s="224"/>
      <c r="K52" s="224"/>
      <c r="L52" s="224"/>
      <c r="M52" s="224"/>
      <c r="N52" s="224"/>
      <c r="O52" s="216"/>
      <c r="P52" s="216"/>
      <c r="Q52" s="227"/>
      <c r="R52" s="225"/>
      <c r="S52" s="240"/>
      <c r="T52" s="240"/>
      <c r="U52"/>
      <c r="V52"/>
      <c r="W52"/>
      <c r="X52"/>
      <c r="Y52"/>
      <c r="Z52"/>
      <c r="AA52"/>
      <c r="AB52"/>
      <c r="AC52"/>
      <c r="AD52"/>
      <c r="AE52"/>
      <c r="AF52"/>
      <c r="AG52" s="216"/>
      <c r="AH52" s="216"/>
      <c r="AI52"/>
      <c r="AJ52"/>
      <c r="AK52" s="241"/>
      <c r="AL52" s="241"/>
      <c r="AM52" s="241"/>
      <c r="AN52" s="3"/>
      <c r="AO52"/>
      <c r="AP52"/>
      <c r="AQ52"/>
      <c r="AR52"/>
      <c r="AS52"/>
      <c r="AT52"/>
      <c r="AU52"/>
      <c r="AV52"/>
      <c r="AW52"/>
      <c r="AX52"/>
      <c r="AY52"/>
      <c r="AZ52"/>
      <c r="BA52"/>
      <c r="BB52"/>
      <c r="BC52"/>
      <c r="BD52"/>
      <c r="BE52"/>
      <c r="BF52"/>
      <c r="BG52"/>
      <c r="BH52"/>
      <c r="BI52"/>
      <c r="BJ52" s="3"/>
    </row>
    <row r="53" spans="1:63" ht="6" customHeight="1">
      <c r="A53" s="242"/>
      <c r="B53" s="242"/>
      <c r="C53" s="242"/>
      <c r="D53" s="242"/>
      <c r="E53" s="242"/>
      <c r="F53" s="242"/>
      <c r="G53" s="242"/>
      <c r="H53" s="242"/>
      <c r="I53" s="242"/>
      <c r="J53" s="242"/>
      <c r="K53" s="242"/>
      <c r="L53" s="242"/>
      <c r="M53" s="242"/>
      <c r="N53" s="27"/>
      <c r="O53" s="78"/>
      <c r="P53" s="39"/>
      <c r="Q53" s="77"/>
      <c r="R53" s="80"/>
      <c r="S53" s="181"/>
      <c r="T53" s="182"/>
      <c r="U53" s="26"/>
      <c r="V53" s="43"/>
      <c r="W53" s="43"/>
      <c r="X53" s="43"/>
      <c r="Y53" s="43"/>
      <c r="Z53" s="43"/>
      <c r="AA53" s="43"/>
      <c r="AB53" s="43"/>
      <c r="AC53" s="43"/>
      <c r="AD53" s="43"/>
      <c r="AE53" s="43"/>
      <c r="AF53" s="43"/>
      <c r="AG53"/>
      <c r="AH53"/>
      <c r="AI53"/>
      <c r="AJ53"/>
      <c r="AK53"/>
      <c r="AL53"/>
      <c r="AM53"/>
      <c r="AN53"/>
      <c r="AO53"/>
      <c r="AP53"/>
      <c r="AQ53"/>
      <c r="AR53"/>
      <c r="AS53"/>
      <c r="AT53"/>
      <c r="AU53"/>
      <c r="AV53"/>
      <c r="AW53"/>
      <c r="AX53"/>
      <c r="AY53"/>
      <c r="AZ53"/>
      <c r="BA53"/>
      <c r="BB53"/>
      <c r="BC53"/>
      <c r="BD53"/>
      <c r="BE53"/>
      <c r="BF53"/>
      <c r="BG53"/>
      <c r="BH53"/>
      <c r="BI53"/>
      <c r="BJ53" s="3"/>
    </row>
    <row r="54" spans="1:63" ht="6" customHeight="1">
      <c r="A54" s="242"/>
      <c r="B54" s="242"/>
      <c r="C54" s="242"/>
      <c r="D54" s="242"/>
      <c r="E54" s="242"/>
      <c r="F54" s="242"/>
      <c r="G54" s="242"/>
      <c r="H54" s="242"/>
      <c r="I54" s="242"/>
      <c r="J54" s="242"/>
      <c r="K54" s="242"/>
      <c r="L54" s="242"/>
      <c r="M54" s="242"/>
      <c r="N54" s="27"/>
      <c r="O54" s="82"/>
      <c r="P54" s="38"/>
      <c r="Q54" s="37"/>
      <c r="R54" s="43"/>
      <c r="S54" s="181"/>
      <c r="T54" s="183"/>
      <c r="V54" s="2"/>
      <c r="AG54"/>
      <c r="AH54"/>
      <c r="AI54"/>
      <c r="AJ54"/>
      <c r="AK54"/>
      <c r="AL54"/>
      <c r="AM54"/>
      <c r="AN54"/>
      <c r="AO54"/>
      <c r="AP54"/>
      <c r="AQ54"/>
      <c r="AR54"/>
      <c r="AS54"/>
      <c r="AT54"/>
      <c r="AU54"/>
      <c r="AV54"/>
      <c r="AW54"/>
      <c r="AX54"/>
      <c r="AY54"/>
      <c r="AZ54"/>
      <c r="BA54"/>
      <c r="BB54"/>
      <c r="BC54"/>
      <c r="BD54"/>
      <c r="BE54"/>
      <c r="BF54"/>
      <c r="BG54"/>
      <c r="BH54"/>
      <c r="BI54"/>
      <c r="BJ54" s="3"/>
    </row>
    <row r="55" spans="1:63" ht="9" customHeight="1">
      <c r="A55" s="86"/>
      <c r="B55" s="86"/>
      <c r="C55" s="86"/>
      <c r="D55" s="86"/>
      <c r="E55" s="86"/>
      <c r="F55" s="86"/>
      <c r="G55" s="86"/>
      <c r="H55" s="86"/>
      <c r="I55" s="86"/>
      <c r="J55" s="86"/>
      <c r="K55" s="86"/>
      <c r="L55" s="86"/>
      <c r="M55" s="86"/>
      <c r="N55" s="27"/>
      <c r="O55" s="82"/>
      <c r="P55" s="38"/>
      <c r="Q55" s="37"/>
      <c r="R55" s="43"/>
      <c r="S55" s="181"/>
      <c r="T55" s="183"/>
      <c r="V55" s="2"/>
      <c r="AG55"/>
      <c r="AH55"/>
      <c r="AI55"/>
      <c r="AJ55"/>
      <c r="AK55"/>
      <c r="AL55"/>
      <c r="AM55"/>
      <c r="AN55"/>
      <c r="AO55"/>
      <c r="AP55"/>
      <c r="AQ55"/>
      <c r="AR55"/>
      <c r="AS55"/>
      <c r="AT55"/>
      <c r="AU55"/>
      <c r="AV55"/>
      <c r="AW55"/>
      <c r="AX55"/>
      <c r="AY55"/>
      <c r="AZ55"/>
      <c r="BA55"/>
      <c r="BB55"/>
      <c r="BC55"/>
      <c r="BD55"/>
      <c r="BE55"/>
      <c r="BF55"/>
      <c r="BG55"/>
      <c r="BH55"/>
      <c r="BI55"/>
      <c r="BJ55" s="3"/>
    </row>
    <row r="56" spans="1:63" ht="13.9" customHeight="1">
      <c r="B56" s="2"/>
      <c r="C56" s="128" t="s">
        <v>347</v>
      </c>
      <c r="D56" s="128"/>
      <c r="E56" s="128"/>
      <c r="F56" s="128"/>
      <c r="G56" s="128"/>
      <c r="H56" s="128"/>
      <c r="I56" s="128"/>
      <c r="J56" s="128"/>
      <c r="K56" s="128"/>
      <c r="L56" s="128"/>
      <c r="M56" s="128"/>
      <c r="N56" s="128"/>
      <c r="O56" s="128"/>
      <c r="P56" s="128"/>
      <c r="Q56" s="128"/>
      <c r="R56" s="128"/>
      <c r="S56" s="184"/>
      <c r="T56" s="184"/>
      <c r="U56" s="3"/>
      <c r="V56" s="3"/>
      <c r="W56" s="3"/>
      <c r="X56" s="3"/>
      <c r="Y56" s="3"/>
      <c r="Z56" s="3"/>
      <c r="AA56" s="3"/>
      <c r="AB56" s="3"/>
      <c r="AC56" s="3"/>
      <c r="AD56" s="3"/>
      <c r="AE56" s="3"/>
      <c r="AF56" s="3"/>
      <c r="AG56" s="3"/>
      <c r="AH56" s="3"/>
      <c r="AI56" s="3"/>
      <c r="AJ56" s="3"/>
      <c r="AK56" s="3"/>
      <c r="AL56" s="3"/>
      <c r="AM56" s="3"/>
      <c r="AN56" s="3"/>
      <c r="AO56" s="3"/>
      <c r="AP56" s="3"/>
      <c r="AQ56" s="3"/>
      <c r="AR56" s="3"/>
    </row>
    <row r="57" spans="1:63" ht="6.6" customHeight="1">
      <c r="S57" s="183"/>
      <c r="T57" s="183"/>
      <c r="AM57" s="69"/>
      <c r="AN57" s="69"/>
      <c r="AO57" s="3"/>
      <c r="AP57" s="3"/>
      <c r="AQ57" s="3"/>
    </row>
    <row r="58" spans="1:63" ht="10.9" customHeight="1">
      <c r="A58" s="3"/>
      <c r="C58" s="3"/>
      <c r="P58" s="3"/>
      <c r="Q58" s="3"/>
      <c r="R58" s="3"/>
      <c r="S58" s="184"/>
      <c r="T58" s="184"/>
      <c r="U58" s="214"/>
      <c r="V58" s="214"/>
      <c r="W58" s="3"/>
      <c r="X58" s="3"/>
      <c r="Y58" s="3"/>
      <c r="Z58" s="3"/>
      <c r="AA58" s="3"/>
      <c r="AB58" s="3"/>
      <c r="AC58" s="214"/>
      <c r="AD58" s="214"/>
      <c r="AE58" s="3"/>
      <c r="AF58" s="3"/>
      <c r="AG58" s="3"/>
      <c r="AH58" s="3"/>
      <c r="AI58" s="24"/>
      <c r="AJ58" s="24"/>
      <c r="AK58" s="24"/>
      <c r="AL58" s="24"/>
      <c r="AN58" s="3"/>
      <c r="AP58" s="3"/>
      <c r="AQ58" s="3"/>
      <c r="AR58" s="3"/>
      <c r="AS58" s="3"/>
      <c r="AT58" s="3"/>
      <c r="AU58" s="3"/>
      <c r="AV58" s="3"/>
      <c r="AW58" s="3"/>
      <c r="AX58" s="3"/>
      <c r="AY58" s="3"/>
      <c r="AZ58" s="3"/>
      <c r="BA58" s="3"/>
      <c r="BB58" s="3"/>
      <c r="BC58" s="3"/>
      <c r="BD58" s="3"/>
      <c r="BE58" s="3"/>
      <c r="BF58" s="3"/>
      <c r="BG58" s="3"/>
      <c r="BH58" s="3"/>
      <c r="BI58" s="3"/>
      <c r="BJ58" s="3"/>
    </row>
    <row r="59" spans="1:63" ht="6" customHeight="1">
      <c r="A59" s="226">
        <v>8</v>
      </c>
      <c r="B59" s="56"/>
      <c r="C59" s="224" t="str">
        <f>INDEX(Riferimenti!$B$2:$B$60,A59)</f>
        <v>2-Idrossiglutarico</v>
      </c>
      <c r="D59" s="224"/>
      <c r="E59" s="224"/>
      <c r="F59" s="224"/>
      <c r="G59" s="224"/>
      <c r="H59" s="224"/>
      <c r="I59" s="224"/>
      <c r="J59" s="224"/>
      <c r="K59" s="224"/>
      <c r="L59" s="224"/>
      <c r="M59" s="224"/>
      <c r="N59" s="224"/>
      <c r="O59" s="216" t="str">
        <f>IF(INDEX(Riferimenti!$C$2:$C$66,A59)&gt;0,INDEX(Riferimenti!$C$2:$C$66,A59),"")</f>
        <v/>
      </c>
      <c r="P59" s="216" t="str">
        <f>INDEX(Riferimenti!$D$2:$D$66,A59)</f>
        <v>≤</v>
      </c>
      <c r="Q59" s="243">
        <f>INDEX(Riferimenti!$E$2:$E$66,A59)</f>
        <v>8.3000000000000007</v>
      </c>
      <c r="R59" s="225"/>
      <c r="S59" s="240"/>
      <c r="T59" s="240"/>
      <c r="V59" s="2"/>
      <c r="AG59" s="216">
        <f>INDEX(Riferimenti!$Q$2:$Q$60,A59)</f>
        <v>2.9</v>
      </c>
      <c r="AH59" s="216">
        <f>INDEX(Riferimenti!$R$2:$R$60,A59)</f>
        <v>6.5</v>
      </c>
      <c r="AI59" s="3"/>
      <c r="AN59" s="3"/>
      <c r="AT59" s="3"/>
      <c r="AU59" s="3"/>
      <c r="AV59" s="3"/>
      <c r="AW59" s="3"/>
      <c r="AX59" s="3"/>
      <c r="AY59" s="3"/>
      <c r="AZ59" s="3"/>
      <c r="BA59" s="3"/>
      <c r="BB59" s="3"/>
      <c r="BC59" s="3"/>
      <c r="BD59" s="3"/>
      <c r="BE59" s="3"/>
      <c r="BF59" s="3"/>
      <c r="BG59" s="3"/>
      <c r="BH59" s="3"/>
      <c r="BI59" s="3"/>
      <c r="BJ59" s="3"/>
    </row>
    <row r="60" spans="1:63" ht="5.45" customHeight="1">
      <c r="A60" s="226"/>
      <c r="B60" s="56"/>
      <c r="C60" s="224"/>
      <c r="D60" s="224"/>
      <c r="E60" s="224"/>
      <c r="F60" s="224"/>
      <c r="G60" s="224"/>
      <c r="H60" s="224"/>
      <c r="I60" s="224"/>
      <c r="J60" s="224"/>
      <c r="K60" s="224"/>
      <c r="L60" s="224"/>
      <c r="M60" s="224"/>
      <c r="N60" s="224"/>
      <c r="O60" s="216"/>
      <c r="P60" s="216"/>
      <c r="Q60" s="243"/>
      <c r="R60" s="225"/>
      <c r="S60" s="240"/>
      <c r="T60" s="240"/>
      <c r="U60"/>
      <c r="V60"/>
      <c r="W60"/>
      <c r="X60"/>
      <c r="Y60"/>
      <c r="Z60"/>
      <c r="AA60"/>
      <c r="AB60"/>
      <c r="AC60"/>
      <c r="AD60"/>
      <c r="AE60"/>
      <c r="AF60"/>
      <c r="AG60" s="216"/>
      <c r="AH60" s="216"/>
      <c r="AN60" s="3"/>
      <c r="AO60" s="3"/>
      <c r="AP60" s="3"/>
      <c r="AQ60" s="3"/>
      <c r="AR60" s="3"/>
      <c r="AS60" s="3"/>
      <c r="AT60" s="3"/>
      <c r="AU60" s="3"/>
      <c r="AV60" s="3"/>
      <c r="AW60" s="3"/>
      <c r="AX60" s="3"/>
      <c r="AY60" s="3"/>
      <c r="AZ60" s="3"/>
      <c r="BA60" s="3"/>
      <c r="BB60" s="3"/>
      <c r="BC60" s="3"/>
      <c r="BD60" s="3"/>
      <c r="BE60" s="3"/>
      <c r="BF60" s="3"/>
      <c r="BG60" s="3"/>
      <c r="BH60" s="3"/>
      <c r="BI60" s="3"/>
      <c r="BJ60" s="3"/>
    </row>
    <row r="61" spans="1:63" ht="6" customHeight="1">
      <c r="A61" s="222"/>
      <c r="B61" s="222"/>
      <c r="C61" s="222"/>
      <c r="D61" s="222"/>
      <c r="E61" s="222"/>
      <c r="F61" s="222"/>
      <c r="G61" s="222"/>
      <c r="H61" s="222"/>
      <c r="I61" s="222"/>
      <c r="J61" s="222"/>
      <c r="K61" s="222"/>
      <c r="L61" s="222"/>
      <c r="M61" s="222"/>
      <c r="N61" s="27"/>
      <c r="O61" s="82"/>
      <c r="P61" s="38"/>
      <c r="Q61" s="37"/>
      <c r="R61" s="43"/>
      <c r="S61" s="77"/>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3"/>
      <c r="AS61" s="3"/>
      <c r="AT61" s="3"/>
      <c r="AU61" s="3"/>
      <c r="AV61" s="3"/>
      <c r="AW61" s="3"/>
      <c r="AX61" s="3"/>
      <c r="AY61" s="3"/>
      <c r="AZ61" s="3"/>
      <c r="BA61" s="3"/>
      <c r="BB61" s="3"/>
      <c r="BC61" s="3"/>
      <c r="BD61" s="3"/>
      <c r="BE61" s="3"/>
      <c r="BF61" s="3"/>
      <c r="BG61" s="3"/>
      <c r="BH61" s="3"/>
      <c r="BI61" s="3"/>
      <c r="BJ61" s="3"/>
    </row>
    <row r="62" spans="1:63" ht="6" customHeight="1">
      <c r="A62" s="222"/>
      <c r="B62" s="222"/>
      <c r="C62" s="222"/>
      <c r="D62" s="222"/>
      <c r="E62" s="222"/>
      <c r="F62" s="222"/>
      <c r="G62" s="222"/>
      <c r="H62" s="222"/>
      <c r="I62" s="222"/>
      <c r="J62" s="222"/>
      <c r="K62" s="222"/>
      <c r="L62" s="222"/>
      <c r="M62" s="222"/>
      <c r="N62" s="27"/>
      <c r="O62" s="82"/>
      <c r="P62" s="38"/>
      <c r="Q62" s="37"/>
      <c r="R62" s="43"/>
      <c r="S62" s="77"/>
      <c r="V62" s="2"/>
      <c r="AN62" s="3"/>
      <c r="AO62" s="3"/>
      <c r="AP62" s="3"/>
      <c r="AQ62" s="3"/>
      <c r="AR62" s="3"/>
      <c r="AS62" s="3"/>
      <c r="AT62" s="3"/>
      <c r="AU62" s="3"/>
      <c r="AV62" s="3"/>
      <c r="AW62" s="3"/>
      <c r="AX62" s="3"/>
      <c r="AY62" s="3"/>
      <c r="AZ62" s="3"/>
      <c r="BA62" s="3"/>
      <c r="BB62" s="3"/>
      <c r="BC62" s="3"/>
      <c r="BD62" s="3"/>
      <c r="BE62" s="3"/>
      <c r="BF62" s="3"/>
      <c r="BG62" s="3"/>
      <c r="BH62" s="3"/>
      <c r="BI62" s="3"/>
      <c r="BJ62" s="3"/>
    </row>
    <row r="63" spans="1:63" ht="15.6" customHeight="1">
      <c r="A63" s="206" t="s">
        <v>90</v>
      </c>
      <c r="B63" s="206"/>
      <c r="C63" s="206"/>
      <c r="D63" s="206"/>
      <c r="E63" s="206"/>
      <c r="F63" s="206"/>
      <c r="G63" s="206"/>
      <c r="H63" s="206"/>
      <c r="I63" s="206"/>
      <c r="J63" s="206"/>
      <c r="K63" s="206"/>
      <c r="L63" s="206"/>
      <c r="M63" s="206"/>
      <c r="N63" s="206"/>
      <c r="O63" s="15"/>
      <c r="P63" s="15"/>
      <c r="Q63" s="15"/>
      <c r="R63" s="13"/>
      <c r="S63" s="15"/>
      <c r="T63" s="14"/>
      <c r="U63" s="14"/>
      <c r="V63" s="13"/>
      <c r="W63" s="14"/>
      <c r="X63" s="13"/>
      <c r="Y63" s="13"/>
      <c r="Z63" s="16"/>
      <c r="AA63" s="13"/>
      <c r="AB63" s="14"/>
      <c r="AC63" s="13"/>
      <c r="AD63" s="13"/>
      <c r="AG63"/>
      <c r="AH63"/>
      <c r="AI63"/>
      <c r="AJ63"/>
      <c r="AK63"/>
      <c r="AL63"/>
      <c r="AM63"/>
      <c r="AN63"/>
      <c r="AO63"/>
      <c r="AP63"/>
      <c r="AQ63"/>
      <c r="AR63"/>
      <c r="AS63"/>
      <c r="AT63"/>
      <c r="AU63"/>
      <c r="AV63"/>
      <c r="AW63"/>
      <c r="AX63"/>
      <c r="AY63"/>
      <c r="AZ63"/>
      <c r="BA63"/>
      <c r="BB63"/>
      <c r="BC63"/>
      <c r="BD63"/>
      <c r="BE63"/>
      <c r="BF63"/>
      <c r="BG63"/>
      <c r="BH63"/>
      <c r="BI63"/>
      <c r="BJ63" s="3"/>
      <c r="BK63" s="3"/>
    </row>
    <row r="64" spans="1:63" ht="9" customHeight="1">
      <c r="A64" s="11"/>
      <c r="B64" s="9"/>
      <c r="D64" s="3"/>
      <c r="G64" s="2"/>
      <c r="H64" s="2"/>
      <c r="O64" s="46"/>
      <c r="P64" s="46"/>
      <c r="Q64" s="46"/>
      <c r="S64" s="46"/>
      <c r="T64" s="3"/>
      <c r="U64" s="3"/>
      <c r="V64" s="2"/>
      <c r="W64" s="3"/>
      <c r="Z64" s="12"/>
      <c r="AB64" s="3"/>
      <c r="AK64" s="3"/>
      <c r="AL64" s="3"/>
      <c r="AM64" s="3"/>
      <c r="AN64" s="3"/>
      <c r="AO64" s="3"/>
      <c r="AP64" s="3"/>
      <c r="AQ64" s="3"/>
      <c r="AR64" s="3"/>
      <c r="AS64" s="3"/>
      <c r="AT64" s="3"/>
      <c r="AU64" s="3"/>
      <c r="AV64" s="3"/>
    </row>
    <row r="65" spans="1:62" ht="13.9" customHeight="1">
      <c r="B65" s="2"/>
      <c r="C65" s="203" t="s">
        <v>91</v>
      </c>
      <c r="D65" s="203"/>
      <c r="E65" s="203"/>
      <c r="F65" s="203"/>
      <c r="G65" s="203"/>
      <c r="H65" s="203"/>
      <c r="I65" s="203"/>
      <c r="J65" s="203"/>
      <c r="K65" s="203"/>
      <c r="L65" s="203"/>
      <c r="M65" s="203"/>
      <c r="N65" s="203"/>
      <c r="O65" s="203"/>
      <c r="P65" s="20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row>
    <row r="66" spans="1:62" ht="6.6" customHeight="1">
      <c r="AM66" s="69"/>
      <c r="AN66" s="69"/>
      <c r="AO66" s="3"/>
      <c r="AP66" s="3"/>
      <c r="AQ66" s="3"/>
    </row>
    <row r="67" spans="1:62" ht="10.9" customHeight="1">
      <c r="A67" s="3"/>
      <c r="C67" s="3"/>
      <c r="P67" s="3"/>
      <c r="Q67" s="3"/>
      <c r="R67" s="3"/>
      <c r="S67" s="3"/>
      <c r="T67" s="3"/>
      <c r="U67" s="214"/>
      <c r="V67" s="214"/>
      <c r="W67" s="3"/>
      <c r="X67" s="3"/>
      <c r="Y67" s="3"/>
      <c r="Z67" s="3"/>
      <c r="AA67" s="3"/>
      <c r="AB67" s="3"/>
      <c r="AC67" s="214"/>
      <c r="AD67" s="214"/>
      <c r="AE67" s="3"/>
      <c r="AF67" s="3"/>
      <c r="AG67" s="3"/>
      <c r="AH67" s="3"/>
      <c r="AI67" s="24"/>
      <c r="AJ67" s="24"/>
      <c r="AK67" s="24"/>
      <c r="AL67" s="24"/>
      <c r="AN67" s="3"/>
      <c r="AP67" s="3"/>
      <c r="AQ67" s="3"/>
      <c r="AR67" s="3"/>
      <c r="AS67" s="3"/>
      <c r="AT67" s="3"/>
      <c r="AU67" s="3"/>
      <c r="AV67" s="3"/>
      <c r="AW67" s="3"/>
      <c r="AX67" s="3"/>
      <c r="AY67" s="3"/>
      <c r="AZ67" s="3"/>
      <c r="BA67" s="3"/>
      <c r="BB67" s="3"/>
      <c r="BC67" s="3"/>
      <c r="BD67" s="3"/>
      <c r="BE67" s="3"/>
      <c r="BF67" s="3"/>
      <c r="BG67" s="3"/>
      <c r="BH67" s="3"/>
      <c r="BI67" s="3"/>
      <c r="BJ67" s="3"/>
    </row>
    <row r="68" spans="1:62" ht="6" customHeight="1">
      <c r="A68" s="226">
        <v>9</v>
      </c>
      <c r="B68" s="56"/>
      <c r="C68" s="224" t="str">
        <f>INDEX(Riferimenti!$B$2:$B$60,A68)</f>
        <v>Omovanillico (HVA)</v>
      </c>
      <c r="D68" s="224"/>
      <c r="E68" s="224"/>
      <c r="F68" s="224"/>
      <c r="G68" s="224"/>
      <c r="H68" s="224"/>
      <c r="I68" s="224"/>
      <c r="J68" s="224"/>
      <c r="K68" s="224"/>
      <c r="L68" s="224"/>
      <c r="M68" s="224"/>
      <c r="N68" s="224"/>
      <c r="O68" s="216">
        <f>IF(INDEX(Riferimenti!$C$2:$C$66,A68)&gt;0,INDEX(Riferimenti!$C$2:$C$66,A68),"")</f>
        <v>0.4</v>
      </c>
      <c r="P68" s="216" t="str">
        <f>INDEX(Riferimenti!$D$2:$D$66,A68)</f>
        <v>-</v>
      </c>
      <c r="Q68" s="217">
        <f>INDEX(Riferimenti!$E$2:$E$66,A68)</f>
        <v>3.1</v>
      </c>
      <c r="R68" s="225"/>
      <c r="S68" s="240"/>
      <c r="T68" s="240"/>
      <c r="V68" s="2"/>
      <c r="AG68" s="216">
        <f>INDEX(Riferimenti!$Q$2:$Q$60,A68)</f>
        <v>0.7</v>
      </c>
      <c r="AH68" s="216">
        <f>INDEX(Riferimenti!$R$2:$R$60,A68)</f>
        <v>2.2999999999999998</v>
      </c>
      <c r="AI68" s="3"/>
      <c r="AN68" s="3"/>
      <c r="AT68" s="3"/>
      <c r="AU68" s="3"/>
      <c r="AV68" s="3"/>
      <c r="AW68" s="3"/>
      <c r="AX68" s="3"/>
      <c r="AY68" s="3"/>
      <c r="AZ68" s="3"/>
      <c r="BA68" s="3"/>
      <c r="BB68" s="3"/>
      <c r="BC68" s="3"/>
      <c r="BD68" s="3"/>
      <c r="BE68" s="3"/>
      <c r="BF68" s="3"/>
      <c r="BG68" s="3"/>
      <c r="BH68" s="3"/>
      <c r="BI68" s="3"/>
      <c r="BJ68" s="3"/>
    </row>
    <row r="69" spans="1:62" ht="5.45" customHeight="1">
      <c r="A69" s="226"/>
      <c r="B69" s="56"/>
      <c r="C69" s="224"/>
      <c r="D69" s="224"/>
      <c r="E69" s="224"/>
      <c r="F69" s="224"/>
      <c r="G69" s="224"/>
      <c r="H69" s="224"/>
      <c r="I69" s="224"/>
      <c r="J69" s="224"/>
      <c r="K69" s="224"/>
      <c r="L69" s="224"/>
      <c r="M69" s="224"/>
      <c r="N69" s="224"/>
      <c r="O69" s="216"/>
      <c r="P69" s="216"/>
      <c r="Q69" s="217"/>
      <c r="R69" s="225"/>
      <c r="S69" s="240"/>
      <c r="T69" s="240"/>
      <c r="U69"/>
      <c r="V69"/>
      <c r="W69"/>
      <c r="X69"/>
      <c r="Y69"/>
      <c r="Z69"/>
      <c r="AA69"/>
      <c r="AB69"/>
      <c r="AC69"/>
      <c r="AD69"/>
      <c r="AE69"/>
      <c r="AF69"/>
      <c r="AG69" s="216"/>
      <c r="AH69" s="216"/>
      <c r="AN69" s="3"/>
      <c r="AO69" s="3"/>
      <c r="AP69" s="3"/>
      <c r="AQ69" s="3"/>
      <c r="AR69" s="3"/>
      <c r="AS69" s="3"/>
      <c r="AT69" s="3"/>
      <c r="AU69" s="3"/>
      <c r="AV69" s="3"/>
      <c r="AW69" s="3"/>
      <c r="AX69" s="3"/>
      <c r="AY69" s="3"/>
      <c r="AZ69" s="3"/>
      <c r="BA69" s="3"/>
      <c r="BB69" s="3"/>
      <c r="BC69" s="3"/>
      <c r="BD69" s="3"/>
      <c r="BE69" s="3"/>
      <c r="BF69" s="3"/>
      <c r="BG69" s="3"/>
      <c r="BH69" s="3"/>
      <c r="BI69" s="3"/>
      <c r="BJ69" s="3"/>
    </row>
    <row r="70" spans="1:62" ht="6" customHeight="1">
      <c r="A70" s="222" t="s">
        <v>360</v>
      </c>
      <c r="B70" s="222"/>
      <c r="C70" s="222"/>
      <c r="D70" s="222"/>
      <c r="E70" s="222"/>
      <c r="F70" s="222"/>
      <c r="G70" s="222"/>
      <c r="H70" s="222"/>
      <c r="I70" s="222"/>
      <c r="J70" s="222"/>
      <c r="K70" s="222"/>
      <c r="L70" s="222"/>
      <c r="M70" s="222"/>
      <c r="N70" s="27"/>
      <c r="O70" s="82"/>
      <c r="P70" s="38"/>
      <c r="Q70" s="37"/>
      <c r="R70" s="43"/>
      <c r="S70" s="181"/>
      <c r="T70" s="182"/>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3"/>
      <c r="AS70" s="3"/>
      <c r="AT70" s="3"/>
      <c r="AU70" s="3"/>
      <c r="AV70" s="3"/>
      <c r="AW70" s="3"/>
      <c r="AX70" s="3"/>
      <c r="AY70" s="3"/>
      <c r="AZ70" s="3"/>
      <c r="BA70" s="3"/>
      <c r="BB70" s="3"/>
      <c r="BC70" s="3"/>
      <c r="BD70" s="3"/>
      <c r="BE70" s="3"/>
      <c r="BF70" s="3"/>
      <c r="BG70" s="3"/>
      <c r="BH70" s="3"/>
      <c r="BI70" s="3"/>
      <c r="BJ70" s="3"/>
    </row>
    <row r="71" spans="1:62" ht="6" customHeight="1">
      <c r="A71" s="222"/>
      <c r="B71" s="222"/>
      <c r="C71" s="222"/>
      <c r="D71" s="222"/>
      <c r="E71" s="222"/>
      <c r="F71" s="222"/>
      <c r="G71" s="222"/>
      <c r="H71" s="222"/>
      <c r="I71" s="222"/>
      <c r="J71" s="222"/>
      <c r="K71" s="222"/>
      <c r="L71" s="222"/>
      <c r="M71" s="222"/>
      <c r="N71" s="27"/>
      <c r="O71" s="82"/>
      <c r="P71" s="38"/>
      <c r="Q71" s="37"/>
      <c r="R71" s="43"/>
      <c r="S71" s="181"/>
      <c r="T71" s="183"/>
      <c r="V71" s="2"/>
      <c r="AN71" s="3"/>
      <c r="AO71" s="3"/>
      <c r="AP71" s="3"/>
      <c r="AQ71" s="3"/>
      <c r="AR71" s="3"/>
      <c r="AS71" s="3"/>
      <c r="AT71" s="3"/>
      <c r="AU71" s="3"/>
      <c r="AV71" s="3"/>
      <c r="AW71" s="3"/>
      <c r="AX71" s="3"/>
      <c r="AY71" s="3"/>
      <c r="AZ71" s="3"/>
      <c r="BA71" s="3"/>
      <c r="BB71" s="3"/>
      <c r="BC71" s="3"/>
      <c r="BD71" s="3"/>
      <c r="BE71" s="3"/>
      <c r="BF71" s="3"/>
      <c r="BG71" s="3"/>
      <c r="BH71" s="3"/>
      <c r="BI71" s="3"/>
      <c r="BJ71" s="3"/>
    </row>
    <row r="72" spans="1:62" ht="10.9" customHeight="1">
      <c r="A72" s="3"/>
      <c r="C72" s="3"/>
      <c r="P72" s="3"/>
      <c r="Q72" s="3"/>
      <c r="R72" s="3"/>
      <c r="S72" s="185"/>
      <c r="T72" s="184"/>
      <c r="U72" s="214"/>
      <c r="V72" s="214"/>
      <c r="W72" s="3"/>
      <c r="X72" s="3"/>
      <c r="Y72" s="3"/>
      <c r="Z72" s="3"/>
      <c r="AA72" s="3"/>
      <c r="AB72" s="3"/>
      <c r="AC72" s="214"/>
      <c r="AD72" s="214"/>
      <c r="AE72" s="3"/>
      <c r="AF72" s="3"/>
      <c r="AG72" s="3"/>
      <c r="AH72" s="3"/>
      <c r="AI72" s="24"/>
      <c r="AJ72" s="24"/>
      <c r="AK72" s="24"/>
      <c r="AL72" s="24"/>
      <c r="AN72" s="3"/>
      <c r="AP72" s="3"/>
      <c r="AQ72" s="3"/>
      <c r="AR72" s="3"/>
      <c r="AS72" s="3"/>
      <c r="AT72" s="3"/>
      <c r="AU72" s="3"/>
      <c r="AV72" s="3"/>
      <c r="AW72" s="3"/>
      <c r="AX72" s="3"/>
      <c r="AY72" s="3"/>
      <c r="AZ72" s="3"/>
      <c r="BA72" s="3"/>
      <c r="BB72" s="3"/>
      <c r="BC72" s="3"/>
      <c r="BD72" s="3"/>
      <c r="BE72" s="3"/>
      <c r="BF72" s="3"/>
      <c r="BG72" s="3"/>
      <c r="BH72" s="3"/>
      <c r="BI72" s="3"/>
      <c r="BJ72" s="3"/>
    </row>
    <row r="73" spans="1:62" ht="6" customHeight="1">
      <c r="A73" s="226">
        <v>10</v>
      </c>
      <c r="B73" s="56"/>
      <c r="C73" s="224" t="str">
        <f>INDEX(Riferimenti!$B$2:$B$60,A73)</f>
        <v>Vanilmandelico (VMA)</v>
      </c>
      <c r="D73" s="224"/>
      <c r="E73" s="224"/>
      <c r="F73" s="224"/>
      <c r="G73" s="224"/>
      <c r="H73" s="224"/>
      <c r="I73" s="224"/>
      <c r="J73" s="224"/>
      <c r="K73" s="224"/>
      <c r="L73" s="224"/>
      <c r="M73" s="224"/>
      <c r="N73" s="224"/>
      <c r="O73" s="216" t="str">
        <f>IF(INDEX(Riferimenti!$C$2:$C$66,A73)&gt;0,INDEX(Riferimenti!$C$2:$C$66,A73),"")</f>
        <v/>
      </c>
      <c r="P73" s="216" t="str">
        <f>INDEX(Riferimenti!$D$2:$D$66,A73)</f>
        <v>≤</v>
      </c>
      <c r="Q73" s="227">
        <f>INDEX(Riferimenti!$E$2:$E$66,A73)</f>
        <v>3.4</v>
      </c>
      <c r="R73" s="225"/>
      <c r="S73" s="240"/>
      <c r="T73" s="240"/>
      <c r="V73" s="2"/>
      <c r="AG73" s="216">
        <f>INDEX(Riferimenti!$Q$2:$Q$60,A73)</f>
        <v>1.2</v>
      </c>
      <c r="AH73" s="216">
        <f>INDEX(Riferimenti!$R$2:$R$60,A73)</f>
        <v>2.7</v>
      </c>
      <c r="AI73" s="3"/>
      <c r="AN73" s="3"/>
      <c r="AT73" s="3"/>
      <c r="AU73" s="3"/>
      <c r="AV73" s="3"/>
      <c r="AW73" s="3"/>
      <c r="AX73" s="3"/>
      <c r="AY73" s="3"/>
      <c r="AZ73" s="3"/>
      <c r="BA73" s="3"/>
      <c r="BB73" s="3"/>
      <c r="BC73" s="3"/>
      <c r="BD73" s="3"/>
      <c r="BE73" s="3"/>
      <c r="BF73" s="3"/>
      <c r="BG73" s="3"/>
      <c r="BH73" s="3"/>
      <c r="BI73" s="3"/>
      <c r="BJ73" s="3"/>
    </row>
    <row r="74" spans="1:62" ht="5.45" customHeight="1">
      <c r="A74" s="226"/>
      <c r="B74" s="56"/>
      <c r="C74" s="224"/>
      <c r="D74" s="224"/>
      <c r="E74" s="224"/>
      <c r="F74" s="224"/>
      <c r="G74" s="224"/>
      <c r="H74" s="224"/>
      <c r="I74" s="224"/>
      <c r="J74" s="224"/>
      <c r="K74" s="224"/>
      <c r="L74" s="224"/>
      <c r="M74" s="224"/>
      <c r="N74" s="224"/>
      <c r="O74" s="216"/>
      <c r="P74" s="216"/>
      <c r="Q74" s="227"/>
      <c r="R74" s="225"/>
      <c r="S74" s="240"/>
      <c r="T74" s="240"/>
      <c r="U74"/>
      <c r="V74"/>
      <c r="W74"/>
      <c r="X74"/>
      <c r="Y74"/>
      <c r="Z74"/>
      <c r="AA74"/>
      <c r="AB74"/>
      <c r="AC74"/>
      <c r="AD74"/>
      <c r="AE74"/>
      <c r="AF74"/>
      <c r="AG74" s="216"/>
      <c r="AH74" s="216"/>
      <c r="AN74" s="3"/>
      <c r="AO74" s="3"/>
      <c r="AP74" s="3"/>
      <c r="AQ74" s="3"/>
      <c r="AR74" s="3"/>
      <c r="AS74" s="3"/>
      <c r="AT74" s="3"/>
      <c r="AU74" s="3"/>
      <c r="AV74" s="3"/>
      <c r="AW74" s="3"/>
      <c r="AX74" s="3"/>
      <c r="AY74" s="3"/>
      <c r="AZ74" s="3"/>
      <c r="BA74" s="3"/>
      <c r="BB74" s="3"/>
      <c r="BC74" s="3"/>
      <c r="BD74" s="3"/>
      <c r="BE74" s="3"/>
      <c r="BF74" s="3"/>
      <c r="BG74" s="3"/>
      <c r="BH74" s="3"/>
      <c r="BI74" s="3"/>
      <c r="BJ74" s="3"/>
    </row>
    <row r="75" spans="1:62" ht="6" customHeight="1">
      <c r="A75" s="222" t="s">
        <v>94</v>
      </c>
      <c r="B75" s="222"/>
      <c r="C75" s="222"/>
      <c r="D75" s="222"/>
      <c r="E75" s="222"/>
      <c r="F75" s="222"/>
      <c r="G75" s="222"/>
      <c r="H75" s="222"/>
      <c r="I75" s="222"/>
      <c r="J75" s="222"/>
      <c r="K75" s="222"/>
      <c r="L75" s="222"/>
      <c r="M75" s="222"/>
      <c r="N75" s="27"/>
      <c r="O75" s="82"/>
      <c r="P75" s="38"/>
      <c r="Q75" s="37"/>
      <c r="R75" s="43"/>
      <c r="S75" s="181"/>
      <c r="T75" s="182"/>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3"/>
      <c r="AS75" s="3"/>
      <c r="AT75" s="3"/>
      <c r="AU75" s="3"/>
      <c r="AV75" s="3"/>
      <c r="AW75" s="3"/>
      <c r="AX75" s="3"/>
      <c r="AY75" s="3"/>
      <c r="AZ75" s="3"/>
      <c r="BA75" s="3"/>
      <c r="BB75" s="3"/>
      <c r="BC75" s="3"/>
      <c r="BD75" s="3"/>
      <c r="BE75" s="3"/>
      <c r="BF75" s="3"/>
      <c r="BG75" s="3"/>
      <c r="BH75" s="3"/>
      <c r="BI75" s="3"/>
      <c r="BJ75" s="3"/>
    </row>
    <row r="76" spans="1:62" ht="6" customHeight="1">
      <c r="A76" s="222"/>
      <c r="B76" s="222"/>
      <c r="C76" s="222"/>
      <c r="D76" s="222"/>
      <c r="E76" s="222"/>
      <c r="F76" s="222"/>
      <c r="G76" s="222"/>
      <c r="H76" s="222"/>
      <c r="I76" s="222"/>
      <c r="J76" s="222"/>
      <c r="K76" s="222"/>
      <c r="L76" s="222"/>
      <c r="M76" s="222"/>
      <c r="N76" s="27"/>
      <c r="O76" s="82"/>
      <c r="P76" s="38"/>
      <c r="Q76" s="37"/>
      <c r="R76" s="43"/>
      <c r="S76" s="181"/>
      <c r="T76" s="183"/>
      <c r="V76" s="2"/>
      <c r="AN76" s="3"/>
      <c r="AO76" s="3"/>
      <c r="AP76" s="3"/>
      <c r="AQ76" s="3"/>
      <c r="AR76" s="3"/>
      <c r="AS76" s="3"/>
      <c r="AT76" s="3"/>
      <c r="AU76" s="3"/>
      <c r="AV76" s="3"/>
      <c r="AW76" s="3"/>
      <c r="AX76" s="3"/>
      <c r="AY76" s="3"/>
      <c r="AZ76" s="3"/>
      <c r="BA76" s="3"/>
      <c r="BB76" s="3"/>
      <c r="BC76" s="3"/>
      <c r="BD76" s="3"/>
      <c r="BE76" s="3"/>
      <c r="BF76" s="3"/>
      <c r="BG76" s="3"/>
      <c r="BH76" s="3"/>
      <c r="BI76" s="3"/>
      <c r="BJ76" s="3"/>
    </row>
    <row r="77" spans="1:62" ht="10.9" customHeight="1">
      <c r="A77" s="3"/>
      <c r="C77" s="3"/>
      <c r="P77" s="3"/>
      <c r="Q77" s="3"/>
      <c r="R77" s="3"/>
      <c r="S77" s="184"/>
      <c r="T77" s="184"/>
      <c r="U77" s="214"/>
      <c r="V77" s="214"/>
      <c r="W77" s="3"/>
      <c r="X77" s="3"/>
      <c r="Y77" s="3"/>
      <c r="Z77" s="3"/>
      <c r="AA77" s="3"/>
      <c r="AB77" s="3"/>
      <c r="AC77" s="214"/>
      <c r="AD77" s="214"/>
      <c r="AE77" s="3"/>
      <c r="AF77" s="3"/>
      <c r="AG77" s="3"/>
      <c r="AH77" s="3"/>
      <c r="AI77" s="24"/>
      <c r="AJ77" s="24"/>
      <c r="AK77" s="24"/>
      <c r="AL77" s="24"/>
      <c r="AN77" s="3"/>
      <c r="AP77" s="3"/>
      <c r="AQ77" s="3"/>
      <c r="AR77" s="3"/>
      <c r="AS77" s="3"/>
      <c r="AT77" s="3"/>
      <c r="AU77" s="3"/>
      <c r="AV77" s="3"/>
      <c r="AW77" s="3"/>
      <c r="AX77" s="3"/>
      <c r="AY77" s="3"/>
      <c r="AZ77" s="3"/>
      <c r="BA77" s="3"/>
      <c r="BB77" s="3"/>
      <c r="BC77" s="3"/>
      <c r="BD77" s="3"/>
      <c r="BE77" s="3"/>
      <c r="BF77" s="3"/>
      <c r="BG77" s="3"/>
      <c r="BH77" s="3"/>
      <c r="BI77" s="3"/>
      <c r="BJ77" s="3"/>
    </row>
    <row r="78" spans="1:62" ht="6" customHeight="1">
      <c r="A78" s="226">
        <v>11</v>
      </c>
      <c r="B78" s="56"/>
      <c r="C78" s="224" t="str">
        <f>INDEX(Riferimenti!$B$2:$B$60,A78)</f>
        <v>Ratio HVA/VMA</v>
      </c>
      <c r="D78" s="224"/>
      <c r="E78" s="224"/>
      <c r="F78" s="224"/>
      <c r="G78" s="224"/>
      <c r="H78" s="224"/>
      <c r="I78" s="224"/>
      <c r="J78" s="224"/>
      <c r="K78" s="224"/>
      <c r="L78" s="224"/>
      <c r="M78" s="224"/>
      <c r="N78" s="224"/>
      <c r="O78" s="240">
        <f>IF(INDEX(Riferimenti!$C$2:$C$66,A78)&gt;0,INDEX(Riferimenti!$C$2:$C$66,A78),"")</f>
        <v>0.2</v>
      </c>
      <c r="P78" s="216" t="str">
        <f>INDEX(Riferimenti!$D$2:$D$66,A78)</f>
        <v>-</v>
      </c>
      <c r="Q78" s="227">
        <f>INDEX(Riferimenti!$E$2:$E$66,A78)</f>
        <v>1.4</v>
      </c>
      <c r="R78" s="225"/>
      <c r="S78" s="240"/>
      <c r="T78" s="240"/>
      <c r="V78" s="2"/>
      <c r="AG78" s="216">
        <f>INDEX(Riferimenti!$Q$2:$Q$60,A78)</f>
        <v>0.56923999999999997</v>
      </c>
      <c r="AH78" s="216" t="e">
        <f>INDEX(Riferimenti!$R$2:$R$60,A78)</f>
        <v>#REF!</v>
      </c>
      <c r="AI78" s="3"/>
      <c r="AN78" s="3"/>
      <c r="AT78" s="3"/>
      <c r="AU78" s="3"/>
      <c r="AV78" s="3"/>
      <c r="AW78" s="3"/>
      <c r="AX78" s="3"/>
      <c r="AY78" s="3"/>
      <c r="AZ78" s="3"/>
      <c r="BA78" s="3"/>
      <c r="BB78" s="3"/>
      <c r="BC78" s="3"/>
      <c r="BD78" s="3"/>
      <c r="BE78" s="3"/>
      <c r="BF78" s="3"/>
      <c r="BG78" s="3"/>
      <c r="BH78" s="3"/>
      <c r="BI78" s="3"/>
      <c r="BJ78" s="3"/>
    </row>
    <row r="79" spans="1:62" ht="5.45" customHeight="1">
      <c r="A79" s="226"/>
      <c r="B79" s="56"/>
      <c r="C79" s="224"/>
      <c r="D79" s="224"/>
      <c r="E79" s="224"/>
      <c r="F79" s="224"/>
      <c r="G79" s="224"/>
      <c r="H79" s="224"/>
      <c r="I79" s="224"/>
      <c r="J79" s="224"/>
      <c r="K79" s="224"/>
      <c r="L79" s="224"/>
      <c r="M79" s="224"/>
      <c r="N79" s="224"/>
      <c r="O79" s="240"/>
      <c r="P79" s="216"/>
      <c r="Q79" s="227"/>
      <c r="R79" s="225"/>
      <c r="S79" s="240"/>
      <c r="T79" s="240"/>
      <c r="U79"/>
      <c r="V79"/>
      <c r="W79"/>
      <c r="X79"/>
      <c r="Y79"/>
      <c r="Z79"/>
      <c r="AA79"/>
      <c r="AB79"/>
      <c r="AC79"/>
      <c r="AD79"/>
      <c r="AE79"/>
      <c r="AF79"/>
      <c r="AG79" s="216"/>
      <c r="AH79" s="216"/>
      <c r="AN79" s="3"/>
      <c r="AO79" s="3"/>
      <c r="AP79" s="3"/>
      <c r="AQ79" s="3"/>
      <c r="AR79" s="3"/>
      <c r="AS79" s="3"/>
      <c r="AT79" s="3"/>
      <c r="AU79" s="3"/>
      <c r="AV79" s="3"/>
      <c r="AW79" s="3"/>
      <c r="AX79" s="3"/>
      <c r="AY79" s="3"/>
      <c r="AZ79" s="3"/>
      <c r="BA79" s="3"/>
      <c r="BB79" s="3"/>
      <c r="BC79" s="3"/>
      <c r="BD79" s="3"/>
      <c r="BE79" s="3"/>
      <c r="BF79" s="3"/>
      <c r="BG79" s="3"/>
      <c r="BH79" s="3"/>
      <c r="BI79" s="3"/>
      <c r="BJ79" s="3"/>
    </row>
    <row r="80" spans="1:62" ht="6" customHeight="1">
      <c r="A80" s="222"/>
      <c r="B80" s="222"/>
      <c r="C80" s="222"/>
      <c r="D80" s="222"/>
      <c r="E80" s="222"/>
      <c r="F80" s="222"/>
      <c r="G80" s="222"/>
      <c r="H80" s="222"/>
      <c r="I80" s="222"/>
      <c r="J80" s="222"/>
      <c r="K80" s="222"/>
      <c r="L80" s="222"/>
      <c r="M80" s="222"/>
      <c r="N80" s="27"/>
      <c r="O80" s="82"/>
      <c r="P80" s="38"/>
      <c r="Q80" s="37"/>
      <c r="R80" s="43"/>
      <c r="S80" s="181"/>
      <c r="T80" s="182"/>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3"/>
      <c r="AS80" s="3"/>
      <c r="AT80" s="3"/>
      <c r="AU80" s="3"/>
      <c r="AV80" s="3"/>
      <c r="AW80" s="3"/>
      <c r="AX80" s="3"/>
      <c r="AY80" s="3"/>
      <c r="AZ80" s="3"/>
      <c r="BA80" s="3"/>
      <c r="BB80" s="3"/>
      <c r="BC80" s="3"/>
      <c r="BD80" s="3"/>
      <c r="BE80" s="3"/>
      <c r="BF80" s="3"/>
      <c r="BG80" s="3"/>
      <c r="BH80" s="3"/>
      <c r="BI80" s="3"/>
      <c r="BJ80" s="3"/>
    </row>
    <row r="81" spans="1:62" ht="6" customHeight="1">
      <c r="A81" s="222"/>
      <c r="B81" s="222"/>
      <c r="C81" s="222"/>
      <c r="D81" s="222"/>
      <c r="E81" s="222"/>
      <c r="F81" s="222"/>
      <c r="G81" s="222"/>
      <c r="H81" s="222"/>
      <c r="I81" s="222"/>
      <c r="J81" s="222"/>
      <c r="K81" s="222"/>
      <c r="L81" s="222"/>
      <c r="M81" s="222"/>
      <c r="N81" s="27"/>
      <c r="O81" s="82"/>
      <c r="P81" s="38"/>
      <c r="Q81" s="37"/>
      <c r="R81" s="43"/>
      <c r="S81" s="181"/>
      <c r="T81" s="183"/>
      <c r="V81" s="2"/>
      <c r="AN81" s="3"/>
      <c r="AO81" s="3"/>
      <c r="AP81" s="3"/>
      <c r="AQ81" s="3"/>
      <c r="AR81" s="3"/>
      <c r="AS81" s="3"/>
      <c r="AT81" s="3"/>
      <c r="AU81" s="3"/>
      <c r="AV81" s="3"/>
      <c r="AW81" s="3"/>
      <c r="AX81" s="3"/>
      <c r="AY81" s="3"/>
      <c r="AZ81" s="3"/>
      <c r="BA81" s="3"/>
      <c r="BB81" s="3"/>
      <c r="BC81" s="3"/>
      <c r="BD81" s="3"/>
      <c r="BE81" s="3"/>
      <c r="BF81" s="3"/>
      <c r="BG81" s="3"/>
      <c r="BH81" s="3"/>
      <c r="BI81" s="3"/>
      <c r="BJ81" s="3"/>
    </row>
    <row r="82" spans="1:62" ht="10.9" customHeight="1">
      <c r="A82" s="3"/>
      <c r="C82" s="3"/>
      <c r="P82" s="3"/>
      <c r="Q82" s="3"/>
      <c r="R82" s="3"/>
      <c r="S82" s="184"/>
      <c r="T82" s="184"/>
      <c r="U82" s="214"/>
      <c r="V82" s="214"/>
      <c r="W82" s="3"/>
      <c r="X82" s="3"/>
      <c r="Y82" s="3"/>
      <c r="Z82" s="3"/>
      <c r="AA82" s="3"/>
      <c r="AB82" s="3"/>
      <c r="AC82" s="214"/>
      <c r="AD82" s="214"/>
      <c r="AE82" s="3"/>
      <c r="AF82" s="3"/>
      <c r="AG82" s="3"/>
      <c r="AH82" s="3"/>
      <c r="AI82" s="24"/>
      <c r="AJ82" s="24"/>
      <c r="AK82" s="24"/>
      <c r="AL82" s="24"/>
      <c r="AN82" s="3"/>
      <c r="AP82" s="3"/>
      <c r="AQ82" s="3"/>
      <c r="AR82" s="3"/>
      <c r="AS82" s="3"/>
      <c r="AT82" s="3"/>
      <c r="AU82" s="3"/>
      <c r="AV82" s="3"/>
      <c r="AW82" s="3"/>
      <c r="AX82" s="3"/>
      <c r="AY82" s="3"/>
      <c r="AZ82" s="3"/>
      <c r="BA82" s="3"/>
      <c r="BB82" s="3"/>
      <c r="BC82" s="3"/>
      <c r="BD82" s="3"/>
      <c r="BE82" s="3"/>
      <c r="BF82" s="3"/>
      <c r="BG82" s="3"/>
      <c r="BH82" s="3"/>
      <c r="BI82" s="3"/>
      <c r="BJ82" s="3"/>
    </row>
    <row r="83" spans="1:62" ht="6" customHeight="1">
      <c r="A83" s="226">
        <v>12</v>
      </c>
      <c r="B83" s="56"/>
      <c r="C83" s="224" t="str">
        <f>INDEX(Riferimenti!$B$2:$B$60,A83)</f>
        <v>3,4-Diidrossifenilacetico</v>
      </c>
      <c r="D83" s="224"/>
      <c r="E83" s="224"/>
      <c r="F83" s="224"/>
      <c r="G83" s="224"/>
      <c r="H83" s="224"/>
      <c r="I83" s="224"/>
      <c r="J83" s="224"/>
      <c r="K83" s="224"/>
      <c r="L83" s="224"/>
      <c r="M83" s="224"/>
      <c r="N83" s="224"/>
      <c r="O83" s="216" t="str">
        <f>IF(INDEX(Riferimenti!$C$2:$C$66,A83)&gt;0,INDEX(Riferimenti!$C$2:$C$66,A83),"")</f>
        <v/>
      </c>
      <c r="P83" s="229" t="s">
        <v>4</v>
      </c>
      <c r="Q83" s="217">
        <f>INDEX(Riferimenti!$E$2:$E$66,A83)</f>
        <v>0.4</v>
      </c>
      <c r="R83" s="225"/>
      <c r="S83" s="240"/>
      <c r="T83" s="240"/>
      <c r="V83" s="2"/>
      <c r="AG83" s="216">
        <f>INDEX(Riferimenti!$Q$2:$Q$60,A83)</f>
        <v>0.1</v>
      </c>
      <c r="AH83" s="216">
        <f>INDEX(Riferimenti!$R$2:$R$60,A83)</f>
        <v>0.3</v>
      </c>
      <c r="AI83" s="3"/>
      <c r="AN83" s="3"/>
      <c r="AT83" s="3"/>
      <c r="AU83" s="3"/>
      <c r="AV83" s="3"/>
      <c r="AW83" s="3"/>
      <c r="AX83" s="3"/>
      <c r="AY83" s="3"/>
      <c r="AZ83" s="3"/>
      <c r="BA83" s="3"/>
      <c r="BB83" s="3"/>
      <c r="BC83" s="3"/>
      <c r="BD83" s="3"/>
      <c r="BE83" s="3"/>
      <c r="BF83" s="3"/>
      <c r="BG83" s="3"/>
      <c r="BH83" s="3"/>
      <c r="BI83" s="3"/>
      <c r="BJ83" s="3"/>
    </row>
    <row r="84" spans="1:62" ht="5.45" customHeight="1">
      <c r="A84" s="226"/>
      <c r="B84" s="56"/>
      <c r="C84" s="224"/>
      <c r="D84" s="224"/>
      <c r="E84" s="224"/>
      <c r="F84" s="224"/>
      <c r="G84" s="224"/>
      <c r="H84" s="224"/>
      <c r="I84" s="224"/>
      <c r="J84" s="224"/>
      <c r="K84" s="224"/>
      <c r="L84" s="224"/>
      <c r="M84" s="224"/>
      <c r="N84" s="224"/>
      <c r="O84" s="216"/>
      <c r="P84" s="216"/>
      <c r="Q84" s="217"/>
      <c r="R84" s="225"/>
      <c r="S84" s="240"/>
      <c r="T84" s="240"/>
      <c r="U84"/>
      <c r="V84"/>
      <c r="W84"/>
      <c r="X84"/>
      <c r="Y84"/>
      <c r="Z84"/>
      <c r="AA84"/>
      <c r="AB84"/>
      <c r="AC84"/>
      <c r="AD84"/>
      <c r="AE84"/>
      <c r="AF84"/>
      <c r="AG84" s="216"/>
      <c r="AH84" s="216"/>
      <c r="AN84" s="3"/>
      <c r="AO84" s="3"/>
      <c r="AP84" s="3"/>
      <c r="AQ84" s="3"/>
      <c r="AR84" s="3"/>
      <c r="AS84" s="3"/>
      <c r="AT84" s="3"/>
      <c r="AU84" s="3"/>
      <c r="AV84" s="3"/>
      <c r="AW84" s="3"/>
      <c r="AX84" s="3"/>
      <c r="AY84" s="3"/>
      <c r="AZ84" s="3"/>
      <c r="BA84" s="3"/>
      <c r="BB84" s="3"/>
      <c r="BC84" s="3"/>
      <c r="BD84" s="3"/>
      <c r="BE84" s="3"/>
      <c r="BF84" s="3"/>
      <c r="BG84" s="3"/>
      <c r="BH84" s="3"/>
      <c r="BI84" s="3"/>
      <c r="BJ84" s="3"/>
    </row>
    <row r="85" spans="1:62" ht="6" customHeight="1">
      <c r="A85" s="222" t="s">
        <v>360</v>
      </c>
      <c r="B85" s="222"/>
      <c r="C85" s="222"/>
      <c r="D85" s="222"/>
      <c r="E85" s="222"/>
      <c r="F85" s="222"/>
      <c r="G85" s="222"/>
      <c r="H85" s="222"/>
      <c r="I85" s="222"/>
      <c r="J85" s="222"/>
      <c r="K85" s="222"/>
      <c r="L85" s="222"/>
      <c r="M85" s="222"/>
      <c r="N85" s="27"/>
      <c r="O85" s="82"/>
      <c r="P85" s="38"/>
      <c r="Q85" s="37"/>
      <c r="R85" s="43"/>
      <c r="S85" s="181"/>
      <c r="T85" s="182"/>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3"/>
      <c r="AS85" s="3"/>
      <c r="AT85" s="3"/>
      <c r="AU85" s="3"/>
      <c r="AV85" s="3"/>
      <c r="AW85" s="3"/>
      <c r="AX85" s="3"/>
      <c r="AY85" s="3"/>
      <c r="AZ85" s="3"/>
      <c r="BA85" s="3"/>
      <c r="BB85" s="3"/>
      <c r="BC85" s="3"/>
      <c r="BD85" s="3"/>
      <c r="BE85" s="3"/>
      <c r="BF85" s="3"/>
      <c r="BG85" s="3"/>
      <c r="BH85" s="3"/>
      <c r="BI85" s="3"/>
      <c r="BJ85" s="3"/>
    </row>
    <row r="86" spans="1:62" ht="6" customHeight="1">
      <c r="A86" s="222"/>
      <c r="B86" s="222"/>
      <c r="C86" s="222"/>
      <c r="D86" s="222"/>
      <c r="E86" s="222"/>
      <c r="F86" s="222"/>
      <c r="G86" s="222"/>
      <c r="H86" s="222"/>
      <c r="I86" s="222"/>
      <c r="J86" s="222"/>
      <c r="K86" s="222"/>
      <c r="L86" s="222"/>
      <c r="M86" s="222"/>
      <c r="N86" s="27"/>
      <c r="O86" s="82"/>
      <c r="P86" s="38"/>
      <c r="Q86" s="37"/>
      <c r="R86" s="43"/>
      <c r="S86" s="181"/>
      <c r="T86" s="183"/>
      <c r="V86" s="2"/>
      <c r="AN86" s="3"/>
      <c r="AO86" s="3"/>
      <c r="AP86" s="3"/>
      <c r="AQ86" s="3"/>
      <c r="AR86" s="3"/>
      <c r="AS86" s="3"/>
      <c r="AT86" s="3"/>
      <c r="AU86" s="3"/>
      <c r="AV86" s="3"/>
      <c r="AW86" s="3"/>
      <c r="AX86" s="3"/>
      <c r="AY86" s="3"/>
      <c r="AZ86" s="3"/>
      <c r="BA86" s="3"/>
      <c r="BB86" s="3"/>
      <c r="BC86" s="3"/>
      <c r="BD86" s="3"/>
      <c r="BE86" s="3"/>
      <c r="BF86" s="3"/>
      <c r="BG86" s="3"/>
      <c r="BH86" s="3"/>
      <c r="BI86" s="3"/>
      <c r="BJ86" s="3"/>
    </row>
    <row r="87" spans="1:62" ht="9" customHeight="1">
      <c r="A87" s="86"/>
      <c r="B87" s="86"/>
      <c r="C87" s="86"/>
      <c r="D87" s="86"/>
      <c r="E87" s="86"/>
      <c r="F87" s="86"/>
      <c r="G87" s="86"/>
      <c r="H87" s="86"/>
      <c r="I87" s="86"/>
      <c r="J87" s="86"/>
      <c r="K87" s="86"/>
      <c r="L87" s="86"/>
      <c r="M87" s="86"/>
      <c r="N87" s="27"/>
      <c r="O87" s="82"/>
      <c r="P87" s="38"/>
      <c r="Q87" s="37"/>
      <c r="R87" s="43"/>
      <c r="S87" s="181"/>
      <c r="T87" s="183"/>
      <c r="V87" s="2"/>
      <c r="AN87" s="3"/>
      <c r="AO87" s="3"/>
      <c r="AP87" s="3"/>
      <c r="AQ87" s="3"/>
      <c r="AR87" s="3"/>
      <c r="AS87" s="3"/>
      <c r="AT87" s="3"/>
      <c r="AU87" s="3"/>
      <c r="AV87" s="3"/>
      <c r="AW87" s="3"/>
      <c r="AX87" s="3"/>
      <c r="AY87" s="3"/>
      <c r="AZ87" s="3"/>
      <c r="BA87" s="3"/>
      <c r="BB87" s="3"/>
      <c r="BC87" s="3"/>
      <c r="BD87" s="3"/>
      <c r="BE87" s="3"/>
      <c r="BF87" s="3"/>
      <c r="BG87" s="3"/>
      <c r="BH87" s="3"/>
      <c r="BI87" s="3"/>
      <c r="BJ87" s="3"/>
    </row>
    <row r="88" spans="1:62" ht="13.9" customHeight="1">
      <c r="A88" s="45"/>
      <c r="B88" s="2"/>
      <c r="C88" s="203" t="s">
        <v>95</v>
      </c>
      <c r="D88" s="203"/>
      <c r="E88" s="203"/>
      <c r="F88" s="203"/>
      <c r="G88" s="203"/>
      <c r="H88" s="203"/>
      <c r="I88" s="203"/>
      <c r="J88" s="203"/>
      <c r="K88" s="203"/>
      <c r="L88" s="203"/>
      <c r="M88" s="203"/>
      <c r="N88" s="203"/>
      <c r="O88" s="203"/>
      <c r="P88" s="203"/>
      <c r="Q88" s="3"/>
      <c r="R88" s="3"/>
      <c r="S88" s="185"/>
      <c r="T88" s="184"/>
      <c r="U88" s="3"/>
      <c r="V88" s="3"/>
      <c r="W88" s="3"/>
      <c r="X88" s="3"/>
      <c r="Y88" s="3"/>
      <c r="Z88" s="3"/>
      <c r="AA88" s="3"/>
      <c r="AB88" s="3"/>
      <c r="AC88" s="3"/>
      <c r="AD88" s="3"/>
      <c r="AF88" s="3"/>
      <c r="AG88" s="3"/>
      <c r="AH88" s="3"/>
      <c r="AI88" s="3"/>
      <c r="AJ88" s="3"/>
      <c r="AK88" s="3"/>
      <c r="AL88" s="3"/>
      <c r="AM88" s="3"/>
      <c r="AN88" s="3"/>
      <c r="AQ88" s="3"/>
    </row>
    <row r="89" spans="1:62" ht="10.9" customHeight="1">
      <c r="A89" s="3"/>
      <c r="C89" s="3"/>
      <c r="P89" s="3"/>
      <c r="Q89" s="3"/>
      <c r="R89" s="3"/>
      <c r="S89" s="185"/>
      <c r="T89" s="184"/>
      <c r="U89" s="214"/>
      <c r="V89" s="214"/>
      <c r="W89" s="3"/>
      <c r="X89" s="3"/>
      <c r="Y89" s="3"/>
      <c r="Z89" s="3"/>
      <c r="AA89" s="3"/>
      <c r="AB89" s="3"/>
      <c r="AC89" s="214"/>
      <c r="AD89" s="214"/>
      <c r="AF89" s="3"/>
      <c r="AG89" s="3"/>
      <c r="AH89" s="3"/>
      <c r="AI89" s="24"/>
      <c r="AJ89" s="24"/>
      <c r="AK89" s="24"/>
      <c r="AL89" s="24"/>
      <c r="AN89" s="3"/>
      <c r="AP89" s="3"/>
      <c r="AQ89" s="3"/>
      <c r="AR89" s="3"/>
      <c r="AS89" s="3"/>
      <c r="AT89" s="3"/>
      <c r="AU89" s="3"/>
      <c r="AV89" s="3"/>
      <c r="AW89" s="3"/>
      <c r="AX89" s="3"/>
      <c r="AY89" s="3"/>
      <c r="AZ89" s="3"/>
      <c r="BA89" s="3"/>
      <c r="BB89" s="3"/>
      <c r="BC89" s="3"/>
      <c r="BD89" s="3"/>
      <c r="BE89" s="3"/>
      <c r="BF89" s="3"/>
      <c r="BG89" s="3"/>
      <c r="BH89" s="3"/>
      <c r="BI89" s="3"/>
      <c r="BJ89" s="3"/>
    </row>
    <row r="90" spans="1:62" ht="6" customHeight="1">
      <c r="A90" s="226">
        <v>13</v>
      </c>
      <c r="B90" s="56"/>
      <c r="C90" s="224" t="str">
        <f>INDEX(Riferimenti!$B$2:$B$60,A90)</f>
        <v>5-Idrossiindolacetico </v>
      </c>
      <c r="D90" s="224"/>
      <c r="E90" s="224"/>
      <c r="F90" s="224"/>
      <c r="G90" s="224"/>
      <c r="H90" s="224"/>
      <c r="I90" s="224"/>
      <c r="J90" s="224"/>
      <c r="K90" s="224"/>
      <c r="L90" s="224"/>
      <c r="M90" s="224"/>
      <c r="N90" s="224"/>
      <c r="O90" s="216">
        <f>INDEX(Riferimenti!$C$2:$C$65,A90)</f>
        <v>0.4</v>
      </c>
      <c r="P90" s="216" t="str">
        <f>INDEX(Riferimenti!$D$2:$D$66,A90)</f>
        <v>-</v>
      </c>
      <c r="Q90" s="217">
        <f>INDEX(Riferimenti!$E$2:$E$66,A90)</f>
        <v>2.7</v>
      </c>
      <c r="R90" s="225"/>
      <c r="S90" s="240"/>
      <c r="T90" s="240"/>
      <c r="V90" s="2"/>
      <c r="AG90" s="216">
        <f>INDEX(Riferimenti!$Q$2:$Q$60,A90)</f>
        <v>1.1000000000000001</v>
      </c>
      <c r="AH90" s="216">
        <f>INDEX(Riferimenti!$R$2:$R$60,A90)</f>
        <v>2.1</v>
      </c>
      <c r="AI90" s="3"/>
      <c r="AN90" s="3"/>
      <c r="AT90" s="3"/>
      <c r="AU90" s="3"/>
      <c r="AV90" s="3"/>
      <c r="AW90" s="3"/>
      <c r="AX90" s="3"/>
      <c r="AY90" s="3"/>
      <c r="AZ90" s="3"/>
      <c r="BA90" s="3"/>
      <c r="BB90" s="3"/>
      <c r="BC90" s="3"/>
      <c r="BD90" s="3"/>
      <c r="BE90" s="3"/>
      <c r="BF90" s="3"/>
      <c r="BG90" s="3"/>
      <c r="BH90" s="3"/>
      <c r="BI90" s="3"/>
      <c r="BJ90" s="3"/>
    </row>
    <row r="91" spans="1:62" ht="5.45" customHeight="1">
      <c r="A91" s="226"/>
      <c r="B91" s="56"/>
      <c r="C91" s="224"/>
      <c r="D91" s="224"/>
      <c r="E91" s="224"/>
      <c r="F91" s="224"/>
      <c r="G91" s="224"/>
      <c r="H91" s="224"/>
      <c r="I91" s="224"/>
      <c r="J91" s="224"/>
      <c r="K91" s="224"/>
      <c r="L91" s="224"/>
      <c r="M91" s="224"/>
      <c r="N91" s="224"/>
      <c r="O91" s="216"/>
      <c r="P91" s="216"/>
      <c r="Q91" s="217"/>
      <c r="R91" s="225"/>
      <c r="S91" s="240"/>
      <c r="T91" s="240"/>
      <c r="U91"/>
      <c r="V91"/>
      <c r="W91"/>
      <c r="X91"/>
      <c r="Y91"/>
      <c r="Z91"/>
      <c r="AA91"/>
      <c r="AB91"/>
      <c r="AC91"/>
      <c r="AD91"/>
      <c r="AF91"/>
      <c r="AG91" s="216"/>
      <c r="AH91" s="216"/>
      <c r="AN91" s="3"/>
      <c r="AO91" s="3"/>
      <c r="AP91" s="3"/>
      <c r="AQ91" s="3"/>
      <c r="AR91" s="3"/>
      <c r="AS91" s="3"/>
      <c r="AT91" s="3"/>
      <c r="AU91" s="3"/>
      <c r="AV91" s="3"/>
      <c r="AW91" s="3"/>
      <c r="AX91" s="3"/>
      <c r="AY91" s="3"/>
      <c r="AZ91" s="3"/>
      <c r="BA91" s="3"/>
      <c r="BB91" s="3"/>
      <c r="BC91" s="3"/>
      <c r="BD91" s="3"/>
      <c r="BE91" s="3"/>
      <c r="BF91" s="3"/>
      <c r="BG91" s="3"/>
      <c r="BH91" s="3"/>
      <c r="BI91" s="3"/>
      <c r="BJ91" s="3"/>
    </row>
    <row r="92" spans="1:62" ht="6" customHeight="1">
      <c r="A92" s="222" t="s">
        <v>96</v>
      </c>
      <c r="B92" s="222"/>
      <c r="C92" s="222"/>
      <c r="D92" s="222"/>
      <c r="E92" s="222"/>
      <c r="F92" s="222"/>
      <c r="G92" s="222"/>
      <c r="H92" s="222"/>
      <c r="I92" s="222"/>
      <c r="J92" s="222"/>
      <c r="K92" s="222"/>
      <c r="L92" s="222"/>
      <c r="M92" s="222"/>
      <c r="N92" s="27"/>
      <c r="O92" s="82"/>
      <c r="P92" s="42"/>
      <c r="Q92" s="76"/>
      <c r="R92" s="84"/>
      <c r="S92" s="181"/>
      <c r="T92" s="182"/>
      <c r="U92" s="43"/>
      <c r="V92" s="43"/>
      <c r="W92" s="43"/>
      <c r="X92" s="43"/>
      <c r="Y92" s="43"/>
      <c r="Z92" s="43"/>
      <c r="AA92" s="43"/>
      <c r="AB92" s="43"/>
      <c r="AC92" s="43"/>
      <c r="AD92" s="43"/>
      <c r="AF92" s="43"/>
      <c r="AG92" s="43"/>
      <c r="AH92" s="43"/>
      <c r="AI92" s="43"/>
      <c r="AJ92" s="43"/>
      <c r="AK92" s="43"/>
      <c r="AL92" s="43"/>
      <c r="AM92" s="43"/>
      <c r="AN92" s="43"/>
      <c r="AO92" s="43"/>
      <c r="AP92" s="43"/>
      <c r="AQ92" s="43"/>
      <c r="AR92" s="3"/>
      <c r="AS92" s="3"/>
      <c r="AT92" s="3"/>
      <c r="AU92" s="3"/>
      <c r="AV92" s="3"/>
      <c r="AW92" s="3"/>
      <c r="AX92" s="3"/>
      <c r="AY92" s="3"/>
      <c r="AZ92" s="3"/>
      <c r="BA92" s="3"/>
      <c r="BB92" s="3"/>
      <c r="BC92" s="3"/>
      <c r="BD92" s="3"/>
      <c r="BE92" s="3"/>
      <c r="BF92" s="3"/>
      <c r="BG92" s="3"/>
      <c r="BH92" s="3"/>
      <c r="BI92" s="3"/>
      <c r="BJ92" s="3"/>
    </row>
    <row r="93" spans="1:62" ht="6" customHeight="1">
      <c r="A93" s="222"/>
      <c r="B93" s="222"/>
      <c r="C93" s="222"/>
      <c r="D93" s="222"/>
      <c r="E93" s="222"/>
      <c r="F93" s="222"/>
      <c r="G93" s="222"/>
      <c r="H93" s="222"/>
      <c r="I93" s="222"/>
      <c r="J93" s="222"/>
      <c r="K93" s="222"/>
      <c r="L93" s="222"/>
      <c r="M93" s="222"/>
      <c r="N93" s="27"/>
      <c r="O93" s="82"/>
      <c r="P93" s="42"/>
      <c r="Q93" s="76"/>
      <c r="R93" s="84"/>
      <c r="S93" s="181"/>
      <c r="T93" s="183"/>
      <c r="V93" s="2"/>
      <c r="AN93" s="3"/>
      <c r="AO93" s="3"/>
      <c r="AP93" s="3"/>
      <c r="AQ93" s="3"/>
      <c r="AR93" s="3"/>
      <c r="AS93" s="3"/>
      <c r="AT93" s="3"/>
      <c r="AU93" s="3"/>
      <c r="AV93" s="3"/>
      <c r="AW93" s="3"/>
      <c r="AX93" s="3"/>
      <c r="AY93" s="3"/>
      <c r="AZ93" s="3"/>
      <c r="BA93" s="3"/>
      <c r="BB93" s="3"/>
      <c r="BC93" s="3"/>
      <c r="BD93" s="3"/>
      <c r="BE93" s="3"/>
      <c r="BF93" s="3"/>
      <c r="BG93" s="3"/>
      <c r="BH93" s="3"/>
      <c r="BI93" s="3"/>
      <c r="BJ93" s="3"/>
    </row>
    <row r="94" spans="1:62" ht="10.9" customHeight="1">
      <c r="A94" s="79"/>
      <c r="B94" s="79"/>
      <c r="C94" s="79"/>
      <c r="D94" s="79"/>
      <c r="E94" s="79"/>
      <c r="F94" s="79"/>
      <c r="G94" s="79"/>
      <c r="H94" s="79"/>
      <c r="I94" s="79"/>
      <c r="J94" s="79"/>
      <c r="K94" s="79"/>
      <c r="L94" s="79"/>
      <c r="M94" s="79"/>
      <c r="N94" s="27"/>
      <c r="O94" s="82"/>
      <c r="P94" s="42"/>
      <c r="Q94" s="76"/>
      <c r="R94" s="84"/>
      <c r="S94" s="181"/>
      <c r="T94" s="183"/>
      <c r="V94" s="2"/>
      <c r="AN94" s="3"/>
      <c r="AO94" s="3"/>
      <c r="AP94" s="3"/>
      <c r="AQ94" s="3"/>
      <c r="AR94" s="3"/>
      <c r="AS94" s="3"/>
      <c r="AT94" s="3"/>
      <c r="AU94" s="3"/>
      <c r="AV94" s="3"/>
      <c r="AW94" s="3"/>
      <c r="AX94" s="3"/>
      <c r="AY94" s="3"/>
      <c r="AZ94" s="3"/>
      <c r="BA94" s="3"/>
      <c r="BB94" s="3"/>
      <c r="BC94" s="3"/>
      <c r="BD94" s="3"/>
      <c r="BE94" s="3"/>
      <c r="BF94" s="3"/>
      <c r="BG94" s="3"/>
      <c r="BH94" s="3"/>
      <c r="BI94" s="3"/>
      <c r="BJ94" s="3"/>
    </row>
    <row r="95" spans="1:62" ht="6" customHeight="1">
      <c r="A95" s="223">
        <v>14</v>
      </c>
      <c r="B95" s="56"/>
      <c r="C95" s="224" t="str">
        <f>INDEX(Riferimenti!$B$2:$B$60,A95)</f>
        <v>Chinurenico</v>
      </c>
      <c r="D95" s="224"/>
      <c r="E95" s="224"/>
      <c r="F95" s="224"/>
      <c r="G95" s="224"/>
      <c r="H95" s="224"/>
      <c r="I95" s="224"/>
      <c r="J95" s="224"/>
      <c r="K95" s="224"/>
      <c r="L95" s="224"/>
      <c r="M95" s="224"/>
      <c r="N95" s="224"/>
      <c r="O95" s="216">
        <f>INDEX(Riferimenti!$C$2:$C$65,A95)</f>
        <v>0.3</v>
      </c>
      <c r="P95" s="216" t="str">
        <f>INDEX(Riferimenti!$D$2:$D$66,A95)</f>
        <v>-</v>
      </c>
      <c r="Q95" s="217">
        <f>INDEX(Riferimenti!$E$2:$E$66,A95)</f>
        <v>2</v>
      </c>
      <c r="R95" s="225"/>
      <c r="S95" s="240"/>
      <c r="T95" s="240"/>
      <c r="V95" s="2"/>
      <c r="AG95" s="216">
        <f>INDEX(Riferimenti!$Q$2:$Q$60,A95)</f>
        <v>0.5</v>
      </c>
      <c r="AH95" s="216">
        <f>INDEX(Riferimenti!$R$2:$R$60,A95)</f>
        <v>1.5</v>
      </c>
      <c r="AI95" s="3"/>
      <c r="AN95" s="3"/>
      <c r="AT95" s="3"/>
      <c r="AU95" s="3"/>
      <c r="AV95" s="3"/>
      <c r="AW95" s="3"/>
      <c r="AX95" s="3"/>
      <c r="AY95" s="3"/>
      <c r="AZ95" s="3"/>
      <c r="BA95" s="3"/>
      <c r="BB95" s="3"/>
      <c r="BC95" s="3"/>
      <c r="BD95" s="3"/>
      <c r="BE95" s="3"/>
      <c r="BF95" s="3"/>
      <c r="BG95" s="3"/>
      <c r="BH95" s="3"/>
      <c r="BI95" s="3"/>
      <c r="BJ95" s="3"/>
    </row>
    <row r="96" spans="1:62" ht="5.45" customHeight="1">
      <c r="A96" s="223"/>
      <c r="B96" s="56"/>
      <c r="C96" s="224"/>
      <c r="D96" s="224"/>
      <c r="E96" s="224"/>
      <c r="F96" s="224"/>
      <c r="G96" s="224"/>
      <c r="H96" s="224"/>
      <c r="I96" s="224"/>
      <c r="J96" s="224"/>
      <c r="K96" s="224"/>
      <c r="L96" s="224"/>
      <c r="M96" s="224"/>
      <c r="N96" s="224"/>
      <c r="O96" s="216"/>
      <c r="P96" s="216"/>
      <c r="Q96" s="217"/>
      <c r="R96" s="225"/>
      <c r="S96" s="240"/>
      <c r="T96" s="240"/>
      <c r="U96"/>
      <c r="V96"/>
      <c r="W96"/>
      <c r="X96"/>
      <c r="Y96"/>
      <c r="Z96"/>
      <c r="AA96"/>
      <c r="AB96"/>
      <c r="AC96"/>
      <c r="AD96"/>
      <c r="AF96"/>
      <c r="AG96" s="216"/>
      <c r="AH96" s="216"/>
      <c r="AN96" s="3"/>
      <c r="AO96" s="3"/>
      <c r="AP96" s="3"/>
      <c r="AQ96" s="3"/>
      <c r="AR96" s="3"/>
      <c r="AS96" s="3"/>
      <c r="AT96" s="3"/>
      <c r="AU96" s="3"/>
      <c r="AV96" s="3"/>
      <c r="AW96" s="3"/>
      <c r="AX96" s="3"/>
      <c r="AY96" s="3"/>
      <c r="AZ96" s="3"/>
      <c r="BA96" s="3"/>
      <c r="BB96" s="3"/>
      <c r="BC96" s="3"/>
      <c r="BD96" s="3"/>
      <c r="BE96" s="3"/>
      <c r="BF96" s="3"/>
      <c r="BG96" s="3"/>
      <c r="BH96" s="3"/>
      <c r="BI96" s="3"/>
      <c r="BJ96" s="3"/>
    </row>
    <row r="97" spans="1:62" ht="6" customHeight="1">
      <c r="A97" s="205"/>
      <c r="B97" s="205"/>
      <c r="C97" s="205"/>
      <c r="D97" s="205"/>
      <c r="E97" s="205"/>
      <c r="F97" s="205"/>
      <c r="G97" s="205"/>
      <c r="H97" s="205"/>
      <c r="I97" s="205"/>
      <c r="J97" s="205"/>
      <c r="K97" s="205"/>
      <c r="L97" s="205"/>
      <c r="M97" s="205"/>
      <c r="N97" s="57"/>
      <c r="O97" s="82"/>
      <c r="P97" s="42"/>
      <c r="Q97" s="76"/>
      <c r="R97" s="84"/>
      <c r="S97" s="181"/>
      <c r="T97" s="182"/>
      <c r="U97" s="43"/>
      <c r="V97" s="43"/>
      <c r="W97" s="43"/>
      <c r="X97" s="43"/>
      <c r="Y97" s="43"/>
      <c r="Z97" s="43"/>
      <c r="AA97" s="43"/>
      <c r="AB97" s="43"/>
      <c r="AC97" s="43"/>
      <c r="AD97" s="43"/>
      <c r="AF97" s="43"/>
      <c r="AG97" s="43"/>
      <c r="AH97" s="43"/>
      <c r="AI97" s="43"/>
      <c r="AJ97" s="43"/>
      <c r="AK97" s="43"/>
      <c r="AL97" s="43"/>
      <c r="AM97" s="43"/>
      <c r="AN97" s="43"/>
      <c r="AO97" s="43"/>
      <c r="AP97" s="43"/>
      <c r="AQ97" s="43"/>
      <c r="AR97" s="3"/>
      <c r="AS97" s="3"/>
      <c r="AT97" s="3"/>
      <c r="AU97" s="3"/>
      <c r="AV97" s="3"/>
      <c r="AW97" s="3"/>
      <c r="AX97" s="3"/>
      <c r="AY97" s="3"/>
      <c r="AZ97" s="3"/>
      <c r="BA97" s="3"/>
      <c r="BB97" s="3"/>
      <c r="BC97" s="3"/>
      <c r="BD97" s="3"/>
      <c r="BE97" s="3"/>
      <c r="BF97" s="3"/>
      <c r="BG97" s="3"/>
      <c r="BH97" s="3"/>
      <c r="BI97" s="3"/>
      <c r="BJ97" s="3"/>
    </row>
    <row r="98" spans="1:62" ht="6" customHeight="1">
      <c r="A98" s="205"/>
      <c r="B98" s="205"/>
      <c r="C98" s="205"/>
      <c r="D98" s="205"/>
      <c r="E98" s="205"/>
      <c r="F98" s="205"/>
      <c r="G98" s="205"/>
      <c r="H98" s="205"/>
      <c r="I98" s="205"/>
      <c r="J98" s="205"/>
      <c r="K98" s="205"/>
      <c r="L98" s="205"/>
      <c r="M98" s="205"/>
      <c r="N98" s="57"/>
      <c r="O98" s="82"/>
      <c r="P98" s="42"/>
      <c r="Q98" s="76"/>
      <c r="R98" s="84"/>
      <c r="S98" s="181"/>
      <c r="T98" s="183"/>
      <c r="V98" s="2"/>
      <c r="AN98" s="3"/>
      <c r="AO98" s="3"/>
      <c r="AP98" s="3"/>
      <c r="AQ98" s="3"/>
      <c r="AR98" s="3"/>
      <c r="AS98" s="3"/>
      <c r="AT98" s="3"/>
      <c r="AU98" s="3"/>
      <c r="AV98" s="3"/>
      <c r="AW98" s="3"/>
      <c r="AX98" s="3"/>
      <c r="AY98" s="3"/>
      <c r="AZ98" s="3"/>
      <c r="BA98" s="3"/>
      <c r="BB98" s="3"/>
      <c r="BC98" s="3"/>
      <c r="BD98" s="3"/>
      <c r="BE98" s="3"/>
      <c r="BF98" s="3"/>
      <c r="BG98" s="3"/>
      <c r="BH98" s="3"/>
      <c r="BI98" s="3"/>
      <c r="BJ98" s="3"/>
    </row>
    <row r="99" spans="1:62" ht="10.9" customHeight="1">
      <c r="A99" s="58"/>
      <c r="B99" s="58"/>
      <c r="C99" s="58"/>
      <c r="D99" s="59"/>
      <c r="E99" s="59"/>
      <c r="F99" s="59"/>
      <c r="G99" s="58"/>
      <c r="H99" s="58"/>
      <c r="I99" s="59"/>
      <c r="J99" s="59"/>
      <c r="K99" s="59"/>
      <c r="L99" s="59"/>
      <c r="M99" s="59"/>
      <c r="N99" s="59"/>
      <c r="P99" s="3"/>
      <c r="Q99" s="3"/>
      <c r="R99" s="3"/>
      <c r="S99" s="185"/>
      <c r="T99" s="184"/>
      <c r="U99" s="214"/>
      <c r="V99" s="214"/>
      <c r="W99" s="3"/>
      <c r="X99" s="3"/>
      <c r="Y99" s="3"/>
      <c r="Z99" s="3"/>
      <c r="AA99" s="3"/>
      <c r="AB99" s="3"/>
      <c r="AC99" s="214"/>
      <c r="AD99" s="214"/>
      <c r="AF99" s="3"/>
      <c r="AG99" s="3"/>
      <c r="AH99" s="3"/>
      <c r="AI99" s="24"/>
      <c r="AJ99" s="24"/>
      <c r="AK99" s="24"/>
      <c r="AL99" s="24"/>
      <c r="AN99" s="3"/>
      <c r="AP99" s="3"/>
      <c r="AQ99" s="3"/>
      <c r="AR99" s="3"/>
      <c r="AS99" s="3"/>
      <c r="AT99" s="3"/>
      <c r="AU99" s="3"/>
      <c r="AV99" s="3"/>
      <c r="AW99" s="3"/>
      <c r="AX99" s="3"/>
      <c r="AY99" s="3"/>
      <c r="AZ99" s="3"/>
      <c r="BA99" s="3"/>
      <c r="BB99" s="3"/>
      <c r="BC99" s="3"/>
      <c r="BD99" s="3"/>
      <c r="BE99" s="3"/>
      <c r="BF99" s="3"/>
      <c r="BG99" s="3"/>
      <c r="BH99" s="3"/>
      <c r="BI99" s="3"/>
      <c r="BJ99" s="3"/>
    </row>
    <row r="100" spans="1:62" ht="6" customHeight="1">
      <c r="A100" s="223">
        <v>15</v>
      </c>
      <c r="B100" s="56"/>
      <c r="C100" s="224" t="str">
        <f>INDEX(Riferimenti!$B$2:$B$60,A100)</f>
        <v>Chinolinico</v>
      </c>
      <c r="D100" s="224"/>
      <c r="E100" s="224"/>
      <c r="F100" s="224"/>
      <c r="G100" s="224"/>
      <c r="H100" s="224"/>
      <c r="I100" s="224"/>
      <c r="J100" s="224"/>
      <c r="K100" s="224"/>
      <c r="L100" s="224"/>
      <c r="M100" s="224"/>
      <c r="N100" s="224"/>
      <c r="O100" s="216" t="str">
        <f>IF(INDEX(Riferimenti!$C$2:$C$66,A100)&gt;0,INDEX(Riferimenti!$C$2:$C$66,A100),"")</f>
        <v/>
      </c>
      <c r="P100" s="216" t="s">
        <v>4</v>
      </c>
      <c r="Q100" s="227">
        <f>INDEX(Riferimenti!$E$2:$E$66,A100)</f>
        <v>8.3000000000000007</v>
      </c>
      <c r="R100" s="225"/>
      <c r="S100" s="240"/>
      <c r="T100" s="240"/>
      <c r="V100" s="2"/>
      <c r="AG100" s="216">
        <f>INDEX(Riferimenti!$Q$2:$Q$60,A100)</f>
        <v>2</v>
      </c>
      <c r="AH100" s="216">
        <f>INDEX(Riferimenti!$R$2:$R$60,A100)</f>
        <v>6.2</v>
      </c>
      <c r="AI100" s="3"/>
      <c r="AN100" s="3"/>
      <c r="AT100" s="3"/>
      <c r="AU100" s="3"/>
      <c r="AV100" s="3"/>
      <c r="AW100" s="3"/>
      <c r="AX100" s="3"/>
      <c r="AY100" s="3"/>
      <c r="AZ100" s="3"/>
      <c r="BA100" s="3"/>
      <c r="BB100" s="3"/>
      <c r="BC100" s="3"/>
      <c r="BD100" s="3"/>
      <c r="BE100" s="3"/>
      <c r="BF100" s="3"/>
      <c r="BG100" s="3"/>
      <c r="BH100" s="3"/>
      <c r="BI100" s="3"/>
      <c r="BJ100" s="3"/>
    </row>
    <row r="101" spans="1:62" ht="5.45" customHeight="1">
      <c r="A101" s="223"/>
      <c r="B101" s="56"/>
      <c r="C101" s="224"/>
      <c r="D101" s="224"/>
      <c r="E101" s="224"/>
      <c r="F101" s="224"/>
      <c r="G101" s="224"/>
      <c r="H101" s="224"/>
      <c r="I101" s="224"/>
      <c r="J101" s="224"/>
      <c r="K101" s="224"/>
      <c r="L101" s="224"/>
      <c r="M101" s="224"/>
      <c r="N101" s="224"/>
      <c r="O101" s="216"/>
      <c r="P101" s="216"/>
      <c r="Q101" s="227"/>
      <c r="R101" s="225"/>
      <c r="S101" s="240"/>
      <c r="T101" s="240"/>
      <c r="U101"/>
      <c r="V101"/>
      <c r="W101"/>
      <c r="X101"/>
      <c r="Y101"/>
      <c r="Z101"/>
      <c r="AA101"/>
      <c r="AB101"/>
      <c r="AC101"/>
      <c r="AD101"/>
      <c r="AF101"/>
      <c r="AG101" s="216"/>
      <c r="AH101" s="216"/>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1:62" ht="6" customHeight="1">
      <c r="A102" s="222"/>
      <c r="B102" s="222"/>
      <c r="C102" s="222"/>
      <c r="D102" s="222"/>
      <c r="E102" s="222"/>
      <c r="F102" s="222"/>
      <c r="G102" s="222"/>
      <c r="H102" s="222"/>
      <c r="I102" s="222"/>
      <c r="J102" s="222"/>
      <c r="K102" s="222"/>
      <c r="L102" s="222"/>
      <c r="M102" s="222"/>
      <c r="N102" s="27"/>
      <c r="O102" s="82"/>
      <c r="P102" s="38"/>
      <c r="Q102" s="37"/>
      <c r="R102" s="43"/>
      <c r="S102" s="43"/>
      <c r="T102" s="43"/>
      <c r="U102" s="43"/>
      <c r="V102" s="43"/>
      <c r="W102" s="43"/>
      <c r="X102" s="43"/>
      <c r="Y102" s="43"/>
      <c r="Z102" s="43"/>
      <c r="AA102" s="43"/>
      <c r="AB102" s="43"/>
      <c r="AC102" s="43"/>
      <c r="AD102" s="43"/>
      <c r="AF102" s="43"/>
      <c r="AG102" s="43"/>
      <c r="AH102" s="43"/>
      <c r="AI102" s="43"/>
      <c r="AJ102" s="43"/>
      <c r="AK102" s="43"/>
      <c r="AL102" s="43"/>
      <c r="AM102" s="43"/>
      <c r="AN102" s="43"/>
      <c r="AO102" s="43"/>
      <c r="AP102" s="43"/>
      <c r="AQ102" s="43"/>
      <c r="AR102" s="3"/>
      <c r="AS102" s="3"/>
      <c r="AT102" s="3"/>
      <c r="AU102" s="3"/>
      <c r="AV102" s="3"/>
      <c r="AW102" s="3"/>
      <c r="AX102" s="3"/>
      <c r="AY102" s="3"/>
      <c r="AZ102" s="3"/>
      <c r="BA102" s="3"/>
      <c r="BB102" s="3"/>
      <c r="BC102" s="3"/>
      <c r="BD102" s="3"/>
      <c r="BE102" s="3"/>
      <c r="BF102" s="3"/>
      <c r="BG102" s="3"/>
      <c r="BH102" s="3"/>
      <c r="BI102" s="3"/>
      <c r="BJ102" s="3"/>
    </row>
    <row r="103" spans="1:62" ht="6" customHeight="1">
      <c r="A103" s="222"/>
      <c r="B103" s="222"/>
      <c r="C103" s="222"/>
      <c r="D103" s="222"/>
      <c r="E103" s="222"/>
      <c r="F103" s="222"/>
      <c r="G103" s="222"/>
      <c r="H103" s="222"/>
      <c r="I103" s="222"/>
      <c r="J103" s="222"/>
      <c r="K103" s="222"/>
      <c r="L103" s="222"/>
      <c r="M103" s="222"/>
      <c r="N103" s="27"/>
      <c r="O103" s="82"/>
      <c r="P103" s="38"/>
      <c r="Q103" s="37"/>
      <c r="R103" s="43"/>
      <c r="S103" s="25"/>
      <c r="V103" s="2"/>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1:62" ht="13.9" customHeight="1">
      <c r="B104" s="2"/>
      <c r="G104" s="2"/>
      <c r="H104" s="2"/>
      <c r="Q104" s="3"/>
      <c r="T104" s="3"/>
      <c r="U104" s="3"/>
      <c r="V104" s="2"/>
      <c r="W104" s="3"/>
      <c r="Z104" s="3"/>
      <c r="AB104" s="3"/>
      <c r="AK104" s="3"/>
      <c r="AL104" s="3"/>
      <c r="AM104" s="3"/>
      <c r="AN104" s="3"/>
    </row>
    <row r="105" spans="1:62" ht="40.9" customHeight="1">
      <c r="B105" s="2"/>
      <c r="F105" s="3"/>
      <c r="H105" s="2"/>
      <c r="I105" s="3"/>
      <c r="J105" s="208" t="s">
        <v>1</v>
      </c>
      <c r="K105" s="208"/>
      <c r="L105" s="208"/>
      <c r="M105" s="208"/>
      <c r="N105" s="208"/>
      <c r="O105" s="208"/>
      <c r="P105" s="208"/>
      <c r="Q105" s="208"/>
      <c r="R105" s="208"/>
      <c r="S105" s="208"/>
      <c r="T105" s="208"/>
      <c r="U105" s="208"/>
      <c r="V105" s="208"/>
      <c r="W105" s="208"/>
      <c r="X105" s="208"/>
      <c r="Y105" s="208"/>
      <c r="Z105" s="208"/>
      <c r="AA105" s="208"/>
      <c r="AB105" s="208"/>
      <c r="AC105" s="208"/>
      <c r="AD105" s="208"/>
      <c r="AK105" s="204"/>
      <c r="AL105" s="204"/>
      <c r="AM105" s="204"/>
      <c r="AN105" s="204"/>
      <c r="AO105" s="204"/>
      <c r="AP105" s="204"/>
      <c r="AQ105" s="204"/>
      <c r="AR105" s="204"/>
      <c r="AS105" s="204"/>
      <c r="AT105" s="204"/>
      <c r="AU105" s="204"/>
    </row>
    <row r="106" spans="1:62" ht="12.6" customHeight="1">
      <c r="B106" s="2"/>
      <c r="G106" s="2"/>
      <c r="H106" s="2"/>
      <c r="J106" s="208"/>
      <c r="K106" s="208"/>
      <c r="L106" s="208"/>
      <c r="M106" s="208"/>
      <c r="N106" s="208"/>
      <c r="O106" s="208"/>
      <c r="P106" s="208"/>
      <c r="Q106" s="208"/>
      <c r="R106" s="208"/>
      <c r="S106" s="208"/>
      <c r="T106" s="208"/>
      <c r="U106" s="208"/>
      <c r="V106" s="208"/>
      <c r="W106" s="208"/>
      <c r="X106" s="208"/>
      <c r="Y106" s="208"/>
      <c r="Z106" s="208"/>
      <c r="AA106" s="208"/>
      <c r="AB106" s="208"/>
      <c r="AC106" s="208"/>
      <c r="AD106" s="208"/>
      <c r="AK106" s="3"/>
      <c r="AL106" s="3"/>
      <c r="AM106" s="3"/>
      <c r="AN106" s="3"/>
    </row>
    <row r="107" spans="1:62" ht="21" customHeight="1" thickBot="1">
      <c r="A107" s="4"/>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K107" s="3"/>
      <c r="AL107" s="3"/>
      <c r="AM107" s="3"/>
      <c r="AN107" s="3"/>
    </row>
    <row r="108" spans="1:62" ht="16.5" thickTop="1">
      <c r="A108" s="207" t="str">
        <f>IF(LEN(nPaz)&gt;0,nPaz,"")</f>
        <v/>
      </c>
      <c r="B108" s="207"/>
      <c r="C108" s="207"/>
      <c r="D108" s="207"/>
      <c r="E108" s="207"/>
      <c r="F108" s="207"/>
      <c r="G108" s="207"/>
      <c r="H108" s="207"/>
      <c r="I108" s="207"/>
      <c r="J108" s="207"/>
      <c r="K108" s="207"/>
      <c r="L108" s="207"/>
      <c r="M108" s="207"/>
      <c r="N108" s="207"/>
      <c r="O108" s="207"/>
      <c r="P108" s="139"/>
      <c r="Q108" s="140" t="s">
        <v>12</v>
      </c>
      <c r="R108" s="141" t="str">
        <f>IF(codfisc&lt;&gt;"",codfisc,"")</f>
        <v/>
      </c>
      <c r="S108" s="142"/>
      <c r="T108" s="138"/>
      <c r="U108" s="138"/>
      <c r="V108" s="138"/>
      <c r="W108" s="138"/>
      <c r="X108" s="143" t="s">
        <v>375</v>
      </c>
      <c r="Y108" s="220" t="str">
        <f>IF(nacc&lt;&gt;"",nacc,"")</f>
        <v/>
      </c>
      <c r="Z108" s="220"/>
      <c r="AA108" s="144" t="s">
        <v>376</v>
      </c>
      <c r="AB108" s="221" t="str">
        <f>IF(dref&lt;&gt;"",dref,"")</f>
        <v/>
      </c>
      <c r="AC108" s="221"/>
      <c r="AD108" s="221"/>
      <c r="AE108" s="145"/>
      <c r="AF108"/>
      <c r="AG108"/>
      <c r="AH108"/>
      <c r="AI108"/>
      <c r="AJ108"/>
      <c r="AK108"/>
      <c r="AL108"/>
      <c r="AM108"/>
      <c r="AN108"/>
      <c r="AO108"/>
      <c r="AP108" s="18"/>
      <c r="AQ108" s="3"/>
      <c r="AR108" s="3"/>
      <c r="AS108" s="3"/>
      <c r="AT108" s="3"/>
      <c r="AV108" s="3"/>
    </row>
    <row r="109" spans="1:62" ht="13.9" customHeight="1">
      <c r="A109" s="210" t="s">
        <v>98</v>
      </c>
      <c r="B109" s="210"/>
      <c r="C109" s="210"/>
      <c r="D109" s="210"/>
      <c r="E109" s="210"/>
      <c r="F109" s="210"/>
      <c r="G109" s="210"/>
      <c r="H109" s="210"/>
      <c r="I109" s="210"/>
      <c r="J109" s="210"/>
      <c r="K109" s="210"/>
      <c r="L109" s="210"/>
      <c r="M109" s="64"/>
      <c r="N109" s="64"/>
      <c r="O109" s="210" t="s">
        <v>99</v>
      </c>
      <c r="P109" s="210"/>
      <c r="Q109" s="210"/>
      <c r="R109" s="62"/>
      <c r="S109" s="211" t="s">
        <v>100</v>
      </c>
      <c r="T109" s="211"/>
      <c r="U109" s="63"/>
      <c r="V109" s="215" t="s">
        <v>173</v>
      </c>
      <c r="W109" s="215"/>
      <c r="X109" s="215"/>
      <c r="Y109" s="215"/>
      <c r="Z109" s="215"/>
      <c r="AA109" s="215"/>
      <c r="AB109" s="215"/>
      <c r="AC109" s="215"/>
      <c r="AD109" s="74"/>
      <c r="AE109" s="6"/>
      <c r="AF109" s="6"/>
      <c r="AG109" s="6"/>
      <c r="AH109" s="6"/>
      <c r="AI109" s="6"/>
      <c r="AJ109" s="6"/>
      <c r="AK109" s="6"/>
      <c r="AL109" s="6"/>
      <c r="AM109" s="6"/>
      <c r="AN109" s="3"/>
      <c r="AP109" s="3"/>
      <c r="AQ109" s="3"/>
      <c r="AR109" s="3"/>
      <c r="AS109" s="3"/>
    </row>
    <row r="110" spans="1:62" ht="13.9" customHeight="1">
      <c r="A110" s="210"/>
      <c r="B110" s="210"/>
      <c r="C110" s="210"/>
      <c r="D110" s="210"/>
      <c r="E110" s="210"/>
      <c r="F110" s="210"/>
      <c r="G110" s="210"/>
      <c r="H110" s="210"/>
      <c r="I110" s="210"/>
      <c r="J110" s="210"/>
      <c r="K110" s="210"/>
      <c r="L110" s="210"/>
      <c r="M110" s="64"/>
      <c r="N110" s="64"/>
      <c r="O110" s="212" t="s">
        <v>102</v>
      </c>
      <c r="P110" s="212"/>
      <c r="Q110" s="212"/>
      <c r="R110" s="63"/>
      <c r="S110" s="213" t="s">
        <v>103</v>
      </c>
      <c r="T110" s="213"/>
      <c r="U110" s="63"/>
      <c r="V110" s="215" t="s">
        <v>442</v>
      </c>
      <c r="W110" s="215"/>
      <c r="X110" s="215"/>
      <c r="Y110" s="215"/>
      <c r="Z110" s="215"/>
      <c r="AA110" s="215"/>
      <c r="AB110" s="215"/>
      <c r="AC110" s="215"/>
      <c r="AD110" s="72"/>
      <c r="AF110"/>
      <c r="AG110"/>
      <c r="AH110"/>
      <c r="AI110"/>
      <c r="AJ110"/>
      <c r="AK110"/>
      <c r="AL110"/>
      <c r="AM110"/>
      <c r="AN110"/>
      <c r="AO110"/>
    </row>
    <row r="111" spans="1:62" ht="13.9" customHeight="1" thickBot="1">
      <c r="A111" s="54"/>
      <c r="B111" s="54"/>
      <c r="C111" s="54"/>
      <c r="D111" s="54"/>
      <c r="E111" s="54"/>
      <c r="F111" s="54"/>
      <c r="G111" s="54"/>
      <c r="H111" s="54"/>
      <c r="I111" s="54"/>
      <c r="J111" s="54"/>
      <c r="K111" s="54"/>
      <c r="L111" s="54"/>
      <c r="M111" s="54"/>
      <c r="N111" s="54"/>
      <c r="O111" s="8"/>
      <c r="P111" s="55" t="s">
        <v>160</v>
      </c>
      <c r="Q111" s="8"/>
      <c r="R111" s="8"/>
      <c r="S111" s="8"/>
      <c r="T111" s="8"/>
      <c r="U111" s="8"/>
      <c r="V111" s="8"/>
      <c r="W111" s="8"/>
      <c r="X111" s="8"/>
      <c r="Y111" s="8"/>
      <c r="Z111" s="8"/>
      <c r="AA111" s="8"/>
      <c r="AB111" s="8"/>
      <c r="AC111" s="8"/>
      <c r="AD111" s="7"/>
      <c r="AE111" s="7"/>
      <c r="AF111"/>
      <c r="AG111"/>
      <c r="AH111"/>
      <c r="AI111"/>
      <c r="AJ111"/>
      <c r="AK111"/>
      <c r="AL111"/>
      <c r="AM111"/>
      <c r="AN111"/>
      <c r="AO111"/>
      <c r="AP111"/>
      <c r="AQ111"/>
      <c r="AR111" s="3"/>
      <c r="AS111" s="3"/>
    </row>
    <row r="112" spans="1:62" ht="9" customHeight="1" thickTop="1">
      <c r="A112" s="11"/>
      <c r="B112" s="9"/>
      <c r="D112" s="3"/>
      <c r="G112" s="2"/>
      <c r="H112" s="2"/>
      <c r="O112" s="46"/>
      <c r="P112" s="46"/>
      <c r="Q112" s="46"/>
      <c r="S112" s="46"/>
      <c r="T112" s="3"/>
      <c r="U112" s="3"/>
      <c r="V112" s="2"/>
      <c r="W112" s="3"/>
      <c r="Z112" s="12"/>
      <c r="AB112" s="3"/>
      <c r="AN112" s="3"/>
      <c r="AV112"/>
      <c r="AW112"/>
      <c r="AX112"/>
      <c r="AY112"/>
      <c r="AZ112"/>
      <c r="BA112"/>
      <c r="BB112"/>
      <c r="BC112"/>
      <c r="BD112"/>
      <c r="BE112"/>
      <c r="BF112"/>
      <c r="BG112"/>
      <c r="BH112"/>
      <c r="BI112"/>
    </row>
    <row r="113" spans="1:62" ht="15.6" customHeight="1">
      <c r="A113" s="206" t="s">
        <v>106</v>
      </c>
      <c r="B113" s="206"/>
      <c r="C113" s="206"/>
      <c r="D113" s="206"/>
      <c r="E113" s="206"/>
      <c r="F113" s="206"/>
      <c r="G113" s="206"/>
      <c r="H113" s="206"/>
      <c r="I113" s="206"/>
      <c r="J113" s="206"/>
      <c r="K113" s="206"/>
      <c r="L113" s="206"/>
      <c r="M113" s="206"/>
      <c r="N113" s="206"/>
      <c r="O113" s="15"/>
      <c r="P113" s="15"/>
      <c r="Q113" s="15"/>
      <c r="R113" s="13"/>
      <c r="S113" s="15"/>
      <c r="T113" s="14"/>
      <c r="U113" s="14"/>
      <c r="V113" s="13"/>
      <c r="W113" s="14"/>
      <c r="X113" s="13"/>
      <c r="Y113" s="13"/>
      <c r="Z113" s="16"/>
      <c r="AA113" s="13"/>
      <c r="AB113" s="14"/>
      <c r="AC113" s="13"/>
      <c r="AD113" s="13"/>
      <c r="AG113" s="238"/>
      <c r="AH113" s="238"/>
      <c r="AN113" s="3"/>
      <c r="AV113"/>
      <c r="AW113"/>
      <c r="AX113"/>
      <c r="AY113"/>
      <c r="AZ113"/>
      <c r="BA113"/>
      <c r="BB113"/>
      <c r="BC113"/>
      <c r="BD113"/>
      <c r="BE113"/>
      <c r="BF113"/>
      <c r="BG113"/>
      <c r="BH113"/>
      <c r="BI113"/>
    </row>
    <row r="114" spans="1:62" ht="9" customHeight="1">
      <c r="V114" s="2"/>
      <c r="AN114" s="3"/>
      <c r="AO114" s="3"/>
      <c r="AP114" s="3"/>
      <c r="AQ114" s="3"/>
      <c r="AR114" s="3"/>
      <c r="AS114" s="3"/>
      <c r="AT114" s="3"/>
      <c r="AU114" s="3"/>
      <c r="AV114"/>
      <c r="AW114"/>
      <c r="AX114"/>
      <c r="AY114"/>
      <c r="AZ114"/>
      <c r="BA114"/>
      <c r="BB114"/>
      <c r="BC114"/>
      <c r="BD114"/>
      <c r="BE114"/>
      <c r="BF114"/>
      <c r="BG114"/>
      <c r="BH114"/>
      <c r="BI114"/>
      <c r="BJ114" s="3"/>
    </row>
    <row r="115" spans="1:62" ht="6" customHeight="1">
      <c r="A115" s="226">
        <v>16</v>
      </c>
      <c r="B115" s="56"/>
      <c r="C115" s="224" t="str">
        <f>INDEX(Riferimenti!$B$2:$B$60,A115)</f>
        <v>Pantotenico (B5)</v>
      </c>
      <c r="D115" s="224"/>
      <c r="E115" s="224"/>
      <c r="F115" s="224"/>
      <c r="G115" s="224"/>
      <c r="H115" s="224"/>
      <c r="I115" s="224"/>
      <c r="J115" s="224"/>
      <c r="K115" s="224"/>
      <c r="L115" s="224"/>
      <c r="M115" s="224"/>
      <c r="N115" s="224"/>
      <c r="O115" s="216" t="str">
        <f>IF(INDEX(Riferimenti!$C$2:$C$66,A115)&gt;0,INDEX(Riferimenti!$C$2:$C$66,A115),"")</f>
        <v/>
      </c>
      <c r="P115" s="216" t="s">
        <v>4</v>
      </c>
      <c r="Q115" s="227">
        <f>INDEX(Riferimenti!$E$2:$E$66,A115)</f>
        <v>1.9</v>
      </c>
      <c r="R115" s="225"/>
      <c r="S115" s="240"/>
      <c r="T115" s="240"/>
      <c r="V115" s="2"/>
      <c r="AG115" s="216">
        <f>INDEX(Riferimenti!$Q$2:$Q$60,A115)</f>
        <v>0.6</v>
      </c>
      <c r="AH115" s="216">
        <f>INDEX(Riferimenti!$R$2:$R$60,A115)</f>
        <v>1.5</v>
      </c>
      <c r="AI115" s="3"/>
      <c r="AN115" s="3"/>
      <c r="AT115" s="3"/>
      <c r="AU115" s="3"/>
      <c r="AV115" s="3"/>
      <c r="AW115" s="3"/>
      <c r="AX115" s="3"/>
      <c r="AY115" s="3"/>
      <c r="AZ115" s="3"/>
      <c r="BA115" s="3"/>
      <c r="BB115" s="3"/>
      <c r="BC115" s="3"/>
      <c r="BD115" s="3"/>
      <c r="BE115" s="3"/>
      <c r="BF115" s="3"/>
      <c r="BG115" s="3"/>
      <c r="BH115" s="3"/>
      <c r="BI115" s="3"/>
      <c r="BJ115" s="3"/>
    </row>
    <row r="116" spans="1:62" ht="5.45" customHeight="1">
      <c r="A116" s="226"/>
      <c r="B116" s="56"/>
      <c r="C116" s="224"/>
      <c r="D116" s="224"/>
      <c r="E116" s="224"/>
      <c r="F116" s="224"/>
      <c r="G116" s="224"/>
      <c r="H116" s="224"/>
      <c r="I116" s="224"/>
      <c r="J116" s="224"/>
      <c r="K116" s="224"/>
      <c r="L116" s="224"/>
      <c r="M116" s="224"/>
      <c r="N116" s="224"/>
      <c r="O116" s="216"/>
      <c r="P116" s="216"/>
      <c r="Q116" s="227"/>
      <c r="R116" s="225"/>
      <c r="S116" s="240"/>
      <c r="T116" s="240"/>
      <c r="U116"/>
      <c r="V116"/>
      <c r="W116"/>
      <c r="X116"/>
      <c r="Y116"/>
      <c r="Z116"/>
      <c r="AA116"/>
      <c r="AB116"/>
      <c r="AC116"/>
      <c r="AD116"/>
      <c r="AF116"/>
      <c r="AG116" s="216"/>
      <c r="AH116" s="216"/>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1:62" ht="6" customHeight="1">
      <c r="A117" s="205"/>
      <c r="B117" s="205"/>
      <c r="C117" s="205"/>
      <c r="D117" s="205"/>
      <c r="E117" s="205"/>
      <c r="F117" s="205"/>
      <c r="G117" s="205"/>
      <c r="H117" s="205"/>
      <c r="I117" s="205"/>
      <c r="J117" s="205"/>
      <c r="K117" s="205"/>
      <c r="L117" s="205"/>
      <c r="M117" s="205"/>
      <c r="N117" s="57"/>
      <c r="O117" s="85"/>
      <c r="P117" s="42"/>
      <c r="Q117" s="76"/>
      <c r="R117" s="43"/>
      <c r="S117" s="181"/>
      <c r="T117" s="182"/>
      <c r="U117" s="43"/>
      <c r="V117" s="43"/>
      <c r="W117" s="43"/>
      <c r="X117" s="43"/>
      <c r="Y117" s="43"/>
      <c r="Z117" s="43"/>
      <c r="AA117" s="43"/>
      <c r="AB117" s="43"/>
      <c r="AC117" s="43"/>
      <c r="AD117" s="43"/>
      <c r="AF117" s="43"/>
      <c r="AG117" s="43"/>
      <c r="AH117" s="43"/>
      <c r="AI117" s="43"/>
      <c r="AJ117" s="43"/>
      <c r="AK117" s="43"/>
      <c r="AL117" s="43"/>
      <c r="AM117" s="43"/>
      <c r="AN117" s="43"/>
      <c r="AO117" s="43"/>
      <c r="AP117" s="43"/>
      <c r="AQ117" s="43"/>
      <c r="AR117" s="3"/>
      <c r="AS117" s="3"/>
      <c r="AT117" s="3"/>
      <c r="AU117" s="3"/>
      <c r="AV117" s="3"/>
      <c r="AW117" s="3"/>
      <c r="AX117" s="3"/>
      <c r="AY117" s="3"/>
      <c r="AZ117" s="3"/>
      <c r="BA117" s="3"/>
      <c r="BB117" s="3"/>
      <c r="BC117" s="3"/>
      <c r="BD117" s="3"/>
      <c r="BE117" s="3"/>
      <c r="BF117" s="3"/>
      <c r="BG117" s="3"/>
      <c r="BH117" s="3"/>
      <c r="BI117" s="3"/>
      <c r="BJ117" s="3"/>
    </row>
    <row r="118" spans="1:62" ht="6" customHeight="1">
      <c r="A118" s="205"/>
      <c r="B118" s="205"/>
      <c r="C118" s="205"/>
      <c r="D118" s="205"/>
      <c r="E118" s="205"/>
      <c r="F118" s="205"/>
      <c r="G118" s="205"/>
      <c r="H118" s="205"/>
      <c r="I118" s="205"/>
      <c r="J118" s="205"/>
      <c r="K118" s="205"/>
      <c r="L118" s="205"/>
      <c r="M118" s="205"/>
      <c r="N118" s="57"/>
      <c r="O118" s="85"/>
      <c r="P118" s="42"/>
      <c r="Q118" s="76"/>
      <c r="R118" s="43"/>
      <c r="S118" s="181"/>
      <c r="T118" s="183"/>
      <c r="V118" s="2"/>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1:62" ht="10.9" customHeight="1">
      <c r="A119" s="58"/>
      <c r="B119" s="58"/>
      <c r="C119" s="58"/>
      <c r="D119" s="59"/>
      <c r="E119" s="59"/>
      <c r="F119" s="59"/>
      <c r="G119" s="58"/>
      <c r="H119" s="58"/>
      <c r="I119" s="59"/>
      <c r="J119" s="59"/>
      <c r="K119" s="59"/>
      <c r="L119" s="59"/>
      <c r="M119" s="59"/>
      <c r="N119" s="59"/>
      <c r="P119" s="42"/>
      <c r="Q119" s="3"/>
      <c r="R119" s="3"/>
      <c r="S119" s="185"/>
      <c r="T119" s="184"/>
      <c r="U119" s="214"/>
      <c r="V119" s="214"/>
      <c r="W119" s="3"/>
      <c r="X119" s="3"/>
      <c r="Y119" s="3"/>
      <c r="Z119" s="3"/>
      <c r="AA119" s="3"/>
      <c r="AB119" s="3"/>
      <c r="AC119" s="214"/>
      <c r="AD119" s="214"/>
      <c r="AF119" s="3"/>
      <c r="AG119" s="3"/>
      <c r="AH119" s="3"/>
      <c r="AI119" s="24"/>
      <c r="AJ119" s="24"/>
      <c r="AK119" s="24"/>
      <c r="AL119" s="24"/>
      <c r="AN119" s="3"/>
      <c r="AP119" s="3"/>
      <c r="AQ119" s="3"/>
      <c r="AR119" s="3"/>
      <c r="AS119" s="3"/>
      <c r="AT119" s="3"/>
      <c r="AU119" s="3"/>
      <c r="AV119" s="3"/>
      <c r="AW119" s="3"/>
      <c r="AX119" s="3"/>
      <c r="AY119" s="3"/>
      <c r="AZ119" s="3"/>
      <c r="BA119" s="3"/>
      <c r="BB119" s="3"/>
      <c r="BC119" s="3"/>
      <c r="BD119" s="3"/>
      <c r="BE119" s="3"/>
      <c r="BF119" s="3"/>
      <c r="BG119" s="3"/>
      <c r="BH119" s="3"/>
      <c r="BI119" s="3"/>
      <c r="BJ119" s="3"/>
    </row>
    <row r="120" spans="1:62" ht="6" customHeight="1">
      <c r="A120" s="226">
        <v>17</v>
      </c>
      <c r="B120" s="56"/>
      <c r="C120" s="224" t="str">
        <f>INDEX(Riferimenti!$B$2:$B$60,A120)</f>
        <v>Glutarico*</v>
      </c>
      <c r="D120" s="224"/>
      <c r="E120" s="224"/>
      <c r="F120" s="224"/>
      <c r="G120" s="224"/>
      <c r="H120" s="224"/>
      <c r="I120" s="224"/>
      <c r="J120" s="224"/>
      <c r="K120" s="224"/>
      <c r="L120" s="224"/>
      <c r="M120" s="224"/>
      <c r="N120" s="224"/>
      <c r="O120" s="216" t="str">
        <f>IF(INDEX(Riferimenti!$C$2:$C$66,A120)&gt;0,INDEX(Riferimenti!$C$2:$C$66,A120),"")</f>
        <v/>
      </c>
      <c r="P120" s="216" t="s">
        <v>4</v>
      </c>
      <c r="Q120" s="217">
        <f>INDEX(Riferimenti!$E$2:$E$66,A120)</f>
        <v>0.7</v>
      </c>
      <c r="R120" s="225"/>
      <c r="S120" s="240"/>
      <c r="T120" s="240"/>
      <c r="V120" s="2"/>
      <c r="AG120" s="216">
        <f>INDEX(Riferimenti!$Q$2:$Q$60,A120)</f>
        <v>0.1</v>
      </c>
      <c r="AH120" s="216">
        <f>INDEX(Riferimenti!$R$2:$R$60,A120)</f>
        <v>0.5</v>
      </c>
      <c r="AI120" s="3"/>
      <c r="AN120" s="3"/>
      <c r="AT120" s="3"/>
      <c r="AU120" s="3"/>
      <c r="AV120" s="3"/>
      <c r="AW120" s="3"/>
      <c r="AX120" s="3"/>
      <c r="AY120" s="3"/>
      <c r="AZ120" s="3"/>
      <c r="BA120" s="3"/>
      <c r="BB120" s="3"/>
      <c r="BC120" s="3"/>
      <c r="BD120" s="3"/>
      <c r="BE120" s="3"/>
      <c r="BF120" s="3"/>
      <c r="BG120" s="3"/>
      <c r="BH120" s="3"/>
      <c r="BI120" s="3"/>
      <c r="BJ120" s="3"/>
    </row>
    <row r="121" spans="1:62" ht="5.45" customHeight="1">
      <c r="A121" s="226"/>
      <c r="B121" s="56"/>
      <c r="C121" s="224"/>
      <c r="D121" s="224"/>
      <c r="E121" s="224"/>
      <c r="F121" s="224"/>
      <c r="G121" s="224"/>
      <c r="H121" s="224"/>
      <c r="I121" s="224"/>
      <c r="J121" s="224"/>
      <c r="K121" s="224"/>
      <c r="L121" s="224"/>
      <c r="M121" s="224"/>
      <c r="N121" s="224"/>
      <c r="O121" s="216"/>
      <c r="P121" s="216"/>
      <c r="Q121" s="217"/>
      <c r="R121" s="225"/>
      <c r="S121" s="240"/>
      <c r="T121" s="240"/>
      <c r="U121"/>
      <c r="V121"/>
      <c r="W121"/>
      <c r="X121"/>
      <c r="Y121"/>
      <c r="Z121"/>
      <c r="AA121"/>
      <c r="AB121"/>
      <c r="AC121"/>
      <c r="AD121"/>
      <c r="AF121"/>
      <c r="AG121" s="216"/>
      <c r="AH121" s="216"/>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1:62" ht="6" customHeight="1">
      <c r="A122" s="244" t="s">
        <v>363</v>
      </c>
      <c r="B122" s="244"/>
      <c r="C122" s="244"/>
      <c r="D122" s="244"/>
      <c r="E122" s="244"/>
      <c r="F122" s="244"/>
      <c r="G122" s="244"/>
      <c r="H122" s="244"/>
      <c r="I122" s="244"/>
      <c r="J122" s="244"/>
      <c r="K122" s="244"/>
      <c r="L122" s="244"/>
      <c r="M122" s="244"/>
      <c r="N122" s="57"/>
      <c r="O122" s="85"/>
      <c r="P122" s="42"/>
      <c r="Q122" s="76"/>
      <c r="R122" s="43"/>
      <c r="S122" s="181"/>
      <c r="T122" s="182"/>
      <c r="U122" s="43"/>
      <c r="V122" s="43"/>
      <c r="W122" s="43"/>
      <c r="X122" s="43"/>
      <c r="Y122" s="43"/>
      <c r="Z122" s="43"/>
      <c r="AA122" s="43"/>
      <c r="AB122" s="43"/>
      <c r="AC122" s="43"/>
      <c r="AD122" s="43"/>
      <c r="AF122" s="43"/>
      <c r="AG122" s="43"/>
      <c r="AH122" s="43"/>
      <c r="AI122" s="43"/>
      <c r="AJ122" s="43"/>
      <c r="AK122" s="43"/>
      <c r="AL122" s="43"/>
      <c r="AM122" s="43"/>
      <c r="AN122" s="43"/>
      <c r="AO122" s="43"/>
      <c r="AP122" s="43"/>
      <c r="AQ122" s="43"/>
      <c r="AR122" s="3"/>
      <c r="AS122" s="3"/>
      <c r="AT122" s="3"/>
      <c r="AU122" s="3"/>
      <c r="AV122" s="3"/>
      <c r="AW122" s="3"/>
      <c r="AX122" s="3"/>
      <c r="AY122" s="3"/>
      <c r="AZ122" s="3"/>
      <c r="BA122" s="3"/>
      <c r="BB122" s="3"/>
      <c r="BC122" s="3"/>
      <c r="BD122" s="3"/>
      <c r="BE122" s="3"/>
      <c r="BF122" s="3"/>
      <c r="BG122" s="3"/>
      <c r="BH122" s="3"/>
      <c r="BI122" s="3"/>
      <c r="BJ122" s="3"/>
    </row>
    <row r="123" spans="1:62" ht="6" customHeight="1">
      <c r="A123" s="244"/>
      <c r="B123" s="244"/>
      <c r="C123" s="244"/>
      <c r="D123" s="244"/>
      <c r="E123" s="244"/>
      <c r="F123" s="244"/>
      <c r="G123" s="244"/>
      <c r="H123" s="244"/>
      <c r="I123" s="244"/>
      <c r="J123" s="244"/>
      <c r="K123" s="244"/>
      <c r="L123" s="244"/>
      <c r="M123" s="244"/>
      <c r="N123" s="57"/>
      <c r="O123" s="85"/>
      <c r="P123" s="42"/>
      <c r="Q123" s="76"/>
      <c r="R123" s="43"/>
      <c r="S123" s="181"/>
      <c r="T123" s="183"/>
      <c r="V123" s="2"/>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1:62" ht="10.9" customHeight="1">
      <c r="A124" s="58"/>
      <c r="B124" s="58"/>
      <c r="C124" s="58"/>
      <c r="D124" s="59"/>
      <c r="E124" s="59"/>
      <c r="F124" s="59"/>
      <c r="G124" s="58"/>
      <c r="H124" s="58"/>
      <c r="I124" s="59"/>
      <c r="J124" s="59"/>
      <c r="K124" s="59"/>
      <c r="L124" s="59"/>
      <c r="M124" s="59"/>
      <c r="N124" s="59"/>
      <c r="P124" s="3"/>
      <c r="Q124" s="3"/>
      <c r="R124" s="3"/>
      <c r="S124" s="185"/>
      <c r="T124" s="184"/>
      <c r="U124" s="214"/>
      <c r="V124" s="214"/>
      <c r="W124" s="3"/>
      <c r="X124" s="3"/>
      <c r="Y124" s="3"/>
      <c r="Z124" s="3"/>
      <c r="AA124" s="3"/>
      <c r="AB124" s="3"/>
      <c r="AC124" s="214"/>
      <c r="AD124" s="214"/>
      <c r="AF124" s="3"/>
      <c r="AG124" s="3"/>
      <c r="AH124" s="3"/>
      <c r="AI124" s="24"/>
      <c r="AJ124" s="24"/>
      <c r="AK124" s="24"/>
      <c r="AL124" s="24"/>
      <c r="AN124" s="3"/>
      <c r="AP124" s="3"/>
      <c r="AQ124" s="3"/>
      <c r="AR124" s="3"/>
      <c r="AS124" s="3"/>
      <c r="AT124" s="3"/>
      <c r="AU124" s="3"/>
      <c r="AV124" s="3"/>
      <c r="AW124" s="3"/>
      <c r="AX124" s="3"/>
      <c r="AY124" s="3"/>
      <c r="AZ124" s="3"/>
      <c r="BA124" s="3"/>
      <c r="BB124" s="3"/>
      <c r="BC124" s="3"/>
      <c r="BD124" s="3"/>
      <c r="BE124" s="3"/>
      <c r="BF124" s="3"/>
      <c r="BG124" s="3"/>
      <c r="BH124" s="3"/>
      <c r="BI124" s="3"/>
      <c r="BJ124" s="3"/>
    </row>
    <row r="125" spans="1:62" ht="6" customHeight="1">
      <c r="A125" s="226">
        <v>18</v>
      </c>
      <c r="B125" s="56"/>
      <c r="C125" s="224" t="str">
        <f>INDEX(Riferimenti!$B$2:$B$60,A125)</f>
        <v>Metilmalonico*</v>
      </c>
      <c r="D125" s="224"/>
      <c r="E125" s="224"/>
      <c r="F125" s="224"/>
      <c r="G125" s="224"/>
      <c r="H125" s="224"/>
      <c r="I125" s="224"/>
      <c r="J125" s="224"/>
      <c r="K125" s="224"/>
      <c r="L125" s="224"/>
      <c r="M125" s="224"/>
      <c r="N125" s="224"/>
      <c r="O125" s="216" t="str">
        <f>IF(INDEX(Riferimenti!$C$2:$C$66,A125)&gt;0,INDEX(Riferimenti!$C$2:$C$66,A125),"")</f>
        <v/>
      </c>
      <c r="P125" s="216" t="s">
        <v>4</v>
      </c>
      <c r="Q125" s="227">
        <f>INDEX(Riferimenti!$E$2:$E$66,A125)</f>
        <v>2.2999999999999998</v>
      </c>
      <c r="R125" s="225"/>
      <c r="S125" s="240"/>
      <c r="T125" s="240"/>
      <c r="V125" s="2"/>
      <c r="AG125" s="216">
        <f>INDEX(Riferimenti!$Q$2:$Q$60,A125)</f>
        <v>0.2</v>
      </c>
      <c r="AH125" s="216">
        <f>INDEX(Riferimenti!$R$2:$R$60,A125)</f>
        <v>1.6</v>
      </c>
      <c r="AI125" s="3"/>
      <c r="AN125" s="3"/>
      <c r="AT125" s="3"/>
      <c r="AU125" s="3"/>
      <c r="AV125" s="3"/>
      <c r="AW125" s="3"/>
      <c r="AX125" s="3"/>
      <c r="AY125" s="3"/>
      <c r="AZ125" s="3"/>
      <c r="BA125" s="3"/>
      <c r="BB125" s="3"/>
      <c r="BC125" s="3"/>
      <c r="BD125" s="3"/>
      <c r="BE125" s="3"/>
      <c r="BF125" s="3"/>
      <c r="BG125" s="3"/>
      <c r="BH125" s="3"/>
      <c r="BI125" s="3"/>
      <c r="BJ125" s="3"/>
    </row>
    <row r="126" spans="1:62" ht="5.45" customHeight="1">
      <c r="A126" s="226"/>
      <c r="B126" s="56"/>
      <c r="C126" s="224"/>
      <c r="D126" s="224"/>
      <c r="E126" s="224"/>
      <c r="F126" s="224"/>
      <c r="G126" s="224"/>
      <c r="H126" s="224"/>
      <c r="I126" s="224"/>
      <c r="J126" s="224"/>
      <c r="K126" s="224"/>
      <c r="L126" s="224"/>
      <c r="M126" s="224"/>
      <c r="N126" s="224"/>
      <c r="O126" s="216"/>
      <c r="P126" s="216"/>
      <c r="Q126" s="227"/>
      <c r="R126" s="225"/>
      <c r="S126" s="240"/>
      <c r="T126" s="240"/>
      <c r="U126"/>
      <c r="V126"/>
      <c r="W126"/>
      <c r="X126"/>
      <c r="Y126"/>
      <c r="Z126"/>
      <c r="AA126"/>
      <c r="AB126"/>
      <c r="AC126"/>
      <c r="AD126"/>
      <c r="AF126"/>
      <c r="AG126" s="216"/>
      <c r="AH126" s="216"/>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1:62" ht="6" customHeight="1">
      <c r="A127" s="244" t="s">
        <v>364</v>
      </c>
      <c r="B127" s="244"/>
      <c r="C127" s="244"/>
      <c r="D127" s="244"/>
      <c r="E127" s="244"/>
      <c r="F127" s="244"/>
      <c r="G127" s="244"/>
      <c r="H127" s="244"/>
      <c r="I127" s="244"/>
      <c r="J127" s="244"/>
      <c r="K127" s="244"/>
      <c r="L127" s="244"/>
      <c r="M127" s="244"/>
      <c r="N127" s="57"/>
      <c r="O127" s="85"/>
      <c r="P127" s="42"/>
      <c r="Q127" s="76"/>
      <c r="R127" s="43"/>
      <c r="S127" s="181"/>
      <c r="T127" s="182"/>
      <c r="U127" s="43"/>
      <c r="V127" s="43"/>
      <c r="W127" s="43"/>
      <c r="X127" s="43"/>
      <c r="Y127" s="43"/>
      <c r="Z127" s="43"/>
      <c r="AA127" s="43"/>
      <c r="AB127" s="43"/>
      <c r="AC127" s="43"/>
      <c r="AD127" s="43"/>
      <c r="AF127" s="43"/>
      <c r="AG127" s="43"/>
      <c r="AH127" s="43"/>
      <c r="AI127" s="43"/>
      <c r="AJ127" s="43"/>
      <c r="AK127" s="43"/>
      <c r="AL127" s="43"/>
      <c r="AM127" s="43"/>
      <c r="AN127" s="43"/>
      <c r="AO127" s="43"/>
      <c r="AP127" s="43"/>
      <c r="AQ127" s="43"/>
      <c r="AR127" s="3"/>
      <c r="AS127" s="3"/>
      <c r="AT127" s="3"/>
      <c r="AU127" s="3"/>
      <c r="AV127" s="3"/>
      <c r="AW127" s="3"/>
      <c r="AX127" s="3"/>
      <c r="AY127" s="3"/>
      <c r="AZ127" s="3"/>
      <c r="BA127" s="3"/>
      <c r="BB127" s="3"/>
      <c r="BC127" s="3"/>
      <c r="BD127" s="3"/>
      <c r="BE127" s="3"/>
      <c r="BF127" s="3"/>
      <c r="BG127" s="3"/>
      <c r="BH127" s="3"/>
      <c r="BI127" s="3"/>
      <c r="BJ127" s="3"/>
    </row>
    <row r="128" spans="1:62" ht="6" customHeight="1">
      <c r="A128" s="244"/>
      <c r="B128" s="244"/>
      <c r="C128" s="244"/>
      <c r="D128" s="244"/>
      <c r="E128" s="244"/>
      <c r="F128" s="244"/>
      <c r="G128" s="244"/>
      <c r="H128" s="244"/>
      <c r="I128" s="244"/>
      <c r="J128" s="244"/>
      <c r="K128" s="244"/>
      <c r="L128" s="244"/>
      <c r="M128" s="244"/>
      <c r="N128" s="57"/>
      <c r="O128" s="85"/>
      <c r="P128" s="42"/>
      <c r="Q128" s="76"/>
      <c r="R128" s="43"/>
      <c r="S128" s="181"/>
      <c r="T128" s="183"/>
      <c r="V128" s="2"/>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1:62" ht="10.9" customHeight="1">
      <c r="A129" s="58"/>
      <c r="B129" s="58"/>
      <c r="C129" s="58"/>
      <c r="D129" s="59"/>
      <c r="E129" s="59"/>
      <c r="F129" s="59"/>
      <c r="G129" s="58"/>
      <c r="H129" s="58"/>
      <c r="I129" s="59"/>
      <c r="J129" s="59"/>
      <c r="K129" s="59"/>
      <c r="L129" s="59"/>
      <c r="M129" s="59"/>
      <c r="N129" s="59"/>
      <c r="P129" s="3"/>
      <c r="Q129" s="3"/>
      <c r="R129" s="3"/>
      <c r="S129" s="185"/>
      <c r="T129" s="184"/>
      <c r="U129" s="214"/>
      <c r="V129" s="214"/>
      <c r="W129" s="3"/>
      <c r="X129" s="3"/>
      <c r="Y129" s="3"/>
      <c r="Z129" s="3"/>
      <c r="AA129" s="3"/>
      <c r="AB129" s="3"/>
      <c r="AC129" s="214"/>
      <c r="AD129" s="214"/>
      <c r="AF129" s="3"/>
      <c r="AG129" s="3"/>
      <c r="AH129" s="3"/>
      <c r="AI129" s="24"/>
      <c r="AJ129" s="24"/>
      <c r="AK129" s="24"/>
      <c r="AL129" s="24"/>
      <c r="AN129" s="3"/>
      <c r="AP129" s="3"/>
      <c r="AQ129" s="3"/>
      <c r="AR129" s="3"/>
      <c r="AS129" s="3"/>
      <c r="AT129" s="3"/>
      <c r="AU129" s="3"/>
      <c r="AV129" s="3"/>
      <c r="AW129" s="3"/>
      <c r="AX129" s="3"/>
      <c r="AY129" s="3"/>
      <c r="AZ129" s="3"/>
      <c r="BA129" s="3"/>
      <c r="BB129" s="3"/>
      <c r="BC129" s="3"/>
      <c r="BD129" s="3"/>
      <c r="BE129" s="3"/>
      <c r="BF129" s="3"/>
      <c r="BG129" s="3"/>
      <c r="BH129" s="3"/>
      <c r="BI129" s="3"/>
      <c r="BJ129" s="3"/>
    </row>
    <row r="130" spans="1:62" ht="6" customHeight="1">
      <c r="A130" s="226">
        <v>19</v>
      </c>
      <c r="B130" s="56"/>
      <c r="C130" s="224" t="str">
        <f>INDEX(Riferimenti!$B$2:$B$60,A130)</f>
        <v>N-Acetil-L-Cisteina (NAC)</v>
      </c>
      <c r="D130" s="224"/>
      <c r="E130" s="224"/>
      <c r="F130" s="224"/>
      <c r="G130" s="224"/>
      <c r="H130" s="224"/>
      <c r="I130" s="224"/>
      <c r="J130" s="224"/>
      <c r="K130" s="224"/>
      <c r="L130" s="224"/>
      <c r="M130" s="224"/>
      <c r="N130" s="224"/>
      <c r="O130" s="216" t="str">
        <f>IF(INDEX(Riferimenti!$C$2:$C$66,A130)&gt;0,INDEX(Riferimenti!$C$2:$C$66,A130),"")</f>
        <v/>
      </c>
      <c r="P130" s="216" t="s">
        <v>4</v>
      </c>
      <c r="Q130" s="217">
        <f>INDEX(Riferimenti!$E$2:$E$66,A130)</f>
        <v>0.2</v>
      </c>
      <c r="R130" s="225"/>
      <c r="S130" s="240"/>
      <c r="T130" s="240"/>
      <c r="V130" s="2"/>
      <c r="AG130" s="216">
        <f>INDEX(Riferimenti!$Q$2:$Q$60,A130)</f>
        <v>0</v>
      </c>
      <c r="AH130" s="216">
        <f>INDEX(Riferimenti!$R$2:$R$60,A130)</f>
        <v>0.1</v>
      </c>
      <c r="AI130" s="3"/>
      <c r="AN130" s="3"/>
      <c r="AT130" s="3"/>
      <c r="AU130" s="3"/>
      <c r="AV130" s="3"/>
      <c r="AW130" s="3"/>
      <c r="AX130" s="3"/>
      <c r="AY130" s="3"/>
      <c r="AZ130" s="3"/>
      <c r="BA130" s="3"/>
      <c r="BB130" s="3"/>
      <c r="BC130" s="3"/>
      <c r="BD130" s="3"/>
      <c r="BE130" s="3"/>
      <c r="BF130" s="3"/>
      <c r="BG130" s="3"/>
      <c r="BH130" s="3"/>
      <c r="BI130" s="3"/>
      <c r="BJ130" s="3"/>
    </row>
    <row r="131" spans="1:62" ht="5.45" customHeight="1">
      <c r="A131" s="226"/>
      <c r="B131" s="56"/>
      <c r="C131" s="224"/>
      <c r="D131" s="224"/>
      <c r="E131" s="224"/>
      <c r="F131" s="224"/>
      <c r="G131" s="224"/>
      <c r="H131" s="224"/>
      <c r="I131" s="224"/>
      <c r="J131" s="224"/>
      <c r="K131" s="224"/>
      <c r="L131" s="224"/>
      <c r="M131" s="224"/>
      <c r="N131" s="224"/>
      <c r="O131" s="216"/>
      <c r="P131" s="216"/>
      <c r="Q131" s="217"/>
      <c r="R131" s="225"/>
      <c r="S131" s="240"/>
      <c r="T131" s="240"/>
      <c r="U131"/>
      <c r="V131"/>
      <c r="W131"/>
      <c r="X131"/>
      <c r="Y131"/>
      <c r="Z131"/>
      <c r="AA131"/>
      <c r="AB131"/>
      <c r="AC131"/>
      <c r="AD131"/>
      <c r="AF131"/>
      <c r="AG131" s="216"/>
      <c r="AH131" s="216"/>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1:62" ht="6" customHeight="1">
      <c r="A132" s="205"/>
      <c r="B132" s="205"/>
      <c r="C132" s="205"/>
      <c r="D132" s="205"/>
      <c r="E132" s="205"/>
      <c r="F132" s="205"/>
      <c r="G132" s="205"/>
      <c r="H132" s="205"/>
      <c r="I132" s="205"/>
      <c r="J132" s="205"/>
      <c r="K132" s="205"/>
      <c r="L132" s="205"/>
      <c r="M132" s="205"/>
      <c r="N132" s="57"/>
      <c r="O132" s="85"/>
      <c r="P132" s="42"/>
      <c r="Q132" s="76"/>
      <c r="R132" s="43"/>
      <c r="S132" s="181"/>
      <c r="T132" s="182"/>
      <c r="U132" s="43"/>
      <c r="V132" s="43"/>
      <c r="W132" s="43"/>
      <c r="X132" s="43"/>
      <c r="Y132" s="43"/>
      <c r="Z132" s="43"/>
      <c r="AA132" s="43"/>
      <c r="AB132" s="43"/>
      <c r="AC132" s="43"/>
      <c r="AD132" s="43"/>
      <c r="AF132" s="43"/>
      <c r="AG132" s="43"/>
      <c r="AH132" s="43"/>
      <c r="AI132" s="43"/>
      <c r="AJ132" s="43"/>
      <c r="AK132" s="43"/>
      <c r="AL132" s="43"/>
      <c r="AM132" s="43"/>
      <c r="AN132" s="43"/>
      <c r="AO132" s="43"/>
      <c r="AP132" s="43"/>
      <c r="AQ132" s="43"/>
      <c r="AR132" s="3"/>
      <c r="AS132" s="3"/>
      <c r="AT132" s="3"/>
      <c r="AU132" s="3"/>
      <c r="AV132" s="3"/>
      <c r="AW132" s="3"/>
      <c r="AX132" s="3"/>
      <c r="AY132" s="3"/>
      <c r="AZ132" s="3"/>
      <c r="BA132" s="3"/>
      <c r="BB132" s="3"/>
      <c r="BC132" s="3"/>
      <c r="BD132" s="3"/>
      <c r="BE132" s="3"/>
      <c r="BF132" s="3"/>
      <c r="BG132" s="3"/>
      <c r="BH132" s="3"/>
      <c r="BI132" s="3"/>
      <c r="BJ132" s="3"/>
    </row>
    <row r="133" spans="1:62" ht="6" customHeight="1">
      <c r="A133" s="205"/>
      <c r="B133" s="205"/>
      <c r="C133" s="205"/>
      <c r="D133" s="205"/>
      <c r="E133" s="205"/>
      <c r="F133" s="205"/>
      <c r="G133" s="205"/>
      <c r="H133" s="205"/>
      <c r="I133" s="205"/>
      <c r="J133" s="205"/>
      <c r="K133" s="205"/>
      <c r="L133" s="205"/>
      <c r="M133" s="205"/>
      <c r="N133" s="57"/>
      <c r="O133" s="85"/>
      <c r="P133" s="42"/>
      <c r="Q133" s="76"/>
      <c r="R133" s="43"/>
      <c r="S133" s="181"/>
      <c r="T133" s="183"/>
      <c r="V133" s="2"/>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1:62" ht="10.9" customHeight="1">
      <c r="A134" s="58"/>
      <c r="B134" s="58"/>
      <c r="C134" s="58"/>
      <c r="D134" s="59"/>
      <c r="E134" s="59"/>
      <c r="F134" s="59"/>
      <c r="G134" s="58"/>
      <c r="H134" s="58"/>
      <c r="I134" s="59"/>
      <c r="J134" s="59"/>
      <c r="K134" s="59"/>
      <c r="L134" s="59"/>
      <c r="M134" s="59"/>
      <c r="N134" s="59"/>
      <c r="P134" s="3"/>
      <c r="Q134" s="3"/>
      <c r="R134" s="3"/>
      <c r="S134" s="185"/>
      <c r="T134" s="184"/>
      <c r="U134" s="214"/>
      <c r="V134" s="214"/>
      <c r="W134" s="3"/>
      <c r="X134" s="3"/>
      <c r="Y134" s="3"/>
      <c r="Z134" s="3"/>
      <c r="AA134" s="3"/>
      <c r="AB134" s="3"/>
      <c r="AC134" s="214"/>
      <c r="AD134" s="214"/>
      <c r="AF134" s="3"/>
      <c r="AG134" s="3"/>
      <c r="AH134" s="3"/>
      <c r="AI134" s="24"/>
      <c r="AJ134" s="24"/>
      <c r="AK134" s="24"/>
      <c r="AL134" s="24"/>
      <c r="AN134" s="3"/>
      <c r="AP134" s="3"/>
      <c r="AQ134" s="3"/>
      <c r="AR134" s="3"/>
      <c r="AS134" s="3"/>
      <c r="AT134" s="3"/>
      <c r="AU134" s="3"/>
      <c r="AV134" s="3"/>
      <c r="AW134" s="3"/>
      <c r="AX134" s="3"/>
      <c r="AY134" s="3"/>
      <c r="AZ134" s="3"/>
      <c r="BA134" s="3"/>
      <c r="BB134" s="3"/>
      <c r="BC134" s="3"/>
      <c r="BD134" s="3"/>
      <c r="BE134" s="3"/>
      <c r="BF134" s="3"/>
      <c r="BG134" s="3"/>
      <c r="BH134" s="3"/>
      <c r="BI134" s="3"/>
      <c r="BJ134" s="3"/>
    </row>
    <row r="135" spans="1:62" ht="6" customHeight="1">
      <c r="A135" s="226">
        <v>20</v>
      </c>
      <c r="B135" s="56"/>
      <c r="C135" s="224" t="str">
        <f>INDEX(Riferimenti!$B$2:$B$60,A135)</f>
        <v>Ascorbico ( C )</v>
      </c>
      <c r="D135" s="224"/>
      <c r="E135" s="224"/>
      <c r="F135" s="224"/>
      <c r="G135" s="224"/>
      <c r="H135" s="224"/>
      <c r="I135" s="224"/>
      <c r="J135" s="224"/>
      <c r="K135" s="224"/>
      <c r="L135" s="224"/>
      <c r="M135" s="224"/>
      <c r="N135" s="224"/>
      <c r="O135" s="216">
        <f>IF(INDEX(Riferimenti!$C$2:$C$66,A135)&gt;0,INDEX(Riferimenti!$C$2:$C$66,A135),"")</f>
        <v>5</v>
      </c>
      <c r="P135" s="216" t="str">
        <f>INDEX(Riferimenti!$D$2:$D$66,A135)</f>
        <v>-</v>
      </c>
      <c r="Q135" s="245">
        <f>INDEX(Riferimenti!$E$2:$E$66,A135)</f>
        <v>54.7</v>
      </c>
      <c r="R135" s="225"/>
      <c r="S135" s="240"/>
      <c r="T135" s="240"/>
      <c r="V135" s="2"/>
      <c r="AG135" s="216">
        <f>INDEX(Riferimenti!$Q$2:$Q$60,A135)</f>
        <v>4.4000000000000004</v>
      </c>
      <c r="AH135" s="216">
        <f>INDEX(Riferimenti!$R$2:$R$60,A135)</f>
        <v>37.9</v>
      </c>
      <c r="AI135" s="3"/>
      <c r="AN135" s="3"/>
      <c r="AT135" s="3"/>
      <c r="AU135" s="3"/>
      <c r="AV135" s="3"/>
      <c r="AW135" s="3"/>
      <c r="AX135" s="3"/>
      <c r="AY135" s="3"/>
      <c r="AZ135" s="3"/>
      <c r="BA135" s="3"/>
      <c r="BB135" s="3"/>
      <c r="BC135" s="3"/>
      <c r="BD135" s="3"/>
      <c r="BE135" s="3"/>
      <c r="BF135" s="3"/>
      <c r="BG135" s="3"/>
      <c r="BH135" s="3"/>
      <c r="BI135" s="3"/>
      <c r="BJ135" s="3"/>
    </row>
    <row r="136" spans="1:62" ht="5.45" customHeight="1">
      <c r="A136" s="226"/>
      <c r="B136" s="56"/>
      <c r="C136" s="224"/>
      <c r="D136" s="224"/>
      <c r="E136" s="224"/>
      <c r="F136" s="224"/>
      <c r="G136" s="224"/>
      <c r="H136" s="224"/>
      <c r="I136" s="224"/>
      <c r="J136" s="224"/>
      <c r="K136" s="224"/>
      <c r="L136" s="224"/>
      <c r="M136" s="224"/>
      <c r="N136" s="224"/>
      <c r="O136" s="216"/>
      <c r="P136" s="216"/>
      <c r="Q136" s="245"/>
      <c r="R136" s="225"/>
      <c r="S136" s="240"/>
      <c r="T136" s="240"/>
      <c r="U136"/>
      <c r="V136"/>
      <c r="W136"/>
      <c r="X136"/>
      <c r="Y136"/>
      <c r="Z136"/>
      <c r="AA136"/>
      <c r="AB136"/>
      <c r="AC136"/>
      <c r="AD136"/>
      <c r="AF136"/>
      <c r="AG136" s="216"/>
      <c r="AH136" s="216"/>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1:62" ht="6" customHeight="1">
      <c r="A137" s="205"/>
      <c r="B137" s="205"/>
      <c r="C137" s="205"/>
      <c r="D137" s="205"/>
      <c r="E137" s="205"/>
      <c r="F137" s="205"/>
      <c r="G137" s="205"/>
      <c r="H137" s="205"/>
      <c r="I137" s="205"/>
      <c r="J137" s="205"/>
      <c r="K137" s="205"/>
      <c r="L137" s="205"/>
      <c r="M137" s="205"/>
      <c r="N137" s="57"/>
      <c r="O137" s="85"/>
      <c r="P137" s="42"/>
      <c r="Q137" s="76"/>
      <c r="R137" s="43"/>
      <c r="S137" s="181"/>
      <c r="T137" s="182"/>
      <c r="U137" s="43"/>
      <c r="V137" s="43"/>
      <c r="W137" s="43"/>
      <c r="X137" s="43"/>
      <c r="Y137" s="43"/>
      <c r="Z137" s="43"/>
      <c r="AA137" s="43"/>
      <c r="AB137" s="43"/>
      <c r="AC137" s="43"/>
      <c r="AD137" s="43"/>
      <c r="AF137" s="43"/>
      <c r="AG137" s="43"/>
      <c r="AH137" s="43"/>
      <c r="AI137" s="43"/>
      <c r="AJ137" s="43"/>
      <c r="AK137" s="43"/>
      <c r="AL137" s="43"/>
      <c r="AM137" s="43"/>
      <c r="AN137" s="43"/>
      <c r="AO137" s="43"/>
      <c r="AP137" s="43"/>
      <c r="AQ137" s="43"/>
      <c r="AR137" s="3"/>
      <c r="AS137" s="3"/>
      <c r="AT137" s="3"/>
      <c r="AU137" s="3"/>
      <c r="AV137" s="3"/>
      <c r="AW137" s="3"/>
      <c r="AX137" s="3"/>
      <c r="AY137" s="3"/>
      <c r="AZ137" s="3"/>
      <c r="BA137" s="3"/>
      <c r="BB137" s="3"/>
      <c r="BC137" s="3"/>
      <c r="BD137" s="3"/>
      <c r="BE137" s="3"/>
      <c r="BF137" s="3"/>
      <c r="BG137" s="3"/>
      <c r="BH137" s="3"/>
      <c r="BI137" s="3"/>
      <c r="BJ137" s="3"/>
    </row>
    <row r="138" spans="1:62" ht="6" customHeight="1">
      <c r="A138" s="205"/>
      <c r="B138" s="205"/>
      <c r="C138" s="205"/>
      <c r="D138" s="205"/>
      <c r="E138" s="205"/>
      <c r="F138" s="205"/>
      <c r="G138" s="205"/>
      <c r="H138" s="205"/>
      <c r="I138" s="205"/>
      <c r="J138" s="205"/>
      <c r="K138" s="205"/>
      <c r="L138" s="205"/>
      <c r="M138" s="205"/>
      <c r="N138" s="57"/>
      <c r="O138" s="85"/>
      <c r="P138" s="42"/>
      <c r="Q138" s="76"/>
      <c r="R138" s="43"/>
      <c r="S138" s="181"/>
      <c r="T138" s="183"/>
      <c r="V138" s="2"/>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1:62" ht="10.9" customHeight="1">
      <c r="A139" s="58"/>
      <c r="B139" s="58"/>
      <c r="C139" s="58"/>
      <c r="D139" s="59"/>
      <c r="E139" s="59"/>
      <c r="F139" s="59"/>
      <c r="G139" s="58"/>
      <c r="H139" s="58"/>
      <c r="I139" s="59"/>
      <c r="J139" s="59"/>
      <c r="K139" s="59"/>
      <c r="L139" s="59"/>
      <c r="M139" s="59"/>
      <c r="N139" s="59"/>
      <c r="P139" s="3"/>
      <c r="Q139" s="3"/>
      <c r="R139" s="3"/>
      <c r="S139" s="185"/>
      <c r="T139" s="184"/>
      <c r="U139" s="214"/>
      <c r="V139" s="214"/>
      <c r="W139" s="3"/>
      <c r="X139" s="3"/>
      <c r="Y139" s="3"/>
      <c r="Z139" s="3"/>
      <c r="AA139" s="3"/>
      <c r="AB139" s="3"/>
      <c r="AC139" s="214"/>
      <c r="AD139" s="214"/>
      <c r="AF139" s="3"/>
      <c r="AG139" s="3"/>
      <c r="AH139" s="3"/>
      <c r="AI139" s="24"/>
      <c r="AJ139" s="24"/>
      <c r="AK139" s="24"/>
      <c r="AL139" s="24"/>
      <c r="AN139" s="3"/>
      <c r="AP139" s="3"/>
      <c r="AQ139" s="3"/>
      <c r="AR139" s="3"/>
      <c r="AS139" s="3"/>
      <c r="AT139" s="3"/>
      <c r="AU139" s="3"/>
      <c r="AV139" s="3"/>
      <c r="AW139" s="3"/>
      <c r="AX139" s="3"/>
      <c r="AY139" s="3"/>
      <c r="AZ139" s="3"/>
      <c r="BA139" s="3"/>
      <c r="BB139" s="3"/>
      <c r="BC139" s="3"/>
      <c r="BD139" s="3"/>
      <c r="BE139" s="3"/>
      <c r="BF139" s="3"/>
      <c r="BG139" s="3"/>
      <c r="BH139" s="3"/>
      <c r="BI139" s="3"/>
      <c r="BJ139" s="3"/>
    </row>
    <row r="140" spans="1:62" ht="6" customHeight="1">
      <c r="A140" s="226">
        <v>21</v>
      </c>
      <c r="B140" s="56"/>
      <c r="C140" s="224" t="str">
        <f>INDEX(Riferimenti!$B$2:$B$60,A140)</f>
        <v>4-Piridossico (B6)</v>
      </c>
      <c r="D140" s="224"/>
      <c r="E140" s="224"/>
      <c r="F140" s="224"/>
      <c r="G140" s="224"/>
      <c r="H140" s="224"/>
      <c r="I140" s="224"/>
      <c r="J140" s="224"/>
      <c r="K140" s="224"/>
      <c r="L140" s="224"/>
      <c r="M140" s="224"/>
      <c r="N140" s="224"/>
      <c r="O140" s="216">
        <f>IF(INDEX(Riferimenti!$C$2:$C$66,A140)&gt;0,INDEX(Riferimenti!$C$2:$C$66,A140),"")</f>
        <v>0.1</v>
      </c>
      <c r="P140" s="216" t="str">
        <f>INDEX(Riferimenti!$D$2:$D$66,A140)</f>
        <v>-</v>
      </c>
      <c r="Q140" s="217">
        <f>INDEX(Riferimenti!$E$2:$E$66,A140)</f>
        <v>0.9</v>
      </c>
      <c r="R140" s="225"/>
      <c r="S140" s="240"/>
      <c r="T140" s="240"/>
      <c r="V140" s="2"/>
      <c r="AG140" s="216">
        <f>INDEX(Riferimenti!$Q$2:$Q$60,A140)</f>
        <v>0.2</v>
      </c>
      <c r="AH140" s="216">
        <f>INDEX(Riferimenti!$R$2:$R$60,A140)</f>
        <v>0.6</v>
      </c>
      <c r="AI140" s="3"/>
      <c r="AN140" s="3"/>
      <c r="AT140" s="3"/>
      <c r="AU140" s="3"/>
      <c r="AV140" s="3"/>
      <c r="AW140" s="3"/>
      <c r="AX140" s="3"/>
      <c r="AY140" s="3"/>
      <c r="AZ140" s="3"/>
      <c r="BA140" s="3"/>
      <c r="BB140" s="3"/>
      <c r="BC140" s="3"/>
      <c r="BD140" s="3"/>
      <c r="BE140" s="3"/>
      <c r="BF140" s="3"/>
      <c r="BG140" s="3"/>
      <c r="BH140" s="3"/>
      <c r="BI140" s="3"/>
      <c r="BJ140" s="3"/>
    </row>
    <row r="141" spans="1:62" ht="5.45" customHeight="1">
      <c r="A141" s="226"/>
      <c r="B141" s="56"/>
      <c r="C141" s="224"/>
      <c r="D141" s="224"/>
      <c r="E141" s="224"/>
      <c r="F141" s="224"/>
      <c r="G141" s="224"/>
      <c r="H141" s="224"/>
      <c r="I141" s="224"/>
      <c r="J141" s="224"/>
      <c r="K141" s="224"/>
      <c r="L141" s="224"/>
      <c r="M141" s="224"/>
      <c r="N141" s="224"/>
      <c r="O141" s="216"/>
      <c r="P141" s="216"/>
      <c r="Q141" s="217"/>
      <c r="R141" s="225"/>
      <c r="S141" s="240"/>
      <c r="T141" s="240"/>
      <c r="U141"/>
      <c r="V141"/>
      <c r="W141"/>
      <c r="X141"/>
      <c r="Y141"/>
      <c r="Z141"/>
      <c r="AA141"/>
      <c r="AB141"/>
      <c r="AC141"/>
      <c r="AD141"/>
      <c r="AF141"/>
      <c r="AG141" s="216"/>
      <c r="AH141" s="216"/>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1:62" ht="6" customHeight="1">
      <c r="A142" s="205"/>
      <c r="B142" s="205"/>
      <c r="C142" s="205"/>
      <c r="D142" s="205"/>
      <c r="E142" s="205"/>
      <c r="F142" s="205"/>
      <c r="G142" s="205"/>
      <c r="H142" s="205"/>
      <c r="I142" s="205"/>
      <c r="J142" s="205"/>
      <c r="K142" s="205"/>
      <c r="L142" s="205"/>
      <c r="M142" s="205"/>
      <c r="N142" s="57"/>
      <c r="O142" s="85"/>
      <c r="P142" s="42"/>
      <c r="Q142" s="76"/>
      <c r="R142" s="43"/>
      <c r="S142" s="181"/>
      <c r="T142" s="182"/>
      <c r="U142" s="43"/>
      <c r="V142" s="43"/>
      <c r="W142" s="43"/>
      <c r="X142" s="43"/>
      <c r="Y142" s="43"/>
      <c r="Z142" s="43"/>
      <c r="AA142" s="43"/>
      <c r="AB142" s="43"/>
      <c r="AC142" s="43"/>
      <c r="AD142" s="43"/>
      <c r="AF142" s="43"/>
      <c r="AG142" s="43"/>
      <c r="AH142" s="43"/>
      <c r="AI142" s="43"/>
      <c r="AJ142" s="43"/>
      <c r="AK142" s="43"/>
      <c r="AL142" s="43"/>
      <c r="AM142" s="43"/>
      <c r="AN142" s="43"/>
      <c r="AO142" s="43"/>
      <c r="AP142" s="43"/>
      <c r="AQ142" s="43"/>
      <c r="AR142" s="3"/>
      <c r="AS142" s="3"/>
      <c r="AT142" s="3"/>
      <c r="AU142" s="3"/>
      <c r="AV142" s="3"/>
      <c r="AW142" s="3"/>
      <c r="AX142" s="3"/>
      <c r="AY142" s="3"/>
      <c r="AZ142" s="3"/>
      <c r="BA142" s="3"/>
      <c r="BB142" s="3"/>
      <c r="BC142" s="3"/>
      <c r="BD142" s="3"/>
      <c r="BE142" s="3"/>
      <c r="BF142" s="3"/>
      <c r="BG142" s="3"/>
      <c r="BH142" s="3"/>
      <c r="BI142" s="3"/>
      <c r="BJ142" s="3"/>
    </row>
    <row r="143" spans="1:62" ht="6" customHeight="1">
      <c r="A143" s="205"/>
      <c r="B143" s="205"/>
      <c r="C143" s="205"/>
      <c r="D143" s="205"/>
      <c r="E143" s="205"/>
      <c r="F143" s="205"/>
      <c r="G143" s="205"/>
      <c r="H143" s="205"/>
      <c r="I143" s="205"/>
      <c r="J143" s="205"/>
      <c r="K143" s="205"/>
      <c r="L143" s="205"/>
      <c r="M143" s="205"/>
      <c r="N143" s="57"/>
      <c r="O143" s="85"/>
      <c r="P143" s="42"/>
      <c r="Q143" s="76"/>
      <c r="R143" s="43"/>
      <c r="S143" s="181"/>
      <c r="T143" s="183"/>
      <c r="V143" s="2"/>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1:62" ht="10.9" customHeight="1">
      <c r="A144" s="58"/>
      <c r="B144" s="58"/>
      <c r="C144" s="58"/>
      <c r="D144" s="59"/>
      <c r="E144" s="59"/>
      <c r="F144" s="59"/>
      <c r="G144" s="58"/>
      <c r="H144" s="58"/>
      <c r="I144" s="59"/>
      <c r="J144" s="59"/>
      <c r="K144" s="59"/>
      <c r="L144" s="59"/>
      <c r="M144" s="59"/>
      <c r="N144" s="59"/>
      <c r="P144" s="3"/>
      <c r="Q144" s="3"/>
      <c r="R144" s="3"/>
      <c r="S144" s="185"/>
      <c r="T144" s="184"/>
      <c r="U144" s="214"/>
      <c r="V144" s="214"/>
      <c r="W144" s="3"/>
      <c r="X144" s="3"/>
      <c r="Y144" s="3"/>
      <c r="Z144" s="3"/>
      <c r="AA144" s="3"/>
      <c r="AB144" s="3"/>
      <c r="AC144" s="214"/>
      <c r="AD144" s="214"/>
      <c r="AF144" s="3"/>
      <c r="AG144" s="3"/>
      <c r="AH144" s="3"/>
      <c r="AI144" s="24"/>
      <c r="AJ144" s="24"/>
      <c r="AK144" s="24"/>
      <c r="AL144" s="24"/>
      <c r="AN144" s="3"/>
      <c r="AP144" s="3"/>
      <c r="AQ144" s="3"/>
      <c r="AR144" s="3"/>
      <c r="AS144" s="3"/>
      <c r="AT144" s="3"/>
      <c r="AU144" s="3"/>
      <c r="AV144" s="3"/>
      <c r="AW144" s="3"/>
      <c r="AX144" s="3"/>
      <c r="AY144" s="3"/>
      <c r="AZ144" s="3"/>
      <c r="BA144" s="3"/>
      <c r="BB144" s="3"/>
      <c r="BC144" s="3"/>
      <c r="BD144" s="3"/>
      <c r="BE144" s="3"/>
      <c r="BF144" s="3"/>
      <c r="BG144" s="3"/>
      <c r="BH144" s="3"/>
      <c r="BI144" s="3"/>
      <c r="BJ144" s="3"/>
    </row>
    <row r="145" spans="1:62" ht="6" customHeight="1">
      <c r="A145" s="226">
        <v>22</v>
      </c>
      <c r="B145" s="56"/>
      <c r="C145" s="224" t="str">
        <f>INDEX(Riferimenti!$B$2:$B$60,A145)</f>
        <v>3-Idrossi-3-Metilglutarico*</v>
      </c>
      <c r="D145" s="224"/>
      <c r="E145" s="224"/>
      <c r="F145" s="224"/>
      <c r="G145" s="224"/>
      <c r="H145" s="224"/>
      <c r="I145" s="224"/>
      <c r="J145" s="224"/>
      <c r="K145" s="224"/>
      <c r="L145" s="224"/>
      <c r="M145" s="224"/>
      <c r="N145" s="224"/>
      <c r="O145" s="216">
        <f>IF(INDEX(Riferimenti!$C$2:$C$66,A145)&gt;0,INDEX(Riferimenti!$C$2:$C$66,A145),"")</f>
        <v>0.9</v>
      </c>
      <c r="P145" s="216" t="str">
        <f>INDEX(Riferimenti!$D$2:$D$66,A145)</f>
        <v>-</v>
      </c>
      <c r="Q145" s="217">
        <f>INDEX(Riferimenti!$E$2:$E$66,A145)</f>
        <v>4.9000000000000004</v>
      </c>
      <c r="R145" s="225"/>
      <c r="S145" s="240"/>
      <c r="T145" s="240"/>
      <c r="V145" s="2"/>
      <c r="AG145" s="216">
        <f>INDEX(Riferimenti!$Q$2:$Q$60,A145)</f>
        <v>1.9</v>
      </c>
      <c r="AH145" s="216">
        <f>INDEX(Riferimenti!$R$2:$R$60,A145)</f>
        <v>3.9</v>
      </c>
      <c r="AI145" s="3"/>
      <c r="AN145" s="3"/>
      <c r="AT145" s="3"/>
      <c r="AU145" s="3"/>
      <c r="AV145" s="3"/>
      <c r="AW145" s="3"/>
      <c r="AX145" s="3"/>
      <c r="AY145" s="3"/>
      <c r="AZ145" s="3"/>
      <c r="BA145" s="3"/>
      <c r="BB145" s="3"/>
      <c r="BC145" s="3"/>
      <c r="BD145" s="3"/>
      <c r="BE145" s="3"/>
      <c r="BF145" s="3"/>
      <c r="BG145" s="3"/>
      <c r="BH145" s="3"/>
      <c r="BI145" s="3"/>
      <c r="BJ145" s="3"/>
    </row>
    <row r="146" spans="1:62" ht="5.45" customHeight="1">
      <c r="A146" s="226"/>
      <c r="B146" s="56"/>
      <c r="C146" s="224"/>
      <c r="D146" s="224"/>
      <c r="E146" s="224"/>
      <c r="F146" s="224"/>
      <c r="G146" s="224"/>
      <c r="H146" s="224"/>
      <c r="I146" s="224"/>
      <c r="J146" s="224"/>
      <c r="K146" s="224"/>
      <c r="L146" s="224"/>
      <c r="M146" s="224"/>
      <c r="N146" s="224"/>
      <c r="O146" s="216"/>
      <c r="P146" s="216"/>
      <c r="Q146" s="217"/>
      <c r="R146" s="225"/>
      <c r="S146" s="240"/>
      <c r="T146" s="240"/>
      <c r="U146"/>
      <c r="V146"/>
      <c r="W146"/>
      <c r="X146"/>
      <c r="Y146"/>
      <c r="Z146"/>
      <c r="AA146"/>
      <c r="AB146"/>
      <c r="AC146"/>
      <c r="AD146"/>
      <c r="AF146"/>
      <c r="AG146" s="216"/>
      <c r="AH146" s="216"/>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1:62" ht="6" customHeight="1">
      <c r="A147" s="244" t="s">
        <v>22</v>
      </c>
      <c r="B147" s="244"/>
      <c r="C147" s="244"/>
      <c r="D147" s="244"/>
      <c r="E147" s="244"/>
      <c r="F147" s="244"/>
      <c r="G147" s="244"/>
      <c r="H147" s="244"/>
      <c r="I147" s="244"/>
      <c r="J147" s="244"/>
      <c r="K147" s="244"/>
      <c r="L147" s="244"/>
      <c r="M147" s="244"/>
      <c r="N147" s="27"/>
      <c r="O147" s="85"/>
      <c r="P147" s="42"/>
      <c r="Q147" s="76"/>
      <c r="R147" s="43"/>
      <c r="S147" s="182"/>
      <c r="T147" s="182"/>
      <c r="U147" s="43"/>
      <c r="V147" s="43"/>
      <c r="W147" s="43"/>
      <c r="X147" s="43"/>
      <c r="Y147" s="43"/>
      <c r="Z147" s="43"/>
      <c r="AA147" s="43"/>
      <c r="AB147" s="43"/>
      <c r="AC147" s="43"/>
      <c r="AD147" s="43"/>
      <c r="AF147" s="43"/>
      <c r="AG147" s="43"/>
      <c r="AH147" s="43"/>
      <c r="AI147" s="43"/>
      <c r="AJ147" s="43"/>
      <c r="AK147" s="43"/>
      <c r="AL147" s="43"/>
      <c r="AM147" s="43"/>
      <c r="AN147" s="43"/>
      <c r="AO147" s="43"/>
      <c r="AP147" s="43"/>
      <c r="AQ147" s="43"/>
      <c r="AR147" s="3"/>
      <c r="AS147" s="3"/>
      <c r="AT147" s="3"/>
      <c r="AU147" s="3"/>
      <c r="AV147" s="3"/>
      <c r="AW147" s="3"/>
      <c r="AX147" s="3"/>
      <c r="AY147" s="3"/>
      <c r="AZ147" s="3"/>
      <c r="BA147" s="3"/>
      <c r="BB147" s="3"/>
      <c r="BC147" s="3"/>
      <c r="BD147" s="3"/>
      <c r="BE147" s="3"/>
      <c r="BF147" s="3"/>
      <c r="BG147" s="3"/>
      <c r="BH147" s="3"/>
      <c r="BI147" s="3"/>
      <c r="BJ147" s="3"/>
    </row>
    <row r="148" spans="1:62" ht="6" customHeight="1">
      <c r="A148" s="244"/>
      <c r="B148" s="244"/>
      <c r="C148" s="244"/>
      <c r="D148" s="244"/>
      <c r="E148" s="244"/>
      <c r="F148" s="244"/>
      <c r="G148" s="244"/>
      <c r="H148" s="244"/>
      <c r="I148" s="244"/>
      <c r="J148" s="244"/>
      <c r="K148" s="244"/>
      <c r="L148" s="244"/>
      <c r="M148" s="244"/>
      <c r="N148" s="27"/>
      <c r="O148" s="85"/>
      <c r="P148" s="42"/>
      <c r="Q148" s="76"/>
      <c r="R148" s="43"/>
      <c r="S148" s="186"/>
      <c r="T148" s="183"/>
      <c r="V148" s="2"/>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1:62" ht="9" customHeight="1">
      <c r="A149" s="49"/>
      <c r="B149" s="49"/>
      <c r="C149" s="49"/>
      <c r="D149" s="49"/>
      <c r="E149" s="49"/>
      <c r="F149" s="49"/>
      <c r="G149" s="49"/>
      <c r="H149" s="49"/>
      <c r="I149" s="49"/>
      <c r="J149" s="49"/>
      <c r="K149" s="49"/>
      <c r="L149" s="49"/>
      <c r="M149" s="49"/>
      <c r="N149" s="27"/>
      <c r="O149" s="85"/>
      <c r="P149" s="42"/>
      <c r="Q149" s="76"/>
      <c r="R149" s="43"/>
      <c r="S149" s="186"/>
      <c r="T149" s="183"/>
      <c r="V149" s="2"/>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1:62" ht="15.6" customHeight="1">
      <c r="A150" s="206" t="s">
        <v>111</v>
      </c>
      <c r="B150" s="206"/>
      <c r="C150" s="206"/>
      <c r="D150" s="206"/>
      <c r="E150" s="206"/>
      <c r="F150" s="206"/>
      <c r="G150" s="206"/>
      <c r="H150" s="206"/>
      <c r="I150" s="206"/>
      <c r="J150" s="206"/>
      <c r="K150" s="206"/>
      <c r="L150" s="206"/>
      <c r="M150" s="206"/>
      <c r="N150" s="206"/>
      <c r="O150" s="15"/>
      <c r="P150" s="15"/>
      <c r="Q150" s="15"/>
      <c r="R150" s="13"/>
      <c r="S150" s="187"/>
      <c r="T150" s="188"/>
      <c r="U150" s="14"/>
      <c r="V150" s="13"/>
      <c r="W150" s="14"/>
      <c r="X150" s="13"/>
      <c r="Y150" s="13"/>
      <c r="Z150" s="16"/>
      <c r="AA150" s="13"/>
      <c r="AB150" s="14"/>
      <c r="AC150" s="13"/>
      <c r="AD150" s="13"/>
      <c r="AF150"/>
      <c r="AG150"/>
      <c r="AH150"/>
      <c r="AI150"/>
      <c r="AJ150"/>
      <c r="AK150"/>
      <c r="AL150"/>
      <c r="AM150"/>
      <c r="AN150"/>
      <c r="AO150"/>
      <c r="AP150"/>
      <c r="AQ150"/>
    </row>
    <row r="151" spans="1:62" ht="10.9" customHeight="1">
      <c r="A151" s="3"/>
      <c r="C151" s="3"/>
      <c r="P151" s="3"/>
      <c r="Q151" s="3"/>
      <c r="R151" s="3"/>
      <c r="S151" s="184"/>
      <c r="T151" s="184"/>
      <c r="U151" s="214"/>
      <c r="V151" s="214"/>
      <c r="W151" s="3"/>
      <c r="X151" s="3"/>
      <c r="Y151" s="3"/>
      <c r="Z151" s="3"/>
      <c r="AA151" s="3"/>
      <c r="AB151" s="3"/>
      <c r="AC151" s="214"/>
      <c r="AD151" s="214"/>
      <c r="AF151" s="3"/>
      <c r="AG151" s="3"/>
      <c r="AH151" s="3"/>
      <c r="AI151" s="24"/>
      <c r="AJ151" s="24"/>
      <c r="AK151" s="24"/>
      <c r="AL151" s="24"/>
      <c r="AN151" s="3"/>
      <c r="AP151" s="3"/>
      <c r="AQ151" s="3"/>
      <c r="AR151" s="3"/>
      <c r="AS151" s="3"/>
      <c r="AT151" s="3"/>
      <c r="AU151" s="3"/>
      <c r="AV151" s="3"/>
      <c r="AW151" s="3"/>
      <c r="AX151" s="3"/>
      <c r="AY151" s="3"/>
      <c r="AZ151" s="3"/>
      <c r="BA151" s="3"/>
      <c r="BB151" s="3"/>
      <c r="BC151" s="3"/>
      <c r="BD151" s="3"/>
      <c r="BE151" s="3"/>
      <c r="BF151" s="3"/>
      <c r="BG151" s="3"/>
      <c r="BH151" s="3"/>
      <c r="BI151" s="3"/>
      <c r="BJ151" s="3"/>
    </row>
    <row r="152" spans="1:62" ht="6" customHeight="1">
      <c r="A152" s="226">
        <v>23</v>
      </c>
      <c r="B152" s="56"/>
      <c r="C152" s="224" t="str">
        <f>INDEX(Riferimenti!$B$2:$B$60,A152)</f>
        <v>4-Metil-2-Ossovalerico</v>
      </c>
      <c r="D152" s="224"/>
      <c r="E152" s="224"/>
      <c r="F152" s="224"/>
      <c r="G152" s="224"/>
      <c r="H152" s="224"/>
      <c r="I152" s="224"/>
      <c r="J152" s="224"/>
      <c r="K152" s="224"/>
      <c r="L152" s="224"/>
      <c r="M152" s="224"/>
      <c r="N152" s="224"/>
      <c r="O152" s="216" t="str">
        <f>IF(INDEX(Riferimenti!$C$2:$C$66,A152)&gt;0,INDEX(Riferimenti!$C$2:$C$66,A152),"")</f>
        <v/>
      </c>
      <c r="P152" s="216" t="s">
        <v>4</v>
      </c>
      <c r="Q152" s="217">
        <f>INDEX(Riferimenti!$E$2:$E$66,A152)</f>
        <v>0.2</v>
      </c>
      <c r="R152" s="218"/>
      <c r="S152" s="240"/>
      <c r="T152" s="240"/>
      <c r="V152" s="2"/>
      <c r="AG152" s="246">
        <f>INDEX(Riferimenti!$Q$2:$Q$60,A152)</f>
        <v>6.2060000000000011E-2</v>
      </c>
      <c r="AH152" s="246" t="e">
        <f>INDEX(Riferimenti!$R$2:$R$60,A152)</f>
        <v>#REF!</v>
      </c>
      <c r="AI152" s="3"/>
      <c r="AN152" s="3"/>
      <c r="AT152" s="3"/>
      <c r="AU152" s="3"/>
      <c r="AV152" s="3"/>
      <c r="AW152" s="3"/>
      <c r="AX152" s="3"/>
      <c r="AY152" s="3"/>
      <c r="AZ152" s="3"/>
      <c r="BA152" s="3"/>
      <c r="BB152" s="3"/>
      <c r="BC152" s="3"/>
      <c r="BD152" s="3"/>
      <c r="BE152" s="3"/>
      <c r="BF152" s="3"/>
      <c r="BG152" s="3"/>
      <c r="BH152" s="3"/>
      <c r="BI152" s="3"/>
      <c r="BJ152" s="3"/>
    </row>
    <row r="153" spans="1:62" ht="5.45" customHeight="1">
      <c r="A153" s="226"/>
      <c r="B153" s="56"/>
      <c r="C153" s="224"/>
      <c r="D153" s="224"/>
      <c r="E153" s="224"/>
      <c r="F153" s="224"/>
      <c r="G153" s="224"/>
      <c r="H153" s="224"/>
      <c r="I153" s="224"/>
      <c r="J153" s="224"/>
      <c r="K153" s="224"/>
      <c r="L153" s="224"/>
      <c r="M153" s="224"/>
      <c r="N153" s="224"/>
      <c r="O153" s="216"/>
      <c r="P153" s="216"/>
      <c r="Q153" s="217"/>
      <c r="R153" s="218"/>
      <c r="S153" s="240"/>
      <c r="T153" s="240"/>
      <c r="U153"/>
      <c r="V153"/>
      <c r="W153"/>
      <c r="X153"/>
      <c r="Y153"/>
      <c r="Z153"/>
      <c r="AA153"/>
      <c r="AB153"/>
      <c r="AC153"/>
      <c r="AD153"/>
      <c r="AF153"/>
      <c r="AG153" s="246"/>
      <c r="AH153" s="246"/>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1:62" ht="6" customHeight="1">
      <c r="A154" s="205"/>
      <c r="B154" s="205"/>
      <c r="C154" s="205"/>
      <c r="D154" s="205"/>
      <c r="E154" s="205"/>
      <c r="F154" s="205"/>
      <c r="G154" s="205"/>
      <c r="H154" s="205"/>
      <c r="I154" s="205"/>
      <c r="J154" s="205"/>
      <c r="K154" s="205"/>
      <c r="L154" s="205"/>
      <c r="M154" s="205"/>
      <c r="N154" s="57"/>
      <c r="O154" s="85"/>
      <c r="P154" s="42"/>
      <c r="Q154" s="76"/>
      <c r="R154" s="80"/>
      <c r="S154" s="181"/>
      <c r="T154" s="182"/>
      <c r="U154" s="43"/>
      <c r="V154" s="43"/>
      <c r="W154" s="43"/>
      <c r="X154" s="43"/>
      <c r="Y154" s="43"/>
      <c r="Z154" s="43"/>
      <c r="AA154" s="43"/>
      <c r="AB154" s="43"/>
      <c r="AC154" s="43"/>
      <c r="AD154" s="43"/>
      <c r="AF154" s="43"/>
      <c r="AG154" s="43"/>
      <c r="AH154" s="43"/>
      <c r="AI154" s="43"/>
      <c r="AJ154" s="43"/>
      <c r="AK154" s="43"/>
      <c r="AL154" s="43"/>
      <c r="AM154" s="43"/>
      <c r="AN154" s="43"/>
      <c r="AO154" s="43"/>
      <c r="AP154" s="43"/>
      <c r="AQ154" s="43"/>
      <c r="AR154" s="3"/>
      <c r="AS154" s="3"/>
      <c r="AT154" s="3"/>
      <c r="AU154" s="3"/>
      <c r="AV154" s="3"/>
      <c r="AW154" s="3"/>
      <c r="AX154" s="3"/>
      <c r="AY154" s="3"/>
      <c r="AZ154" s="3"/>
      <c r="BA154" s="3"/>
      <c r="BB154" s="3"/>
      <c r="BC154" s="3"/>
      <c r="BD154" s="3"/>
      <c r="BE154" s="3"/>
      <c r="BF154" s="3"/>
      <c r="BG154" s="3"/>
      <c r="BH154" s="3"/>
      <c r="BI154" s="3"/>
      <c r="BJ154" s="3"/>
    </row>
    <row r="155" spans="1:62" ht="6" customHeight="1">
      <c r="A155" s="205"/>
      <c r="B155" s="205"/>
      <c r="C155" s="205"/>
      <c r="D155" s="205"/>
      <c r="E155" s="205"/>
      <c r="F155" s="205"/>
      <c r="G155" s="205"/>
      <c r="H155" s="205"/>
      <c r="I155" s="205"/>
      <c r="J155" s="205"/>
      <c r="K155" s="205"/>
      <c r="L155" s="205"/>
      <c r="M155" s="205"/>
      <c r="N155" s="57"/>
      <c r="O155" s="85"/>
      <c r="P155" s="42"/>
      <c r="Q155" s="76"/>
      <c r="R155" s="80"/>
      <c r="S155" s="181"/>
      <c r="T155" s="183"/>
      <c r="V155" s="2"/>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1:62" ht="10.9" customHeight="1">
      <c r="A156" s="58"/>
      <c r="B156" s="58"/>
      <c r="C156" s="58"/>
      <c r="D156" s="59"/>
      <c r="E156" s="59"/>
      <c r="F156" s="59"/>
      <c r="G156" s="58"/>
      <c r="H156" s="58"/>
      <c r="I156" s="59"/>
      <c r="J156" s="59"/>
      <c r="K156" s="59"/>
      <c r="L156" s="59"/>
      <c r="M156" s="59"/>
      <c r="N156" s="59"/>
      <c r="P156" s="42"/>
      <c r="Q156" s="3"/>
      <c r="R156" s="41"/>
      <c r="S156" s="185"/>
      <c r="T156" s="184"/>
      <c r="U156" s="214"/>
      <c r="V156" s="214"/>
      <c r="W156" s="3"/>
      <c r="X156" s="3"/>
      <c r="Y156" s="3"/>
      <c r="Z156" s="3"/>
      <c r="AA156" s="3"/>
      <c r="AB156" s="3"/>
      <c r="AC156" s="214"/>
      <c r="AD156" s="214"/>
      <c r="AF156" s="3"/>
      <c r="AG156" s="3"/>
      <c r="AH156" s="3"/>
      <c r="AI156" s="24"/>
      <c r="AJ156" s="24"/>
      <c r="AK156" s="24"/>
      <c r="AL156" s="24"/>
      <c r="AN156" s="3"/>
      <c r="AP156" s="3"/>
      <c r="AQ156" s="3"/>
      <c r="AR156" s="3"/>
      <c r="AS156" s="3"/>
      <c r="AT156" s="3"/>
      <c r="AU156" s="3"/>
      <c r="AV156" s="3"/>
      <c r="AW156" s="3"/>
      <c r="AX156" s="3"/>
      <c r="AY156" s="3"/>
      <c r="AZ156" s="3"/>
      <c r="BA156" s="3"/>
      <c r="BB156" s="3"/>
      <c r="BC156" s="3"/>
      <c r="BD156" s="3"/>
      <c r="BE156" s="3"/>
      <c r="BF156" s="3"/>
      <c r="BG156" s="3"/>
      <c r="BH156" s="3"/>
      <c r="BI156" s="3"/>
      <c r="BJ156" s="3"/>
    </row>
    <row r="157" spans="1:62" ht="6" customHeight="1">
      <c r="A157" s="226">
        <v>24</v>
      </c>
      <c r="B157" s="56"/>
      <c r="C157" s="224" t="str">
        <f>INDEX(Riferimenti!$B$2:$B$60,A157)</f>
        <v>Mandelico</v>
      </c>
      <c r="D157" s="224"/>
      <c r="E157" s="224"/>
      <c r="F157" s="224"/>
      <c r="G157" s="224"/>
      <c r="H157" s="224"/>
      <c r="I157" s="224"/>
      <c r="J157" s="224"/>
      <c r="K157" s="224"/>
      <c r="L157" s="224"/>
      <c r="M157" s="224"/>
      <c r="N157" s="224"/>
      <c r="O157" s="216" t="str">
        <f>IF(INDEX(Riferimenti!$C$2:$C$66,A157)&gt;0,INDEX(Riferimenti!$C$2:$C$66,A157),"")</f>
        <v/>
      </c>
      <c r="P157" s="216" t="s">
        <v>4</v>
      </c>
      <c r="Q157" s="217">
        <f>INDEX(Riferimenti!$E$2:$E$66,A157)</f>
        <v>1.2</v>
      </c>
      <c r="R157" s="218"/>
      <c r="S157" s="240"/>
      <c r="T157" s="240"/>
      <c r="V157" s="2"/>
      <c r="AG157" s="216">
        <f>INDEX(Riferimenti!$Q$2:$Q$60,A157)</f>
        <v>0.1</v>
      </c>
      <c r="AH157" s="216">
        <f>INDEX(Riferimenti!$R$2:$R$60,A157)</f>
        <v>0.9</v>
      </c>
      <c r="AI157" s="3"/>
      <c r="AN157" s="3"/>
      <c r="AT157" s="3"/>
      <c r="AU157" s="3"/>
      <c r="AV157" s="3"/>
      <c r="AW157" s="3"/>
      <c r="AX157" s="3"/>
      <c r="AY157" s="3"/>
      <c r="AZ157" s="3"/>
      <c r="BA157" s="3"/>
      <c r="BB157" s="3"/>
      <c r="BC157" s="3"/>
      <c r="BD157" s="3"/>
      <c r="BE157" s="3"/>
      <c r="BF157" s="3"/>
      <c r="BG157" s="3"/>
      <c r="BH157" s="3"/>
      <c r="BI157" s="3"/>
      <c r="BJ157" s="3"/>
    </row>
    <row r="158" spans="1:62" ht="5.45" customHeight="1">
      <c r="A158" s="226"/>
      <c r="B158" s="56"/>
      <c r="C158" s="224"/>
      <c r="D158" s="224"/>
      <c r="E158" s="224"/>
      <c r="F158" s="224"/>
      <c r="G158" s="224"/>
      <c r="H158" s="224"/>
      <c r="I158" s="224"/>
      <c r="J158" s="224"/>
      <c r="K158" s="224"/>
      <c r="L158" s="224"/>
      <c r="M158" s="224"/>
      <c r="N158" s="224"/>
      <c r="O158" s="216"/>
      <c r="P158" s="216"/>
      <c r="Q158" s="217"/>
      <c r="R158" s="218"/>
      <c r="S158" s="240"/>
      <c r="T158" s="240"/>
      <c r="U158"/>
      <c r="V158"/>
      <c r="W158"/>
      <c r="X158"/>
      <c r="Y158"/>
      <c r="Z158"/>
      <c r="AA158"/>
      <c r="AB158"/>
      <c r="AC158"/>
      <c r="AD158"/>
      <c r="AF158"/>
      <c r="AG158" s="216"/>
      <c r="AH158" s="216"/>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1:62" ht="6" customHeight="1">
      <c r="A159" s="205"/>
      <c r="B159" s="205"/>
      <c r="C159" s="205"/>
      <c r="D159" s="205"/>
      <c r="E159" s="205"/>
      <c r="F159" s="205"/>
      <c r="G159" s="205"/>
      <c r="H159" s="205"/>
      <c r="I159" s="205"/>
      <c r="J159" s="205"/>
      <c r="K159" s="205"/>
      <c r="L159" s="205"/>
      <c r="M159" s="205"/>
      <c r="N159" s="57"/>
      <c r="O159" s="85"/>
      <c r="P159" s="42"/>
      <c r="Q159" s="76"/>
      <c r="R159" s="80"/>
      <c r="S159" s="181"/>
      <c r="T159" s="182"/>
      <c r="U159" s="43"/>
      <c r="V159" s="43"/>
      <c r="W159" s="43"/>
      <c r="X159" s="43"/>
      <c r="Y159" s="43"/>
      <c r="Z159" s="43"/>
      <c r="AA159" s="43"/>
      <c r="AB159" s="43"/>
      <c r="AC159" s="43"/>
      <c r="AD159" s="43"/>
      <c r="AF159" s="43"/>
      <c r="AG159" s="43"/>
      <c r="AH159" s="43"/>
      <c r="AI159" s="43"/>
      <c r="AJ159" s="43"/>
      <c r="AK159" s="43"/>
      <c r="AL159" s="43"/>
      <c r="AM159" s="43"/>
      <c r="AN159" s="43"/>
      <c r="AO159" s="43"/>
      <c r="AP159" s="43"/>
      <c r="AQ159" s="43"/>
      <c r="AR159" s="3"/>
      <c r="AS159" s="3"/>
      <c r="AT159" s="3"/>
      <c r="AU159" s="3"/>
      <c r="AV159" s="3"/>
      <c r="AW159" s="3"/>
      <c r="AX159" s="3"/>
      <c r="AY159" s="3"/>
      <c r="AZ159" s="3"/>
      <c r="BA159" s="3"/>
      <c r="BB159" s="3"/>
      <c r="BC159" s="3"/>
      <c r="BD159" s="3"/>
      <c r="BE159" s="3"/>
      <c r="BF159" s="3"/>
      <c r="BG159" s="3"/>
      <c r="BH159" s="3"/>
      <c r="BI159" s="3"/>
      <c r="BJ159" s="3"/>
    </row>
    <row r="160" spans="1:62" ht="6" customHeight="1">
      <c r="A160" s="205"/>
      <c r="B160" s="205"/>
      <c r="C160" s="205"/>
      <c r="D160" s="205"/>
      <c r="E160" s="205"/>
      <c r="F160" s="205"/>
      <c r="G160" s="205"/>
      <c r="H160" s="205"/>
      <c r="I160" s="205"/>
      <c r="J160" s="205"/>
      <c r="K160" s="205"/>
      <c r="L160" s="205"/>
      <c r="M160" s="205"/>
      <c r="N160" s="57"/>
      <c r="O160" s="85"/>
      <c r="P160" s="42"/>
      <c r="Q160" s="76"/>
      <c r="R160" s="80"/>
      <c r="S160" s="181"/>
      <c r="T160" s="183"/>
      <c r="V160" s="2"/>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1:62" ht="10.9" customHeight="1">
      <c r="A161" s="58"/>
      <c r="B161" s="58"/>
      <c r="C161" s="58"/>
      <c r="D161" s="59"/>
      <c r="E161" s="59"/>
      <c r="F161" s="59"/>
      <c r="G161" s="58"/>
      <c r="H161" s="58"/>
      <c r="I161" s="59"/>
      <c r="J161" s="59"/>
      <c r="K161" s="59"/>
      <c r="L161" s="59"/>
      <c r="M161" s="59"/>
      <c r="N161" s="59"/>
      <c r="P161" s="3"/>
      <c r="Q161" s="3"/>
      <c r="R161" s="41"/>
      <c r="S161" s="185"/>
      <c r="T161" s="184"/>
      <c r="U161" s="214"/>
      <c r="V161" s="214"/>
      <c r="W161" s="3"/>
      <c r="X161" s="3"/>
      <c r="Y161" s="3"/>
      <c r="Z161" s="3"/>
      <c r="AA161" s="3"/>
      <c r="AB161" s="3"/>
      <c r="AC161" s="214"/>
      <c r="AD161" s="214"/>
      <c r="AF161" s="3"/>
      <c r="AG161" s="3"/>
      <c r="AH161" s="3"/>
      <c r="AI161" s="24"/>
      <c r="AJ161" s="24"/>
      <c r="AK161" s="24"/>
      <c r="AL161" s="24"/>
      <c r="AN161" s="3"/>
      <c r="AP161" s="3"/>
      <c r="AQ161" s="3"/>
      <c r="AR161" s="3"/>
      <c r="AS161" s="3"/>
      <c r="AT161" s="3"/>
      <c r="AU161" s="3"/>
      <c r="AV161" s="3"/>
      <c r="AW161" s="3"/>
      <c r="AX161" s="3"/>
      <c r="AY161" s="3"/>
      <c r="AZ161" s="3"/>
      <c r="BA161" s="3"/>
      <c r="BB161" s="3"/>
      <c r="BC161" s="3"/>
      <c r="BD161" s="3"/>
      <c r="BE161" s="3"/>
      <c r="BF161" s="3"/>
      <c r="BG161" s="3"/>
      <c r="BH161" s="3"/>
      <c r="BI161" s="3"/>
      <c r="BJ161" s="3"/>
    </row>
    <row r="162" spans="1:62" ht="6" customHeight="1">
      <c r="A162" s="226">
        <v>25</v>
      </c>
      <c r="B162" s="56"/>
      <c r="C162" s="224" t="str">
        <f>INDEX(Riferimenti!$B$2:$B$60,A162)</f>
        <v>Omogentisico</v>
      </c>
      <c r="D162" s="224"/>
      <c r="E162" s="224"/>
      <c r="F162" s="224"/>
      <c r="G162" s="224"/>
      <c r="H162" s="224"/>
      <c r="I162" s="224"/>
      <c r="J162" s="224"/>
      <c r="K162" s="224"/>
      <c r="L162" s="224"/>
      <c r="M162" s="224"/>
      <c r="N162" s="224"/>
      <c r="O162" s="216" t="str">
        <f>IF(INDEX(Riferimenti!$C$2:$C$66,A162)&gt;0,INDEX(Riferimenti!$C$2:$C$66,A162),"")</f>
        <v/>
      </c>
      <c r="P162" s="216" t="s">
        <v>4</v>
      </c>
      <c r="Q162" s="217">
        <f>INDEX(Riferimenti!$E$2:$E$66,A162)</f>
        <v>0.3</v>
      </c>
      <c r="R162" s="218"/>
      <c r="S162" s="240"/>
      <c r="T162" s="240"/>
      <c r="V162" s="2"/>
      <c r="AG162" s="216">
        <f>INDEX(Riferimenti!$Q$2:$Q$60,A162)</f>
        <v>8.0250000000000002E-2</v>
      </c>
      <c r="AH162" s="216" t="e">
        <f>INDEX(Riferimenti!$R$2:$R$60,A162)</f>
        <v>#REF!</v>
      </c>
      <c r="AI162" s="3"/>
      <c r="AN162" s="3"/>
      <c r="AT162" s="3"/>
      <c r="AU162" s="3"/>
      <c r="AV162" s="3"/>
      <c r="AW162" s="3"/>
      <c r="AX162" s="3"/>
      <c r="AY162" s="3"/>
      <c r="AZ162" s="3"/>
      <c r="BA162" s="3"/>
      <c r="BB162" s="3"/>
      <c r="BC162" s="3"/>
      <c r="BD162" s="3"/>
      <c r="BE162" s="3"/>
      <c r="BF162" s="3"/>
      <c r="BG162" s="3"/>
      <c r="BH162" s="3"/>
      <c r="BI162" s="3"/>
      <c r="BJ162" s="3"/>
    </row>
    <row r="163" spans="1:62" ht="5.45" customHeight="1">
      <c r="A163" s="226"/>
      <c r="B163" s="56"/>
      <c r="C163" s="224"/>
      <c r="D163" s="224"/>
      <c r="E163" s="224"/>
      <c r="F163" s="224"/>
      <c r="G163" s="224"/>
      <c r="H163" s="224"/>
      <c r="I163" s="224"/>
      <c r="J163" s="224"/>
      <c r="K163" s="224"/>
      <c r="L163" s="224"/>
      <c r="M163" s="224"/>
      <c r="N163" s="224"/>
      <c r="O163" s="216"/>
      <c r="P163" s="216"/>
      <c r="Q163" s="217"/>
      <c r="R163" s="218"/>
      <c r="S163" s="240"/>
      <c r="T163" s="240"/>
      <c r="U163"/>
      <c r="V163"/>
      <c r="W163"/>
      <c r="X163"/>
      <c r="Y163"/>
      <c r="Z163"/>
      <c r="AA163"/>
      <c r="AB163"/>
      <c r="AC163"/>
      <c r="AD163"/>
      <c r="AF163"/>
      <c r="AG163" s="216"/>
      <c r="AH163" s="216"/>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1:62" ht="6" customHeight="1">
      <c r="A164" s="205"/>
      <c r="B164" s="205"/>
      <c r="C164" s="205"/>
      <c r="D164" s="205"/>
      <c r="E164" s="205"/>
      <c r="F164" s="205"/>
      <c r="G164" s="205"/>
      <c r="H164" s="205"/>
      <c r="I164" s="205"/>
      <c r="J164" s="205"/>
      <c r="K164" s="205"/>
      <c r="L164" s="205"/>
      <c r="M164" s="205"/>
      <c r="N164" s="57"/>
      <c r="O164" s="85"/>
      <c r="P164" s="42"/>
      <c r="Q164" s="76"/>
      <c r="R164" s="80"/>
      <c r="S164" s="181"/>
      <c r="T164" s="182"/>
      <c r="U164" s="43"/>
      <c r="V164" s="43"/>
      <c r="W164" s="43"/>
      <c r="X164" s="43"/>
      <c r="Y164" s="43"/>
      <c r="Z164" s="43"/>
      <c r="AA164" s="43"/>
      <c r="AB164" s="43"/>
      <c r="AC164" s="43"/>
      <c r="AD164" s="43"/>
      <c r="AF164" s="43"/>
      <c r="AG164" s="43"/>
      <c r="AH164" s="43"/>
      <c r="AI164" s="43"/>
      <c r="AJ164" s="43"/>
      <c r="AK164" s="43"/>
      <c r="AL164" s="43"/>
      <c r="AM164" s="43"/>
      <c r="AN164" s="43"/>
      <c r="AO164" s="43"/>
      <c r="AP164" s="43"/>
      <c r="AQ164" s="43"/>
      <c r="AR164" s="3"/>
      <c r="AS164" s="3"/>
      <c r="AT164" s="3"/>
      <c r="AU164" s="3"/>
      <c r="AV164" s="3"/>
      <c r="AW164" s="3"/>
      <c r="AX164" s="3"/>
      <c r="AY164" s="3"/>
      <c r="AZ164" s="3"/>
      <c r="BA164" s="3"/>
      <c r="BB164" s="3"/>
      <c r="BC164" s="3"/>
      <c r="BD164" s="3"/>
      <c r="BE164" s="3"/>
      <c r="BF164" s="3"/>
      <c r="BG164" s="3"/>
      <c r="BH164" s="3"/>
      <c r="BI164" s="3"/>
      <c r="BJ164" s="3"/>
    </row>
    <row r="165" spans="1:62" ht="6" customHeight="1">
      <c r="A165" s="205"/>
      <c r="B165" s="205"/>
      <c r="C165" s="205"/>
      <c r="D165" s="205"/>
      <c r="E165" s="205"/>
      <c r="F165" s="205"/>
      <c r="G165" s="205"/>
      <c r="H165" s="205"/>
      <c r="I165" s="205"/>
      <c r="J165" s="205"/>
      <c r="K165" s="205"/>
      <c r="L165" s="205"/>
      <c r="M165" s="205"/>
      <c r="N165" s="57"/>
      <c r="O165" s="85"/>
      <c r="P165" s="42"/>
      <c r="Q165" s="76"/>
      <c r="R165" s="80"/>
      <c r="S165" s="181"/>
      <c r="T165" s="183"/>
      <c r="V165" s="2"/>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1:62" ht="10.9" customHeight="1">
      <c r="A166" s="58"/>
      <c r="B166" s="58"/>
      <c r="C166" s="58"/>
      <c r="D166" s="59"/>
      <c r="E166" s="59"/>
      <c r="F166" s="59"/>
      <c r="G166" s="58"/>
      <c r="H166" s="58"/>
      <c r="I166" s="59"/>
      <c r="J166" s="59"/>
      <c r="K166" s="59"/>
      <c r="L166" s="59"/>
      <c r="M166" s="59"/>
      <c r="N166" s="59"/>
      <c r="P166" s="3"/>
      <c r="Q166" s="3"/>
      <c r="R166" s="41"/>
      <c r="S166" s="185"/>
      <c r="T166" s="184"/>
      <c r="U166" s="214"/>
      <c r="V166" s="214"/>
      <c r="W166" s="3"/>
      <c r="X166" s="3"/>
      <c r="Y166" s="3"/>
      <c r="Z166" s="3"/>
      <c r="AA166" s="3"/>
      <c r="AB166" s="3"/>
      <c r="AC166" s="214"/>
      <c r="AD166" s="214"/>
      <c r="AF166" s="3"/>
      <c r="AG166" s="3"/>
      <c r="AH166" s="3"/>
      <c r="AI166" s="24"/>
      <c r="AJ166" s="24"/>
      <c r="AK166" s="24"/>
      <c r="AL166" s="24"/>
      <c r="AN166" s="3"/>
      <c r="AP166" s="3"/>
      <c r="AQ166" s="3"/>
      <c r="AR166" s="3"/>
      <c r="AS166" s="3"/>
      <c r="AT166" s="3"/>
      <c r="AU166" s="3"/>
      <c r="AV166" s="3"/>
      <c r="AW166" s="3"/>
      <c r="AX166" s="3"/>
      <c r="AY166" s="3"/>
      <c r="AZ166" s="3"/>
      <c r="BA166" s="3"/>
      <c r="BB166" s="3"/>
      <c r="BC166" s="3"/>
      <c r="BD166" s="3"/>
      <c r="BE166" s="3"/>
      <c r="BF166" s="3"/>
      <c r="BG166" s="3"/>
      <c r="BH166" s="3"/>
      <c r="BI166" s="3"/>
      <c r="BJ166" s="3"/>
    </row>
    <row r="167" spans="1:62" ht="6" customHeight="1">
      <c r="A167" s="226">
        <v>26</v>
      </c>
      <c r="B167" s="56"/>
      <c r="C167" s="224" t="str">
        <f>INDEX(Riferimenti!$B$2:$B$60,A167)</f>
        <v>2-Idrossiisocaproico</v>
      </c>
      <c r="D167" s="224"/>
      <c r="E167" s="224"/>
      <c r="F167" s="224"/>
      <c r="G167" s="224"/>
      <c r="H167" s="224"/>
      <c r="I167" s="224"/>
      <c r="J167" s="224"/>
      <c r="K167" s="224"/>
      <c r="L167" s="224"/>
      <c r="M167" s="224"/>
      <c r="N167" s="224"/>
      <c r="O167" s="216" t="str">
        <f>IF(INDEX(Riferimenti!$C$2:$C$66,A167)&gt;0,INDEX(Riferimenti!$C$2:$C$66,A167),"")</f>
        <v/>
      </c>
      <c r="P167" s="216" t="s">
        <v>4</v>
      </c>
      <c r="Q167" s="217">
        <f>INDEX(Riferimenti!$E$2:$E$66,A167)</f>
        <v>0.1</v>
      </c>
      <c r="R167" s="218"/>
      <c r="S167" s="240"/>
      <c r="T167" s="240"/>
      <c r="V167" s="2"/>
      <c r="AG167" s="216">
        <f>INDEX(Riferimenti!$Q$2:$Q$60,A167)</f>
        <v>4.3870000000000006E-2</v>
      </c>
      <c r="AH167" s="216" t="e">
        <f>INDEX(Riferimenti!$R$2:$R$60,A167)</f>
        <v>#REF!</v>
      </c>
      <c r="AI167" s="3"/>
      <c r="AN167" s="3"/>
      <c r="AT167" s="3"/>
      <c r="AU167" s="3"/>
      <c r="AV167" s="3"/>
      <c r="AW167" s="3"/>
      <c r="AX167" s="3"/>
      <c r="AY167" s="3"/>
      <c r="AZ167" s="3"/>
      <c r="BA167" s="3"/>
      <c r="BB167" s="3"/>
      <c r="BC167" s="3"/>
      <c r="BD167" s="3"/>
      <c r="BE167" s="3"/>
      <c r="BF167" s="3"/>
      <c r="BG167" s="3"/>
      <c r="BH167" s="3"/>
      <c r="BI167" s="3"/>
      <c r="BJ167" s="3"/>
    </row>
    <row r="168" spans="1:62" ht="5.45" customHeight="1">
      <c r="A168" s="226"/>
      <c r="B168" s="56"/>
      <c r="C168" s="224"/>
      <c r="D168" s="224"/>
      <c r="E168" s="224"/>
      <c r="F168" s="224"/>
      <c r="G168" s="224"/>
      <c r="H168" s="224"/>
      <c r="I168" s="224"/>
      <c r="J168" s="224"/>
      <c r="K168" s="224"/>
      <c r="L168" s="224"/>
      <c r="M168" s="224"/>
      <c r="N168" s="224"/>
      <c r="O168" s="216"/>
      <c r="P168" s="216"/>
      <c r="Q168" s="217"/>
      <c r="R168" s="218"/>
      <c r="S168" s="240"/>
      <c r="T168" s="240"/>
      <c r="U168"/>
      <c r="V168"/>
      <c r="W168"/>
      <c r="X168"/>
      <c r="Y168"/>
      <c r="Z168"/>
      <c r="AA168"/>
      <c r="AB168"/>
      <c r="AC168"/>
      <c r="AD168"/>
      <c r="AF168"/>
      <c r="AG168" s="216"/>
      <c r="AH168" s="216"/>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1:62" ht="6" customHeight="1">
      <c r="A169" s="205"/>
      <c r="B169" s="205"/>
      <c r="C169" s="205"/>
      <c r="D169" s="205"/>
      <c r="E169" s="205"/>
      <c r="F169" s="205"/>
      <c r="G169" s="205"/>
      <c r="H169" s="205"/>
      <c r="I169" s="205"/>
      <c r="J169" s="205"/>
      <c r="K169" s="205"/>
      <c r="L169" s="205"/>
      <c r="M169" s="205"/>
      <c r="N169" s="57"/>
      <c r="O169" s="85"/>
      <c r="P169" s="42"/>
      <c r="Q169" s="76"/>
      <c r="R169" s="80"/>
      <c r="S169" s="181"/>
      <c r="T169" s="182"/>
      <c r="U169" s="43"/>
      <c r="V169" s="43"/>
      <c r="W169" s="43"/>
      <c r="X169" s="43"/>
      <c r="Y169" s="43"/>
      <c r="Z169" s="43"/>
      <c r="AA169" s="43"/>
      <c r="AB169" s="43"/>
      <c r="AC169" s="43"/>
      <c r="AD169" s="43"/>
      <c r="AF169" s="43"/>
      <c r="AG169" s="43"/>
      <c r="AH169" s="43"/>
      <c r="AI169" s="43"/>
      <c r="AJ169" s="43"/>
      <c r="AK169" s="43"/>
      <c r="AL169" s="43"/>
      <c r="AM169" s="43"/>
      <c r="AN169" s="43"/>
      <c r="AO169" s="43"/>
      <c r="AP169" s="43"/>
      <c r="AQ169" s="43"/>
      <c r="AR169" s="3"/>
      <c r="AS169" s="3"/>
      <c r="AT169" s="3"/>
      <c r="AU169" s="3"/>
      <c r="AV169" s="3"/>
      <c r="AW169" s="3"/>
      <c r="AX169" s="3"/>
      <c r="AY169" s="3"/>
      <c r="AZ169" s="3"/>
      <c r="BA169" s="3"/>
      <c r="BB169" s="3"/>
      <c r="BC169" s="3"/>
      <c r="BD169" s="3"/>
      <c r="BE169" s="3"/>
      <c r="BF169" s="3"/>
      <c r="BG169" s="3"/>
      <c r="BH169" s="3"/>
      <c r="BI169" s="3"/>
      <c r="BJ169" s="3"/>
    </row>
    <row r="170" spans="1:62" ht="6" customHeight="1">
      <c r="A170" s="205"/>
      <c r="B170" s="205"/>
      <c r="C170" s="205"/>
      <c r="D170" s="205"/>
      <c r="E170" s="205"/>
      <c r="F170" s="205"/>
      <c r="G170" s="205"/>
      <c r="H170" s="205"/>
      <c r="I170" s="205"/>
      <c r="J170" s="205"/>
      <c r="K170" s="205"/>
      <c r="L170" s="205"/>
      <c r="M170" s="205"/>
      <c r="N170" s="57"/>
      <c r="O170" s="85"/>
      <c r="P170" s="42"/>
      <c r="Q170" s="76"/>
      <c r="R170" s="80"/>
      <c r="S170" s="181"/>
      <c r="T170" s="183"/>
      <c r="V170" s="2"/>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1:62" ht="10.9" customHeight="1">
      <c r="A171" s="58"/>
      <c r="B171" s="58"/>
      <c r="C171" s="58"/>
      <c r="D171" s="59"/>
      <c r="E171" s="59"/>
      <c r="F171" s="59"/>
      <c r="G171" s="58"/>
      <c r="H171" s="58"/>
      <c r="I171" s="59"/>
      <c r="J171" s="59"/>
      <c r="K171" s="59"/>
      <c r="L171" s="59"/>
      <c r="M171" s="59"/>
      <c r="N171" s="59"/>
      <c r="P171" s="3"/>
      <c r="Q171" s="3"/>
      <c r="R171" s="41"/>
      <c r="S171" s="185"/>
      <c r="T171" s="184"/>
      <c r="U171" s="214"/>
      <c r="V171" s="214"/>
      <c r="W171" s="3"/>
      <c r="X171" s="3"/>
      <c r="Y171" s="3"/>
      <c r="Z171" s="3"/>
      <c r="AA171" s="3"/>
      <c r="AB171" s="3"/>
      <c r="AC171" s="214"/>
      <c r="AD171" s="214"/>
      <c r="AF171" s="3"/>
      <c r="AG171" s="3"/>
      <c r="AH171" s="3"/>
      <c r="AI171" s="24"/>
      <c r="AJ171" s="24"/>
      <c r="AK171" s="24"/>
      <c r="AL171" s="24"/>
      <c r="AN171" s="3"/>
      <c r="AP171" s="3"/>
      <c r="AQ171" s="3"/>
      <c r="AR171" s="3"/>
      <c r="AS171" s="3"/>
      <c r="AT171" s="3"/>
      <c r="AU171" s="3"/>
      <c r="AV171" s="3"/>
      <c r="AW171" s="3"/>
      <c r="AX171" s="3"/>
      <c r="AY171" s="3"/>
      <c r="AZ171" s="3"/>
      <c r="BA171" s="3"/>
      <c r="BB171" s="3"/>
      <c r="BC171" s="3"/>
      <c r="BD171" s="3"/>
      <c r="BE171" s="3"/>
      <c r="BF171" s="3"/>
      <c r="BG171" s="3"/>
      <c r="BH171" s="3"/>
      <c r="BI171" s="3"/>
      <c r="BJ171" s="3"/>
    </row>
    <row r="172" spans="1:62" ht="6" customHeight="1">
      <c r="A172" s="226">
        <v>27</v>
      </c>
      <c r="B172" s="56"/>
      <c r="C172" s="224" t="str">
        <f>INDEX(Riferimenti!$B$2:$B$60,A172)</f>
        <v>N-Acetilaspartico</v>
      </c>
      <c r="D172" s="224"/>
      <c r="E172" s="224"/>
      <c r="F172" s="224"/>
      <c r="G172" s="224"/>
      <c r="H172" s="224"/>
      <c r="I172" s="224"/>
      <c r="J172" s="224"/>
      <c r="K172" s="224"/>
      <c r="L172" s="224"/>
      <c r="M172" s="224"/>
      <c r="N172" s="224"/>
      <c r="O172" s="216" t="str">
        <f>IF(INDEX(Riferimenti!$C$2:$C$66,A172)&gt;0,INDEX(Riferimenti!$C$2:$C$66,A172),"")</f>
        <v/>
      </c>
      <c r="P172" s="216" t="s">
        <v>4</v>
      </c>
      <c r="Q172" s="217">
        <f>INDEX(Riferimenti!$E$2:$E$66,A172)</f>
        <v>6.8</v>
      </c>
      <c r="R172" s="218"/>
      <c r="S172" s="240"/>
      <c r="T172" s="240"/>
      <c r="V172" s="2"/>
      <c r="AG172" s="216">
        <f>INDEX(Riferimenti!$Q$2:$Q$60,A172)</f>
        <v>2.5</v>
      </c>
      <c r="AH172" s="216">
        <f>INDEX(Riferimenti!$R$2:$R$60,A172)</f>
        <v>5.3</v>
      </c>
      <c r="AI172" s="3"/>
      <c r="AN172" s="3"/>
      <c r="AT172" s="3"/>
      <c r="AU172" s="3"/>
      <c r="AV172" s="3"/>
      <c r="AW172" s="3"/>
      <c r="AX172" s="3"/>
      <c r="AY172" s="3"/>
      <c r="AZ172" s="3"/>
      <c r="BA172" s="3"/>
      <c r="BB172" s="3"/>
      <c r="BC172" s="3"/>
      <c r="BD172" s="3"/>
      <c r="BE172" s="3"/>
      <c r="BF172" s="3"/>
      <c r="BG172" s="3"/>
      <c r="BH172" s="3"/>
      <c r="BI172" s="3"/>
      <c r="BJ172" s="3"/>
    </row>
    <row r="173" spans="1:62" ht="5.45" customHeight="1">
      <c r="A173" s="226"/>
      <c r="B173" s="56"/>
      <c r="C173" s="224"/>
      <c r="D173" s="224"/>
      <c r="E173" s="224"/>
      <c r="F173" s="224"/>
      <c r="G173" s="224"/>
      <c r="H173" s="224"/>
      <c r="I173" s="224"/>
      <c r="J173" s="224"/>
      <c r="K173" s="224"/>
      <c r="L173" s="224"/>
      <c r="M173" s="224"/>
      <c r="N173" s="224"/>
      <c r="O173" s="216"/>
      <c r="P173" s="216"/>
      <c r="Q173" s="217"/>
      <c r="R173" s="218"/>
      <c r="S173" s="240"/>
      <c r="T173" s="240"/>
      <c r="U173"/>
      <c r="V173"/>
      <c r="W173"/>
      <c r="X173"/>
      <c r="Y173"/>
      <c r="Z173"/>
      <c r="AA173"/>
      <c r="AB173"/>
      <c r="AC173"/>
      <c r="AD173"/>
      <c r="AF173"/>
      <c r="AG173" s="216"/>
      <c r="AH173" s="216"/>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1:62" ht="6" customHeight="1">
      <c r="A174" s="205"/>
      <c r="B174" s="205"/>
      <c r="C174" s="205"/>
      <c r="D174" s="205"/>
      <c r="E174" s="205"/>
      <c r="F174" s="205"/>
      <c r="G174" s="205"/>
      <c r="H174" s="205"/>
      <c r="I174" s="205"/>
      <c r="J174" s="205"/>
      <c r="K174" s="205"/>
      <c r="L174" s="205"/>
      <c r="M174" s="205"/>
      <c r="N174" s="57"/>
      <c r="O174" s="85"/>
      <c r="P174" s="42"/>
      <c r="Q174" s="76"/>
      <c r="R174" s="80"/>
      <c r="S174" s="181"/>
      <c r="T174" s="182"/>
      <c r="U174" s="43"/>
      <c r="V174" s="43"/>
      <c r="W174" s="43"/>
      <c r="X174" s="43"/>
      <c r="Y174" s="43"/>
      <c r="Z174" s="43"/>
      <c r="AA174" s="43"/>
      <c r="AB174" s="43"/>
      <c r="AC174" s="43"/>
      <c r="AD174" s="43"/>
      <c r="AF174" s="43"/>
      <c r="AG174" s="43"/>
      <c r="AH174" s="43"/>
      <c r="AI174" s="43"/>
      <c r="AJ174" s="43"/>
      <c r="AK174" s="43"/>
      <c r="AL174" s="43"/>
      <c r="AM174" s="43"/>
      <c r="AN174" s="43"/>
      <c r="AO174" s="43"/>
      <c r="AP174" s="43"/>
      <c r="AQ174" s="43"/>
      <c r="AR174" s="3"/>
      <c r="AS174" s="3"/>
      <c r="AT174" s="3"/>
      <c r="AU174" s="3"/>
      <c r="AV174" s="3"/>
      <c r="AW174" s="3"/>
      <c r="AX174" s="3"/>
      <c r="AY174" s="3"/>
      <c r="AZ174" s="3"/>
      <c r="BA174" s="3"/>
      <c r="BB174" s="3"/>
      <c r="BC174" s="3"/>
      <c r="BD174" s="3"/>
      <c r="BE174" s="3"/>
      <c r="BF174" s="3"/>
      <c r="BG174" s="3"/>
      <c r="BH174" s="3"/>
      <c r="BI174" s="3"/>
      <c r="BJ174" s="3"/>
    </row>
    <row r="175" spans="1:62" ht="6" customHeight="1">
      <c r="A175" s="205"/>
      <c r="B175" s="205"/>
      <c r="C175" s="205"/>
      <c r="D175" s="205"/>
      <c r="E175" s="205"/>
      <c r="F175" s="205"/>
      <c r="G175" s="205"/>
      <c r="H175" s="205"/>
      <c r="I175" s="205"/>
      <c r="J175" s="205"/>
      <c r="K175" s="205"/>
      <c r="L175" s="205"/>
      <c r="M175" s="205"/>
      <c r="N175" s="57"/>
      <c r="O175" s="85"/>
      <c r="P175" s="42"/>
      <c r="Q175" s="76"/>
      <c r="R175" s="80"/>
      <c r="S175" s="181"/>
      <c r="T175" s="183"/>
      <c r="V175" s="2"/>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1:62" ht="10.9" customHeight="1">
      <c r="A176" s="58"/>
      <c r="B176" s="58"/>
      <c r="C176" s="58"/>
      <c r="D176" s="59"/>
      <c r="E176" s="59"/>
      <c r="F176" s="59"/>
      <c r="G176" s="58"/>
      <c r="H176" s="58"/>
      <c r="I176" s="59"/>
      <c r="J176" s="59"/>
      <c r="K176" s="59"/>
      <c r="L176" s="59"/>
      <c r="M176" s="59"/>
      <c r="N176" s="59"/>
      <c r="P176" s="42"/>
      <c r="Q176" s="3"/>
      <c r="R176" s="41"/>
      <c r="S176" s="185"/>
      <c r="T176" s="184"/>
      <c r="U176" s="214"/>
      <c r="V176" s="214"/>
      <c r="W176" s="3"/>
      <c r="X176" s="3"/>
      <c r="Y176" s="3"/>
      <c r="Z176" s="3"/>
      <c r="AA176" s="3"/>
      <c r="AB176" s="3"/>
      <c r="AC176" s="214"/>
      <c r="AD176" s="214"/>
      <c r="AF176" s="3"/>
      <c r="AG176" s="3"/>
      <c r="AH176" s="3"/>
      <c r="AI176" s="24"/>
      <c r="AJ176" s="24"/>
      <c r="AK176" s="24"/>
      <c r="AL176" s="24"/>
      <c r="AN176" s="3"/>
      <c r="AP176" s="3"/>
      <c r="AQ176" s="3"/>
      <c r="AR176" s="3"/>
      <c r="AS176" s="3"/>
      <c r="AT176" s="3"/>
      <c r="AU176" s="3"/>
      <c r="AV176" s="3"/>
      <c r="AW176" s="3"/>
      <c r="AX176" s="3"/>
      <c r="AY176" s="3"/>
      <c r="AZ176" s="3"/>
      <c r="BA176" s="3"/>
      <c r="BB176" s="3"/>
      <c r="BC176" s="3"/>
      <c r="BD176" s="3"/>
      <c r="BE176" s="3"/>
      <c r="BF176" s="3"/>
      <c r="BG176" s="3"/>
      <c r="BH176" s="3"/>
      <c r="BI176" s="3"/>
      <c r="BJ176" s="3"/>
    </row>
    <row r="177" spans="1:62" ht="6" customHeight="1">
      <c r="A177" s="226">
        <v>28</v>
      </c>
      <c r="B177" s="56"/>
      <c r="C177" s="224" t="str">
        <f>INDEX(Riferimenti!$B$2:$B$60,A177)</f>
        <v>Malonico</v>
      </c>
      <c r="D177" s="224"/>
      <c r="E177" s="224"/>
      <c r="F177" s="224"/>
      <c r="G177" s="224"/>
      <c r="H177" s="224"/>
      <c r="I177" s="224"/>
      <c r="J177" s="224"/>
      <c r="K177" s="224"/>
      <c r="L177" s="224"/>
      <c r="M177" s="224"/>
      <c r="N177" s="224"/>
      <c r="O177" s="216" t="str">
        <f>IF(INDEX(Riferimenti!$C$2:$C$66,A177)&gt;0,INDEX(Riferimenti!$C$2:$C$66,A177),"")</f>
        <v/>
      </c>
      <c r="P177" s="216" t="s">
        <v>4</v>
      </c>
      <c r="Q177" s="217">
        <f>INDEX(Riferimenti!$E$2:$E$66,A177)</f>
        <v>0.6</v>
      </c>
      <c r="R177" s="218"/>
      <c r="S177" s="240"/>
      <c r="T177" s="240"/>
      <c r="V177" s="2"/>
      <c r="AG177" s="216">
        <f>INDEX(Riferimenti!$Q$2:$Q$60,A177)</f>
        <v>0.2</v>
      </c>
      <c r="AH177" s="216">
        <f>INDEX(Riferimenti!$R$2:$R$60,A177)</f>
        <v>0.5</v>
      </c>
      <c r="AI177" s="3"/>
      <c r="AN177" s="3"/>
      <c r="AT177" s="3"/>
      <c r="AU177" s="3"/>
      <c r="AV177" s="3"/>
      <c r="AW177" s="3"/>
      <c r="AX177" s="3"/>
      <c r="AY177" s="3"/>
      <c r="AZ177" s="3"/>
      <c r="BA177" s="3"/>
      <c r="BB177" s="3"/>
      <c r="BC177" s="3"/>
      <c r="BD177" s="3"/>
      <c r="BE177" s="3"/>
      <c r="BF177" s="3"/>
      <c r="BG177" s="3"/>
      <c r="BH177" s="3"/>
      <c r="BI177" s="3"/>
      <c r="BJ177" s="3"/>
    </row>
    <row r="178" spans="1:62" ht="5.45" customHeight="1">
      <c r="A178" s="226"/>
      <c r="B178" s="56"/>
      <c r="C178" s="224"/>
      <c r="D178" s="224"/>
      <c r="E178" s="224"/>
      <c r="F178" s="224"/>
      <c r="G178" s="224"/>
      <c r="H178" s="224"/>
      <c r="I178" s="224"/>
      <c r="J178" s="224"/>
      <c r="K178" s="224"/>
      <c r="L178" s="224"/>
      <c r="M178" s="224"/>
      <c r="N178" s="224"/>
      <c r="O178" s="216"/>
      <c r="P178" s="216"/>
      <c r="Q178" s="217"/>
      <c r="R178" s="218"/>
      <c r="S178" s="240"/>
      <c r="T178" s="240"/>
      <c r="U178"/>
      <c r="V178"/>
      <c r="W178"/>
      <c r="X178"/>
      <c r="Y178"/>
      <c r="Z178"/>
      <c r="AA178"/>
      <c r="AB178"/>
      <c r="AC178"/>
      <c r="AD178"/>
      <c r="AF178"/>
      <c r="AG178" s="216"/>
      <c r="AH178" s="216"/>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1:62" ht="6" customHeight="1">
      <c r="A179" s="205"/>
      <c r="B179" s="205"/>
      <c r="C179" s="205"/>
      <c r="D179" s="205"/>
      <c r="E179" s="205"/>
      <c r="F179" s="205"/>
      <c r="G179" s="205"/>
      <c r="H179" s="205"/>
      <c r="I179" s="205"/>
      <c r="J179" s="205"/>
      <c r="K179" s="205"/>
      <c r="L179" s="205"/>
      <c r="M179" s="205"/>
      <c r="N179" s="57"/>
      <c r="O179" s="85"/>
      <c r="P179" s="42"/>
      <c r="Q179" s="76"/>
      <c r="R179" s="80"/>
      <c r="S179" s="181"/>
      <c r="T179" s="182"/>
      <c r="U179" s="43"/>
      <c r="V179" s="43"/>
      <c r="W179" s="43"/>
      <c r="X179" s="43"/>
      <c r="Y179" s="43"/>
      <c r="Z179" s="43"/>
      <c r="AA179" s="43"/>
      <c r="AB179" s="43"/>
      <c r="AC179" s="43"/>
      <c r="AD179" s="43"/>
      <c r="AF179" s="43"/>
      <c r="AG179" s="43"/>
      <c r="AH179" s="43"/>
      <c r="AI179" s="43"/>
      <c r="AJ179" s="43"/>
      <c r="AK179" s="43"/>
      <c r="AL179" s="43"/>
      <c r="AM179" s="43"/>
      <c r="AN179" s="43"/>
      <c r="AO179" s="43"/>
      <c r="AP179" s="43"/>
      <c r="AQ179" s="43"/>
      <c r="AR179" s="3"/>
      <c r="AS179" s="3"/>
      <c r="AT179" s="3"/>
      <c r="AU179" s="3"/>
      <c r="AV179" s="3"/>
      <c r="AW179" s="3"/>
      <c r="AX179" s="3"/>
      <c r="AY179" s="3"/>
      <c r="AZ179" s="3"/>
      <c r="BA179" s="3"/>
      <c r="BB179" s="3"/>
      <c r="BC179" s="3"/>
      <c r="BD179" s="3"/>
      <c r="BE179" s="3"/>
      <c r="BF179" s="3"/>
      <c r="BG179" s="3"/>
      <c r="BH179" s="3"/>
      <c r="BI179" s="3"/>
      <c r="BJ179" s="3"/>
    </row>
    <row r="180" spans="1:62" ht="6" customHeight="1">
      <c r="A180" s="205"/>
      <c r="B180" s="205"/>
      <c r="C180" s="205"/>
      <c r="D180" s="205"/>
      <c r="E180" s="205"/>
      <c r="F180" s="205"/>
      <c r="G180" s="205"/>
      <c r="H180" s="205"/>
      <c r="I180" s="205"/>
      <c r="J180" s="205"/>
      <c r="K180" s="205"/>
      <c r="L180" s="205"/>
      <c r="M180" s="205"/>
      <c r="N180" s="57"/>
      <c r="O180" s="85"/>
      <c r="P180" s="42"/>
      <c r="Q180" s="76"/>
      <c r="R180" s="80"/>
      <c r="S180" s="181"/>
      <c r="T180" s="183"/>
      <c r="V180" s="2"/>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1:62" ht="10.9" customHeight="1">
      <c r="A181" s="58"/>
      <c r="B181" s="58"/>
      <c r="C181" s="58"/>
      <c r="D181" s="59"/>
      <c r="E181" s="59"/>
      <c r="F181" s="59"/>
      <c r="G181" s="58"/>
      <c r="H181" s="58"/>
      <c r="I181" s="59"/>
      <c r="J181" s="59"/>
      <c r="K181" s="59"/>
      <c r="L181" s="59"/>
      <c r="M181" s="59"/>
      <c r="N181" s="59"/>
      <c r="P181" s="3"/>
      <c r="Q181" s="3"/>
      <c r="R181" s="41"/>
      <c r="S181" s="185"/>
      <c r="T181" s="184"/>
      <c r="U181" s="214"/>
      <c r="V181" s="214"/>
      <c r="W181" s="3"/>
      <c r="X181" s="3"/>
      <c r="Y181" s="3"/>
      <c r="Z181" s="3"/>
      <c r="AA181" s="3"/>
      <c r="AB181" s="3"/>
      <c r="AC181" s="214"/>
      <c r="AD181" s="214"/>
      <c r="AF181" s="3"/>
      <c r="AG181" s="3"/>
      <c r="AH181" s="3"/>
      <c r="AI181" s="24"/>
      <c r="AJ181" s="24"/>
      <c r="AK181" s="24"/>
      <c r="AL181" s="24"/>
      <c r="AN181" s="3"/>
      <c r="AP181" s="3"/>
      <c r="AQ181" s="3"/>
      <c r="AR181" s="3"/>
      <c r="AS181" s="3"/>
      <c r="AT181" s="3"/>
      <c r="AU181" s="3"/>
      <c r="AV181" s="3"/>
      <c r="AW181" s="3"/>
      <c r="AX181" s="3"/>
      <c r="AY181" s="3"/>
      <c r="AZ181" s="3"/>
      <c r="BA181" s="3"/>
      <c r="BB181" s="3"/>
      <c r="BC181" s="3"/>
      <c r="BD181" s="3"/>
      <c r="BE181" s="3"/>
      <c r="BF181" s="3"/>
      <c r="BG181" s="3"/>
      <c r="BH181" s="3"/>
      <c r="BI181" s="3"/>
      <c r="BJ181" s="3"/>
    </row>
    <row r="182" spans="1:62" ht="6" customHeight="1">
      <c r="A182" s="226">
        <v>29</v>
      </c>
      <c r="B182" s="56"/>
      <c r="C182" s="224" t="str">
        <f>INDEX(Riferimenti!$B$2:$B$60,A182)</f>
        <v>4-Idrossifenilpiruvico</v>
      </c>
      <c r="D182" s="224"/>
      <c r="E182" s="224"/>
      <c r="F182" s="224"/>
      <c r="G182" s="224"/>
      <c r="H182" s="224"/>
      <c r="I182" s="224"/>
      <c r="J182" s="224"/>
      <c r="K182" s="224"/>
      <c r="L182" s="224"/>
      <c r="M182" s="224"/>
      <c r="N182" s="224"/>
      <c r="O182" s="216" t="str">
        <f>IF(INDEX(Riferimenti!$C$2:$C$66,A182)&gt;0,INDEX(Riferimenti!$C$2:$C$66,A182),"")</f>
        <v/>
      </c>
      <c r="P182" s="216" t="s">
        <v>4</v>
      </c>
      <c r="Q182" s="217">
        <f>INDEX(Riferimenti!$E$2:$E$66,A182)</f>
        <v>0.5</v>
      </c>
      <c r="R182" s="218"/>
      <c r="S182" s="240"/>
      <c r="T182" s="240"/>
      <c r="V182" s="2"/>
      <c r="AG182" s="216">
        <f>INDEX(Riferimenti!$Q$2:$Q$60,A182)</f>
        <v>0.1</v>
      </c>
      <c r="AH182" s="216">
        <f>INDEX(Riferimenti!$R$2:$R$60,A182)</f>
        <v>0.4</v>
      </c>
      <c r="AI182" s="3"/>
      <c r="AN182" s="3"/>
      <c r="AT182" s="3"/>
      <c r="AU182" s="3"/>
      <c r="AV182" s="3"/>
      <c r="AW182" s="3"/>
      <c r="AX182" s="3"/>
      <c r="AY182" s="3"/>
      <c r="AZ182" s="3"/>
      <c r="BA182" s="3"/>
      <c r="BB182" s="3"/>
      <c r="BC182" s="3"/>
      <c r="BD182" s="3"/>
      <c r="BE182" s="3"/>
      <c r="BF182" s="3"/>
      <c r="BG182" s="3"/>
      <c r="BH182" s="3"/>
      <c r="BI182" s="3"/>
      <c r="BJ182" s="3"/>
    </row>
    <row r="183" spans="1:62" ht="5.45" customHeight="1">
      <c r="A183" s="226"/>
      <c r="B183" s="56"/>
      <c r="C183" s="224"/>
      <c r="D183" s="224"/>
      <c r="E183" s="224"/>
      <c r="F183" s="224"/>
      <c r="G183" s="224"/>
      <c r="H183" s="224"/>
      <c r="I183" s="224"/>
      <c r="J183" s="224"/>
      <c r="K183" s="224"/>
      <c r="L183" s="224"/>
      <c r="M183" s="224"/>
      <c r="N183" s="224"/>
      <c r="O183" s="216"/>
      <c r="P183" s="216"/>
      <c r="Q183" s="217"/>
      <c r="R183" s="218"/>
      <c r="S183" s="240"/>
      <c r="T183" s="240"/>
      <c r="U183"/>
      <c r="V183"/>
      <c r="W183"/>
      <c r="X183"/>
      <c r="Y183"/>
      <c r="Z183"/>
      <c r="AA183"/>
      <c r="AB183"/>
      <c r="AC183"/>
      <c r="AD183"/>
      <c r="AF183"/>
      <c r="AG183" s="216"/>
      <c r="AH183" s="216"/>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1:62" ht="6" customHeight="1">
      <c r="A184" s="205"/>
      <c r="B184" s="205"/>
      <c r="C184" s="205"/>
      <c r="D184" s="205"/>
      <c r="E184" s="205"/>
      <c r="F184" s="205"/>
      <c r="G184" s="205"/>
      <c r="H184" s="205"/>
      <c r="I184" s="205"/>
      <c r="J184" s="205"/>
      <c r="K184" s="205"/>
      <c r="L184" s="205"/>
      <c r="M184" s="205"/>
      <c r="N184" s="57"/>
      <c r="O184" s="85"/>
      <c r="P184" s="42"/>
      <c r="Q184" s="77"/>
      <c r="R184" s="80"/>
      <c r="S184" s="181"/>
      <c r="T184" s="182"/>
      <c r="U184" s="43"/>
      <c r="V184" s="43"/>
      <c r="W184" s="43"/>
      <c r="X184" s="43"/>
      <c r="Y184" s="43"/>
      <c r="Z184" s="43"/>
      <c r="AA184" s="43"/>
      <c r="AB184" s="43"/>
      <c r="AC184" s="43"/>
      <c r="AD184" s="43"/>
      <c r="AF184" s="43"/>
      <c r="AG184" s="43"/>
      <c r="AH184" s="43"/>
      <c r="AI184" s="43"/>
      <c r="AJ184" s="43"/>
      <c r="AK184" s="43"/>
      <c r="AL184" s="43"/>
      <c r="AM184" s="43"/>
      <c r="AN184" s="43"/>
      <c r="AO184" s="43"/>
      <c r="AP184" s="43"/>
      <c r="AQ184" s="43"/>
      <c r="AR184" s="3"/>
      <c r="AS184" s="3"/>
      <c r="AT184" s="3"/>
      <c r="AU184" s="3"/>
      <c r="AV184" s="3"/>
      <c r="AW184" s="3"/>
      <c r="AX184" s="3"/>
      <c r="AY184" s="3"/>
      <c r="AZ184" s="3"/>
      <c r="BA184" s="3"/>
      <c r="BB184" s="3"/>
      <c r="BC184" s="3"/>
      <c r="BD184" s="3"/>
      <c r="BE184" s="3"/>
      <c r="BF184" s="3"/>
      <c r="BG184" s="3"/>
      <c r="BH184" s="3"/>
      <c r="BI184" s="3"/>
      <c r="BJ184" s="3"/>
    </row>
    <row r="185" spans="1:62" ht="6" customHeight="1">
      <c r="A185" s="205"/>
      <c r="B185" s="205"/>
      <c r="C185" s="205"/>
      <c r="D185" s="205"/>
      <c r="E185" s="205"/>
      <c r="F185" s="205"/>
      <c r="G185" s="205"/>
      <c r="H185" s="205"/>
      <c r="I185" s="205"/>
      <c r="J185" s="205"/>
      <c r="K185" s="205"/>
      <c r="L185" s="205"/>
      <c r="M185" s="205"/>
      <c r="N185" s="57"/>
      <c r="O185" s="85"/>
      <c r="P185" s="42"/>
      <c r="Q185" s="77"/>
      <c r="R185" s="80"/>
      <c r="S185" s="181"/>
      <c r="T185" s="183"/>
      <c r="V185" s="2"/>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1:62" ht="10.9" customHeight="1">
      <c r="A186" s="81"/>
      <c r="B186" s="81"/>
      <c r="C186" s="81"/>
      <c r="D186" s="81"/>
      <c r="E186" s="81"/>
      <c r="F186" s="81"/>
      <c r="G186" s="81"/>
      <c r="H186" s="81"/>
      <c r="I186" s="81"/>
      <c r="J186" s="81"/>
      <c r="K186" s="81"/>
      <c r="L186" s="81"/>
      <c r="M186" s="81"/>
      <c r="N186" s="57"/>
      <c r="O186" s="85"/>
      <c r="P186" s="3"/>
      <c r="Q186" s="77"/>
      <c r="R186" s="80"/>
      <c r="S186" s="181"/>
      <c r="T186" s="183"/>
      <c r="V186" s="2"/>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1:62" ht="6" customHeight="1">
      <c r="A187" s="226">
        <v>30</v>
      </c>
      <c r="B187" s="56"/>
      <c r="C187" s="224" t="str">
        <f>INDEX(Riferimenti!$B$2:$B$60,A187)</f>
        <v>2-Idrossi-3-Metilbutirrico</v>
      </c>
      <c r="D187" s="224"/>
      <c r="E187" s="224"/>
      <c r="F187" s="224"/>
      <c r="G187" s="224"/>
      <c r="H187" s="224"/>
      <c r="I187" s="224"/>
      <c r="J187" s="224"/>
      <c r="K187" s="224"/>
      <c r="L187" s="224"/>
      <c r="M187" s="224"/>
      <c r="N187" s="224"/>
      <c r="O187" s="216" t="str">
        <f>IF(INDEX(Riferimenti!$C$2:$C$66,A187)&gt;0,INDEX(Riferimenti!$C$2:$C$66,A187),"")</f>
        <v/>
      </c>
      <c r="P187" s="216" t="s">
        <v>4</v>
      </c>
      <c r="Q187" s="217">
        <f>INDEX(Riferimenti!$E$2:$E$66,A187)</f>
        <v>0.6</v>
      </c>
      <c r="R187" s="218"/>
      <c r="S187" s="240"/>
      <c r="T187" s="240"/>
      <c r="V187" s="2"/>
      <c r="AG187" s="216">
        <f>INDEX(Riferimenti!$Q$2:$Q$60,A187)</f>
        <v>0.1</v>
      </c>
      <c r="AH187" s="216">
        <f>INDEX(Riferimenti!$R$2:$R$60,A187)</f>
        <v>0.5</v>
      </c>
      <c r="AI187" s="3"/>
      <c r="AN187" s="3"/>
      <c r="AT187" s="3"/>
      <c r="AU187" s="3"/>
      <c r="AV187" s="3"/>
      <c r="AW187" s="3"/>
      <c r="AX187" s="3"/>
      <c r="AY187" s="3"/>
      <c r="AZ187" s="3"/>
      <c r="BA187" s="3"/>
      <c r="BB187" s="3"/>
      <c r="BC187" s="3"/>
      <c r="BD187" s="3"/>
      <c r="BE187" s="3"/>
      <c r="BF187" s="3"/>
      <c r="BG187" s="3"/>
      <c r="BH187" s="3"/>
      <c r="BI187" s="3"/>
      <c r="BJ187" s="3"/>
    </row>
    <row r="188" spans="1:62" ht="5.45" customHeight="1">
      <c r="A188" s="226"/>
      <c r="B188" s="56"/>
      <c r="C188" s="224"/>
      <c r="D188" s="224"/>
      <c r="E188" s="224"/>
      <c r="F188" s="224"/>
      <c r="G188" s="224"/>
      <c r="H188" s="224"/>
      <c r="I188" s="224"/>
      <c r="J188" s="224"/>
      <c r="K188" s="224"/>
      <c r="L188" s="224"/>
      <c r="M188" s="224"/>
      <c r="N188" s="224"/>
      <c r="O188" s="216"/>
      <c r="P188" s="216"/>
      <c r="Q188" s="217"/>
      <c r="R188" s="218"/>
      <c r="S188" s="240"/>
      <c r="T188" s="240"/>
      <c r="U188"/>
      <c r="V188"/>
      <c r="W188"/>
      <c r="X188"/>
      <c r="Y188"/>
      <c r="Z188"/>
      <c r="AA188"/>
      <c r="AB188"/>
      <c r="AC188"/>
      <c r="AD188"/>
      <c r="AF188"/>
      <c r="AG188" s="216"/>
      <c r="AH188" s="216"/>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1:62" ht="6" customHeight="1">
      <c r="A189" s="222"/>
      <c r="B189" s="222"/>
      <c r="C189" s="222"/>
      <c r="D189" s="222"/>
      <c r="E189" s="222"/>
      <c r="F189" s="222"/>
      <c r="G189" s="222"/>
      <c r="H189" s="222"/>
      <c r="I189" s="222"/>
      <c r="J189" s="222"/>
      <c r="K189" s="222"/>
      <c r="L189" s="222"/>
      <c r="M189" s="222"/>
      <c r="N189" s="27"/>
      <c r="O189" s="85"/>
      <c r="P189" s="42"/>
      <c r="Q189" s="76"/>
      <c r="R189" s="43"/>
      <c r="S189" s="76"/>
      <c r="T189" s="43"/>
      <c r="U189" s="43"/>
      <c r="V189" s="43"/>
      <c r="W189" s="43"/>
      <c r="X189" s="43"/>
      <c r="Y189" s="43"/>
      <c r="Z189" s="43"/>
      <c r="AA189" s="43"/>
      <c r="AB189" s="43"/>
      <c r="AC189" s="43"/>
      <c r="AD189" s="43"/>
      <c r="AF189" s="43"/>
      <c r="AG189" s="43"/>
      <c r="AH189" s="43"/>
      <c r="AI189" s="43"/>
      <c r="AJ189" s="43"/>
      <c r="AK189" s="43"/>
      <c r="AL189" s="43"/>
      <c r="AM189" s="43"/>
      <c r="AN189" s="43"/>
      <c r="AO189" s="43"/>
      <c r="AP189" s="43"/>
      <c r="AQ189" s="43"/>
      <c r="AR189" s="3"/>
      <c r="AS189" s="3"/>
      <c r="AT189" s="3"/>
      <c r="AU189" s="3"/>
      <c r="AV189" s="3"/>
      <c r="AW189" s="3"/>
      <c r="AX189" s="3"/>
      <c r="AY189" s="3"/>
      <c r="AZ189" s="3"/>
      <c r="BA189" s="3"/>
      <c r="BB189" s="3"/>
      <c r="BC189" s="3"/>
      <c r="BD189" s="3"/>
      <c r="BE189" s="3"/>
      <c r="BF189" s="3"/>
      <c r="BG189" s="3"/>
      <c r="BH189" s="3"/>
      <c r="BI189" s="3"/>
      <c r="BJ189" s="3"/>
    </row>
    <row r="190" spans="1:62" ht="6" customHeight="1">
      <c r="A190" s="222"/>
      <c r="B190" s="222"/>
      <c r="C190" s="222"/>
      <c r="D190" s="222"/>
      <c r="E190" s="222"/>
      <c r="F190" s="222"/>
      <c r="G190" s="222"/>
      <c r="H190" s="222"/>
      <c r="I190" s="222"/>
      <c r="J190" s="222"/>
      <c r="K190" s="222"/>
      <c r="L190" s="222"/>
      <c r="M190" s="222"/>
      <c r="N190" s="27"/>
      <c r="O190" s="85"/>
      <c r="P190" s="42"/>
      <c r="Q190" s="76"/>
      <c r="R190" s="43"/>
      <c r="S190" s="76"/>
      <c r="V190" s="2"/>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1:62" ht="9" customHeight="1">
      <c r="A191" s="79"/>
      <c r="B191" s="79"/>
      <c r="C191" s="79"/>
      <c r="D191" s="79"/>
      <c r="E191" s="79"/>
      <c r="F191" s="79"/>
      <c r="G191" s="79"/>
      <c r="H191" s="79"/>
      <c r="I191" s="79"/>
      <c r="J191" s="79"/>
      <c r="K191" s="79"/>
      <c r="L191" s="79"/>
      <c r="M191" s="79"/>
      <c r="N191" s="27"/>
      <c r="O191" s="85"/>
      <c r="P191" s="42"/>
      <c r="Q191" s="76"/>
      <c r="R191" s="43"/>
      <c r="S191" s="76"/>
      <c r="V191" s="2"/>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1:62" ht="15.6" customHeight="1">
      <c r="A192" s="206" t="s">
        <v>149</v>
      </c>
      <c r="B192" s="206"/>
      <c r="C192" s="206"/>
      <c r="D192" s="206"/>
      <c r="E192" s="206"/>
      <c r="F192" s="206"/>
      <c r="G192" s="206"/>
      <c r="H192" s="206"/>
      <c r="I192" s="206"/>
      <c r="J192" s="206"/>
      <c r="K192" s="206"/>
      <c r="L192" s="206"/>
      <c r="M192" s="206"/>
      <c r="N192" s="206"/>
      <c r="O192" s="206"/>
      <c r="P192" s="206"/>
      <c r="Q192" s="206"/>
      <c r="R192" s="206"/>
      <c r="S192" s="206"/>
      <c r="T192" s="206"/>
      <c r="U192" s="206"/>
      <c r="V192" s="206"/>
      <c r="W192" s="206"/>
      <c r="X192" s="206"/>
      <c r="Y192" s="13"/>
      <c r="Z192" s="16"/>
      <c r="AA192" s="13"/>
      <c r="AB192" s="14"/>
      <c r="AC192" s="13"/>
      <c r="AD192" s="13"/>
      <c r="AF192"/>
      <c r="AG192"/>
      <c r="AH192"/>
      <c r="AI192"/>
      <c r="AJ192"/>
      <c r="AK192"/>
      <c r="AL192"/>
      <c r="AM192"/>
      <c r="AN192"/>
      <c r="AO192"/>
      <c r="AP192"/>
      <c r="AQ192"/>
      <c r="AR192"/>
      <c r="AS192"/>
      <c r="AT192"/>
    </row>
    <row r="193" spans="1:62" ht="9" customHeight="1">
      <c r="A193" s="3"/>
      <c r="C193" s="3"/>
      <c r="D193" s="3"/>
      <c r="E193" s="3"/>
      <c r="F193" s="3"/>
      <c r="I193" s="3"/>
      <c r="J193" s="3"/>
      <c r="K193" s="3"/>
      <c r="L193" s="3"/>
      <c r="M193" s="3"/>
      <c r="N193" s="3"/>
      <c r="O193" s="3"/>
      <c r="P193" s="3"/>
      <c r="Q193" s="3"/>
      <c r="R193" s="3"/>
      <c r="S193" s="3"/>
      <c r="T193" s="3"/>
      <c r="U193" s="3"/>
      <c r="V193" s="3"/>
      <c r="W193" s="3"/>
      <c r="X193" s="3"/>
      <c r="Y193" s="3"/>
      <c r="Z193" s="3"/>
      <c r="AA193" s="3"/>
      <c r="AB193" s="3"/>
      <c r="AC193" s="3"/>
      <c r="AD193" s="3"/>
      <c r="AF193"/>
      <c r="AG193"/>
      <c r="AH193"/>
      <c r="AI193"/>
      <c r="AJ193"/>
      <c r="AK193"/>
      <c r="AL193"/>
      <c r="AM193"/>
      <c r="AN193"/>
      <c r="AO193"/>
      <c r="AP193"/>
      <c r="AQ193"/>
      <c r="AR193"/>
      <c r="AS193"/>
      <c r="AT193"/>
    </row>
    <row r="194" spans="1:62" ht="10.9" customHeight="1">
      <c r="A194" s="3"/>
      <c r="C194" s="3"/>
      <c r="P194" s="3"/>
      <c r="Q194" s="3"/>
      <c r="R194" s="3"/>
      <c r="S194" s="3"/>
      <c r="T194" s="3"/>
      <c r="U194" s="214"/>
      <c r="V194" s="214"/>
      <c r="W194" s="3"/>
      <c r="X194" s="3"/>
      <c r="Y194" s="3"/>
      <c r="Z194" s="3"/>
      <c r="AA194" s="3"/>
      <c r="AB194" s="3"/>
      <c r="AC194" s="214"/>
      <c r="AD194" s="214"/>
      <c r="AF194"/>
      <c r="AG194"/>
      <c r="AH194"/>
      <c r="AI194"/>
      <c r="AJ194"/>
      <c r="AK194"/>
      <c r="AL194"/>
      <c r="AM194"/>
      <c r="AN194"/>
      <c r="AO194"/>
      <c r="AP194"/>
      <c r="AQ194"/>
      <c r="AR194" s="3"/>
      <c r="AS194" s="3"/>
      <c r="AT194" s="3"/>
      <c r="AU194" s="3"/>
      <c r="AV194" s="3"/>
      <c r="AW194" s="3"/>
      <c r="AX194" s="3"/>
      <c r="AY194" s="3"/>
      <c r="AZ194" s="3"/>
      <c r="BA194" s="3"/>
      <c r="BB194" s="3"/>
      <c r="BC194" s="3"/>
      <c r="BD194" s="3"/>
      <c r="BE194" s="3"/>
      <c r="BF194" s="3"/>
      <c r="BG194" s="3"/>
      <c r="BH194" s="3"/>
      <c r="BI194" s="3"/>
      <c r="BJ194" s="3"/>
    </row>
    <row r="195" spans="1:62" ht="6" customHeight="1">
      <c r="A195" s="226">
        <v>31</v>
      </c>
      <c r="B195" s="56"/>
      <c r="C195" s="224" t="str">
        <f>INDEX(Riferimenti!$B$2:$B$60,A195)</f>
        <v>Uracile</v>
      </c>
      <c r="D195" s="224"/>
      <c r="E195" s="224"/>
      <c r="F195" s="224"/>
      <c r="G195" s="224"/>
      <c r="H195" s="224"/>
      <c r="I195" s="224"/>
      <c r="J195" s="224"/>
      <c r="K195" s="224"/>
      <c r="L195" s="224"/>
      <c r="M195" s="224"/>
      <c r="N195" s="224"/>
      <c r="O195" s="216" t="str">
        <f>IF(INDEX(Riferimenti!$C$2:$C$66,A195)&gt;0,INDEX(Riferimenti!$C$2:$C$66,A195),"")</f>
        <v/>
      </c>
      <c r="P195" s="216" t="s">
        <v>4</v>
      </c>
      <c r="Q195" s="217">
        <f>INDEX(Riferimenti!$E$2:$E$66,A195)</f>
        <v>1.7</v>
      </c>
      <c r="R195" s="225"/>
      <c r="S195" s="240"/>
      <c r="T195" s="240"/>
      <c r="V195" s="2"/>
      <c r="AF195"/>
      <c r="AG195" s="216">
        <f>INDEX(Riferimenti!$Q$2:$Q$60,A195)</f>
        <v>0.6</v>
      </c>
      <c r="AH195" s="216">
        <f>INDEX(Riferimenti!$R$2:$R$60,A195)</f>
        <v>1.4</v>
      </c>
      <c r="AI195"/>
      <c r="AJ195"/>
      <c r="AK195"/>
      <c r="AL195"/>
      <c r="AM195"/>
      <c r="AN195"/>
      <c r="AO195"/>
      <c r="AP195"/>
      <c r="AQ195"/>
      <c r="AT195" s="3"/>
      <c r="AU195" s="3"/>
      <c r="AV195" s="3"/>
      <c r="AW195" s="3"/>
      <c r="AX195" s="3"/>
      <c r="AY195" s="3"/>
      <c r="AZ195" s="3"/>
      <c r="BA195" s="3"/>
      <c r="BB195" s="3"/>
      <c r="BC195" s="3"/>
      <c r="BD195" s="3"/>
      <c r="BE195" s="3"/>
      <c r="BF195" s="3"/>
      <c r="BG195" s="3"/>
      <c r="BH195" s="3"/>
      <c r="BI195" s="3"/>
      <c r="BJ195" s="3"/>
    </row>
    <row r="196" spans="1:62" ht="5.45" customHeight="1">
      <c r="A196" s="226"/>
      <c r="B196" s="56"/>
      <c r="C196" s="224"/>
      <c r="D196" s="224"/>
      <c r="E196" s="224"/>
      <c r="F196" s="224"/>
      <c r="G196" s="224"/>
      <c r="H196" s="224"/>
      <c r="I196" s="224"/>
      <c r="J196" s="224"/>
      <c r="K196" s="224"/>
      <c r="L196" s="224"/>
      <c r="M196" s="224"/>
      <c r="N196" s="224"/>
      <c r="O196" s="216"/>
      <c r="P196" s="216"/>
      <c r="Q196" s="217"/>
      <c r="R196" s="225"/>
      <c r="S196" s="240"/>
      <c r="T196" s="240"/>
      <c r="U196"/>
      <c r="V196"/>
      <c r="W196"/>
      <c r="X196"/>
      <c r="Y196"/>
      <c r="Z196"/>
      <c r="AA196"/>
      <c r="AB196"/>
      <c r="AC196"/>
      <c r="AD196"/>
      <c r="AF196"/>
      <c r="AG196" s="216"/>
      <c r="AH196" s="216"/>
      <c r="AI196"/>
      <c r="AJ196"/>
      <c r="AK196"/>
      <c r="AL196"/>
      <c r="AM196"/>
      <c r="AN196"/>
      <c r="AO196"/>
      <c r="AP196"/>
      <c r="AQ196"/>
      <c r="AR196" s="3"/>
      <c r="AS196" s="3"/>
      <c r="AT196" s="3"/>
      <c r="AU196" s="3"/>
      <c r="AV196" s="3"/>
      <c r="AW196" s="3"/>
      <c r="AX196" s="3"/>
      <c r="AY196" s="3"/>
      <c r="AZ196" s="3"/>
      <c r="BA196" s="3"/>
      <c r="BB196" s="3"/>
      <c r="BC196" s="3"/>
      <c r="BD196" s="3"/>
      <c r="BE196" s="3"/>
      <c r="BF196" s="3"/>
      <c r="BG196" s="3"/>
      <c r="BH196" s="3"/>
      <c r="BI196" s="3"/>
      <c r="BJ196" s="3"/>
    </row>
    <row r="197" spans="1:62" ht="6" customHeight="1">
      <c r="A197" s="205"/>
      <c r="B197" s="205"/>
      <c r="C197" s="205"/>
      <c r="D197" s="205"/>
      <c r="E197" s="205"/>
      <c r="F197" s="205"/>
      <c r="G197" s="205"/>
      <c r="H197" s="205"/>
      <c r="I197" s="205"/>
      <c r="J197" s="205"/>
      <c r="K197" s="205"/>
      <c r="L197" s="205"/>
      <c r="M197" s="205"/>
      <c r="N197" s="57"/>
      <c r="O197" s="85"/>
      <c r="P197" s="42"/>
      <c r="Q197" s="77"/>
      <c r="R197" s="43"/>
      <c r="S197" s="181"/>
      <c r="T197" s="182"/>
      <c r="U197" s="26"/>
      <c r="V197" s="43"/>
      <c r="W197" s="43"/>
      <c r="X197" s="43"/>
      <c r="Y197" s="43"/>
      <c r="Z197" s="43"/>
      <c r="AA197" s="43"/>
      <c r="AB197" s="43"/>
      <c r="AC197" s="43"/>
      <c r="AD197" s="43"/>
      <c r="AF197"/>
      <c r="AG197"/>
      <c r="AH197"/>
      <c r="AI197"/>
      <c r="AJ197"/>
      <c r="AK197"/>
      <c r="AL197"/>
      <c r="AM197"/>
      <c r="AN197"/>
      <c r="AO197"/>
      <c r="AP197"/>
      <c r="AQ197"/>
      <c r="AR197" s="3"/>
      <c r="AS197" s="3"/>
      <c r="AT197" s="3"/>
      <c r="AU197" s="3"/>
      <c r="AV197" s="3"/>
      <c r="AW197" s="3"/>
      <c r="AX197" s="3"/>
      <c r="AY197" s="3"/>
      <c r="AZ197" s="3"/>
      <c r="BA197" s="3"/>
      <c r="BB197" s="3"/>
      <c r="BC197" s="3"/>
      <c r="BD197" s="3"/>
      <c r="BE197" s="3"/>
      <c r="BF197" s="3"/>
      <c r="BG197" s="3"/>
      <c r="BH197" s="3"/>
      <c r="BI197" s="3"/>
      <c r="BJ197" s="3"/>
    </row>
    <row r="198" spans="1:62" ht="6" customHeight="1">
      <c r="A198" s="205"/>
      <c r="B198" s="205"/>
      <c r="C198" s="205"/>
      <c r="D198" s="205"/>
      <c r="E198" s="205"/>
      <c r="F198" s="205"/>
      <c r="G198" s="205"/>
      <c r="H198" s="205"/>
      <c r="I198" s="205"/>
      <c r="J198" s="205"/>
      <c r="K198" s="205"/>
      <c r="L198" s="205"/>
      <c r="M198" s="205"/>
      <c r="N198" s="57"/>
      <c r="O198" s="85"/>
      <c r="P198" s="42"/>
      <c r="Q198" s="77"/>
      <c r="R198" s="43"/>
      <c r="S198" s="181"/>
      <c r="T198" s="183"/>
      <c r="V198" s="2"/>
      <c r="AF198"/>
      <c r="AG198"/>
      <c r="AH198"/>
      <c r="AI198"/>
      <c r="AJ198"/>
      <c r="AK198"/>
      <c r="AL198"/>
      <c r="AM198"/>
      <c r="AN198"/>
      <c r="AO198"/>
      <c r="AP198"/>
      <c r="AQ198"/>
      <c r="AR198" s="3"/>
      <c r="AS198" s="3"/>
      <c r="AT198" s="3"/>
      <c r="AU198" s="3"/>
      <c r="AV198" s="3"/>
      <c r="AW198" s="3"/>
      <c r="AX198" s="3"/>
      <c r="AY198" s="3"/>
      <c r="AZ198" s="3"/>
      <c r="BA198" s="3"/>
      <c r="BB198" s="3"/>
      <c r="BC198" s="3"/>
      <c r="BD198" s="3"/>
      <c r="BE198" s="3"/>
      <c r="BF198" s="3"/>
      <c r="BG198" s="3"/>
      <c r="BH198" s="3"/>
      <c r="BI198" s="3"/>
      <c r="BJ198" s="3"/>
    </row>
    <row r="199" spans="1:62" ht="10.9" customHeight="1">
      <c r="A199" s="58"/>
      <c r="B199" s="58"/>
      <c r="C199" s="58"/>
      <c r="D199" s="59"/>
      <c r="E199" s="59"/>
      <c r="F199" s="59"/>
      <c r="G199" s="58"/>
      <c r="H199" s="58"/>
      <c r="I199" s="59"/>
      <c r="J199" s="59"/>
      <c r="K199" s="59"/>
      <c r="L199" s="59"/>
      <c r="M199" s="59"/>
      <c r="N199" s="59"/>
      <c r="O199" s="85"/>
      <c r="P199" s="3"/>
      <c r="Q199" s="77"/>
      <c r="R199" s="3"/>
      <c r="S199" s="181"/>
      <c r="T199" s="183"/>
      <c r="U199" s="214"/>
      <c r="V199" s="214"/>
      <c r="W199" s="3"/>
      <c r="X199" s="3"/>
      <c r="Y199" s="3"/>
      <c r="Z199" s="3"/>
      <c r="AA199" s="3"/>
      <c r="AB199" s="3"/>
      <c r="AC199" s="214"/>
      <c r="AD199" s="214"/>
      <c r="AF199"/>
      <c r="AG199"/>
      <c r="AH199"/>
      <c r="AI199"/>
      <c r="AJ199"/>
      <c r="AK199"/>
      <c r="AL199"/>
      <c r="AM199"/>
      <c r="AN199"/>
      <c r="AO199"/>
      <c r="AP199"/>
      <c r="AQ199"/>
      <c r="AR199" s="3"/>
      <c r="AS199" s="3"/>
      <c r="AT199" s="3"/>
      <c r="AU199" s="3"/>
      <c r="AV199" s="3"/>
      <c r="AW199" s="3"/>
      <c r="AX199" s="3"/>
      <c r="AY199" s="3"/>
      <c r="AZ199" s="3"/>
      <c r="BA199" s="3"/>
      <c r="BB199" s="3"/>
      <c r="BC199" s="3"/>
      <c r="BD199" s="3"/>
      <c r="BE199" s="3"/>
      <c r="BF199" s="3"/>
      <c r="BG199" s="3"/>
      <c r="BH199" s="3"/>
      <c r="BI199" s="3"/>
      <c r="BJ199" s="3"/>
    </row>
    <row r="200" spans="1:62" ht="6" customHeight="1">
      <c r="A200" s="226">
        <v>32</v>
      </c>
      <c r="B200" s="56"/>
      <c r="C200" s="224" t="str">
        <f>INDEX(Riferimenti!$B$2:$B$60,A200)</f>
        <v>Timina</v>
      </c>
      <c r="D200" s="224"/>
      <c r="E200" s="224"/>
      <c r="F200" s="224"/>
      <c r="G200" s="224"/>
      <c r="H200" s="224"/>
      <c r="I200" s="224"/>
      <c r="J200" s="224"/>
      <c r="K200" s="224"/>
      <c r="L200" s="224"/>
      <c r="M200" s="224"/>
      <c r="N200" s="224"/>
      <c r="O200" s="216" t="str">
        <f>IF(INDEX(Riferimenti!$C$2:$C$66,A200)&gt;0,INDEX(Riferimenti!$C$2:$C$66,A200),"")</f>
        <v/>
      </c>
      <c r="P200" s="216" t="s">
        <v>4</v>
      </c>
      <c r="Q200" s="217">
        <f>INDEX(Riferimenti!$E$2:$E$66,A200)</f>
        <v>0.2</v>
      </c>
      <c r="R200" s="225"/>
      <c r="S200" s="240"/>
      <c r="T200" s="240"/>
      <c r="V200" s="2"/>
      <c r="AF200"/>
      <c r="AG200" s="216">
        <f>INDEX(Riferimenti!$Q$2:$Q$60,A200)</f>
        <v>5.5640000000000009E-2</v>
      </c>
      <c r="AH200" s="216" t="e">
        <f>INDEX(Riferimenti!$R$2:$R$60,A200)</f>
        <v>#REF!</v>
      </c>
      <c r="AI200"/>
      <c r="AJ200"/>
      <c r="AK200"/>
      <c r="AL200"/>
      <c r="AM200"/>
      <c r="AN200"/>
      <c r="AO200"/>
      <c r="AP200"/>
      <c r="AQ200"/>
      <c r="AT200" s="3"/>
      <c r="AU200" s="3"/>
      <c r="AV200" s="3"/>
      <c r="AW200" s="3"/>
      <c r="AX200" s="3"/>
      <c r="AY200" s="3"/>
      <c r="AZ200" s="3"/>
      <c r="BA200" s="3"/>
      <c r="BB200" s="3"/>
      <c r="BC200" s="3"/>
      <c r="BD200" s="3"/>
      <c r="BE200" s="3"/>
      <c r="BF200" s="3"/>
      <c r="BG200" s="3"/>
      <c r="BH200" s="3"/>
      <c r="BI200" s="3"/>
      <c r="BJ200" s="3"/>
    </row>
    <row r="201" spans="1:62" ht="5.45" customHeight="1">
      <c r="A201" s="226"/>
      <c r="B201" s="56"/>
      <c r="C201" s="224"/>
      <c r="D201" s="224"/>
      <c r="E201" s="224"/>
      <c r="F201" s="224"/>
      <c r="G201" s="224"/>
      <c r="H201" s="224"/>
      <c r="I201" s="224"/>
      <c r="J201" s="224"/>
      <c r="K201" s="224"/>
      <c r="L201" s="224"/>
      <c r="M201" s="224"/>
      <c r="N201" s="224"/>
      <c r="O201" s="216"/>
      <c r="P201" s="216"/>
      <c r="Q201" s="217"/>
      <c r="R201" s="225"/>
      <c r="S201" s="240"/>
      <c r="T201" s="240"/>
      <c r="U201"/>
      <c r="V201"/>
      <c r="W201"/>
      <c r="X201"/>
      <c r="Y201"/>
      <c r="Z201"/>
      <c r="AA201"/>
      <c r="AB201"/>
      <c r="AC201"/>
      <c r="AD201"/>
      <c r="AF201"/>
      <c r="AG201" s="216"/>
      <c r="AH201" s="216"/>
      <c r="AI201"/>
      <c r="AJ201"/>
      <c r="AK201"/>
      <c r="AL201"/>
      <c r="AM201"/>
      <c r="AN201"/>
      <c r="AO201"/>
      <c r="AP201"/>
      <c r="AQ201"/>
      <c r="AR201" s="3"/>
      <c r="AS201" s="3"/>
      <c r="AT201" s="3"/>
      <c r="AU201" s="3"/>
      <c r="AV201" s="3"/>
      <c r="AW201" s="3"/>
      <c r="AX201" s="3"/>
      <c r="AY201" s="3"/>
      <c r="AZ201" s="3"/>
      <c r="BA201" s="3"/>
      <c r="BB201" s="3"/>
      <c r="BC201" s="3"/>
      <c r="BD201" s="3"/>
      <c r="BE201" s="3"/>
      <c r="BF201" s="3"/>
      <c r="BG201" s="3"/>
      <c r="BH201" s="3"/>
      <c r="BI201" s="3"/>
      <c r="BJ201" s="3"/>
    </row>
    <row r="202" spans="1:62" ht="6" customHeight="1">
      <c r="A202" s="3"/>
      <c r="C202" s="3"/>
      <c r="N202" s="27"/>
      <c r="O202" s="82"/>
      <c r="P202" s="38"/>
      <c r="Q202" s="37"/>
      <c r="R202" s="43"/>
      <c r="S202" s="43"/>
      <c r="T202" s="43"/>
      <c r="U202" s="26"/>
      <c r="V202" s="43"/>
      <c r="W202" s="43"/>
      <c r="X202" s="43"/>
      <c r="Y202" s="43"/>
      <c r="Z202" s="43"/>
      <c r="AA202" s="43"/>
      <c r="AB202" s="43"/>
      <c r="AC202" s="43"/>
      <c r="AD202" s="43"/>
      <c r="AF202"/>
      <c r="AG202"/>
      <c r="AH202"/>
      <c r="AI202"/>
      <c r="AJ202"/>
      <c r="AK202"/>
      <c r="AL202"/>
      <c r="AM202"/>
      <c r="AN202"/>
      <c r="AO202"/>
      <c r="AP202"/>
      <c r="AQ202"/>
      <c r="AR202" s="3"/>
      <c r="AS202" s="3"/>
      <c r="AT202" s="3"/>
      <c r="AU202" s="3"/>
      <c r="AV202" s="3"/>
      <c r="AW202" s="3"/>
      <c r="AX202" s="3"/>
      <c r="AY202" s="3"/>
      <c r="AZ202" s="3"/>
      <c r="BA202" s="3"/>
      <c r="BB202" s="3"/>
      <c r="BC202" s="3"/>
      <c r="BD202" s="3"/>
      <c r="BE202" s="3"/>
      <c r="BF202" s="3"/>
      <c r="BG202" s="3"/>
      <c r="BH202" s="3"/>
      <c r="BI202" s="3"/>
      <c r="BJ202" s="3"/>
    </row>
    <row r="203" spans="1:62" ht="6" customHeight="1">
      <c r="A203" s="222"/>
      <c r="B203" s="222"/>
      <c r="C203" s="222"/>
      <c r="D203" s="222"/>
      <c r="E203" s="222"/>
      <c r="F203" s="222"/>
      <c r="G203" s="222"/>
      <c r="H203" s="222"/>
      <c r="I203" s="222"/>
      <c r="J203" s="222"/>
      <c r="K203" s="222"/>
      <c r="L203" s="222"/>
      <c r="M203" s="222"/>
      <c r="N203" s="27"/>
      <c r="O203" s="85"/>
      <c r="P203" s="42"/>
      <c r="Q203" s="76"/>
      <c r="R203" s="43"/>
      <c r="S203" s="43"/>
      <c r="T203" s="43"/>
      <c r="U203" s="43"/>
      <c r="V203" s="43"/>
      <c r="W203" s="43"/>
      <c r="X203" s="43"/>
      <c r="Y203" s="43"/>
      <c r="Z203" s="43"/>
      <c r="AA203" s="43"/>
      <c r="AB203" s="43"/>
      <c r="AC203" s="43"/>
      <c r="AD203" s="43"/>
      <c r="AF203" s="43"/>
      <c r="AG203" s="43"/>
      <c r="AH203" s="43"/>
      <c r="AI203" s="43"/>
      <c r="AJ203" s="43"/>
      <c r="AK203" s="43"/>
      <c r="AL203" s="43"/>
      <c r="AM203" s="43"/>
      <c r="AN203" s="43"/>
      <c r="AO203" s="43"/>
      <c r="AP203" s="43"/>
      <c r="AQ203" s="43"/>
      <c r="AR203" s="3"/>
      <c r="AS203" s="3"/>
      <c r="AT203" s="3"/>
      <c r="AU203" s="3"/>
      <c r="AV203" s="3"/>
      <c r="AW203" s="3"/>
      <c r="AX203" s="3"/>
      <c r="AY203" s="3"/>
      <c r="AZ203" s="3"/>
      <c r="BA203" s="3"/>
      <c r="BB203" s="3"/>
      <c r="BC203" s="3"/>
      <c r="BD203" s="3"/>
      <c r="BE203" s="3"/>
      <c r="BF203" s="3"/>
      <c r="BG203" s="3"/>
      <c r="BH203" s="3"/>
      <c r="BI203" s="3"/>
      <c r="BJ203" s="3"/>
    </row>
    <row r="204" spans="1:62" ht="6" customHeight="1">
      <c r="A204" s="222"/>
      <c r="B204" s="222"/>
      <c r="C204" s="222"/>
      <c r="D204" s="222"/>
      <c r="E204" s="222"/>
      <c r="F204" s="222"/>
      <c r="G204" s="222"/>
      <c r="H204" s="222"/>
      <c r="I204" s="222"/>
      <c r="J204" s="222"/>
      <c r="K204" s="222"/>
      <c r="L204" s="222"/>
      <c r="M204" s="222"/>
      <c r="N204" s="27"/>
      <c r="O204" s="85"/>
      <c r="P204" s="42"/>
      <c r="Q204" s="76"/>
      <c r="R204" s="43"/>
      <c r="S204" s="25"/>
      <c r="V204" s="2"/>
      <c r="AN204" s="3"/>
      <c r="AO204" s="3"/>
      <c r="AP204" s="3"/>
      <c r="AQ204" s="3"/>
      <c r="AR204" s="3"/>
      <c r="AS204" s="3"/>
      <c r="AT204" s="3"/>
      <c r="AU204" s="3"/>
      <c r="AV204" s="3"/>
      <c r="AW204" s="3"/>
      <c r="AX204" s="3"/>
      <c r="AY204" s="3"/>
      <c r="AZ204" s="3"/>
      <c r="BA204" s="3"/>
      <c r="BB204" s="3"/>
      <c r="BC204" s="3"/>
      <c r="BD204" s="3"/>
      <c r="BE204" s="3"/>
      <c r="BF204" s="3"/>
      <c r="BG204" s="3"/>
      <c r="BH204" s="3"/>
      <c r="BI204" s="3"/>
      <c r="BJ204" s="3"/>
    </row>
    <row r="205" spans="1:62" ht="13.9" customHeight="1">
      <c r="B205" s="2"/>
      <c r="G205" s="2"/>
      <c r="H205" s="2"/>
      <c r="Q205" s="3"/>
      <c r="T205" s="3"/>
      <c r="U205" s="3"/>
      <c r="V205" s="2"/>
      <c r="W205" s="3"/>
      <c r="Z205" s="3"/>
      <c r="AB205" s="3"/>
      <c r="AK205" s="3"/>
      <c r="AL205" s="3"/>
      <c r="AM205" s="3"/>
      <c r="AN205" s="3"/>
    </row>
    <row r="206" spans="1:62" ht="40.9" customHeight="1">
      <c r="B206" s="2"/>
      <c r="F206" s="3"/>
      <c r="H206" s="2"/>
      <c r="I206" s="3"/>
      <c r="J206" s="208" t="s">
        <v>1</v>
      </c>
      <c r="K206" s="208"/>
      <c r="L206" s="208"/>
      <c r="M206" s="208"/>
      <c r="N206" s="208"/>
      <c r="O206" s="208"/>
      <c r="P206" s="208"/>
      <c r="Q206" s="208"/>
      <c r="R206" s="208"/>
      <c r="S206" s="208"/>
      <c r="T206" s="208"/>
      <c r="U206" s="208"/>
      <c r="V206" s="208"/>
      <c r="W206" s="208"/>
      <c r="X206" s="208"/>
      <c r="Y206" s="208"/>
      <c r="Z206" s="208"/>
      <c r="AA206" s="208"/>
      <c r="AB206" s="208"/>
      <c r="AC206" s="208"/>
      <c r="AD206" s="208"/>
      <c r="AK206" s="204"/>
      <c r="AL206" s="204"/>
      <c r="AM206" s="204"/>
      <c r="AN206" s="204"/>
      <c r="AO206" s="204"/>
      <c r="AP206" s="204"/>
      <c r="AQ206" s="204"/>
      <c r="AR206" s="204"/>
      <c r="AS206" s="204"/>
      <c r="AT206" s="204"/>
      <c r="AU206" s="204"/>
    </row>
    <row r="207" spans="1:62" ht="12.6" customHeight="1">
      <c r="B207" s="2"/>
      <c r="G207" s="2"/>
      <c r="H207" s="2"/>
      <c r="J207" s="208"/>
      <c r="K207" s="208"/>
      <c r="L207" s="208"/>
      <c r="M207" s="208"/>
      <c r="N207" s="208"/>
      <c r="O207" s="208"/>
      <c r="P207" s="208"/>
      <c r="Q207" s="208"/>
      <c r="R207" s="208"/>
      <c r="S207" s="208"/>
      <c r="T207" s="208"/>
      <c r="U207" s="208"/>
      <c r="V207" s="208"/>
      <c r="W207" s="208"/>
      <c r="X207" s="208"/>
      <c r="Y207" s="208"/>
      <c r="Z207" s="208"/>
      <c r="AA207" s="208"/>
      <c r="AB207" s="208"/>
      <c r="AC207" s="208"/>
      <c r="AD207" s="208"/>
      <c r="AK207" s="3"/>
      <c r="AL207" s="3"/>
      <c r="AM207" s="3"/>
      <c r="AN207" s="3"/>
    </row>
    <row r="208" spans="1:62" ht="21" customHeight="1" thickBot="1">
      <c r="A208" s="4"/>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K208" s="3"/>
      <c r="AL208" s="3"/>
      <c r="AM208" s="3"/>
      <c r="AN208" s="3"/>
    </row>
    <row r="209" spans="1:62" ht="16.5" thickTop="1">
      <c r="A209" s="207" t="str">
        <f>IF(LEN(nPaz)&gt;0,nPaz,"")</f>
        <v/>
      </c>
      <c r="B209" s="207"/>
      <c r="C209" s="207"/>
      <c r="D209" s="207"/>
      <c r="E209" s="207"/>
      <c r="F209" s="207"/>
      <c r="G209" s="207"/>
      <c r="H209" s="207"/>
      <c r="I209" s="207"/>
      <c r="J209" s="207"/>
      <c r="K209" s="207"/>
      <c r="L209" s="207"/>
      <c r="M209" s="207"/>
      <c r="N209" s="207"/>
      <c r="O209" s="207"/>
      <c r="P209" s="139"/>
      <c r="Q209" s="140" t="s">
        <v>12</v>
      </c>
      <c r="R209" s="141" t="str">
        <f>IF(codfisc&lt;&gt;"",codfisc,"")</f>
        <v/>
      </c>
      <c r="S209" s="142"/>
      <c r="T209" s="138"/>
      <c r="U209" s="138"/>
      <c r="V209" s="138"/>
      <c r="W209" s="138"/>
      <c r="X209" s="143" t="s">
        <v>375</v>
      </c>
      <c r="Y209" s="220" t="str">
        <f>IF(nacc&lt;&gt;"",nacc,"")</f>
        <v/>
      </c>
      <c r="Z209" s="220"/>
      <c r="AA209" s="144" t="s">
        <v>376</v>
      </c>
      <c r="AB209" s="221" t="str">
        <f>IF(dref&lt;&gt;"",dref,"")</f>
        <v/>
      </c>
      <c r="AC209" s="221"/>
      <c r="AD209" s="221"/>
      <c r="AE209" s="145"/>
      <c r="AF209"/>
      <c r="AG209"/>
      <c r="AH209"/>
      <c r="AI209"/>
      <c r="AJ209"/>
      <c r="AK209"/>
      <c r="AL209"/>
      <c r="AM209"/>
      <c r="AN209"/>
      <c r="AO209"/>
      <c r="AP209" s="18"/>
      <c r="AQ209" s="3"/>
      <c r="AR209" s="3"/>
      <c r="AS209" s="3"/>
      <c r="AT209" s="3"/>
      <c r="AV209" s="3"/>
    </row>
    <row r="210" spans="1:62" ht="13.9" customHeight="1">
      <c r="A210" s="209" t="s">
        <v>98</v>
      </c>
      <c r="B210" s="209"/>
      <c r="C210" s="209"/>
      <c r="D210" s="209"/>
      <c r="E210" s="209"/>
      <c r="F210" s="209"/>
      <c r="G210" s="209"/>
      <c r="H210" s="209"/>
      <c r="I210" s="209"/>
      <c r="J210" s="209"/>
      <c r="K210" s="209"/>
      <c r="L210" s="209"/>
      <c r="M210" s="64"/>
      <c r="N210" s="64"/>
      <c r="O210" s="210" t="s">
        <v>99</v>
      </c>
      <c r="P210" s="210"/>
      <c r="Q210" s="210"/>
      <c r="R210" s="62"/>
      <c r="S210" s="211" t="s">
        <v>100</v>
      </c>
      <c r="T210" s="211"/>
      <c r="U210" s="63"/>
      <c r="V210" s="215" t="s">
        <v>173</v>
      </c>
      <c r="W210" s="215"/>
      <c r="X210" s="215"/>
      <c r="Y210" s="215"/>
      <c r="Z210" s="215"/>
      <c r="AA210" s="215"/>
      <c r="AB210" s="215"/>
      <c r="AC210" s="215"/>
      <c r="AD210" s="74"/>
      <c r="AE210" s="6"/>
      <c r="AF210" s="6"/>
      <c r="AG210" s="6"/>
      <c r="AH210" s="6"/>
      <c r="AI210" s="6"/>
      <c r="AJ210" s="6"/>
      <c r="AK210" s="6"/>
      <c r="AL210" s="6"/>
      <c r="AM210" s="6"/>
      <c r="AN210" s="3"/>
      <c r="AP210" s="3"/>
      <c r="AQ210" s="3"/>
      <c r="AR210" s="3"/>
      <c r="AS210" s="3"/>
    </row>
    <row r="211" spans="1:62" ht="13.9" customHeight="1">
      <c r="A211" s="210"/>
      <c r="B211" s="210"/>
      <c r="C211" s="210"/>
      <c r="D211" s="210"/>
      <c r="E211" s="210"/>
      <c r="F211" s="210"/>
      <c r="G211" s="210"/>
      <c r="H211" s="210"/>
      <c r="I211" s="210"/>
      <c r="J211" s="210"/>
      <c r="K211" s="210"/>
      <c r="L211" s="210"/>
      <c r="M211" s="64"/>
      <c r="N211" s="64"/>
      <c r="O211" s="212" t="s">
        <v>102</v>
      </c>
      <c r="P211" s="212"/>
      <c r="Q211" s="212"/>
      <c r="R211" s="63"/>
      <c r="S211" s="213" t="s">
        <v>103</v>
      </c>
      <c r="T211" s="213"/>
      <c r="U211" s="63"/>
      <c r="V211" s="215" t="s">
        <v>442</v>
      </c>
      <c r="W211" s="215"/>
      <c r="X211" s="215"/>
      <c r="Y211" s="215"/>
      <c r="Z211" s="215"/>
      <c r="AA211" s="215"/>
      <c r="AB211" s="215"/>
      <c r="AC211" s="215"/>
      <c r="AD211" s="72"/>
      <c r="AF211"/>
      <c r="AG211"/>
      <c r="AH211"/>
      <c r="AI211"/>
      <c r="AJ211"/>
      <c r="AK211"/>
      <c r="AL211"/>
      <c r="AM211"/>
      <c r="AN211"/>
      <c r="AO211"/>
    </row>
    <row r="212" spans="1:62" ht="13.9" customHeight="1" thickBot="1">
      <c r="A212" s="54"/>
      <c r="B212" s="54"/>
      <c r="C212" s="54"/>
      <c r="D212" s="54"/>
      <c r="E212" s="54"/>
      <c r="F212" s="54"/>
      <c r="G212" s="54"/>
      <c r="H212" s="54"/>
      <c r="I212" s="54"/>
      <c r="J212" s="54"/>
      <c r="K212" s="54"/>
      <c r="L212" s="54"/>
      <c r="M212" s="54"/>
      <c r="N212" s="54"/>
      <c r="O212" s="8"/>
      <c r="P212" s="55" t="s">
        <v>160</v>
      </c>
      <c r="Q212" s="8"/>
      <c r="R212" s="8"/>
      <c r="S212" s="8"/>
      <c r="T212" s="8"/>
      <c r="U212" s="8"/>
      <c r="V212" s="8"/>
      <c r="W212" s="8"/>
      <c r="X212" s="8"/>
      <c r="Y212" s="8"/>
      <c r="Z212" s="8"/>
      <c r="AA212" s="8"/>
      <c r="AB212" s="8"/>
      <c r="AC212" s="8"/>
      <c r="AD212" s="7"/>
      <c r="AE212" s="7"/>
      <c r="AF212"/>
      <c r="AG212"/>
      <c r="AH212"/>
      <c r="AI212"/>
      <c r="AJ212"/>
      <c r="AK212"/>
      <c r="AL212"/>
      <c r="AM212"/>
      <c r="AN212"/>
      <c r="AO212"/>
      <c r="AP212"/>
      <c r="AQ212"/>
      <c r="AR212" s="3"/>
      <c r="AS212" s="3"/>
    </row>
    <row r="213" spans="1:62" ht="9" customHeight="1" thickTop="1">
      <c r="A213" s="11"/>
      <c r="B213" s="9"/>
      <c r="D213" s="3"/>
      <c r="G213" s="2"/>
      <c r="H213" s="2"/>
      <c r="O213" s="46"/>
      <c r="P213" s="46"/>
      <c r="Q213" s="46"/>
      <c r="S213" s="46"/>
      <c r="T213" s="3"/>
      <c r="U213" s="3"/>
      <c r="V213" s="2"/>
      <c r="W213" s="3"/>
      <c r="Z213" s="12"/>
      <c r="AB213" s="3"/>
      <c r="AN213" s="3"/>
      <c r="AV213"/>
      <c r="AW213"/>
      <c r="AX213"/>
      <c r="AY213"/>
      <c r="AZ213"/>
      <c r="BA213"/>
      <c r="BB213"/>
      <c r="BC213"/>
      <c r="BD213"/>
      <c r="BE213"/>
      <c r="BF213"/>
      <c r="BG213"/>
      <c r="BH213"/>
      <c r="BI213"/>
    </row>
    <row r="214" spans="1:62" ht="15.6" customHeight="1">
      <c r="A214" s="206" t="s">
        <v>120</v>
      </c>
      <c r="B214" s="206"/>
      <c r="C214" s="206"/>
      <c r="D214" s="206"/>
      <c r="E214" s="206"/>
      <c r="F214" s="206"/>
      <c r="G214" s="206"/>
      <c r="H214" s="206"/>
      <c r="I214" s="206"/>
      <c r="J214" s="206"/>
      <c r="K214" s="206"/>
      <c r="L214" s="206"/>
      <c r="M214" s="206"/>
      <c r="N214" s="206"/>
      <c r="O214" s="15"/>
      <c r="P214" s="15"/>
      <c r="Q214" s="15"/>
      <c r="R214" s="13"/>
      <c r="S214" s="15"/>
      <c r="T214" s="14"/>
      <c r="U214" s="14"/>
      <c r="V214" s="13"/>
      <c r="W214" s="14"/>
      <c r="X214" s="13"/>
      <c r="Y214" s="13"/>
      <c r="Z214" s="16"/>
      <c r="AA214" s="13"/>
      <c r="AB214" s="14"/>
      <c r="AC214" s="13"/>
      <c r="AD214" s="13"/>
      <c r="AG214" s="238"/>
      <c r="AH214" s="238"/>
      <c r="AN214" s="3"/>
      <c r="AV214"/>
      <c r="AW214"/>
      <c r="AX214"/>
      <c r="AY214"/>
      <c r="AZ214"/>
      <c r="BA214"/>
      <c r="BB214"/>
      <c r="BC214"/>
      <c r="BD214"/>
      <c r="BE214"/>
      <c r="BF214"/>
      <c r="BG214"/>
      <c r="BH214"/>
      <c r="BI214"/>
    </row>
    <row r="215" spans="1:62" ht="9" customHeight="1">
      <c r="V215" s="2"/>
      <c r="AN215" s="3"/>
      <c r="AO215" s="3"/>
      <c r="AP215" s="3"/>
      <c r="AQ215" s="3"/>
      <c r="AR215" s="3"/>
      <c r="AS215" s="3"/>
      <c r="AT215" s="3"/>
      <c r="AU215" s="3"/>
      <c r="AV215"/>
      <c r="AW215"/>
      <c r="AX215"/>
      <c r="AY215"/>
      <c r="AZ215"/>
      <c r="BA215"/>
      <c r="BB215"/>
      <c r="BC215"/>
      <c r="BD215"/>
      <c r="BE215"/>
      <c r="BF215"/>
      <c r="BG215"/>
      <c r="BH215"/>
      <c r="BI215"/>
      <c r="BJ215" s="3"/>
    </row>
    <row r="216" spans="1:62" ht="13.9" customHeight="1">
      <c r="B216" s="2"/>
      <c r="C216" s="203" t="s">
        <v>121</v>
      </c>
      <c r="D216" s="203"/>
      <c r="E216" s="203"/>
      <c r="F216" s="203"/>
      <c r="G216" s="203"/>
      <c r="H216" s="203"/>
      <c r="I216" s="203"/>
      <c r="J216" s="203"/>
      <c r="K216" s="203"/>
      <c r="L216" s="203"/>
      <c r="M216" s="203"/>
      <c r="N216" s="203"/>
      <c r="O216" s="203"/>
      <c r="P216" s="203"/>
      <c r="Q216" s="3"/>
      <c r="R216" s="3"/>
      <c r="S216" s="3"/>
      <c r="T216" s="3"/>
      <c r="U216" s="3"/>
      <c r="V216" s="3"/>
      <c r="W216" s="3"/>
      <c r="X216" s="3"/>
      <c r="Y216" s="3"/>
      <c r="Z216" s="3"/>
      <c r="AA216" s="3"/>
      <c r="AB216" s="3"/>
      <c r="AC216" s="3"/>
      <c r="AD216" s="3"/>
      <c r="AF216"/>
      <c r="AG216"/>
      <c r="AH216"/>
      <c r="AI216"/>
      <c r="AJ216"/>
      <c r="AK216"/>
      <c r="AL216"/>
      <c r="AM216"/>
      <c r="AN216"/>
      <c r="AO216"/>
      <c r="AP216"/>
      <c r="AQ216"/>
    </row>
    <row r="217" spans="1:62" ht="6.6" customHeight="1">
      <c r="AF217"/>
      <c r="AG217"/>
      <c r="AH217"/>
      <c r="AI217"/>
      <c r="AJ217"/>
      <c r="AK217"/>
      <c r="AL217"/>
      <c r="AM217"/>
      <c r="AN217"/>
      <c r="AO217"/>
      <c r="AP217"/>
      <c r="AQ217"/>
    </row>
    <row r="218" spans="1:62" ht="10.9" customHeight="1">
      <c r="AF218"/>
      <c r="AG218"/>
      <c r="AH218"/>
      <c r="AI218"/>
      <c r="AJ218"/>
      <c r="AK218"/>
      <c r="AL218"/>
      <c r="AM218"/>
      <c r="AN218"/>
      <c r="AO218"/>
      <c r="AP218"/>
      <c r="AQ218"/>
    </row>
    <row r="219" spans="1:62" ht="6" customHeight="1">
      <c r="A219" s="226">
        <v>33</v>
      </c>
      <c r="B219" s="56"/>
      <c r="C219" s="224" t="str">
        <f>INDEX(Riferimenti!$B$2:$B$60,A219)</f>
        <v>Citramalico</v>
      </c>
      <c r="D219" s="224"/>
      <c r="E219" s="224"/>
      <c r="F219" s="224"/>
      <c r="G219" s="224"/>
      <c r="H219" s="224"/>
      <c r="I219" s="224"/>
      <c r="J219" s="224"/>
      <c r="K219" s="224"/>
      <c r="L219" s="224"/>
      <c r="M219" s="224"/>
      <c r="N219" s="224"/>
      <c r="O219" s="216" t="str">
        <f>IF(INDEX(Riferimenti!$C$2:$C$66,A219)&gt;0,INDEX(Riferimenti!$C$2:$C$66,A219),"")</f>
        <v/>
      </c>
      <c r="P219" s="216" t="s">
        <v>4</v>
      </c>
      <c r="Q219" s="217">
        <f>INDEX(Riferimenti!$E$2:$E$66,A219)</f>
        <v>3.7</v>
      </c>
      <c r="R219" s="218"/>
      <c r="S219" s="240"/>
      <c r="T219" s="240"/>
      <c r="V219" s="2"/>
      <c r="AG219" s="216">
        <f>INDEX(Riferimenti!$Q$2:$Q$60,A219)</f>
        <v>1.2</v>
      </c>
      <c r="AH219" s="216">
        <f>INDEX(Riferimenti!$R$2:$R$60,A219)</f>
        <v>2.8</v>
      </c>
      <c r="AI219" s="3"/>
      <c r="AN219" s="3"/>
      <c r="AT219" s="3"/>
      <c r="AU219" s="3"/>
      <c r="AV219" s="3"/>
      <c r="AW219" s="3"/>
      <c r="AX219" s="3"/>
      <c r="AY219" s="3"/>
      <c r="AZ219" s="3"/>
      <c r="BA219" s="3"/>
      <c r="BB219" s="3"/>
      <c r="BC219" s="3"/>
      <c r="BD219" s="3"/>
      <c r="BE219" s="3"/>
      <c r="BF219" s="3"/>
      <c r="BG219" s="3"/>
      <c r="BH219" s="3"/>
      <c r="BI219" s="3"/>
      <c r="BJ219" s="3"/>
    </row>
    <row r="220" spans="1:62" ht="5.45" customHeight="1">
      <c r="A220" s="226"/>
      <c r="B220" s="56"/>
      <c r="C220" s="224"/>
      <c r="D220" s="224"/>
      <c r="E220" s="224"/>
      <c r="F220" s="224"/>
      <c r="G220" s="224"/>
      <c r="H220" s="224"/>
      <c r="I220" s="224"/>
      <c r="J220" s="224"/>
      <c r="K220" s="224"/>
      <c r="L220" s="224"/>
      <c r="M220" s="224"/>
      <c r="N220" s="224"/>
      <c r="O220" s="216"/>
      <c r="P220" s="216"/>
      <c r="Q220" s="217"/>
      <c r="R220" s="218"/>
      <c r="S220" s="240"/>
      <c r="T220" s="240"/>
      <c r="U220"/>
      <c r="V220"/>
      <c r="W220"/>
      <c r="X220"/>
      <c r="Y220"/>
      <c r="Z220"/>
      <c r="AA220"/>
      <c r="AB220"/>
      <c r="AC220"/>
      <c r="AD220"/>
      <c r="AF220"/>
      <c r="AG220" s="216"/>
      <c r="AH220" s="216"/>
      <c r="AN220" s="3"/>
      <c r="AO220" s="3"/>
      <c r="AP220" s="3"/>
      <c r="AQ220" s="3"/>
      <c r="AR220" s="3"/>
      <c r="AS220" s="3"/>
      <c r="AT220" s="3"/>
      <c r="AU220" s="3"/>
      <c r="AV220" s="3"/>
      <c r="AW220" s="3"/>
      <c r="AX220" s="3"/>
      <c r="AY220" s="3"/>
      <c r="AZ220" s="3"/>
      <c r="BA220" s="3"/>
      <c r="BB220" s="3"/>
      <c r="BC220" s="3"/>
      <c r="BD220" s="3"/>
      <c r="BE220" s="3"/>
      <c r="BF220" s="3"/>
      <c r="BG220" s="3"/>
      <c r="BH220" s="3"/>
      <c r="BI220" s="3"/>
      <c r="BJ220" s="3"/>
    </row>
    <row r="221" spans="1:62" ht="6" customHeight="1">
      <c r="A221" s="205"/>
      <c r="B221" s="205"/>
      <c r="C221" s="205"/>
      <c r="D221" s="205"/>
      <c r="E221" s="205"/>
      <c r="F221" s="205"/>
      <c r="G221" s="205"/>
      <c r="H221" s="205"/>
      <c r="I221" s="205"/>
      <c r="J221" s="205"/>
      <c r="K221" s="205"/>
      <c r="L221" s="205"/>
      <c r="M221" s="205"/>
      <c r="N221" s="57"/>
      <c r="O221" s="83"/>
      <c r="P221" s="42"/>
      <c r="Q221" s="77"/>
      <c r="R221" s="80"/>
      <c r="S221" s="181"/>
      <c r="T221" s="182"/>
      <c r="U221" s="43"/>
      <c r="V221" s="43"/>
      <c r="W221" s="43"/>
      <c r="X221" s="43"/>
      <c r="Y221" s="43"/>
      <c r="Z221" s="43"/>
      <c r="AA221" s="43"/>
      <c r="AB221" s="43"/>
      <c r="AC221" s="43"/>
      <c r="AD221" s="43"/>
      <c r="AF221" s="43"/>
      <c r="AG221" s="43"/>
      <c r="AH221" s="43"/>
      <c r="AI221" s="43"/>
      <c r="AJ221" s="43"/>
      <c r="AK221" s="43"/>
      <c r="AL221" s="43"/>
      <c r="AM221" s="43"/>
      <c r="AN221" s="43"/>
      <c r="AO221" s="43"/>
      <c r="AP221" s="43"/>
      <c r="AQ221" s="43"/>
      <c r="AR221" s="3"/>
      <c r="AS221" s="3"/>
      <c r="AT221" s="3"/>
      <c r="AU221" s="3"/>
      <c r="AV221" s="3"/>
      <c r="AW221" s="3"/>
      <c r="AX221" s="3"/>
      <c r="AY221" s="3"/>
      <c r="AZ221" s="3"/>
      <c r="BA221" s="3"/>
      <c r="BB221" s="3"/>
      <c r="BC221" s="3"/>
      <c r="BD221" s="3"/>
      <c r="BE221" s="3"/>
      <c r="BF221" s="3"/>
      <c r="BG221" s="3"/>
      <c r="BH221" s="3"/>
      <c r="BI221" s="3"/>
      <c r="BJ221" s="3"/>
    </row>
    <row r="222" spans="1:62" ht="6" customHeight="1">
      <c r="A222" s="205"/>
      <c r="B222" s="205"/>
      <c r="C222" s="205"/>
      <c r="D222" s="205"/>
      <c r="E222" s="205"/>
      <c r="F222" s="205"/>
      <c r="G222" s="205"/>
      <c r="H222" s="205"/>
      <c r="I222" s="205"/>
      <c r="J222" s="205"/>
      <c r="K222" s="205"/>
      <c r="L222" s="205"/>
      <c r="M222" s="205"/>
      <c r="N222" s="57"/>
      <c r="O222" s="83"/>
      <c r="P222" s="42"/>
      <c r="Q222" s="77"/>
      <c r="R222" s="80"/>
      <c r="S222" s="181"/>
      <c r="T222" s="183"/>
      <c r="V222" s="2"/>
      <c r="AN222" s="3"/>
      <c r="AO222" s="3"/>
      <c r="AP222" s="3"/>
      <c r="AQ222" s="3"/>
      <c r="AR222" s="3"/>
      <c r="AS222" s="3"/>
      <c r="AT222" s="3"/>
      <c r="AU222" s="3"/>
      <c r="AV222" s="3"/>
      <c r="AW222" s="3"/>
      <c r="AX222" s="3"/>
      <c r="AY222" s="3"/>
      <c r="AZ222" s="3"/>
      <c r="BA222" s="3"/>
      <c r="BB222" s="3"/>
      <c r="BC222" s="3"/>
      <c r="BD222" s="3"/>
      <c r="BE222" s="3"/>
      <c r="BF222" s="3"/>
      <c r="BG222" s="3"/>
      <c r="BH222" s="3"/>
      <c r="BI222" s="3"/>
      <c r="BJ222" s="3"/>
    </row>
    <row r="223" spans="1:62" ht="10.9" customHeight="1">
      <c r="A223" s="58"/>
      <c r="B223" s="58"/>
      <c r="C223" s="58"/>
      <c r="D223" s="59"/>
      <c r="E223" s="59"/>
      <c r="F223" s="59"/>
      <c r="G223" s="58"/>
      <c r="H223" s="58"/>
      <c r="I223" s="59"/>
      <c r="J223" s="59"/>
      <c r="K223" s="59"/>
      <c r="L223" s="59"/>
      <c r="M223" s="59"/>
      <c r="N223" s="59"/>
      <c r="O223" s="59"/>
      <c r="P223" s="42"/>
      <c r="Q223" s="41"/>
      <c r="R223" s="41"/>
      <c r="S223" s="185"/>
      <c r="T223" s="184"/>
      <c r="U223" s="214"/>
      <c r="V223" s="214"/>
      <c r="W223" s="3"/>
      <c r="X223" s="3"/>
      <c r="Y223" s="3"/>
      <c r="Z223" s="3"/>
      <c r="AA223" s="3"/>
      <c r="AB223" s="3"/>
      <c r="AC223" s="214"/>
      <c r="AD223" s="214"/>
      <c r="AF223" s="3"/>
      <c r="AG223" s="3"/>
      <c r="AH223" s="3"/>
      <c r="AI223" s="24"/>
      <c r="AJ223" s="24"/>
      <c r="AK223" s="24"/>
      <c r="AL223" s="24"/>
      <c r="AN223" s="3"/>
      <c r="AP223" s="3"/>
      <c r="AQ223" s="3"/>
      <c r="AR223" s="3"/>
      <c r="AS223" s="3"/>
      <c r="AT223" s="3"/>
      <c r="AU223" s="3"/>
      <c r="AV223" s="3"/>
      <c r="AW223" s="3"/>
      <c r="AX223" s="3"/>
      <c r="AY223" s="3"/>
      <c r="AZ223" s="3"/>
      <c r="BA223" s="3"/>
      <c r="BB223" s="3"/>
      <c r="BC223" s="3"/>
      <c r="BD223" s="3"/>
      <c r="BE223" s="3"/>
      <c r="BF223" s="3"/>
      <c r="BG223" s="3"/>
      <c r="BH223" s="3"/>
      <c r="BI223" s="3"/>
      <c r="BJ223" s="3"/>
    </row>
    <row r="224" spans="1:62" ht="6" customHeight="1">
      <c r="A224" s="226">
        <v>34</v>
      </c>
      <c r="B224" s="56"/>
      <c r="C224" s="219" t="str">
        <f>INDEX(Riferimenti!$B$2:$B$60,A224)</f>
        <v>5-Idrossimetil-2-Furancarbossilico</v>
      </c>
      <c r="D224" s="219"/>
      <c r="E224" s="219"/>
      <c r="F224" s="219"/>
      <c r="G224" s="219"/>
      <c r="H224" s="219"/>
      <c r="I224" s="219"/>
      <c r="J224" s="219"/>
      <c r="K224" s="219"/>
      <c r="L224" s="219"/>
      <c r="M224" s="219"/>
      <c r="N224" s="219"/>
      <c r="O224" s="219"/>
      <c r="P224" s="216" t="s">
        <v>4</v>
      </c>
      <c r="Q224" s="217">
        <f>INDEX(Riferimenti!$E$2:$E$66,A224)</f>
        <v>1</v>
      </c>
      <c r="R224" s="218"/>
      <c r="S224" s="240"/>
      <c r="T224" s="240"/>
      <c r="V224" s="2"/>
      <c r="AG224" s="216">
        <f>INDEX(Riferimenti!$Q$2:$Q$60,A224)</f>
        <v>0.1</v>
      </c>
      <c r="AH224" s="216">
        <f>INDEX(Riferimenti!$R$2:$R$60,A224)</f>
        <v>0.7</v>
      </c>
      <c r="AI224" s="3"/>
      <c r="AN224" s="3"/>
      <c r="AT224" s="3"/>
      <c r="AU224" s="3"/>
      <c r="AV224" s="3"/>
      <c r="AW224" s="3"/>
      <c r="AX224" s="3"/>
      <c r="AY224" s="3"/>
      <c r="AZ224" s="3"/>
      <c r="BA224" s="3"/>
      <c r="BB224" s="3"/>
      <c r="BC224" s="3"/>
      <c r="BD224" s="3"/>
      <c r="BE224" s="3"/>
      <c r="BF224" s="3"/>
      <c r="BG224" s="3"/>
      <c r="BH224" s="3"/>
      <c r="BI224" s="3"/>
      <c r="BJ224" s="3"/>
    </row>
    <row r="225" spans="1:62" ht="5.45" customHeight="1">
      <c r="A225" s="226"/>
      <c r="B225" s="56"/>
      <c r="C225" s="219"/>
      <c r="D225" s="219"/>
      <c r="E225" s="219"/>
      <c r="F225" s="219"/>
      <c r="G225" s="219"/>
      <c r="H225" s="219"/>
      <c r="I225" s="219"/>
      <c r="J225" s="219"/>
      <c r="K225" s="219"/>
      <c r="L225" s="219"/>
      <c r="M225" s="219"/>
      <c r="N225" s="219"/>
      <c r="O225" s="219"/>
      <c r="P225" s="216"/>
      <c r="Q225" s="217"/>
      <c r="R225" s="218"/>
      <c r="S225" s="240"/>
      <c r="T225" s="240"/>
      <c r="U225"/>
      <c r="V225"/>
      <c r="W225"/>
      <c r="X225"/>
      <c r="Y225"/>
      <c r="Z225"/>
      <c r="AA225"/>
      <c r="AB225"/>
      <c r="AC225"/>
      <c r="AD225"/>
      <c r="AF225"/>
      <c r="AG225" s="216"/>
      <c r="AH225" s="216"/>
      <c r="AN225" s="3"/>
      <c r="AO225" s="3"/>
      <c r="AP225" s="3"/>
      <c r="AQ225" s="3"/>
      <c r="AR225" s="3"/>
      <c r="AS225" s="3"/>
      <c r="AT225" s="3"/>
      <c r="AU225" s="3"/>
      <c r="AV225" s="3"/>
      <c r="AW225" s="3"/>
      <c r="AX225" s="3"/>
      <c r="AY225" s="3"/>
      <c r="AZ225" s="3"/>
      <c r="BA225" s="3"/>
      <c r="BB225" s="3"/>
      <c r="BC225" s="3"/>
      <c r="BD225" s="3"/>
      <c r="BE225" s="3"/>
      <c r="BF225" s="3"/>
      <c r="BG225" s="3"/>
      <c r="BH225" s="3"/>
      <c r="BI225" s="3"/>
      <c r="BJ225" s="3"/>
    </row>
    <row r="226" spans="1:62" ht="6" customHeight="1">
      <c r="A226" s="222" t="s">
        <v>5</v>
      </c>
      <c r="B226" s="222"/>
      <c r="C226" s="222"/>
      <c r="D226" s="222"/>
      <c r="E226" s="222"/>
      <c r="F226" s="222"/>
      <c r="G226" s="222"/>
      <c r="H226" s="222"/>
      <c r="I226" s="222"/>
      <c r="J226" s="222"/>
      <c r="K226" s="222"/>
      <c r="L226" s="222"/>
      <c r="M226" s="222"/>
      <c r="N226" s="27"/>
      <c r="O226" s="82"/>
      <c r="P226" s="42"/>
      <c r="Q226" s="77"/>
      <c r="R226" s="80"/>
      <c r="S226" s="181"/>
      <c r="T226" s="182"/>
      <c r="U226" s="43"/>
      <c r="V226" s="43"/>
      <c r="W226" s="43"/>
      <c r="X226" s="43"/>
      <c r="Y226" s="43"/>
      <c r="Z226" s="43"/>
      <c r="AA226" s="43"/>
      <c r="AB226" s="43"/>
      <c r="AC226" s="43"/>
      <c r="AD226" s="43"/>
      <c r="AF226" s="43"/>
      <c r="AG226" s="43"/>
      <c r="AH226" s="43"/>
      <c r="AI226" s="43"/>
      <c r="AJ226" s="43"/>
      <c r="AK226" s="43"/>
      <c r="AL226" s="43"/>
      <c r="AM226" s="43"/>
      <c r="AN226" s="43"/>
      <c r="AO226" s="43"/>
      <c r="AP226" s="43"/>
      <c r="AQ226" s="43"/>
      <c r="AR226" s="3"/>
      <c r="AS226" s="3"/>
      <c r="AT226" s="3"/>
      <c r="AU226" s="3"/>
      <c r="AV226" s="3"/>
      <c r="AW226" s="3"/>
      <c r="AX226" s="3"/>
      <c r="AY226" s="3"/>
      <c r="AZ226" s="3"/>
      <c r="BA226" s="3"/>
      <c r="BB226" s="3"/>
      <c r="BC226" s="3"/>
      <c r="BD226" s="3"/>
      <c r="BE226" s="3"/>
      <c r="BF226" s="3"/>
      <c r="BG226" s="3"/>
      <c r="BH226" s="3"/>
      <c r="BI226" s="3"/>
      <c r="BJ226" s="3"/>
    </row>
    <row r="227" spans="1:62" ht="6" customHeight="1">
      <c r="A227" s="222"/>
      <c r="B227" s="222"/>
      <c r="C227" s="222"/>
      <c r="D227" s="222"/>
      <c r="E227" s="222"/>
      <c r="F227" s="222"/>
      <c r="G227" s="222"/>
      <c r="H227" s="222"/>
      <c r="I227" s="222"/>
      <c r="J227" s="222"/>
      <c r="K227" s="222"/>
      <c r="L227" s="222"/>
      <c r="M227" s="222"/>
      <c r="N227" s="27"/>
      <c r="O227" s="82"/>
      <c r="P227" s="42"/>
      <c r="Q227" s="77"/>
      <c r="R227" s="80"/>
      <c r="S227" s="181"/>
      <c r="T227" s="183"/>
      <c r="V227" s="2"/>
      <c r="AN227" s="3"/>
      <c r="AO227" s="3"/>
      <c r="AP227" s="3"/>
      <c r="AQ227" s="3"/>
      <c r="AR227" s="3"/>
      <c r="AS227" s="3"/>
      <c r="AT227" s="3"/>
      <c r="AU227" s="3"/>
      <c r="AV227" s="3"/>
      <c r="AW227" s="3"/>
      <c r="AX227" s="3"/>
      <c r="AY227" s="3"/>
      <c r="AZ227" s="3"/>
      <c r="BA227" s="3"/>
      <c r="BB227" s="3"/>
      <c r="BC227" s="3"/>
      <c r="BD227" s="3"/>
      <c r="BE227" s="3"/>
      <c r="BF227" s="3"/>
      <c r="BG227" s="3"/>
      <c r="BH227" s="3"/>
      <c r="BI227" s="3"/>
      <c r="BJ227" s="3"/>
    </row>
    <row r="228" spans="1:62" ht="10.9" customHeight="1">
      <c r="A228" s="3"/>
      <c r="C228" s="3"/>
      <c r="P228" s="3"/>
      <c r="Q228" s="41"/>
      <c r="R228" s="41"/>
      <c r="S228" s="185"/>
      <c r="T228" s="184"/>
      <c r="U228" s="214"/>
      <c r="V228" s="214"/>
      <c r="W228" s="3"/>
      <c r="X228" s="3"/>
      <c r="Y228" s="3"/>
      <c r="Z228" s="3"/>
      <c r="AA228" s="3"/>
      <c r="AB228" s="3"/>
      <c r="AC228" s="214"/>
      <c r="AD228" s="214"/>
      <c r="AF228" s="3"/>
      <c r="AG228" s="3"/>
      <c r="AH228" s="3"/>
      <c r="AI228" s="24"/>
      <c r="AJ228" s="24"/>
      <c r="AK228" s="24"/>
      <c r="AL228" s="24"/>
      <c r="AN228" s="3"/>
      <c r="AP228" s="3"/>
      <c r="AQ228" s="3"/>
      <c r="AR228" s="3"/>
      <c r="AS228" s="3"/>
      <c r="AT228" s="3"/>
      <c r="AU228" s="3"/>
      <c r="AV228" s="3"/>
      <c r="AW228" s="3"/>
      <c r="AX228" s="3"/>
      <c r="AY228" s="3"/>
      <c r="AZ228" s="3"/>
      <c r="BA228" s="3"/>
      <c r="BB228" s="3"/>
      <c r="BC228" s="3"/>
      <c r="BD228" s="3"/>
      <c r="BE228" s="3"/>
      <c r="BF228" s="3"/>
      <c r="BG228" s="3"/>
      <c r="BH228" s="3"/>
      <c r="BI228" s="3"/>
      <c r="BJ228" s="3"/>
    </row>
    <row r="229" spans="1:62" ht="6" customHeight="1">
      <c r="A229" s="226">
        <v>35</v>
      </c>
      <c r="B229" s="56"/>
      <c r="C229" s="224" t="str">
        <f>INDEX(Riferimenti!$B$2:$B$60,A229)</f>
        <v>Tartarico</v>
      </c>
      <c r="D229" s="224"/>
      <c r="E229" s="224"/>
      <c r="F229" s="224"/>
      <c r="G229" s="224"/>
      <c r="H229" s="224"/>
      <c r="I229" s="224"/>
      <c r="J229" s="224"/>
      <c r="K229" s="224"/>
      <c r="L229" s="224"/>
      <c r="M229" s="224"/>
      <c r="N229" s="224"/>
      <c r="O229" s="216" t="str">
        <f>IF(INDEX(Riferimenti!$C$2:$C$66,A229)&gt;0,INDEX(Riferimenti!$C$2:$C$66,A229),"")</f>
        <v/>
      </c>
      <c r="P229" s="216" t="s">
        <v>4</v>
      </c>
      <c r="Q229" s="217">
        <f>INDEX(Riferimenti!$E$2:$E$66,A229)</f>
        <v>18.100000000000001</v>
      </c>
      <c r="R229" s="218"/>
      <c r="S229" s="240"/>
      <c r="T229" s="240"/>
      <c r="V229" s="2"/>
      <c r="AG229" s="216">
        <f>INDEX(Riferimenti!$Q$2:$Q$60,A229)</f>
        <v>2</v>
      </c>
      <c r="AH229" s="216">
        <f>INDEX(Riferimenti!$R$2:$R$60,A229)</f>
        <v>11.8</v>
      </c>
      <c r="AI229" s="3"/>
      <c r="AN229" s="3"/>
      <c r="AT229" s="3"/>
      <c r="AU229" s="3"/>
      <c r="AV229" s="3"/>
      <c r="AW229" s="3"/>
      <c r="AX229" s="3"/>
      <c r="AY229" s="3"/>
      <c r="AZ229" s="3"/>
      <c r="BA229" s="3"/>
      <c r="BB229" s="3"/>
      <c r="BC229" s="3"/>
      <c r="BD229" s="3"/>
      <c r="BE229" s="3"/>
      <c r="BF229" s="3"/>
      <c r="BG229" s="3"/>
      <c r="BH229" s="3"/>
      <c r="BI229" s="3"/>
      <c r="BJ229" s="3"/>
    </row>
    <row r="230" spans="1:62" ht="5.45" customHeight="1">
      <c r="A230" s="226"/>
      <c r="B230" s="56"/>
      <c r="C230" s="224"/>
      <c r="D230" s="224"/>
      <c r="E230" s="224"/>
      <c r="F230" s="224"/>
      <c r="G230" s="224"/>
      <c r="H230" s="224"/>
      <c r="I230" s="224"/>
      <c r="J230" s="224"/>
      <c r="K230" s="224"/>
      <c r="L230" s="224"/>
      <c r="M230" s="224"/>
      <c r="N230" s="224"/>
      <c r="O230" s="216"/>
      <c r="P230" s="216"/>
      <c r="Q230" s="217"/>
      <c r="R230" s="218"/>
      <c r="S230" s="240"/>
      <c r="T230" s="240"/>
      <c r="U230"/>
      <c r="V230"/>
      <c r="W230"/>
      <c r="X230"/>
      <c r="Y230"/>
      <c r="Z230"/>
      <c r="AA230"/>
      <c r="AB230"/>
      <c r="AC230"/>
      <c r="AD230"/>
      <c r="AF230"/>
      <c r="AG230" s="216"/>
      <c r="AH230" s="216"/>
      <c r="AN230" s="3"/>
      <c r="AO230" s="3"/>
      <c r="AP230" s="3"/>
      <c r="AQ230" s="3"/>
      <c r="AR230" s="3"/>
      <c r="AS230" s="3"/>
      <c r="AT230" s="3"/>
      <c r="AU230" s="3"/>
      <c r="AV230" s="3"/>
      <c r="AW230" s="3"/>
      <c r="AX230" s="3"/>
      <c r="AY230" s="3"/>
      <c r="AZ230" s="3"/>
      <c r="BA230" s="3"/>
      <c r="BB230" s="3"/>
      <c r="BC230" s="3"/>
      <c r="BD230" s="3"/>
      <c r="BE230" s="3"/>
      <c r="BF230" s="3"/>
      <c r="BG230" s="3"/>
      <c r="BH230" s="3"/>
      <c r="BI230" s="3"/>
      <c r="BJ230" s="3"/>
    </row>
    <row r="231" spans="1:62" ht="6" customHeight="1">
      <c r="A231" s="222" t="s">
        <v>5</v>
      </c>
      <c r="B231" s="222"/>
      <c r="C231" s="222"/>
      <c r="D231" s="222"/>
      <c r="E231" s="222"/>
      <c r="F231" s="222"/>
      <c r="G231" s="222"/>
      <c r="H231" s="222"/>
      <c r="I231" s="222"/>
      <c r="J231" s="222"/>
      <c r="K231" s="222"/>
      <c r="L231" s="222"/>
      <c r="M231" s="222"/>
      <c r="N231" s="27"/>
      <c r="O231" s="82"/>
      <c r="P231" s="42"/>
      <c r="Q231" s="77"/>
      <c r="R231" s="80"/>
      <c r="S231" s="181"/>
      <c r="T231" s="182"/>
      <c r="U231" s="43"/>
      <c r="V231" s="43"/>
      <c r="W231" s="43"/>
      <c r="X231" s="43"/>
      <c r="Y231" s="43"/>
      <c r="Z231" s="43"/>
      <c r="AA231" s="43"/>
      <c r="AB231" s="43"/>
      <c r="AC231" s="43"/>
      <c r="AD231" s="43"/>
      <c r="AF231" s="43"/>
      <c r="AG231" s="43"/>
      <c r="AH231" s="43"/>
      <c r="AI231" s="43"/>
      <c r="AJ231" s="43"/>
      <c r="AK231" s="43"/>
      <c r="AL231" s="43"/>
      <c r="AM231" s="43"/>
      <c r="AN231" s="43"/>
      <c r="AO231" s="43"/>
      <c r="AP231" s="43"/>
      <c r="AQ231" s="43"/>
      <c r="AR231" s="3"/>
      <c r="AS231" s="3"/>
      <c r="AT231" s="3"/>
      <c r="AU231" s="3"/>
      <c r="AV231" s="3"/>
      <c r="AW231" s="3"/>
      <c r="AX231" s="3"/>
      <c r="AY231" s="3"/>
      <c r="AZ231" s="3"/>
      <c r="BA231" s="3"/>
      <c r="BB231" s="3"/>
      <c r="BC231" s="3"/>
      <c r="BD231" s="3"/>
      <c r="BE231" s="3"/>
      <c r="BF231" s="3"/>
      <c r="BG231" s="3"/>
      <c r="BH231" s="3"/>
      <c r="BI231" s="3"/>
      <c r="BJ231" s="3"/>
    </row>
    <row r="232" spans="1:62" ht="6" customHeight="1">
      <c r="A232" s="222"/>
      <c r="B232" s="222"/>
      <c r="C232" s="222"/>
      <c r="D232" s="222"/>
      <c r="E232" s="222"/>
      <c r="F232" s="222"/>
      <c r="G232" s="222"/>
      <c r="H232" s="222"/>
      <c r="I232" s="222"/>
      <c r="J232" s="222"/>
      <c r="K232" s="222"/>
      <c r="L232" s="222"/>
      <c r="M232" s="222"/>
      <c r="N232" s="27"/>
      <c r="O232" s="82"/>
      <c r="P232" s="42"/>
      <c r="Q232" s="77"/>
      <c r="R232" s="80"/>
      <c r="S232" s="181"/>
      <c r="T232" s="183"/>
      <c r="V232" s="2"/>
      <c r="AN232" s="3"/>
      <c r="AO232" s="3"/>
      <c r="AP232" s="3"/>
      <c r="AQ232" s="3"/>
      <c r="AR232" s="3"/>
      <c r="AS232" s="3"/>
      <c r="AT232" s="3"/>
      <c r="AU232" s="3"/>
      <c r="AV232" s="3"/>
      <c r="AW232" s="3"/>
      <c r="AX232" s="3"/>
      <c r="AY232" s="3"/>
      <c r="AZ232" s="3"/>
      <c r="BA232" s="3"/>
      <c r="BB232" s="3"/>
      <c r="BC232" s="3"/>
      <c r="BD232" s="3"/>
      <c r="BE232" s="3"/>
      <c r="BF232" s="3"/>
      <c r="BG232" s="3"/>
      <c r="BH232" s="3"/>
      <c r="BI232" s="3"/>
      <c r="BJ232" s="3"/>
    </row>
    <row r="233" spans="1:62" ht="10.9" customHeight="1">
      <c r="A233" s="3"/>
      <c r="C233" s="3"/>
      <c r="P233" s="3"/>
      <c r="Q233" s="41"/>
      <c r="R233" s="41"/>
      <c r="S233" s="185"/>
      <c r="T233" s="184"/>
      <c r="U233" s="214"/>
      <c r="V233" s="214"/>
      <c r="W233" s="3"/>
      <c r="X233" s="3"/>
      <c r="Y233" s="3"/>
      <c r="Z233" s="3"/>
      <c r="AA233" s="3"/>
      <c r="AB233" s="3"/>
      <c r="AC233" s="214"/>
      <c r="AD233" s="214"/>
      <c r="AF233" s="3"/>
      <c r="AG233" s="3"/>
      <c r="AH233" s="3"/>
      <c r="AI233" s="24"/>
      <c r="AJ233" s="24"/>
      <c r="AK233" s="24"/>
      <c r="AL233" s="24"/>
      <c r="AN233" s="3"/>
      <c r="AP233" s="3"/>
      <c r="AQ233" s="3"/>
      <c r="AR233" s="3"/>
      <c r="AS233" s="3"/>
      <c r="AT233" s="3"/>
      <c r="AU233" s="3"/>
      <c r="AV233" s="3"/>
      <c r="AW233" s="3"/>
      <c r="AX233" s="3"/>
      <c r="AY233" s="3"/>
      <c r="AZ233" s="3"/>
      <c r="BA233" s="3"/>
      <c r="BB233" s="3"/>
      <c r="BC233" s="3"/>
      <c r="BD233" s="3"/>
      <c r="BE233" s="3"/>
      <c r="BF233" s="3"/>
      <c r="BG233" s="3"/>
      <c r="BH233" s="3"/>
      <c r="BI233" s="3"/>
      <c r="BJ233" s="3"/>
    </row>
    <row r="234" spans="1:62" ht="6" customHeight="1">
      <c r="A234" s="226">
        <v>36</v>
      </c>
      <c r="B234" s="56"/>
      <c r="C234" s="224" t="str">
        <f>INDEX(Riferimenti!$B$2:$B$60,A234)</f>
        <v>Furancarbonilglicina</v>
      </c>
      <c r="D234" s="224"/>
      <c r="E234" s="224"/>
      <c r="F234" s="224"/>
      <c r="G234" s="224"/>
      <c r="H234" s="224"/>
      <c r="I234" s="224"/>
      <c r="J234" s="224"/>
      <c r="K234" s="224"/>
      <c r="L234" s="224"/>
      <c r="M234" s="224"/>
      <c r="N234" s="224"/>
      <c r="O234" s="216" t="str">
        <f>IF(INDEX(Riferimenti!$C$2:$C$66,A234)&gt;0,INDEX(Riferimenti!$C$2:$C$66,A234),"")</f>
        <v/>
      </c>
      <c r="P234" s="216" t="s">
        <v>4</v>
      </c>
      <c r="Q234" s="217">
        <f>INDEX(Riferimenti!$E$2:$E$66,A234)</f>
        <v>1.3</v>
      </c>
      <c r="R234" s="218"/>
      <c r="S234" s="240"/>
      <c r="T234" s="240"/>
      <c r="V234" s="2"/>
      <c r="AG234" s="216">
        <f>INDEX(Riferimenti!$Q$2:$Q$60,A234)</f>
        <v>0.4</v>
      </c>
      <c r="AH234" s="216">
        <f>INDEX(Riferimenti!$R$2:$R$60,A234)</f>
        <v>1</v>
      </c>
      <c r="AI234" s="3"/>
      <c r="AJ234" s="24"/>
      <c r="AK234" s="24"/>
      <c r="AN234" s="3"/>
      <c r="AT234" s="3"/>
      <c r="AU234" s="3"/>
      <c r="AV234" s="3"/>
      <c r="AW234" s="3"/>
      <c r="AX234" s="3"/>
      <c r="AY234" s="3"/>
      <c r="AZ234" s="3"/>
      <c r="BA234" s="3"/>
      <c r="BB234" s="3"/>
      <c r="BC234" s="3"/>
      <c r="BD234" s="3"/>
      <c r="BE234" s="3"/>
      <c r="BF234" s="3"/>
      <c r="BG234" s="3"/>
      <c r="BH234" s="3"/>
      <c r="BI234" s="3"/>
      <c r="BJ234" s="3"/>
    </row>
    <row r="235" spans="1:62" ht="5.45" customHeight="1">
      <c r="A235" s="226"/>
      <c r="B235" s="56"/>
      <c r="C235" s="224"/>
      <c r="D235" s="224"/>
      <c r="E235" s="224"/>
      <c r="F235" s="224"/>
      <c r="G235" s="224"/>
      <c r="H235" s="224"/>
      <c r="I235" s="224"/>
      <c r="J235" s="224"/>
      <c r="K235" s="224"/>
      <c r="L235" s="224"/>
      <c r="M235" s="224"/>
      <c r="N235" s="224"/>
      <c r="O235" s="216"/>
      <c r="P235" s="216"/>
      <c r="Q235" s="217"/>
      <c r="R235" s="218"/>
      <c r="S235" s="240"/>
      <c r="T235" s="240"/>
      <c r="U235"/>
      <c r="V235"/>
      <c r="W235"/>
      <c r="X235"/>
      <c r="Y235"/>
      <c r="Z235"/>
      <c r="AA235"/>
      <c r="AB235"/>
      <c r="AC235"/>
      <c r="AD235"/>
      <c r="AF235"/>
      <c r="AG235" s="216"/>
      <c r="AH235" s="216"/>
      <c r="AJ235" s="24"/>
      <c r="AK235" s="24"/>
      <c r="AN235" s="3"/>
      <c r="AO235" s="3"/>
      <c r="AP235" s="3"/>
      <c r="AQ235" s="3"/>
      <c r="AR235" s="3"/>
      <c r="AS235" s="3"/>
      <c r="AT235" s="3"/>
      <c r="AU235" s="3"/>
      <c r="AV235" s="3"/>
      <c r="AW235" s="3"/>
      <c r="AX235" s="3"/>
      <c r="AY235" s="3"/>
      <c r="AZ235" s="3"/>
      <c r="BA235" s="3"/>
      <c r="BB235" s="3"/>
      <c r="BC235" s="3"/>
      <c r="BD235" s="3"/>
      <c r="BE235" s="3"/>
      <c r="BF235" s="3"/>
      <c r="BG235" s="3"/>
      <c r="BH235" s="3"/>
      <c r="BI235" s="3"/>
      <c r="BJ235" s="3"/>
    </row>
    <row r="236" spans="1:62" ht="6" customHeight="1">
      <c r="A236" s="222" t="s">
        <v>5</v>
      </c>
      <c r="B236" s="222"/>
      <c r="C236" s="222"/>
      <c r="D236" s="222"/>
      <c r="E236" s="222"/>
      <c r="F236" s="222"/>
      <c r="G236" s="222"/>
      <c r="H236" s="222"/>
      <c r="I236" s="222"/>
      <c r="J236" s="222"/>
      <c r="K236" s="222"/>
      <c r="L236" s="222"/>
      <c r="M236" s="222"/>
      <c r="N236" s="27"/>
      <c r="O236" s="82"/>
      <c r="P236" s="42"/>
      <c r="Q236" s="77"/>
      <c r="R236" s="80"/>
      <c r="S236" s="181"/>
      <c r="T236" s="182"/>
      <c r="U236" s="43"/>
      <c r="V236" s="43"/>
      <c r="W236" s="43"/>
      <c r="X236" s="43"/>
      <c r="Y236" s="43"/>
      <c r="Z236" s="43"/>
      <c r="AA236" s="43"/>
      <c r="AB236" s="43"/>
      <c r="AC236" s="43"/>
      <c r="AD236" s="43"/>
      <c r="AF236" s="43"/>
      <c r="AG236" s="43"/>
      <c r="AH236" s="43"/>
      <c r="AI236" s="43"/>
      <c r="AJ236" s="24"/>
      <c r="AK236" s="24"/>
      <c r="AL236" s="43"/>
      <c r="AM236" s="43"/>
      <c r="AN236" s="43"/>
      <c r="AO236" s="43"/>
      <c r="AP236" s="43"/>
      <c r="AQ236" s="43"/>
      <c r="AR236" s="3"/>
      <c r="AS236" s="3"/>
      <c r="AT236" s="3"/>
      <c r="AU236" s="3"/>
      <c r="AV236" s="3"/>
      <c r="AW236" s="3"/>
      <c r="AX236" s="3"/>
      <c r="AY236" s="3"/>
      <c r="AZ236" s="3"/>
      <c r="BA236" s="3"/>
      <c r="BB236" s="3"/>
      <c r="BC236" s="3"/>
      <c r="BD236" s="3"/>
      <c r="BE236" s="3"/>
      <c r="BF236" s="3"/>
      <c r="BG236" s="3"/>
      <c r="BH236" s="3"/>
      <c r="BI236" s="3"/>
      <c r="BJ236" s="3"/>
    </row>
    <row r="237" spans="1:62" ht="6" customHeight="1">
      <c r="A237" s="222"/>
      <c r="B237" s="222"/>
      <c r="C237" s="222"/>
      <c r="D237" s="222"/>
      <c r="E237" s="222"/>
      <c r="F237" s="222"/>
      <c r="G237" s="222"/>
      <c r="H237" s="222"/>
      <c r="I237" s="222"/>
      <c r="J237" s="222"/>
      <c r="K237" s="222"/>
      <c r="L237" s="222"/>
      <c r="M237" s="222"/>
      <c r="N237" s="27"/>
      <c r="O237" s="82"/>
      <c r="P237" s="42"/>
      <c r="Q237" s="77"/>
      <c r="R237" s="80"/>
      <c r="S237" s="181"/>
      <c r="T237" s="183"/>
      <c r="V237" s="2"/>
      <c r="AJ237" s="24"/>
      <c r="AK237" s="24"/>
      <c r="AN237" s="3"/>
      <c r="AO237" s="3"/>
      <c r="AP237" s="3"/>
      <c r="AQ237" s="3"/>
      <c r="AR237" s="3"/>
      <c r="AS237" s="3"/>
      <c r="AT237" s="3"/>
      <c r="AU237" s="3"/>
      <c r="AV237" s="3"/>
      <c r="AW237" s="3"/>
      <c r="AX237" s="3"/>
      <c r="AY237" s="3"/>
      <c r="AZ237" s="3"/>
      <c r="BA237" s="3"/>
      <c r="BB237" s="3"/>
      <c r="BC237" s="3"/>
      <c r="BD237" s="3"/>
      <c r="BE237" s="3"/>
      <c r="BF237" s="3"/>
      <c r="BG237" s="3"/>
      <c r="BH237" s="3"/>
      <c r="BI237" s="3"/>
      <c r="BJ237" s="3"/>
    </row>
    <row r="238" spans="1:62" ht="10.9" customHeight="1">
      <c r="A238" s="3"/>
      <c r="C238" s="3"/>
      <c r="P238" s="3"/>
      <c r="Q238" s="41"/>
      <c r="R238" s="41"/>
      <c r="S238" s="185"/>
      <c r="T238" s="184"/>
      <c r="U238" s="214"/>
      <c r="V238" s="214"/>
      <c r="W238" s="3"/>
      <c r="X238" s="3"/>
      <c r="Y238" s="3"/>
      <c r="Z238" s="3"/>
      <c r="AA238" s="3"/>
      <c r="AB238" s="3"/>
      <c r="AC238" s="214"/>
      <c r="AD238" s="214"/>
      <c r="AF238" s="3"/>
      <c r="AG238" s="3"/>
      <c r="AH238" s="3"/>
      <c r="AI238" s="24"/>
      <c r="AJ238" s="24"/>
      <c r="AK238" s="24"/>
      <c r="AL238" s="24"/>
      <c r="AN238" s="3"/>
      <c r="AP238" s="3"/>
      <c r="AQ238" s="3"/>
      <c r="AR238" s="3"/>
      <c r="AS238" s="3"/>
      <c r="AT238" s="3"/>
      <c r="AU238" s="3"/>
      <c r="AV238" s="3"/>
      <c r="AW238" s="3"/>
      <c r="AX238" s="3"/>
      <c r="AY238" s="3"/>
      <c r="AZ238" s="3"/>
      <c r="BA238" s="3"/>
      <c r="BB238" s="3"/>
      <c r="BC238" s="3"/>
      <c r="BD238" s="3"/>
      <c r="BE238" s="3"/>
      <c r="BF238" s="3"/>
      <c r="BG238" s="3"/>
      <c r="BH238" s="3"/>
      <c r="BI238" s="3"/>
      <c r="BJ238" s="3"/>
    </row>
    <row r="239" spans="1:62" ht="6" customHeight="1">
      <c r="A239" s="226">
        <v>37</v>
      </c>
      <c r="B239" s="56"/>
      <c r="C239" s="224" t="str">
        <f>INDEX(Riferimenti!$B$2:$B$60,A239)</f>
        <v>Tricarballilico</v>
      </c>
      <c r="D239" s="224"/>
      <c r="E239" s="224"/>
      <c r="F239" s="224"/>
      <c r="G239" s="224"/>
      <c r="H239" s="224"/>
      <c r="I239" s="224"/>
      <c r="J239" s="224"/>
      <c r="K239" s="224"/>
      <c r="L239" s="224"/>
      <c r="M239" s="224"/>
      <c r="N239" s="224"/>
      <c r="O239" s="216" t="str">
        <f>IF(INDEX(Riferimenti!$C$2:$C$66,A239)&gt;0,INDEX(Riferimenti!$C$2:$C$66,A239),"")</f>
        <v/>
      </c>
      <c r="P239" s="216" t="s">
        <v>4</v>
      </c>
      <c r="Q239" s="217">
        <f>INDEX(Riferimenti!$E$2:$E$66,A239)</f>
        <v>0.3</v>
      </c>
      <c r="R239" s="218"/>
      <c r="S239" s="240"/>
      <c r="T239" s="240"/>
      <c r="V239" s="2"/>
      <c r="AG239" s="216">
        <f>INDEX(Riferimenti!$Q$2:$Q$60,A239)</f>
        <v>0.1</v>
      </c>
      <c r="AH239" s="216">
        <f>INDEX(Riferimenti!$R$2:$R$60,A239)</f>
        <v>0.2</v>
      </c>
      <c r="AI239" s="3"/>
      <c r="AJ239" s="24"/>
      <c r="AK239" s="24"/>
      <c r="AN239" s="3"/>
      <c r="AT239" s="3"/>
      <c r="AU239" s="3"/>
      <c r="AV239" s="3"/>
      <c r="AW239" s="3"/>
      <c r="AX239" s="3"/>
      <c r="AY239" s="3"/>
      <c r="AZ239" s="3"/>
      <c r="BA239" s="3"/>
      <c r="BB239" s="3"/>
      <c r="BC239" s="3"/>
      <c r="BD239" s="3"/>
      <c r="BE239" s="3"/>
      <c r="BF239" s="3"/>
      <c r="BG239" s="3"/>
      <c r="BH239" s="3"/>
      <c r="BI239" s="3"/>
      <c r="BJ239" s="3"/>
    </row>
    <row r="240" spans="1:62" ht="5.45" customHeight="1">
      <c r="A240" s="226"/>
      <c r="B240" s="56"/>
      <c r="C240" s="224"/>
      <c r="D240" s="224"/>
      <c r="E240" s="224"/>
      <c r="F240" s="224"/>
      <c r="G240" s="224"/>
      <c r="H240" s="224"/>
      <c r="I240" s="224"/>
      <c r="J240" s="224"/>
      <c r="K240" s="224"/>
      <c r="L240" s="224"/>
      <c r="M240" s="224"/>
      <c r="N240" s="224"/>
      <c r="O240" s="216"/>
      <c r="P240" s="216"/>
      <c r="Q240" s="217"/>
      <c r="R240" s="218"/>
      <c r="S240" s="240"/>
      <c r="T240" s="240"/>
      <c r="U240"/>
      <c r="V240"/>
      <c r="W240"/>
      <c r="X240"/>
      <c r="Y240"/>
      <c r="Z240"/>
      <c r="AA240"/>
      <c r="AB240"/>
      <c r="AC240"/>
      <c r="AD240"/>
      <c r="AF240"/>
      <c r="AG240" s="216"/>
      <c r="AH240" s="216"/>
      <c r="AJ240" s="24"/>
      <c r="AK240" s="24"/>
      <c r="AN240" s="3"/>
      <c r="AO240" s="3"/>
      <c r="AP240" s="3"/>
      <c r="AQ240" s="3"/>
      <c r="AR240" s="3"/>
      <c r="AS240" s="3"/>
      <c r="AT240" s="3"/>
      <c r="AU240" s="3"/>
      <c r="AV240" s="3"/>
      <c r="AW240" s="3"/>
      <c r="AX240" s="3"/>
      <c r="AY240" s="3"/>
      <c r="AZ240" s="3"/>
      <c r="BA240" s="3"/>
      <c r="BB240" s="3"/>
      <c r="BC240" s="3"/>
      <c r="BD240" s="3"/>
      <c r="BE240" s="3"/>
      <c r="BF240" s="3"/>
      <c r="BG240" s="3"/>
      <c r="BH240" s="3"/>
      <c r="BI240" s="3"/>
      <c r="BJ240" s="3"/>
    </row>
    <row r="241" spans="1:62" ht="6" customHeight="1">
      <c r="A241" s="222" t="s">
        <v>7</v>
      </c>
      <c r="B241" s="222"/>
      <c r="C241" s="222"/>
      <c r="D241" s="222"/>
      <c r="E241" s="222"/>
      <c r="F241" s="222"/>
      <c r="G241" s="222"/>
      <c r="H241" s="222"/>
      <c r="I241" s="222"/>
      <c r="J241" s="222"/>
      <c r="K241" s="222"/>
      <c r="L241" s="222"/>
      <c r="M241" s="222"/>
      <c r="N241" s="27"/>
      <c r="O241" s="82"/>
      <c r="P241" s="42"/>
      <c r="Q241" s="77"/>
      <c r="R241" s="80"/>
      <c r="S241" s="181"/>
      <c r="T241" s="182"/>
      <c r="U241" s="43"/>
      <c r="V241" s="43"/>
      <c r="W241" s="43"/>
      <c r="X241" s="43"/>
      <c r="Y241" s="43"/>
      <c r="Z241" s="43"/>
      <c r="AA241" s="43"/>
      <c r="AB241" s="43"/>
      <c r="AC241" s="43"/>
      <c r="AD241" s="43"/>
      <c r="AF241" s="43"/>
      <c r="AG241" s="43"/>
      <c r="AH241" s="43"/>
      <c r="AI241" s="43"/>
      <c r="AJ241" s="24"/>
      <c r="AK241" s="24"/>
      <c r="AL241" s="43"/>
      <c r="AM241" s="43"/>
      <c r="AN241" s="43"/>
      <c r="AO241" s="43"/>
      <c r="AP241" s="43"/>
      <c r="AQ241" s="43"/>
      <c r="AR241" s="3"/>
      <c r="AS241" s="3"/>
      <c r="AT241" s="3"/>
      <c r="AU241" s="3"/>
      <c r="AV241" s="3"/>
      <c r="AW241" s="3"/>
      <c r="AX241" s="3"/>
      <c r="AY241" s="3"/>
      <c r="AZ241" s="3"/>
      <c r="BA241" s="3"/>
      <c r="BB241" s="3"/>
      <c r="BC241" s="3"/>
      <c r="BD241" s="3"/>
      <c r="BE241" s="3"/>
      <c r="BF241" s="3"/>
      <c r="BG241" s="3"/>
      <c r="BH241" s="3"/>
      <c r="BI241" s="3"/>
      <c r="BJ241" s="3"/>
    </row>
    <row r="242" spans="1:62" ht="6" customHeight="1">
      <c r="A242" s="222"/>
      <c r="B242" s="222"/>
      <c r="C242" s="222"/>
      <c r="D242" s="222"/>
      <c r="E242" s="222"/>
      <c r="F242" s="222"/>
      <c r="G242" s="222"/>
      <c r="H242" s="222"/>
      <c r="I242" s="222"/>
      <c r="J242" s="222"/>
      <c r="K242" s="222"/>
      <c r="L242" s="222"/>
      <c r="M242" s="222"/>
      <c r="N242" s="27"/>
      <c r="O242" s="82"/>
      <c r="P242" s="42"/>
      <c r="Q242" s="77"/>
      <c r="R242" s="80"/>
      <c r="S242" s="181"/>
      <c r="T242" s="183"/>
      <c r="V242" s="2"/>
      <c r="AJ242" s="24"/>
      <c r="AK242" s="24"/>
      <c r="AN242" s="3"/>
      <c r="AO242" s="3"/>
      <c r="AP242" s="3"/>
      <c r="AQ242" s="3"/>
      <c r="AR242" s="3"/>
      <c r="AS242" s="3"/>
      <c r="AT242" s="3"/>
      <c r="AU242" s="3"/>
      <c r="AV242" s="3"/>
      <c r="AW242" s="3"/>
      <c r="AX242" s="3"/>
      <c r="AY242" s="3"/>
      <c r="AZ242" s="3"/>
      <c r="BA242" s="3"/>
      <c r="BB242" s="3"/>
      <c r="BC242" s="3"/>
      <c r="BD242" s="3"/>
      <c r="BE242" s="3"/>
      <c r="BF242" s="3"/>
      <c r="BG242" s="3"/>
      <c r="BH242" s="3"/>
      <c r="BI242" s="3"/>
      <c r="BJ242" s="3"/>
    </row>
    <row r="243" spans="1:62" ht="10.9" customHeight="1">
      <c r="A243" s="3"/>
      <c r="C243" s="3"/>
      <c r="P243" s="42"/>
      <c r="Q243" s="41"/>
      <c r="R243" s="41"/>
      <c r="S243" s="185"/>
      <c r="T243" s="184"/>
      <c r="U243" s="214"/>
      <c r="V243" s="214"/>
      <c r="W243" s="3"/>
      <c r="X243" s="3"/>
      <c r="Y243" s="3"/>
      <c r="Z243" s="3"/>
      <c r="AA243" s="3"/>
      <c r="AB243" s="3"/>
      <c r="AC243" s="214"/>
      <c r="AD243" s="214"/>
      <c r="AF243" s="3"/>
      <c r="AG243" s="3"/>
      <c r="AH243" s="3"/>
      <c r="AI243" s="24"/>
      <c r="AJ243" s="24"/>
      <c r="AK243" s="24"/>
      <c r="AL243" s="24"/>
      <c r="AN243" s="3"/>
      <c r="AP243" s="3"/>
      <c r="AQ243" s="3"/>
      <c r="AR243" s="3"/>
      <c r="AS243" s="3"/>
      <c r="AT243" s="3"/>
      <c r="AU243" s="3"/>
      <c r="AV243" s="3"/>
      <c r="AW243" s="3"/>
      <c r="AX243" s="3"/>
      <c r="AY243" s="3"/>
      <c r="AZ243" s="3"/>
      <c r="BA243" s="3"/>
      <c r="BB243" s="3"/>
      <c r="BC243" s="3"/>
      <c r="BD243" s="3"/>
      <c r="BE243" s="3"/>
      <c r="BF243" s="3"/>
      <c r="BG243" s="3"/>
      <c r="BH243" s="3"/>
      <c r="BI243" s="3"/>
      <c r="BJ243" s="3"/>
    </row>
    <row r="244" spans="1:62" ht="6" customHeight="1">
      <c r="A244" s="226">
        <v>38</v>
      </c>
      <c r="B244" s="56"/>
      <c r="C244" s="224" t="str">
        <f>INDEX(Riferimenti!$B$2:$B$60,A244)</f>
        <v>Arabinosio</v>
      </c>
      <c r="D244" s="224"/>
      <c r="E244" s="224"/>
      <c r="F244" s="224"/>
      <c r="G244" s="224"/>
      <c r="H244" s="224"/>
      <c r="I244" s="224"/>
      <c r="J244" s="224"/>
      <c r="K244" s="224"/>
      <c r="L244" s="224"/>
      <c r="M244" s="224"/>
      <c r="N244" s="224"/>
      <c r="O244" s="216" t="str">
        <f>IF(INDEX(Riferimenti!$C$2:$C$66,A244)&gt;0,INDEX(Riferimenti!$C$2:$C$66,A244),"")</f>
        <v/>
      </c>
      <c r="P244" s="216" t="s">
        <v>4</v>
      </c>
      <c r="Q244" s="227">
        <f>INDEX(Riferimenti!$E$2:$E$66,A244)</f>
        <v>22</v>
      </c>
      <c r="R244" s="218"/>
      <c r="S244" s="240"/>
      <c r="T244" s="240"/>
      <c r="V244" s="2"/>
      <c r="AG244" s="216">
        <f>INDEX(Riferimenti!$Q$2:$Q$60,A244)</f>
        <v>8.2390000000000008</v>
      </c>
      <c r="AH244" s="216" t="e">
        <f>INDEX(Riferimenti!$R$2:$R$60,A244)</f>
        <v>#REF!</v>
      </c>
      <c r="AI244" s="3"/>
      <c r="AN244" s="3"/>
      <c r="AT244" s="3"/>
      <c r="AU244" s="3"/>
      <c r="AV244" s="3"/>
      <c r="AW244" s="3"/>
      <c r="AX244" s="3"/>
      <c r="AY244" s="3"/>
      <c r="AZ244" s="3"/>
      <c r="BA244" s="3"/>
      <c r="BB244" s="3"/>
      <c r="BC244" s="3"/>
      <c r="BD244" s="3"/>
      <c r="BE244" s="3"/>
      <c r="BF244" s="3"/>
      <c r="BG244" s="3"/>
      <c r="BH244" s="3"/>
      <c r="BI244" s="3"/>
      <c r="BJ244" s="3"/>
    </row>
    <row r="245" spans="1:62" ht="5.45" customHeight="1">
      <c r="A245" s="226"/>
      <c r="B245" s="56"/>
      <c r="C245" s="224"/>
      <c r="D245" s="224"/>
      <c r="E245" s="224"/>
      <c r="F245" s="224"/>
      <c r="G245" s="224"/>
      <c r="H245" s="224"/>
      <c r="I245" s="224"/>
      <c r="J245" s="224"/>
      <c r="K245" s="224"/>
      <c r="L245" s="224"/>
      <c r="M245" s="224"/>
      <c r="N245" s="224"/>
      <c r="O245" s="216"/>
      <c r="P245" s="216"/>
      <c r="Q245" s="227"/>
      <c r="R245" s="218"/>
      <c r="S245" s="240"/>
      <c r="T245" s="240"/>
      <c r="U245"/>
      <c r="V245"/>
      <c r="W245"/>
      <c r="X245"/>
      <c r="Y245"/>
      <c r="Z245"/>
      <c r="AA245"/>
      <c r="AB245"/>
      <c r="AC245"/>
      <c r="AD245"/>
      <c r="AF245"/>
      <c r="AG245" s="216"/>
      <c r="AH245" s="216"/>
      <c r="AN245" s="3"/>
      <c r="AO245" s="3"/>
      <c r="AP245" s="3"/>
      <c r="AQ245" s="3"/>
      <c r="AR245" s="3"/>
      <c r="AS245" s="3"/>
      <c r="AT245" s="3"/>
      <c r="AU245" s="3"/>
      <c r="AV245" s="3"/>
      <c r="AW245" s="3"/>
      <c r="AX245" s="3"/>
      <c r="AY245" s="3"/>
      <c r="AZ245" s="3"/>
      <c r="BA245" s="3"/>
      <c r="BB245" s="3"/>
      <c r="BC245" s="3"/>
      <c r="BD245" s="3"/>
      <c r="BE245" s="3"/>
      <c r="BF245" s="3"/>
      <c r="BG245" s="3"/>
      <c r="BH245" s="3"/>
      <c r="BI245" s="3"/>
      <c r="BJ245" s="3"/>
    </row>
    <row r="246" spans="1:62" ht="6" customHeight="1">
      <c r="A246" s="205"/>
      <c r="B246" s="205"/>
      <c r="C246" s="205"/>
      <c r="D246" s="205"/>
      <c r="E246" s="205"/>
      <c r="F246" s="205"/>
      <c r="G246" s="205"/>
      <c r="H246" s="205"/>
      <c r="I246" s="205"/>
      <c r="J246" s="205"/>
      <c r="K246" s="205"/>
      <c r="L246" s="205"/>
      <c r="M246" s="205"/>
      <c r="N246" s="57"/>
      <c r="O246" s="82"/>
      <c r="P246" s="42"/>
      <c r="Q246" s="77"/>
      <c r="R246" s="80"/>
      <c r="S246" s="181"/>
      <c r="T246" s="182"/>
      <c r="U246" s="43"/>
      <c r="V246" s="43"/>
      <c r="W246" s="43"/>
      <c r="X246" s="43"/>
      <c r="Y246" s="43"/>
      <c r="Z246" s="43"/>
      <c r="AA246" s="43"/>
      <c r="AB246" s="43"/>
      <c r="AC246" s="43"/>
      <c r="AD246" s="43"/>
      <c r="AF246" s="43"/>
      <c r="AG246" s="43"/>
      <c r="AH246" s="43"/>
      <c r="AI246" s="43"/>
      <c r="AJ246" s="43"/>
      <c r="AK246" s="43"/>
      <c r="AL246" s="43"/>
      <c r="AM246" s="43"/>
      <c r="AN246" s="43"/>
      <c r="AO246" s="43"/>
      <c r="AP246" s="43"/>
      <c r="AQ246" s="43"/>
      <c r="AR246" s="3"/>
      <c r="AS246" s="3"/>
      <c r="AT246" s="3"/>
      <c r="AU246" s="3"/>
      <c r="AV246" s="3"/>
      <c r="AW246" s="3"/>
      <c r="AX246" s="3"/>
      <c r="AY246" s="3"/>
      <c r="AZ246" s="3"/>
      <c r="BA246" s="3"/>
      <c r="BB246" s="3"/>
      <c r="BC246" s="3"/>
      <c r="BD246" s="3"/>
      <c r="BE246" s="3"/>
      <c r="BF246" s="3"/>
      <c r="BG246" s="3"/>
      <c r="BH246" s="3"/>
      <c r="BI246" s="3"/>
      <c r="BJ246" s="3"/>
    </row>
    <row r="247" spans="1:62" ht="6" customHeight="1">
      <c r="A247" s="205"/>
      <c r="B247" s="205"/>
      <c r="C247" s="205"/>
      <c r="D247" s="205"/>
      <c r="E247" s="205"/>
      <c r="F247" s="205"/>
      <c r="G247" s="205"/>
      <c r="H247" s="205"/>
      <c r="I247" s="205"/>
      <c r="J247" s="205"/>
      <c r="K247" s="205"/>
      <c r="L247" s="205"/>
      <c r="M247" s="205"/>
      <c r="N247" s="57"/>
      <c r="O247" s="82"/>
      <c r="P247" s="42"/>
      <c r="Q247" s="77"/>
      <c r="R247" s="80"/>
      <c r="S247" s="181"/>
      <c r="T247" s="183"/>
      <c r="V247" s="2"/>
      <c r="AN247" s="3"/>
      <c r="AO247" s="3"/>
      <c r="AP247" s="3"/>
      <c r="AQ247" s="3"/>
      <c r="AR247" s="3"/>
      <c r="AS247" s="3"/>
      <c r="AT247" s="3"/>
      <c r="AU247" s="3"/>
      <c r="AV247" s="3"/>
      <c r="AW247" s="3"/>
      <c r="AX247" s="3"/>
      <c r="AY247" s="3"/>
      <c r="AZ247" s="3"/>
      <c r="BA247" s="3"/>
      <c r="BB247" s="3"/>
      <c r="BC247" s="3"/>
      <c r="BD247" s="3"/>
      <c r="BE247" s="3"/>
      <c r="BF247" s="3"/>
      <c r="BG247" s="3"/>
      <c r="BH247" s="3"/>
      <c r="BI247" s="3"/>
      <c r="BJ247" s="3"/>
    </row>
    <row r="248" spans="1:62" ht="10.9" customHeight="1">
      <c r="A248" s="58"/>
      <c r="B248" s="58"/>
      <c r="C248" s="58"/>
      <c r="D248" s="59"/>
      <c r="E248" s="59"/>
      <c r="F248" s="59"/>
      <c r="G248" s="58"/>
      <c r="H248" s="58"/>
      <c r="I248" s="59"/>
      <c r="J248" s="59"/>
      <c r="K248" s="59"/>
      <c r="L248" s="59"/>
      <c r="M248" s="59"/>
      <c r="N248" s="59"/>
      <c r="P248" s="3"/>
      <c r="Q248" s="41"/>
      <c r="R248" s="41"/>
      <c r="S248" s="185"/>
      <c r="T248" s="184"/>
      <c r="U248" s="214"/>
      <c r="V248" s="214"/>
      <c r="W248" s="3"/>
      <c r="X248" s="3"/>
      <c r="Y248" s="3"/>
      <c r="Z248" s="3"/>
      <c r="AA248" s="3"/>
      <c r="AB248" s="3"/>
      <c r="AC248" s="214"/>
      <c r="AD248" s="214"/>
      <c r="AF248" s="3"/>
      <c r="AG248" s="3"/>
      <c r="AH248" s="3"/>
      <c r="AI248" s="24"/>
      <c r="AJ248" s="24"/>
      <c r="AK248" s="24"/>
      <c r="AL248" s="24"/>
      <c r="AN248" s="3"/>
      <c r="AP248" s="3"/>
      <c r="AQ248" s="3"/>
      <c r="AR248" s="3"/>
      <c r="AS248" s="3"/>
      <c r="AT248" s="3"/>
      <c r="AU248" s="3"/>
      <c r="AV248" s="3"/>
      <c r="AW248" s="3"/>
      <c r="AX248" s="3"/>
      <c r="AY248" s="3"/>
      <c r="AZ248" s="3"/>
      <c r="BA248" s="3"/>
      <c r="BB248" s="3"/>
      <c r="BC248" s="3"/>
      <c r="BD248" s="3"/>
      <c r="BE248" s="3"/>
      <c r="BF248" s="3"/>
      <c r="BG248" s="3"/>
      <c r="BH248" s="3"/>
      <c r="BI248" s="3"/>
      <c r="BJ248" s="3"/>
    </row>
    <row r="249" spans="1:62" ht="6" customHeight="1">
      <c r="A249" s="226">
        <v>39</v>
      </c>
      <c r="B249" s="56"/>
      <c r="C249" s="224" t="str">
        <f>INDEX(Riferimenti!$B$2:$B$60,A249)</f>
        <v>Arabitolo</v>
      </c>
      <c r="D249" s="224"/>
      <c r="E249" s="224"/>
      <c r="F249" s="224"/>
      <c r="G249" s="224"/>
      <c r="H249" s="224"/>
      <c r="I249" s="224"/>
      <c r="J249" s="224"/>
      <c r="K249" s="224"/>
      <c r="L249" s="224"/>
      <c r="M249" s="224"/>
      <c r="N249" s="224"/>
      <c r="O249" s="216" t="str">
        <f>IF(INDEX(Riferimenti!$C$2:$C$66,A249)&gt;0,INDEX(Riferimenti!$C$2:$C$66,A249),"")</f>
        <v/>
      </c>
      <c r="P249" s="216" t="s">
        <v>4</v>
      </c>
      <c r="Q249" s="217">
        <f>INDEX(Riferimenti!$E$2:$E$66,A249)</f>
        <v>23.4</v>
      </c>
      <c r="R249" s="218"/>
      <c r="S249" s="240"/>
      <c r="T249" s="240"/>
      <c r="V249" s="2"/>
      <c r="AG249" s="216">
        <f>INDEX(Riferimenti!$Q$2:$Q$60,A249)</f>
        <v>11.6</v>
      </c>
      <c r="AH249" s="216">
        <f>INDEX(Riferimenti!$R$2:$R$60,A249)</f>
        <v>19.399999999999999</v>
      </c>
      <c r="AI249" s="3"/>
      <c r="AN249" s="3"/>
      <c r="AT249" s="3"/>
      <c r="AU249" s="3"/>
      <c r="AV249" s="3"/>
      <c r="AW249" s="3"/>
      <c r="AX249" s="3"/>
      <c r="AY249" s="3"/>
      <c r="AZ249" s="3"/>
      <c r="BA249" s="3"/>
      <c r="BB249" s="3"/>
      <c r="BC249" s="3"/>
      <c r="BD249" s="3"/>
      <c r="BE249" s="3"/>
      <c r="BF249" s="3"/>
      <c r="BG249" s="3"/>
      <c r="BH249" s="3"/>
      <c r="BI249" s="3"/>
      <c r="BJ249" s="3"/>
    </row>
    <row r="250" spans="1:62" ht="5.45" customHeight="1">
      <c r="A250" s="226"/>
      <c r="B250" s="56"/>
      <c r="C250" s="224"/>
      <c r="D250" s="224"/>
      <c r="E250" s="224"/>
      <c r="F250" s="224"/>
      <c r="G250" s="224"/>
      <c r="H250" s="224"/>
      <c r="I250" s="224"/>
      <c r="J250" s="224"/>
      <c r="K250" s="224"/>
      <c r="L250" s="224"/>
      <c r="M250" s="224"/>
      <c r="N250" s="224"/>
      <c r="O250" s="216"/>
      <c r="P250" s="216"/>
      <c r="Q250" s="217"/>
      <c r="R250" s="218"/>
      <c r="S250" s="240"/>
      <c r="T250" s="240"/>
      <c r="U250"/>
      <c r="V250"/>
      <c r="W250"/>
      <c r="X250"/>
      <c r="Y250"/>
      <c r="Z250"/>
      <c r="AA250"/>
      <c r="AB250"/>
      <c r="AC250"/>
      <c r="AD250"/>
      <c r="AF250"/>
      <c r="AG250" s="216"/>
      <c r="AH250" s="216"/>
      <c r="AN250" s="3"/>
      <c r="AO250" s="3"/>
      <c r="AP250" s="3"/>
      <c r="AQ250" s="3"/>
      <c r="AR250" s="3"/>
      <c r="AS250" s="3"/>
      <c r="AT250" s="3"/>
      <c r="AU250" s="3"/>
      <c r="AV250" s="3"/>
      <c r="AW250" s="3"/>
      <c r="AX250" s="3"/>
      <c r="AY250" s="3"/>
      <c r="AZ250" s="3"/>
      <c r="BA250" s="3"/>
      <c r="BB250" s="3"/>
      <c r="BC250" s="3"/>
      <c r="BD250" s="3"/>
      <c r="BE250" s="3"/>
      <c r="BF250" s="3"/>
      <c r="BG250" s="3"/>
      <c r="BH250" s="3"/>
      <c r="BI250" s="3"/>
      <c r="BJ250" s="3"/>
    </row>
    <row r="251" spans="1:62" ht="6" customHeight="1">
      <c r="A251" s="205"/>
      <c r="B251" s="205"/>
      <c r="C251" s="205"/>
      <c r="D251" s="205"/>
      <c r="E251" s="205"/>
      <c r="F251" s="205"/>
      <c r="G251" s="205"/>
      <c r="H251" s="205"/>
      <c r="I251" s="205"/>
      <c r="J251" s="205"/>
      <c r="K251" s="205"/>
      <c r="L251" s="205"/>
      <c r="M251" s="205"/>
      <c r="N251" s="57"/>
      <c r="O251" s="82"/>
      <c r="P251" s="42"/>
      <c r="Q251" s="77"/>
      <c r="R251" s="80"/>
      <c r="S251" s="181"/>
      <c r="T251" s="182"/>
      <c r="U251" s="43"/>
      <c r="V251" s="43"/>
      <c r="W251" s="43"/>
      <c r="X251" s="43"/>
      <c r="Y251" s="43"/>
      <c r="Z251" s="43"/>
      <c r="AA251" s="43"/>
      <c r="AB251" s="43"/>
      <c r="AC251" s="43"/>
      <c r="AD251" s="43"/>
      <c r="AF251" s="43"/>
      <c r="AG251" s="43"/>
      <c r="AH251" s="43"/>
      <c r="AI251" s="43"/>
      <c r="AJ251" s="43"/>
      <c r="AK251" s="43"/>
      <c r="AL251" s="43"/>
      <c r="AM251" s="43"/>
      <c r="AN251" s="43"/>
      <c r="AO251" s="43"/>
      <c r="AP251" s="43"/>
      <c r="AQ251" s="43"/>
      <c r="AR251" s="3"/>
      <c r="AS251" s="3"/>
      <c r="AT251" s="3"/>
      <c r="AU251" s="3"/>
      <c r="AV251" s="3"/>
      <c r="AW251" s="3"/>
      <c r="AX251" s="3"/>
      <c r="AY251" s="3"/>
      <c r="AZ251" s="3"/>
      <c r="BA251" s="3"/>
      <c r="BB251" s="3"/>
      <c r="BC251" s="3"/>
      <c r="BD251" s="3"/>
      <c r="BE251" s="3"/>
      <c r="BF251" s="3"/>
      <c r="BG251" s="3"/>
      <c r="BH251" s="3"/>
      <c r="BI251" s="3"/>
      <c r="BJ251" s="3"/>
    </row>
    <row r="252" spans="1:62" ht="6" customHeight="1">
      <c r="A252" s="205"/>
      <c r="B252" s="205"/>
      <c r="C252" s="205"/>
      <c r="D252" s="205"/>
      <c r="E252" s="205"/>
      <c r="F252" s="205"/>
      <c r="G252" s="205"/>
      <c r="H252" s="205"/>
      <c r="I252" s="205"/>
      <c r="J252" s="205"/>
      <c r="K252" s="205"/>
      <c r="L252" s="205"/>
      <c r="M252" s="205"/>
      <c r="N252" s="57"/>
      <c r="O252" s="82"/>
      <c r="P252" s="42"/>
      <c r="Q252" s="77"/>
      <c r="R252" s="80"/>
      <c r="S252" s="181"/>
      <c r="T252" s="183"/>
      <c r="V252" s="2"/>
      <c r="AN252" s="3"/>
      <c r="AO252" s="3"/>
      <c r="AP252" s="3"/>
      <c r="AQ252" s="3"/>
      <c r="AR252" s="3"/>
      <c r="AS252" s="3"/>
      <c r="AT252" s="3"/>
      <c r="AU252" s="3"/>
      <c r="AV252" s="3"/>
      <c r="AW252" s="3"/>
      <c r="AX252" s="3"/>
      <c r="AY252" s="3"/>
      <c r="AZ252" s="3"/>
      <c r="BA252" s="3"/>
      <c r="BB252" s="3"/>
      <c r="BC252" s="3"/>
      <c r="BD252" s="3"/>
      <c r="BE252" s="3"/>
      <c r="BF252" s="3"/>
      <c r="BG252" s="3"/>
      <c r="BH252" s="3"/>
      <c r="BI252" s="3"/>
      <c r="BJ252" s="3"/>
    </row>
    <row r="253" spans="1:62" ht="10.9" customHeight="1">
      <c r="A253" s="58"/>
      <c r="B253" s="58"/>
      <c r="C253" s="58"/>
      <c r="D253" s="59"/>
      <c r="E253" s="59"/>
      <c r="F253" s="59"/>
      <c r="G253" s="58"/>
      <c r="H253" s="58"/>
      <c r="I253" s="59"/>
      <c r="J253" s="59"/>
      <c r="K253" s="59"/>
      <c r="L253" s="59"/>
      <c r="M253" s="59"/>
      <c r="N253" s="59"/>
      <c r="P253" s="3"/>
      <c r="Q253" s="41"/>
      <c r="R253" s="41"/>
      <c r="S253" s="181"/>
      <c r="T253" s="183"/>
      <c r="U253" s="214"/>
      <c r="V253" s="214"/>
      <c r="W253" s="3"/>
      <c r="X253" s="3"/>
      <c r="Y253" s="3"/>
      <c r="Z253" s="3"/>
      <c r="AA253" s="3"/>
      <c r="AB253" s="3"/>
      <c r="AC253" s="214"/>
      <c r="AD253" s="214"/>
      <c r="AF253" s="3"/>
      <c r="AG253" s="3"/>
      <c r="AH253" s="3"/>
      <c r="AI253" s="24"/>
      <c r="AJ253" s="24"/>
      <c r="AK253" s="24"/>
      <c r="AL253" s="24"/>
      <c r="AN253" s="3"/>
      <c r="AP253" s="3"/>
      <c r="AQ253" s="3"/>
      <c r="AR253" s="3"/>
      <c r="AS253" s="3"/>
      <c r="AT253" s="3"/>
      <c r="AU253" s="3"/>
      <c r="AV253" s="3"/>
      <c r="AW253" s="3"/>
      <c r="AX253" s="3"/>
      <c r="AY253" s="3"/>
      <c r="AZ253" s="3"/>
      <c r="BA253" s="3"/>
      <c r="BB253" s="3"/>
      <c r="BC253" s="3"/>
      <c r="BD253" s="3"/>
      <c r="BE253" s="3"/>
      <c r="BF253" s="3"/>
      <c r="BG253" s="3"/>
      <c r="BH253" s="3"/>
      <c r="BI253" s="3"/>
      <c r="BJ253" s="3"/>
    </row>
    <row r="254" spans="1:62" ht="6" customHeight="1">
      <c r="A254" s="226">
        <v>40</v>
      </c>
      <c r="B254" s="56"/>
      <c r="C254" s="224" t="str">
        <f>INDEX(Riferimenti!$B$2:$B$65,A254)</f>
        <v>Furan-2,5-Dicarbossilico</v>
      </c>
      <c r="D254" s="224"/>
      <c r="E254" s="224"/>
      <c r="F254" s="224"/>
      <c r="G254" s="224"/>
      <c r="H254" s="224"/>
      <c r="I254" s="224"/>
      <c r="J254" s="224"/>
      <c r="K254" s="224"/>
      <c r="L254" s="224"/>
      <c r="M254" s="224"/>
      <c r="N254" s="224"/>
      <c r="O254" s="216" t="str">
        <f>IF(INDEX(Riferimenti!$C$2:$C$66,A254)&gt;0,INDEX(Riferimenti!$C$2:$C$66,A254),"")</f>
        <v/>
      </c>
      <c r="P254" s="216" t="s">
        <v>4</v>
      </c>
      <c r="Q254" s="227">
        <f>INDEX(Riferimenti!$E$2:$E$66,A254)</f>
        <v>1.4</v>
      </c>
      <c r="R254" s="218"/>
      <c r="S254" s="240"/>
      <c r="T254" s="240"/>
      <c r="V254" s="2"/>
      <c r="AG254" s="216">
        <f>INDEX(Riferimenti!$Q$2:$Q$60,A254)</f>
        <v>0.3</v>
      </c>
      <c r="AH254" s="216">
        <f>INDEX(Riferimenti!$R$2:$R$60,A254)</f>
        <v>1</v>
      </c>
      <c r="AI254" s="3"/>
      <c r="AN254" s="3"/>
      <c r="AT254" s="3"/>
      <c r="AU254" s="3"/>
      <c r="AV254" s="3"/>
      <c r="AW254" s="3"/>
      <c r="AX254" s="3"/>
      <c r="AY254" s="3"/>
      <c r="AZ254" s="3"/>
      <c r="BA254" s="3"/>
      <c r="BB254" s="3"/>
      <c r="BC254" s="3"/>
      <c r="BD254" s="3"/>
      <c r="BE254" s="3"/>
      <c r="BF254" s="3"/>
      <c r="BG254" s="3"/>
      <c r="BH254" s="3"/>
      <c r="BI254" s="3"/>
      <c r="BJ254" s="3"/>
    </row>
    <row r="255" spans="1:62" ht="5.45" customHeight="1">
      <c r="A255" s="226"/>
      <c r="B255" s="56"/>
      <c r="C255" s="224"/>
      <c r="D255" s="224"/>
      <c r="E255" s="224"/>
      <c r="F255" s="224"/>
      <c r="G255" s="224"/>
      <c r="H255" s="224"/>
      <c r="I255" s="224"/>
      <c r="J255" s="224"/>
      <c r="K255" s="224"/>
      <c r="L255" s="224"/>
      <c r="M255" s="224"/>
      <c r="N255" s="224"/>
      <c r="O255" s="216"/>
      <c r="P255" s="216"/>
      <c r="Q255" s="227"/>
      <c r="R255" s="218"/>
      <c r="S255" s="240"/>
      <c r="T255" s="240"/>
      <c r="U255"/>
      <c r="V255"/>
      <c r="W255"/>
      <c r="X255"/>
      <c r="Y255"/>
      <c r="Z255"/>
      <c r="AA255"/>
      <c r="AB255"/>
      <c r="AC255"/>
      <c r="AD255"/>
      <c r="AF255"/>
      <c r="AG255" s="216"/>
      <c r="AH255" s="216"/>
      <c r="AN255" s="3"/>
      <c r="AO255" s="3"/>
      <c r="AP255" s="3"/>
      <c r="AQ255" s="3"/>
      <c r="AR255" s="3"/>
      <c r="AS255" s="3"/>
      <c r="AT255" s="3"/>
      <c r="AU255" s="3"/>
      <c r="AV255" s="3"/>
      <c r="AW255" s="3"/>
      <c r="AX255" s="3"/>
      <c r="AY255" s="3"/>
      <c r="AZ255" s="3"/>
      <c r="BA255" s="3"/>
      <c r="BB255" s="3"/>
      <c r="BC255" s="3"/>
      <c r="BD255" s="3"/>
      <c r="BE255" s="3"/>
      <c r="BF255" s="3"/>
      <c r="BG255" s="3"/>
      <c r="BH255" s="3"/>
      <c r="BI255" s="3"/>
      <c r="BJ255" s="3"/>
    </row>
    <row r="256" spans="1:62" ht="6" customHeight="1">
      <c r="A256" s="205"/>
      <c r="B256" s="205"/>
      <c r="C256" s="205"/>
      <c r="D256" s="205"/>
      <c r="E256" s="205"/>
      <c r="F256" s="205"/>
      <c r="G256" s="205"/>
      <c r="H256" s="205"/>
      <c r="I256" s="205"/>
      <c r="J256" s="205"/>
      <c r="K256" s="205"/>
      <c r="L256" s="205"/>
      <c r="M256" s="205"/>
      <c r="N256" s="57"/>
      <c r="O256" s="82"/>
      <c r="P256" s="39"/>
      <c r="Q256" s="77"/>
      <c r="R256" s="80"/>
      <c r="S256" s="181"/>
      <c r="T256" s="182"/>
      <c r="U256" s="43"/>
      <c r="V256" s="43"/>
      <c r="W256" s="43"/>
      <c r="X256" s="43"/>
      <c r="Y256" s="43"/>
      <c r="Z256" s="43"/>
      <c r="AA256" s="43"/>
      <c r="AB256" s="43"/>
      <c r="AC256" s="43"/>
      <c r="AD256" s="43"/>
      <c r="AF256" s="43"/>
      <c r="AG256" s="43"/>
      <c r="AH256" s="43"/>
      <c r="AI256" s="43"/>
      <c r="AJ256" s="43"/>
      <c r="AK256" s="43"/>
      <c r="AL256" s="43"/>
      <c r="AM256" s="43"/>
      <c r="AN256" s="43"/>
      <c r="AO256" s="43"/>
      <c r="AP256" s="43"/>
      <c r="AQ256" s="43"/>
      <c r="AR256" s="3"/>
      <c r="AS256" s="3"/>
      <c r="AT256" s="3"/>
      <c r="AU256" s="3"/>
      <c r="AV256" s="3"/>
      <c r="AW256" s="3"/>
      <c r="AX256" s="3"/>
      <c r="AY256" s="3"/>
      <c r="AZ256" s="3"/>
      <c r="BA256" s="3"/>
      <c r="BB256" s="3"/>
      <c r="BC256" s="3"/>
      <c r="BD256" s="3"/>
      <c r="BE256" s="3"/>
      <c r="BF256" s="3"/>
      <c r="BG256" s="3"/>
      <c r="BH256" s="3"/>
      <c r="BI256" s="3"/>
      <c r="BJ256" s="3"/>
    </row>
    <row r="257" spans="1:62" ht="6" customHeight="1">
      <c r="A257" s="205"/>
      <c r="B257" s="205"/>
      <c r="C257" s="205"/>
      <c r="D257" s="205"/>
      <c r="E257" s="205"/>
      <c r="F257" s="205"/>
      <c r="G257" s="205"/>
      <c r="H257" s="205"/>
      <c r="I257" s="205"/>
      <c r="J257" s="205"/>
      <c r="K257" s="205"/>
      <c r="L257" s="205"/>
      <c r="M257" s="205"/>
      <c r="N257" s="57"/>
      <c r="O257" s="82"/>
      <c r="P257" s="39"/>
      <c r="Q257" s="77"/>
      <c r="R257" s="80"/>
      <c r="S257" s="181"/>
      <c r="T257" s="183"/>
      <c r="V257" s="2"/>
      <c r="AN257" s="3"/>
      <c r="AO257" s="3"/>
      <c r="AP257" s="3"/>
      <c r="AQ257" s="3"/>
      <c r="AR257" s="3"/>
      <c r="AS257" s="3"/>
      <c r="AT257" s="3"/>
      <c r="AU257" s="3"/>
      <c r="AV257" s="3"/>
      <c r="AW257" s="3"/>
      <c r="AX257" s="3"/>
      <c r="AY257" s="3"/>
      <c r="AZ257" s="3"/>
      <c r="BA257" s="3"/>
      <c r="BB257" s="3"/>
      <c r="BC257" s="3"/>
      <c r="BD257" s="3"/>
      <c r="BE257" s="3"/>
      <c r="BF257" s="3"/>
      <c r="BG257" s="3"/>
      <c r="BH257" s="3"/>
      <c r="BI257" s="3"/>
      <c r="BJ257" s="3"/>
    </row>
    <row r="258" spans="1:62" ht="9" customHeight="1">
      <c r="A258" s="79"/>
      <c r="B258" s="79"/>
      <c r="C258" s="79"/>
      <c r="D258" s="79"/>
      <c r="E258" s="79"/>
      <c r="F258" s="79"/>
      <c r="G258" s="79"/>
      <c r="H258" s="79"/>
      <c r="I258" s="79"/>
      <c r="J258" s="79"/>
      <c r="K258" s="79"/>
      <c r="L258" s="79"/>
      <c r="M258" s="79"/>
      <c r="N258" s="27"/>
      <c r="O258" s="82"/>
      <c r="P258" s="38"/>
      <c r="Q258" s="37"/>
      <c r="R258" s="43"/>
      <c r="S258" s="186"/>
      <c r="T258" s="183"/>
      <c r="V258" s="2"/>
      <c r="AN258" s="3"/>
      <c r="AO258" s="3"/>
      <c r="AP258" s="3"/>
      <c r="AQ258" s="3"/>
      <c r="AR258" s="3"/>
      <c r="AS258" s="3"/>
      <c r="AT258" s="3"/>
      <c r="AU258" s="3"/>
      <c r="AV258" s="3"/>
      <c r="AW258" s="3"/>
      <c r="AX258" s="3"/>
      <c r="AY258" s="3"/>
      <c r="AZ258" s="3"/>
      <c r="BA258" s="3"/>
      <c r="BB258" s="3"/>
      <c r="BC258" s="3"/>
      <c r="BD258" s="3"/>
      <c r="BE258" s="3"/>
      <c r="BF258" s="3"/>
      <c r="BG258" s="3"/>
      <c r="BH258" s="3"/>
      <c r="BI258" s="3"/>
      <c r="BJ258" s="3"/>
    </row>
    <row r="259" spans="1:62" ht="13.9" customHeight="1">
      <c r="B259" s="2"/>
      <c r="C259" s="203" t="s">
        <v>131</v>
      </c>
      <c r="D259" s="203"/>
      <c r="E259" s="203"/>
      <c r="F259" s="203"/>
      <c r="G259" s="203"/>
      <c r="H259" s="203"/>
      <c r="I259" s="203"/>
      <c r="J259" s="203"/>
      <c r="K259" s="203"/>
      <c r="L259" s="203"/>
      <c r="M259" s="203"/>
      <c r="N259" s="203"/>
      <c r="O259" s="203"/>
      <c r="P259" s="203"/>
      <c r="Q259" s="3"/>
      <c r="R259" s="3"/>
      <c r="S259" s="184"/>
      <c r="T259" s="184"/>
      <c r="U259" s="3"/>
      <c r="V259" s="3"/>
      <c r="W259" s="3"/>
      <c r="X259" s="3"/>
      <c r="Y259" s="3"/>
      <c r="Z259" s="3"/>
      <c r="AA259" s="3"/>
      <c r="AB259" s="3"/>
      <c r="AC259" s="3"/>
      <c r="AD259" s="3"/>
      <c r="AF259"/>
      <c r="AG259"/>
      <c r="AH259"/>
      <c r="AI259"/>
      <c r="AJ259"/>
      <c r="AK259"/>
      <c r="AL259"/>
      <c r="AM259"/>
      <c r="AN259"/>
      <c r="AO259"/>
      <c r="AP259"/>
      <c r="AQ259"/>
    </row>
    <row r="260" spans="1:62" ht="6.6" customHeight="1">
      <c r="S260" s="183"/>
      <c r="T260" s="183"/>
      <c r="AF260"/>
      <c r="AG260"/>
      <c r="AH260"/>
      <c r="AI260"/>
      <c r="AJ260"/>
      <c r="AK260"/>
      <c r="AL260"/>
      <c r="AM260"/>
      <c r="AN260"/>
      <c r="AO260"/>
      <c r="AP260"/>
      <c r="AQ260"/>
    </row>
    <row r="261" spans="1:62" ht="10.9" customHeight="1">
      <c r="S261" s="183"/>
      <c r="T261" s="183"/>
      <c r="AF261"/>
      <c r="AG261"/>
      <c r="AH261"/>
      <c r="AI261"/>
      <c r="AJ261"/>
      <c r="AK261"/>
      <c r="AL261"/>
      <c r="AM261"/>
      <c r="AN261"/>
      <c r="AO261"/>
      <c r="AP261"/>
      <c r="AQ261"/>
    </row>
    <row r="262" spans="1:62" ht="6" customHeight="1">
      <c r="A262" s="226">
        <v>41</v>
      </c>
      <c r="B262" s="56"/>
      <c r="C262" s="224" t="str">
        <f>INDEX(Riferimenti!$B$2:$B$65,A262)</f>
        <v>4-Idrossiippurico</v>
      </c>
      <c r="D262" s="224"/>
      <c r="E262" s="224"/>
      <c r="F262" s="224"/>
      <c r="G262" s="224"/>
      <c r="H262" s="224"/>
      <c r="I262" s="224"/>
      <c r="J262" s="224"/>
      <c r="K262" s="224"/>
      <c r="L262" s="224"/>
      <c r="M262" s="224"/>
      <c r="N262" s="224"/>
      <c r="O262" s="216" t="str">
        <f>IF(INDEX(Riferimenti!$C$2:$C$66,A262)&gt;0,INDEX(Riferimenti!$C$2:$C$66,A262),"")</f>
        <v/>
      </c>
      <c r="P262" s="216" t="s">
        <v>4</v>
      </c>
      <c r="Q262" s="227">
        <f>INDEX(Riferimenti!$E$2:$E$66,A262)</f>
        <v>2.5</v>
      </c>
      <c r="R262" s="218"/>
      <c r="S262" s="240"/>
      <c r="T262" s="240"/>
      <c r="V262" s="2"/>
      <c r="AG262" s="216">
        <f>INDEX(Riferimenti!$Q$2:$Q$60,A262)</f>
        <v>0.7</v>
      </c>
      <c r="AH262" s="216">
        <f>INDEX(Riferimenti!$R$2:$R$60,A262)</f>
        <v>1.9</v>
      </c>
      <c r="AI262" s="3"/>
      <c r="AN262" s="3"/>
      <c r="AT262" s="3"/>
      <c r="AU262" s="3"/>
      <c r="AV262" s="3"/>
      <c r="AW262" s="3"/>
      <c r="AX262" s="3"/>
      <c r="AY262" s="3"/>
      <c r="AZ262" s="3"/>
      <c r="BA262" s="3"/>
      <c r="BB262" s="3"/>
      <c r="BC262" s="3"/>
      <c r="BD262" s="3"/>
      <c r="BE262" s="3"/>
      <c r="BF262" s="3"/>
      <c r="BG262" s="3"/>
      <c r="BH262" s="3"/>
      <c r="BI262" s="3"/>
      <c r="BJ262" s="3"/>
    </row>
    <row r="263" spans="1:62" ht="5.45" customHeight="1">
      <c r="A263" s="226"/>
      <c r="B263" s="56"/>
      <c r="C263" s="224"/>
      <c r="D263" s="224"/>
      <c r="E263" s="224"/>
      <c r="F263" s="224"/>
      <c r="G263" s="224"/>
      <c r="H263" s="224"/>
      <c r="I263" s="224"/>
      <c r="J263" s="224"/>
      <c r="K263" s="224"/>
      <c r="L263" s="224"/>
      <c r="M263" s="224"/>
      <c r="N263" s="224"/>
      <c r="O263" s="216"/>
      <c r="P263" s="216"/>
      <c r="Q263" s="227"/>
      <c r="R263" s="218"/>
      <c r="S263" s="240"/>
      <c r="T263" s="240"/>
      <c r="U263"/>
      <c r="V263"/>
      <c r="W263"/>
      <c r="X263"/>
      <c r="Y263"/>
      <c r="Z263"/>
      <c r="AA263"/>
      <c r="AB263"/>
      <c r="AC263"/>
      <c r="AD263"/>
      <c r="AF263"/>
      <c r="AG263" s="216"/>
      <c r="AH263" s="216"/>
      <c r="AN263" s="3"/>
      <c r="AO263" s="3"/>
      <c r="AP263" s="3"/>
      <c r="AQ263" s="3"/>
      <c r="AR263" s="3"/>
      <c r="AS263" s="3"/>
      <c r="AT263" s="3"/>
      <c r="AU263" s="3"/>
      <c r="AV263" s="3"/>
      <c r="AW263" s="3"/>
      <c r="AX263" s="3"/>
      <c r="AY263" s="3"/>
      <c r="AZ263" s="3"/>
      <c r="BA263" s="3"/>
      <c r="BB263" s="3"/>
      <c r="BC263" s="3"/>
      <c r="BD263" s="3"/>
      <c r="BE263" s="3"/>
      <c r="BF263" s="3"/>
      <c r="BG263" s="3"/>
      <c r="BH263" s="3"/>
      <c r="BI263" s="3"/>
      <c r="BJ263" s="3"/>
    </row>
    <row r="264" spans="1:62" ht="6" customHeight="1">
      <c r="A264" s="205"/>
      <c r="B264" s="205"/>
      <c r="C264" s="205"/>
      <c r="D264" s="205"/>
      <c r="E264" s="205"/>
      <c r="F264" s="205"/>
      <c r="G264" s="205"/>
      <c r="H264" s="205"/>
      <c r="I264" s="205"/>
      <c r="J264" s="205"/>
      <c r="K264" s="205"/>
      <c r="L264" s="205"/>
      <c r="M264" s="205"/>
      <c r="N264" s="57"/>
      <c r="O264" s="78"/>
      <c r="P264" s="39"/>
      <c r="Q264" s="77"/>
      <c r="R264" s="80"/>
      <c r="S264" s="181"/>
      <c r="T264" s="182"/>
      <c r="U264" s="43"/>
      <c r="V264" s="43"/>
      <c r="W264" s="43"/>
      <c r="X264" s="43"/>
      <c r="Y264" s="43"/>
      <c r="Z264" s="43"/>
      <c r="AA264" s="43"/>
      <c r="AB264" s="43"/>
      <c r="AC264" s="43"/>
      <c r="AD264" s="43"/>
      <c r="AF264" s="43"/>
      <c r="AG264" s="43"/>
      <c r="AH264" s="43"/>
      <c r="AI264" s="43"/>
      <c r="AJ264" s="43"/>
      <c r="AK264" s="43"/>
      <c r="AL264" s="43"/>
      <c r="AM264" s="43"/>
      <c r="AN264" s="43"/>
      <c r="AO264" s="43"/>
      <c r="AP264" s="43"/>
      <c r="AQ264" s="43"/>
      <c r="AR264" s="3"/>
      <c r="AS264" s="3"/>
      <c r="AT264" s="3"/>
      <c r="AU264" s="3"/>
      <c r="AV264" s="3"/>
      <c r="AW264" s="3"/>
      <c r="AX264" s="3"/>
      <c r="AY264" s="3"/>
      <c r="AZ264" s="3"/>
      <c r="BA264" s="3"/>
      <c r="BB264" s="3"/>
      <c r="BC264" s="3"/>
      <c r="BD264" s="3"/>
      <c r="BE264" s="3"/>
      <c r="BF264" s="3"/>
      <c r="BG264" s="3"/>
      <c r="BH264" s="3"/>
      <c r="BI264" s="3"/>
      <c r="BJ264" s="3"/>
    </row>
    <row r="265" spans="1:62" ht="6" customHeight="1">
      <c r="A265" s="205"/>
      <c r="B265" s="205"/>
      <c r="C265" s="205"/>
      <c r="D265" s="205"/>
      <c r="E265" s="205"/>
      <c r="F265" s="205"/>
      <c r="G265" s="205"/>
      <c r="H265" s="205"/>
      <c r="I265" s="205"/>
      <c r="J265" s="205"/>
      <c r="K265" s="205"/>
      <c r="L265" s="205"/>
      <c r="M265" s="205"/>
      <c r="N265" s="57"/>
      <c r="O265" s="78"/>
      <c r="P265" s="39"/>
      <c r="Q265" s="77"/>
      <c r="R265" s="80"/>
      <c r="S265" s="181"/>
      <c r="T265" s="183"/>
      <c r="V265" s="2"/>
      <c r="AN265" s="3"/>
      <c r="AO265" s="3"/>
      <c r="AP265" s="3"/>
      <c r="AQ265" s="3"/>
      <c r="AR265" s="3"/>
      <c r="AS265" s="3"/>
      <c r="AT265" s="3"/>
      <c r="AU265" s="3"/>
      <c r="AV265" s="3"/>
      <c r="AW265" s="3"/>
      <c r="AX265" s="3"/>
      <c r="AY265" s="3"/>
      <c r="AZ265" s="3"/>
      <c r="BA265" s="3"/>
      <c r="BB265" s="3"/>
      <c r="BC265" s="3"/>
      <c r="BD265" s="3"/>
      <c r="BE265" s="3"/>
      <c r="BF265" s="3"/>
      <c r="BG265" s="3"/>
      <c r="BH265" s="3"/>
      <c r="BI265" s="3"/>
      <c r="BJ265" s="3"/>
    </row>
    <row r="266" spans="1:62" ht="10.9" customHeight="1">
      <c r="A266" s="58"/>
      <c r="B266" s="58"/>
      <c r="C266" s="58"/>
      <c r="D266" s="59"/>
      <c r="E266" s="59"/>
      <c r="F266" s="59"/>
      <c r="G266" s="58"/>
      <c r="H266" s="58"/>
      <c r="I266" s="59"/>
      <c r="J266" s="59"/>
      <c r="K266" s="59"/>
      <c r="L266" s="59"/>
      <c r="M266" s="59"/>
      <c r="N266" s="59"/>
      <c r="O266" s="40"/>
      <c r="P266" s="41"/>
      <c r="Q266" s="41"/>
      <c r="R266" s="41"/>
      <c r="S266" s="185"/>
      <c r="T266" s="184"/>
      <c r="U266" s="214"/>
      <c r="V266" s="214"/>
      <c r="W266" s="3"/>
      <c r="X266" s="3"/>
      <c r="Y266" s="3"/>
      <c r="Z266" s="3"/>
      <c r="AA266" s="3"/>
      <c r="AB266" s="3"/>
      <c r="AC266" s="214"/>
      <c r="AD266" s="214"/>
      <c r="AF266" s="3"/>
      <c r="AG266" s="3"/>
      <c r="AH266" s="3"/>
      <c r="AI266" s="24"/>
      <c r="AJ266" s="24"/>
      <c r="AK266" s="24"/>
      <c r="AL266" s="24"/>
      <c r="AN266" s="3"/>
      <c r="AP266" s="3"/>
      <c r="AQ266" s="3"/>
      <c r="AR266" s="3"/>
      <c r="AS266" s="3"/>
      <c r="AT266" s="3"/>
      <c r="AU266" s="3"/>
      <c r="AV266" s="3"/>
      <c r="AW266" s="3"/>
      <c r="AX266" s="3"/>
      <c r="AY266" s="3"/>
      <c r="AZ266" s="3"/>
      <c r="BA266" s="3"/>
      <c r="BB266" s="3"/>
      <c r="BC266" s="3"/>
      <c r="BD266" s="3"/>
      <c r="BE266" s="3"/>
      <c r="BF266" s="3"/>
      <c r="BG266" s="3"/>
      <c r="BH266" s="3"/>
      <c r="BI266" s="3"/>
      <c r="BJ266" s="3"/>
    </row>
    <row r="267" spans="1:62" ht="6" customHeight="1">
      <c r="A267" s="226">
        <v>42</v>
      </c>
      <c r="B267" s="56"/>
      <c r="C267" s="224" t="str">
        <f>INDEX(Riferimenti!$B$2:$B$65,A267)</f>
        <v>Ippurico</v>
      </c>
      <c r="D267" s="224"/>
      <c r="E267" s="224"/>
      <c r="F267" s="224"/>
      <c r="G267" s="224"/>
      <c r="H267" s="224"/>
      <c r="I267" s="224"/>
      <c r="J267" s="224"/>
      <c r="K267" s="224"/>
      <c r="L267" s="224"/>
      <c r="M267" s="224"/>
      <c r="N267" s="224"/>
      <c r="O267" s="216" t="str">
        <f>IF(INDEX(Riferimenti!$C$2:$C$66,A267)&gt;0,INDEX(Riferimenti!$C$2:$C$66,A267),"")</f>
        <v/>
      </c>
      <c r="P267" s="216" t="s">
        <v>4</v>
      </c>
      <c r="Q267" s="227">
        <f>INDEX(Riferimenti!$E$2:$E$66,A267)</f>
        <v>100.2</v>
      </c>
      <c r="R267" s="218"/>
      <c r="S267" s="240"/>
      <c r="T267" s="240"/>
      <c r="V267" s="2"/>
      <c r="AG267" s="216">
        <f>INDEX(Riferimenti!$Q$2:$Q$60,A267)</f>
        <v>25.3</v>
      </c>
      <c r="AH267" s="216">
        <f>INDEX(Riferimenti!$R$2:$R$60,A267)</f>
        <v>75.2</v>
      </c>
      <c r="AI267" s="3"/>
      <c r="AN267" s="3"/>
      <c r="AT267" s="3"/>
      <c r="AU267" s="3"/>
      <c r="AV267" s="3"/>
      <c r="AW267" s="3"/>
      <c r="AX267" s="3"/>
      <c r="AY267" s="3"/>
      <c r="AZ267" s="3"/>
      <c r="BA267" s="3"/>
      <c r="BB267" s="3"/>
      <c r="BC267" s="3"/>
      <c r="BD267" s="3"/>
      <c r="BE267" s="3"/>
      <c r="BF267" s="3"/>
      <c r="BG267" s="3"/>
      <c r="BH267" s="3"/>
      <c r="BI267" s="3"/>
      <c r="BJ267" s="3"/>
    </row>
    <row r="268" spans="1:62" ht="5.45" customHeight="1">
      <c r="A268" s="226"/>
      <c r="B268" s="56"/>
      <c r="C268" s="224"/>
      <c r="D268" s="224"/>
      <c r="E268" s="224"/>
      <c r="F268" s="224"/>
      <c r="G268" s="224"/>
      <c r="H268" s="224"/>
      <c r="I268" s="224"/>
      <c r="J268" s="224"/>
      <c r="K268" s="224"/>
      <c r="L268" s="224"/>
      <c r="M268" s="224"/>
      <c r="N268" s="224"/>
      <c r="O268" s="216"/>
      <c r="P268" s="216"/>
      <c r="Q268" s="227"/>
      <c r="R268" s="218"/>
      <c r="S268" s="240"/>
      <c r="T268" s="240"/>
      <c r="U268"/>
      <c r="V268"/>
      <c r="W268"/>
      <c r="X268"/>
      <c r="Y268"/>
      <c r="Z268"/>
      <c r="AA268"/>
      <c r="AB268"/>
      <c r="AC268"/>
      <c r="AD268"/>
      <c r="AF268"/>
      <c r="AG268" s="216"/>
      <c r="AH268" s="216"/>
      <c r="AN268" s="3"/>
      <c r="AO268" s="3"/>
      <c r="AP268" s="3"/>
      <c r="AQ268" s="3"/>
      <c r="AR268" s="3"/>
      <c r="AS268" s="3"/>
      <c r="AT268" s="3"/>
      <c r="AU268" s="3"/>
      <c r="AV268" s="3"/>
      <c r="AW268" s="3"/>
      <c r="AX268" s="3"/>
      <c r="AY268" s="3"/>
      <c r="AZ268" s="3"/>
      <c r="BA268" s="3"/>
      <c r="BB268" s="3"/>
      <c r="BC268" s="3"/>
      <c r="BD268" s="3"/>
      <c r="BE268" s="3"/>
      <c r="BF268" s="3"/>
      <c r="BG268" s="3"/>
      <c r="BH268" s="3"/>
      <c r="BI268" s="3"/>
      <c r="BJ268" s="3"/>
    </row>
    <row r="269" spans="1:62" ht="6" customHeight="1">
      <c r="A269" s="205"/>
      <c r="B269" s="205"/>
      <c r="C269" s="205"/>
      <c r="D269" s="205"/>
      <c r="E269" s="205"/>
      <c r="F269" s="205"/>
      <c r="G269" s="205"/>
      <c r="H269" s="205"/>
      <c r="I269" s="205"/>
      <c r="J269" s="205"/>
      <c r="K269" s="205"/>
      <c r="L269" s="205"/>
      <c r="M269" s="205"/>
      <c r="N269" s="57"/>
      <c r="O269" s="78"/>
      <c r="P269" s="39"/>
      <c r="Q269" s="77"/>
      <c r="R269" s="80"/>
      <c r="S269" s="181"/>
      <c r="T269" s="182"/>
      <c r="U269" s="43"/>
      <c r="V269" s="43"/>
      <c r="W269" s="43"/>
      <c r="X269" s="43"/>
      <c r="Y269" s="43"/>
      <c r="Z269" s="43"/>
      <c r="AA269" s="43"/>
      <c r="AB269" s="43"/>
      <c r="AC269" s="43"/>
      <c r="AD269" s="43"/>
      <c r="AF269" s="43"/>
      <c r="AG269" s="43"/>
      <c r="AH269" s="43"/>
      <c r="AI269" s="43"/>
      <c r="AJ269" s="43"/>
      <c r="AK269" s="43"/>
      <c r="AL269" s="43"/>
      <c r="AM269" s="43"/>
      <c r="AN269" s="43"/>
      <c r="AO269" s="43"/>
      <c r="AP269" s="43"/>
      <c r="AQ269" s="43"/>
      <c r="AR269" s="3"/>
      <c r="AS269" s="3"/>
      <c r="AT269" s="3"/>
      <c r="AU269" s="3"/>
      <c r="AV269" s="3"/>
      <c r="AW269" s="3"/>
      <c r="AX269" s="3"/>
      <c r="AY269" s="3"/>
      <c r="AZ269" s="3"/>
      <c r="BA269" s="3"/>
      <c r="BB269" s="3"/>
      <c r="BC269" s="3"/>
      <c r="BD269" s="3"/>
      <c r="BE269" s="3"/>
      <c r="BF269" s="3"/>
      <c r="BG269" s="3"/>
      <c r="BH269" s="3"/>
      <c r="BI269" s="3"/>
      <c r="BJ269" s="3"/>
    </row>
    <row r="270" spans="1:62" ht="6" customHeight="1">
      <c r="A270" s="205"/>
      <c r="B270" s="205"/>
      <c r="C270" s="205"/>
      <c r="D270" s="205"/>
      <c r="E270" s="205"/>
      <c r="F270" s="205"/>
      <c r="G270" s="205"/>
      <c r="H270" s="205"/>
      <c r="I270" s="205"/>
      <c r="J270" s="205"/>
      <c r="K270" s="205"/>
      <c r="L270" s="205"/>
      <c r="M270" s="205"/>
      <c r="N270" s="57"/>
      <c r="O270" s="78"/>
      <c r="P270" s="39"/>
      <c r="Q270" s="77"/>
      <c r="R270" s="80"/>
      <c r="S270" s="181"/>
      <c r="T270" s="183"/>
      <c r="V270" s="2"/>
      <c r="AN270" s="3"/>
      <c r="AO270" s="3"/>
      <c r="AP270" s="3"/>
      <c r="AQ270" s="3"/>
      <c r="AR270" s="3"/>
      <c r="AS270" s="3"/>
      <c r="AT270" s="3"/>
      <c r="AU270" s="3"/>
      <c r="AV270" s="3"/>
      <c r="AW270" s="3"/>
      <c r="AX270" s="3"/>
      <c r="AY270" s="3"/>
      <c r="AZ270" s="3"/>
      <c r="BA270" s="3"/>
      <c r="BB270" s="3"/>
      <c r="BC270" s="3"/>
      <c r="BD270" s="3"/>
      <c r="BE270" s="3"/>
      <c r="BF270" s="3"/>
      <c r="BG270" s="3"/>
      <c r="BH270" s="3"/>
      <c r="BI270" s="3"/>
      <c r="BJ270" s="3"/>
    </row>
    <row r="271" spans="1:62" ht="10.9" customHeight="1">
      <c r="A271" s="58"/>
      <c r="B271" s="58"/>
      <c r="C271" s="58"/>
      <c r="D271" s="59"/>
      <c r="E271" s="59"/>
      <c r="F271" s="59"/>
      <c r="G271" s="58"/>
      <c r="H271" s="58"/>
      <c r="I271" s="59"/>
      <c r="J271" s="59"/>
      <c r="K271" s="59"/>
      <c r="L271" s="59"/>
      <c r="M271" s="59"/>
      <c r="N271" s="59"/>
      <c r="O271" s="40"/>
      <c r="P271" s="41"/>
      <c r="Q271" s="41"/>
      <c r="R271" s="41"/>
      <c r="S271" s="185"/>
      <c r="T271" s="184"/>
      <c r="U271" s="214"/>
      <c r="V271" s="214"/>
      <c r="W271" s="3"/>
      <c r="X271" s="3"/>
      <c r="Y271" s="3"/>
      <c r="Z271" s="3"/>
      <c r="AA271" s="3"/>
      <c r="AB271" s="3"/>
      <c r="AC271" s="214"/>
      <c r="AD271" s="214"/>
      <c r="AF271" s="3"/>
      <c r="AG271" s="3"/>
      <c r="AH271" s="3"/>
      <c r="AI271" s="24"/>
      <c r="AJ271" s="24"/>
      <c r="AK271" s="24"/>
      <c r="AL271" s="24"/>
      <c r="AN271" s="3"/>
      <c r="AP271" s="3"/>
      <c r="AQ271" s="3"/>
      <c r="AR271" s="3"/>
      <c r="AS271" s="3"/>
      <c r="AT271" s="3"/>
      <c r="AU271" s="3"/>
      <c r="AV271" s="3"/>
      <c r="AW271" s="3"/>
      <c r="AX271" s="3"/>
      <c r="AY271" s="3"/>
      <c r="AZ271" s="3"/>
      <c r="BA271" s="3"/>
      <c r="BB271" s="3"/>
      <c r="BC271" s="3"/>
      <c r="BD271" s="3"/>
      <c r="BE271" s="3"/>
      <c r="BF271" s="3"/>
      <c r="BG271" s="3"/>
      <c r="BH271" s="3"/>
      <c r="BI271" s="3"/>
      <c r="BJ271" s="3"/>
    </row>
    <row r="272" spans="1:62" ht="6" customHeight="1">
      <c r="A272" s="226">
        <v>43</v>
      </c>
      <c r="B272" s="56"/>
      <c r="C272" s="224" t="str">
        <f>INDEX(Riferimenti!$B$2:$B$65,A272)</f>
        <v>Benzoico</v>
      </c>
      <c r="D272" s="224"/>
      <c r="E272" s="224"/>
      <c r="F272" s="224"/>
      <c r="G272" s="224"/>
      <c r="H272" s="224"/>
      <c r="I272" s="224"/>
      <c r="J272" s="224"/>
      <c r="K272" s="224"/>
      <c r="L272" s="224"/>
      <c r="M272" s="224"/>
      <c r="N272" s="224"/>
      <c r="O272" s="216" t="str">
        <f>IF(INDEX(Riferimenti!$C$2:$C$66,A272)&gt;0,INDEX(Riferimenti!$C$2:$C$66,A272),"")</f>
        <v/>
      </c>
      <c r="P272" s="216" t="s">
        <v>4</v>
      </c>
      <c r="Q272" s="227">
        <f>INDEX(Riferimenti!$E$2:$E$66,A272)</f>
        <v>1.6</v>
      </c>
      <c r="R272" s="218"/>
      <c r="S272" s="240"/>
      <c r="T272" s="240"/>
      <c r="V272" s="2"/>
      <c r="AG272" s="216">
        <f>INDEX(Riferimenti!$Q$2:$Q$60,A272)</f>
        <v>0.1</v>
      </c>
      <c r="AH272" s="216">
        <f>INDEX(Riferimenti!$R$2:$R$60,A272)</f>
        <v>1.1000000000000001</v>
      </c>
      <c r="AI272" s="3"/>
      <c r="AN272" s="3"/>
      <c r="AT272" s="3"/>
      <c r="AU272" s="3"/>
      <c r="AV272" s="3"/>
      <c r="AW272" s="3"/>
      <c r="AX272" s="3"/>
      <c r="AY272" s="3"/>
      <c r="AZ272" s="3"/>
      <c r="BA272" s="3"/>
      <c r="BB272" s="3"/>
      <c r="BC272" s="3"/>
      <c r="BD272" s="3"/>
      <c r="BE272" s="3"/>
      <c r="BF272" s="3"/>
      <c r="BG272" s="3"/>
      <c r="BH272" s="3"/>
      <c r="BI272" s="3"/>
      <c r="BJ272" s="3"/>
    </row>
    <row r="273" spans="1:62" ht="5.45" customHeight="1">
      <c r="A273" s="226"/>
      <c r="B273" s="56"/>
      <c r="C273" s="224"/>
      <c r="D273" s="224"/>
      <c r="E273" s="224"/>
      <c r="F273" s="224"/>
      <c r="G273" s="224"/>
      <c r="H273" s="224"/>
      <c r="I273" s="224"/>
      <c r="J273" s="224"/>
      <c r="K273" s="224"/>
      <c r="L273" s="224"/>
      <c r="M273" s="224"/>
      <c r="N273" s="224"/>
      <c r="O273" s="216"/>
      <c r="P273" s="216"/>
      <c r="Q273" s="227"/>
      <c r="R273" s="218"/>
      <c r="S273" s="240"/>
      <c r="T273" s="240"/>
      <c r="U273"/>
      <c r="V273"/>
      <c r="W273"/>
      <c r="X273"/>
      <c r="Y273"/>
      <c r="Z273"/>
      <c r="AA273"/>
      <c r="AB273"/>
      <c r="AC273"/>
      <c r="AD273"/>
      <c r="AF273"/>
      <c r="AG273" s="216"/>
      <c r="AH273" s="216"/>
      <c r="AN273" s="3"/>
      <c r="AO273" s="3"/>
      <c r="AP273" s="3"/>
      <c r="AQ273" s="3"/>
      <c r="AR273" s="3"/>
      <c r="AS273" s="3"/>
      <c r="AT273" s="3"/>
      <c r="AU273" s="3"/>
      <c r="AV273" s="3"/>
      <c r="AW273" s="3"/>
      <c r="AX273" s="3"/>
      <c r="AY273" s="3"/>
      <c r="AZ273" s="3"/>
      <c r="BA273" s="3"/>
      <c r="BB273" s="3"/>
      <c r="BC273" s="3"/>
      <c r="BD273" s="3"/>
      <c r="BE273" s="3"/>
      <c r="BF273" s="3"/>
      <c r="BG273" s="3"/>
      <c r="BH273" s="3"/>
      <c r="BI273" s="3"/>
      <c r="BJ273" s="3"/>
    </row>
    <row r="274" spans="1:62" ht="6" customHeight="1">
      <c r="A274" s="222"/>
      <c r="B274" s="222"/>
      <c r="C274" s="222"/>
      <c r="D274" s="222"/>
      <c r="E274" s="222"/>
      <c r="F274" s="222"/>
      <c r="G274" s="222"/>
      <c r="H274" s="222"/>
      <c r="I274" s="222"/>
      <c r="J274" s="222"/>
      <c r="K274" s="222"/>
      <c r="L274" s="222"/>
      <c r="M274" s="222"/>
      <c r="N274" s="27"/>
      <c r="O274" s="82"/>
      <c r="P274" s="38"/>
      <c r="Q274" s="37"/>
      <c r="R274" s="43"/>
      <c r="S274" s="182"/>
      <c r="T274" s="182"/>
      <c r="U274" s="43"/>
      <c r="V274" s="43"/>
      <c r="W274" s="43"/>
      <c r="X274" s="43"/>
      <c r="Y274" s="43"/>
      <c r="Z274" s="43"/>
      <c r="AA274" s="43"/>
      <c r="AB274" s="43"/>
      <c r="AC274" s="43"/>
      <c r="AD274" s="43"/>
      <c r="AF274" s="43"/>
      <c r="AG274" s="43"/>
      <c r="AH274" s="43"/>
      <c r="AI274" s="43"/>
      <c r="AJ274" s="43"/>
      <c r="AK274" s="43"/>
      <c r="AL274" s="43"/>
      <c r="AM274" s="43"/>
      <c r="AN274" s="43"/>
      <c r="AO274" s="43"/>
      <c r="AP274" s="43"/>
      <c r="AQ274" s="43"/>
      <c r="AR274" s="3"/>
      <c r="AS274" s="3"/>
      <c r="AT274" s="3"/>
      <c r="AU274" s="3"/>
      <c r="AV274" s="3"/>
      <c r="AW274" s="3"/>
      <c r="AX274" s="3"/>
      <c r="AY274" s="3"/>
      <c r="AZ274" s="3"/>
      <c r="BA274" s="3"/>
      <c r="BB274" s="3"/>
      <c r="BC274" s="3"/>
      <c r="BD274" s="3"/>
      <c r="BE274" s="3"/>
      <c r="BF274" s="3"/>
      <c r="BG274" s="3"/>
      <c r="BH274" s="3"/>
      <c r="BI274" s="3"/>
      <c r="BJ274" s="3"/>
    </row>
    <row r="275" spans="1:62" ht="6" customHeight="1">
      <c r="A275" s="222"/>
      <c r="B275" s="222"/>
      <c r="C275" s="222"/>
      <c r="D275" s="222"/>
      <c r="E275" s="222"/>
      <c r="F275" s="222"/>
      <c r="G275" s="222"/>
      <c r="H275" s="222"/>
      <c r="I275" s="222"/>
      <c r="J275" s="222"/>
      <c r="K275" s="222"/>
      <c r="L275" s="222"/>
      <c r="M275" s="222"/>
      <c r="N275" s="27"/>
      <c r="O275" s="82"/>
      <c r="P275" s="38"/>
      <c r="Q275" s="37"/>
      <c r="R275" s="43"/>
      <c r="S275" s="186"/>
      <c r="T275" s="183"/>
      <c r="V275" s="2"/>
      <c r="AN275" s="3"/>
      <c r="AO275" s="3"/>
      <c r="AP275" s="3"/>
      <c r="AQ275" s="3"/>
      <c r="AR275" s="3"/>
      <c r="AS275" s="3"/>
      <c r="AT275" s="3"/>
      <c r="AU275" s="3"/>
      <c r="AV275" s="3"/>
      <c r="AW275" s="3"/>
      <c r="AX275" s="3"/>
      <c r="AY275" s="3"/>
      <c r="AZ275" s="3"/>
      <c r="BA275" s="3"/>
      <c r="BB275" s="3"/>
      <c r="BC275" s="3"/>
      <c r="BD275" s="3"/>
      <c r="BE275" s="3"/>
      <c r="BF275" s="3"/>
      <c r="BG275" s="3"/>
      <c r="BH275" s="3"/>
      <c r="BI275" s="3"/>
      <c r="BJ275" s="3"/>
    </row>
    <row r="276" spans="1:62" ht="10.9" customHeight="1">
      <c r="A276" s="58"/>
      <c r="B276" s="58"/>
      <c r="C276" s="58"/>
      <c r="D276" s="59"/>
      <c r="E276" s="59"/>
      <c r="F276" s="59"/>
      <c r="G276" s="58"/>
      <c r="H276" s="58"/>
      <c r="I276" s="59"/>
      <c r="J276" s="59"/>
      <c r="K276" s="59"/>
      <c r="L276" s="59"/>
      <c r="M276" s="59"/>
      <c r="N276" s="59"/>
      <c r="O276" s="40"/>
      <c r="P276" s="41"/>
      <c r="Q276" s="41"/>
      <c r="R276" s="41"/>
      <c r="S276" s="185"/>
      <c r="T276" s="184"/>
      <c r="U276" s="214"/>
      <c r="V276" s="214"/>
      <c r="W276" s="3"/>
      <c r="X276" s="3"/>
      <c r="Y276" s="3"/>
      <c r="Z276" s="3"/>
      <c r="AA276" s="3"/>
      <c r="AB276" s="3"/>
      <c r="AC276" s="214"/>
      <c r="AD276" s="214"/>
      <c r="AF276" s="3"/>
      <c r="AG276" s="3"/>
      <c r="AH276" s="3"/>
      <c r="AI276" s="24"/>
      <c r="AJ276" s="24"/>
      <c r="AK276" s="24"/>
      <c r="AL276" s="24"/>
      <c r="AN276" s="3"/>
      <c r="AP276" s="3"/>
      <c r="AQ276" s="3"/>
      <c r="AR276" s="3"/>
      <c r="AS276" s="3"/>
      <c r="AT276" s="3"/>
      <c r="AU276" s="3"/>
      <c r="AV276" s="3"/>
      <c r="AW276" s="3"/>
      <c r="AX276" s="3"/>
      <c r="AY276" s="3"/>
      <c r="AZ276" s="3"/>
      <c r="BA276" s="3"/>
      <c r="BB276" s="3"/>
      <c r="BC276" s="3"/>
      <c r="BD276" s="3"/>
      <c r="BE276" s="3"/>
      <c r="BF276" s="3"/>
      <c r="BG276" s="3"/>
      <c r="BH276" s="3"/>
      <c r="BI276" s="3"/>
      <c r="BJ276" s="3"/>
    </row>
    <row r="277" spans="1:62" ht="6" customHeight="1">
      <c r="A277" s="226">
        <v>44</v>
      </c>
      <c r="B277" s="56"/>
      <c r="C277" s="224" t="str">
        <f>INDEX(Riferimenti!$B$2:$B$65,A277)</f>
        <v>Indacano    (mg/dL)</v>
      </c>
      <c r="D277" s="224"/>
      <c r="E277" s="224"/>
      <c r="F277" s="224"/>
      <c r="G277" s="224"/>
      <c r="H277" s="224"/>
      <c r="I277" s="224"/>
      <c r="J277" s="224"/>
      <c r="K277" s="224"/>
      <c r="L277" s="224"/>
      <c r="M277" s="224"/>
      <c r="N277" s="224"/>
      <c r="O277" s="216" t="str">
        <f>IF(INDEX(Riferimenti!$C$2:$C$66,A277)&gt;0,INDEX(Riferimenti!$C$2:$C$66,A277),"")</f>
        <v/>
      </c>
      <c r="P277" s="216" t="s">
        <v>4</v>
      </c>
      <c r="Q277" s="227">
        <f>INDEX(Riferimenti!$E$2:$E$66,A277)</f>
        <v>20</v>
      </c>
      <c r="R277" s="218"/>
      <c r="S277" s="240"/>
      <c r="T277" s="240"/>
      <c r="V277" s="2"/>
      <c r="AG277" s="216">
        <f>INDEX(Riferimenti!$Q$2:$Q$60,A277)</f>
        <v>5.1360000000000001</v>
      </c>
      <c r="AH277" s="216" t="e">
        <f>INDEX(Riferimenti!$R$2:$R$60,A277)</f>
        <v>#REF!</v>
      </c>
      <c r="AI277" s="3"/>
      <c r="AN277" s="3"/>
      <c r="AT277" s="3"/>
      <c r="AU277" s="3"/>
      <c r="AV277" s="3"/>
      <c r="AW277" s="3"/>
      <c r="AX277" s="3"/>
      <c r="AY277" s="3"/>
      <c r="AZ277" s="3"/>
      <c r="BA277" s="3"/>
      <c r="BB277" s="3"/>
      <c r="BC277" s="3"/>
      <c r="BD277" s="3"/>
      <c r="BE277" s="3"/>
      <c r="BF277" s="3"/>
      <c r="BG277" s="3"/>
      <c r="BH277" s="3"/>
      <c r="BI277" s="3"/>
      <c r="BJ277" s="3"/>
    </row>
    <row r="278" spans="1:62" ht="5.45" customHeight="1">
      <c r="A278" s="226"/>
      <c r="B278" s="56"/>
      <c r="C278" s="224"/>
      <c r="D278" s="224"/>
      <c r="E278" s="224"/>
      <c r="F278" s="224"/>
      <c r="G278" s="224"/>
      <c r="H278" s="224"/>
      <c r="I278" s="224"/>
      <c r="J278" s="224"/>
      <c r="K278" s="224"/>
      <c r="L278" s="224"/>
      <c r="M278" s="224"/>
      <c r="N278" s="224"/>
      <c r="O278" s="216"/>
      <c r="P278" s="216"/>
      <c r="Q278" s="227"/>
      <c r="R278" s="218"/>
      <c r="S278" s="240"/>
      <c r="T278" s="240"/>
      <c r="U278"/>
      <c r="V278"/>
      <c r="W278"/>
      <c r="X278"/>
      <c r="Y278"/>
      <c r="Z278"/>
      <c r="AA278"/>
      <c r="AB278"/>
      <c r="AC278"/>
      <c r="AD278"/>
      <c r="AF278"/>
      <c r="AG278" s="216"/>
      <c r="AH278" s="216"/>
      <c r="AN278" s="3"/>
      <c r="AO278" s="3"/>
      <c r="AP278" s="3"/>
      <c r="AQ278" s="3"/>
      <c r="AR278" s="3"/>
      <c r="AS278" s="3"/>
      <c r="AT278" s="3"/>
      <c r="AU278" s="3"/>
      <c r="AV278" s="3"/>
      <c r="AW278" s="3"/>
      <c r="AX278" s="3"/>
      <c r="AY278" s="3"/>
      <c r="AZ278" s="3"/>
      <c r="BA278" s="3"/>
      <c r="BB278" s="3"/>
      <c r="BC278" s="3"/>
      <c r="BD278" s="3"/>
      <c r="BE278" s="3"/>
      <c r="BF278" s="3"/>
      <c r="BG278" s="3"/>
      <c r="BH278" s="3"/>
      <c r="BI278" s="3"/>
      <c r="BJ278" s="3"/>
    </row>
    <row r="279" spans="1:62" ht="6" customHeight="1">
      <c r="A279" s="222"/>
      <c r="B279" s="222"/>
      <c r="C279" s="222"/>
      <c r="D279" s="222"/>
      <c r="E279" s="222"/>
      <c r="F279" s="222"/>
      <c r="G279" s="222"/>
      <c r="H279" s="222"/>
      <c r="I279" s="222"/>
      <c r="J279" s="222"/>
      <c r="K279" s="222"/>
      <c r="L279" s="222"/>
      <c r="M279" s="222"/>
      <c r="N279" s="27"/>
      <c r="O279" s="82"/>
      <c r="P279" s="38"/>
      <c r="Q279" s="37"/>
      <c r="R279" s="43"/>
      <c r="S279" s="182"/>
      <c r="T279" s="182"/>
      <c r="U279" s="43"/>
      <c r="V279" s="43"/>
      <c r="W279" s="43"/>
      <c r="X279" s="43"/>
      <c r="Y279" s="43"/>
      <c r="Z279" s="43"/>
      <c r="AA279" s="43"/>
      <c r="AB279" s="43"/>
      <c r="AC279" s="43"/>
      <c r="AD279" s="43"/>
      <c r="AF279" s="43"/>
      <c r="AG279" s="43"/>
      <c r="AH279" s="43"/>
      <c r="AI279" s="43"/>
      <c r="AJ279" s="43"/>
      <c r="AK279" s="43"/>
      <c r="AL279" s="43"/>
      <c r="AM279" s="43"/>
      <c r="AN279" s="43"/>
      <c r="AO279" s="43"/>
      <c r="AP279" s="43"/>
      <c r="AQ279" s="43"/>
      <c r="AR279" s="3"/>
      <c r="AS279" s="3"/>
      <c r="AT279" s="3"/>
      <c r="AU279" s="3"/>
      <c r="AV279" s="3"/>
      <c r="AW279" s="3"/>
      <c r="AX279" s="3"/>
      <c r="AY279" s="3"/>
      <c r="AZ279" s="3"/>
      <c r="BA279" s="3"/>
      <c r="BB279" s="3"/>
      <c r="BC279" s="3"/>
      <c r="BD279" s="3"/>
      <c r="BE279" s="3"/>
      <c r="BF279" s="3"/>
      <c r="BG279" s="3"/>
      <c r="BH279" s="3"/>
      <c r="BI279" s="3"/>
      <c r="BJ279" s="3"/>
    </row>
    <row r="280" spans="1:62" ht="6" customHeight="1">
      <c r="A280" s="222"/>
      <c r="B280" s="222"/>
      <c r="C280" s="222"/>
      <c r="D280" s="222"/>
      <c r="E280" s="222"/>
      <c r="F280" s="222"/>
      <c r="G280" s="222"/>
      <c r="H280" s="222"/>
      <c r="I280" s="222"/>
      <c r="J280" s="222"/>
      <c r="K280" s="222"/>
      <c r="L280" s="222"/>
      <c r="M280" s="222"/>
      <c r="N280" s="27"/>
      <c r="O280" s="82"/>
      <c r="P280" s="38"/>
      <c r="Q280" s="37"/>
      <c r="R280" s="43"/>
      <c r="S280" s="186"/>
      <c r="T280" s="183"/>
      <c r="V280" s="2"/>
      <c r="AN280" s="3"/>
      <c r="AO280" s="3"/>
      <c r="AP280" s="3"/>
      <c r="AQ280" s="3"/>
      <c r="AR280" s="3"/>
      <c r="AS280" s="3"/>
      <c r="AT280" s="3"/>
      <c r="AU280" s="3"/>
      <c r="AV280" s="3"/>
      <c r="AW280" s="3"/>
      <c r="AX280" s="3"/>
      <c r="AY280" s="3"/>
      <c r="AZ280" s="3"/>
      <c r="BA280" s="3"/>
      <c r="BB280" s="3"/>
      <c r="BC280" s="3"/>
      <c r="BD280" s="3"/>
      <c r="BE280" s="3"/>
      <c r="BF280" s="3"/>
      <c r="BG280" s="3"/>
      <c r="BH280" s="3"/>
      <c r="BI280" s="3"/>
      <c r="BJ280" s="3"/>
    </row>
    <row r="281" spans="1:62" ht="9" customHeight="1">
      <c r="A281" s="79"/>
      <c r="B281" s="79"/>
      <c r="C281" s="79"/>
      <c r="D281" s="79"/>
      <c r="E281" s="79"/>
      <c r="F281" s="79"/>
      <c r="G281" s="79"/>
      <c r="H281" s="79"/>
      <c r="I281" s="79"/>
      <c r="J281" s="79"/>
      <c r="K281" s="79"/>
      <c r="L281" s="79"/>
      <c r="M281" s="79"/>
      <c r="N281" s="27"/>
      <c r="O281" s="82"/>
      <c r="P281" s="38"/>
      <c r="Q281" s="37"/>
      <c r="R281" s="43"/>
      <c r="S281" s="186"/>
      <c r="T281" s="183"/>
      <c r="V281" s="2"/>
      <c r="AN281" s="3"/>
      <c r="AO281" s="3"/>
      <c r="AP281" s="3"/>
      <c r="AQ281" s="3"/>
      <c r="AR281" s="3"/>
      <c r="AS281" s="3"/>
      <c r="AT281" s="3"/>
      <c r="AU281" s="3"/>
      <c r="AV281" s="3"/>
      <c r="AW281" s="3"/>
      <c r="AX281" s="3"/>
      <c r="AY281" s="3"/>
      <c r="AZ281" s="3"/>
      <c r="BA281" s="3"/>
      <c r="BB281" s="3"/>
      <c r="BC281" s="3"/>
      <c r="BD281" s="3"/>
      <c r="BE281" s="3"/>
      <c r="BF281" s="3"/>
      <c r="BG281" s="3"/>
      <c r="BH281" s="3"/>
      <c r="BI281" s="3"/>
      <c r="BJ281" s="3"/>
    </row>
    <row r="282" spans="1:62" ht="13.9" customHeight="1">
      <c r="B282" s="2"/>
      <c r="C282" s="203" t="s">
        <v>134</v>
      </c>
      <c r="D282" s="203"/>
      <c r="E282" s="203"/>
      <c r="F282" s="203"/>
      <c r="G282" s="203"/>
      <c r="H282" s="203"/>
      <c r="I282" s="203"/>
      <c r="J282" s="203"/>
      <c r="K282" s="203"/>
      <c r="L282" s="203"/>
      <c r="M282" s="203"/>
      <c r="N282" s="203"/>
      <c r="O282" s="203"/>
      <c r="P282" s="203"/>
      <c r="Q282" s="3"/>
      <c r="R282" s="3"/>
      <c r="S282" s="184"/>
      <c r="T282" s="184"/>
      <c r="U282" s="3"/>
      <c r="V282" s="3"/>
      <c r="W282" s="3"/>
      <c r="X282" s="3"/>
      <c r="Y282" s="3"/>
      <c r="Z282" s="3"/>
      <c r="AA282" s="3"/>
      <c r="AB282" s="3"/>
      <c r="AC282" s="3"/>
      <c r="AD282" s="3"/>
      <c r="AF282"/>
      <c r="AG282"/>
      <c r="AH282"/>
      <c r="AI282"/>
      <c r="AJ282"/>
      <c r="AK282"/>
      <c r="AL282"/>
      <c r="AM282"/>
      <c r="AN282"/>
      <c r="AO282"/>
      <c r="AP282"/>
      <c r="AQ282"/>
    </row>
    <row r="283" spans="1:62" ht="6.6" customHeight="1">
      <c r="S283" s="183"/>
      <c r="T283" s="183"/>
      <c r="AF283"/>
      <c r="AG283"/>
      <c r="AH283"/>
      <c r="AI283"/>
      <c r="AJ283"/>
      <c r="AK283"/>
      <c r="AL283"/>
      <c r="AM283"/>
      <c r="AN283"/>
      <c r="AO283"/>
      <c r="AP283"/>
      <c r="AQ283"/>
    </row>
    <row r="284" spans="1:62" ht="10.9" customHeight="1">
      <c r="S284" s="183"/>
      <c r="T284" s="183"/>
      <c r="AF284"/>
      <c r="AG284"/>
      <c r="AH284"/>
      <c r="AI284"/>
      <c r="AJ284"/>
      <c r="AK284"/>
      <c r="AL284"/>
      <c r="AM284"/>
      <c r="AN284"/>
      <c r="AO284"/>
      <c r="AP284"/>
      <c r="AQ284"/>
    </row>
    <row r="285" spans="1:62" ht="6" customHeight="1">
      <c r="A285" s="226">
        <v>45</v>
      </c>
      <c r="B285" s="56"/>
      <c r="C285" s="224" t="str">
        <f>INDEX(Riferimenti!$B$2:$B$65,A285)</f>
        <v>4-Idrossifenilacetico</v>
      </c>
      <c r="D285" s="224"/>
      <c r="E285" s="224"/>
      <c r="F285" s="224"/>
      <c r="G285" s="224"/>
      <c r="H285" s="224"/>
      <c r="I285" s="224"/>
      <c r="J285" s="224"/>
      <c r="K285" s="224"/>
      <c r="L285" s="224"/>
      <c r="M285" s="224"/>
      <c r="N285" s="224"/>
      <c r="O285" s="216" t="str">
        <f>IF(INDEX(Riferimenti!$C$2:$C$66,A285)&gt;0,INDEX(Riferimenti!$C$2:$C$66,A285),"")</f>
        <v/>
      </c>
      <c r="P285" s="216" t="s">
        <v>4</v>
      </c>
      <c r="Q285" s="227">
        <f>INDEX(Riferimenti!$E$2:$E$66,A285)</f>
        <v>15.2</v>
      </c>
      <c r="R285" s="218"/>
      <c r="S285" s="240"/>
      <c r="T285" s="240"/>
      <c r="V285" s="2"/>
      <c r="AG285" s="216">
        <f>INDEX(Riferimenti!$Q$2:$Q$60,A285)</f>
        <v>0.2</v>
      </c>
      <c r="AH285" s="216">
        <f>INDEX(Riferimenti!$R$2:$R$60,A285)</f>
        <v>10.199999999999999</v>
      </c>
      <c r="AI285" s="3"/>
      <c r="AN285" s="3"/>
      <c r="AT285" s="3"/>
      <c r="AU285" s="3"/>
      <c r="AV285" s="3"/>
      <c r="AW285" s="3"/>
      <c r="AX285" s="3"/>
      <c r="AY285" s="3"/>
      <c r="AZ285" s="3"/>
      <c r="BA285" s="3"/>
      <c r="BB285" s="3"/>
      <c r="BC285" s="3"/>
      <c r="BD285" s="3"/>
      <c r="BE285" s="3"/>
      <c r="BF285" s="3"/>
      <c r="BG285" s="3"/>
      <c r="BH285" s="3"/>
      <c r="BI285" s="3"/>
      <c r="BJ285" s="3"/>
    </row>
    <row r="286" spans="1:62" ht="5.45" customHeight="1">
      <c r="A286" s="226"/>
      <c r="B286" s="56"/>
      <c r="C286" s="224"/>
      <c r="D286" s="224"/>
      <c r="E286" s="224"/>
      <c r="F286" s="224"/>
      <c r="G286" s="224"/>
      <c r="H286" s="224"/>
      <c r="I286" s="224"/>
      <c r="J286" s="224"/>
      <c r="K286" s="224"/>
      <c r="L286" s="224"/>
      <c r="M286" s="224"/>
      <c r="N286" s="224"/>
      <c r="O286" s="216"/>
      <c r="P286" s="216"/>
      <c r="Q286" s="227"/>
      <c r="R286" s="218"/>
      <c r="S286" s="240"/>
      <c r="T286" s="240"/>
      <c r="U286"/>
      <c r="V286"/>
      <c r="W286"/>
      <c r="X286"/>
      <c r="Y286"/>
      <c r="Z286"/>
      <c r="AA286"/>
      <c r="AB286"/>
      <c r="AC286"/>
      <c r="AD286"/>
      <c r="AF286"/>
      <c r="AG286" s="216"/>
      <c r="AH286" s="216"/>
      <c r="AN286" s="3"/>
      <c r="AO286" s="3"/>
      <c r="AP286" s="3"/>
      <c r="AQ286" s="3"/>
      <c r="AR286" s="3"/>
      <c r="AS286" s="3"/>
      <c r="AT286" s="3"/>
      <c r="AU286" s="3"/>
      <c r="AV286" s="3"/>
      <c r="AW286" s="3"/>
      <c r="AX286" s="3"/>
      <c r="AY286" s="3"/>
      <c r="AZ286" s="3"/>
      <c r="BA286" s="3"/>
      <c r="BB286" s="3"/>
      <c r="BC286" s="3"/>
      <c r="BD286" s="3"/>
      <c r="BE286" s="3"/>
      <c r="BF286" s="3"/>
      <c r="BG286" s="3"/>
      <c r="BH286" s="3"/>
      <c r="BI286" s="3"/>
      <c r="BJ286" s="3"/>
    </row>
    <row r="287" spans="1:62" ht="6" customHeight="1">
      <c r="A287" s="247"/>
      <c r="B287" s="247"/>
      <c r="C287" s="247"/>
      <c r="D287" s="247"/>
      <c r="E287" s="247"/>
      <c r="F287" s="247"/>
      <c r="G287" s="247"/>
      <c r="H287" s="247"/>
      <c r="I287" s="247"/>
      <c r="J287" s="247"/>
      <c r="K287" s="247"/>
      <c r="L287" s="247"/>
      <c r="M287" s="247"/>
      <c r="N287" s="247"/>
      <c r="O287" s="247"/>
      <c r="P287" s="39"/>
      <c r="Q287" s="77"/>
      <c r="R287" s="80"/>
      <c r="S287" s="181"/>
      <c r="T287" s="182"/>
      <c r="U287" s="43"/>
      <c r="V287" s="43"/>
      <c r="W287" s="43"/>
      <c r="X287" s="43"/>
      <c r="Y287" s="43"/>
      <c r="Z287" s="43"/>
      <c r="AA287" s="43"/>
      <c r="AB287" s="43"/>
      <c r="AC287" s="43"/>
      <c r="AD287" s="43"/>
      <c r="AF287" s="43"/>
      <c r="AG287" s="43"/>
      <c r="AH287" s="43"/>
      <c r="AI287" s="43"/>
      <c r="AJ287" s="43"/>
      <c r="AK287" s="43"/>
      <c r="AL287" s="43"/>
      <c r="AM287" s="43"/>
      <c r="AN287" s="43"/>
      <c r="AO287" s="43"/>
      <c r="AP287" s="43"/>
      <c r="AQ287" s="43"/>
      <c r="AR287" s="3"/>
      <c r="AS287" s="3"/>
      <c r="AT287" s="3"/>
      <c r="AU287" s="3"/>
      <c r="AV287" s="3"/>
      <c r="AW287" s="3"/>
      <c r="AX287" s="3"/>
      <c r="AY287" s="3"/>
      <c r="AZ287" s="3"/>
      <c r="BA287" s="3"/>
      <c r="BB287" s="3"/>
      <c r="BC287" s="3"/>
      <c r="BD287" s="3"/>
      <c r="BE287" s="3"/>
      <c r="BF287" s="3"/>
      <c r="BG287" s="3"/>
      <c r="BH287" s="3"/>
      <c r="BI287" s="3"/>
      <c r="BJ287" s="3"/>
    </row>
    <row r="288" spans="1:62" ht="6" customHeight="1">
      <c r="A288" s="247"/>
      <c r="B288" s="247"/>
      <c r="C288" s="247"/>
      <c r="D288" s="247"/>
      <c r="E288" s="247"/>
      <c r="F288" s="247"/>
      <c r="G288" s="247"/>
      <c r="H288" s="247"/>
      <c r="I288" s="247"/>
      <c r="J288" s="247"/>
      <c r="K288" s="247"/>
      <c r="L288" s="247"/>
      <c r="M288" s="247"/>
      <c r="N288" s="247"/>
      <c r="O288" s="247"/>
      <c r="P288" s="39"/>
      <c r="Q288" s="77"/>
      <c r="R288" s="80"/>
      <c r="S288" s="181"/>
      <c r="T288" s="183"/>
      <c r="V288" s="2"/>
      <c r="AN288" s="3"/>
      <c r="AO288" s="3"/>
      <c r="AP288" s="3"/>
      <c r="AQ288" s="3"/>
      <c r="AR288" s="3"/>
      <c r="AS288" s="3"/>
      <c r="AT288" s="3"/>
      <c r="AU288" s="3"/>
      <c r="AV288" s="3"/>
      <c r="AW288" s="3"/>
      <c r="AX288" s="3"/>
      <c r="AY288" s="3"/>
      <c r="AZ288" s="3"/>
      <c r="BA288" s="3"/>
      <c r="BB288" s="3"/>
      <c r="BC288" s="3"/>
      <c r="BD288" s="3"/>
      <c r="BE288" s="3"/>
      <c r="BF288" s="3"/>
      <c r="BG288" s="3"/>
      <c r="BH288" s="3"/>
      <c r="BI288" s="3"/>
      <c r="BJ288" s="3"/>
    </row>
    <row r="289" spans="1:62" ht="10.9" customHeight="1">
      <c r="A289" s="3"/>
      <c r="C289" s="3"/>
      <c r="P289" s="41"/>
      <c r="Q289" s="41"/>
      <c r="R289" s="41"/>
      <c r="S289" s="185"/>
      <c r="T289" s="184"/>
      <c r="U289" s="214"/>
      <c r="V289" s="214"/>
      <c r="W289" s="3"/>
      <c r="X289" s="3"/>
      <c r="Y289" s="3"/>
      <c r="Z289" s="3"/>
      <c r="AA289" s="3"/>
      <c r="AB289" s="3"/>
      <c r="AC289" s="214"/>
      <c r="AD289" s="214"/>
      <c r="AF289" s="3"/>
      <c r="AG289" s="3"/>
      <c r="AH289" s="3"/>
      <c r="AI289" s="24"/>
      <c r="AJ289" s="24"/>
      <c r="AK289" s="24"/>
      <c r="AL289" s="24"/>
      <c r="AN289" s="3"/>
      <c r="AP289" s="3"/>
      <c r="AQ289" s="3"/>
      <c r="AR289" s="3"/>
      <c r="AS289" s="3"/>
      <c r="AT289" s="3"/>
      <c r="AU289" s="3"/>
      <c r="AV289" s="3"/>
      <c r="AW289" s="3"/>
      <c r="AX289" s="3"/>
      <c r="AY289" s="3"/>
      <c r="AZ289" s="3"/>
      <c r="BA289" s="3"/>
      <c r="BB289" s="3"/>
      <c r="BC289" s="3"/>
      <c r="BD289" s="3"/>
      <c r="BE289" s="3"/>
      <c r="BF289" s="3"/>
      <c r="BG289" s="3"/>
      <c r="BH289" s="3"/>
      <c r="BI289" s="3"/>
      <c r="BJ289" s="3"/>
    </row>
    <row r="290" spans="1:62" ht="6" customHeight="1">
      <c r="A290" s="226">
        <v>46</v>
      </c>
      <c r="B290" s="56"/>
      <c r="C290" s="224" t="str">
        <f>INDEX(Riferimenti!$B$2:$B$65,A290)</f>
        <v>3-Indolacetico</v>
      </c>
      <c r="D290" s="224"/>
      <c r="E290" s="224"/>
      <c r="F290" s="224"/>
      <c r="G290" s="224"/>
      <c r="H290" s="224"/>
      <c r="I290" s="224"/>
      <c r="J290" s="224"/>
      <c r="K290" s="224"/>
      <c r="L290" s="224"/>
      <c r="M290" s="224"/>
      <c r="N290" s="224"/>
      <c r="O290" s="216" t="str">
        <f>IF(INDEX(Riferimenti!$C$2:$C$66,A290)&gt;0,INDEX(Riferimenti!$C$2:$C$66,A290),"")</f>
        <v/>
      </c>
      <c r="P290" s="216" t="s">
        <v>4</v>
      </c>
      <c r="Q290" s="227">
        <f>INDEX(Riferimenti!$E$2:$E$66,A290)</f>
        <v>3.1</v>
      </c>
      <c r="R290" s="218"/>
      <c r="S290" s="240"/>
      <c r="T290" s="240"/>
      <c r="V290" s="2"/>
      <c r="AG290" s="216">
        <f>INDEX(Riferimenti!$Q$2:$Q$60,A290)</f>
        <v>1.2</v>
      </c>
      <c r="AH290" s="216">
        <f>INDEX(Riferimenti!$R$2:$R$60,A290)</f>
        <v>2.4</v>
      </c>
      <c r="AI290" s="3"/>
      <c r="AN290" s="3"/>
      <c r="AT290" s="3"/>
      <c r="AU290" s="3"/>
      <c r="AV290" s="3"/>
      <c r="AW290" s="3"/>
      <c r="AX290" s="3"/>
      <c r="AY290" s="3"/>
      <c r="AZ290" s="3"/>
      <c r="BA290" s="3"/>
      <c r="BB290" s="3"/>
      <c r="BC290" s="3"/>
      <c r="BD290" s="3"/>
      <c r="BE290" s="3"/>
      <c r="BF290" s="3"/>
      <c r="BG290" s="3"/>
      <c r="BH290" s="3"/>
      <c r="BI290" s="3"/>
      <c r="BJ290" s="3"/>
    </row>
    <row r="291" spans="1:62" ht="5.45" customHeight="1">
      <c r="A291" s="226"/>
      <c r="B291" s="56"/>
      <c r="C291" s="224"/>
      <c r="D291" s="224"/>
      <c r="E291" s="224"/>
      <c r="F291" s="224"/>
      <c r="G291" s="224"/>
      <c r="H291" s="224"/>
      <c r="I291" s="224"/>
      <c r="J291" s="224"/>
      <c r="K291" s="224"/>
      <c r="L291" s="224"/>
      <c r="M291" s="224"/>
      <c r="N291" s="224"/>
      <c r="O291" s="216"/>
      <c r="P291" s="216"/>
      <c r="Q291" s="227"/>
      <c r="R291" s="218"/>
      <c r="S291" s="240"/>
      <c r="T291" s="240"/>
      <c r="U291"/>
      <c r="V291"/>
      <c r="W291"/>
      <c r="X291"/>
      <c r="Y291"/>
      <c r="Z291"/>
      <c r="AA291"/>
      <c r="AB291"/>
      <c r="AC291"/>
      <c r="AD291"/>
      <c r="AF291"/>
      <c r="AG291" s="216"/>
      <c r="AH291" s="216"/>
      <c r="AN291" s="3"/>
      <c r="AO291" s="3"/>
      <c r="AP291" s="3"/>
      <c r="AQ291" s="3"/>
      <c r="AR291" s="3"/>
      <c r="AS291" s="3"/>
      <c r="AT291" s="3"/>
      <c r="AU291" s="3"/>
      <c r="AV291" s="3"/>
      <c r="AW291" s="3"/>
      <c r="AX291" s="3"/>
      <c r="AY291" s="3"/>
      <c r="AZ291" s="3"/>
      <c r="BA291" s="3"/>
      <c r="BB291" s="3"/>
      <c r="BC291" s="3"/>
      <c r="BD291" s="3"/>
      <c r="BE291" s="3"/>
      <c r="BF291" s="3"/>
      <c r="BG291" s="3"/>
      <c r="BH291" s="3"/>
      <c r="BI291" s="3"/>
      <c r="BJ291" s="3"/>
    </row>
    <row r="292" spans="1:62" ht="6" customHeight="1">
      <c r="A292" s="247"/>
      <c r="B292" s="247"/>
      <c r="C292" s="247"/>
      <c r="D292" s="247"/>
      <c r="E292" s="247"/>
      <c r="F292" s="247"/>
      <c r="G292" s="247"/>
      <c r="H292" s="247"/>
      <c r="I292" s="247"/>
      <c r="J292" s="247"/>
      <c r="K292" s="247"/>
      <c r="L292" s="247"/>
      <c r="M292" s="247"/>
      <c r="N292" s="247"/>
      <c r="O292" s="247"/>
      <c r="P292" s="247"/>
      <c r="Q292" s="77"/>
      <c r="R292" s="80"/>
      <c r="S292" s="181"/>
      <c r="T292" s="182"/>
      <c r="U292" s="43"/>
      <c r="V292" s="43"/>
      <c r="W292" s="43"/>
      <c r="X292" s="43"/>
      <c r="Y292" s="43"/>
      <c r="Z292" s="43"/>
      <c r="AA292" s="43"/>
      <c r="AB292" s="43"/>
      <c r="AC292" s="43"/>
      <c r="AD292" s="43"/>
      <c r="AF292" s="43"/>
      <c r="AG292" s="43"/>
      <c r="AH292" s="43"/>
      <c r="AI292" s="43"/>
      <c r="AJ292" s="43"/>
      <c r="AK292" s="43"/>
      <c r="AL292" s="43"/>
      <c r="AM292" s="43"/>
      <c r="AN292" s="43"/>
      <c r="AO292" s="43"/>
      <c r="AP292" s="43"/>
      <c r="AQ292" s="43"/>
      <c r="AR292" s="3"/>
      <c r="AS292" s="3"/>
      <c r="AT292" s="3"/>
      <c r="AU292" s="3"/>
      <c r="AV292" s="3"/>
      <c r="AW292" s="3"/>
      <c r="AX292" s="3"/>
      <c r="AY292" s="3"/>
      <c r="AZ292" s="3"/>
      <c r="BA292" s="3"/>
      <c r="BB292" s="3"/>
      <c r="BC292" s="3"/>
      <c r="BD292" s="3"/>
      <c r="BE292" s="3"/>
      <c r="BF292" s="3"/>
      <c r="BG292" s="3"/>
      <c r="BH292" s="3"/>
      <c r="BI292" s="3"/>
      <c r="BJ292" s="3"/>
    </row>
    <row r="293" spans="1:62" ht="6" customHeight="1">
      <c r="A293" s="247"/>
      <c r="B293" s="247"/>
      <c r="C293" s="247"/>
      <c r="D293" s="247"/>
      <c r="E293" s="247"/>
      <c r="F293" s="247"/>
      <c r="G293" s="247"/>
      <c r="H293" s="247"/>
      <c r="I293" s="247"/>
      <c r="J293" s="247"/>
      <c r="K293" s="247"/>
      <c r="L293" s="247"/>
      <c r="M293" s="247"/>
      <c r="N293" s="247"/>
      <c r="O293" s="247"/>
      <c r="P293" s="247"/>
      <c r="Q293" s="77"/>
      <c r="R293" s="80"/>
      <c r="S293" s="181"/>
      <c r="T293" s="183"/>
      <c r="V293" s="2"/>
      <c r="AN293" s="3"/>
      <c r="AO293" s="3"/>
      <c r="AP293" s="3"/>
      <c r="AQ293" s="3"/>
      <c r="AR293" s="3"/>
      <c r="AS293" s="3"/>
      <c r="AT293" s="3"/>
      <c r="AU293" s="3"/>
      <c r="AV293" s="3"/>
      <c r="AW293" s="3"/>
      <c r="AX293" s="3"/>
      <c r="AY293" s="3"/>
      <c r="AZ293" s="3"/>
      <c r="BA293" s="3"/>
      <c r="BB293" s="3"/>
      <c r="BC293" s="3"/>
      <c r="BD293" s="3"/>
      <c r="BE293" s="3"/>
      <c r="BF293" s="3"/>
      <c r="BG293" s="3"/>
      <c r="BH293" s="3"/>
      <c r="BI293" s="3"/>
      <c r="BJ293" s="3"/>
    </row>
    <row r="294" spans="1:62" ht="10.9" customHeight="1">
      <c r="A294" s="3"/>
      <c r="C294" s="3"/>
      <c r="P294" s="41"/>
      <c r="Q294" s="41"/>
      <c r="R294" s="41"/>
      <c r="S294" s="185"/>
      <c r="T294" s="184"/>
      <c r="U294" s="214"/>
      <c r="V294" s="214"/>
      <c r="W294" s="3"/>
      <c r="X294" s="3"/>
      <c r="Y294" s="3"/>
      <c r="Z294" s="3"/>
      <c r="AA294" s="3"/>
      <c r="AB294" s="3"/>
      <c r="AC294" s="214"/>
      <c r="AD294" s="214"/>
      <c r="AF294" s="3"/>
      <c r="AG294" s="3"/>
      <c r="AH294" s="3"/>
      <c r="AI294" s="24"/>
      <c r="AJ294" s="24"/>
      <c r="AK294" s="24"/>
      <c r="AL294" s="24"/>
      <c r="AN294" s="3"/>
      <c r="AP294" s="3"/>
      <c r="AQ294" s="3"/>
      <c r="AR294" s="3"/>
      <c r="AS294" s="3"/>
      <c r="AT294" s="3"/>
      <c r="AU294" s="3"/>
      <c r="AV294" s="3"/>
      <c r="AW294" s="3"/>
      <c r="AX294" s="3"/>
      <c r="AY294" s="3"/>
      <c r="AZ294" s="3"/>
      <c r="BA294" s="3"/>
      <c r="BB294" s="3"/>
      <c r="BC294" s="3"/>
      <c r="BD294" s="3"/>
      <c r="BE294" s="3"/>
      <c r="BF294" s="3"/>
      <c r="BG294" s="3"/>
      <c r="BH294" s="3"/>
      <c r="BI294" s="3"/>
      <c r="BJ294" s="3"/>
    </row>
    <row r="295" spans="1:62" ht="6" customHeight="1">
      <c r="A295" s="226">
        <v>47</v>
      </c>
      <c r="B295" s="56"/>
      <c r="C295" s="224" t="str">
        <f>INDEX(Riferimenti!$B$2:$B$65,A295)</f>
        <v>P-Cresolo</v>
      </c>
      <c r="D295" s="224"/>
      <c r="E295" s="224"/>
      <c r="F295" s="224"/>
      <c r="G295" s="224"/>
      <c r="H295" s="224"/>
      <c r="I295" s="224"/>
      <c r="J295" s="224"/>
      <c r="K295" s="224"/>
      <c r="L295" s="224"/>
      <c r="M295" s="224"/>
      <c r="N295" s="224"/>
      <c r="O295" s="216" t="str">
        <f>IF(INDEX(Riferimenti!$C$2:$C$66,A295)&gt;0,INDEX(Riferimenti!$C$2:$C$66,A295),"")</f>
        <v/>
      </c>
      <c r="P295" s="216" t="s">
        <v>4</v>
      </c>
      <c r="Q295" s="227">
        <f>INDEX(Riferimenti!$E$2:$E$66,A295)</f>
        <v>0.6</v>
      </c>
      <c r="R295" s="218"/>
      <c r="S295" s="240"/>
      <c r="T295" s="240"/>
      <c r="V295" s="2"/>
      <c r="AG295" s="216">
        <f>INDEX(Riferimenti!$Q$2:$Q$60,A295)</f>
        <v>0.25680000000000003</v>
      </c>
      <c r="AH295" s="216" t="e">
        <f>INDEX(Riferimenti!$R$2:$R$60,A295)</f>
        <v>#REF!</v>
      </c>
      <c r="AI295" s="3"/>
      <c r="AN295" s="3"/>
      <c r="AT295" s="3"/>
      <c r="AU295" s="3"/>
      <c r="AV295" s="3"/>
      <c r="AW295" s="3"/>
      <c r="AX295" s="3"/>
      <c r="AY295" s="3"/>
      <c r="AZ295" s="3"/>
      <c r="BA295" s="3"/>
      <c r="BB295" s="3"/>
      <c r="BC295" s="3"/>
      <c r="BD295" s="3"/>
      <c r="BE295" s="3"/>
      <c r="BF295" s="3"/>
      <c r="BG295" s="3"/>
      <c r="BH295" s="3"/>
      <c r="BI295" s="3"/>
      <c r="BJ295" s="3"/>
    </row>
    <row r="296" spans="1:62" ht="5.45" customHeight="1">
      <c r="A296" s="226"/>
      <c r="B296" s="56"/>
      <c r="C296" s="224"/>
      <c r="D296" s="224"/>
      <c r="E296" s="224"/>
      <c r="F296" s="224"/>
      <c r="G296" s="224"/>
      <c r="H296" s="224"/>
      <c r="I296" s="224"/>
      <c r="J296" s="224"/>
      <c r="K296" s="224"/>
      <c r="L296" s="224"/>
      <c r="M296" s="224"/>
      <c r="N296" s="224"/>
      <c r="O296" s="216"/>
      <c r="P296" s="216"/>
      <c r="Q296" s="227"/>
      <c r="R296" s="218"/>
      <c r="S296" s="240"/>
      <c r="T296" s="240"/>
      <c r="U296"/>
      <c r="V296"/>
      <c r="W296"/>
      <c r="X296"/>
      <c r="Y296"/>
      <c r="Z296"/>
      <c r="AA296"/>
      <c r="AB296"/>
      <c r="AC296"/>
      <c r="AD296"/>
      <c r="AF296"/>
      <c r="AG296" s="216"/>
      <c r="AH296" s="216"/>
      <c r="AN296" s="3"/>
      <c r="AO296" s="3"/>
      <c r="AP296" s="3"/>
      <c r="AQ296" s="3"/>
      <c r="AR296" s="3"/>
      <c r="AS296" s="3"/>
      <c r="AT296" s="3"/>
      <c r="AU296" s="3"/>
      <c r="AV296" s="3"/>
      <c r="AW296" s="3"/>
      <c r="AX296" s="3"/>
      <c r="AY296" s="3"/>
      <c r="AZ296" s="3"/>
      <c r="BA296" s="3"/>
      <c r="BB296" s="3"/>
      <c r="BC296" s="3"/>
      <c r="BD296" s="3"/>
      <c r="BE296" s="3"/>
      <c r="BF296" s="3"/>
      <c r="BG296" s="3"/>
      <c r="BH296" s="3"/>
      <c r="BI296" s="3"/>
      <c r="BJ296" s="3"/>
    </row>
    <row r="297" spans="1:62" ht="6" customHeight="1">
      <c r="A297" s="205"/>
      <c r="B297" s="205"/>
      <c r="C297" s="205"/>
      <c r="D297" s="205"/>
      <c r="E297" s="205"/>
      <c r="F297" s="205"/>
      <c r="G297" s="205"/>
      <c r="H297" s="205"/>
      <c r="I297" s="205"/>
      <c r="J297" s="205"/>
      <c r="K297" s="205"/>
      <c r="L297" s="205"/>
      <c r="M297" s="205"/>
      <c r="N297" s="57"/>
      <c r="O297" s="82"/>
      <c r="P297" s="39"/>
      <c r="Q297" s="77"/>
      <c r="R297" s="80"/>
      <c r="S297" s="181"/>
      <c r="T297" s="182"/>
      <c r="U297" s="43"/>
      <c r="V297" s="43"/>
      <c r="W297" s="43"/>
      <c r="X297" s="43"/>
      <c r="Y297" s="43"/>
      <c r="Z297" s="43"/>
      <c r="AA297" s="43"/>
      <c r="AB297" s="43"/>
      <c r="AC297" s="43"/>
      <c r="AD297" s="43"/>
      <c r="AF297" s="43"/>
      <c r="AG297" s="43"/>
      <c r="AH297" s="43"/>
      <c r="AI297" s="43"/>
      <c r="AJ297" s="43"/>
      <c r="AK297" s="43"/>
      <c r="AL297" s="43"/>
      <c r="AM297" s="43"/>
      <c r="AN297" s="43"/>
      <c r="AO297" s="43"/>
      <c r="AP297" s="43"/>
      <c r="AQ297" s="43"/>
      <c r="AR297" s="3"/>
      <c r="AS297" s="3"/>
      <c r="AT297" s="3"/>
      <c r="AU297" s="3"/>
      <c r="AV297" s="3"/>
      <c r="AW297" s="3"/>
      <c r="AX297" s="3"/>
      <c r="AY297" s="3"/>
      <c r="AZ297" s="3"/>
      <c r="BA297" s="3"/>
      <c r="BB297" s="3"/>
      <c r="BC297" s="3"/>
      <c r="BD297" s="3"/>
      <c r="BE297" s="3"/>
      <c r="BF297" s="3"/>
      <c r="BG297" s="3"/>
      <c r="BH297" s="3"/>
      <c r="BI297" s="3"/>
      <c r="BJ297" s="3"/>
    </row>
    <row r="298" spans="1:62" ht="6" customHeight="1">
      <c r="A298" s="205"/>
      <c r="B298" s="205"/>
      <c r="C298" s="205"/>
      <c r="D298" s="205"/>
      <c r="E298" s="205"/>
      <c r="F298" s="205"/>
      <c r="G298" s="205"/>
      <c r="H298" s="205"/>
      <c r="I298" s="205"/>
      <c r="J298" s="205"/>
      <c r="K298" s="205"/>
      <c r="L298" s="205"/>
      <c r="M298" s="205"/>
      <c r="N298" s="57"/>
      <c r="O298" s="82"/>
      <c r="P298" s="39"/>
      <c r="Q298" s="77"/>
      <c r="R298" s="80"/>
      <c r="S298" s="181"/>
      <c r="T298" s="183"/>
      <c r="V298" s="2"/>
      <c r="AN298" s="3"/>
      <c r="AO298" s="3"/>
      <c r="AP298" s="3"/>
      <c r="AQ298" s="3"/>
      <c r="AR298" s="3"/>
      <c r="AS298" s="3"/>
      <c r="AT298" s="3"/>
      <c r="AU298" s="3"/>
      <c r="AV298" s="3"/>
      <c r="AW298" s="3"/>
      <c r="AX298" s="3"/>
      <c r="AY298" s="3"/>
      <c r="AZ298" s="3"/>
      <c r="BA298" s="3"/>
      <c r="BB298" s="3"/>
      <c r="BC298" s="3"/>
      <c r="BD298" s="3"/>
      <c r="BE298" s="3"/>
      <c r="BF298" s="3"/>
      <c r="BG298" s="3"/>
      <c r="BH298" s="3"/>
      <c r="BI298" s="3"/>
      <c r="BJ298" s="3"/>
    </row>
    <row r="299" spans="1:62" ht="10.9" customHeight="1">
      <c r="A299" s="58"/>
      <c r="B299" s="58"/>
      <c r="C299" s="58"/>
      <c r="D299" s="59"/>
      <c r="E299" s="59"/>
      <c r="F299" s="59"/>
      <c r="G299" s="58"/>
      <c r="H299" s="58"/>
      <c r="I299" s="59"/>
      <c r="J299" s="59"/>
      <c r="K299" s="59"/>
      <c r="L299" s="59"/>
      <c r="M299" s="59"/>
      <c r="N299" s="59"/>
      <c r="P299" s="41"/>
      <c r="Q299" s="41"/>
      <c r="R299" s="41"/>
      <c r="S299" s="185"/>
      <c r="T299" s="184"/>
      <c r="U299" s="214"/>
      <c r="V299" s="214"/>
      <c r="W299" s="3"/>
      <c r="X299" s="3"/>
      <c r="Y299" s="3"/>
      <c r="Z299" s="3"/>
      <c r="AA299" s="3"/>
      <c r="AB299" s="3"/>
      <c r="AC299" s="214"/>
      <c r="AD299" s="214"/>
      <c r="AF299" s="3"/>
      <c r="AG299" s="3"/>
      <c r="AH299" s="3"/>
      <c r="AI299" s="24"/>
      <c r="AJ299" s="24"/>
      <c r="AK299" s="24"/>
      <c r="AL299" s="24"/>
      <c r="AN299" s="3"/>
      <c r="AP299" s="3"/>
      <c r="AQ299" s="3"/>
      <c r="AR299" s="3"/>
      <c r="AS299" s="3"/>
      <c r="AT299" s="3"/>
      <c r="AU299" s="3"/>
      <c r="AV299" s="3"/>
      <c r="AW299" s="3"/>
      <c r="AX299" s="3"/>
      <c r="AY299" s="3"/>
      <c r="AZ299" s="3"/>
      <c r="BA299" s="3"/>
      <c r="BB299" s="3"/>
      <c r="BC299" s="3"/>
      <c r="BD299" s="3"/>
      <c r="BE299" s="3"/>
      <c r="BF299" s="3"/>
      <c r="BG299" s="3"/>
      <c r="BH299" s="3"/>
      <c r="BI299" s="3"/>
      <c r="BJ299" s="3"/>
    </row>
    <row r="300" spans="1:62" ht="6" customHeight="1">
      <c r="A300" s="226">
        <v>48</v>
      </c>
      <c r="B300" s="56"/>
      <c r="C300" s="224" t="str">
        <f>INDEX(Riferimenti!$B$2:$B$65,A300)</f>
        <v>3-Idrossifenilacetico</v>
      </c>
      <c r="D300" s="224"/>
      <c r="E300" s="224"/>
      <c r="F300" s="224"/>
      <c r="G300" s="224"/>
      <c r="H300" s="224"/>
      <c r="I300" s="224"/>
      <c r="J300" s="224"/>
      <c r="K300" s="224"/>
      <c r="L300" s="224"/>
      <c r="M300" s="224"/>
      <c r="N300" s="224"/>
      <c r="O300" s="216" t="str">
        <f>IF(INDEX(Riferimenti!$C$2:$C$66,A300)&gt;0,INDEX(Riferimenti!$C$2:$C$66,A300),"")</f>
        <v/>
      </c>
      <c r="P300" s="216" t="s">
        <v>4</v>
      </c>
      <c r="Q300" s="227">
        <f>INDEX(Riferimenti!$E$2:$E$66,A300)</f>
        <v>1.9</v>
      </c>
      <c r="R300" s="218"/>
      <c r="S300" s="240"/>
      <c r="T300" s="240"/>
      <c r="V300" s="2"/>
      <c r="AG300" s="216">
        <f>INDEX(Riferimenti!$Q$2:$Q$60,A300)</f>
        <v>0.7</v>
      </c>
      <c r="AH300" s="216">
        <f>INDEX(Riferimenti!$R$2:$R$60,A300)</f>
        <v>1.5</v>
      </c>
      <c r="AI300" s="3"/>
      <c r="AN300" s="3"/>
      <c r="AT300" s="3"/>
      <c r="AU300" s="3"/>
      <c r="AV300" s="3"/>
      <c r="AW300" s="3"/>
      <c r="AX300" s="3"/>
      <c r="AY300" s="3"/>
      <c r="AZ300" s="3"/>
      <c r="BA300" s="3"/>
      <c r="BB300" s="3"/>
      <c r="BC300" s="3"/>
      <c r="BD300" s="3"/>
      <c r="BE300" s="3"/>
      <c r="BF300" s="3"/>
      <c r="BG300" s="3"/>
      <c r="BH300" s="3"/>
      <c r="BI300" s="3"/>
      <c r="BJ300" s="3"/>
    </row>
    <row r="301" spans="1:62" ht="5.45" customHeight="1">
      <c r="A301" s="226"/>
      <c r="B301" s="56"/>
      <c r="C301" s="224"/>
      <c r="D301" s="224"/>
      <c r="E301" s="224"/>
      <c r="F301" s="224"/>
      <c r="G301" s="224"/>
      <c r="H301" s="224"/>
      <c r="I301" s="224"/>
      <c r="J301" s="224"/>
      <c r="K301" s="224"/>
      <c r="L301" s="224"/>
      <c r="M301" s="224"/>
      <c r="N301" s="224"/>
      <c r="O301" s="216"/>
      <c r="P301" s="216"/>
      <c r="Q301" s="227"/>
      <c r="R301" s="218"/>
      <c r="S301" s="240"/>
      <c r="T301" s="240"/>
      <c r="U301"/>
      <c r="V301"/>
      <c r="W301"/>
      <c r="X301"/>
      <c r="Y301"/>
      <c r="Z301"/>
      <c r="AA301"/>
      <c r="AB301"/>
      <c r="AC301"/>
      <c r="AD301"/>
      <c r="AF301"/>
      <c r="AG301" s="216"/>
      <c r="AH301" s="216"/>
      <c r="AN301" s="3"/>
      <c r="AO301" s="3"/>
      <c r="AP301" s="3"/>
      <c r="AQ301" s="3"/>
      <c r="AR301" s="3"/>
      <c r="AS301" s="3"/>
      <c r="AT301" s="3"/>
      <c r="AU301" s="3"/>
      <c r="AV301" s="3"/>
      <c r="AW301" s="3"/>
      <c r="AX301" s="3"/>
      <c r="AY301" s="3"/>
      <c r="AZ301" s="3"/>
      <c r="BA301" s="3"/>
      <c r="BB301" s="3"/>
      <c r="BC301" s="3"/>
      <c r="BD301" s="3"/>
      <c r="BE301" s="3"/>
      <c r="BF301" s="3"/>
      <c r="BG301" s="3"/>
      <c r="BH301" s="3"/>
      <c r="BI301" s="3"/>
      <c r="BJ301" s="3"/>
    </row>
    <row r="302" spans="1:62" ht="6" customHeight="1">
      <c r="A302" s="222"/>
      <c r="B302" s="222"/>
      <c r="C302" s="222"/>
      <c r="D302" s="222"/>
      <c r="E302" s="222"/>
      <c r="F302" s="222"/>
      <c r="G302" s="222"/>
      <c r="H302" s="222"/>
      <c r="I302" s="222"/>
      <c r="J302" s="222"/>
      <c r="K302" s="222"/>
      <c r="L302" s="222"/>
      <c r="M302" s="222"/>
      <c r="N302" s="27"/>
      <c r="O302" s="82"/>
      <c r="P302" s="38"/>
      <c r="Q302" s="37"/>
      <c r="R302" s="43"/>
      <c r="S302" s="181"/>
      <c r="T302" s="182"/>
      <c r="U302" s="43"/>
      <c r="V302" s="43"/>
      <c r="W302" s="43"/>
      <c r="X302" s="43"/>
      <c r="Y302" s="43"/>
      <c r="Z302" s="43"/>
      <c r="AA302" s="43"/>
      <c r="AB302" s="43"/>
      <c r="AC302" s="43"/>
      <c r="AD302" s="43"/>
      <c r="AF302" s="43"/>
      <c r="AG302" s="43"/>
      <c r="AH302" s="43"/>
      <c r="AI302" s="43"/>
      <c r="AJ302" s="43"/>
      <c r="AK302" s="43"/>
      <c r="AL302" s="43"/>
      <c r="AM302" s="43"/>
      <c r="AN302" s="43"/>
      <c r="AO302" s="43"/>
      <c r="AP302" s="43"/>
      <c r="AQ302" s="43"/>
      <c r="AR302" s="3"/>
      <c r="AS302" s="3"/>
      <c r="AT302" s="3"/>
      <c r="AU302" s="3"/>
      <c r="AV302" s="3"/>
      <c r="AW302" s="3"/>
      <c r="AX302" s="3"/>
      <c r="AY302" s="3"/>
      <c r="AZ302" s="3"/>
      <c r="BA302" s="3"/>
      <c r="BB302" s="3"/>
      <c r="BC302" s="3"/>
      <c r="BD302" s="3"/>
      <c r="BE302" s="3"/>
      <c r="BF302" s="3"/>
      <c r="BG302" s="3"/>
      <c r="BH302" s="3"/>
      <c r="BI302" s="3"/>
      <c r="BJ302" s="3"/>
    </row>
    <row r="303" spans="1:62" ht="6" customHeight="1">
      <c r="A303" s="222"/>
      <c r="B303" s="222"/>
      <c r="C303" s="222"/>
      <c r="D303" s="222"/>
      <c r="E303" s="222"/>
      <c r="F303" s="222"/>
      <c r="G303" s="222"/>
      <c r="H303" s="222"/>
      <c r="I303" s="222"/>
      <c r="J303" s="222"/>
      <c r="K303" s="222"/>
      <c r="L303" s="222"/>
      <c r="M303" s="222"/>
      <c r="N303" s="27"/>
      <c r="O303" s="82"/>
      <c r="P303" s="38"/>
      <c r="Q303" s="37"/>
      <c r="R303" s="43"/>
      <c r="S303" s="181"/>
      <c r="T303" s="183"/>
      <c r="V303" s="2"/>
      <c r="AN303" s="3"/>
      <c r="AO303" s="3"/>
      <c r="AP303" s="3"/>
      <c r="AQ303" s="3"/>
      <c r="AR303" s="3"/>
      <c r="AS303" s="3"/>
      <c r="AT303" s="3"/>
      <c r="AU303" s="3"/>
      <c r="AV303" s="3"/>
      <c r="AW303" s="3"/>
      <c r="AX303" s="3"/>
      <c r="AY303" s="3"/>
      <c r="AZ303" s="3"/>
      <c r="BA303" s="3"/>
      <c r="BB303" s="3"/>
      <c r="BC303" s="3"/>
      <c r="BD303" s="3"/>
      <c r="BE303" s="3"/>
      <c r="BF303" s="3"/>
      <c r="BG303" s="3"/>
      <c r="BH303" s="3"/>
      <c r="BI303" s="3"/>
      <c r="BJ303" s="3"/>
    </row>
    <row r="304" spans="1:62" ht="10.9" customHeight="1">
      <c r="A304" s="58"/>
      <c r="B304" s="58"/>
      <c r="C304" s="58"/>
      <c r="D304" s="59"/>
      <c r="E304" s="59"/>
      <c r="F304" s="59"/>
      <c r="G304" s="58"/>
      <c r="H304" s="58"/>
      <c r="I304" s="59"/>
      <c r="J304" s="59"/>
      <c r="K304" s="59"/>
      <c r="L304" s="59"/>
      <c r="M304" s="59"/>
      <c r="N304" s="59"/>
      <c r="P304" s="41"/>
      <c r="Q304" s="41"/>
      <c r="R304" s="41"/>
      <c r="S304" s="185"/>
      <c r="T304" s="184"/>
      <c r="U304" s="214"/>
      <c r="V304" s="214"/>
      <c r="W304" s="3"/>
      <c r="X304" s="3"/>
      <c r="Y304" s="3"/>
      <c r="Z304" s="3"/>
      <c r="AA304" s="3"/>
      <c r="AB304" s="3"/>
      <c r="AC304" s="214"/>
      <c r="AD304" s="214"/>
      <c r="AF304" s="3"/>
      <c r="AG304" s="3"/>
      <c r="AH304" s="3"/>
      <c r="AI304" s="24"/>
      <c r="AJ304" s="24"/>
      <c r="AK304" s="24"/>
      <c r="AL304" s="24"/>
      <c r="AN304" s="3"/>
      <c r="AP304" s="3"/>
      <c r="AQ304" s="3"/>
      <c r="AR304" s="3"/>
      <c r="AS304" s="3"/>
      <c r="AT304" s="3"/>
      <c r="AU304" s="3"/>
      <c r="AV304" s="3"/>
      <c r="AW304" s="3"/>
      <c r="AX304" s="3"/>
      <c r="AY304" s="3"/>
      <c r="AZ304" s="3"/>
      <c r="BA304" s="3"/>
      <c r="BB304" s="3"/>
      <c r="BC304" s="3"/>
      <c r="BD304" s="3"/>
      <c r="BE304" s="3"/>
      <c r="BF304" s="3"/>
      <c r="BG304" s="3"/>
      <c r="BH304" s="3"/>
      <c r="BI304" s="3"/>
      <c r="BJ304" s="3"/>
    </row>
    <row r="305" spans="1:62" ht="6" customHeight="1">
      <c r="A305" s="226">
        <v>49</v>
      </c>
      <c r="B305" s="56"/>
      <c r="C305" s="224" t="str">
        <f>INDEX(Riferimenti!$B$2:$B$65,A305)</f>
        <v>HPHPA</v>
      </c>
      <c r="D305" s="224"/>
      <c r="E305" s="224"/>
      <c r="F305" s="224"/>
      <c r="G305" s="224"/>
      <c r="H305" s="224"/>
      <c r="I305" s="224"/>
      <c r="J305" s="224"/>
      <c r="K305" s="224"/>
      <c r="L305" s="224"/>
      <c r="M305" s="224"/>
      <c r="N305" s="224"/>
      <c r="O305" s="216" t="str">
        <f>IF(INDEX(Riferimenti!$C$2:$C$66,A305)&gt;0,INDEX(Riferimenti!$C$2:$C$66,A305),"")</f>
        <v/>
      </c>
      <c r="P305" s="216" t="s">
        <v>4</v>
      </c>
      <c r="Q305" s="227">
        <f>INDEX(Riferimenti!$E$2:$E$66,A305)</f>
        <v>13.2</v>
      </c>
      <c r="R305" s="218"/>
      <c r="S305" s="240"/>
      <c r="T305" s="240"/>
      <c r="V305" s="2"/>
      <c r="AG305" s="216">
        <f>INDEX(Riferimenti!$Q$2:$Q$60,A305)</f>
        <v>0.2</v>
      </c>
      <c r="AH305" s="216">
        <f>INDEX(Riferimenti!$R$2:$R$60,A305)</f>
        <v>8.9</v>
      </c>
      <c r="AI305" s="3"/>
      <c r="AN305" s="3"/>
      <c r="AT305" s="3"/>
      <c r="AU305" s="3"/>
      <c r="AV305" s="3"/>
      <c r="AW305" s="3"/>
      <c r="AX305" s="3"/>
      <c r="AY305" s="3"/>
      <c r="AZ305" s="3"/>
      <c r="BA305" s="3"/>
      <c r="BB305" s="3"/>
      <c r="BC305" s="3"/>
      <c r="BD305" s="3"/>
      <c r="BE305" s="3"/>
      <c r="BF305" s="3"/>
      <c r="BG305" s="3"/>
      <c r="BH305" s="3"/>
      <c r="BI305" s="3"/>
      <c r="BJ305" s="3"/>
    </row>
    <row r="306" spans="1:62" ht="5.45" customHeight="1">
      <c r="A306" s="226"/>
      <c r="B306" s="56"/>
      <c r="C306" s="224"/>
      <c r="D306" s="224"/>
      <c r="E306" s="224"/>
      <c r="F306" s="224"/>
      <c r="G306" s="224"/>
      <c r="H306" s="224"/>
      <c r="I306" s="224"/>
      <c r="J306" s="224"/>
      <c r="K306" s="224"/>
      <c r="L306" s="224"/>
      <c r="M306" s="224"/>
      <c r="N306" s="224"/>
      <c r="O306" s="216"/>
      <c r="P306" s="216"/>
      <c r="Q306" s="227"/>
      <c r="R306" s="218"/>
      <c r="S306" s="240"/>
      <c r="T306" s="240"/>
      <c r="U306"/>
      <c r="V306"/>
      <c r="W306"/>
      <c r="X306"/>
      <c r="Y306"/>
      <c r="Z306"/>
      <c r="AA306"/>
      <c r="AB306"/>
      <c r="AC306"/>
      <c r="AD306"/>
      <c r="AF306"/>
      <c r="AG306" s="216"/>
      <c r="AH306" s="216"/>
      <c r="AN306" s="3"/>
      <c r="AO306" s="3"/>
      <c r="AP306" s="3"/>
      <c r="AQ306" s="3"/>
      <c r="AR306" s="3"/>
      <c r="AS306" s="3"/>
      <c r="AT306" s="3"/>
      <c r="AU306" s="3"/>
      <c r="AV306" s="3"/>
      <c r="AW306" s="3"/>
      <c r="AX306" s="3"/>
      <c r="AY306" s="3"/>
      <c r="AZ306" s="3"/>
      <c r="BA306" s="3"/>
      <c r="BB306" s="3"/>
      <c r="BC306" s="3"/>
      <c r="BD306" s="3"/>
      <c r="BE306" s="3"/>
      <c r="BF306" s="3"/>
      <c r="BG306" s="3"/>
      <c r="BH306" s="3"/>
      <c r="BI306" s="3"/>
      <c r="BJ306" s="3"/>
    </row>
    <row r="307" spans="1:62" ht="6" customHeight="1">
      <c r="A307" s="222"/>
      <c r="B307" s="222"/>
      <c r="C307" s="222"/>
      <c r="D307" s="222"/>
      <c r="E307" s="222"/>
      <c r="F307" s="222"/>
      <c r="G307" s="222"/>
      <c r="H307" s="222"/>
      <c r="I307" s="222"/>
      <c r="J307" s="222"/>
      <c r="K307" s="222"/>
      <c r="L307" s="222"/>
      <c r="M307" s="222"/>
      <c r="N307" s="27"/>
      <c r="O307" s="82"/>
      <c r="P307" s="38"/>
      <c r="Q307" s="37"/>
      <c r="R307" s="43"/>
      <c r="S307" s="43"/>
      <c r="T307" s="43"/>
      <c r="U307" s="43"/>
      <c r="V307" s="43"/>
      <c r="W307" s="43"/>
      <c r="X307" s="43"/>
      <c r="Y307" s="43"/>
      <c r="Z307" s="43"/>
      <c r="AA307" s="43"/>
      <c r="AB307" s="43"/>
      <c r="AC307" s="43"/>
      <c r="AD307" s="43"/>
      <c r="AF307" s="43"/>
      <c r="AG307" s="43"/>
      <c r="AH307" s="43"/>
      <c r="AI307" s="43"/>
      <c r="AJ307" s="43"/>
      <c r="AK307" s="43"/>
      <c r="AL307" s="43"/>
      <c r="AM307" s="43"/>
      <c r="AN307" s="43"/>
      <c r="AO307" s="43"/>
      <c r="AP307" s="43"/>
      <c r="AQ307" s="43"/>
      <c r="AR307" s="3"/>
      <c r="AS307" s="3"/>
      <c r="AT307" s="3"/>
      <c r="AU307" s="3"/>
      <c r="AV307" s="3"/>
      <c r="AW307" s="3"/>
      <c r="AX307" s="3"/>
      <c r="AY307" s="3"/>
      <c r="AZ307" s="3"/>
      <c r="BA307" s="3"/>
      <c r="BB307" s="3"/>
      <c r="BC307" s="3"/>
      <c r="BD307" s="3"/>
      <c r="BE307" s="3"/>
      <c r="BF307" s="3"/>
      <c r="BG307" s="3"/>
      <c r="BH307" s="3"/>
      <c r="BI307" s="3"/>
      <c r="BJ307" s="3"/>
    </row>
    <row r="308" spans="1:62" ht="6" customHeight="1">
      <c r="A308" s="222"/>
      <c r="B308" s="222"/>
      <c r="C308" s="222"/>
      <c r="D308" s="222"/>
      <c r="E308" s="222"/>
      <c r="F308" s="222"/>
      <c r="G308" s="222"/>
      <c r="H308" s="222"/>
      <c r="I308" s="222"/>
      <c r="J308" s="222"/>
      <c r="K308" s="222"/>
      <c r="L308" s="222"/>
      <c r="M308" s="222"/>
      <c r="N308" s="27"/>
      <c r="O308" s="82"/>
      <c r="P308" s="38"/>
      <c r="Q308" s="37"/>
      <c r="R308" s="43"/>
      <c r="S308" s="25"/>
      <c r="V308" s="2"/>
      <c r="AN308" s="3"/>
      <c r="AO308" s="3"/>
      <c r="AP308" s="3"/>
      <c r="AQ308" s="3"/>
      <c r="AR308" s="3"/>
      <c r="AS308" s="3"/>
      <c r="AT308" s="3"/>
      <c r="AU308" s="3"/>
      <c r="AV308" s="3"/>
      <c r="AW308" s="3"/>
      <c r="AX308" s="3"/>
      <c r="AY308" s="3"/>
      <c r="AZ308" s="3"/>
      <c r="BA308" s="3"/>
      <c r="BB308" s="3"/>
      <c r="BC308" s="3"/>
      <c r="BD308" s="3"/>
      <c r="BE308" s="3"/>
      <c r="BF308" s="3"/>
      <c r="BG308" s="3"/>
      <c r="BH308" s="3"/>
      <c r="BI308" s="3"/>
      <c r="BJ308" s="3"/>
    </row>
    <row r="309" spans="1:62" ht="13.9" customHeight="1">
      <c r="B309" s="2"/>
      <c r="G309" s="2"/>
      <c r="H309" s="2"/>
      <c r="Q309" s="3"/>
      <c r="T309" s="3"/>
      <c r="U309" s="3"/>
      <c r="V309" s="2"/>
      <c r="W309" s="3"/>
      <c r="Z309" s="3"/>
      <c r="AB309" s="3"/>
      <c r="AK309" s="3"/>
      <c r="AL309" s="3"/>
      <c r="AM309" s="3"/>
      <c r="AN309" s="3"/>
    </row>
    <row r="310" spans="1:62" ht="40.9" customHeight="1">
      <c r="B310" s="2"/>
      <c r="F310" s="3"/>
      <c r="H310" s="2"/>
      <c r="I310" s="3"/>
      <c r="J310" s="208" t="s">
        <v>1</v>
      </c>
      <c r="K310" s="208"/>
      <c r="L310" s="208"/>
      <c r="M310" s="208"/>
      <c r="N310" s="208"/>
      <c r="O310" s="208"/>
      <c r="P310" s="208"/>
      <c r="Q310" s="208"/>
      <c r="R310" s="208"/>
      <c r="S310" s="208"/>
      <c r="T310" s="208"/>
      <c r="U310" s="208"/>
      <c r="V310" s="208"/>
      <c r="W310" s="208"/>
      <c r="X310" s="208"/>
      <c r="Y310" s="208"/>
      <c r="Z310" s="208"/>
      <c r="AA310" s="208"/>
      <c r="AB310" s="208"/>
      <c r="AC310" s="208"/>
      <c r="AD310" s="208"/>
      <c r="AK310" s="204"/>
      <c r="AL310" s="204"/>
      <c r="AM310" s="204"/>
      <c r="AN310" s="204"/>
      <c r="AO310" s="204"/>
      <c r="AP310" s="204"/>
      <c r="AQ310" s="204"/>
      <c r="AR310" s="204"/>
      <c r="AS310" s="204"/>
      <c r="AT310" s="204"/>
      <c r="AU310" s="204"/>
    </row>
    <row r="311" spans="1:62" ht="12.6" customHeight="1">
      <c r="B311" s="2"/>
      <c r="G311" s="2"/>
      <c r="H311" s="2"/>
      <c r="J311" s="208"/>
      <c r="K311" s="208"/>
      <c r="L311" s="208"/>
      <c r="M311" s="208"/>
      <c r="N311" s="208"/>
      <c r="O311" s="208"/>
      <c r="P311" s="208"/>
      <c r="Q311" s="208"/>
      <c r="R311" s="208"/>
      <c r="S311" s="208"/>
      <c r="T311" s="208"/>
      <c r="U311" s="208"/>
      <c r="V311" s="208"/>
      <c r="W311" s="208"/>
      <c r="X311" s="208"/>
      <c r="Y311" s="208"/>
      <c r="Z311" s="208"/>
      <c r="AA311" s="208"/>
      <c r="AB311" s="208"/>
      <c r="AC311" s="208"/>
      <c r="AD311" s="208"/>
      <c r="AK311" s="3"/>
      <c r="AL311" s="3"/>
      <c r="AM311" s="3"/>
      <c r="AN311" s="3"/>
    </row>
    <row r="312" spans="1:62" ht="21" customHeight="1" thickBot="1">
      <c r="A312" s="4"/>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K312" s="3"/>
      <c r="AL312" s="3"/>
      <c r="AM312" s="3"/>
      <c r="AN312" s="3"/>
    </row>
    <row r="313" spans="1:62" ht="16.5" thickTop="1">
      <c r="A313" s="207" t="str">
        <f>IF(LEN(nPaz)&gt;0,nPaz,"")</f>
        <v/>
      </c>
      <c r="B313" s="207"/>
      <c r="C313" s="207"/>
      <c r="D313" s="207"/>
      <c r="E313" s="207"/>
      <c r="F313" s="207"/>
      <c r="G313" s="207"/>
      <c r="H313" s="207"/>
      <c r="I313" s="207"/>
      <c r="J313" s="207"/>
      <c r="K313" s="207"/>
      <c r="L313" s="207"/>
      <c r="M313" s="207"/>
      <c r="N313" s="207"/>
      <c r="O313" s="207"/>
      <c r="P313" s="139"/>
      <c r="Q313" s="140" t="s">
        <v>12</v>
      </c>
      <c r="R313" s="141" t="str">
        <f>IF(codfisc&lt;&gt;"",codfisc,"")</f>
        <v/>
      </c>
      <c r="S313" s="142"/>
      <c r="T313" s="138"/>
      <c r="U313" s="138"/>
      <c r="V313" s="138"/>
      <c r="W313" s="138"/>
      <c r="X313" s="143" t="s">
        <v>375</v>
      </c>
      <c r="Y313" s="220" t="str">
        <f>IF(nacc&lt;&gt;"",nacc,"")</f>
        <v/>
      </c>
      <c r="Z313" s="220"/>
      <c r="AA313" s="144" t="s">
        <v>376</v>
      </c>
      <c r="AB313" s="221" t="str">
        <f>IF(dref&lt;&gt;"",dref,"")</f>
        <v/>
      </c>
      <c r="AC313" s="221"/>
      <c r="AD313" s="221"/>
      <c r="AE313" s="145"/>
      <c r="AF313"/>
      <c r="AG313"/>
      <c r="AH313"/>
      <c r="AI313"/>
      <c r="AJ313"/>
      <c r="AK313"/>
      <c r="AL313"/>
      <c r="AM313"/>
      <c r="AN313"/>
      <c r="AO313"/>
      <c r="AP313" s="18"/>
      <c r="AQ313" s="3"/>
      <c r="AR313" s="3"/>
      <c r="AS313" s="3"/>
      <c r="AT313" s="3"/>
      <c r="AV313" s="3"/>
    </row>
    <row r="314" spans="1:62" ht="13.9" customHeight="1">
      <c r="A314" s="209" t="s">
        <v>98</v>
      </c>
      <c r="B314" s="209"/>
      <c r="C314" s="209"/>
      <c r="D314" s="209"/>
      <c r="E314" s="209"/>
      <c r="F314" s="209"/>
      <c r="G314" s="209"/>
      <c r="H314" s="209"/>
      <c r="I314" s="209"/>
      <c r="J314" s="209"/>
      <c r="K314" s="209"/>
      <c r="L314" s="209"/>
      <c r="M314" s="64"/>
      <c r="N314" s="64"/>
      <c r="O314" s="210" t="s">
        <v>99</v>
      </c>
      <c r="P314" s="210"/>
      <c r="Q314" s="210"/>
      <c r="R314" s="62"/>
      <c r="S314" s="211" t="s">
        <v>100</v>
      </c>
      <c r="T314" s="211"/>
      <c r="U314" s="63"/>
      <c r="V314" s="215" t="s">
        <v>173</v>
      </c>
      <c r="W314" s="215"/>
      <c r="X314" s="215"/>
      <c r="Y314" s="215"/>
      <c r="Z314" s="215"/>
      <c r="AA314" s="215"/>
      <c r="AB314" s="215"/>
      <c r="AC314" s="215"/>
      <c r="AD314" s="74"/>
      <c r="AE314" s="6"/>
      <c r="AF314" s="6"/>
      <c r="AG314" s="6"/>
      <c r="AH314" s="6"/>
      <c r="AI314" s="6"/>
      <c r="AJ314" s="6"/>
      <c r="AK314" s="6"/>
      <c r="AL314" s="6"/>
      <c r="AM314" s="6"/>
      <c r="AN314" s="3"/>
      <c r="AP314" s="3"/>
      <c r="AQ314" s="3"/>
      <c r="AR314" s="3"/>
      <c r="AS314" s="3"/>
    </row>
    <row r="315" spans="1:62" ht="13.9" customHeight="1">
      <c r="A315" s="210"/>
      <c r="B315" s="210"/>
      <c r="C315" s="210"/>
      <c r="D315" s="210"/>
      <c r="E315" s="210"/>
      <c r="F315" s="210"/>
      <c r="G315" s="210"/>
      <c r="H315" s="210"/>
      <c r="I315" s="210"/>
      <c r="J315" s="210"/>
      <c r="K315" s="210"/>
      <c r="L315" s="210"/>
      <c r="M315" s="64"/>
      <c r="N315" s="64"/>
      <c r="O315" s="212" t="s">
        <v>102</v>
      </c>
      <c r="P315" s="212"/>
      <c r="Q315" s="212"/>
      <c r="R315" s="63"/>
      <c r="S315" s="213" t="s">
        <v>103</v>
      </c>
      <c r="T315" s="213"/>
      <c r="U315" s="63"/>
      <c r="V315" s="215" t="s">
        <v>442</v>
      </c>
      <c r="W315" s="215"/>
      <c r="X315" s="215"/>
      <c r="Y315" s="215"/>
      <c r="Z315" s="215"/>
      <c r="AA315" s="215"/>
      <c r="AB315" s="215"/>
      <c r="AC315" s="215"/>
      <c r="AD315" s="72"/>
      <c r="AF315"/>
      <c r="AG315"/>
      <c r="AH315"/>
      <c r="AI315"/>
      <c r="AJ315"/>
      <c r="AK315"/>
      <c r="AL315"/>
      <c r="AM315"/>
      <c r="AN315"/>
      <c r="AO315"/>
    </row>
    <row r="316" spans="1:62" ht="13.9" customHeight="1" thickBot="1">
      <c r="A316" s="54"/>
      <c r="B316" s="54"/>
      <c r="C316" s="54"/>
      <c r="D316" s="54"/>
      <c r="E316" s="54"/>
      <c r="F316" s="54"/>
      <c r="G316" s="54"/>
      <c r="H316" s="54"/>
      <c r="I316" s="54"/>
      <c r="J316" s="54"/>
      <c r="K316" s="54"/>
      <c r="L316" s="54"/>
      <c r="M316" s="54"/>
      <c r="N316" s="54"/>
      <c r="O316" s="8"/>
      <c r="P316" s="55" t="s">
        <v>160</v>
      </c>
      <c r="Q316" s="8"/>
      <c r="R316" s="8"/>
      <c r="S316" s="8"/>
      <c r="T316" s="8"/>
      <c r="U316" s="8"/>
      <c r="V316" s="8"/>
      <c r="W316" s="8"/>
      <c r="X316" s="8"/>
      <c r="Y316" s="8"/>
      <c r="Z316" s="8"/>
      <c r="AA316" s="8"/>
      <c r="AB316" s="8"/>
      <c r="AC316" s="8"/>
      <c r="AD316" s="7"/>
      <c r="AE316" s="7"/>
      <c r="AF316"/>
      <c r="AG316"/>
      <c r="AH316"/>
      <c r="AI316"/>
      <c r="AJ316"/>
      <c r="AK316"/>
      <c r="AL316"/>
      <c r="AM316"/>
      <c r="AN316"/>
      <c r="AO316"/>
      <c r="AP316"/>
      <c r="AQ316"/>
      <c r="AR316" s="3"/>
      <c r="AS316" s="3"/>
    </row>
    <row r="317" spans="1:62" ht="9" customHeight="1" thickTop="1">
      <c r="A317" s="11"/>
      <c r="B317" s="9"/>
      <c r="D317" s="3"/>
      <c r="G317" s="2"/>
      <c r="H317" s="2"/>
      <c r="O317" s="46"/>
      <c r="P317" s="46"/>
      <c r="Q317" s="46"/>
      <c r="S317" s="46"/>
      <c r="T317" s="3"/>
      <c r="U317" s="3"/>
      <c r="V317" s="2"/>
      <c r="W317" s="3"/>
      <c r="Z317" s="12"/>
      <c r="AB317" s="3"/>
      <c r="AN317" s="3"/>
      <c r="AV317"/>
      <c r="AW317"/>
      <c r="AX317"/>
      <c r="AY317"/>
      <c r="AZ317"/>
      <c r="BA317"/>
      <c r="BB317"/>
      <c r="BC317"/>
      <c r="BD317"/>
      <c r="BE317"/>
      <c r="BF317"/>
      <c r="BG317"/>
      <c r="BH317"/>
      <c r="BI317"/>
    </row>
    <row r="318" spans="1:62" ht="15.6" customHeight="1">
      <c r="A318" s="206" t="s">
        <v>104</v>
      </c>
      <c r="B318" s="206"/>
      <c r="C318" s="206"/>
      <c r="D318" s="206"/>
      <c r="E318" s="206"/>
      <c r="F318" s="206"/>
      <c r="G318" s="206"/>
      <c r="H318" s="206"/>
      <c r="I318" s="206"/>
      <c r="J318" s="206"/>
      <c r="K318" s="206"/>
      <c r="L318" s="206"/>
      <c r="M318" s="206"/>
      <c r="N318" s="206"/>
      <c r="O318" s="15"/>
      <c r="P318" s="15"/>
      <c r="Q318" s="15"/>
      <c r="R318" s="13"/>
      <c r="S318" s="15"/>
      <c r="T318" s="14"/>
      <c r="U318" s="14"/>
      <c r="V318" s="13"/>
      <c r="W318" s="14"/>
      <c r="X318" s="13"/>
      <c r="Y318" s="13"/>
      <c r="Z318" s="16"/>
      <c r="AA318" s="13"/>
      <c r="AB318" s="14"/>
      <c r="AC318" s="13"/>
      <c r="AD318" s="13"/>
      <c r="AG318" s="238"/>
      <c r="AH318" s="238"/>
      <c r="AN318" s="3"/>
      <c r="AV318"/>
      <c r="AW318"/>
      <c r="AX318"/>
      <c r="AY318"/>
      <c r="AZ318"/>
      <c r="BA318"/>
      <c r="BB318"/>
      <c r="BC318"/>
      <c r="BD318"/>
      <c r="BE318"/>
      <c r="BF318"/>
      <c r="BG318"/>
      <c r="BH318"/>
      <c r="BI318"/>
    </row>
    <row r="319" spans="1:62" ht="9" customHeight="1">
      <c r="V319" s="2"/>
      <c r="AN319" s="3"/>
      <c r="AO319" s="3"/>
      <c r="AP319" s="3"/>
      <c r="AQ319" s="3"/>
      <c r="AR319" s="3"/>
      <c r="AS319" s="3"/>
      <c r="AT319" s="3"/>
      <c r="AU319" s="3"/>
      <c r="AV319"/>
      <c r="AW319"/>
      <c r="AX319"/>
      <c r="AY319"/>
      <c r="AZ319"/>
      <c r="BA319"/>
      <c r="BB319"/>
      <c r="BC319"/>
      <c r="BD319"/>
      <c r="BE319"/>
      <c r="BF319"/>
      <c r="BG319"/>
      <c r="BH319"/>
      <c r="BI319"/>
      <c r="BJ319" s="3"/>
    </row>
    <row r="320" spans="1:62" ht="10.9" customHeight="1">
      <c r="A320" s="3"/>
      <c r="C320" s="3"/>
      <c r="P320" s="3"/>
      <c r="Q320" s="3"/>
      <c r="R320" s="3"/>
      <c r="S320" s="3"/>
      <c r="T320" s="3"/>
      <c r="U320" s="214"/>
      <c r="V320" s="214"/>
      <c r="W320" s="3"/>
      <c r="X320" s="3"/>
      <c r="Y320" s="3"/>
      <c r="Z320" s="3"/>
      <c r="AA320" s="3"/>
      <c r="AB320" s="3"/>
      <c r="AC320" s="214"/>
      <c r="AD320" s="214"/>
      <c r="AF320"/>
      <c r="AG320"/>
      <c r="AH320"/>
      <c r="AI320"/>
      <c r="AJ320"/>
      <c r="AK320"/>
      <c r="AL320"/>
      <c r="AM320"/>
      <c r="AN320"/>
      <c r="AO320"/>
      <c r="AP320"/>
      <c r="AQ320"/>
      <c r="AR320" s="3"/>
      <c r="AS320" s="3"/>
      <c r="AT320" s="3"/>
      <c r="AU320" s="3"/>
      <c r="AV320" s="3"/>
      <c r="AW320" s="3"/>
      <c r="AX320" s="3"/>
      <c r="AY320" s="3"/>
      <c r="AZ320" s="3"/>
      <c r="BA320" s="3"/>
      <c r="BB320" s="3"/>
      <c r="BC320" s="3"/>
      <c r="BD320" s="3"/>
      <c r="BE320" s="3"/>
      <c r="BF320" s="3"/>
      <c r="BG320" s="3"/>
      <c r="BH320" s="3"/>
      <c r="BI320" s="3"/>
      <c r="BJ320" s="3"/>
    </row>
    <row r="321" spans="1:62" ht="6" customHeight="1">
      <c r="A321" s="226">
        <v>50</v>
      </c>
      <c r="B321" s="56"/>
      <c r="C321" s="224" t="str">
        <f>INDEX(Riferimenti!$B$2:$B$65,A321)</f>
        <v>Glicolico</v>
      </c>
      <c r="D321" s="224"/>
      <c r="E321" s="224"/>
      <c r="F321" s="224"/>
      <c r="G321" s="224"/>
      <c r="H321" s="224"/>
      <c r="I321" s="224"/>
      <c r="J321" s="224"/>
      <c r="K321" s="224"/>
      <c r="L321" s="224"/>
      <c r="M321" s="224"/>
      <c r="N321" s="224"/>
      <c r="O321" s="216">
        <f>IF(INDEX(Riferimenti!$C$2:$C$66,A321)&gt;0,INDEX(Riferimenti!$C$2:$C$66,A321),"")</f>
        <v>7.3</v>
      </c>
      <c r="P321" s="216" t="str">
        <f>INDEX(Riferimenti!$D$2:$D$66,A321)</f>
        <v>-</v>
      </c>
      <c r="Q321" s="227">
        <f>INDEX(Riferimenti!$E$2:$E$66,A321)</f>
        <v>64.3</v>
      </c>
      <c r="R321" s="218"/>
      <c r="S321" s="240"/>
      <c r="T321" s="240"/>
      <c r="V321" s="2"/>
      <c r="AF321"/>
      <c r="AG321" s="216">
        <f>INDEX(Riferimenti!$Q$2:$Q$60,A321)</f>
        <v>21.5</v>
      </c>
      <c r="AH321" s="216">
        <f>INDEX(Riferimenti!$R$2:$R$60,A321)</f>
        <v>50</v>
      </c>
      <c r="AI321"/>
      <c r="AJ321"/>
      <c r="AK321"/>
      <c r="AL321"/>
      <c r="AM321"/>
      <c r="AN321"/>
      <c r="AO321"/>
      <c r="AP321"/>
      <c r="AQ321"/>
      <c r="AT321" s="3"/>
      <c r="AU321" s="3"/>
      <c r="AV321" s="3"/>
      <c r="AW321" s="3"/>
      <c r="AX321" s="3"/>
      <c r="AY321" s="3"/>
      <c r="AZ321" s="3"/>
      <c r="BA321" s="3"/>
      <c r="BB321" s="3"/>
      <c r="BC321" s="3"/>
      <c r="BD321" s="3"/>
      <c r="BE321" s="3"/>
      <c r="BF321" s="3"/>
      <c r="BG321" s="3"/>
      <c r="BH321" s="3"/>
      <c r="BI321" s="3"/>
      <c r="BJ321" s="3"/>
    </row>
    <row r="322" spans="1:62" ht="6" customHeight="1">
      <c r="A322" s="226"/>
      <c r="B322" s="56"/>
      <c r="C322" s="224"/>
      <c r="D322" s="224"/>
      <c r="E322" s="224"/>
      <c r="F322" s="224"/>
      <c r="G322" s="224"/>
      <c r="H322" s="224"/>
      <c r="I322" s="224"/>
      <c r="J322" s="224"/>
      <c r="K322" s="224"/>
      <c r="L322" s="224"/>
      <c r="M322" s="224"/>
      <c r="N322" s="224"/>
      <c r="O322" s="216"/>
      <c r="P322" s="216"/>
      <c r="Q322" s="227"/>
      <c r="R322" s="218"/>
      <c r="S322" s="240"/>
      <c r="T322" s="240"/>
      <c r="U322"/>
      <c r="V322"/>
      <c r="W322"/>
      <c r="X322"/>
      <c r="Y322"/>
      <c r="Z322"/>
      <c r="AA322"/>
      <c r="AB322"/>
      <c r="AC322"/>
      <c r="AD322"/>
      <c r="AF322"/>
      <c r="AG322" s="216"/>
      <c r="AH322" s="216"/>
      <c r="AI322"/>
      <c r="AJ322"/>
      <c r="AK322"/>
      <c r="AL322"/>
      <c r="AM322"/>
      <c r="AN322"/>
      <c r="AO322"/>
      <c r="AP322"/>
      <c r="AQ322"/>
      <c r="AR322" s="3"/>
      <c r="AS322" s="3"/>
      <c r="AT322" s="3"/>
      <c r="AU322" s="3"/>
      <c r="AV322" s="3"/>
      <c r="AW322" s="3"/>
      <c r="AX322" s="3"/>
      <c r="AY322" s="3"/>
      <c r="AZ322" s="3"/>
      <c r="BA322" s="3"/>
      <c r="BB322" s="3"/>
      <c r="BC322" s="3"/>
      <c r="BD322" s="3"/>
      <c r="BE322" s="3"/>
      <c r="BF322" s="3"/>
      <c r="BG322" s="3"/>
      <c r="BH322" s="3"/>
      <c r="BI322" s="3"/>
      <c r="BJ322" s="3"/>
    </row>
    <row r="323" spans="1:62" ht="6" customHeight="1">
      <c r="A323" s="205"/>
      <c r="B323" s="205"/>
      <c r="C323" s="205"/>
      <c r="D323" s="205"/>
      <c r="E323" s="205"/>
      <c r="F323" s="205"/>
      <c r="G323" s="205"/>
      <c r="H323" s="205"/>
      <c r="I323" s="205"/>
      <c r="J323" s="205"/>
      <c r="K323" s="205"/>
      <c r="L323" s="205"/>
      <c r="M323" s="205"/>
      <c r="N323" s="57"/>
      <c r="O323" s="78"/>
      <c r="P323" s="39"/>
      <c r="Q323" s="77"/>
      <c r="R323" s="80"/>
      <c r="S323" s="181"/>
      <c r="T323" s="182"/>
      <c r="U323" s="26"/>
      <c r="V323" s="43"/>
      <c r="W323" s="43"/>
      <c r="X323" s="43"/>
      <c r="Y323" s="43"/>
      <c r="Z323" s="43"/>
      <c r="AA323" s="43"/>
      <c r="AB323" s="43"/>
      <c r="AC323" s="43"/>
      <c r="AD323" s="43"/>
      <c r="AF323"/>
      <c r="AG323" s="43"/>
      <c r="AH323" s="43"/>
      <c r="AI323"/>
      <c r="AJ323"/>
      <c r="AK323"/>
      <c r="AL323"/>
      <c r="AM323"/>
      <c r="AN323"/>
      <c r="AO323"/>
      <c r="AP323"/>
      <c r="AQ323"/>
      <c r="AR323" s="3"/>
      <c r="AS323" s="3"/>
      <c r="AT323" s="3"/>
      <c r="AU323" s="3"/>
      <c r="AV323" s="3"/>
      <c r="AW323" s="3"/>
      <c r="AX323" s="3"/>
      <c r="AY323" s="3"/>
      <c r="AZ323" s="3"/>
      <c r="BA323" s="3"/>
      <c r="BB323" s="3"/>
      <c r="BC323" s="3"/>
      <c r="BD323" s="3"/>
      <c r="BE323" s="3"/>
      <c r="BF323" s="3"/>
      <c r="BG323" s="3"/>
      <c r="BH323" s="3"/>
      <c r="BI323" s="3"/>
      <c r="BJ323" s="3"/>
    </row>
    <row r="324" spans="1:62" ht="6" customHeight="1">
      <c r="A324" s="205"/>
      <c r="B324" s="205"/>
      <c r="C324" s="205"/>
      <c r="D324" s="205"/>
      <c r="E324" s="205"/>
      <c r="F324" s="205"/>
      <c r="G324" s="205"/>
      <c r="H324" s="205"/>
      <c r="I324" s="205"/>
      <c r="J324" s="205"/>
      <c r="K324" s="205"/>
      <c r="L324" s="205"/>
      <c r="M324" s="205"/>
      <c r="N324" s="57"/>
      <c r="O324" s="78"/>
      <c r="P324" s="39"/>
      <c r="Q324" s="77"/>
      <c r="R324" s="80"/>
      <c r="S324" s="181"/>
      <c r="T324" s="183"/>
      <c r="V324" s="2"/>
      <c r="AF324"/>
      <c r="AI324"/>
      <c r="AJ324"/>
      <c r="AK324"/>
      <c r="AL324"/>
      <c r="AM324"/>
      <c r="AN324"/>
      <c r="AO324"/>
      <c r="AP324"/>
      <c r="AQ324"/>
      <c r="AR324" s="3"/>
      <c r="AS324" s="3"/>
      <c r="AT324" s="3"/>
      <c r="AU324" s="3"/>
      <c r="AV324" s="3"/>
      <c r="AW324" s="3"/>
      <c r="AX324" s="3"/>
      <c r="AY324" s="3"/>
      <c r="AZ324" s="3"/>
      <c r="BA324" s="3"/>
      <c r="BB324" s="3"/>
      <c r="BC324" s="3"/>
      <c r="BD324" s="3"/>
      <c r="BE324" s="3"/>
      <c r="BF324" s="3"/>
      <c r="BG324" s="3"/>
      <c r="BH324" s="3"/>
      <c r="BI324" s="3"/>
      <c r="BJ324" s="3"/>
    </row>
    <row r="325" spans="1:62" ht="10.9" customHeight="1">
      <c r="A325" s="58"/>
      <c r="B325" s="58"/>
      <c r="C325" s="58"/>
      <c r="D325" s="59"/>
      <c r="E325" s="59"/>
      <c r="F325" s="59"/>
      <c r="G325" s="58"/>
      <c r="H325" s="58"/>
      <c r="I325" s="59"/>
      <c r="J325" s="59"/>
      <c r="K325" s="59"/>
      <c r="L325" s="59"/>
      <c r="M325" s="59"/>
      <c r="N325" s="59"/>
      <c r="O325" s="40"/>
      <c r="P325" s="41"/>
      <c r="Q325" s="41"/>
      <c r="R325" s="41"/>
      <c r="S325" s="185"/>
      <c r="T325" s="184"/>
      <c r="U325" s="214"/>
      <c r="V325" s="214"/>
      <c r="W325" s="3"/>
      <c r="X325" s="3"/>
      <c r="Y325" s="3"/>
      <c r="Z325" s="3"/>
      <c r="AA325" s="3"/>
      <c r="AB325" s="3"/>
      <c r="AC325" s="214"/>
      <c r="AD325" s="214"/>
      <c r="AF325"/>
      <c r="AG325" s="3"/>
      <c r="AH325" s="3"/>
      <c r="AI325"/>
      <c r="AJ325"/>
      <c r="AK325"/>
      <c r="AL325"/>
      <c r="AM325"/>
      <c r="AN325"/>
      <c r="AO325"/>
      <c r="AP325"/>
      <c r="AQ325"/>
      <c r="AR325" s="3"/>
      <c r="AS325" s="3"/>
      <c r="AT325" s="3"/>
      <c r="AU325" s="3"/>
      <c r="AV325" s="3"/>
      <c r="AW325" s="3"/>
      <c r="AX325" s="3"/>
      <c r="AY325" s="3"/>
      <c r="AZ325" s="3"/>
      <c r="BA325" s="3"/>
      <c r="BB325" s="3"/>
      <c r="BC325" s="3"/>
      <c r="BD325" s="3"/>
      <c r="BE325" s="3"/>
      <c r="BF325" s="3"/>
      <c r="BG325" s="3"/>
      <c r="BH325" s="3"/>
      <c r="BI325" s="3"/>
      <c r="BJ325" s="3"/>
    </row>
    <row r="326" spans="1:62" ht="6" customHeight="1">
      <c r="A326" s="226">
        <v>51</v>
      </c>
      <c r="B326" s="56"/>
      <c r="C326" s="224" t="str">
        <f>INDEX(Riferimenti!$B$2:$B$65,A326)</f>
        <v>Glicerico</v>
      </c>
      <c r="D326" s="224"/>
      <c r="E326" s="224"/>
      <c r="F326" s="224"/>
      <c r="G326" s="224"/>
      <c r="H326" s="224"/>
      <c r="I326" s="224"/>
      <c r="J326" s="224"/>
      <c r="K326" s="224"/>
      <c r="L326" s="224"/>
      <c r="M326" s="224"/>
      <c r="N326" s="224"/>
      <c r="O326" s="216">
        <f>IF(INDEX(Riferimenti!$C$2:$C$66,A326)&gt;0,INDEX(Riferimenti!$C$2:$C$66,A326),"")</f>
        <v>0.1</v>
      </c>
      <c r="P326" s="216" t="s">
        <v>10</v>
      </c>
      <c r="Q326" s="227">
        <f>INDEX(Riferimenti!$E$2:$E$66,A326)</f>
        <v>3.9</v>
      </c>
      <c r="R326" s="218"/>
      <c r="S326" s="240"/>
      <c r="T326" s="240"/>
      <c r="V326" s="2"/>
      <c r="AF326"/>
      <c r="AG326" s="216">
        <f>INDEX(Riferimenti!$Q$2:$Q$60,A326)</f>
        <v>1.1000000000000001</v>
      </c>
      <c r="AH326" s="216">
        <f>INDEX(Riferimenti!$R$2:$R$60,A326)</f>
        <v>2.9</v>
      </c>
      <c r="AI326"/>
      <c r="AJ326"/>
      <c r="AK326"/>
      <c r="AL326"/>
      <c r="AM326"/>
      <c r="AN326"/>
      <c r="AO326"/>
      <c r="AP326"/>
      <c r="AQ326"/>
      <c r="AT326" s="3"/>
      <c r="AU326" s="3"/>
      <c r="AV326" s="3"/>
      <c r="AW326" s="3"/>
      <c r="AX326" s="3"/>
      <c r="AY326" s="3"/>
      <c r="AZ326" s="3"/>
      <c r="BA326" s="3"/>
      <c r="BB326" s="3"/>
      <c r="BC326" s="3"/>
      <c r="BD326" s="3"/>
      <c r="BE326" s="3"/>
      <c r="BF326" s="3"/>
      <c r="BG326" s="3"/>
      <c r="BH326" s="3"/>
      <c r="BI326" s="3"/>
      <c r="BJ326" s="3"/>
    </row>
    <row r="327" spans="1:62" ht="6" customHeight="1">
      <c r="A327" s="226"/>
      <c r="B327" s="56"/>
      <c r="C327" s="224"/>
      <c r="D327" s="224"/>
      <c r="E327" s="224"/>
      <c r="F327" s="224"/>
      <c r="G327" s="224"/>
      <c r="H327" s="224"/>
      <c r="I327" s="224"/>
      <c r="J327" s="224"/>
      <c r="K327" s="224"/>
      <c r="L327" s="224"/>
      <c r="M327" s="224"/>
      <c r="N327" s="224"/>
      <c r="O327" s="216"/>
      <c r="P327" s="216"/>
      <c r="Q327" s="227"/>
      <c r="R327" s="218"/>
      <c r="S327" s="240"/>
      <c r="T327" s="240"/>
      <c r="U327"/>
      <c r="V327"/>
      <c r="W327"/>
      <c r="X327"/>
      <c r="Y327"/>
      <c r="Z327"/>
      <c r="AA327"/>
      <c r="AB327"/>
      <c r="AC327"/>
      <c r="AD327"/>
      <c r="AF327"/>
      <c r="AG327" s="216"/>
      <c r="AH327" s="216"/>
      <c r="AI327"/>
      <c r="AJ327"/>
      <c r="AK327"/>
      <c r="AL327"/>
      <c r="AM327"/>
      <c r="AN327"/>
      <c r="AO327"/>
      <c r="AP327"/>
      <c r="AQ327"/>
      <c r="AR327" s="3"/>
      <c r="AS327" s="3"/>
      <c r="AT327" s="3"/>
      <c r="AU327" s="3"/>
      <c r="AV327" s="3"/>
      <c r="AW327" s="3"/>
      <c r="AX327" s="3"/>
      <c r="AY327" s="3"/>
      <c r="AZ327" s="3"/>
      <c r="BA327" s="3"/>
      <c r="BB327" s="3"/>
      <c r="BC327" s="3"/>
      <c r="BD327" s="3"/>
      <c r="BE327" s="3"/>
      <c r="BF327" s="3"/>
      <c r="BG327" s="3"/>
      <c r="BH327" s="3"/>
      <c r="BI327" s="3"/>
      <c r="BJ327" s="3"/>
    </row>
    <row r="328" spans="1:62" ht="6" customHeight="1">
      <c r="A328" s="222"/>
      <c r="B328" s="222"/>
      <c r="C328" s="222"/>
      <c r="D328" s="222"/>
      <c r="E328" s="222"/>
      <c r="F328" s="222"/>
      <c r="G328" s="222"/>
      <c r="H328" s="222"/>
      <c r="I328" s="222"/>
      <c r="J328" s="222"/>
      <c r="K328" s="222"/>
      <c r="L328" s="222"/>
      <c r="M328" s="222"/>
      <c r="N328" s="27"/>
      <c r="O328" s="82"/>
      <c r="P328" s="38"/>
      <c r="Q328" s="77"/>
      <c r="R328" s="80"/>
      <c r="S328" s="189"/>
      <c r="T328" s="182"/>
      <c r="U328" s="26"/>
      <c r="V328" s="43"/>
      <c r="W328" s="43"/>
      <c r="X328" s="43"/>
      <c r="Y328" s="43"/>
      <c r="Z328" s="43"/>
      <c r="AA328" s="43"/>
      <c r="AB328" s="43"/>
      <c r="AC328" s="43"/>
      <c r="AD328" s="43"/>
      <c r="AF328"/>
      <c r="AG328" s="43"/>
      <c r="AH328" s="43"/>
      <c r="AI328"/>
      <c r="AJ328"/>
      <c r="AK328"/>
      <c r="AL328"/>
      <c r="AM328"/>
      <c r="AN328"/>
      <c r="AO328"/>
      <c r="AP328"/>
      <c r="AQ328"/>
      <c r="AR328" s="3"/>
      <c r="AS328" s="3"/>
      <c r="AT328" s="3"/>
      <c r="AU328" s="3"/>
      <c r="AV328" s="3"/>
      <c r="AW328" s="3"/>
      <c r="AX328" s="3"/>
      <c r="AY328" s="3"/>
      <c r="AZ328" s="3"/>
      <c r="BA328" s="3"/>
      <c r="BB328" s="3"/>
      <c r="BC328" s="3"/>
      <c r="BD328" s="3"/>
      <c r="BE328" s="3"/>
      <c r="BF328" s="3"/>
      <c r="BG328" s="3"/>
      <c r="BH328" s="3"/>
      <c r="BI328" s="3"/>
      <c r="BJ328" s="3"/>
    </row>
    <row r="329" spans="1:62" ht="6" customHeight="1">
      <c r="A329" s="222"/>
      <c r="B329" s="222"/>
      <c r="C329" s="222"/>
      <c r="D329" s="222"/>
      <c r="E329" s="222"/>
      <c r="F329" s="222"/>
      <c r="G329" s="222"/>
      <c r="H329" s="222"/>
      <c r="I329" s="222"/>
      <c r="J329" s="222"/>
      <c r="K329" s="222"/>
      <c r="L329" s="222"/>
      <c r="M329" s="222"/>
      <c r="N329" s="27"/>
      <c r="O329" s="82"/>
      <c r="P329" s="38"/>
      <c r="Q329" s="37"/>
      <c r="R329" s="43"/>
      <c r="S329" s="186"/>
      <c r="T329" s="183"/>
      <c r="V329" s="2"/>
      <c r="AF329"/>
      <c r="AI329"/>
      <c r="AJ329"/>
      <c r="AK329"/>
      <c r="AL329"/>
      <c r="AM329"/>
      <c r="AN329"/>
      <c r="AO329"/>
      <c r="AP329"/>
      <c r="AQ329"/>
      <c r="AR329" s="3"/>
      <c r="AS329" s="3"/>
      <c r="AT329" s="3"/>
      <c r="AU329" s="3"/>
      <c r="AV329" s="3"/>
      <c r="AW329" s="3"/>
      <c r="AX329" s="3"/>
      <c r="AY329" s="3"/>
      <c r="AZ329" s="3"/>
      <c r="BA329" s="3"/>
      <c r="BB329" s="3"/>
      <c r="BC329" s="3"/>
      <c r="BD329" s="3"/>
      <c r="BE329" s="3"/>
      <c r="BF329" s="3"/>
      <c r="BG329" s="3"/>
      <c r="BH329" s="3"/>
      <c r="BI329" s="3"/>
      <c r="BJ329" s="3"/>
    </row>
    <row r="330" spans="1:62" ht="10.9" customHeight="1">
      <c r="A330" s="58"/>
      <c r="B330" s="58"/>
      <c r="C330" s="58"/>
      <c r="D330" s="59"/>
      <c r="E330" s="59"/>
      <c r="F330" s="59"/>
      <c r="G330" s="58"/>
      <c r="H330" s="58"/>
      <c r="I330" s="59"/>
      <c r="J330" s="59"/>
      <c r="K330" s="59"/>
      <c r="L330" s="59"/>
      <c r="M330" s="59"/>
      <c r="N330" s="59"/>
      <c r="O330" s="40"/>
      <c r="P330" s="41"/>
      <c r="Q330" s="41"/>
      <c r="R330" s="41"/>
      <c r="S330" s="185"/>
      <c r="T330" s="184"/>
      <c r="U330" s="214"/>
      <c r="V330" s="214"/>
      <c r="W330" s="3"/>
      <c r="X330" s="3"/>
      <c r="Y330" s="3"/>
      <c r="Z330" s="3"/>
      <c r="AA330" s="3"/>
      <c r="AB330" s="3"/>
      <c r="AC330" s="214"/>
      <c r="AD330" s="214"/>
      <c r="AF330"/>
      <c r="AG330" s="3"/>
      <c r="AH330" s="3"/>
      <c r="AI330"/>
      <c r="AJ330"/>
      <c r="AK330"/>
      <c r="AL330"/>
      <c r="AM330"/>
      <c r="AN330"/>
      <c r="AO330"/>
      <c r="AP330"/>
      <c r="AQ330"/>
      <c r="AR330" s="3"/>
      <c r="AS330" s="3"/>
      <c r="AT330" s="3"/>
      <c r="AU330" s="3"/>
      <c r="AV330" s="3"/>
      <c r="AW330" s="3"/>
      <c r="AX330" s="3"/>
      <c r="AY330" s="3"/>
      <c r="AZ330" s="3"/>
      <c r="BA330" s="3"/>
      <c r="BB330" s="3"/>
      <c r="BC330" s="3"/>
      <c r="BD330" s="3"/>
      <c r="BE330" s="3"/>
      <c r="BF330" s="3"/>
      <c r="BG330" s="3"/>
      <c r="BH330" s="3"/>
      <c r="BI330" s="3"/>
      <c r="BJ330" s="3"/>
    </row>
    <row r="331" spans="1:62" ht="6" customHeight="1">
      <c r="A331" s="226">
        <v>52</v>
      </c>
      <c r="B331" s="56"/>
      <c r="C331" s="224" t="str">
        <f>INDEX(Riferimenti!$B$2:$B$65,A331)</f>
        <v>Ossalico</v>
      </c>
      <c r="D331" s="224"/>
      <c r="E331" s="224"/>
      <c r="F331" s="224"/>
      <c r="G331" s="224"/>
      <c r="H331" s="224"/>
      <c r="I331" s="224"/>
      <c r="J331" s="224"/>
      <c r="K331" s="224"/>
      <c r="L331" s="224"/>
      <c r="M331" s="224"/>
      <c r="N331" s="224"/>
      <c r="O331" s="216">
        <f>INDEX(Riferimenti!$C$2:$C$65,A331)</f>
        <v>1.1000000000000001</v>
      </c>
      <c r="P331" s="216" t="str">
        <f>INDEX(Riferimenti!$D$2:$D$66,A331)</f>
        <v>-</v>
      </c>
      <c r="Q331" s="227">
        <f>INDEX(Riferimenti!$E$2:$E$66,A331)</f>
        <v>33.299999999999997</v>
      </c>
      <c r="R331" s="218"/>
      <c r="S331" s="240"/>
      <c r="T331" s="240"/>
      <c r="V331" s="2"/>
      <c r="AF331"/>
      <c r="AG331" s="216">
        <f>INDEX(Riferimenti!$Q$2:$Q$60,A331)</f>
        <v>12.11454</v>
      </c>
      <c r="AH331" s="216" t="e">
        <f>INDEX(Riferimenti!$R$2:$R$60,A331)</f>
        <v>#REF!</v>
      </c>
      <c r="AI331"/>
      <c r="AJ331"/>
      <c r="AK331"/>
      <c r="AL331"/>
      <c r="AM331"/>
      <c r="AN331"/>
      <c r="AO331"/>
      <c r="AP331"/>
      <c r="AQ331"/>
      <c r="AT331" s="3"/>
      <c r="AU331" s="3"/>
      <c r="AV331" s="3"/>
      <c r="AW331" s="3"/>
      <c r="AX331" s="3"/>
      <c r="AY331" s="3"/>
      <c r="AZ331" s="3"/>
      <c r="BA331" s="3"/>
      <c r="BB331" s="3"/>
      <c r="BC331" s="3"/>
      <c r="BD331" s="3"/>
      <c r="BE331" s="3"/>
      <c r="BF331" s="3"/>
      <c r="BG331" s="3"/>
      <c r="BH331" s="3"/>
      <c r="BI331" s="3"/>
      <c r="BJ331" s="3"/>
    </row>
    <row r="332" spans="1:62" ht="6" customHeight="1">
      <c r="A332" s="226"/>
      <c r="B332" s="56"/>
      <c r="C332" s="224"/>
      <c r="D332" s="224"/>
      <c r="E332" s="224"/>
      <c r="F332" s="224"/>
      <c r="G332" s="224"/>
      <c r="H332" s="224"/>
      <c r="I332" s="224"/>
      <c r="J332" s="224"/>
      <c r="K332" s="224"/>
      <c r="L332" s="224"/>
      <c r="M332" s="224"/>
      <c r="N332" s="224"/>
      <c r="O332" s="216"/>
      <c r="P332" s="216"/>
      <c r="Q332" s="227"/>
      <c r="R332" s="218"/>
      <c r="S332" s="240"/>
      <c r="T332" s="240"/>
      <c r="U332"/>
      <c r="V332"/>
      <c r="W332"/>
      <c r="X332"/>
      <c r="Y332"/>
      <c r="Z332"/>
      <c r="AA332"/>
      <c r="AB332"/>
      <c r="AC332"/>
      <c r="AD332"/>
      <c r="AF332"/>
      <c r="AG332" s="216"/>
      <c r="AH332" s="216"/>
      <c r="AI332"/>
      <c r="AJ332"/>
      <c r="AK332"/>
      <c r="AL332"/>
      <c r="AM332"/>
      <c r="AN332"/>
      <c r="AO332"/>
      <c r="AP332"/>
      <c r="AQ332"/>
      <c r="AR332" s="3"/>
      <c r="AS332" s="3"/>
      <c r="AT332" s="3"/>
      <c r="AU332" s="3"/>
      <c r="AV332" s="3"/>
      <c r="AW332" s="3"/>
      <c r="AX332" s="3"/>
      <c r="AY332" s="3"/>
      <c r="AZ332" s="3"/>
      <c r="BA332" s="3"/>
      <c r="BB332" s="3"/>
      <c r="BC332" s="3"/>
      <c r="BD332" s="3"/>
      <c r="BE332" s="3"/>
      <c r="BF332" s="3"/>
      <c r="BG332" s="3"/>
      <c r="BH332" s="3"/>
      <c r="BI332" s="3"/>
      <c r="BJ332" s="3"/>
    </row>
    <row r="333" spans="1:62" ht="6" customHeight="1">
      <c r="A333" s="222"/>
      <c r="B333" s="222"/>
      <c r="C333" s="222"/>
      <c r="D333" s="222"/>
      <c r="E333" s="222"/>
      <c r="F333" s="222"/>
      <c r="G333" s="222"/>
      <c r="H333" s="222"/>
      <c r="I333" s="222"/>
      <c r="J333" s="222"/>
      <c r="K333" s="222"/>
      <c r="L333" s="222"/>
      <c r="M333" s="222"/>
      <c r="N333" s="27"/>
      <c r="O333" s="82"/>
      <c r="P333" s="38"/>
      <c r="Q333" s="77"/>
      <c r="R333" s="80"/>
      <c r="S333" s="80"/>
      <c r="T333" s="43"/>
      <c r="U333" s="26"/>
      <c r="V333" s="43"/>
      <c r="W333" s="43"/>
      <c r="X333" s="43"/>
      <c r="Y333" s="43"/>
      <c r="Z333" s="43"/>
      <c r="AA333" s="43"/>
      <c r="AB333" s="43"/>
      <c r="AC333" s="43"/>
      <c r="AD333" s="43"/>
      <c r="AF333"/>
      <c r="AG333"/>
      <c r="AH333"/>
      <c r="AI333"/>
      <c r="AJ333"/>
      <c r="AK333"/>
      <c r="AL333"/>
      <c r="AM333"/>
      <c r="AN333"/>
      <c r="AO333"/>
      <c r="AP333"/>
      <c r="AQ333"/>
      <c r="AR333" s="3"/>
      <c r="AS333" s="3"/>
      <c r="AT333" s="3"/>
      <c r="AU333" s="3"/>
      <c r="AV333" s="3"/>
      <c r="AW333" s="3"/>
      <c r="AX333" s="3"/>
      <c r="AY333" s="3"/>
      <c r="AZ333" s="3"/>
      <c r="BA333" s="3"/>
      <c r="BB333" s="3"/>
      <c r="BC333" s="3"/>
      <c r="BD333" s="3"/>
      <c r="BE333" s="3"/>
      <c r="BF333" s="3"/>
      <c r="BG333" s="3"/>
      <c r="BH333" s="3"/>
      <c r="BI333" s="3"/>
      <c r="BJ333" s="3"/>
    </row>
    <row r="334" spans="1:62" ht="6" customHeight="1">
      <c r="A334" s="222"/>
      <c r="B334" s="222"/>
      <c r="C334" s="222"/>
      <c r="D334" s="222"/>
      <c r="E334" s="222"/>
      <c r="F334" s="222"/>
      <c r="G334" s="222"/>
      <c r="H334" s="222"/>
      <c r="I334" s="222"/>
      <c r="J334" s="222"/>
      <c r="K334" s="222"/>
      <c r="L334" s="222"/>
      <c r="M334" s="222"/>
      <c r="N334" s="27"/>
      <c r="O334" s="82"/>
      <c r="P334" s="38"/>
      <c r="Q334" s="37"/>
      <c r="R334" s="43"/>
      <c r="S334" s="25"/>
      <c r="V334" s="2"/>
      <c r="AF334"/>
      <c r="AG334"/>
      <c r="AH334"/>
      <c r="AI334"/>
      <c r="AJ334"/>
      <c r="AK334"/>
      <c r="AL334"/>
      <c r="AM334"/>
      <c r="AN334"/>
      <c r="AO334"/>
      <c r="AP334"/>
      <c r="AQ334"/>
      <c r="AR334" s="3"/>
      <c r="AS334" s="3"/>
      <c r="AT334" s="3"/>
      <c r="AU334" s="3"/>
      <c r="AV334" s="3"/>
      <c r="AW334" s="3"/>
      <c r="AX334" s="3"/>
      <c r="AY334" s="3"/>
      <c r="AZ334" s="3"/>
      <c r="BA334" s="3"/>
      <c r="BB334" s="3"/>
      <c r="BC334" s="3"/>
      <c r="BD334" s="3"/>
      <c r="BE334" s="3"/>
      <c r="BF334" s="3"/>
      <c r="BG334" s="3"/>
      <c r="BH334" s="3"/>
      <c r="BI334" s="3"/>
      <c r="BJ334" s="3"/>
    </row>
    <row r="335" spans="1:62" ht="6" customHeight="1">
      <c r="A335" s="79"/>
      <c r="B335" s="79"/>
      <c r="C335" s="79"/>
      <c r="D335" s="79"/>
      <c r="E335" s="79"/>
      <c r="F335" s="79"/>
      <c r="G335" s="79"/>
      <c r="H335" s="79"/>
      <c r="I335" s="79"/>
      <c r="J335" s="79"/>
      <c r="K335" s="79"/>
      <c r="L335" s="79"/>
      <c r="M335" s="79"/>
      <c r="N335" s="27"/>
      <c r="O335" s="82"/>
      <c r="P335" s="38"/>
      <c r="Q335" s="37"/>
      <c r="R335" s="43"/>
      <c r="S335" s="25"/>
      <c r="V335" s="2"/>
      <c r="AF335"/>
      <c r="AG335"/>
      <c r="AH335"/>
      <c r="AI335"/>
      <c r="AJ335"/>
      <c r="AK335"/>
      <c r="AL335"/>
      <c r="AM335"/>
      <c r="AN335"/>
      <c r="AO335"/>
      <c r="AP335"/>
      <c r="AQ335"/>
      <c r="AR335" s="3"/>
      <c r="AS335" s="3"/>
      <c r="AT335" s="3"/>
      <c r="AU335" s="3"/>
      <c r="AV335" s="3"/>
      <c r="AW335" s="3"/>
      <c r="AX335" s="3"/>
      <c r="AY335" s="3"/>
      <c r="AZ335" s="3"/>
      <c r="BA335" s="3"/>
      <c r="BB335" s="3"/>
      <c r="BC335" s="3"/>
      <c r="BD335" s="3"/>
      <c r="BE335" s="3"/>
      <c r="BF335" s="3"/>
      <c r="BG335" s="3"/>
      <c r="BH335" s="3"/>
      <c r="BI335" s="3"/>
      <c r="BJ335" s="3"/>
    </row>
    <row r="336" spans="1:62" ht="15.6" customHeight="1">
      <c r="A336" s="206" t="s">
        <v>372</v>
      </c>
      <c r="B336" s="206"/>
      <c r="C336" s="206"/>
      <c r="D336" s="206"/>
      <c r="E336" s="206"/>
      <c r="F336" s="206"/>
      <c r="G336" s="206"/>
      <c r="H336" s="206"/>
      <c r="I336" s="206"/>
      <c r="J336" s="206"/>
      <c r="K336" s="206"/>
      <c r="L336" s="206"/>
      <c r="M336" s="206"/>
      <c r="N336" s="206"/>
      <c r="O336" s="206"/>
      <c r="P336" s="206"/>
      <c r="Q336" s="206"/>
      <c r="R336" s="206"/>
      <c r="S336" s="206"/>
      <c r="T336" s="14"/>
      <c r="U336" s="14"/>
      <c r="V336" s="13"/>
      <c r="W336" s="14"/>
      <c r="X336" s="13"/>
      <c r="Y336" s="13"/>
      <c r="Z336" s="16"/>
      <c r="AA336" s="13"/>
      <c r="AB336" s="14"/>
      <c r="AC336" s="13"/>
      <c r="AD336" s="13"/>
      <c r="AF336"/>
      <c r="AG336"/>
      <c r="AH336"/>
      <c r="AI336"/>
      <c r="AJ336"/>
      <c r="AK336"/>
      <c r="AL336"/>
      <c r="AM336"/>
      <c r="AN336"/>
      <c r="AO336"/>
      <c r="AP336"/>
      <c r="AQ336"/>
    </row>
    <row r="337" spans="1:62" ht="9" customHeight="1">
      <c r="A337" s="3"/>
      <c r="C337" s="3"/>
      <c r="P337" s="3"/>
      <c r="Q337" s="3"/>
      <c r="R337" s="3"/>
      <c r="S337" s="3"/>
      <c r="T337" s="3"/>
      <c r="U337" s="214"/>
      <c r="V337" s="214"/>
      <c r="W337" s="3"/>
      <c r="X337" s="3"/>
      <c r="Y337" s="3"/>
      <c r="Z337" s="3"/>
      <c r="AA337" s="3"/>
      <c r="AB337" s="3"/>
      <c r="AC337" s="214"/>
      <c r="AD337" s="214"/>
      <c r="AF337" s="3"/>
      <c r="AG337" s="3"/>
      <c r="AH337" s="3"/>
      <c r="AI337" s="24"/>
      <c r="AJ337" s="24"/>
      <c r="AK337" s="24"/>
      <c r="AL337" s="24"/>
      <c r="AN337" s="3"/>
      <c r="AP337" s="3"/>
      <c r="AQ337" s="3"/>
      <c r="AR337" s="3"/>
      <c r="AS337" s="3"/>
      <c r="AT337" s="3"/>
      <c r="AU337" s="3"/>
      <c r="AV337" s="3"/>
      <c r="AW337" s="3"/>
      <c r="AX337" s="3"/>
      <c r="AY337" s="3"/>
      <c r="AZ337" s="3"/>
      <c r="BA337" s="3"/>
      <c r="BB337" s="3"/>
      <c r="BC337" s="3"/>
      <c r="BD337" s="3"/>
      <c r="BE337" s="3"/>
      <c r="BF337" s="3"/>
      <c r="BG337" s="3"/>
      <c r="BH337" s="3"/>
      <c r="BI337" s="3"/>
      <c r="BJ337" s="3"/>
    </row>
    <row r="338" spans="1:62" ht="10.9" customHeight="1">
      <c r="A338" s="3"/>
      <c r="C338" s="3"/>
      <c r="P338" s="3"/>
      <c r="Q338" s="3"/>
      <c r="R338" s="3"/>
      <c r="S338" s="3"/>
      <c r="T338" s="3"/>
      <c r="U338" s="214"/>
      <c r="V338" s="214"/>
      <c r="W338" s="3"/>
      <c r="X338" s="3"/>
      <c r="Y338" s="3"/>
      <c r="Z338" s="3"/>
      <c r="AA338" s="3"/>
      <c r="AB338" s="3"/>
      <c r="AC338" s="214"/>
      <c r="AD338" s="214"/>
      <c r="AF338" s="3"/>
      <c r="AG338" s="3"/>
      <c r="AH338" s="3"/>
      <c r="AI338" s="24"/>
      <c r="AJ338" s="24"/>
      <c r="AK338" s="24"/>
      <c r="AL338" s="24"/>
      <c r="AN338" s="3"/>
      <c r="AP338" s="3"/>
      <c r="AQ338" s="3"/>
      <c r="AR338" s="3"/>
      <c r="AS338" s="3"/>
      <c r="AT338" s="3"/>
      <c r="AU338" s="3"/>
      <c r="AV338" s="3"/>
      <c r="AW338" s="3"/>
      <c r="AX338" s="3"/>
      <c r="AY338" s="3"/>
      <c r="AZ338" s="3"/>
      <c r="BA338" s="3"/>
      <c r="BB338" s="3"/>
      <c r="BC338" s="3"/>
      <c r="BD338" s="3"/>
      <c r="BE338" s="3"/>
      <c r="BF338" s="3"/>
      <c r="BG338" s="3"/>
      <c r="BH338" s="3"/>
      <c r="BI338" s="3"/>
      <c r="BJ338" s="3"/>
    </row>
    <row r="339" spans="1:62" ht="6" customHeight="1">
      <c r="A339" s="226">
        <v>53</v>
      </c>
      <c r="B339" s="56"/>
      <c r="C339" s="224" t="str">
        <f>INDEX(Riferimenti!$B$2:$B$65,A339)</f>
        <v>Sebacico</v>
      </c>
      <c r="D339" s="224"/>
      <c r="E339" s="224"/>
      <c r="F339" s="224"/>
      <c r="G339" s="224"/>
      <c r="H339" s="224"/>
      <c r="I339" s="224"/>
      <c r="J339" s="224"/>
      <c r="K339" s="224"/>
      <c r="L339" s="224"/>
      <c r="M339" s="224"/>
      <c r="N339" s="224"/>
      <c r="O339" s="216" t="str">
        <f>IF(INDEX(Riferimenti!$C$2:$C$66,A339)&gt;0,INDEX(Riferimenti!$C$2:$C$66,A339),"")</f>
        <v/>
      </c>
      <c r="P339" s="216" t="s">
        <v>4</v>
      </c>
      <c r="Q339" s="227">
        <f>INDEX(Riferimenti!$E$2:$E$66,A339)</f>
        <v>0.3</v>
      </c>
      <c r="R339" s="218"/>
      <c r="S339" s="240"/>
      <c r="T339" s="240"/>
      <c r="V339" s="2"/>
      <c r="AG339" s="216">
        <f>INDEX(Riferimenti!$Q$2:$Q$60,A339)</f>
        <v>8.9880000000000002E-2</v>
      </c>
      <c r="AH339" s="216" t="e">
        <f>INDEX(Riferimenti!$R$2:$R$60,A339)</f>
        <v>#REF!</v>
      </c>
      <c r="AI339" s="3"/>
      <c r="AN339" s="3"/>
      <c r="AT339" s="3"/>
      <c r="AU339" s="3"/>
      <c r="AV339" s="3"/>
      <c r="AW339" s="3"/>
      <c r="AX339" s="3"/>
      <c r="AY339" s="3"/>
      <c r="AZ339" s="3"/>
      <c r="BA339" s="3"/>
      <c r="BB339" s="3"/>
      <c r="BC339" s="3"/>
      <c r="BD339" s="3"/>
      <c r="BE339" s="3"/>
      <c r="BF339" s="3"/>
      <c r="BG339" s="3"/>
      <c r="BH339" s="3"/>
      <c r="BI339" s="3"/>
      <c r="BJ339" s="3"/>
    </row>
    <row r="340" spans="1:62" ht="5.45" customHeight="1">
      <c r="A340" s="226"/>
      <c r="B340" s="56"/>
      <c r="C340" s="224"/>
      <c r="D340" s="224"/>
      <c r="E340" s="224"/>
      <c r="F340" s="224"/>
      <c r="G340" s="224"/>
      <c r="H340" s="224"/>
      <c r="I340" s="224"/>
      <c r="J340" s="224"/>
      <c r="K340" s="224"/>
      <c r="L340" s="224"/>
      <c r="M340" s="224"/>
      <c r="N340" s="224"/>
      <c r="O340" s="216"/>
      <c r="P340" s="216"/>
      <c r="Q340" s="227"/>
      <c r="R340" s="218"/>
      <c r="S340" s="240"/>
      <c r="T340" s="240"/>
      <c r="U340"/>
      <c r="V340"/>
      <c r="W340"/>
      <c r="X340"/>
      <c r="Y340"/>
      <c r="Z340"/>
      <c r="AA340"/>
      <c r="AB340"/>
      <c r="AC340"/>
      <c r="AD340"/>
      <c r="AF340"/>
      <c r="AG340" s="216"/>
      <c r="AH340" s="216"/>
      <c r="AN340" s="3"/>
      <c r="AO340" s="3"/>
      <c r="AP340" s="3"/>
      <c r="AQ340" s="3"/>
      <c r="AR340" s="3"/>
      <c r="AS340" s="3"/>
      <c r="AT340" s="3"/>
      <c r="AU340" s="3"/>
      <c r="AV340" s="3"/>
      <c r="AW340" s="3"/>
      <c r="AX340" s="3"/>
      <c r="AY340" s="3"/>
      <c r="AZ340" s="3"/>
      <c r="BA340" s="3"/>
      <c r="BB340" s="3"/>
      <c r="BC340" s="3"/>
      <c r="BD340" s="3"/>
      <c r="BE340" s="3"/>
      <c r="BF340" s="3"/>
      <c r="BG340" s="3"/>
      <c r="BH340" s="3"/>
      <c r="BI340" s="3"/>
      <c r="BJ340" s="3"/>
    </row>
    <row r="341" spans="1:62" ht="6" customHeight="1">
      <c r="A341" s="205"/>
      <c r="B341" s="205"/>
      <c r="C341" s="205"/>
      <c r="D341" s="205"/>
      <c r="E341" s="205"/>
      <c r="F341" s="205"/>
      <c r="G341" s="205"/>
      <c r="H341" s="205"/>
      <c r="I341" s="205"/>
      <c r="J341" s="205"/>
      <c r="K341" s="205"/>
      <c r="L341" s="205"/>
      <c r="M341" s="205"/>
      <c r="N341" s="57"/>
      <c r="O341" s="85"/>
      <c r="P341" s="42"/>
      <c r="Q341" s="77"/>
      <c r="R341" s="80"/>
      <c r="S341" s="181"/>
      <c r="T341" s="182"/>
      <c r="U341" s="43"/>
      <c r="V341" s="43"/>
      <c r="W341" s="43"/>
      <c r="X341" s="43"/>
      <c r="Y341" s="43"/>
      <c r="Z341" s="43"/>
      <c r="AA341" s="43"/>
      <c r="AB341" s="43"/>
      <c r="AC341" s="43"/>
      <c r="AD341" s="43"/>
      <c r="AF341" s="43"/>
      <c r="AG341" s="43"/>
      <c r="AH341" s="43"/>
      <c r="AI341" s="43"/>
      <c r="AJ341" s="43"/>
      <c r="AK341" s="43"/>
      <c r="AL341" s="43"/>
      <c r="AM341" s="43"/>
      <c r="AN341" s="43"/>
      <c r="AO341" s="43"/>
      <c r="AP341" s="43"/>
      <c r="AQ341" s="43"/>
      <c r="AR341" s="3"/>
      <c r="AS341" s="3"/>
      <c r="AT341" s="3"/>
      <c r="AU341" s="3"/>
      <c r="AV341" s="3"/>
      <c r="AW341" s="3"/>
      <c r="AX341" s="3"/>
      <c r="AY341" s="3"/>
      <c r="AZ341" s="3"/>
      <c r="BA341" s="3"/>
      <c r="BB341" s="3"/>
      <c r="BC341" s="3"/>
      <c r="BD341" s="3"/>
      <c r="BE341" s="3"/>
      <c r="BF341" s="3"/>
      <c r="BG341" s="3"/>
      <c r="BH341" s="3"/>
      <c r="BI341" s="3"/>
      <c r="BJ341" s="3"/>
    </row>
    <row r="342" spans="1:62" ht="6" customHeight="1">
      <c r="A342" s="205"/>
      <c r="B342" s="205"/>
      <c r="C342" s="205"/>
      <c r="D342" s="205"/>
      <c r="E342" s="205"/>
      <c r="F342" s="205"/>
      <c r="G342" s="205"/>
      <c r="H342" s="205"/>
      <c r="I342" s="205"/>
      <c r="J342" s="205"/>
      <c r="K342" s="205"/>
      <c r="L342" s="205"/>
      <c r="M342" s="205"/>
      <c r="N342" s="57"/>
      <c r="O342" s="85"/>
      <c r="P342" s="42"/>
      <c r="Q342" s="77"/>
      <c r="R342" s="80"/>
      <c r="S342" s="181"/>
      <c r="T342" s="183"/>
      <c r="V342" s="2"/>
      <c r="AN342" s="3"/>
      <c r="AO342" s="3"/>
      <c r="AP342" s="3"/>
      <c r="AQ342" s="3"/>
      <c r="AR342" s="3"/>
      <c r="AS342" s="3"/>
      <c r="AT342" s="3"/>
      <c r="AU342" s="3"/>
      <c r="AV342" s="3"/>
      <c r="AW342" s="3"/>
      <c r="AX342" s="3"/>
      <c r="AY342" s="3"/>
      <c r="AZ342" s="3"/>
      <c r="BA342" s="3"/>
      <c r="BB342" s="3"/>
      <c r="BC342" s="3"/>
      <c r="BD342" s="3"/>
      <c r="BE342" s="3"/>
      <c r="BF342" s="3"/>
      <c r="BG342" s="3"/>
      <c r="BH342" s="3"/>
      <c r="BI342" s="3"/>
      <c r="BJ342" s="3"/>
    </row>
    <row r="343" spans="1:62" ht="10.9" customHeight="1">
      <c r="A343" s="58"/>
      <c r="B343" s="58"/>
      <c r="C343" s="58"/>
      <c r="D343" s="59"/>
      <c r="E343" s="59"/>
      <c r="F343" s="59"/>
      <c r="G343" s="58"/>
      <c r="H343" s="58"/>
      <c r="I343" s="59"/>
      <c r="J343" s="59"/>
      <c r="K343" s="59"/>
      <c r="L343" s="59"/>
      <c r="M343" s="59"/>
      <c r="N343" s="59"/>
      <c r="P343" s="3"/>
      <c r="Q343" s="41"/>
      <c r="R343" s="41"/>
      <c r="S343" s="185"/>
      <c r="T343" s="184"/>
      <c r="U343" s="214"/>
      <c r="V343" s="214"/>
      <c r="W343" s="3"/>
      <c r="X343" s="3"/>
      <c r="Y343" s="3"/>
      <c r="Z343" s="3"/>
      <c r="AA343" s="3"/>
      <c r="AB343" s="3"/>
      <c r="AC343" s="214"/>
      <c r="AD343" s="214"/>
      <c r="AF343" s="3"/>
      <c r="AG343" s="3"/>
      <c r="AH343" s="3"/>
      <c r="AI343" s="24"/>
      <c r="AJ343" s="24"/>
      <c r="AK343" s="24"/>
      <c r="AL343" s="24"/>
      <c r="AN343" s="3"/>
      <c r="AP343" s="3"/>
      <c r="AQ343" s="3"/>
      <c r="AR343" s="3"/>
      <c r="AS343" s="3"/>
      <c r="AT343" s="3"/>
      <c r="AU343" s="3"/>
      <c r="AV343" s="3"/>
      <c r="AW343" s="3"/>
      <c r="AX343" s="3"/>
      <c r="AY343" s="3"/>
      <c r="AZ343" s="3"/>
      <c r="BA343" s="3"/>
      <c r="BB343" s="3"/>
      <c r="BC343" s="3"/>
      <c r="BD343" s="3"/>
      <c r="BE343" s="3"/>
      <c r="BF343" s="3"/>
      <c r="BG343" s="3"/>
      <c r="BH343" s="3"/>
      <c r="BI343" s="3"/>
      <c r="BJ343" s="3"/>
    </row>
    <row r="344" spans="1:62" ht="6" customHeight="1">
      <c r="A344" s="226">
        <v>54</v>
      </c>
      <c r="B344" s="56"/>
      <c r="C344" s="224" t="str">
        <f>INDEX(Riferimenti!$B$2:$B$65,A344)</f>
        <v>Adipico</v>
      </c>
      <c r="D344" s="224"/>
      <c r="E344" s="224"/>
      <c r="F344" s="224"/>
      <c r="G344" s="224"/>
      <c r="H344" s="224"/>
      <c r="I344" s="224"/>
      <c r="J344" s="224"/>
      <c r="K344" s="224"/>
      <c r="L344" s="224"/>
      <c r="M344" s="224"/>
      <c r="N344" s="224"/>
      <c r="O344" s="216" t="str">
        <f>IF(INDEX(Riferimenti!$C$2:$C$66,A344)&gt;0,INDEX(Riferimenti!$C$2:$C$66,A344),"")</f>
        <v/>
      </c>
      <c r="P344" s="216" t="s">
        <v>4</v>
      </c>
      <c r="Q344" s="227">
        <f>INDEX(Riferimenti!$E$2:$E$66,A344)</f>
        <v>4.2</v>
      </c>
      <c r="R344" s="218"/>
      <c r="S344" s="240"/>
      <c r="T344" s="240"/>
      <c r="V344" s="2"/>
      <c r="AG344" s="216">
        <f>INDEX(Riferimenti!$Q$2:$Q$60,A344)</f>
        <v>0.9</v>
      </c>
      <c r="AH344" s="216">
        <f>INDEX(Riferimenti!$R$2:$R$60,A344)</f>
        <v>3.1</v>
      </c>
      <c r="AI344" s="3"/>
      <c r="AN344" s="3"/>
      <c r="AT344" s="3"/>
      <c r="AU344" s="3"/>
      <c r="AV344" s="3"/>
      <c r="AW344" s="3"/>
      <c r="AX344" s="3"/>
      <c r="AY344" s="3"/>
      <c r="AZ344" s="3"/>
      <c r="BA344" s="3"/>
      <c r="BB344" s="3"/>
      <c r="BC344" s="3"/>
      <c r="BD344" s="3"/>
      <c r="BE344" s="3"/>
      <c r="BF344" s="3"/>
      <c r="BG344" s="3"/>
      <c r="BH344" s="3"/>
      <c r="BI344" s="3"/>
      <c r="BJ344" s="3"/>
    </row>
    <row r="345" spans="1:62" ht="5.45" customHeight="1">
      <c r="A345" s="226"/>
      <c r="B345" s="56"/>
      <c r="C345" s="224"/>
      <c r="D345" s="224"/>
      <c r="E345" s="224"/>
      <c r="F345" s="224"/>
      <c r="G345" s="224"/>
      <c r="H345" s="224"/>
      <c r="I345" s="224"/>
      <c r="J345" s="224"/>
      <c r="K345" s="224"/>
      <c r="L345" s="224"/>
      <c r="M345" s="224"/>
      <c r="N345" s="224"/>
      <c r="O345" s="216"/>
      <c r="P345" s="216"/>
      <c r="Q345" s="227"/>
      <c r="R345" s="218"/>
      <c r="S345" s="240"/>
      <c r="T345" s="240"/>
      <c r="U345"/>
      <c r="V345"/>
      <c r="W345"/>
      <c r="X345"/>
      <c r="Y345"/>
      <c r="Z345"/>
      <c r="AA345"/>
      <c r="AB345"/>
      <c r="AC345"/>
      <c r="AD345"/>
      <c r="AF345"/>
      <c r="AG345" s="216"/>
      <c r="AH345" s="216"/>
      <c r="AN345" s="3"/>
      <c r="AO345" s="3"/>
      <c r="AP345" s="3"/>
      <c r="AQ345" s="3"/>
      <c r="AR345" s="3"/>
      <c r="AS345" s="3"/>
      <c r="AT345" s="3"/>
      <c r="AU345" s="3"/>
      <c r="AV345" s="3"/>
      <c r="AW345" s="3"/>
      <c r="AX345" s="3"/>
      <c r="AY345" s="3"/>
      <c r="AZ345" s="3"/>
      <c r="BA345" s="3"/>
      <c r="BB345" s="3"/>
      <c r="BC345" s="3"/>
      <c r="BD345" s="3"/>
      <c r="BE345" s="3"/>
      <c r="BF345" s="3"/>
      <c r="BG345" s="3"/>
      <c r="BH345" s="3"/>
      <c r="BI345" s="3"/>
      <c r="BJ345" s="3"/>
    </row>
    <row r="346" spans="1:62" ht="6" customHeight="1">
      <c r="A346" s="205"/>
      <c r="B346" s="205"/>
      <c r="C346" s="205"/>
      <c r="D346" s="205"/>
      <c r="E346" s="205"/>
      <c r="F346" s="205"/>
      <c r="G346" s="205"/>
      <c r="H346" s="205"/>
      <c r="I346" s="205"/>
      <c r="J346" s="205"/>
      <c r="K346" s="205"/>
      <c r="L346" s="205"/>
      <c r="M346" s="205"/>
      <c r="N346" s="57"/>
      <c r="O346" s="85"/>
      <c r="P346" s="42"/>
      <c r="Q346" s="77"/>
      <c r="R346" s="80"/>
      <c r="S346" s="181"/>
      <c r="T346" s="182"/>
      <c r="U346" s="43"/>
      <c r="V346" s="43"/>
      <c r="W346" s="43"/>
      <c r="X346" s="43"/>
      <c r="Y346" s="43"/>
      <c r="Z346" s="43"/>
      <c r="AA346" s="43"/>
      <c r="AB346" s="43"/>
      <c r="AC346" s="43"/>
      <c r="AD346" s="43"/>
      <c r="AF346" s="43"/>
      <c r="AG346" s="43"/>
      <c r="AH346" s="43"/>
      <c r="AI346" s="43"/>
      <c r="AJ346" s="43"/>
      <c r="AK346" s="43"/>
      <c r="AL346" s="43"/>
      <c r="AM346" s="43"/>
      <c r="AN346" s="43"/>
      <c r="AO346" s="43"/>
      <c r="AP346" s="43"/>
      <c r="AQ346" s="43"/>
      <c r="AR346" s="3"/>
      <c r="AS346" s="3"/>
      <c r="AT346" s="3"/>
      <c r="AU346" s="3"/>
      <c r="AV346" s="3"/>
      <c r="AW346" s="3"/>
      <c r="AX346" s="3"/>
      <c r="AY346" s="3"/>
      <c r="AZ346" s="3"/>
      <c r="BA346" s="3"/>
      <c r="BB346" s="3"/>
      <c r="BC346" s="3"/>
      <c r="BD346" s="3"/>
      <c r="BE346" s="3"/>
      <c r="BF346" s="3"/>
      <c r="BG346" s="3"/>
      <c r="BH346" s="3"/>
      <c r="BI346" s="3"/>
      <c r="BJ346" s="3"/>
    </row>
    <row r="347" spans="1:62" ht="6" customHeight="1">
      <c r="A347" s="205"/>
      <c r="B347" s="205"/>
      <c r="C347" s="205"/>
      <c r="D347" s="205"/>
      <c r="E347" s="205"/>
      <c r="F347" s="205"/>
      <c r="G347" s="205"/>
      <c r="H347" s="205"/>
      <c r="I347" s="205"/>
      <c r="J347" s="205"/>
      <c r="K347" s="205"/>
      <c r="L347" s="205"/>
      <c r="M347" s="205"/>
      <c r="N347" s="57"/>
      <c r="O347" s="85"/>
      <c r="P347" s="42"/>
      <c r="Q347" s="77"/>
      <c r="R347" s="80"/>
      <c r="S347" s="181"/>
      <c r="T347" s="183"/>
      <c r="V347" s="2"/>
      <c r="AN347" s="3"/>
      <c r="AO347" s="3"/>
      <c r="AP347" s="3"/>
      <c r="AQ347" s="3"/>
      <c r="AR347" s="3"/>
      <c r="AS347" s="3"/>
      <c r="AT347" s="3"/>
      <c r="AU347" s="3"/>
      <c r="AV347" s="3"/>
      <c r="AW347" s="3"/>
      <c r="AX347" s="3"/>
      <c r="AY347" s="3"/>
      <c r="AZ347" s="3"/>
      <c r="BA347" s="3"/>
      <c r="BB347" s="3"/>
      <c r="BC347" s="3"/>
      <c r="BD347" s="3"/>
      <c r="BE347" s="3"/>
      <c r="BF347" s="3"/>
      <c r="BG347" s="3"/>
      <c r="BH347" s="3"/>
      <c r="BI347" s="3"/>
      <c r="BJ347" s="3"/>
    </row>
    <row r="348" spans="1:62" ht="10.9" customHeight="1">
      <c r="A348" s="58"/>
      <c r="B348" s="58"/>
      <c r="C348" s="58"/>
      <c r="D348" s="59"/>
      <c r="E348" s="59"/>
      <c r="F348" s="59"/>
      <c r="G348" s="58"/>
      <c r="H348" s="58"/>
      <c r="I348" s="59"/>
      <c r="J348" s="59"/>
      <c r="K348" s="59"/>
      <c r="L348" s="59"/>
      <c r="M348" s="59"/>
      <c r="N348" s="59"/>
      <c r="P348" s="3"/>
      <c r="Q348" s="41"/>
      <c r="R348" s="41"/>
      <c r="S348" s="185"/>
      <c r="T348" s="184"/>
      <c r="U348" s="214"/>
      <c r="V348" s="214"/>
      <c r="W348" s="3"/>
      <c r="X348" s="3"/>
      <c r="Y348" s="3"/>
      <c r="Z348" s="3"/>
      <c r="AA348" s="3"/>
      <c r="AB348" s="3"/>
      <c r="AC348" s="214"/>
      <c r="AD348" s="214"/>
      <c r="AF348" s="3"/>
      <c r="AG348" s="3"/>
      <c r="AH348" s="3"/>
      <c r="AI348" s="24"/>
      <c r="AJ348" s="24"/>
      <c r="AK348" s="24"/>
      <c r="AL348" s="24"/>
      <c r="AN348" s="3"/>
      <c r="AP348" s="3"/>
      <c r="AQ348" s="3"/>
      <c r="AR348" s="3"/>
      <c r="AS348" s="3"/>
      <c r="AT348" s="3"/>
      <c r="AU348" s="3"/>
      <c r="AV348" s="3"/>
      <c r="AW348" s="3"/>
      <c r="AX348" s="3"/>
      <c r="AY348" s="3"/>
      <c r="AZ348" s="3"/>
      <c r="BA348" s="3"/>
      <c r="BB348" s="3"/>
      <c r="BC348" s="3"/>
      <c r="BD348" s="3"/>
      <c r="BE348" s="3"/>
      <c r="BF348" s="3"/>
      <c r="BG348" s="3"/>
      <c r="BH348" s="3"/>
      <c r="BI348" s="3"/>
      <c r="BJ348" s="3"/>
    </row>
    <row r="349" spans="1:62" ht="6" customHeight="1">
      <c r="A349" s="226">
        <v>55</v>
      </c>
      <c r="B349" s="56"/>
      <c r="C349" s="224" t="str">
        <f>INDEX(Riferimenti!$B$2:$B$65,A349)</f>
        <v>Suberico</v>
      </c>
      <c r="D349" s="224"/>
      <c r="E349" s="224"/>
      <c r="F349" s="224"/>
      <c r="G349" s="224"/>
      <c r="H349" s="224"/>
      <c r="I349" s="224"/>
      <c r="J349" s="224"/>
      <c r="K349" s="224"/>
      <c r="L349" s="224"/>
      <c r="M349" s="224"/>
      <c r="N349" s="224"/>
      <c r="O349" s="216" t="str">
        <f>IF(INDEX(Riferimenti!$C$2:$C$66,A349)&gt;0,INDEX(Riferimenti!$C$2:$C$66,A349),"")</f>
        <v/>
      </c>
      <c r="P349" s="216" t="s">
        <v>4</v>
      </c>
      <c r="Q349" s="227">
        <f>INDEX(Riferimenti!$E$2:$E$66,A349)</f>
        <v>1.6</v>
      </c>
      <c r="R349" s="218"/>
      <c r="S349" s="240"/>
      <c r="T349" s="240"/>
      <c r="V349" s="2"/>
      <c r="AG349" s="216">
        <f>INDEX(Riferimenti!$Q$2:$Q$60,A349)</f>
        <v>0.4</v>
      </c>
      <c r="AH349" s="216">
        <f>INDEX(Riferimenti!$R$2:$R$60,A349)</f>
        <v>1.2</v>
      </c>
      <c r="AI349" s="3"/>
      <c r="AN349" s="3"/>
      <c r="AT349" s="3"/>
      <c r="AU349" s="3"/>
      <c r="AV349" s="3"/>
      <c r="AW349" s="3"/>
      <c r="AX349" s="3"/>
      <c r="AY349" s="3"/>
      <c r="AZ349" s="3"/>
      <c r="BA349" s="3"/>
      <c r="BB349" s="3"/>
      <c r="BC349" s="3"/>
      <c r="BD349" s="3"/>
      <c r="BE349" s="3"/>
      <c r="BF349" s="3"/>
      <c r="BG349" s="3"/>
      <c r="BH349" s="3"/>
      <c r="BI349" s="3"/>
      <c r="BJ349" s="3"/>
    </row>
    <row r="350" spans="1:62" ht="5.45" customHeight="1">
      <c r="A350" s="226"/>
      <c r="B350" s="56"/>
      <c r="C350" s="224"/>
      <c r="D350" s="224"/>
      <c r="E350" s="224"/>
      <c r="F350" s="224"/>
      <c r="G350" s="224"/>
      <c r="H350" s="224"/>
      <c r="I350" s="224"/>
      <c r="J350" s="224"/>
      <c r="K350" s="224"/>
      <c r="L350" s="224"/>
      <c r="M350" s="224"/>
      <c r="N350" s="224"/>
      <c r="O350" s="216"/>
      <c r="P350" s="216"/>
      <c r="Q350" s="227"/>
      <c r="R350" s="218"/>
      <c r="S350" s="240"/>
      <c r="T350" s="240"/>
      <c r="U350"/>
      <c r="V350"/>
      <c r="W350"/>
      <c r="X350"/>
      <c r="Y350"/>
      <c r="Z350"/>
      <c r="AA350"/>
      <c r="AB350"/>
      <c r="AC350"/>
      <c r="AD350"/>
      <c r="AF350"/>
      <c r="AG350" s="216"/>
      <c r="AH350" s="216"/>
      <c r="AN350" s="3"/>
      <c r="AO350" s="3"/>
      <c r="AP350" s="3"/>
      <c r="AQ350" s="3"/>
      <c r="AR350" s="3"/>
      <c r="AS350" s="3"/>
      <c r="AT350" s="3"/>
      <c r="AU350" s="3"/>
      <c r="AV350" s="3"/>
      <c r="AW350" s="3"/>
      <c r="AX350" s="3"/>
      <c r="AY350" s="3"/>
      <c r="AZ350" s="3"/>
      <c r="BA350" s="3"/>
      <c r="BB350" s="3"/>
      <c r="BC350" s="3"/>
      <c r="BD350" s="3"/>
      <c r="BE350" s="3"/>
      <c r="BF350" s="3"/>
      <c r="BG350" s="3"/>
      <c r="BH350" s="3"/>
      <c r="BI350" s="3"/>
      <c r="BJ350" s="3"/>
    </row>
    <row r="351" spans="1:62" ht="6" customHeight="1">
      <c r="A351" s="205"/>
      <c r="B351" s="205"/>
      <c r="C351" s="205"/>
      <c r="D351" s="205"/>
      <c r="E351" s="205"/>
      <c r="F351" s="205"/>
      <c r="G351" s="205"/>
      <c r="H351" s="205"/>
      <c r="I351" s="205"/>
      <c r="J351" s="205"/>
      <c r="K351" s="205"/>
      <c r="L351" s="205"/>
      <c r="M351" s="205"/>
      <c r="N351" s="57"/>
      <c r="O351" s="85"/>
      <c r="P351" s="42"/>
      <c r="Q351" s="77"/>
      <c r="R351" s="80"/>
      <c r="S351" s="181"/>
      <c r="T351" s="182"/>
      <c r="U351" s="43"/>
      <c r="V351" s="43"/>
      <c r="W351" s="43"/>
      <c r="X351" s="43"/>
      <c r="Y351" s="43"/>
      <c r="Z351" s="43"/>
      <c r="AA351" s="43"/>
      <c r="AB351" s="43"/>
      <c r="AC351" s="43"/>
      <c r="AD351" s="43"/>
      <c r="AF351" s="43"/>
      <c r="AG351" s="43"/>
      <c r="AH351" s="43"/>
      <c r="AI351" s="43"/>
      <c r="AJ351" s="43"/>
      <c r="AK351" s="43"/>
      <c r="AL351" s="43"/>
      <c r="AM351" s="43"/>
      <c r="AN351" s="43"/>
      <c r="AO351" s="43"/>
      <c r="AP351" s="43"/>
      <c r="AQ351" s="43"/>
      <c r="AR351" s="3"/>
      <c r="AS351" s="3"/>
      <c r="AT351" s="3"/>
      <c r="AU351" s="3"/>
      <c r="AV351" s="3"/>
      <c r="AW351" s="3"/>
      <c r="AX351" s="3"/>
      <c r="AY351" s="3"/>
      <c r="AZ351" s="3"/>
      <c r="BA351" s="3"/>
      <c r="BB351" s="3"/>
      <c r="BC351" s="3"/>
      <c r="BD351" s="3"/>
      <c r="BE351" s="3"/>
      <c r="BF351" s="3"/>
      <c r="BG351" s="3"/>
      <c r="BH351" s="3"/>
      <c r="BI351" s="3"/>
      <c r="BJ351" s="3"/>
    </row>
    <row r="352" spans="1:62" ht="6" customHeight="1">
      <c r="A352" s="205"/>
      <c r="B352" s="205"/>
      <c r="C352" s="205"/>
      <c r="D352" s="205"/>
      <c r="E352" s="205"/>
      <c r="F352" s="205"/>
      <c r="G352" s="205"/>
      <c r="H352" s="205"/>
      <c r="I352" s="205"/>
      <c r="J352" s="205"/>
      <c r="K352" s="205"/>
      <c r="L352" s="205"/>
      <c r="M352" s="205"/>
      <c r="N352" s="57"/>
      <c r="O352" s="85"/>
      <c r="P352" s="42"/>
      <c r="Q352" s="77"/>
      <c r="R352" s="80"/>
      <c r="S352" s="181"/>
      <c r="T352" s="183"/>
      <c r="V352" s="2"/>
      <c r="AN352" s="3"/>
      <c r="AO352" s="3"/>
      <c r="AP352" s="3"/>
      <c r="AQ352" s="3"/>
      <c r="AR352" s="3"/>
      <c r="AS352" s="3"/>
      <c r="AT352" s="3"/>
      <c r="AU352" s="3"/>
      <c r="AV352" s="3"/>
      <c r="AW352" s="3"/>
      <c r="AX352" s="3"/>
      <c r="AY352" s="3"/>
      <c r="AZ352" s="3"/>
      <c r="BA352" s="3"/>
      <c r="BB352" s="3"/>
      <c r="BC352" s="3"/>
      <c r="BD352" s="3"/>
      <c r="BE352" s="3"/>
      <c r="BF352" s="3"/>
      <c r="BG352" s="3"/>
      <c r="BH352" s="3"/>
      <c r="BI352" s="3"/>
      <c r="BJ352" s="3"/>
    </row>
    <row r="353" spans="1:62" ht="10.9" customHeight="1">
      <c r="A353" s="58"/>
      <c r="B353" s="58"/>
      <c r="C353" s="58"/>
      <c r="D353" s="59"/>
      <c r="E353" s="59"/>
      <c r="F353" s="59"/>
      <c r="G353" s="58"/>
      <c r="H353" s="58"/>
      <c r="I353" s="59"/>
      <c r="J353" s="59"/>
      <c r="K353" s="59"/>
      <c r="L353" s="59"/>
      <c r="M353" s="59"/>
      <c r="N353" s="59"/>
      <c r="P353" s="3"/>
      <c r="Q353" s="41"/>
      <c r="R353" s="41"/>
      <c r="S353" s="185"/>
      <c r="T353" s="184"/>
      <c r="U353" s="214"/>
      <c r="V353" s="214"/>
      <c r="W353" s="3"/>
      <c r="X353" s="3"/>
      <c r="Y353" s="3"/>
      <c r="Z353" s="3"/>
      <c r="AA353" s="3"/>
      <c r="AB353" s="3"/>
      <c r="AC353" s="214"/>
      <c r="AD353" s="214"/>
      <c r="AF353" s="3"/>
      <c r="AG353" s="3"/>
      <c r="AH353" s="3"/>
      <c r="AI353" s="24"/>
      <c r="AJ353" s="24"/>
      <c r="AK353" s="24"/>
      <c r="AL353" s="24"/>
      <c r="AN353" s="3"/>
      <c r="AP353" s="3"/>
      <c r="AQ353" s="3"/>
      <c r="AR353" s="3"/>
      <c r="AS353" s="3"/>
      <c r="AT353" s="3"/>
      <c r="AU353" s="3"/>
      <c r="AV353" s="3"/>
      <c r="AW353" s="3"/>
      <c r="AX353" s="3"/>
      <c r="AY353" s="3"/>
      <c r="AZ353" s="3"/>
      <c r="BA353" s="3"/>
      <c r="BB353" s="3"/>
      <c r="BC353" s="3"/>
      <c r="BD353" s="3"/>
      <c r="BE353" s="3"/>
      <c r="BF353" s="3"/>
      <c r="BG353" s="3"/>
      <c r="BH353" s="3"/>
      <c r="BI353" s="3"/>
      <c r="BJ353" s="3"/>
    </row>
    <row r="354" spans="1:62" ht="6" customHeight="1">
      <c r="A354" s="226">
        <v>56</v>
      </c>
      <c r="B354" s="56"/>
      <c r="C354" s="224" t="str">
        <f>INDEX(Riferimenti!$B$2:$B$65,A354)</f>
        <v>Etilmalonico</v>
      </c>
      <c r="D354" s="224"/>
      <c r="E354" s="224"/>
      <c r="F354" s="224"/>
      <c r="G354" s="224"/>
      <c r="H354" s="224"/>
      <c r="I354" s="224"/>
      <c r="J354" s="224"/>
      <c r="K354" s="224"/>
      <c r="L354" s="224"/>
      <c r="M354" s="224"/>
      <c r="N354" s="224"/>
      <c r="O354" s="216" t="str">
        <f>IF(INDEX(Riferimenti!$C$2:$C$66,A354)&gt;0,INDEX(Riferimenti!$C$2:$C$66,A354),"")</f>
        <v/>
      </c>
      <c r="P354" s="216" t="s">
        <v>4</v>
      </c>
      <c r="Q354" s="227">
        <f>INDEX(Riferimenti!$E$2:$E$66,A354)</f>
        <v>5.9</v>
      </c>
      <c r="R354" s="218"/>
      <c r="S354" s="240"/>
      <c r="T354" s="240"/>
      <c r="V354" s="2"/>
      <c r="AG354" s="216">
        <f>INDEX(Riferimenti!$Q$2:$Q$60,A354)</f>
        <v>0.7</v>
      </c>
      <c r="AH354" s="216">
        <f>INDEX(Riferimenti!$R$2:$R$60,A354)</f>
        <v>1.5</v>
      </c>
      <c r="AI354" s="3"/>
      <c r="AN354" s="3"/>
      <c r="AT354" s="3"/>
      <c r="AU354" s="3"/>
      <c r="AV354" s="3"/>
      <c r="AW354" s="3"/>
      <c r="AX354" s="3"/>
      <c r="AY354" s="3"/>
      <c r="AZ354" s="3"/>
      <c r="BA354" s="3"/>
      <c r="BB354" s="3"/>
      <c r="BC354" s="3"/>
      <c r="BD354" s="3"/>
      <c r="BE354" s="3"/>
      <c r="BF354" s="3"/>
      <c r="BG354" s="3"/>
      <c r="BH354" s="3"/>
      <c r="BI354" s="3"/>
      <c r="BJ354" s="3"/>
    </row>
    <row r="355" spans="1:62" ht="5.45" customHeight="1">
      <c r="A355" s="226"/>
      <c r="B355" s="56"/>
      <c r="C355" s="224"/>
      <c r="D355" s="224"/>
      <c r="E355" s="224"/>
      <c r="F355" s="224"/>
      <c r="G355" s="224"/>
      <c r="H355" s="224"/>
      <c r="I355" s="224"/>
      <c r="J355" s="224"/>
      <c r="K355" s="224"/>
      <c r="L355" s="224"/>
      <c r="M355" s="224"/>
      <c r="N355" s="224"/>
      <c r="O355" s="216"/>
      <c r="P355" s="216"/>
      <c r="Q355" s="227"/>
      <c r="R355" s="218"/>
      <c r="S355" s="240"/>
      <c r="T355" s="240"/>
      <c r="U355"/>
      <c r="V355"/>
      <c r="W355"/>
      <c r="X355"/>
      <c r="Y355"/>
      <c r="Z355"/>
      <c r="AA355"/>
      <c r="AB355"/>
      <c r="AC355"/>
      <c r="AD355"/>
      <c r="AF355"/>
      <c r="AG355" s="216"/>
      <c r="AH355" s="216"/>
      <c r="AN355" s="3"/>
      <c r="AO355" s="3"/>
      <c r="AP355" s="3"/>
      <c r="AQ355" s="3"/>
      <c r="AR355" s="3"/>
      <c r="AS355" s="3"/>
      <c r="AT355" s="3"/>
      <c r="AU355" s="3"/>
      <c r="AV355" s="3"/>
      <c r="AW355" s="3"/>
      <c r="AX355" s="3"/>
      <c r="AY355" s="3"/>
      <c r="AZ355" s="3"/>
      <c r="BA355" s="3"/>
      <c r="BB355" s="3"/>
      <c r="BC355" s="3"/>
      <c r="BD355" s="3"/>
      <c r="BE355" s="3"/>
      <c r="BF355" s="3"/>
      <c r="BG355" s="3"/>
      <c r="BH355" s="3"/>
      <c r="BI355" s="3"/>
      <c r="BJ355" s="3"/>
    </row>
    <row r="356" spans="1:62" ht="6" customHeight="1">
      <c r="A356" s="205"/>
      <c r="B356" s="205"/>
      <c r="C356" s="205"/>
      <c r="D356" s="205"/>
      <c r="E356" s="205"/>
      <c r="F356" s="205"/>
      <c r="G356" s="205"/>
      <c r="H356" s="205"/>
      <c r="I356" s="205"/>
      <c r="J356" s="205"/>
      <c r="K356" s="205"/>
      <c r="L356" s="205"/>
      <c r="M356" s="205"/>
      <c r="N356" s="57"/>
      <c r="O356" s="85"/>
      <c r="P356" s="42"/>
      <c r="Q356" s="77"/>
      <c r="R356" s="80"/>
      <c r="S356" s="181"/>
      <c r="T356" s="182"/>
      <c r="U356" s="43"/>
      <c r="V356" s="43"/>
      <c r="W356" s="43"/>
      <c r="X356" s="43"/>
      <c r="Y356" s="43"/>
      <c r="Z356" s="43"/>
      <c r="AA356" s="43"/>
      <c r="AB356" s="43"/>
      <c r="AC356" s="43"/>
      <c r="AD356" s="43"/>
      <c r="AF356" s="43"/>
      <c r="AG356" s="43"/>
      <c r="AH356" s="43"/>
      <c r="AI356" s="43"/>
      <c r="AJ356" s="43"/>
      <c r="AK356" s="43"/>
      <c r="AL356" s="43"/>
      <c r="AM356" s="43"/>
      <c r="AN356" s="43"/>
      <c r="AO356" s="43"/>
      <c r="AP356" s="43"/>
      <c r="AQ356" s="43"/>
      <c r="AR356" s="3"/>
      <c r="AS356" s="3"/>
      <c r="AT356" s="3"/>
      <c r="AU356" s="3"/>
      <c r="AV356" s="3"/>
      <c r="AW356" s="3"/>
      <c r="AX356" s="3"/>
      <c r="AY356" s="3"/>
      <c r="AZ356" s="3"/>
      <c r="BA356" s="3"/>
      <c r="BB356" s="3"/>
      <c r="BC356" s="3"/>
      <c r="BD356" s="3"/>
      <c r="BE356" s="3"/>
      <c r="BF356" s="3"/>
      <c r="BG356" s="3"/>
      <c r="BH356" s="3"/>
      <c r="BI356" s="3"/>
      <c r="BJ356" s="3"/>
    </row>
    <row r="357" spans="1:62" ht="6" customHeight="1">
      <c r="A357" s="205"/>
      <c r="B357" s="205"/>
      <c r="C357" s="205"/>
      <c r="D357" s="205"/>
      <c r="E357" s="205"/>
      <c r="F357" s="205"/>
      <c r="G357" s="205"/>
      <c r="H357" s="205"/>
      <c r="I357" s="205"/>
      <c r="J357" s="205"/>
      <c r="K357" s="205"/>
      <c r="L357" s="205"/>
      <c r="M357" s="205"/>
      <c r="N357" s="57"/>
      <c r="O357" s="85"/>
      <c r="P357" s="42"/>
      <c r="Q357" s="77"/>
      <c r="R357" s="80"/>
      <c r="S357" s="181"/>
      <c r="T357" s="183"/>
      <c r="V357" s="2"/>
      <c r="AN357" s="3"/>
      <c r="AO357" s="3"/>
      <c r="AP357" s="3"/>
      <c r="AQ357" s="3"/>
      <c r="AR357" s="3"/>
      <c r="AS357" s="3"/>
      <c r="AT357" s="3"/>
      <c r="AU357" s="3"/>
      <c r="AV357" s="3"/>
      <c r="AW357" s="3"/>
      <c r="AX357" s="3"/>
      <c r="AY357" s="3"/>
      <c r="AZ357" s="3"/>
      <c r="BA357" s="3"/>
      <c r="BB357" s="3"/>
      <c r="BC357" s="3"/>
      <c r="BD357" s="3"/>
      <c r="BE357" s="3"/>
      <c r="BF357" s="3"/>
      <c r="BG357" s="3"/>
      <c r="BH357" s="3"/>
      <c r="BI357" s="3"/>
      <c r="BJ357" s="3"/>
    </row>
    <row r="358" spans="1:62" ht="10.9" customHeight="1">
      <c r="A358" s="58"/>
      <c r="B358" s="58"/>
      <c r="C358" s="58"/>
      <c r="D358" s="59"/>
      <c r="E358" s="59"/>
      <c r="F358" s="59"/>
      <c r="G358" s="58"/>
      <c r="H358" s="58"/>
      <c r="I358" s="59"/>
      <c r="J358" s="59"/>
      <c r="K358" s="59"/>
      <c r="L358" s="59"/>
      <c r="M358" s="59"/>
      <c r="N358" s="59"/>
      <c r="P358" s="3"/>
      <c r="Q358" s="41"/>
      <c r="R358" s="41"/>
      <c r="S358" s="185"/>
      <c r="T358" s="184"/>
      <c r="U358" s="214"/>
      <c r="V358" s="214"/>
      <c r="W358" s="3"/>
      <c r="X358" s="3"/>
      <c r="Y358" s="3"/>
      <c r="Z358" s="3"/>
      <c r="AA358" s="3"/>
      <c r="AB358" s="3"/>
      <c r="AC358" s="214"/>
      <c r="AD358" s="214"/>
      <c r="AF358" s="3"/>
      <c r="AG358" s="3"/>
      <c r="AH358" s="3"/>
      <c r="AI358" s="24"/>
      <c r="AJ358" s="24"/>
      <c r="AK358" s="24"/>
      <c r="AL358" s="24"/>
      <c r="AN358" s="3"/>
      <c r="AP358" s="3"/>
      <c r="AQ358" s="3"/>
      <c r="AR358" s="3"/>
      <c r="AS358" s="3"/>
      <c r="AT358" s="3"/>
      <c r="AU358" s="3"/>
      <c r="AV358" s="3"/>
      <c r="AW358" s="3"/>
      <c r="AX358" s="3"/>
      <c r="AY358" s="3"/>
      <c r="AZ358" s="3"/>
      <c r="BA358" s="3"/>
      <c r="BB358" s="3"/>
      <c r="BC358" s="3"/>
      <c r="BD358" s="3"/>
      <c r="BE358" s="3"/>
      <c r="BF358" s="3"/>
      <c r="BG358" s="3"/>
      <c r="BH358" s="3"/>
      <c r="BI358" s="3"/>
      <c r="BJ358" s="3"/>
    </row>
    <row r="359" spans="1:62" ht="6" customHeight="1">
      <c r="A359" s="226">
        <v>57</v>
      </c>
      <c r="B359" s="56"/>
      <c r="C359" s="224" t="str">
        <f>INDEX(Riferimenti!$B$2:$B$65,A359)</f>
        <v>3-Idrossibutirrico</v>
      </c>
      <c r="D359" s="224"/>
      <c r="E359" s="224"/>
      <c r="F359" s="224"/>
      <c r="G359" s="224"/>
      <c r="H359" s="224"/>
      <c r="I359" s="224"/>
      <c r="J359" s="224"/>
      <c r="K359" s="224"/>
      <c r="L359" s="224"/>
      <c r="M359" s="224"/>
      <c r="N359" s="224"/>
      <c r="O359" s="216" t="str">
        <f>IF(INDEX(Riferimenti!$C$2:$C$66,A359)&gt;0,INDEX(Riferimenti!$C$2:$C$66,A359),"")</f>
        <v/>
      </c>
      <c r="P359" s="216" t="s">
        <v>4</v>
      </c>
      <c r="Q359" s="227">
        <f>INDEX(Riferimenti!$E$2:$E$66,A359)</f>
        <v>0.8</v>
      </c>
      <c r="R359" s="218"/>
      <c r="S359" s="240"/>
      <c r="T359" s="240"/>
      <c r="V359" s="2"/>
      <c r="AG359" s="216">
        <f>INDEX(Riferimenti!$Q$2:$Q$66,A359)</f>
        <v>0.2</v>
      </c>
      <c r="AH359" s="216">
        <f>INDEX(Riferimenti!$R$2:$R$66,A359)</f>
        <v>0.6</v>
      </c>
      <c r="AI359" s="3"/>
      <c r="AN359" s="3"/>
      <c r="AT359" s="3"/>
      <c r="AU359" s="3"/>
      <c r="AV359" s="3"/>
      <c r="AW359" s="3"/>
      <c r="AX359" s="3"/>
      <c r="AY359" s="3"/>
      <c r="AZ359" s="3"/>
      <c r="BA359" s="3"/>
      <c r="BB359" s="3"/>
      <c r="BC359" s="3"/>
      <c r="BD359" s="3"/>
      <c r="BE359" s="3"/>
      <c r="BF359" s="3"/>
      <c r="BG359" s="3"/>
      <c r="BH359" s="3"/>
      <c r="BI359" s="3"/>
      <c r="BJ359" s="3"/>
    </row>
    <row r="360" spans="1:62" ht="5.45" customHeight="1">
      <c r="A360" s="226"/>
      <c r="B360" s="56"/>
      <c r="C360" s="224"/>
      <c r="D360" s="224"/>
      <c r="E360" s="224"/>
      <c r="F360" s="224"/>
      <c r="G360" s="224"/>
      <c r="H360" s="224"/>
      <c r="I360" s="224"/>
      <c r="J360" s="224"/>
      <c r="K360" s="224"/>
      <c r="L360" s="224"/>
      <c r="M360" s="224"/>
      <c r="N360" s="224"/>
      <c r="O360" s="216"/>
      <c r="P360" s="216"/>
      <c r="Q360" s="227"/>
      <c r="R360" s="218"/>
      <c r="S360" s="240"/>
      <c r="T360" s="240"/>
      <c r="U360"/>
      <c r="V360"/>
      <c r="W360"/>
      <c r="X360"/>
      <c r="Y360"/>
      <c r="Z360"/>
      <c r="AA360"/>
      <c r="AB360"/>
      <c r="AC360"/>
      <c r="AD360"/>
      <c r="AF360"/>
      <c r="AG360" s="216"/>
      <c r="AH360" s="216"/>
      <c r="AN360" s="3"/>
      <c r="AO360" s="3"/>
      <c r="AP360" s="3"/>
      <c r="AQ360" s="3"/>
      <c r="AR360" s="3"/>
      <c r="AS360" s="3"/>
      <c r="AT360" s="3"/>
      <c r="AU360" s="3"/>
      <c r="AV360" s="3"/>
      <c r="AW360" s="3"/>
      <c r="AX360" s="3"/>
      <c r="AY360" s="3"/>
      <c r="AZ360" s="3"/>
      <c r="BA360" s="3"/>
      <c r="BB360" s="3"/>
      <c r="BC360" s="3"/>
      <c r="BD360" s="3"/>
      <c r="BE360" s="3"/>
      <c r="BF360" s="3"/>
      <c r="BG360" s="3"/>
      <c r="BH360" s="3"/>
      <c r="BI360" s="3"/>
      <c r="BJ360" s="3"/>
    </row>
    <row r="361" spans="1:62" ht="6" customHeight="1">
      <c r="A361" s="222"/>
      <c r="B361" s="222"/>
      <c r="C361" s="222"/>
      <c r="D361" s="222"/>
      <c r="E361" s="222"/>
      <c r="F361" s="222"/>
      <c r="G361" s="222"/>
      <c r="H361" s="222"/>
      <c r="I361" s="222"/>
      <c r="J361" s="222"/>
      <c r="K361" s="222"/>
      <c r="L361" s="222"/>
      <c r="M361" s="222"/>
      <c r="N361" s="27"/>
      <c r="O361" s="85"/>
      <c r="P361" s="42"/>
      <c r="Q361" s="76"/>
      <c r="R361" s="43"/>
      <c r="S361" s="182"/>
      <c r="T361" s="182"/>
      <c r="U361" s="43"/>
      <c r="V361" s="43"/>
      <c r="W361" s="43"/>
      <c r="X361" s="43"/>
      <c r="Y361" s="43"/>
      <c r="Z361" s="43"/>
      <c r="AA361" s="43"/>
      <c r="AB361" s="43"/>
      <c r="AC361" s="43"/>
      <c r="AD361" s="43"/>
      <c r="AF361" s="43"/>
      <c r="AG361" s="43"/>
      <c r="AH361" s="43"/>
      <c r="AI361" s="43"/>
      <c r="AJ361" s="43"/>
      <c r="AK361" s="43"/>
      <c r="AL361" s="43"/>
      <c r="AM361" s="43"/>
      <c r="AN361" s="43"/>
      <c r="AO361" s="43"/>
      <c r="AP361" s="43"/>
      <c r="AQ361" s="43"/>
      <c r="AR361" s="3"/>
      <c r="AS361" s="3"/>
      <c r="AT361" s="3"/>
      <c r="AU361" s="3"/>
      <c r="AV361" s="3"/>
      <c r="AW361" s="3"/>
      <c r="AX361" s="3"/>
      <c r="AY361" s="3"/>
      <c r="AZ361" s="3"/>
      <c r="BA361" s="3"/>
      <c r="BB361" s="3"/>
      <c r="BC361" s="3"/>
      <c r="BD361" s="3"/>
      <c r="BE361" s="3"/>
      <c r="BF361" s="3"/>
      <c r="BG361" s="3"/>
      <c r="BH361" s="3"/>
      <c r="BI361" s="3"/>
      <c r="BJ361" s="3"/>
    </row>
    <row r="362" spans="1:62" ht="6" customHeight="1">
      <c r="A362" s="222"/>
      <c r="B362" s="222"/>
      <c r="C362" s="222"/>
      <c r="D362" s="222"/>
      <c r="E362" s="222"/>
      <c r="F362" s="222"/>
      <c r="G362" s="222"/>
      <c r="H362" s="222"/>
      <c r="I362" s="222"/>
      <c r="J362" s="222"/>
      <c r="K362" s="222"/>
      <c r="L362" s="222"/>
      <c r="M362" s="222"/>
      <c r="N362" s="27"/>
      <c r="O362" s="85"/>
      <c r="P362" s="42"/>
      <c r="Q362" s="76"/>
      <c r="R362" s="43"/>
      <c r="S362" s="186"/>
      <c r="T362" s="183"/>
      <c r="V362" s="2"/>
      <c r="AN362" s="3"/>
      <c r="AO362" s="3"/>
      <c r="AP362" s="3"/>
      <c r="AQ362" s="3"/>
      <c r="AR362" s="3"/>
      <c r="AS362" s="3"/>
      <c r="AT362" s="3"/>
      <c r="AU362" s="3"/>
      <c r="AV362" s="3"/>
      <c r="AW362" s="3"/>
      <c r="AX362" s="3"/>
      <c r="AY362" s="3"/>
      <c r="AZ362" s="3"/>
      <c r="BA362" s="3"/>
      <c r="BB362" s="3"/>
      <c r="BC362" s="3"/>
      <c r="BD362" s="3"/>
      <c r="BE362" s="3"/>
      <c r="BF362" s="3"/>
      <c r="BG362" s="3"/>
      <c r="BH362" s="3"/>
      <c r="BI362" s="3"/>
      <c r="BJ362" s="3"/>
    </row>
    <row r="363" spans="1:62" ht="6" customHeight="1">
      <c r="A363" s="11"/>
      <c r="B363" s="9"/>
      <c r="D363" s="3"/>
      <c r="G363" s="2"/>
      <c r="H363" s="2"/>
      <c r="O363" s="46"/>
      <c r="P363" s="46"/>
      <c r="Q363" s="46"/>
      <c r="S363" s="190"/>
      <c r="T363" s="184"/>
      <c r="U363" s="3"/>
      <c r="V363" s="2"/>
      <c r="W363" s="3"/>
      <c r="Z363" s="12"/>
      <c r="AB363" s="3"/>
      <c r="AF363"/>
      <c r="AG363"/>
      <c r="AH363"/>
      <c r="AI363"/>
      <c r="AJ363"/>
      <c r="AK363"/>
      <c r="AL363"/>
      <c r="AM363"/>
      <c r="AN363"/>
      <c r="AO363"/>
      <c r="AP363"/>
      <c r="AQ363"/>
      <c r="AR363"/>
      <c r="AS363"/>
      <c r="AT363"/>
    </row>
    <row r="364" spans="1:62" ht="15.6" customHeight="1">
      <c r="A364" s="206" t="s">
        <v>139</v>
      </c>
      <c r="B364" s="206"/>
      <c r="C364" s="206"/>
      <c r="D364" s="206"/>
      <c r="E364" s="206"/>
      <c r="F364" s="206"/>
      <c r="G364" s="206"/>
      <c r="H364" s="206"/>
      <c r="I364" s="206"/>
      <c r="J364" s="206"/>
      <c r="K364" s="206"/>
      <c r="L364" s="206"/>
      <c r="M364" s="206"/>
      <c r="N364" s="206"/>
      <c r="O364" s="15"/>
      <c r="P364" s="15"/>
      <c r="Q364" s="15"/>
      <c r="R364" s="13"/>
      <c r="S364" s="187"/>
      <c r="T364" s="188"/>
      <c r="U364" s="14"/>
      <c r="V364" s="13"/>
      <c r="W364" s="14"/>
      <c r="X364" s="13"/>
      <c r="Y364" s="13"/>
      <c r="Z364" s="16"/>
      <c r="AA364" s="13"/>
      <c r="AB364" s="14"/>
      <c r="AC364" s="13"/>
      <c r="AD364" s="13"/>
      <c r="AF364"/>
      <c r="AG364"/>
      <c r="AH364"/>
      <c r="AI364"/>
      <c r="AJ364"/>
      <c r="AK364"/>
      <c r="AL364"/>
      <c r="AM364"/>
      <c r="AN364"/>
      <c r="AO364"/>
      <c r="AP364"/>
      <c r="AQ364"/>
      <c r="AR364"/>
      <c r="AS364"/>
      <c r="AT364"/>
    </row>
    <row r="365" spans="1:62" ht="9" customHeight="1">
      <c r="S365" s="183"/>
      <c r="T365" s="183"/>
      <c r="AF365"/>
      <c r="AG365"/>
      <c r="AH365"/>
      <c r="AI365"/>
      <c r="AJ365"/>
      <c r="AK365"/>
      <c r="AL365"/>
      <c r="AM365"/>
      <c r="AN365"/>
      <c r="AO365"/>
      <c r="AP365"/>
      <c r="AQ365"/>
      <c r="AR365"/>
      <c r="AS365"/>
      <c r="AT365"/>
    </row>
    <row r="366" spans="1:62" ht="10.9" customHeight="1">
      <c r="A366" s="3"/>
      <c r="C366" s="3"/>
      <c r="P366" s="3"/>
      <c r="Q366" s="3"/>
      <c r="R366" s="3"/>
      <c r="S366" s="184"/>
      <c r="T366" s="184"/>
      <c r="U366" s="214"/>
      <c r="V366" s="214"/>
      <c r="W366" s="3"/>
      <c r="X366" s="3"/>
      <c r="Y366" s="3"/>
      <c r="Z366" s="3"/>
      <c r="AA366" s="3"/>
      <c r="AB366" s="3"/>
      <c r="AC366" s="214"/>
      <c r="AD366" s="214"/>
      <c r="AF366" s="3"/>
      <c r="AG366" s="3"/>
      <c r="AH366" s="3"/>
      <c r="AI366" s="24"/>
      <c r="AJ366" s="24"/>
      <c r="AK366" s="24"/>
      <c r="AL366" s="24"/>
      <c r="AN366" s="3"/>
      <c r="AP366" s="3"/>
      <c r="AQ366" s="3"/>
      <c r="AR366" s="3"/>
      <c r="AS366" s="3"/>
      <c r="AT366" s="3"/>
      <c r="AU366" s="3"/>
      <c r="AV366" s="3"/>
      <c r="AW366" s="3"/>
      <c r="AX366" s="3"/>
      <c r="AY366" s="3"/>
      <c r="AZ366" s="3"/>
      <c r="BA366" s="3"/>
      <c r="BB366" s="3"/>
      <c r="BC366" s="3"/>
      <c r="BD366" s="3"/>
      <c r="BE366" s="3"/>
      <c r="BF366" s="3"/>
      <c r="BG366" s="3"/>
      <c r="BH366" s="3"/>
      <c r="BI366" s="3"/>
      <c r="BJ366" s="3"/>
    </row>
    <row r="367" spans="1:62" ht="6" customHeight="1">
      <c r="A367" s="226">
        <v>58</v>
      </c>
      <c r="B367" s="56"/>
      <c r="C367" s="224" t="str">
        <f>INDEX(Riferimenti!$B$2:$B$65,A367)</f>
        <v>Piruvico</v>
      </c>
      <c r="D367" s="224"/>
      <c r="E367" s="224"/>
      <c r="F367" s="224"/>
      <c r="G367" s="224"/>
      <c r="H367" s="224"/>
      <c r="I367" s="224"/>
      <c r="J367" s="224"/>
      <c r="K367" s="224"/>
      <c r="L367" s="224"/>
      <c r="M367" s="224"/>
      <c r="N367" s="224"/>
      <c r="O367" s="216">
        <f>IF(INDEX(Riferimenti!$C$2:$C$66,A367)&gt;0,INDEX(Riferimenti!$C$2:$C$66,A367),"")</f>
        <v>0.8</v>
      </c>
      <c r="P367" s="216" t="str">
        <f>INDEX(Riferimenti!$D$2:$D$66,A367)</f>
        <v>-</v>
      </c>
      <c r="Q367" s="227">
        <f>INDEX(Riferimenti!$E$2:$E$66,A367)</f>
        <v>4.3</v>
      </c>
      <c r="R367" s="218"/>
      <c r="S367" s="240"/>
      <c r="T367" s="240"/>
      <c r="V367" s="2"/>
      <c r="AG367" s="216">
        <f>INDEX(Riferimenti!$Q$2:$Q$66,A367)</f>
        <v>1.7</v>
      </c>
      <c r="AH367" s="216">
        <f>INDEX(Riferimenti!$R$2:$R$66,A367)</f>
        <v>3.5</v>
      </c>
      <c r="AI367" s="3"/>
      <c r="AN367" s="3"/>
      <c r="AT367" s="3"/>
      <c r="AU367" s="3"/>
      <c r="AV367" s="3"/>
      <c r="AW367" s="3"/>
      <c r="AX367" s="3"/>
      <c r="AY367" s="3"/>
      <c r="AZ367" s="3"/>
      <c r="BA367" s="3"/>
      <c r="BB367" s="3"/>
      <c r="BC367" s="3"/>
      <c r="BD367" s="3"/>
      <c r="BE367" s="3"/>
      <c r="BF367" s="3"/>
      <c r="BG367" s="3"/>
      <c r="BH367" s="3"/>
      <c r="BI367" s="3"/>
      <c r="BJ367" s="3"/>
    </row>
    <row r="368" spans="1:62" ht="5.45" customHeight="1">
      <c r="A368" s="226"/>
      <c r="B368" s="56"/>
      <c r="C368" s="224"/>
      <c r="D368" s="224"/>
      <c r="E368" s="224"/>
      <c r="F368" s="224"/>
      <c r="G368" s="224"/>
      <c r="H368" s="224"/>
      <c r="I368" s="224"/>
      <c r="J368" s="224"/>
      <c r="K368" s="224"/>
      <c r="L368" s="224"/>
      <c r="M368" s="224"/>
      <c r="N368" s="224"/>
      <c r="O368" s="216"/>
      <c r="P368" s="216"/>
      <c r="Q368" s="227"/>
      <c r="R368" s="218"/>
      <c r="S368" s="240"/>
      <c r="T368" s="240"/>
      <c r="U368"/>
      <c r="V368"/>
      <c r="W368"/>
      <c r="X368"/>
      <c r="Y368"/>
      <c r="Z368"/>
      <c r="AA368"/>
      <c r="AB368"/>
      <c r="AC368"/>
      <c r="AD368"/>
      <c r="AF368"/>
      <c r="AG368" s="216"/>
      <c r="AH368" s="216"/>
      <c r="AN368" s="3"/>
      <c r="AO368" s="3"/>
      <c r="AP368" s="3"/>
      <c r="AQ368" s="3"/>
      <c r="AR368" s="3"/>
      <c r="AS368" s="3"/>
      <c r="AT368" s="3"/>
      <c r="AU368" s="3"/>
      <c r="AV368" s="3"/>
      <c r="AW368" s="3"/>
      <c r="AX368" s="3"/>
      <c r="AY368" s="3"/>
      <c r="AZ368" s="3"/>
      <c r="BA368" s="3"/>
      <c r="BB368" s="3"/>
      <c r="BC368" s="3"/>
      <c r="BD368" s="3"/>
      <c r="BE368" s="3"/>
      <c r="BF368" s="3"/>
      <c r="BG368" s="3"/>
      <c r="BH368" s="3"/>
      <c r="BI368" s="3"/>
      <c r="BJ368" s="3"/>
    </row>
    <row r="369" spans="1:62" ht="6" customHeight="1">
      <c r="A369" s="205"/>
      <c r="B369" s="205"/>
      <c r="C369" s="205"/>
      <c r="D369" s="205"/>
      <c r="E369" s="205"/>
      <c r="F369" s="205"/>
      <c r="G369" s="205"/>
      <c r="H369" s="205"/>
      <c r="I369" s="205"/>
      <c r="J369" s="205"/>
      <c r="K369" s="205"/>
      <c r="L369" s="205"/>
      <c r="M369" s="205"/>
      <c r="N369" s="57"/>
      <c r="O369" s="78"/>
      <c r="P369" s="39"/>
      <c r="Q369" s="77"/>
      <c r="R369" s="80"/>
      <c r="S369" s="181"/>
      <c r="T369" s="182"/>
      <c r="U369" s="43"/>
      <c r="V369" s="43"/>
      <c r="W369" s="43"/>
      <c r="X369" s="43"/>
      <c r="Y369" s="43"/>
      <c r="Z369" s="43"/>
      <c r="AA369" s="43"/>
      <c r="AB369" s="43"/>
      <c r="AC369" s="43"/>
      <c r="AD369" s="43"/>
      <c r="AF369" s="43"/>
      <c r="AG369" s="43"/>
      <c r="AH369" s="43"/>
      <c r="AI369" s="43"/>
      <c r="AJ369" s="43"/>
      <c r="AK369" s="43"/>
      <c r="AL369" s="43"/>
      <c r="AM369" s="43"/>
      <c r="AN369" s="43"/>
      <c r="AO369" s="43"/>
      <c r="AP369" s="43"/>
      <c r="AQ369" s="43"/>
      <c r="AR369" s="3"/>
      <c r="AS369" s="3"/>
      <c r="AT369" s="3"/>
      <c r="AU369" s="3"/>
      <c r="AV369" s="3"/>
      <c r="AW369" s="3"/>
      <c r="AX369" s="3"/>
      <c r="AY369" s="3"/>
      <c r="AZ369" s="3"/>
      <c r="BA369" s="3"/>
      <c r="BB369" s="3"/>
      <c r="BC369" s="3"/>
      <c r="BD369" s="3"/>
      <c r="BE369" s="3"/>
      <c r="BF369" s="3"/>
      <c r="BG369" s="3"/>
      <c r="BH369" s="3"/>
      <c r="BI369" s="3"/>
      <c r="BJ369" s="3"/>
    </row>
    <row r="370" spans="1:62" ht="6" customHeight="1">
      <c r="A370" s="205"/>
      <c r="B370" s="205"/>
      <c r="C370" s="205"/>
      <c r="D370" s="205"/>
      <c r="E370" s="205"/>
      <c r="F370" s="205"/>
      <c r="G370" s="205"/>
      <c r="H370" s="205"/>
      <c r="I370" s="205"/>
      <c r="J370" s="205"/>
      <c r="K370" s="205"/>
      <c r="L370" s="205"/>
      <c r="M370" s="205"/>
      <c r="N370" s="57"/>
      <c r="O370" s="78"/>
      <c r="P370" s="39"/>
      <c r="Q370" s="77"/>
      <c r="R370" s="80"/>
      <c r="S370" s="181"/>
      <c r="T370" s="183"/>
      <c r="V370" s="2"/>
      <c r="AN370" s="3"/>
      <c r="AO370" s="3"/>
      <c r="AP370" s="3"/>
      <c r="AQ370" s="3"/>
      <c r="AR370" s="3"/>
      <c r="AS370" s="3"/>
      <c r="AT370" s="3"/>
      <c r="AU370" s="3"/>
      <c r="AV370" s="3"/>
      <c r="AW370" s="3"/>
      <c r="AX370" s="3"/>
      <c r="AY370" s="3"/>
      <c r="AZ370" s="3"/>
      <c r="BA370" s="3"/>
      <c r="BB370" s="3"/>
      <c r="BC370" s="3"/>
      <c r="BD370" s="3"/>
      <c r="BE370" s="3"/>
      <c r="BF370" s="3"/>
      <c r="BG370" s="3"/>
      <c r="BH370" s="3"/>
      <c r="BI370" s="3"/>
      <c r="BJ370" s="3"/>
    </row>
    <row r="371" spans="1:62" ht="10.9" customHeight="1">
      <c r="A371" s="58"/>
      <c r="B371" s="58"/>
      <c r="C371" s="58"/>
      <c r="D371" s="59"/>
      <c r="E371" s="59"/>
      <c r="F371" s="59"/>
      <c r="G371" s="58"/>
      <c r="H371" s="58"/>
      <c r="I371" s="59"/>
      <c r="J371" s="59"/>
      <c r="K371" s="59"/>
      <c r="L371" s="59"/>
      <c r="M371" s="59"/>
      <c r="N371" s="59"/>
      <c r="O371" s="40"/>
      <c r="P371" s="41"/>
      <c r="Q371" s="41"/>
      <c r="R371" s="41"/>
      <c r="S371" s="185"/>
      <c r="T371" s="184"/>
      <c r="U371" s="214"/>
      <c r="V371" s="214"/>
      <c r="W371" s="3"/>
      <c r="X371" s="3"/>
      <c r="Y371" s="3"/>
      <c r="Z371" s="3"/>
      <c r="AA371" s="3"/>
      <c r="AB371" s="3"/>
      <c r="AC371" s="214"/>
      <c r="AD371" s="214"/>
      <c r="AF371" s="3"/>
      <c r="AG371" s="3"/>
      <c r="AH371" s="3"/>
      <c r="AI371" s="24"/>
      <c r="AJ371" s="24"/>
      <c r="AK371" s="24"/>
      <c r="AL371" s="24"/>
      <c r="AN371" s="3"/>
      <c r="AP371" s="3"/>
      <c r="AQ371" s="3"/>
      <c r="AR371" s="3"/>
      <c r="AS371" s="3"/>
      <c r="AT371" s="3"/>
      <c r="AU371" s="3"/>
      <c r="AV371" s="3"/>
      <c r="AW371" s="3"/>
      <c r="AX371" s="3"/>
      <c r="AY371" s="3"/>
      <c r="AZ371" s="3"/>
      <c r="BA371" s="3"/>
      <c r="BB371" s="3"/>
      <c r="BC371" s="3"/>
      <c r="BD371" s="3"/>
      <c r="BE371" s="3"/>
      <c r="BF371" s="3"/>
      <c r="BG371" s="3"/>
      <c r="BH371" s="3"/>
      <c r="BI371" s="3"/>
      <c r="BJ371" s="3"/>
    </row>
    <row r="372" spans="1:62" ht="6" customHeight="1">
      <c r="A372" s="226">
        <v>59</v>
      </c>
      <c r="B372" s="56"/>
      <c r="C372" s="224" t="str">
        <f>INDEX(Riferimenti!$B$2:$B$65,A372)</f>
        <v>Lattico</v>
      </c>
      <c r="D372" s="224"/>
      <c r="E372" s="224"/>
      <c r="F372" s="224"/>
      <c r="G372" s="224"/>
      <c r="H372" s="224"/>
      <c r="I372" s="224"/>
      <c r="J372" s="224"/>
      <c r="K372" s="224"/>
      <c r="L372" s="224"/>
      <c r="M372" s="224"/>
      <c r="N372" s="224"/>
      <c r="O372" s="216">
        <f>IF(INDEX(Riferimenti!$C$2:$C$66,A372)&gt;0,INDEX(Riferimenti!$C$2:$C$66,A372),"")</f>
        <v>0.7</v>
      </c>
      <c r="P372" s="216" t="str">
        <f>INDEX(Riferimenti!$D$2:$D$66,A372)</f>
        <v>-</v>
      </c>
      <c r="Q372" s="227">
        <f>INDEX(Riferimenti!$E$2:$E$66,A372)</f>
        <v>10.8</v>
      </c>
      <c r="R372" s="218"/>
      <c r="S372" s="240"/>
      <c r="T372" s="240"/>
      <c r="V372" s="2"/>
      <c r="AG372" s="216">
        <f>INDEX(Riferimenti!$Q$2:$Q$66,A372)</f>
        <v>3.3</v>
      </c>
      <c r="AH372" s="216">
        <f>INDEX(Riferimenti!$R$2:$R$66,A372)</f>
        <v>8.3000000000000007</v>
      </c>
      <c r="AI372" s="3"/>
      <c r="AN372" s="3"/>
      <c r="AT372" s="3"/>
      <c r="AU372" s="3"/>
      <c r="AV372" s="3"/>
      <c r="AW372" s="3"/>
      <c r="AX372" s="3"/>
      <c r="AY372" s="3"/>
      <c r="AZ372" s="3"/>
      <c r="BA372" s="3"/>
      <c r="BB372" s="3"/>
      <c r="BC372" s="3"/>
      <c r="BD372" s="3"/>
      <c r="BE372" s="3"/>
      <c r="BF372" s="3"/>
      <c r="BG372" s="3"/>
      <c r="BH372" s="3"/>
      <c r="BI372" s="3"/>
      <c r="BJ372" s="3"/>
    </row>
    <row r="373" spans="1:62" ht="5.45" customHeight="1">
      <c r="A373" s="226"/>
      <c r="B373" s="56"/>
      <c r="C373" s="224"/>
      <c r="D373" s="224"/>
      <c r="E373" s="224"/>
      <c r="F373" s="224"/>
      <c r="G373" s="224"/>
      <c r="H373" s="224"/>
      <c r="I373" s="224"/>
      <c r="J373" s="224"/>
      <c r="K373" s="224"/>
      <c r="L373" s="224"/>
      <c r="M373" s="224"/>
      <c r="N373" s="224"/>
      <c r="O373" s="216"/>
      <c r="P373" s="216"/>
      <c r="Q373" s="227"/>
      <c r="R373" s="218"/>
      <c r="S373" s="240"/>
      <c r="T373" s="240"/>
      <c r="U373"/>
      <c r="V373"/>
      <c r="W373"/>
      <c r="X373"/>
      <c r="Y373"/>
      <c r="Z373"/>
      <c r="AA373"/>
      <c r="AB373"/>
      <c r="AC373"/>
      <c r="AD373"/>
      <c r="AF373"/>
      <c r="AG373" s="216"/>
      <c r="AH373" s="216"/>
      <c r="AN373" s="3"/>
      <c r="AO373" s="3"/>
      <c r="AP373" s="3"/>
      <c r="AQ373" s="3"/>
      <c r="AR373" s="3"/>
      <c r="AS373" s="3"/>
      <c r="AT373" s="3"/>
      <c r="AU373" s="3"/>
      <c r="AV373" s="3"/>
      <c r="AW373" s="3"/>
      <c r="AX373" s="3"/>
      <c r="AY373" s="3"/>
      <c r="AZ373" s="3"/>
      <c r="BA373" s="3"/>
      <c r="BB373" s="3"/>
      <c r="BC373" s="3"/>
      <c r="BD373" s="3"/>
      <c r="BE373" s="3"/>
      <c r="BF373" s="3"/>
      <c r="BG373" s="3"/>
      <c r="BH373" s="3"/>
      <c r="BI373" s="3"/>
      <c r="BJ373" s="3"/>
    </row>
    <row r="374" spans="1:62" ht="6" customHeight="1">
      <c r="A374" s="222"/>
      <c r="B374" s="222"/>
      <c r="C374" s="222"/>
      <c r="D374" s="222"/>
      <c r="E374" s="222"/>
      <c r="F374" s="222"/>
      <c r="G374" s="222"/>
      <c r="H374" s="222"/>
      <c r="I374" s="222"/>
      <c r="J374" s="222"/>
      <c r="K374" s="222"/>
      <c r="L374" s="222"/>
      <c r="M374" s="222"/>
      <c r="N374" s="27"/>
      <c r="O374" s="78"/>
      <c r="P374" s="39"/>
      <c r="Q374" s="77"/>
      <c r="R374" s="43"/>
      <c r="S374" s="43"/>
      <c r="T374" s="43"/>
      <c r="U374" s="43"/>
      <c r="V374" s="43"/>
      <c r="W374" s="43"/>
      <c r="X374" s="43"/>
      <c r="Y374" s="43"/>
      <c r="Z374" s="43"/>
      <c r="AA374" s="43"/>
      <c r="AB374" s="43"/>
      <c r="AC374" s="43"/>
      <c r="AD374" s="43"/>
      <c r="AF374" s="43"/>
      <c r="AG374" s="43"/>
      <c r="AH374" s="43"/>
      <c r="AI374" s="43"/>
      <c r="AJ374" s="43"/>
      <c r="AK374" s="43"/>
      <c r="AL374" s="43"/>
      <c r="AM374" s="43"/>
      <c r="AN374" s="43"/>
      <c r="AO374" s="43"/>
      <c r="AP374" s="43"/>
      <c r="AQ374" s="43"/>
      <c r="AR374" s="3"/>
      <c r="AS374" s="3"/>
      <c r="AT374" s="3"/>
      <c r="AU374" s="3"/>
      <c r="AV374" s="3"/>
      <c r="AW374" s="3"/>
      <c r="AX374" s="3"/>
      <c r="AY374" s="3"/>
      <c r="AZ374" s="3"/>
      <c r="BA374" s="3"/>
      <c r="BB374" s="3"/>
      <c r="BC374" s="3"/>
      <c r="BD374" s="3"/>
      <c r="BE374" s="3"/>
      <c r="BF374" s="3"/>
      <c r="BG374" s="3"/>
      <c r="BH374" s="3"/>
      <c r="BI374" s="3"/>
      <c r="BJ374" s="3"/>
    </row>
    <row r="375" spans="1:62" ht="6" customHeight="1">
      <c r="A375" s="222"/>
      <c r="B375" s="222"/>
      <c r="C375" s="222"/>
      <c r="D375" s="222"/>
      <c r="E375" s="222"/>
      <c r="F375" s="222"/>
      <c r="G375" s="222"/>
      <c r="H375" s="222"/>
      <c r="I375" s="222"/>
      <c r="J375" s="222"/>
      <c r="K375" s="222"/>
      <c r="L375" s="222"/>
      <c r="M375" s="222"/>
      <c r="N375" s="27"/>
      <c r="O375" s="82"/>
      <c r="P375" s="38"/>
      <c r="Q375" s="37"/>
      <c r="R375" s="43"/>
      <c r="S375" s="25"/>
      <c r="V375" s="2"/>
      <c r="AN375" s="3"/>
      <c r="AO375" s="3"/>
      <c r="AP375" s="3"/>
      <c r="AQ375" s="3"/>
      <c r="AR375" s="3"/>
      <c r="AS375" s="3"/>
      <c r="AT375" s="3"/>
      <c r="AU375" s="3"/>
      <c r="AV375" s="3"/>
      <c r="AW375" s="3"/>
      <c r="AX375" s="3"/>
      <c r="AY375" s="3"/>
      <c r="AZ375" s="3"/>
      <c r="BA375" s="3"/>
      <c r="BB375" s="3"/>
      <c r="BC375" s="3"/>
      <c r="BD375" s="3"/>
      <c r="BE375" s="3"/>
      <c r="BF375" s="3"/>
      <c r="BG375" s="3"/>
      <c r="BH375" s="3"/>
      <c r="BI375" s="3"/>
      <c r="BJ375" s="3"/>
    </row>
    <row r="376" spans="1:62" ht="9" customHeight="1">
      <c r="A376" s="11"/>
      <c r="B376" s="9"/>
      <c r="D376" s="3"/>
      <c r="G376" s="2"/>
      <c r="H376" s="2"/>
      <c r="O376" s="46"/>
      <c r="P376" s="46"/>
      <c r="Q376" s="46"/>
      <c r="S376" s="46"/>
      <c r="T376" s="3"/>
      <c r="U376" s="3"/>
      <c r="V376" s="2"/>
      <c r="W376" s="3"/>
      <c r="Z376" s="12"/>
      <c r="AB376" s="3"/>
      <c r="AF376"/>
      <c r="AG376"/>
      <c r="AH376"/>
      <c r="AI376"/>
      <c r="AJ376"/>
      <c r="AK376"/>
      <c r="AL376"/>
      <c r="AM376"/>
      <c r="AN376"/>
      <c r="AO376"/>
      <c r="AP376"/>
      <c r="AQ376"/>
      <c r="AR376"/>
      <c r="AS376"/>
      <c r="AT376"/>
    </row>
    <row r="377" spans="1:62" ht="15.6" customHeight="1">
      <c r="A377" s="206" t="s">
        <v>142</v>
      </c>
      <c r="B377" s="206"/>
      <c r="C377" s="206"/>
      <c r="D377" s="206"/>
      <c r="E377" s="206"/>
      <c r="F377" s="206"/>
      <c r="G377" s="206"/>
      <c r="H377" s="206"/>
      <c r="I377" s="206"/>
      <c r="J377" s="206"/>
      <c r="K377" s="206"/>
      <c r="L377" s="206"/>
      <c r="M377" s="206"/>
      <c r="N377" s="206"/>
      <c r="O377" s="15"/>
      <c r="P377" s="15"/>
      <c r="Q377" s="15"/>
      <c r="R377" s="13"/>
      <c r="S377" s="15"/>
      <c r="T377" s="14"/>
      <c r="U377" s="14"/>
      <c r="V377" s="13"/>
      <c r="W377" s="14"/>
      <c r="X377" s="13"/>
      <c r="Y377" s="13"/>
      <c r="Z377" s="16"/>
      <c r="AA377" s="13"/>
      <c r="AB377" s="14"/>
      <c r="AC377" s="13"/>
      <c r="AD377" s="13"/>
      <c r="AF377"/>
      <c r="AG377"/>
      <c r="AH377"/>
      <c r="AI377"/>
      <c r="AJ377"/>
      <c r="AK377"/>
      <c r="AL377"/>
      <c r="AM377"/>
      <c r="AN377"/>
      <c r="AO377"/>
      <c r="AP377"/>
      <c r="AQ377"/>
      <c r="AR377"/>
      <c r="AS377"/>
      <c r="AT377"/>
    </row>
    <row r="378" spans="1:62" ht="9" customHeight="1">
      <c r="A378" s="11"/>
      <c r="B378" s="9"/>
      <c r="D378" s="3"/>
      <c r="G378" s="2"/>
      <c r="H378" s="2"/>
      <c r="O378" s="46"/>
      <c r="P378" s="46"/>
      <c r="Q378" s="46"/>
      <c r="S378" s="46"/>
      <c r="T378" s="3"/>
      <c r="U378" s="3"/>
      <c r="V378" s="2"/>
      <c r="W378" s="3"/>
      <c r="Z378" s="12"/>
      <c r="AB378" s="3"/>
      <c r="AF378"/>
      <c r="AG378"/>
      <c r="AH378"/>
      <c r="AI378"/>
      <c r="AJ378"/>
      <c r="AK378"/>
      <c r="AL378"/>
      <c r="AM378"/>
      <c r="AN378"/>
      <c r="AO378"/>
      <c r="AP378"/>
      <c r="AQ378"/>
      <c r="AR378"/>
      <c r="AS378"/>
      <c r="AT378"/>
    </row>
    <row r="379" spans="1:62" ht="13.9" customHeight="1">
      <c r="B379" s="2"/>
      <c r="C379" s="203" t="s">
        <v>143</v>
      </c>
      <c r="D379" s="203"/>
      <c r="E379" s="203"/>
      <c r="F379" s="203"/>
      <c r="G379" s="203"/>
      <c r="H379" s="203"/>
      <c r="I379" s="203"/>
      <c r="J379" s="203"/>
      <c r="K379" s="203"/>
      <c r="L379" s="203"/>
      <c r="M379" s="203"/>
      <c r="N379" s="203"/>
      <c r="O379" s="203"/>
      <c r="P379" s="203"/>
      <c r="Q379" s="3"/>
      <c r="R379" s="3"/>
      <c r="S379" s="3"/>
      <c r="T379" s="3"/>
      <c r="U379" s="3"/>
      <c r="V379" s="3"/>
      <c r="W379" s="3"/>
      <c r="X379" s="3"/>
      <c r="Y379" s="3"/>
      <c r="Z379" s="3"/>
      <c r="AA379" s="3"/>
      <c r="AB379" s="3"/>
      <c r="AC379" s="3"/>
      <c r="AD379" s="3"/>
      <c r="AF379"/>
      <c r="AG379"/>
      <c r="AH379"/>
      <c r="AI379"/>
      <c r="AJ379"/>
      <c r="AK379"/>
      <c r="AL379"/>
      <c r="AM379"/>
      <c r="AN379"/>
      <c r="AO379"/>
      <c r="AP379"/>
      <c r="AQ379"/>
      <c r="AR379"/>
      <c r="AS379"/>
      <c r="AT379"/>
    </row>
    <row r="380" spans="1:62" ht="6.6" customHeight="1">
      <c r="AF380"/>
      <c r="AG380"/>
      <c r="AH380"/>
      <c r="AI380"/>
      <c r="AJ380"/>
      <c r="AK380"/>
      <c r="AL380"/>
      <c r="AM380"/>
      <c r="AN380"/>
      <c r="AO380"/>
      <c r="AP380"/>
      <c r="AQ380"/>
      <c r="AR380"/>
      <c r="AS380"/>
      <c r="AT380"/>
    </row>
    <row r="381" spans="1:62" ht="10.9" customHeight="1">
      <c r="AF381"/>
      <c r="AG381"/>
      <c r="AH381"/>
      <c r="AI381"/>
      <c r="AJ381"/>
      <c r="AK381"/>
      <c r="AL381"/>
      <c r="AM381"/>
      <c r="AN381"/>
      <c r="AO381"/>
      <c r="AP381"/>
      <c r="AQ381"/>
      <c r="AR381"/>
      <c r="AS381"/>
      <c r="AT381"/>
    </row>
    <row r="382" spans="1:62" ht="6" customHeight="1">
      <c r="A382" s="226">
        <v>60</v>
      </c>
      <c r="B382" s="56"/>
      <c r="C382" s="224" t="str">
        <f>INDEX(Riferimenti!$B$2:$B$65,A382)</f>
        <v>2-Idrossiippurico</v>
      </c>
      <c r="D382" s="224"/>
      <c r="E382" s="224"/>
      <c r="F382" s="224"/>
      <c r="G382" s="224"/>
      <c r="H382" s="224"/>
      <c r="I382" s="224"/>
      <c r="J382" s="224"/>
      <c r="K382" s="224"/>
      <c r="L382" s="224"/>
      <c r="M382" s="224"/>
      <c r="N382" s="224"/>
      <c r="O382" s="216" t="str">
        <f>IF(INDEX(Riferimenti!$C$2:$C$66,A382)&gt;0,INDEX(Riferimenti!$C$2:$C$66,A382),"")</f>
        <v/>
      </c>
      <c r="P382" s="216" t="s">
        <v>4</v>
      </c>
      <c r="Q382" s="227">
        <f>INDEX(Riferimenti!$E$2:$E$66,A382)</f>
        <v>12.4</v>
      </c>
      <c r="R382" s="218"/>
      <c r="S382" s="240"/>
      <c r="T382" s="240"/>
      <c r="V382" s="2"/>
      <c r="AG382" s="216">
        <f>INDEX(Riferimenti!$Q$2:$Q$66,A382)</f>
        <v>1.6</v>
      </c>
      <c r="AH382" s="216">
        <f>INDEX(Riferimenti!$R$2:$R$66,A382)</f>
        <v>8.8000000000000007</v>
      </c>
      <c r="AI382" s="3"/>
      <c r="AN382" s="3"/>
      <c r="AT382" s="3"/>
      <c r="AU382" s="3"/>
      <c r="AV382" s="3"/>
      <c r="AW382" s="3"/>
      <c r="AX382" s="3"/>
      <c r="AY382" s="3"/>
      <c r="AZ382" s="3"/>
      <c r="BA382" s="3"/>
      <c r="BB382" s="3"/>
      <c r="BC382" s="3"/>
      <c r="BD382" s="3"/>
      <c r="BE382" s="3"/>
      <c r="BF382" s="3"/>
      <c r="BG382" s="3"/>
      <c r="BH382" s="3"/>
      <c r="BI382" s="3"/>
      <c r="BJ382" s="3"/>
    </row>
    <row r="383" spans="1:62" ht="5.45" customHeight="1">
      <c r="A383" s="226"/>
      <c r="B383" s="56"/>
      <c r="C383" s="224"/>
      <c r="D383" s="224"/>
      <c r="E383" s="224"/>
      <c r="F383" s="224"/>
      <c r="G383" s="224"/>
      <c r="H383" s="224"/>
      <c r="I383" s="224"/>
      <c r="J383" s="224"/>
      <c r="K383" s="224"/>
      <c r="L383" s="224"/>
      <c r="M383" s="224"/>
      <c r="N383" s="224"/>
      <c r="O383" s="216"/>
      <c r="P383" s="216"/>
      <c r="Q383" s="227"/>
      <c r="R383" s="218"/>
      <c r="S383" s="240"/>
      <c r="T383" s="240"/>
      <c r="U383"/>
      <c r="V383"/>
      <c r="W383"/>
      <c r="X383"/>
      <c r="Y383"/>
      <c r="Z383"/>
      <c r="AA383"/>
      <c r="AB383"/>
      <c r="AC383"/>
      <c r="AD383"/>
      <c r="AF383"/>
      <c r="AG383" s="216"/>
      <c r="AH383" s="216"/>
      <c r="AN383" s="3"/>
      <c r="AO383" s="3"/>
      <c r="AP383" s="3"/>
      <c r="AQ383" s="3"/>
      <c r="AR383" s="3"/>
      <c r="AS383" s="3"/>
      <c r="AT383" s="3"/>
      <c r="AU383" s="3"/>
      <c r="AV383" s="3"/>
      <c r="AW383" s="3"/>
      <c r="AX383" s="3"/>
      <c r="AY383" s="3"/>
      <c r="AZ383" s="3"/>
      <c r="BA383" s="3"/>
      <c r="BB383" s="3"/>
      <c r="BC383" s="3"/>
      <c r="BD383" s="3"/>
      <c r="BE383" s="3"/>
      <c r="BF383" s="3"/>
      <c r="BG383" s="3"/>
      <c r="BH383" s="3"/>
      <c r="BI383" s="3"/>
      <c r="BJ383" s="3"/>
    </row>
    <row r="384" spans="1:62" ht="6" customHeight="1">
      <c r="A384" s="222"/>
      <c r="B384" s="222"/>
      <c r="C384" s="222"/>
      <c r="D384" s="222"/>
      <c r="E384" s="222"/>
      <c r="F384" s="222"/>
      <c r="G384" s="222"/>
      <c r="H384" s="222"/>
      <c r="I384" s="222"/>
      <c r="J384" s="222"/>
      <c r="K384" s="222"/>
      <c r="L384" s="222"/>
      <c r="M384" s="222"/>
      <c r="N384" s="27"/>
      <c r="O384" s="82"/>
      <c r="P384" s="38"/>
      <c r="Q384" s="77"/>
      <c r="R384" s="80"/>
      <c r="S384" s="181"/>
      <c r="T384" s="182"/>
      <c r="U384" s="43"/>
      <c r="V384" s="43"/>
      <c r="W384" s="43"/>
      <c r="X384" s="43"/>
      <c r="Y384" s="43"/>
      <c r="Z384" s="43"/>
      <c r="AA384" s="43"/>
      <c r="AB384" s="43"/>
      <c r="AC384" s="43"/>
      <c r="AD384" s="43"/>
      <c r="AF384" s="43"/>
      <c r="AG384" s="43"/>
      <c r="AH384" s="43"/>
      <c r="AI384" s="43"/>
      <c r="AJ384" s="43"/>
      <c r="AK384" s="43"/>
      <c r="AL384" s="43"/>
      <c r="AM384" s="43"/>
      <c r="AN384" s="43"/>
      <c r="AO384" s="43"/>
      <c r="AP384" s="43"/>
      <c r="AQ384" s="43"/>
      <c r="AR384" s="3"/>
      <c r="AS384" s="3"/>
      <c r="AT384" s="3"/>
      <c r="AU384" s="3"/>
      <c r="AV384" s="3"/>
      <c r="AW384" s="3"/>
      <c r="AX384" s="3"/>
      <c r="AY384" s="3"/>
      <c r="AZ384" s="3"/>
      <c r="BA384" s="3"/>
      <c r="BB384" s="3"/>
      <c r="BC384" s="3"/>
      <c r="BD384" s="3"/>
      <c r="BE384" s="3"/>
      <c r="BF384" s="3"/>
      <c r="BG384" s="3"/>
      <c r="BH384" s="3"/>
      <c r="BI384" s="3"/>
      <c r="BJ384" s="3"/>
    </row>
    <row r="385" spans="1:62" ht="6" customHeight="1">
      <c r="A385" s="222"/>
      <c r="B385" s="222"/>
      <c r="C385" s="222"/>
      <c r="D385" s="222"/>
      <c r="E385" s="222"/>
      <c r="F385" s="222"/>
      <c r="G385" s="222"/>
      <c r="H385" s="222"/>
      <c r="I385" s="222"/>
      <c r="J385" s="222"/>
      <c r="K385" s="222"/>
      <c r="L385" s="222"/>
      <c r="M385" s="222"/>
      <c r="N385" s="27"/>
      <c r="O385" s="82"/>
      <c r="P385" s="38"/>
      <c r="Q385" s="77"/>
      <c r="R385" s="80"/>
      <c r="S385" s="181"/>
      <c r="T385" s="183"/>
      <c r="V385" s="2"/>
      <c r="AN385" s="3"/>
      <c r="AO385" s="3"/>
      <c r="AP385" s="3"/>
      <c r="AQ385" s="3"/>
      <c r="AR385" s="3"/>
      <c r="AS385" s="3"/>
      <c r="AT385" s="3"/>
      <c r="AU385" s="3"/>
      <c r="AV385" s="3"/>
      <c r="AW385" s="3"/>
      <c r="AX385" s="3"/>
      <c r="AY385" s="3"/>
      <c r="AZ385" s="3"/>
      <c r="BA385" s="3"/>
      <c r="BB385" s="3"/>
      <c r="BC385" s="3"/>
      <c r="BD385" s="3"/>
      <c r="BE385" s="3"/>
      <c r="BF385" s="3"/>
      <c r="BG385" s="3"/>
      <c r="BH385" s="3"/>
      <c r="BI385" s="3"/>
      <c r="BJ385" s="3"/>
    </row>
    <row r="386" spans="1:62" ht="8.4499999999999993" customHeight="1">
      <c r="A386" s="86"/>
      <c r="B386" s="86"/>
      <c r="C386" s="86"/>
      <c r="D386" s="86"/>
      <c r="E386" s="86"/>
      <c r="F386" s="86"/>
      <c r="G386" s="86"/>
      <c r="H386" s="86"/>
      <c r="I386" s="86"/>
      <c r="J386" s="86"/>
      <c r="K386" s="86"/>
      <c r="L386" s="86"/>
      <c r="M386" s="86"/>
      <c r="N386" s="27"/>
      <c r="O386" s="82"/>
      <c r="P386" s="38"/>
      <c r="Q386" s="77"/>
      <c r="R386" s="80"/>
      <c r="S386" s="181"/>
      <c r="T386" s="183"/>
      <c r="V386" s="2"/>
      <c r="AF386"/>
      <c r="AG386"/>
      <c r="AH386"/>
      <c r="AI386"/>
      <c r="AJ386"/>
      <c r="AK386"/>
      <c r="AL386"/>
      <c r="AM386"/>
      <c r="AN386"/>
      <c r="AO386"/>
      <c r="AP386"/>
      <c r="AQ386"/>
      <c r="AR386" s="3"/>
      <c r="AS386" s="3"/>
      <c r="AT386" s="3"/>
      <c r="AU386" s="3"/>
      <c r="AV386" s="3"/>
      <c r="AW386" s="3"/>
      <c r="AX386" s="3"/>
      <c r="AY386" s="3"/>
      <c r="AZ386" s="3"/>
      <c r="BA386" s="3"/>
      <c r="BB386" s="3"/>
      <c r="BC386" s="3"/>
      <c r="BD386" s="3"/>
      <c r="BE386" s="3"/>
      <c r="BF386" s="3"/>
      <c r="BG386" s="3"/>
      <c r="BH386" s="3"/>
      <c r="BI386" s="3"/>
      <c r="BJ386" s="3"/>
    </row>
    <row r="387" spans="1:62" ht="13.9" customHeight="1">
      <c r="B387" s="2"/>
      <c r="C387" s="203" t="s">
        <v>144</v>
      </c>
      <c r="D387" s="203"/>
      <c r="E387" s="203"/>
      <c r="F387" s="203"/>
      <c r="G387" s="203"/>
      <c r="H387" s="203"/>
      <c r="I387" s="203"/>
      <c r="J387" s="203"/>
      <c r="K387" s="203"/>
      <c r="L387" s="203"/>
      <c r="M387" s="203"/>
      <c r="N387" s="203"/>
      <c r="O387" s="203"/>
      <c r="P387" s="203"/>
      <c r="Q387" s="41"/>
      <c r="R387" s="41"/>
      <c r="S387" s="185"/>
      <c r="T387" s="184"/>
      <c r="U387" s="3"/>
      <c r="V387" s="3"/>
      <c r="W387" s="3"/>
      <c r="X387" s="3"/>
      <c r="Y387" s="3"/>
      <c r="Z387" s="3"/>
      <c r="AA387" s="3"/>
      <c r="AB387" s="3"/>
      <c r="AC387" s="3"/>
      <c r="AD387" s="3"/>
      <c r="AF387"/>
      <c r="AG387"/>
      <c r="AH387"/>
      <c r="AI387"/>
      <c r="AJ387"/>
      <c r="AK387"/>
      <c r="AL387"/>
      <c r="AM387"/>
      <c r="AN387"/>
      <c r="AO387"/>
      <c r="AP387"/>
      <c r="AQ387"/>
      <c r="AR387"/>
      <c r="AS387"/>
      <c r="AT387"/>
    </row>
    <row r="388" spans="1:62" ht="6.6" customHeight="1">
      <c r="Q388" s="40"/>
      <c r="R388" s="40"/>
      <c r="S388" s="191"/>
      <c r="T388" s="183"/>
      <c r="AF388"/>
      <c r="AG388"/>
      <c r="AH388"/>
      <c r="AI388"/>
      <c r="AJ388"/>
      <c r="AK388"/>
      <c r="AL388"/>
      <c r="AM388"/>
      <c r="AN388"/>
      <c r="AO388"/>
      <c r="AP388"/>
      <c r="AQ388"/>
      <c r="AR388"/>
      <c r="AS388"/>
      <c r="AT388"/>
    </row>
    <row r="389" spans="1:62" ht="10.9" customHeight="1">
      <c r="Q389" s="40"/>
      <c r="R389" s="40"/>
      <c r="S389" s="191"/>
      <c r="T389" s="183"/>
      <c r="AF389"/>
      <c r="AG389"/>
      <c r="AH389"/>
      <c r="AI389"/>
      <c r="AJ389"/>
      <c r="AK389"/>
      <c r="AL389"/>
      <c r="AM389"/>
      <c r="AN389"/>
      <c r="AO389"/>
      <c r="AP389"/>
      <c r="AQ389"/>
      <c r="AR389"/>
      <c r="AS389"/>
      <c r="AT389"/>
    </row>
    <row r="390" spans="1:62" ht="6" customHeight="1">
      <c r="A390" s="226">
        <v>61</v>
      </c>
      <c r="B390" s="56"/>
      <c r="C390" s="224" t="str">
        <f>INDEX(Riferimenti!$B$2:$B$65,A390)</f>
        <v>Orotico</v>
      </c>
      <c r="D390" s="224"/>
      <c r="E390" s="224"/>
      <c r="F390" s="224"/>
      <c r="G390" s="224"/>
      <c r="H390" s="224"/>
      <c r="I390" s="224"/>
      <c r="J390" s="224"/>
      <c r="K390" s="224"/>
      <c r="L390" s="224"/>
      <c r="M390" s="224"/>
      <c r="N390" s="224"/>
      <c r="O390" s="216" t="str">
        <f>IF(INDEX(Riferimenti!$C$2:$C$66,A390)&gt;0,INDEX(Riferimenti!$C$2:$C$66,A390),"")</f>
        <v/>
      </c>
      <c r="P390" s="216" t="s">
        <v>4</v>
      </c>
      <c r="Q390" s="227">
        <f>INDEX(Riferimenti!$E$2:$E$66,A390)</f>
        <v>0.3</v>
      </c>
      <c r="R390" s="218"/>
      <c r="S390" s="240"/>
      <c r="T390" s="240"/>
      <c r="V390" s="2"/>
      <c r="AG390" s="216">
        <f>INDEX(Riferimenti!$Q$2:$Q$66,A390)</f>
        <v>0.12198000000000001</v>
      </c>
      <c r="AH390" s="216" t="e">
        <f>INDEX(Riferimenti!$R$2:$R$66,A390)</f>
        <v>#REF!</v>
      </c>
      <c r="AI390" s="3"/>
      <c r="AN390" s="3"/>
      <c r="AT390" s="3"/>
      <c r="AU390" s="3"/>
      <c r="AV390" s="3"/>
      <c r="AW390" s="3"/>
      <c r="AX390" s="3"/>
      <c r="AY390" s="3"/>
      <c r="AZ390" s="3"/>
      <c r="BA390" s="3"/>
      <c r="BB390" s="3"/>
      <c r="BC390" s="3"/>
      <c r="BD390" s="3"/>
      <c r="BE390" s="3"/>
      <c r="BF390" s="3"/>
      <c r="BG390" s="3"/>
      <c r="BH390" s="3"/>
      <c r="BI390" s="3"/>
      <c r="BJ390" s="3"/>
    </row>
    <row r="391" spans="1:62" ht="5.45" customHeight="1">
      <c r="A391" s="226"/>
      <c r="B391" s="56"/>
      <c r="C391" s="224"/>
      <c r="D391" s="224"/>
      <c r="E391" s="224"/>
      <c r="F391" s="224"/>
      <c r="G391" s="224"/>
      <c r="H391" s="224"/>
      <c r="I391" s="224"/>
      <c r="J391" s="224"/>
      <c r="K391" s="224"/>
      <c r="L391" s="224"/>
      <c r="M391" s="224"/>
      <c r="N391" s="224"/>
      <c r="O391" s="216"/>
      <c r="P391" s="216"/>
      <c r="Q391" s="227"/>
      <c r="R391" s="218"/>
      <c r="S391" s="240"/>
      <c r="T391" s="240"/>
      <c r="U391"/>
      <c r="V391"/>
      <c r="W391"/>
      <c r="X391"/>
      <c r="Y391"/>
      <c r="Z391"/>
      <c r="AA391"/>
      <c r="AB391"/>
      <c r="AC391"/>
      <c r="AD391"/>
      <c r="AF391"/>
      <c r="AG391" s="216"/>
      <c r="AH391" s="216"/>
      <c r="AN391" s="3"/>
      <c r="AO391" s="3"/>
      <c r="AP391" s="3"/>
      <c r="AQ391" s="3"/>
      <c r="AR391" s="3"/>
      <c r="AS391" s="3"/>
      <c r="AT391" s="3"/>
      <c r="AU391" s="3"/>
      <c r="AV391" s="3"/>
      <c r="AW391" s="3"/>
      <c r="AX391" s="3"/>
      <c r="AY391" s="3"/>
      <c r="AZ391" s="3"/>
      <c r="BA391" s="3"/>
      <c r="BB391" s="3"/>
      <c r="BC391" s="3"/>
      <c r="BD391" s="3"/>
      <c r="BE391" s="3"/>
      <c r="BF391" s="3"/>
      <c r="BG391" s="3"/>
      <c r="BH391" s="3"/>
      <c r="BI391" s="3"/>
      <c r="BJ391" s="3"/>
    </row>
    <row r="392" spans="1:62" ht="6" customHeight="1">
      <c r="A392" s="222"/>
      <c r="B392" s="222"/>
      <c r="C392" s="222"/>
      <c r="D392" s="222"/>
      <c r="E392" s="222"/>
      <c r="F392" s="222"/>
      <c r="G392" s="222"/>
      <c r="H392" s="222"/>
      <c r="I392" s="222"/>
      <c r="J392" s="222"/>
      <c r="K392" s="222"/>
      <c r="L392" s="222"/>
      <c r="M392" s="222"/>
      <c r="N392" s="27"/>
      <c r="O392" s="82"/>
      <c r="P392" s="38"/>
      <c r="Q392" s="77"/>
      <c r="R392" s="80"/>
      <c r="S392" s="181"/>
      <c r="T392" s="182"/>
      <c r="U392" s="43"/>
      <c r="V392" s="43"/>
      <c r="W392" s="43"/>
      <c r="X392" s="43"/>
      <c r="Y392" s="43"/>
      <c r="Z392" s="43"/>
      <c r="AA392" s="43"/>
      <c r="AB392" s="43"/>
      <c r="AC392" s="43"/>
      <c r="AD392" s="43"/>
      <c r="AF392" s="43"/>
      <c r="AG392" s="43"/>
      <c r="AH392" s="43"/>
      <c r="AI392" s="43"/>
      <c r="AJ392" s="43"/>
      <c r="AK392" s="43"/>
      <c r="AL392" s="43"/>
      <c r="AM392" s="43"/>
      <c r="AN392" s="43"/>
      <c r="AO392" s="43"/>
      <c r="AP392" s="43"/>
      <c r="AQ392" s="43"/>
      <c r="AR392" s="3"/>
      <c r="AS392" s="3"/>
      <c r="AT392" s="3"/>
      <c r="AU392" s="3"/>
      <c r="AV392" s="3"/>
      <c r="AW392" s="3"/>
      <c r="AX392" s="3"/>
      <c r="AY392" s="3"/>
      <c r="AZ392" s="3"/>
      <c r="BA392" s="3"/>
      <c r="BB392" s="3"/>
      <c r="BC392" s="3"/>
      <c r="BD392" s="3"/>
      <c r="BE392" s="3"/>
      <c r="BF392" s="3"/>
      <c r="BG392" s="3"/>
      <c r="BH392" s="3"/>
      <c r="BI392" s="3"/>
      <c r="BJ392" s="3"/>
    </row>
    <row r="393" spans="1:62" ht="6" customHeight="1">
      <c r="A393" s="222"/>
      <c r="B393" s="222"/>
      <c r="C393" s="222"/>
      <c r="D393" s="222"/>
      <c r="E393" s="222"/>
      <c r="F393" s="222"/>
      <c r="G393" s="222"/>
      <c r="H393" s="222"/>
      <c r="I393" s="222"/>
      <c r="J393" s="222"/>
      <c r="K393" s="222"/>
      <c r="L393" s="222"/>
      <c r="M393" s="222"/>
      <c r="N393" s="27"/>
      <c r="O393" s="82"/>
      <c r="P393" s="38"/>
      <c r="Q393" s="77"/>
      <c r="R393" s="80"/>
      <c r="S393" s="181"/>
      <c r="T393" s="183"/>
      <c r="V393" s="2"/>
      <c r="AN393" s="3"/>
      <c r="AO393" s="3"/>
      <c r="AP393" s="3"/>
      <c r="AQ393" s="3"/>
      <c r="AR393" s="3"/>
      <c r="AS393" s="3"/>
      <c r="AT393" s="3"/>
      <c r="AU393" s="3"/>
      <c r="AV393" s="3"/>
      <c r="AW393" s="3"/>
      <c r="AX393" s="3"/>
      <c r="AY393" s="3"/>
      <c r="AZ393" s="3"/>
      <c r="BA393" s="3"/>
      <c r="BB393" s="3"/>
      <c r="BC393" s="3"/>
      <c r="BD393" s="3"/>
      <c r="BE393" s="3"/>
      <c r="BF393" s="3"/>
      <c r="BG393" s="3"/>
      <c r="BH393" s="3"/>
      <c r="BI393" s="3"/>
      <c r="BJ393" s="3"/>
    </row>
    <row r="394" spans="1:62" ht="9" customHeight="1">
      <c r="A394" s="86"/>
      <c r="B394" s="86"/>
      <c r="C394" s="86"/>
      <c r="D394" s="86"/>
      <c r="E394" s="86"/>
      <c r="F394" s="86"/>
      <c r="G394" s="86"/>
      <c r="H394" s="86"/>
      <c r="I394" s="86"/>
      <c r="J394" s="86"/>
      <c r="K394" s="86"/>
      <c r="L394" s="86"/>
      <c r="M394" s="86"/>
      <c r="N394" s="27"/>
      <c r="O394" s="82"/>
      <c r="P394" s="38"/>
      <c r="Q394" s="77"/>
      <c r="R394" s="80"/>
      <c r="S394" s="181"/>
      <c r="T394" s="183"/>
      <c r="V394" s="2"/>
      <c r="AF394"/>
      <c r="AG394"/>
      <c r="AH394"/>
      <c r="AI394"/>
      <c r="AJ394"/>
      <c r="AK394"/>
      <c r="AL394"/>
      <c r="AM394"/>
      <c r="AN394"/>
      <c r="AO394"/>
      <c r="AP394"/>
      <c r="AQ394"/>
      <c r="AR394" s="3"/>
      <c r="AS394" s="3"/>
      <c r="AT394" s="3"/>
      <c r="AU394" s="3"/>
      <c r="AV394" s="3"/>
      <c r="AW394" s="3"/>
      <c r="AX394" s="3"/>
      <c r="AY394" s="3"/>
      <c r="AZ394" s="3"/>
      <c r="BA394" s="3"/>
      <c r="BB394" s="3"/>
      <c r="BC394" s="3"/>
      <c r="BD394" s="3"/>
      <c r="BE394" s="3"/>
      <c r="BF394" s="3"/>
      <c r="BG394" s="3"/>
      <c r="BH394" s="3"/>
      <c r="BI394" s="3"/>
      <c r="BJ394" s="3"/>
    </row>
    <row r="395" spans="1:62" ht="13.9" customHeight="1">
      <c r="B395" s="2"/>
      <c r="C395" s="203" t="s">
        <v>146</v>
      </c>
      <c r="D395" s="203"/>
      <c r="E395" s="203"/>
      <c r="F395" s="203"/>
      <c r="G395" s="203"/>
      <c r="H395" s="203"/>
      <c r="I395" s="203"/>
      <c r="J395" s="203"/>
      <c r="K395" s="203"/>
      <c r="L395" s="203"/>
      <c r="M395" s="203"/>
      <c r="N395" s="203"/>
      <c r="O395" s="203"/>
      <c r="P395" s="203"/>
      <c r="Q395" s="41"/>
      <c r="R395" s="41"/>
      <c r="S395" s="185"/>
      <c r="T395" s="184"/>
      <c r="U395" s="3"/>
      <c r="V395" s="3"/>
      <c r="W395" s="3"/>
      <c r="X395" s="3"/>
      <c r="Y395" s="3"/>
      <c r="Z395" s="3"/>
      <c r="AA395" s="3"/>
      <c r="AB395" s="3"/>
      <c r="AC395" s="3"/>
      <c r="AD395" s="3"/>
      <c r="AF395"/>
      <c r="AG395"/>
      <c r="AH395"/>
      <c r="AI395"/>
      <c r="AJ395"/>
      <c r="AK395"/>
      <c r="AL395"/>
      <c r="AM395"/>
      <c r="AN395"/>
      <c r="AO395"/>
      <c r="AP395"/>
      <c r="AQ395"/>
      <c r="AR395"/>
      <c r="AS395"/>
      <c r="AT395"/>
    </row>
    <row r="396" spans="1:62" ht="6.6" customHeight="1">
      <c r="Q396" s="40"/>
      <c r="R396" s="40"/>
      <c r="S396" s="191"/>
      <c r="T396" s="183"/>
      <c r="AF396"/>
      <c r="AG396"/>
      <c r="AH396"/>
      <c r="AI396"/>
      <c r="AJ396"/>
      <c r="AK396"/>
      <c r="AL396"/>
      <c r="AM396"/>
      <c r="AN396"/>
      <c r="AO396"/>
      <c r="AP396"/>
      <c r="AQ396"/>
      <c r="AR396"/>
      <c r="AS396"/>
      <c r="AT396"/>
    </row>
    <row r="397" spans="1:62" ht="10.9" customHeight="1">
      <c r="Q397" s="40"/>
      <c r="R397" s="40"/>
      <c r="S397" s="191"/>
      <c r="T397" s="183"/>
      <c r="AF397"/>
      <c r="AG397"/>
      <c r="AH397"/>
      <c r="AI397"/>
      <c r="AJ397"/>
      <c r="AK397"/>
      <c r="AL397"/>
      <c r="AM397"/>
      <c r="AN397"/>
      <c r="AO397"/>
      <c r="AP397"/>
      <c r="AQ397"/>
      <c r="AR397"/>
      <c r="AS397"/>
      <c r="AT397"/>
    </row>
    <row r="398" spans="1:62" ht="6" customHeight="1">
      <c r="A398" s="226">
        <v>62</v>
      </c>
      <c r="B398" s="56"/>
      <c r="C398" s="224" t="str">
        <f>INDEX(Riferimenti!$B$2:$B$65,A398)</f>
        <v>Piroglutammico</v>
      </c>
      <c r="D398" s="224"/>
      <c r="E398" s="224"/>
      <c r="F398" s="224"/>
      <c r="G398" s="224"/>
      <c r="H398" s="224"/>
      <c r="I398" s="224"/>
      <c r="J398" s="224"/>
      <c r="K398" s="224"/>
      <c r="L398" s="224"/>
      <c r="M398" s="224"/>
      <c r="N398" s="224"/>
      <c r="O398" s="216" t="str">
        <f>IF(INDEX(Riferimenti!$C$2:$C$66,A398)&gt;0,INDEX(Riferimenti!$C$2:$C$66,A398),"")</f>
        <v/>
      </c>
      <c r="P398" s="216" t="s">
        <v>4</v>
      </c>
      <c r="Q398" s="227">
        <f>INDEX(Riferimenti!$E$2:$E$66,A398)</f>
        <v>23.7</v>
      </c>
      <c r="R398" s="218"/>
      <c r="S398" s="240"/>
      <c r="T398" s="240"/>
      <c r="V398" s="2"/>
      <c r="AG398" s="216">
        <f>INDEX(Riferimenti!$Q$2:$Q$66,A398)</f>
        <v>10.9</v>
      </c>
      <c r="AH398" s="216">
        <f>INDEX(Riferimenti!$R$2:$R$66,A398)</f>
        <v>19.5</v>
      </c>
      <c r="AI398" s="3"/>
      <c r="AN398" s="3"/>
      <c r="AT398" s="3"/>
      <c r="AU398" s="3"/>
      <c r="AV398" s="3"/>
      <c r="AW398" s="3"/>
      <c r="AX398" s="3"/>
      <c r="AY398" s="3"/>
      <c r="AZ398" s="3"/>
      <c r="BA398" s="3"/>
      <c r="BB398" s="3"/>
      <c r="BC398" s="3"/>
      <c r="BD398" s="3"/>
      <c r="BE398" s="3"/>
      <c r="BF398" s="3"/>
      <c r="BG398" s="3"/>
      <c r="BH398" s="3"/>
      <c r="BI398" s="3"/>
      <c r="BJ398" s="3"/>
    </row>
    <row r="399" spans="1:62" ht="5.45" customHeight="1">
      <c r="A399" s="226"/>
      <c r="B399" s="56"/>
      <c r="C399" s="224"/>
      <c r="D399" s="224"/>
      <c r="E399" s="224"/>
      <c r="F399" s="224"/>
      <c r="G399" s="224"/>
      <c r="H399" s="224"/>
      <c r="I399" s="224"/>
      <c r="J399" s="224"/>
      <c r="K399" s="224"/>
      <c r="L399" s="224"/>
      <c r="M399" s="224"/>
      <c r="N399" s="224"/>
      <c r="O399" s="216"/>
      <c r="P399" s="216"/>
      <c r="Q399" s="227"/>
      <c r="R399" s="218"/>
      <c r="S399" s="240"/>
      <c r="T399" s="240"/>
      <c r="U399"/>
      <c r="V399"/>
      <c r="W399"/>
      <c r="X399"/>
      <c r="Y399"/>
      <c r="Z399"/>
      <c r="AA399"/>
      <c r="AB399"/>
      <c r="AC399"/>
      <c r="AD399"/>
      <c r="AF399"/>
      <c r="AG399" s="216"/>
      <c r="AH399" s="216"/>
      <c r="AN399" s="3"/>
      <c r="AO399" s="3"/>
      <c r="AP399" s="3"/>
      <c r="AQ399" s="3"/>
      <c r="AR399" s="3"/>
      <c r="AS399" s="3"/>
      <c r="AT399" s="3"/>
      <c r="AU399" s="3"/>
      <c r="AV399" s="3"/>
      <c r="AW399" s="3"/>
      <c r="AX399" s="3"/>
      <c r="AY399" s="3"/>
      <c r="AZ399" s="3"/>
      <c r="BA399" s="3"/>
      <c r="BB399" s="3"/>
      <c r="BC399" s="3"/>
      <c r="BD399" s="3"/>
      <c r="BE399" s="3"/>
      <c r="BF399" s="3"/>
      <c r="BG399" s="3"/>
      <c r="BH399" s="3"/>
      <c r="BI399" s="3"/>
      <c r="BJ399" s="3"/>
    </row>
    <row r="400" spans="1:62" ht="6" customHeight="1">
      <c r="A400" s="205"/>
      <c r="B400" s="205"/>
      <c r="C400" s="205"/>
      <c r="D400" s="205"/>
      <c r="E400" s="205"/>
      <c r="F400" s="205"/>
      <c r="G400" s="205"/>
      <c r="H400" s="205"/>
      <c r="I400" s="205"/>
      <c r="J400" s="205"/>
      <c r="K400" s="205"/>
      <c r="L400" s="205"/>
      <c r="M400" s="205"/>
      <c r="N400" s="57"/>
      <c r="O400" s="78"/>
      <c r="P400" s="39"/>
      <c r="Q400" s="77"/>
      <c r="R400" s="80"/>
      <c r="S400" s="181"/>
      <c r="T400" s="182"/>
      <c r="U400" s="43"/>
      <c r="V400" s="43"/>
      <c r="W400" s="43"/>
      <c r="X400" s="43"/>
      <c r="Y400" s="43"/>
      <c r="Z400" s="43"/>
      <c r="AA400" s="43"/>
      <c r="AB400" s="43"/>
      <c r="AC400" s="43"/>
      <c r="AD400" s="43"/>
      <c r="AF400" s="43"/>
      <c r="AG400" s="43"/>
      <c r="AH400" s="43"/>
      <c r="AI400" s="43"/>
      <c r="AJ400" s="43"/>
      <c r="AK400" s="43"/>
      <c r="AL400" s="43"/>
      <c r="AM400" s="43"/>
      <c r="AN400" s="43"/>
      <c r="AO400" s="43"/>
      <c r="AP400" s="43"/>
      <c r="AQ400" s="43"/>
      <c r="AR400" s="3"/>
      <c r="AS400" s="3"/>
      <c r="AT400" s="3"/>
      <c r="AU400" s="3"/>
      <c r="AV400" s="3"/>
      <c r="AW400" s="3"/>
      <c r="AX400" s="3"/>
      <c r="AY400" s="3"/>
      <c r="AZ400" s="3"/>
      <c r="BA400" s="3"/>
      <c r="BB400" s="3"/>
      <c r="BC400" s="3"/>
      <c r="BD400" s="3"/>
      <c r="BE400" s="3"/>
      <c r="BF400" s="3"/>
      <c r="BG400" s="3"/>
      <c r="BH400" s="3"/>
      <c r="BI400" s="3"/>
      <c r="BJ400" s="3"/>
    </row>
    <row r="401" spans="1:62" ht="6" customHeight="1">
      <c r="A401" s="205"/>
      <c r="B401" s="205"/>
      <c r="C401" s="205"/>
      <c r="D401" s="205"/>
      <c r="E401" s="205"/>
      <c r="F401" s="205"/>
      <c r="G401" s="205"/>
      <c r="H401" s="205"/>
      <c r="I401" s="205"/>
      <c r="J401" s="205"/>
      <c r="K401" s="205"/>
      <c r="L401" s="205"/>
      <c r="M401" s="205"/>
      <c r="N401" s="57"/>
      <c r="O401" s="78"/>
      <c r="P401" s="39"/>
      <c r="Q401" s="77"/>
      <c r="R401" s="80"/>
      <c r="S401" s="181"/>
      <c r="T401" s="183"/>
      <c r="V401" s="2"/>
      <c r="AN401" s="3"/>
      <c r="AO401" s="3"/>
      <c r="AP401" s="3"/>
      <c r="AQ401" s="3"/>
      <c r="AR401" s="3"/>
      <c r="AS401" s="3"/>
      <c r="AT401" s="3"/>
      <c r="AU401" s="3"/>
      <c r="AV401" s="3"/>
      <c r="AW401" s="3"/>
      <c r="AX401" s="3"/>
      <c r="AY401" s="3"/>
      <c r="AZ401" s="3"/>
      <c r="BA401" s="3"/>
      <c r="BB401" s="3"/>
      <c r="BC401" s="3"/>
      <c r="BD401" s="3"/>
      <c r="BE401" s="3"/>
      <c r="BF401" s="3"/>
      <c r="BG401" s="3"/>
      <c r="BH401" s="3"/>
      <c r="BI401" s="3"/>
      <c r="BJ401" s="3"/>
    </row>
    <row r="402" spans="1:62" ht="10.9" customHeight="1">
      <c r="A402" s="58"/>
      <c r="B402" s="58"/>
      <c r="C402" s="58"/>
      <c r="D402" s="59"/>
      <c r="E402" s="59"/>
      <c r="F402" s="59"/>
      <c r="G402" s="58"/>
      <c r="H402" s="58"/>
      <c r="I402" s="59"/>
      <c r="J402" s="59"/>
      <c r="K402" s="59"/>
      <c r="L402" s="59"/>
      <c r="M402" s="59"/>
      <c r="N402" s="59"/>
      <c r="O402" s="40"/>
      <c r="P402" s="41"/>
      <c r="Q402" s="41"/>
      <c r="R402" s="41"/>
      <c r="S402" s="185"/>
      <c r="T402" s="184"/>
      <c r="U402" s="214"/>
      <c r="V402" s="214"/>
      <c r="W402" s="3"/>
      <c r="X402" s="3"/>
      <c r="Y402" s="3"/>
      <c r="Z402" s="3"/>
      <c r="AA402" s="3"/>
      <c r="AB402" s="3"/>
      <c r="AC402" s="214"/>
      <c r="AD402" s="214"/>
      <c r="AF402" s="3"/>
      <c r="AG402" s="3"/>
      <c r="AH402" s="3"/>
      <c r="AI402" s="24"/>
      <c r="AJ402" s="24"/>
      <c r="AK402" s="24"/>
      <c r="AL402" s="24"/>
      <c r="AN402" s="3"/>
      <c r="AP402" s="3"/>
      <c r="AQ402" s="3"/>
      <c r="AR402" s="3"/>
      <c r="AS402" s="3"/>
      <c r="AT402" s="3"/>
      <c r="AU402" s="3"/>
      <c r="AV402" s="3"/>
      <c r="AW402" s="3"/>
      <c r="AX402" s="3"/>
      <c r="AY402" s="3"/>
      <c r="AZ402" s="3"/>
      <c r="BA402" s="3"/>
      <c r="BB402" s="3"/>
      <c r="BC402" s="3"/>
      <c r="BD402" s="3"/>
      <c r="BE402" s="3"/>
      <c r="BF402" s="3"/>
      <c r="BG402" s="3"/>
      <c r="BH402" s="3"/>
      <c r="BI402" s="3"/>
      <c r="BJ402" s="3"/>
    </row>
    <row r="403" spans="1:62" ht="6" customHeight="1">
      <c r="A403" s="226">
        <v>63</v>
      </c>
      <c r="B403" s="56"/>
      <c r="C403" s="224" t="str">
        <f>INDEX(Riferimenti!$B$2:$B$65,A403)</f>
        <v>2-Idrossibutirrico</v>
      </c>
      <c r="D403" s="224"/>
      <c r="E403" s="224"/>
      <c r="F403" s="224"/>
      <c r="G403" s="224"/>
      <c r="H403" s="224"/>
      <c r="I403" s="224"/>
      <c r="J403" s="224"/>
      <c r="K403" s="224"/>
      <c r="L403" s="224"/>
      <c r="M403" s="224"/>
      <c r="N403" s="224"/>
      <c r="O403" s="216" t="str">
        <f>IF(INDEX(Riferimenti!$C$2:$C$66,A403)&gt;0,INDEX(Riferimenti!$C$2:$C$66,A403),"")</f>
        <v/>
      </c>
      <c r="P403" s="216" t="s">
        <v>4</v>
      </c>
      <c r="Q403" s="227">
        <f>INDEX(Riferimenti!$E$2:$E$66,A403)</f>
        <v>0.5</v>
      </c>
      <c r="R403" s="218"/>
      <c r="S403" s="240"/>
      <c r="T403" s="240"/>
      <c r="V403" s="2"/>
      <c r="AG403" s="216">
        <f>INDEX(Riferimenti!$Q$2:$Q$66,A403)</f>
        <v>0.1</v>
      </c>
      <c r="AH403" s="216">
        <f>INDEX(Riferimenti!$R$2:$R$66,A403)</f>
        <v>0.4</v>
      </c>
      <c r="AI403" s="3"/>
      <c r="AN403" s="3"/>
      <c r="AT403" s="3"/>
      <c r="AU403" s="3"/>
      <c r="AV403" s="3"/>
      <c r="AW403" s="3"/>
      <c r="AX403" s="3"/>
      <c r="AY403" s="3"/>
      <c r="AZ403" s="3"/>
      <c r="BA403" s="3"/>
      <c r="BB403" s="3"/>
      <c r="BC403" s="3"/>
      <c r="BD403" s="3"/>
      <c r="BE403" s="3"/>
      <c r="BF403" s="3"/>
      <c r="BG403" s="3"/>
      <c r="BH403" s="3"/>
      <c r="BI403" s="3"/>
      <c r="BJ403" s="3"/>
    </row>
    <row r="404" spans="1:62" ht="5.45" customHeight="1">
      <c r="A404" s="226"/>
      <c r="B404" s="56"/>
      <c r="C404" s="224"/>
      <c r="D404" s="224"/>
      <c r="E404" s="224"/>
      <c r="F404" s="224"/>
      <c r="G404" s="224"/>
      <c r="H404" s="224"/>
      <c r="I404" s="224"/>
      <c r="J404" s="224"/>
      <c r="K404" s="224"/>
      <c r="L404" s="224"/>
      <c r="M404" s="224"/>
      <c r="N404" s="224"/>
      <c r="O404" s="216"/>
      <c r="P404" s="216"/>
      <c r="Q404" s="227"/>
      <c r="R404" s="218"/>
      <c r="S404" s="240"/>
      <c r="T404" s="240"/>
      <c r="U404"/>
      <c r="V404"/>
      <c r="W404"/>
      <c r="X404"/>
      <c r="Y404"/>
      <c r="Z404"/>
      <c r="AA404"/>
      <c r="AB404"/>
      <c r="AC404"/>
      <c r="AD404"/>
      <c r="AF404"/>
      <c r="AG404" s="216"/>
      <c r="AH404" s="216"/>
      <c r="AN404" s="3"/>
      <c r="AO404" s="3"/>
      <c r="AP404" s="3"/>
      <c r="AQ404" s="3"/>
      <c r="AR404" s="3"/>
      <c r="AS404" s="3"/>
      <c r="AT404" s="3"/>
      <c r="AU404" s="3"/>
      <c r="AV404" s="3"/>
      <c r="AW404" s="3"/>
      <c r="AX404" s="3"/>
      <c r="AY404" s="3"/>
      <c r="AZ404" s="3"/>
      <c r="BA404" s="3"/>
      <c r="BB404" s="3"/>
      <c r="BC404" s="3"/>
      <c r="BD404" s="3"/>
      <c r="BE404" s="3"/>
      <c r="BF404" s="3"/>
      <c r="BG404" s="3"/>
      <c r="BH404" s="3"/>
      <c r="BI404" s="3"/>
      <c r="BJ404" s="3"/>
    </row>
    <row r="405" spans="1:62" ht="6" customHeight="1">
      <c r="A405" s="222"/>
      <c r="B405" s="222"/>
      <c r="C405" s="222"/>
      <c r="D405" s="222"/>
      <c r="E405" s="222"/>
      <c r="F405" s="222"/>
      <c r="G405" s="222"/>
      <c r="H405" s="222"/>
      <c r="I405" s="222"/>
      <c r="J405" s="222"/>
      <c r="K405" s="222"/>
      <c r="L405" s="222"/>
      <c r="M405" s="222"/>
      <c r="N405" s="27"/>
      <c r="O405" s="82"/>
      <c r="P405" s="38"/>
      <c r="Q405" s="37"/>
      <c r="R405" s="43"/>
      <c r="S405" s="182"/>
      <c r="T405" s="182"/>
      <c r="U405" s="43"/>
      <c r="V405" s="43"/>
      <c r="W405" s="43"/>
      <c r="X405" s="43"/>
      <c r="Y405" s="43"/>
      <c r="Z405" s="43"/>
      <c r="AA405" s="43"/>
      <c r="AB405" s="43"/>
      <c r="AC405" s="43"/>
      <c r="AD405" s="43"/>
      <c r="AF405" s="43"/>
      <c r="AG405" s="43"/>
      <c r="AH405" s="43"/>
      <c r="AI405" s="43"/>
      <c r="AJ405" s="43"/>
      <c r="AK405" s="43"/>
      <c r="AL405" s="43"/>
      <c r="AM405" s="43"/>
      <c r="AN405" s="43"/>
      <c r="AO405" s="43"/>
      <c r="AP405" s="43"/>
      <c r="AQ405" s="43"/>
      <c r="AR405" s="3"/>
      <c r="AS405" s="3"/>
      <c r="AT405" s="3"/>
      <c r="AU405" s="3"/>
      <c r="AV405" s="3"/>
      <c r="AW405" s="3"/>
      <c r="AX405" s="3"/>
      <c r="AY405" s="3"/>
      <c r="AZ405" s="3"/>
      <c r="BA405" s="3"/>
      <c r="BB405" s="3"/>
      <c r="BC405" s="3"/>
      <c r="BD405" s="3"/>
      <c r="BE405" s="3"/>
      <c r="BF405" s="3"/>
      <c r="BG405" s="3"/>
      <c r="BH405" s="3"/>
      <c r="BI405" s="3"/>
      <c r="BJ405" s="3"/>
    </row>
    <row r="406" spans="1:62" ht="6" customHeight="1">
      <c r="A406" s="222"/>
      <c r="B406" s="222"/>
      <c r="C406" s="222"/>
      <c r="D406" s="222"/>
      <c r="E406" s="222"/>
      <c r="F406" s="222"/>
      <c r="G406" s="222"/>
      <c r="H406" s="222"/>
      <c r="I406" s="222"/>
      <c r="J406" s="222"/>
      <c r="K406" s="222"/>
      <c r="L406" s="222"/>
      <c r="M406" s="222"/>
      <c r="N406" s="27"/>
      <c r="O406" s="82"/>
      <c r="P406" s="38"/>
      <c r="Q406" s="37"/>
      <c r="R406" s="43"/>
      <c r="S406" s="186"/>
      <c r="T406" s="183"/>
      <c r="V406" s="2"/>
      <c r="AN406" s="3"/>
      <c r="AO406" s="3"/>
      <c r="AP406" s="3"/>
      <c r="AQ406" s="3"/>
      <c r="AR406" s="3"/>
      <c r="AS406" s="3"/>
      <c r="AT406" s="3"/>
      <c r="AU406" s="3"/>
      <c r="AV406" s="3"/>
      <c r="AW406" s="3"/>
      <c r="AX406" s="3"/>
      <c r="AY406" s="3"/>
      <c r="AZ406" s="3"/>
      <c r="BA406" s="3"/>
      <c r="BB406" s="3"/>
      <c r="BC406" s="3"/>
      <c r="BD406" s="3"/>
      <c r="BE406" s="3"/>
      <c r="BF406" s="3"/>
      <c r="BG406" s="3"/>
      <c r="BH406" s="3"/>
      <c r="BI406" s="3"/>
      <c r="BJ406" s="3"/>
    </row>
    <row r="407" spans="1:62" ht="10.9" customHeight="1">
      <c r="A407" s="79"/>
      <c r="B407" s="79"/>
      <c r="C407" s="79"/>
      <c r="D407" s="79"/>
      <c r="E407" s="79"/>
      <c r="F407" s="79"/>
      <c r="G407" s="79"/>
      <c r="H407" s="79"/>
      <c r="I407" s="79"/>
      <c r="J407" s="79"/>
      <c r="K407" s="79"/>
      <c r="L407" s="79"/>
      <c r="M407" s="79"/>
      <c r="N407" s="27"/>
      <c r="O407" s="82"/>
      <c r="P407" s="38"/>
      <c r="Q407" s="37"/>
      <c r="R407" s="43"/>
      <c r="S407" s="186"/>
      <c r="T407" s="183"/>
      <c r="V407" s="2"/>
      <c r="AN407" s="3"/>
      <c r="AO407" s="3"/>
      <c r="AP407" s="3"/>
      <c r="AQ407" s="3"/>
      <c r="AR407" s="3"/>
      <c r="AS407" s="3"/>
      <c r="AT407" s="3"/>
      <c r="AU407" s="3"/>
      <c r="AV407" s="3"/>
      <c r="AW407" s="3"/>
      <c r="AX407" s="3"/>
      <c r="AY407" s="3"/>
      <c r="AZ407" s="3"/>
      <c r="BA407" s="3"/>
      <c r="BB407" s="3"/>
      <c r="BC407" s="3"/>
      <c r="BD407" s="3"/>
      <c r="BE407" s="3"/>
      <c r="BF407" s="3"/>
      <c r="BG407" s="3"/>
      <c r="BH407" s="3"/>
      <c r="BI407" s="3"/>
      <c r="BJ407" s="3"/>
    </row>
    <row r="408" spans="1:62" ht="15.6" customHeight="1">
      <c r="A408" s="206"/>
      <c r="B408" s="206"/>
      <c r="C408" s="206"/>
      <c r="D408" s="206"/>
      <c r="E408" s="206"/>
      <c r="F408" s="206"/>
      <c r="G408" s="206"/>
      <c r="H408" s="206"/>
      <c r="I408" s="206"/>
      <c r="J408" s="206"/>
      <c r="K408" s="206"/>
      <c r="L408" s="206"/>
      <c r="M408" s="206"/>
      <c r="N408" s="206"/>
      <c r="O408" s="15"/>
      <c r="P408" s="15"/>
      <c r="Q408" s="15"/>
      <c r="R408" s="13"/>
      <c r="S408" s="187"/>
      <c r="T408" s="188"/>
      <c r="U408" s="14"/>
      <c r="V408" s="13"/>
      <c r="W408" s="14"/>
      <c r="X408" s="13"/>
      <c r="Y408" s="13"/>
      <c r="Z408" s="16"/>
      <c r="AA408" s="13"/>
      <c r="AB408" s="14"/>
      <c r="AC408" s="13"/>
      <c r="AD408" s="13"/>
      <c r="AF408"/>
      <c r="AG408"/>
      <c r="AH408"/>
      <c r="AI408"/>
      <c r="AJ408"/>
      <c r="AK408"/>
      <c r="AL408"/>
      <c r="AM408"/>
      <c r="AN408"/>
      <c r="AO408"/>
      <c r="AP408"/>
      <c r="AQ408"/>
      <c r="AR408"/>
      <c r="AS408"/>
      <c r="AT408"/>
    </row>
    <row r="409" spans="1:62" ht="10.9" customHeight="1">
      <c r="Q409" s="40"/>
      <c r="R409" s="40"/>
      <c r="S409" s="191"/>
      <c r="T409" s="183"/>
      <c r="AF409"/>
      <c r="AG409"/>
      <c r="AH409"/>
      <c r="AI409"/>
      <c r="AJ409"/>
      <c r="AK409"/>
      <c r="AL409"/>
      <c r="AM409"/>
      <c r="AN409"/>
      <c r="AO409"/>
      <c r="AP409"/>
      <c r="AQ409"/>
      <c r="AR409"/>
      <c r="AS409"/>
      <c r="AT409"/>
    </row>
    <row r="410" spans="1:62" ht="6" customHeight="1">
      <c r="A410" s="226">
        <v>64</v>
      </c>
      <c r="B410" s="56"/>
      <c r="C410" s="224" t="str">
        <f>INDEX(Riferimenti!$B$2:$B$65,A410)</f>
        <v>Creatinina (mg/dL)</v>
      </c>
      <c r="D410" s="224"/>
      <c r="E410" s="224"/>
      <c r="F410" s="224"/>
      <c r="G410" s="224"/>
      <c r="H410" s="224"/>
      <c r="I410" s="224"/>
      <c r="J410" s="224"/>
      <c r="K410" s="224"/>
      <c r="L410" s="224"/>
      <c r="M410" s="224"/>
      <c r="N410" s="224"/>
      <c r="O410" s="216">
        <f>IF(INDEX(Riferimenti!$C$2:$C$66,A410)&gt;0,INDEX(Riferimenti!$C$2:$C$66,A410),"")</f>
        <v>40</v>
      </c>
      <c r="P410" s="216" t="str">
        <f>INDEX(Riferimenti!$D$2:$D$66,A410)</f>
        <v>-</v>
      </c>
      <c r="Q410" s="227">
        <f>INDEX(Riferimenti!$E$2:$E$66,A410)</f>
        <v>278</v>
      </c>
      <c r="R410" s="218"/>
      <c r="S410" s="240"/>
      <c r="T410" s="240"/>
      <c r="V410" s="2"/>
      <c r="AG410" s="216">
        <f>INDEX(Riferimenti!$Q$2:$Q$66,A410)</f>
        <v>93</v>
      </c>
      <c r="AH410" s="216">
        <f>INDEX(Riferimenti!$R$2:$R$66,A410)</f>
        <v>161</v>
      </c>
      <c r="AI410" s="3"/>
      <c r="AN410" s="3"/>
      <c r="AT410" s="3"/>
      <c r="AU410" s="3"/>
      <c r="AV410" s="3"/>
      <c r="AW410" s="3"/>
      <c r="AX410" s="3"/>
      <c r="AY410" s="3"/>
      <c r="AZ410" s="3"/>
      <c r="BA410" s="3"/>
      <c r="BB410" s="3"/>
      <c r="BC410" s="3"/>
      <c r="BD410" s="3"/>
      <c r="BE410" s="3"/>
      <c r="BF410" s="3"/>
      <c r="BG410" s="3"/>
      <c r="BH410" s="3"/>
      <c r="BI410" s="3"/>
      <c r="BJ410" s="3"/>
    </row>
    <row r="411" spans="1:62" ht="5.45" customHeight="1">
      <c r="A411" s="226"/>
      <c r="B411" s="56"/>
      <c r="C411" s="224"/>
      <c r="D411" s="224"/>
      <c r="E411" s="224"/>
      <c r="F411" s="224"/>
      <c r="G411" s="224"/>
      <c r="H411" s="224"/>
      <c r="I411" s="224"/>
      <c r="J411" s="224"/>
      <c r="K411" s="224"/>
      <c r="L411" s="224"/>
      <c r="M411" s="224"/>
      <c r="N411" s="224"/>
      <c r="O411" s="216"/>
      <c r="P411" s="216"/>
      <c r="Q411" s="227"/>
      <c r="R411" s="218"/>
      <c r="S411" s="240"/>
      <c r="T411" s="240"/>
      <c r="U411"/>
      <c r="V411"/>
      <c r="W411"/>
      <c r="X411"/>
      <c r="Y411"/>
      <c r="Z411"/>
      <c r="AA411"/>
      <c r="AB411"/>
      <c r="AC411"/>
      <c r="AD411"/>
      <c r="AF411"/>
      <c r="AG411" s="216"/>
      <c r="AH411" s="216"/>
      <c r="AN411" s="3"/>
      <c r="AO411" s="3"/>
      <c r="AP411" s="3"/>
      <c r="AQ411" s="3"/>
      <c r="AR411" s="3"/>
      <c r="AS411" s="3"/>
      <c r="AT411" s="3"/>
      <c r="AU411" s="3"/>
      <c r="AV411" s="3"/>
      <c r="AW411" s="3"/>
      <c r="AX411" s="3"/>
      <c r="AY411" s="3"/>
      <c r="AZ411" s="3"/>
      <c r="BA411" s="3"/>
      <c r="BB411" s="3"/>
      <c r="BC411" s="3"/>
      <c r="BD411" s="3"/>
      <c r="BE411" s="3"/>
      <c r="BF411" s="3"/>
      <c r="BG411" s="3"/>
      <c r="BH411" s="3"/>
      <c r="BI411" s="3"/>
      <c r="BJ411" s="3"/>
    </row>
    <row r="412" spans="1:62" ht="6" customHeight="1">
      <c r="A412" s="205"/>
      <c r="B412" s="205"/>
      <c r="C412" s="205"/>
      <c r="D412" s="205"/>
      <c r="E412" s="205"/>
      <c r="F412" s="205"/>
      <c r="G412" s="205"/>
      <c r="H412" s="205"/>
      <c r="I412" s="205"/>
      <c r="J412" s="205"/>
      <c r="K412" s="205"/>
      <c r="L412" s="205"/>
      <c r="M412" s="205"/>
      <c r="N412" s="57"/>
      <c r="O412" s="78"/>
      <c r="P412" s="39"/>
      <c r="Q412" s="77"/>
      <c r="R412" s="80"/>
      <c r="S412" s="77"/>
      <c r="T412" s="43"/>
      <c r="U412" s="43"/>
      <c r="V412" s="43"/>
      <c r="W412" s="43"/>
      <c r="X412" s="43"/>
      <c r="Y412" s="43"/>
      <c r="Z412" s="43"/>
      <c r="AA412" s="43"/>
      <c r="AB412" s="43"/>
      <c r="AC412" s="43"/>
      <c r="AD412" s="43"/>
      <c r="AF412" s="43"/>
      <c r="AG412" s="43"/>
      <c r="AH412" s="43"/>
      <c r="AI412" s="43"/>
      <c r="AJ412" s="43"/>
      <c r="AK412" s="43"/>
      <c r="AL412" s="43"/>
      <c r="AM412" s="43"/>
      <c r="AN412" s="43"/>
      <c r="AO412" s="43"/>
      <c r="AP412" s="43"/>
      <c r="AQ412" s="43"/>
      <c r="AR412" s="3"/>
      <c r="AS412" s="3"/>
      <c r="AT412" s="3"/>
      <c r="AU412" s="3"/>
      <c r="AV412" s="3"/>
      <c r="AW412" s="3"/>
      <c r="AX412" s="3"/>
      <c r="AY412" s="3"/>
      <c r="AZ412" s="3"/>
      <c r="BA412" s="3"/>
      <c r="BB412" s="3"/>
      <c r="BC412" s="3"/>
      <c r="BD412" s="3"/>
      <c r="BE412" s="3"/>
      <c r="BF412" s="3"/>
      <c r="BG412" s="3"/>
      <c r="BH412" s="3"/>
      <c r="BI412" s="3"/>
      <c r="BJ412" s="3"/>
    </row>
    <row r="413" spans="1:62" ht="6" customHeight="1">
      <c r="A413" s="205"/>
      <c r="B413" s="205"/>
      <c r="C413" s="205"/>
      <c r="D413" s="205"/>
      <c r="E413" s="205"/>
      <c r="F413" s="205"/>
      <c r="G413" s="205"/>
      <c r="H413" s="205"/>
      <c r="I413" s="205"/>
      <c r="J413" s="205"/>
      <c r="K413" s="205"/>
      <c r="L413" s="205"/>
      <c r="M413" s="205"/>
      <c r="N413" s="57"/>
      <c r="O413" s="78"/>
      <c r="P413" s="39"/>
      <c r="Q413" s="77"/>
      <c r="R413" s="80"/>
      <c r="S413" s="77"/>
      <c r="V413" s="2"/>
      <c r="AN413" s="3"/>
      <c r="AO413" s="3"/>
      <c r="AP413" s="3"/>
      <c r="AQ413" s="3"/>
      <c r="AR413" s="3"/>
      <c r="AS413" s="3"/>
      <c r="AT413" s="3"/>
      <c r="AU413" s="3"/>
      <c r="AV413" s="3"/>
      <c r="AW413" s="3"/>
      <c r="AX413" s="3"/>
      <c r="AY413" s="3"/>
      <c r="AZ413" s="3"/>
      <c r="BA413" s="3"/>
      <c r="BB413" s="3"/>
      <c r="BC413" s="3"/>
      <c r="BD413" s="3"/>
      <c r="BE413" s="3"/>
      <c r="BF413" s="3"/>
      <c r="BG413" s="3"/>
      <c r="BH413" s="3"/>
      <c r="BI413" s="3"/>
      <c r="BJ413" s="3"/>
    </row>
    <row r="414" spans="1:62" ht="10.9" customHeight="1">
      <c r="A414" s="59"/>
      <c r="B414" s="59"/>
      <c r="C414" s="59"/>
      <c r="D414" s="59"/>
      <c r="E414" s="59"/>
      <c r="F414" s="59"/>
      <c r="G414" s="59"/>
      <c r="H414" s="59"/>
      <c r="I414" s="59"/>
      <c r="J414" s="59"/>
      <c r="K414" s="59"/>
      <c r="L414" s="59"/>
      <c r="M414" s="59"/>
      <c r="N414" s="59"/>
      <c r="O414" s="40"/>
      <c r="P414" s="40"/>
      <c r="Q414" s="40"/>
      <c r="R414" s="40"/>
      <c r="S414" s="40"/>
      <c r="AF414"/>
      <c r="AG414"/>
      <c r="AH414"/>
      <c r="AI414"/>
      <c r="AJ414"/>
      <c r="AK414"/>
      <c r="AL414"/>
      <c r="AM414"/>
      <c r="AN414"/>
      <c r="AO414"/>
      <c r="AP414"/>
      <c r="AQ414"/>
      <c r="AR414"/>
      <c r="AS414"/>
      <c r="AT414"/>
    </row>
    <row r="415" spans="1:62">
      <c r="A415" s="248" t="s">
        <v>101</v>
      </c>
      <c r="B415" s="248"/>
      <c r="C415" s="248"/>
      <c r="D415" s="248"/>
      <c r="E415" s="248"/>
      <c r="F415" s="248"/>
      <c r="G415" s="248"/>
      <c r="H415" s="248"/>
      <c r="I415" s="248"/>
      <c r="J415" s="248"/>
      <c r="K415" s="248"/>
      <c r="L415" s="248"/>
      <c r="M415" s="248"/>
      <c r="N415" s="248"/>
      <c r="O415" s="248"/>
      <c r="P415" s="248"/>
      <c r="AF415"/>
      <c r="AG415"/>
      <c r="AH415"/>
      <c r="AI415"/>
      <c r="AJ415"/>
      <c r="AK415"/>
      <c r="AL415"/>
      <c r="AM415"/>
      <c r="AN415"/>
      <c r="AO415"/>
      <c r="AP415"/>
      <c r="AQ415"/>
      <c r="AR415"/>
      <c r="AS415"/>
      <c r="AT415"/>
    </row>
    <row r="416" spans="1:62">
      <c r="A416" s="70" t="s">
        <v>176</v>
      </c>
      <c r="B416" s="60"/>
      <c r="D416" s="60"/>
      <c r="E416" s="60"/>
      <c r="F416" s="60"/>
      <c r="G416" s="60"/>
      <c r="H416" s="60"/>
      <c r="I416" s="60"/>
      <c r="J416" s="60"/>
      <c r="K416" s="60"/>
      <c r="L416" s="60"/>
      <c r="M416" s="60"/>
      <c r="N416" s="60"/>
      <c r="O416" s="60"/>
      <c r="P416" s="60"/>
      <c r="Q416" s="60"/>
      <c r="R416" s="60"/>
      <c r="S416" s="60"/>
      <c r="T416" s="60"/>
      <c r="U416" s="60"/>
      <c r="V416" s="61"/>
      <c r="W416" s="60"/>
      <c r="X416" s="60"/>
      <c r="Y416" s="60"/>
      <c r="Z416" s="60"/>
      <c r="AA416" s="60"/>
      <c r="AB416" s="60"/>
      <c r="AC416" s="60"/>
      <c r="AD416" s="60"/>
      <c r="AF416"/>
      <c r="AG416"/>
      <c r="AH416"/>
      <c r="AI416"/>
      <c r="AJ416"/>
      <c r="AK416"/>
      <c r="AL416"/>
      <c r="AM416"/>
      <c r="AN416"/>
      <c r="AO416"/>
      <c r="AP416"/>
      <c r="AQ416"/>
      <c r="AR416"/>
      <c r="AS416"/>
      <c r="AT416"/>
    </row>
    <row r="417" spans="1:46" ht="8.4499999999999993" customHeight="1">
      <c r="A417" s="60"/>
      <c r="B417" s="60"/>
      <c r="C417" s="60"/>
      <c r="D417" s="60"/>
      <c r="E417" s="60"/>
      <c r="F417" s="60"/>
      <c r="G417" s="60"/>
      <c r="H417" s="60"/>
      <c r="I417" s="60"/>
      <c r="J417" s="60"/>
      <c r="K417" s="60"/>
      <c r="L417" s="60"/>
      <c r="M417" s="60"/>
      <c r="N417" s="60"/>
      <c r="O417" s="60"/>
      <c r="P417" s="60"/>
      <c r="Q417" s="60"/>
      <c r="R417" s="60"/>
      <c r="S417" s="60"/>
      <c r="T417" s="60"/>
      <c r="U417" s="60"/>
      <c r="V417" s="61"/>
      <c r="W417" s="60"/>
      <c r="X417" s="60"/>
      <c r="Y417" s="60"/>
      <c r="Z417" s="60"/>
      <c r="AA417" s="60"/>
      <c r="AB417" s="60"/>
      <c r="AC417" s="60"/>
      <c r="AD417" s="60"/>
      <c r="AF417"/>
      <c r="AG417"/>
      <c r="AH417"/>
      <c r="AI417"/>
      <c r="AJ417"/>
      <c r="AK417"/>
      <c r="AL417"/>
      <c r="AM417"/>
      <c r="AN417"/>
      <c r="AO417"/>
      <c r="AP417"/>
      <c r="AQ417"/>
      <c r="AR417"/>
      <c r="AS417"/>
      <c r="AT417"/>
    </row>
    <row r="418" spans="1:46">
      <c r="A418" s="71" t="s">
        <v>174</v>
      </c>
      <c r="AF418"/>
      <c r="AG418"/>
      <c r="AH418"/>
      <c r="AI418"/>
      <c r="AJ418"/>
      <c r="AK418"/>
      <c r="AL418"/>
      <c r="AM418"/>
      <c r="AN418"/>
      <c r="AO418"/>
      <c r="AP418"/>
      <c r="AQ418"/>
      <c r="AR418"/>
      <c r="AS418"/>
      <c r="AT418"/>
    </row>
    <row r="419" spans="1:46">
      <c r="A419" s="71" t="s">
        <v>175</v>
      </c>
      <c r="P419" s="249">
        <f ca="1">TODAY()</f>
        <v>46008</v>
      </c>
      <c r="Q419" s="249"/>
      <c r="R419" s="249"/>
      <c r="AF419"/>
      <c r="AG419"/>
      <c r="AH419"/>
      <c r="AI419"/>
      <c r="AJ419"/>
      <c r="AK419"/>
      <c r="AL419"/>
      <c r="AM419"/>
      <c r="AN419"/>
      <c r="AO419"/>
      <c r="AP419"/>
      <c r="AQ419"/>
      <c r="AR419"/>
      <c r="AS419"/>
      <c r="AT419"/>
    </row>
    <row r="420" spans="1:46">
      <c r="AF420"/>
      <c r="AG420"/>
      <c r="AH420"/>
      <c r="AI420"/>
      <c r="AJ420"/>
      <c r="AK420"/>
      <c r="AL420"/>
      <c r="AM420"/>
      <c r="AN420"/>
      <c r="AO420"/>
      <c r="AP420"/>
      <c r="AQ420"/>
      <c r="AR420"/>
      <c r="AS420"/>
      <c r="AT420"/>
    </row>
    <row r="421" spans="1:46">
      <c r="AF421"/>
      <c r="AG421"/>
      <c r="AH421"/>
      <c r="AI421"/>
      <c r="AJ421"/>
      <c r="AK421"/>
      <c r="AL421"/>
      <c r="AM421"/>
      <c r="AN421"/>
      <c r="AO421"/>
      <c r="AP421"/>
      <c r="AQ421"/>
      <c r="AR421"/>
      <c r="AS421"/>
      <c r="AT421"/>
    </row>
    <row r="422" spans="1:46">
      <c r="B422" s="2"/>
      <c r="AF422"/>
      <c r="AG422"/>
      <c r="AH422"/>
      <c r="AI422"/>
      <c r="AJ422"/>
      <c r="AK422"/>
      <c r="AL422"/>
      <c r="AM422"/>
      <c r="AN422"/>
      <c r="AO422"/>
      <c r="AP422"/>
      <c r="AQ422"/>
      <c r="AR422"/>
      <c r="AS422"/>
      <c r="AT422"/>
    </row>
    <row r="423" spans="1:46">
      <c r="B423" s="2"/>
      <c r="AF423"/>
      <c r="AG423"/>
      <c r="AH423"/>
      <c r="AI423"/>
      <c r="AJ423"/>
      <c r="AK423"/>
      <c r="AL423"/>
      <c r="AM423"/>
      <c r="AN423"/>
      <c r="AO423"/>
      <c r="AP423"/>
      <c r="AQ423"/>
      <c r="AR423"/>
      <c r="AS423"/>
      <c r="AT423"/>
    </row>
    <row r="424" spans="1:46" ht="10.9" customHeight="1">
      <c r="AF424"/>
      <c r="AG424"/>
      <c r="AH424"/>
      <c r="AI424"/>
      <c r="AJ424"/>
      <c r="AK424"/>
      <c r="AL424"/>
      <c r="AM424"/>
      <c r="AN424"/>
      <c r="AO424"/>
      <c r="AP424"/>
      <c r="AQ424"/>
    </row>
    <row r="425" spans="1:46">
      <c r="A425"/>
      <c r="B425"/>
      <c r="C425"/>
      <c r="D425"/>
      <c r="E425"/>
      <c r="F425"/>
      <c r="G425"/>
      <c r="H425"/>
      <c r="I425"/>
      <c r="J425"/>
      <c r="K425"/>
      <c r="L425"/>
      <c r="M425"/>
      <c r="N425"/>
      <c r="O425"/>
      <c r="P425"/>
      <c r="Q425"/>
    </row>
    <row r="426" spans="1:46">
      <c r="A426"/>
      <c r="B426"/>
      <c r="C426"/>
      <c r="D426"/>
      <c r="E426"/>
      <c r="F426"/>
      <c r="G426"/>
      <c r="H426"/>
      <c r="I426"/>
      <c r="J426"/>
      <c r="K426"/>
      <c r="L426"/>
      <c r="M426"/>
      <c r="N426"/>
      <c r="O426"/>
      <c r="P426"/>
      <c r="Q426"/>
    </row>
  </sheetData>
  <dataConsolidate/>
  <mergeCells count="832">
    <mergeCell ref="AH410:AH411"/>
    <mergeCell ref="A412:M413"/>
    <mergeCell ref="A415:P415"/>
    <mergeCell ref="P419:R419"/>
    <mergeCell ref="C305:N306"/>
    <mergeCell ref="O305:O306"/>
    <mergeCell ref="A408:N408"/>
    <mergeCell ref="A410:A411"/>
    <mergeCell ref="C410:N411"/>
    <mergeCell ref="O410:O411"/>
    <mergeCell ref="P410:P411"/>
    <mergeCell ref="Q410:Q411"/>
    <mergeCell ref="R410:R411"/>
    <mergeCell ref="S410:T411"/>
    <mergeCell ref="AG410:AG411"/>
    <mergeCell ref="AG390:AG391"/>
    <mergeCell ref="AH390:AH391"/>
    <mergeCell ref="A392:M393"/>
    <mergeCell ref="C395:P395"/>
    <mergeCell ref="U402:V402"/>
    <mergeCell ref="AC402:AD402"/>
    <mergeCell ref="A403:A404"/>
    <mergeCell ref="C403:N404"/>
    <mergeCell ref="O403:O404"/>
    <mergeCell ref="AG382:AG383"/>
    <mergeCell ref="AH382:AH383"/>
    <mergeCell ref="P403:P404"/>
    <mergeCell ref="Q403:Q404"/>
    <mergeCell ref="R403:R404"/>
    <mergeCell ref="S403:T404"/>
    <mergeCell ref="AG403:AG404"/>
    <mergeCell ref="AH403:AH404"/>
    <mergeCell ref="A384:M385"/>
    <mergeCell ref="C387:P387"/>
    <mergeCell ref="A390:A391"/>
    <mergeCell ref="C390:N391"/>
    <mergeCell ref="O390:O391"/>
    <mergeCell ref="P390:P391"/>
    <mergeCell ref="Q390:Q391"/>
    <mergeCell ref="R390:R391"/>
    <mergeCell ref="S390:T391"/>
    <mergeCell ref="AG398:AG399"/>
    <mergeCell ref="AH398:AH399"/>
    <mergeCell ref="A400:M401"/>
    <mergeCell ref="A398:A399"/>
    <mergeCell ref="C398:N399"/>
    <mergeCell ref="O398:O399"/>
    <mergeCell ref="P398:P399"/>
    <mergeCell ref="AG372:AG373"/>
    <mergeCell ref="AH372:AH373"/>
    <mergeCell ref="U366:V366"/>
    <mergeCell ref="AC366:AD366"/>
    <mergeCell ref="AG367:AG368"/>
    <mergeCell ref="AH367:AH368"/>
    <mergeCell ref="A369:M370"/>
    <mergeCell ref="A367:A368"/>
    <mergeCell ref="C367:N368"/>
    <mergeCell ref="O367:O368"/>
    <mergeCell ref="P367:P368"/>
    <mergeCell ref="U371:V371"/>
    <mergeCell ref="AC371:AD371"/>
    <mergeCell ref="A372:A373"/>
    <mergeCell ref="C372:N373"/>
    <mergeCell ref="O372:O373"/>
    <mergeCell ref="P372:P373"/>
    <mergeCell ref="Q372:Q373"/>
    <mergeCell ref="R372:R373"/>
    <mergeCell ref="S372:T373"/>
    <mergeCell ref="Q367:Q368"/>
    <mergeCell ref="R367:R368"/>
    <mergeCell ref="S367:T368"/>
    <mergeCell ref="U358:V358"/>
    <mergeCell ref="AC358:AD358"/>
    <mergeCell ref="A359:A360"/>
    <mergeCell ref="C359:N360"/>
    <mergeCell ref="U338:V338"/>
    <mergeCell ref="AC338:AD338"/>
    <mergeCell ref="AG359:AG360"/>
    <mergeCell ref="AH359:AH360"/>
    <mergeCell ref="A361:M362"/>
    <mergeCell ref="O349:O350"/>
    <mergeCell ref="P349:P350"/>
    <mergeCell ref="Q349:Q350"/>
    <mergeCell ref="R349:R350"/>
    <mergeCell ref="S349:T350"/>
    <mergeCell ref="O354:O355"/>
    <mergeCell ref="P354:P355"/>
    <mergeCell ref="Q354:Q355"/>
    <mergeCell ref="R354:R355"/>
    <mergeCell ref="S354:T355"/>
    <mergeCell ref="C349:N350"/>
    <mergeCell ref="AG339:AG340"/>
    <mergeCell ref="AH339:AH340"/>
    <mergeCell ref="A341:M342"/>
    <mergeCell ref="U343:V343"/>
    <mergeCell ref="AG305:AG306"/>
    <mergeCell ref="AH305:AH306"/>
    <mergeCell ref="A307:M308"/>
    <mergeCell ref="J310:AD311"/>
    <mergeCell ref="AK310:AU310"/>
    <mergeCell ref="A313:O313"/>
    <mergeCell ref="Y313:Z313"/>
    <mergeCell ref="AB313:AD313"/>
    <mergeCell ref="A314:L315"/>
    <mergeCell ref="O314:Q314"/>
    <mergeCell ref="S314:T314"/>
    <mergeCell ref="V314:AC314"/>
    <mergeCell ref="O315:Q315"/>
    <mergeCell ref="S315:T315"/>
    <mergeCell ref="V315:AC315"/>
    <mergeCell ref="U304:V304"/>
    <mergeCell ref="AC304:AD304"/>
    <mergeCell ref="A305:A306"/>
    <mergeCell ref="P305:P306"/>
    <mergeCell ref="Q305:Q306"/>
    <mergeCell ref="R305:R306"/>
    <mergeCell ref="S305:T306"/>
    <mergeCell ref="C300:N301"/>
    <mergeCell ref="O300:O301"/>
    <mergeCell ref="A302:M303"/>
    <mergeCell ref="A300:A301"/>
    <mergeCell ref="P300:P301"/>
    <mergeCell ref="Q300:Q301"/>
    <mergeCell ref="R300:R301"/>
    <mergeCell ref="S300:T301"/>
    <mergeCell ref="AH277:AH278"/>
    <mergeCell ref="A279:M280"/>
    <mergeCell ref="C282:P282"/>
    <mergeCell ref="A285:A286"/>
    <mergeCell ref="C285:N286"/>
    <mergeCell ref="O285:O286"/>
    <mergeCell ref="P285:P286"/>
    <mergeCell ref="Q285:Q286"/>
    <mergeCell ref="R285:R286"/>
    <mergeCell ref="S285:T286"/>
    <mergeCell ref="A262:A263"/>
    <mergeCell ref="C262:N263"/>
    <mergeCell ref="O262:O263"/>
    <mergeCell ref="P262:P263"/>
    <mergeCell ref="Q262:Q263"/>
    <mergeCell ref="R262:R263"/>
    <mergeCell ref="S262:T263"/>
    <mergeCell ref="A269:M270"/>
    <mergeCell ref="U271:V271"/>
    <mergeCell ref="A264:M265"/>
    <mergeCell ref="AG300:AG301"/>
    <mergeCell ref="AH300:AH301"/>
    <mergeCell ref="AG295:AG296"/>
    <mergeCell ref="AH295:AH296"/>
    <mergeCell ref="AG290:AG291"/>
    <mergeCell ref="AH290:AH291"/>
    <mergeCell ref="U294:V294"/>
    <mergeCell ref="AC294:AD294"/>
    <mergeCell ref="AG285:AG286"/>
    <mergeCell ref="AH285:AH286"/>
    <mergeCell ref="U299:V299"/>
    <mergeCell ref="AC299:AD299"/>
    <mergeCell ref="U289:V289"/>
    <mergeCell ref="AC289:AD289"/>
    <mergeCell ref="A287:O288"/>
    <mergeCell ref="A292:P293"/>
    <mergeCell ref="AH267:AH268"/>
    <mergeCell ref="AG262:AG263"/>
    <mergeCell ref="AH262:AH263"/>
    <mergeCell ref="S290:T291"/>
    <mergeCell ref="AG113:AH113"/>
    <mergeCell ref="AG214:AH214"/>
    <mergeCell ref="AG272:AG273"/>
    <mergeCell ref="AH272:AH273"/>
    <mergeCell ref="U266:V266"/>
    <mergeCell ref="AC266:AD266"/>
    <mergeCell ref="AH254:AH255"/>
    <mergeCell ref="AG244:AG245"/>
    <mergeCell ref="AH244:AH245"/>
    <mergeCell ref="AG239:AG240"/>
    <mergeCell ref="AH239:AH240"/>
    <mergeCell ref="AG234:AG235"/>
    <mergeCell ref="AH234:AH235"/>
    <mergeCell ref="AG229:AG230"/>
    <mergeCell ref="AH229:AH230"/>
    <mergeCell ref="AG219:AG220"/>
    <mergeCell ref="AH219:AH220"/>
    <mergeCell ref="AH200:AH201"/>
    <mergeCell ref="AG267:AG268"/>
    <mergeCell ref="U276:V276"/>
    <mergeCell ref="AC276:AD276"/>
    <mergeCell ref="A277:A278"/>
    <mergeCell ref="C277:N278"/>
    <mergeCell ref="O277:O278"/>
    <mergeCell ref="P277:P278"/>
    <mergeCell ref="Q277:Q278"/>
    <mergeCell ref="R277:R278"/>
    <mergeCell ref="S277:T278"/>
    <mergeCell ref="AG277:AG278"/>
    <mergeCell ref="R382:R383"/>
    <mergeCell ref="S382:T383"/>
    <mergeCell ref="R398:R399"/>
    <mergeCell ref="O359:O360"/>
    <mergeCell ref="P359:P360"/>
    <mergeCell ref="Q359:Q360"/>
    <mergeCell ref="R295:R296"/>
    <mergeCell ref="S295:T296"/>
    <mergeCell ref="A290:A291"/>
    <mergeCell ref="C290:N291"/>
    <mergeCell ref="O290:O291"/>
    <mergeCell ref="P290:P291"/>
    <mergeCell ref="Q290:Q291"/>
    <mergeCell ref="R290:R291"/>
    <mergeCell ref="A331:A332"/>
    <mergeCell ref="C331:N332"/>
    <mergeCell ref="O331:O332"/>
    <mergeCell ref="P331:P332"/>
    <mergeCell ref="Q331:Q332"/>
    <mergeCell ref="R331:R332"/>
    <mergeCell ref="S331:T332"/>
    <mergeCell ref="R359:R360"/>
    <mergeCell ref="S359:T360"/>
    <mergeCell ref="A364:N364"/>
    <mergeCell ref="A405:M406"/>
    <mergeCell ref="A377:N377"/>
    <mergeCell ref="C379:P379"/>
    <mergeCell ref="A374:M375"/>
    <mergeCell ref="A382:A383"/>
    <mergeCell ref="C382:N383"/>
    <mergeCell ref="O382:O383"/>
    <mergeCell ref="P382:P383"/>
    <mergeCell ref="Q382:Q383"/>
    <mergeCell ref="Q398:Q399"/>
    <mergeCell ref="S398:T399"/>
    <mergeCell ref="AG354:AG355"/>
    <mergeCell ref="AH354:AH355"/>
    <mergeCell ref="A356:M357"/>
    <mergeCell ref="U353:V353"/>
    <mergeCell ref="AC353:AD353"/>
    <mergeCell ref="A354:A355"/>
    <mergeCell ref="C354:N355"/>
    <mergeCell ref="AG344:AG345"/>
    <mergeCell ref="AH344:AH345"/>
    <mergeCell ref="A346:M347"/>
    <mergeCell ref="U348:V348"/>
    <mergeCell ref="AC348:AD348"/>
    <mergeCell ref="A344:A345"/>
    <mergeCell ref="C344:N345"/>
    <mergeCell ref="O344:O345"/>
    <mergeCell ref="P344:P345"/>
    <mergeCell ref="Q344:Q345"/>
    <mergeCell ref="R344:R345"/>
    <mergeCell ref="S344:T345"/>
    <mergeCell ref="AG349:AG350"/>
    <mergeCell ref="AH349:AH350"/>
    <mergeCell ref="A351:M352"/>
    <mergeCell ref="A349:A350"/>
    <mergeCell ref="AC343:AD343"/>
    <mergeCell ref="A339:A340"/>
    <mergeCell ref="C339:N340"/>
    <mergeCell ref="O339:O340"/>
    <mergeCell ref="P339:P340"/>
    <mergeCell ref="Q339:Q340"/>
    <mergeCell ref="R339:R340"/>
    <mergeCell ref="S339:T340"/>
    <mergeCell ref="AG331:AG332"/>
    <mergeCell ref="AH331:AH332"/>
    <mergeCell ref="A333:M334"/>
    <mergeCell ref="A336:S336"/>
    <mergeCell ref="U337:V337"/>
    <mergeCell ref="AC337:AD337"/>
    <mergeCell ref="AG321:AG322"/>
    <mergeCell ref="AH321:AH322"/>
    <mergeCell ref="AG326:AG327"/>
    <mergeCell ref="AH326:AH327"/>
    <mergeCell ref="A328:M329"/>
    <mergeCell ref="U325:V325"/>
    <mergeCell ref="AC325:AD325"/>
    <mergeCell ref="A326:A327"/>
    <mergeCell ref="C326:N327"/>
    <mergeCell ref="O326:O327"/>
    <mergeCell ref="P326:P327"/>
    <mergeCell ref="Q326:Q327"/>
    <mergeCell ref="R326:R327"/>
    <mergeCell ref="S326:T327"/>
    <mergeCell ref="A323:M324"/>
    <mergeCell ref="U330:V330"/>
    <mergeCell ref="AC330:AD330"/>
    <mergeCell ref="U320:V320"/>
    <mergeCell ref="AC320:AD320"/>
    <mergeCell ref="A321:A322"/>
    <mergeCell ref="C321:N322"/>
    <mergeCell ref="O321:O322"/>
    <mergeCell ref="P321:P322"/>
    <mergeCell ref="Q321:Q322"/>
    <mergeCell ref="S321:T322"/>
    <mergeCell ref="R321:R322"/>
    <mergeCell ref="A318:N318"/>
    <mergeCell ref="AG318:AH318"/>
    <mergeCell ref="AC271:AD271"/>
    <mergeCell ref="A267:A268"/>
    <mergeCell ref="C267:N268"/>
    <mergeCell ref="O267:O268"/>
    <mergeCell ref="P267:P268"/>
    <mergeCell ref="Q267:Q268"/>
    <mergeCell ref="R267:R268"/>
    <mergeCell ref="S267:T268"/>
    <mergeCell ref="A274:M275"/>
    <mergeCell ref="O272:O273"/>
    <mergeCell ref="P272:P273"/>
    <mergeCell ref="Q272:Q273"/>
    <mergeCell ref="R272:R273"/>
    <mergeCell ref="S272:T273"/>
    <mergeCell ref="A297:M298"/>
    <mergeCell ref="A272:A273"/>
    <mergeCell ref="C272:N273"/>
    <mergeCell ref="A295:A296"/>
    <mergeCell ref="C295:N296"/>
    <mergeCell ref="O295:O296"/>
    <mergeCell ref="P295:P296"/>
    <mergeCell ref="Q295:Q296"/>
    <mergeCell ref="A254:A255"/>
    <mergeCell ref="C254:N255"/>
    <mergeCell ref="O254:O255"/>
    <mergeCell ref="P254:P255"/>
    <mergeCell ref="Q254:Q255"/>
    <mergeCell ref="R254:R255"/>
    <mergeCell ref="S254:T255"/>
    <mergeCell ref="AG249:AG250"/>
    <mergeCell ref="AH249:AH250"/>
    <mergeCell ref="A251:M252"/>
    <mergeCell ref="U253:V253"/>
    <mergeCell ref="AC253:AD253"/>
    <mergeCell ref="A249:A250"/>
    <mergeCell ref="C249:N250"/>
    <mergeCell ref="O249:O250"/>
    <mergeCell ref="P249:P250"/>
    <mergeCell ref="Q249:Q250"/>
    <mergeCell ref="R249:R250"/>
    <mergeCell ref="S249:T250"/>
    <mergeCell ref="AG254:AG255"/>
    <mergeCell ref="A246:M247"/>
    <mergeCell ref="U248:V248"/>
    <mergeCell ref="AC248:AD248"/>
    <mergeCell ref="A244:A245"/>
    <mergeCell ref="C244:N245"/>
    <mergeCell ref="O244:O245"/>
    <mergeCell ref="P244:P245"/>
    <mergeCell ref="Q244:Q245"/>
    <mergeCell ref="R244:R245"/>
    <mergeCell ref="S244:T245"/>
    <mergeCell ref="A241:M242"/>
    <mergeCell ref="U243:V243"/>
    <mergeCell ref="AC243:AD243"/>
    <mergeCell ref="A239:A240"/>
    <mergeCell ref="C239:N240"/>
    <mergeCell ref="O239:O240"/>
    <mergeCell ref="P239:P240"/>
    <mergeCell ref="Q239:Q240"/>
    <mergeCell ref="R239:R240"/>
    <mergeCell ref="S239:T240"/>
    <mergeCell ref="A236:M237"/>
    <mergeCell ref="U238:V238"/>
    <mergeCell ref="AC238:AD238"/>
    <mergeCell ref="A234:A235"/>
    <mergeCell ref="C234:N235"/>
    <mergeCell ref="O234:O235"/>
    <mergeCell ref="P234:P235"/>
    <mergeCell ref="Q234:Q235"/>
    <mergeCell ref="R234:R235"/>
    <mergeCell ref="S234:T235"/>
    <mergeCell ref="A231:M232"/>
    <mergeCell ref="U233:V233"/>
    <mergeCell ref="AC233:AD233"/>
    <mergeCell ref="AG224:AG225"/>
    <mergeCell ref="AH224:AH225"/>
    <mergeCell ref="A226:M227"/>
    <mergeCell ref="U228:V228"/>
    <mergeCell ref="AC228:AD228"/>
    <mergeCell ref="A229:A230"/>
    <mergeCell ref="C229:N230"/>
    <mergeCell ref="O229:O230"/>
    <mergeCell ref="P229:P230"/>
    <mergeCell ref="Q229:Q230"/>
    <mergeCell ref="R229:R230"/>
    <mergeCell ref="S224:T225"/>
    <mergeCell ref="S229:T230"/>
    <mergeCell ref="A224:A225"/>
    <mergeCell ref="C216:P216"/>
    <mergeCell ref="A219:A220"/>
    <mergeCell ref="C219:N220"/>
    <mergeCell ref="O219:O220"/>
    <mergeCell ref="P219:P220"/>
    <mergeCell ref="Q219:Q220"/>
    <mergeCell ref="R219:R220"/>
    <mergeCell ref="S219:T220"/>
    <mergeCell ref="AG200:AG201"/>
    <mergeCell ref="A203:M204"/>
    <mergeCell ref="A200:A201"/>
    <mergeCell ref="C200:N201"/>
    <mergeCell ref="O200:O201"/>
    <mergeCell ref="P200:P201"/>
    <mergeCell ref="Q200:Q201"/>
    <mergeCell ref="R200:R201"/>
    <mergeCell ref="S200:T201"/>
    <mergeCell ref="V210:AC210"/>
    <mergeCell ref="V211:AC211"/>
    <mergeCell ref="Y209:Z209"/>
    <mergeCell ref="AB209:AD209"/>
    <mergeCell ref="AH195:AH196"/>
    <mergeCell ref="A197:M198"/>
    <mergeCell ref="U199:V199"/>
    <mergeCell ref="AC199:AD199"/>
    <mergeCell ref="A195:A196"/>
    <mergeCell ref="C195:N196"/>
    <mergeCell ref="O195:O196"/>
    <mergeCell ref="P195:P196"/>
    <mergeCell ref="Q195:Q196"/>
    <mergeCell ref="R195:R196"/>
    <mergeCell ref="S195:T196"/>
    <mergeCell ref="AG195:AG196"/>
    <mergeCell ref="AG187:AG188"/>
    <mergeCell ref="AH187:AH188"/>
    <mergeCell ref="A189:M190"/>
    <mergeCell ref="A192:X192"/>
    <mergeCell ref="U194:V194"/>
    <mergeCell ref="AC194:AD194"/>
    <mergeCell ref="AG182:AG183"/>
    <mergeCell ref="AH182:AH183"/>
    <mergeCell ref="A184:M185"/>
    <mergeCell ref="A187:A188"/>
    <mergeCell ref="C187:N188"/>
    <mergeCell ref="O187:O188"/>
    <mergeCell ref="P187:P188"/>
    <mergeCell ref="Q187:Q188"/>
    <mergeCell ref="R187:R188"/>
    <mergeCell ref="A182:A183"/>
    <mergeCell ref="C182:N183"/>
    <mergeCell ref="O182:O183"/>
    <mergeCell ref="P182:P183"/>
    <mergeCell ref="Q182:Q183"/>
    <mergeCell ref="R182:R183"/>
    <mergeCell ref="S182:T183"/>
    <mergeCell ref="S187:T188"/>
    <mergeCell ref="AG177:AG178"/>
    <mergeCell ref="AH177:AH178"/>
    <mergeCell ref="A179:M180"/>
    <mergeCell ref="U181:V181"/>
    <mergeCell ref="AC181:AD181"/>
    <mergeCell ref="A177:A178"/>
    <mergeCell ref="C177:N178"/>
    <mergeCell ref="O177:O178"/>
    <mergeCell ref="P177:P178"/>
    <mergeCell ref="Q177:Q178"/>
    <mergeCell ref="R177:R178"/>
    <mergeCell ref="S177:T178"/>
    <mergeCell ref="AG172:AG173"/>
    <mergeCell ref="AH172:AH173"/>
    <mergeCell ref="A174:M175"/>
    <mergeCell ref="U176:V176"/>
    <mergeCell ref="AC176:AD176"/>
    <mergeCell ref="A172:A173"/>
    <mergeCell ref="C172:N173"/>
    <mergeCell ref="O172:O173"/>
    <mergeCell ref="P172:P173"/>
    <mergeCell ref="Q172:Q173"/>
    <mergeCell ref="R172:R173"/>
    <mergeCell ref="S172:T173"/>
    <mergeCell ref="AG167:AG168"/>
    <mergeCell ref="AH167:AH168"/>
    <mergeCell ref="A169:M170"/>
    <mergeCell ref="U171:V171"/>
    <mergeCell ref="AC171:AD171"/>
    <mergeCell ref="A167:A168"/>
    <mergeCell ref="C167:N168"/>
    <mergeCell ref="O167:O168"/>
    <mergeCell ref="P167:P168"/>
    <mergeCell ref="Q167:Q168"/>
    <mergeCell ref="R167:R168"/>
    <mergeCell ref="S167:T168"/>
    <mergeCell ref="AG162:AG163"/>
    <mergeCell ref="AH162:AH163"/>
    <mergeCell ref="A164:M165"/>
    <mergeCell ref="U166:V166"/>
    <mergeCell ref="AC166:AD166"/>
    <mergeCell ref="A162:A163"/>
    <mergeCell ref="C162:N163"/>
    <mergeCell ref="O162:O163"/>
    <mergeCell ref="P162:P163"/>
    <mergeCell ref="Q162:Q163"/>
    <mergeCell ref="R162:R163"/>
    <mergeCell ref="S162:T163"/>
    <mergeCell ref="AG157:AG158"/>
    <mergeCell ref="AH157:AH158"/>
    <mergeCell ref="A159:M160"/>
    <mergeCell ref="U161:V161"/>
    <mergeCell ref="AC161:AD161"/>
    <mergeCell ref="AG152:AG153"/>
    <mergeCell ref="AH152:AH153"/>
    <mergeCell ref="A154:M155"/>
    <mergeCell ref="U156:V156"/>
    <mergeCell ref="AC156:AD156"/>
    <mergeCell ref="A157:A158"/>
    <mergeCell ref="C157:N158"/>
    <mergeCell ref="O157:O158"/>
    <mergeCell ref="P157:P158"/>
    <mergeCell ref="Q157:Q158"/>
    <mergeCell ref="A152:A153"/>
    <mergeCell ref="C152:N153"/>
    <mergeCell ref="P152:P153"/>
    <mergeCell ref="Q152:Q153"/>
    <mergeCell ref="R152:R153"/>
    <mergeCell ref="O152:O153"/>
    <mergeCell ref="R157:R158"/>
    <mergeCell ref="S152:T153"/>
    <mergeCell ref="S157:T158"/>
    <mergeCell ref="AG145:AG146"/>
    <mergeCell ref="AH145:AH146"/>
    <mergeCell ref="A147:M148"/>
    <mergeCell ref="A150:N150"/>
    <mergeCell ref="U151:V151"/>
    <mergeCell ref="AC151:AD151"/>
    <mergeCell ref="A145:A146"/>
    <mergeCell ref="C145:N146"/>
    <mergeCell ref="O145:O146"/>
    <mergeCell ref="P145:P146"/>
    <mergeCell ref="Q145:Q146"/>
    <mergeCell ref="R145:R146"/>
    <mergeCell ref="S145:T146"/>
    <mergeCell ref="AG140:AG141"/>
    <mergeCell ref="AH140:AH141"/>
    <mergeCell ref="A142:M143"/>
    <mergeCell ref="U144:V144"/>
    <mergeCell ref="AC144:AD144"/>
    <mergeCell ref="A140:A141"/>
    <mergeCell ref="C140:N141"/>
    <mergeCell ref="O140:O141"/>
    <mergeCell ref="P140:P141"/>
    <mergeCell ref="Q140:Q141"/>
    <mergeCell ref="R140:R141"/>
    <mergeCell ref="S140:T141"/>
    <mergeCell ref="AG135:AG136"/>
    <mergeCell ref="AH135:AH136"/>
    <mergeCell ref="A137:M138"/>
    <mergeCell ref="U139:V139"/>
    <mergeCell ref="AC139:AD139"/>
    <mergeCell ref="A135:A136"/>
    <mergeCell ref="C135:N136"/>
    <mergeCell ref="O135:O136"/>
    <mergeCell ref="P135:P136"/>
    <mergeCell ref="Q135:Q136"/>
    <mergeCell ref="R135:R136"/>
    <mergeCell ref="S135:T136"/>
    <mergeCell ref="AG130:AG131"/>
    <mergeCell ref="AH130:AH131"/>
    <mergeCell ref="A132:M133"/>
    <mergeCell ref="U134:V134"/>
    <mergeCell ref="AC134:AD134"/>
    <mergeCell ref="A130:A131"/>
    <mergeCell ref="C130:N131"/>
    <mergeCell ref="O130:O131"/>
    <mergeCell ref="P130:P131"/>
    <mergeCell ref="Q130:Q131"/>
    <mergeCell ref="R130:R131"/>
    <mergeCell ref="S130:T131"/>
    <mergeCell ref="AG120:AG121"/>
    <mergeCell ref="AH120:AH121"/>
    <mergeCell ref="A122:M123"/>
    <mergeCell ref="U124:V124"/>
    <mergeCell ref="AC124:AD124"/>
    <mergeCell ref="AG115:AG116"/>
    <mergeCell ref="AH115:AH116"/>
    <mergeCell ref="A117:M118"/>
    <mergeCell ref="U119:V119"/>
    <mergeCell ref="AC119:AD119"/>
    <mergeCell ref="A120:A121"/>
    <mergeCell ref="C120:N121"/>
    <mergeCell ref="R115:R116"/>
    <mergeCell ref="S120:T121"/>
    <mergeCell ref="S115:T116"/>
    <mergeCell ref="AG125:AG126"/>
    <mergeCell ref="AH125:AH126"/>
    <mergeCell ref="A127:M128"/>
    <mergeCell ref="U129:V129"/>
    <mergeCell ref="AC129:AD129"/>
    <mergeCell ref="A125:A126"/>
    <mergeCell ref="C125:N126"/>
    <mergeCell ref="O125:O126"/>
    <mergeCell ref="P125:P126"/>
    <mergeCell ref="Q125:Q126"/>
    <mergeCell ref="R125:R126"/>
    <mergeCell ref="S125:T126"/>
    <mergeCell ref="AG95:AG96"/>
    <mergeCell ref="AH95:AH96"/>
    <mergeCell ref="A97:M98"/>
    <mergeCell ref="U99:V99"/>
    <mergeCell ref="AC99:AD99"/>
    <mergeCell ref="A100:A101"/>
    <mergeCell ref="C100:N101"/>
    <mergeCell ref="O100:O101"/>
    <mergeCell ref="P100:P101"/>
    <mergeCell ref="Q100:Q101"/>
    <mergeCell ref="AG100:AG101"/>
    <mergeCell ref="AH100:AH101"/>
    <mergeCell ref="S95:T96"/>
    <mergeCell ref="S100:T101"/>
    <mergeCell ref="C88:P88"/>
    <mergeCell ref="AG78:AG79"/>
    <mergeCell ref="AH78:AH79"/>
    <mergeCell ref="A80:M81"/>
    <mergeCell ref="U89:V89"/>
    <mergeCell ref="AC89:AD89"/>
    <mergeCell ref="A90:A91"/>
    <mergeCell ref="C90:N91"/>
    <mergeCell ref="O90:O91"/>
    <mergeCell ref="P90:P91"/>
    <mergeCell ref="Q90:Q91"/>
    <mergeCell ref="R90:R91"/>
    <mergeCell ref="AG90:AG91"/>
    <mergeCell ref="AH90:AH91"/>
    <mergeCell ref="AG83:AG84"/>
    <mergeCell ref="AH83:AH84"/>
    <mergeCell ref="A85:M86"/>
    <mergeCell ref="S78:T79"/>
    <mergeCell ref="S83:T84"/>
    <mergeCell ref="S90:T91"/>
    <mergeCell ref="A78:A79"/>
    <mergeCell ref="C78:N79"/>
    <mergeCell ref="O78:O79"/>
    <mergeCell ref="P78:P79"/>
    <mergeCell ref="AG73:AG74"/>
    <mergeCell ref="AH73:AH74"/>
    <mergeCell ref="P68:P69"/>
    <mergeCell ref="Q68:Q69"/>
    <mergeCell ref="R68:R69"/>
    <mergeCell ref="AG68:AG69"/>
    <mergeCell ref="AH68:AH69"/>
    <mergeCell ref="A70:M71"/>
    <mergeCell ref="U72:V72"/>
    <mergeCell ref="AC72:AD72"/>
    <mergeCell ref="S68:T69"/>
    <mergeCell ref="S73:T74"/>
    <mergeCell ref="C73:N74"/>
    <mergeCell ref="O73:O74"/>
    <mergeCell ref="P73:P74"/>
    <mergeCell ref="Q73:Q74"/>
    <mergeCell ref="R73:R74"/>
    <mergeCell ref="A73:A74"/>
    <mergeCell ref="AG51:AG52"/>
    <mergeCell ref="AH51:AH52"/>
    <mergeCell ref="AK51:AM52"/>
    <mergeCell ref="A53:M54"/>
    <mergeCell ref="A63:N63"/>
    <mergeCell ref="A51:A52"/>
    <mergeCell ref="C51:N52"/>
    <mergeCell ref="O51:O52"/>
    <mergeCell ref="P51:P52"/>
    <mergeCell ref="Q51:Q52"/>
    <mergeCell ref="R51:R52"/>
    <mergeCell ref="U58:V58"/>
    <mergeCell ref="AC58:AD58"/>
    <mergeCell ref="A59:A60"/>
    <mergeCell ref="C59:N60"/>
    <mergeCell ref="O59:O60"/>
    <mergeCell ref="P59:P60"/>
    <mergeCell ref="Q59:Q60"/>
    <mergeCell ref="R59:R60"/>
    <mergeCell ref="AG59:AG60"/>
    <mergeCell ref="AH59:AH60"/>
    <mergeCell ref="A61:M62"/>
    <mergeCell ref="S51:T52"/>
    <mergeCell ref="S59:T60"/>
    <mergeCell ref="AG46:AG47"/>
    <mergeCell ref="AH46:AH47"/>
    <mergeCell ref="AK46:AM47"/>
    <mergeCell ref="A48:M49"/>
    <mergeCell ref="U50:V50"/>
    <mergeCell ref="AC50:AD50"/>
    <mergeCell ref="A46:A47"/>
    <mergeCell ref="C46:N47"/>
    <mergeCell ref="O46:O47"/>
    <mergeCell ref="P46:P47"/>
    <mergeCell ref="Q46:Q47"/>
    <mergeCell ref="R46:R47"/>
    <mergeCell ref="S46:T47"/>
    <mergeCell ref="AG41:AG42"/>
    <mergeCell ref="AH41:AH42"/>
    <mergeCell ref="AK41:AM42"/>
    <mergeCell ref="A43:M44"/>
    <mergeCell ref="U45:V45"/>
    <mergeCell ref="AC45:AD45"/>
    <mergeCell ref="A41:A42"/>
    <mergeCell ref="C41:N42"/>
    <mergeCell ref="O41:O42"/>
    <mergeCell ref="P41:P42"/>
    <mergeCell ref="Q41:Q42"/>
    <mergeCell ref="R41:R42"/>
    <mergeCell ref="S41:T42"/>
    <mergeCell ref="AG36:AG37"/>
    <mergeCell ref="AH36:AH37"/>
    <mergeCell ref="AK36:AM37"/>
    <mergeCell ref="A38:M39"/>
    <mergeCell ref="U40:V40"/>
    <mergeCell ref="AC40:AD40"/>
    <mergeCell ref="A36:A37"/>
    <mergeCell ref="C36:N37"/>
    <mergeCell ref="O36:O37"/>
    <mergeCell ref="P36:P37"/>
    <mergeCell ref="Q36:Q37"/>
    <mergeCell ref="R36:R37"/>
    <mergeCell ref="S36:T37"/>
    <mergeCell ref="AG31:AG32"/>
    <mergeCell ref="AH31:AH32"/>
    <mergeCell ref="AK31:AM32"/>
    <mergeCell ref="A33:M34"/>
    <mergeCell ref="U35:V35"/>
    <mergeCell ref="AC35:AD35"/>
    <mergeCell ref="A31:A32"/>
    <mergeCell ref="C31:N32"/>
    <mergeCell ref="O31:O32"/>
    <mergeCell ref="P31:P32"/>
    <mergeCell ref="Q31:Q32"/>
    <mergeCell ref="R31:R32"/>
    <mergeCell ref="S31:T32"/>
    <mergeCell ref="AG26:AG27"/>
    <mergeCell ref="AH26:AH27"/>
    <mergeCell ref="AK26:AM27"/>
    <mergeCell ref="A28:M29"/>
    <mergeCell ref="U30:V30"/>
    <mergeCell ref="AC30:AD30"/>
    <mergeCell ref="A26:A27"/>
    <mergeCell ref="C26:N27"/>
    <mergeCell ref="O26:O27"/>
    <mergeCell ref="P26:P27"/>
    <mergeCell ref="Q26:Q27"/>
    <mergeCell ref="R26:R27"/>
    <mergeCell ref="S26:T27"/>
    <mergeCell ref="AC20:AD20"/>
    <mergeCell ref="A21:A22"/>
    <mergeCell ref="C21:N22"/>
    <mergeCell ref="O21:O22"/>
    <mergeCell ref="P21:P22"/>
    <mergeCell ref="Q21:Q22"/>
    <mergeCell ref="R21:R22"/>
    <mergeCell ref="AG21:AG22"/>
    <mergeCell ref="AH21:AH22"/>
    <mergeCell ref="S21:T22"/>
    <mergeCell ref="A75:M76"/>
    <mergeCell ref="U77:V77"/>
    <mergeCell ref="AC77:AD77"/>
    <mergeCell ref="Q78:Q79"/>
    <mergeCell ref="R78:R79"/>
    <mergeCell ref="AK2:AU2"/>
    <mergeCell ref="C5:AD5"/>
    <mergeCell ref="B6:B7"/>
    <mergeCell ref="C6:Q6"/>
    <mergeCell ref="T6:W6"/>
    <mergeCell ref="V9:X9"/>
    <mergeCell ref="A12:AD13"/>
    <mergeCell ref="A14:L15"/>
    <mergeCell ref="O14:Q14"/>
    <mergeCell ref="O15:Q15"/>
    <mergeCell ref="J2:AD3"/>
    <mergeCell ref="S14:T14"/>
    <mergeCell ref="S15:T15"/>
    <mergeCell ref="W14:AD14"/>
    <mergeCell ref="W15:AD15"/>
    <mergeCell ref="T7:W7"/>
    <mergeCell ref="A18:N18"/>
    <mergeCell ref="AG18:AH18"/>
    <mergeCell ref="U20:V20"/>
    <mergeCell ref="V109:AC109"/>
    <mergeCell ref="A113:N113"/>
    <mergeCell ref="A115:A116"/>
    <mergeCell ref="C115:N116"/>
    <mergeCell ref="O115:O116"/>
    <mergeCell ref="P115:P116"/>
    <mergeCell ref="Q115:Q116"/>
    <mergeCell ref="A23:M24"/>
    <mergeCell ref="U25:V25"/>
    <mergeCell ref="AC25:AD25"/>
    <mergeCell ref="U82:V82"/>
    <mergeCell ref="AC82:AD82"/>
    <mergeCell ref="A83:A84"/>
    <mergeCell ref="C83:N84"/>
    <mergeCell ref="O83:O84"/>
    <mergeCell ref="P83:P84"/>
    <mergeCell ref="Q83:Q84"/>
    <mergeCell ref="R83:R84"/>
    <mergeCell ref="C65:P65"/>
    <mergeCell ref="U67:V67"/>
    <mergeCell ref="AC67:AD67"/>
    <mergeCell ref="A68:A69"/>
    <mergeCell ref="C68:N69"/>
    <mergeCell ref="O68:O69"/>
    <mergeCell ref="A109:L110"/>
    <mergeCell ref="O109:Q109"/>
    <mergeCell ref="S109:T109"/>
    <mergeCell ref="O110:Q110"/>
    <mergeCell ref="S110:T110"/>
    <mergeCell ref="O120:O121"/>
    <mergeCell ref="P120:P121"/>
    <mergeCell ref="Q120:Q121"/>
    <mergeCell ref="R120:R121"/>
    <mergeCell ref="A92:M93"/>
    <mergeCell ref="A95:A96"/>
    <mergeCell ref="C95:N96"/>
    <mergeCell ref="O95:O96"/>
    <mergeCell ref="P95:P96"/>
    <mergeCell ref="Q95:Q96"/>
    <mergeCell ref="R95:R96"/>
    <mergeCell ref="R100:R101"/>
    <mergeCell ref="A102:M103"/>
    <mergeCell ref="C259:P259"/>
    <mergeCell ref="AK105:AU105"/>
    <mergeCell ref="A256:M257"/>
    <mergeCell ref="A221:M222"/>
    <mergeCell ref="A214:N214"/>
    <mergeCell ref="A209:O209"/>
    <mergeCell ref="J206:AD207"/>
    <mergeCell ref="AK206:AU206"/>
    <mergeCell ref="A210:L211"/>
    <mergeCell ref="O210:Q210"/>
    <mergeCell ref="S210:T210"/>
    <mergeCell ref="O211:Q211"/>
    <mergeCell ref="S211:T211"/>
    <mergeCell ref="U223:V223"/>
    <mergeCell ref="AC223:AD223"/>
    <mergeCell ref="V110:AC110"/>
    <mergeCell ref="A108:O108"/>
    <mergeCell ref="P224:P225"/>
    <mergeCell ref="Q224:Q225"/>
    <mergeCell ref="R224:R225"/>
    <mergeCell ref="C224:O225"/>
    <mergeCell ref="J105:AD106"/>
    <mergeCell ref="Y108:Z108"/>
    <mergeCell ref="AB108:AD108"/>
  </mergeCells>
  <printOptions horizontalCentered="1"/>
  <pageMargins left="0" right="0" top="0.196850393700787" bottom="0.10433070899999999" header="0.31496062992126" footer="0.118110236220472"/>
  <pageSetup paperSize="9" scale="85" orientation="portrait" r:id="rId1"/>
  <headerFooter differentFirst="1">
    <oddFooter>&amp;C&amp;"-,Normale"&amp;11&amp;K0000FFAnalisi degli Acidi Organici - Profilo Nutrizionale e Metabolico&amp;R           Pagina &amp;P di &amp;N&amp;K00+000&amp;A&amp;D</oddFooter>
    <firstFooter xml:space="preserve">&amp;C&amp;"-,Normale"&amp;11&amp;K0000FFAnalisi degli Acidi Organici - Profilo Nutrizionale e Metabolico&amp;R&amp;"-,Normale"&amp;11Pagina &amp;P di &amp;N&amp;K00+000&amp;A&amp;D &amp;9                 </firstFooter>
  </headerFooter>
  <rowBreaks count="2" manualBreakCount="2">
    <brk id="103" max="30" man="1"/>
    <brk id="204" max="30" man="1"/>
  </rowBreaks>
  <colBreaks count="1" manualBreakCount="1">
    <brk id="31" max="419" man="1"/>
  </colBreaks>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3">
              <controlPr defaultSize="0" print="0" autoFill="0" autoPict="0" macro="[0]!valuta">
                <anchor moveWithCells="1" sizeWithCells="1">
                  <from>
                    <xdr:col>32</xdr:col>
                    <xdr:colOff>9525</xdr:colOff>
                    <xdr:row>10</xdr:row>
                    <xdr:rowOff>161925</xdr:rowOff>
                  </from>
                  <to>
                    <xdr:col>33</xdr:col>
                    <xdr:colOff>219075</xdr:colOff>
                    <xdr:row>12</xdr:row>
                    <xdr:rowOff>19050</xdr:rowOff>
                  </to>
                </anchor>
              </controlPr>
            </control>
          </mc:Choice>
        </mc:AlternateContent>
        <mc:AlternateContent xmlns:mc="http://schemas.openxmlformats.org/markup-compatibility/2006">
          <mc:Choice Requires="x14">
            <control shapeId="39938" r:id="rId5" name="Button 4">
              <controlPr defaultSize="0" print="0" autoFill="0" autoPict="0" macro="[0]!emissione_tutto">
                <anchor moveWithCells="1" sizeWithCells="1">
                  <from>
                    <xdr:col>31</xdr:col>
                    <xdr:colOff>581025</xdr:colOff>
                    <xdr:row>12</xdr:row>
                    <xdr:rowOff>142875</xdr:rowOff>
                  </from>
                  <to>
                    <xdr:col>33</xdr:col>
                    <xdr:colOff>209550</xdr:colOff>
                    <xdr:row>13</xdr:row>
                    <xdr:rowOff>171450</xdr:rowOff>
                  </to>
                </anchor>
              </controlPr>
            </control>
          </mc:Choice>
        </mc:AlternateContent>
        <mc:AlternateContent xmlns:mc="http://schemas.openxmlformats.org/markup-compatibility/2006">
          <mc:Choice Requires="x14">
            <control shapeId="39939" r:id="rId6" name="Button 3">
              <controlPr defaultSize="0" print="0" autoFill="0" autoPict="0" macro="[0]!finale">
                <anchor moveWithCells="1" sizeWithCells="1">
                  <from>
                    <xdr:col>32</xdr:col>
                    <xdr:colOff>9525</xdr:colOff>
                    <xdr:row>14</xdr:row>
                    <xdr:rowOff>133350</xdr:rowOff>
                  </from>
                  <to>
                    <xdr:col>33</xdr:col>
                    <xdr:colOff>238125</xdr:colOff>
                    <xdr:row>16</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12"/>
  <dimension ref="A1:AB129"/>
  <sheetViews>
    <sheetView zoomScale="80" zoomScaleNormal="80" workbookViewId="0">
      <pane xSplit="2" ySplit="1" topLeftCell="C2" activePane="bottomRight" state="frozen"/>
      <selection pane="topRight" activeCell="C1" sqref="C1"/>
      <selection pane="bottomLeft" activeCell="A2" sqref="A2"/>
      <selection pane="bottomRight" activeCell="S2" sqref="S2"/>
    </sheetView>
  </sheetViews>
  <sheetFormatPr defaultRowHeight="12.75"/>
  <cols>
    <col min="1" max="1" width="5.140625" customWidth="1"/>
    <col min="2" max="2" width="30.85546875" bestFit="1" customWidth="1"/>
    <col min="3" max="3" width="7.28515625" customWidth="1"/>
    <col min="4" max="4" width="4" bestFit="1" customWidth="1"/>
    <col min="5" max="5" width="6.85546875" customWidth="1"/>
    <col min="6" max="6" width="2" bestFit="1" customWidth="1"/>
    <col min="7" max="7" width="5" bestFit="1" customWidth="1"/>
    <col min="8" max="8" width="4" bestFit="1" customWidth="1"/>
    <col min="9" max="9" width="6" bestFit="1" customWidth="1"/>
    <col min="10" max="10" width="2.5703125" customWidth="1"/>
    <col min="11" max="11" width="9" customWidth="1"/>
    <col min="12" max="12" width="3.7109375" customWidth="1"/>
    <col min="13" max="16" width="9" customWidth="1"/>
    <col min="18" max="18" width="10.5703125" bestFit="1" customWidth="1"/>
    <col min="19" max="19" width="9.5703125" bestFit="1" customWidth="1"/>
    <col min="20" max="20" width="5.5703125" customWidth="1"/>
    <col min="21" max="21" width="5.140625" customWidth="1"/>
    <col min="22" max="25" width="7" customWidth="1"/>
    <col min="26" max="26" width="5" customWidth="1"/>
    <col min="27" max="27" width="7.7109375" customWidth="1"/>
    <col min="28" max="28" width="7.28515625" customWidth="1"/>
  </cols>
  <sheetData>
    <row r="1" spans="1:28">
      <c r="A1" s="89" t="s">
        <v>17</v>
      </c>
      <c r="B1" s="89" t="s">
        <v>18</v>
      </c>
      <c r="C1" s="250" t="s">
        <v>19</v>
      </c>
      <c r="D1" s="251"/>
      <c r="E1" s="251"/>
      <c r="K1" t="s">
        <v>16</v>
      </c>
      <c r="M1" t="s">
        <v>21</v>
      </c>
      <c r="N1" s="28" t="s">
        <v>20</v>
      </c>
      <c r="O1" s="28" t="s">
        <v>78</v>
      </c>
      <c r="P1" s="28" t="s">
        <v>79</v>
      </c>
      <c r="Q1" s="28" t="s">
        <v>81</v>
      </c>
      <c r="R1" s="28" t="s">
        <v>82</v>
      </c>
      <c r="S1" s="28" t="s">
        <v>6</v>
      </c>
      <c r="V1" s="28" t="s">
        <v>156</v>
      </c>
      <c r="W1" s="28" t="s">
        <v>157</v>
      </c>
      <c r="X1" s="28" t="s">
        <v>158</v>
      </c>
      <c r="Y1" s="28" t="s">
        <v>159</v>
      </c>
      <c r="AA1" s="29" t="s">
        <v>14</v>
      </c>
      <c r="AB1" s="30" t="s">
        <v>15</v>
      </c>
    </row>
    <row r="2" spans="1:28" ht="15">
      <c r="A2">
        <v>1</v>
      </c>
      <c r="B2" s="50" t="s">
        <v>83</v>
      </c>
      <c r="C2" s="192"/>
      <c r="D2" s="193" t="s">
        <v>4</v>
      </c>
      <c r="E2" s="193">
        <v>398.9</v>
      </c>
      <c r="I2" t="s">
        <v>23</v>
      </c>
      <c r="J2" s="44" t="s">
        <v>25</v>
      </c>
      <c r="K2" s="17">
        <v>21</v>
      </c>
      <c r="L2" s="10"/>
      <c r="M2" s="32">
        <f>INDEX(Base!S$21:S$424,Riferimenti!K2-20)</f>
        <v>0</v>
      </c>
      <c r="N2" s="157">
        <f>IF(M2&gt;0,(0.7+(M2-C2)/((E2-C2)/86)/10),0)</f>
        <v>0</v>
      </c>
      <c r="O2" s="158">
        <f>+(Q2+R2)/2</f>
        <v>233.8</v>
      </c>
      <c r="P2" s="88">
        <f>+O2-Q2</f>
        <v>82.5</v>
      </c>
      <c r="Q2" s="193">
        <v>151.30000000000001</v>
      </c>
      <c r="R2" s="196">
        <v>316.3</v>
      </c>
      <c r="S2" s="35">
        <f t="shared" ref="S2:S65" si="0">+E2+(E2/100*7)</f>
        <v>426.82299999999998</v>
      </c>
      <c r="U2">
        <v>32</v>
      </c>
      <c r="V2" s="35">
        <f t="shared" ref="V2" si="1">IF(C2&gt;0,(0.07+(C2-C2)/((E2-C2)/86)/100),0)</f>
        <v>0</v>
      </c>
      <c r="W2" s="154">
        <f>+U2/100</f>
        <v>0.32</v>
      </c>
      <c r="X2" s="35" t="e">
        <f>+#REF!/100</f>
        <v>#REF!</v>
      </c>
      <c r="Y2" s="35">
        <v>0.93</v>
      </c>
      <c r="AA2" s="31">
        <v>0</v>
      </c>
      <c r="AB2" s="32">
        <f>-$AA$26</f>
        <v>-0.5</v>
      </c>
    </row>
    <row r="3" spans="1:28" ht="15">
      <c r="A3">
        <v>2</v>
      </c>
      <c r="B3" s="50" t="s">
        <v>84</v>
      </c>
      <c r="C3" s="192">
        <v>3.3</v>
      </c>
      <c r="D3" s="193" t="s">
        <v>10</v>
      </c>
      <c r="E3" s="193">
        <v>59.8</v>
      </c>
      <c r="I3" t="s">
        <v>24</v>
      </c>
      <c r="J3" s="44" t="s">
        <v>25</v>
      </c>
      <c r="K3">
        <f>+K2+5</f>
        <v>26</v>
      </c>
      <c r="L3" s="10"/>
      <c r="M3" s="32">
        <f>INDEX(Base!S$21:S$424,Riferimenti!K3-20)</f>
        <v>0</v>
      </c>
      <c r="N3" s="157">
        <f t="shared" ref="N3:N65" si="2">IF(M3&gt;0,(0.7+(M3-C3)/((E3-C3)/86)/10),0)</f>
        <v>0</v>
      </c>
      <c r="O3" s="158">
        <f>+(Q3+R3)/2</f>
        <v>31.55</v>
      </c>
      <c r="P3" s="88">
        <f t="shared" ref="P3" si="3">+O3-Q3</f>
        <v>14.150000000000002</v>
      </c>
      <c r="Q3" s="193">
        <v>17.399999999999999</v>
      </c>
      <c r="R3" s="196">
        <v>45.7</v>
      </c>
      <c r="S3" s="35">
        <f t="shared" si="0"/>
        <v>63.985999999999997</v>
      </c>
      <c r="U3">
        <v>41</v>
      </c>
      <c r="V3" s="35">
        <f t="shared" ref="V3:V29" si="4">IF(C3&gt;0,(0.07+(C3-C3)/((E3-C3)/86)/100),0)</f>
        <v>7.0000000000000007E-2</v>
      </c>
      <c r="W3" s="154">
        <f t="shared" ref="W3:W29" si="5">+U3/100</f>
        <v>0.41</v>
      </c>
      <c r="X3" s="35" t="e">
        <f>+#REF!/100</f>
        <v>#REF!</v>
      </c>
      <c r="Y3" s="35">
        <v>0.93</v>
      </c>
      <c r="AA3" s="31">
        <v>0</v>
      </c>
      <c r="AB3" s="32">
        <f>+$AA$26</f>
        <v>0.5</v>
      </c>
    </row>
    <row r="4" spans="1:28" ht="15">
      <c r="A4">
        <v>3</v>
      </c>
      <c r="B4" s="50" t="s">
        <v>85</v>
      </c>
      <c r="C4" s="192">
        <v>10.199999999999999</v>
      </c>
      <c r="D4" s="193" t="s">
        <v>10</v>
      </c>
      <c r="E4" s="193">
        <v>58.9</v>
      </c>
      <c r="I4" t="s">
        <v>26</v>
      </c>
      <c r="J4" s="44" t="s">
        <v>25</v>
      </c>
      <c r="K4">
        <f t="shared" ref="K4:K45" si="6">+K3+5</f>
        <v>31</v>
      </c>
      <c r="L4" s="10"/>
      <c r="M4" s="32">
        <f>INDEX(Base!S$21:S$424,Riferimenti!K4-20)</f>
        <v>0</v>
      </c>
      <c r="N4" s="157">
        <f t="shared" si="2"/>
        <v>0</v>
      </c>
      <c r="O4" s="158">
        <f t="shared" ref="O4:O63" si="7">+(Q4+R4)/2</f>
        <v>34.5</v>
      </c>
      <c r="P4" s="88">
        <f t="shared" ref="P4:P63" si="8">+O4-Q4</f>
        <v>12.2</v>
      </c>
      <c r="Q4" s="193">
        <v>22.3</v>
      </c>
      <c r="R4" s="196">
        <v>46.7</v>
      </c>
      <c r="S4" s="35">
        <f t="shared" si="0"/>
        <v>63.022999999999996</v>
      </c>
      <c r="U4">
        <v>41</v>
      </c>
      <c r="V4" s="35">
        <f t="shared" si="4"/>
        <v>7.0000000000000007E-2</v>
      </c>
      <c r="W4" s="154">
        <f t="shared" si="5"/>
        <v>0.41</v>
      </c>
      <c r="X4" s="35" t="e">
        <f>+#REF!/100</f>
        <v>#REF!</v>
      </c>
      <c r="Y4" s="35">
        <v>0.93</v>
      </c>
      <c r="AA4" s="31">
        <v>1</v>
      </c>
      <c r="AB4" s="32"/>
    </row>
    <row r="5" spans="1:28" ht="15">
      <c r="A5">
        <v>4</v>
      </c>
      <c r="B5" s="50" t="s">
        <v>88</v>
      </c>
      <c r="C5" s="192">
        <v>3.2</v>
      </c>
      <c r="D5" s="193" t="s">
        <v>10</v>
      </c>
      <c r="E5" s="193">
        <v>31.1</v>
      </c>
      <c r="I5" t="s">
        <v>27</v>
      </c>
      <c r="J5" s="44" t="s">
        <v>25</v>
      </c>
      <c r="K5">
        <f t="shared" si="6"/>
        <v>36</v>
      </c>
      <c r="L5" s="10"/>
      <c r="M5" s="32">
        <f>INDEX(Base!S$21:S$424,Riferimenti!K5-20)</f>
        <v>0</v>
      </c>
      <c r="N5" s="157">
        <f t="shared" si="2"/>
        <v>0</v>
      </c>
      <c r="O5" s="158">
        <f t="shared" si="7"/>
        <v>17.2</v>
      </c>
      <c r="P5" s="88">
        <f t="shared" si="8"/>
        <v>7</v>
      </c>
      <c r="Q5" s="193">
        <v>10.199999999999999</v>
      </c>
      <c r="R5" s="196">
        <v>24.2</v>
      </c>
      <c r="S5" s="35">
        <f t="shared" si="0"/>
        <v>33.277000000000001</v>
      </c>
      <c r="U5">
        <v>26</v>
      </c>
      <c r="V5" s="35">
        <f t="shared" si="4"/>
        <v>7.0000000000000007E-2</v>
      </c>
      <c r="W5" s="154">
        <f t="shared" si="5"/>
        <v>0.26</v>
      </c>
      <c r="X5" s="35" t="e">
        <f>+#REF!/100</f>
        <v>#REF!</v>
      </c>
      <c r="Y5" s="35">
        <v>0.93</v>
      </c>
      <c r="AA5" s="31">
        <f>+AA4</f>
        <v>1</v>
      </c>
      <c r="AB5" s="32"/>
    </row>
    <row r="6" spans="1:28" ht="15">
      <c r="A6">
        <v>5</v>
      </c>
      <c r="B6" s="50" t="s">
        <v>86</v>
      </c>
      <c r="C6" s="192"/>
      <c r="D6" s="193" t="s">
        <v>4</v>
      </c>
      <c r="E6" s="193">
        <v>1.7</v>
      </c>
      <c r="I6" t="s">
        <v>28</v>
      </c>
      <c r="J6" s="44" t="s">
        <v>25</v>
      </c>
      <c r="K6">
        <f t="shared" si="6"/>
        <v>41</v>
      </c>
      <c r="L6" s="10"/>
      <c r="M6" s="32">
        <f>INDEX(Base!S$21:S$424,Riferimenti!K6-20)</f>
        <v>0</v>
      </c>
      <c r="N6" s="157">
        <f t="shared" si="2"/>
        <v>0</v>
      </c>
      <c r="O6" s="158">
        <f t="shared" si="7"/>
        <v>0.7</v>
      </c>
      <c r="P6" s="88">
        <f t="shared" si="8"/>
        <v>0.49999999999999994</v>
      </c>
      <c r="Q6" s="193">
        <v>0.2</v>
      </c>
      <c r="R6" s="196">
        <v>1.2</v>
      </c>
      <c r="S6" s="35">
        <f t="shared" si="0"/>
        <v>1.819</v>
      </c>
      <c r="U6">
        <v>31</v>
      </c>
      <c r="V6" s="35">
        <f t="shared" si="4"/>
        <v>0</v>
      </c>
      <c r="W6" s="154">
        <f t="shared" si="5"/>
        <v>0.31</v>
      </c>
      <c r="X6" s="35" t="e">
        <f>+#REF!/100</f>
        <v>#REF!</v>
      </c>
      <c r="Y6" s="35">
        <v>0.93</v>
      </c>
      <c r="AA6" s="31">
        <v>2</v>
      </c>
      <c r="AB6" s="32">
        <f>-$AA$26</f>
        <v>-0.5</v>
      </c>
    </row>
    <row r="7" spans="1:28" ht="15">
      <c r="A7">
        <v>6</v>
      </c>
      <c r="B7" s="50" t="s">
        <v>87</v>
      </c>
      <c r="C7" s="192"/>
      <c r="D7" s="193" t="s">
        <v>4</v>
      </c>
      <c r="E7" s="193">
        <v>2.2999999999999998</v>
      </c>
      <c r="I7" t="s">
        <v>29</v>
      </c>
      <c r="J7" s="44" t="s">
        <v>25</v>
      </c>
      <c r="K7">
        <f t="shared" si="6"/>
        <v>46</v>
      </c>
      <c r="L7" s="10"/>
      <c r="M7" s="32">
        <f>INDEX(Base!S$21:S$424,Riferimenti!K7-20)</f>
        <v>0</v>
      </c>
      <c r="N7" s="157">
        <f>IF(M7&gt;0,(0.7+(M7-C7)/((E7-C7)/86)/10),0)</f>
        <v>0</v>
      </c>
      <c r="O7" s="158">
        <f t="shared" si="7"/>
        <v>0.9</v>
      </c>
      <c r="P7" s="88">
        <f t="shared" si="8"/>
        <v>0.7</v>
      </c>
      <c r="Q7" s="193">
        <v>0.2</v>
      </c>
      <c r="R7" s="196">
        <v>1.6</v>
      </c>
      <c r="S7" s="35">
        <f t="shared" si="0"/>
        <v>2.4609999999999999</v>
      </c>
      <c r="U7">
        <v>30</v>
      </c>
      <c r="V7" s="35">
        <f t="shared" si="4"/>
        <v>0</v>
      </c>
      <c r="W7" s="154">
        <f t="shared" si="5"/>
        <v>0.3</v>
      </c>
      <c r="X7" s="35" t="e">
        <f>+#REF!/100</f>
        <v>#REF!</v>
      </c>
      <c r="Y7" s="35">
        <v>0.93</v>
      </c>
      <c r="AA7" s="31">
        <v>2</v>
      </c>
      <c r="AB7" s="32">
        <f>+$AA$26</f>
        <v>0.5</v>
      </c>
    </row>
    <row r="8" spans="1:28" ht="15">
      <c r="A8">
        <v>7</v>
      </c>
      <c r="B8" s="53" t="s">
        <v>89</v>
      </c>
      <c r="C8" s="192">
        <v>0.3</v>
      </c>
      <c r="D8" s="193" t="s">
        <v>10</v>
      </c>
      <c r="E8" s="193">
        <v>1.4</v>
      </c>
      <c r="F8" s="47"/>
      <c r="G8" s="47"/>
      <c r="H8" s="47"/>
      <c r="I8" s="47" t="s">
        <v>30</v>
      </c>
      <c r="J8" s="87" t="s">
        <v>25</v>
      </c>
      <c r="K8" s="47">
        <f t="shared" si="6"/>
        <v>51</v>
      </c>
      <c r="L8" s="129"/>
      <c r="M8" s="32">
        <f>INDEX(Base!S$21:S$424,Riferimenti!K8-20)</f>
        <v>0</v>
      </c>
      <c r="N8" s="157">
        <f t="shared" si="2"/>
        <v>0</v>
      </c>
      <c r="O8" s="158">
        <f t="shared" si="7"/>
        <v>0.55000000000000004</v>
      </c>
      <c r="P8" s="88">
        <f t="shared" si="8"/>
        <v>0.45000000000000007</v>
      </c>
      <c r="Q8" s="193">
        <v>0.1</v>
      </c>
      <c r="R8" s="196">
        <v>1</v>
      </c>
      <c r="S8" s="35">
        <f t="shared" si="0"/>
        <v>1.498</v>
      </c>
      <c r="U8">
        <v>40</v>
      </c>
      <c r="V8" s="35">
        <f t="shared" si="4"/>
        <v>7.0000000000000007E-2</v>
      </c>
      <c r="W8" s="154">
        <f t="shared" si="5"/>
        <v>0.4</v>
      </c>
      <c r="X8" s="35" t="e">
        <f>+#REF!/100</f>
        <v>#REF!</v>
      </c>
      <c r="Y8" s="35">
        <v>0.93</v>
      </c>
      <c r="AA8" s="31">
        <v>3</v>
      </c>
      <c r="AB8" s="32"/>
    </row>
    <row r="9" spans="1:28" ht="15">
      <c r="A9" s="47">
        <v>8</v>
      </c>
      <c r="B9" s="53" t="s">
        <v>130</v>
      </c>
      <c r="C9" s="192"/>
      <c r="D9" s="193" t="s">
        <v>4</v>
      </c>
      <c r="E9" s="193">
        <v>8.3000000000000007</v>
      </c>
      <c r="F9" s="47"/>
      <c r="G9" s="47"/>
      <c r="H9" s="47"/>
      <c r="I9" s="47" t="s">
        <v>31</v>
      </c>
      <c r="J9" s="87" t="s">
        <v>25</v>
      </c>
      <c r="K9" s="47">
        <v>59</v>
      </c>
      <c r="L9" s="47"/>
      <c r="M9" s="32">
        <f>INDEX(Base!S$21:S$424,Riferimenti!K9-20)</f>
        <v>0</v>
      </c>
      <c r="N9" s="157">
        <f t="shared" si="2"/>
        <v>0</v>
      </c>
      <c r="O9" s="158">
        <f t="shared" si="7"/>
        <v>4.7</v>
      </c>
      <c r="P9" s="88">
        <f t="shared" si="8"/>
        <v>1.8000000000000003</v>
      </c>
      <c r="Q9" s="193">
        <v>2.9</v>
      </c>
      <c r="R9" s="196">
        <v>6.5</v>
      </c>
      <c r="S9" s="35">
        <f t="shared" si="0"/>
        <v>8.8810000000000002</v>
      </c>
      <c r="U9">
        <v>26</v>
      </c>
      <c r="V9" s="35">
        <f t="shared" si="4"/>
        <v>0</v>
      </c>
      <c r="W9" s="154">
        <f t="shared" si="5"/>
        <v>0.26</v>
      </c>
      <c r="X9" s="35" t="e">
        <f>+#REF!/100</f>
        <v>#REF!</v>
      </c>
      <c r="Y9" s="35">
        <v>0.93</v>
      </c>
      <c r="AA9" s="31">
        <f>+AA8</f>
        <v>3</v>
      </c>
      <c r="AB9" s="32"/>
    </row>
    <row r="10" spans="1:28" ht="15">
      <c r="A10">
        <v>9</v>
      </c>
      <c r="B10" s="50" t="s">
        <v>92</v>
      </c>
      <c r="C10" s="192">
        <v>0.4</v>
      </c>
      <c r="D10" s="199" t="s">
        <v>10</v>
      </c>
      <c r="E10" s="193">
        <v>3.1</v>
      </c>
      <c r="G10" s="200"/>
      <c r="I10" t="s">
        <v>32</v>
      </c>
      <c r="J10" s="44" t="s">
        <v>25</v>
      </c>
      <c r="K10">
        <v>68</v>
      </c>
      <c r="M10" s="32">
        <f>INDEX(Base!S$21:S$424,Riferimenti!K10-20)</f>
        <v>0</v>
      </c>
      <c r="N10" s="157">
        <f t="shared" si="2"/>
        <v>0</v>
      </c>
      <c r="O10" s="158">
        <f t="shared" si="7"/>
        <v>1.5</v>
      </c>
      <c r="P10" s="88">
        <f t="shared" si="8"/>
        <v>0.8</v>
      </c>
      <c r="Q10" s="193">
        <v>0.7</v>
      </c>
      <c r="R10" s="196">
        <v>2.2999999999999998</v>
      </c>
      <c r="S10" s="35">
        <f t="shared" si="0"/>
        <v>3.3170000000000002</v>
      </c>
      <c r="U10">
        <v>34</v>
      </c>
      <c r="V10" s="35">
        <f t="shared" si="4"/>
        <v>7.0000000000000007E-2</v>
      </c>
      <c r="W10" s="154">
        <f t="shared" si="5"/>
        <v>0.34</v>
      </c>
      <c r="X10" s="35" t="e">
        <f>+#REF!/100</f>
        <v>#REF!</v>
      </c>
      <c r="Y10" s="35">
        <v>0.93</v>
      </c>
      <c r="AA10" s="31">
        <v>4</v>
      </c>
      <c r="AB10" s="32">
        <f>-$AA$26</f>
        <v>-0.5</v>
      </c>
    </row>
    <row r="11" spans="1:28" ht="15">
      <c r="A11">
        <v>10</v>
      </c>
      <c r="B11" s="50" t="s">
        <v>93</v>
      </c>
      <c r="C11" s="192"/>
      <c r="D11" s="193" t="s">
        <v>4</v>
      </c>
      <c r="E11" s="193">
        <v>3.4</v>
      </c>
      <c r="I11" t="s">
        <v>33</v>
      </c>
      <c r="J11" s="44" t="s">
        <v>25</v>
      </c>
      <c r="K11">
        <f t="shared" si="6"/>
        <v>73</v>
      </c>
      <c r="M11" s="32">
        <f>INDEX(Base!S$21:S$424,Riferimenti!K11-20)</f>
        <v>0</v>
      </c>
      <c r="N11" s="157">
        <f t="shared" si="2"/>
        <v>0</v>
      </c>
      <c r="O11" s="158">
        <f t="shared" si="7"/>
        <v>1.9500000000000002</v>
      </c>
      <c r="P11" s="88">
        <f t="shared" si="8"/>
        <v>0.75000000000000022</v>
      </c>
      <c r="Q11" s="193">
        <v>1.2</v>
      </c>
      <c r="R11" s="196">
        <v>2.7</v>
      </c>
      <c r="S11" s="35">
        <f t="shared" si="0"/>
        <v>3.6379999999999999</v>
      </c>
      <c r="U11">
        <v>30</v>
      </c>
      <c r="V11" s="35">
        <f t="shared" si="4"/>
        <v>0</v>
      </c>
      <c r="W11" s="154">
        <f t="shared" si="5"/>
        <v>0.3</v>
      </c>
      <c r="X11" s="35" t="e">
        <f>+#REF!/100</f>
        <v>#REF!</v>
      </c>
      <c r="Y11" s="35">
        <v>0.93</v>
      </c>
      <c r="AA11" s="31">
        <v>4</v>
      </c>
      <c r="AB11" s="32">
        <f>+$AA$26</f>
        <v>0.5</v>
      </c>
    </row>
    <row r="12" spans="1:28" ht="15">
      <c r="A12">
        <v>11</v>
      </c>
      <c r="B12" s="50" t="s">
        <v>195</v>
      </c>
      <c r="C12" s="192">
        <v>0.2</v>
      </c>
      <c r="D12" s="193" t="s">
        <v>10</v>
      </c>
      <c r="E12" s="193">
        <v>1.4</v>
      </c>
      <c r="I12" t="s">
        <v>34</v>
      </c>
      <c r="J12" s="44" t="s">
        <v>25</v>
      </c>
      <c r="K12">
        <f t="shared" si="6"/>
        <v>78</v>
      </c>
      <c r="M12" s="32">
        <f>INDEX(Base!S$21:S$424,Riferimenti!K12-20)</f>
        <v>0</v>
      </c>
      <c r="N12" s="157">
        <f t="shared" si="2"/>
        <v>0</v>
      </c>
      <c r="O12" s="158" t="e">
        <f t="shared" si="7"/>
        <v>#REF!</v>
      </c>
      <c r="P12" s="88" t="e">
        <f t="shared" si="8"/>
        <v>#REF!</v>
      </c>
      <c r="Q12" s="35">
        <f t="shared" ref="Q12" si="9">+S12/100*U12</f>
        <v>0.56923999999999997</v>
      </c>
      <c r="R12" s="35" t="e">
        <f>+S12/100*#REF!</f>
        <v>#REF!</v>
      </c>
      <c r="S12" s="35">
        <f t="shared" ref="S12:S56" si="10">+E12+(E12/100*7)</f>
        <v>1.498</v>
      </c>
      <c r="U12">
        <v>38</v>
      </c>
      <c r="V12" s="35">
        <f t="shared" si="4"/>
        <v>7.0000000000000007E-2</v>
      </c>
      <c r="W12" s="154">
        <f t="shared" si="5"/>
        <v>0.38</v>
      </c>
      <c r="X12" s="35" t="e">
        <f>+#REF!/100</f>
        <v>#REF!</v>
      </c>
      <c r="Y12" s="35">
        <v>0.93</v>
      </c>
      <c r="AA12" s="31">
        <v>5</v>
      </c>
      <c r="AB12" s="32"/>
    </row>
    <row r="13" spans="1:28" ht="15">
      <c r="A13">
        <v>12</v>
      </c>
      <c r="B13" s="132" t="s">
        <v>361</v>
      </c>
      <c r="C13" s="192"/>
      <c r="D13" s="193" t="s">
        <v>10</v>
      </c>
      <c r="E13" s="193">
        <v>0.4</v>
      </c>
      <c r="F13" s="47"/>
      <c r="G13" s="47"/>
      <c r="H13" s="47"/>
      <c r="I13" s="47" t="s">
        <v>35</v>
      </c>
      <c r="J13" s="87" t="s">
        <v>25</v>
      </c>
      <c r="K13" s="47">
        <f t="shared" si="6"/>
        <v>83</v>
      </c>
      <c r="L13" s="47"/>
      <c r="M13" s="32">
        <f>INDEX(Base!S$21:S$424,Riferimenti!K13-20)</f>
        <v>0</v>
      </c>
      <c r="N13" s="157">
        <f t="shared" si="2"/>
        <v>0</v>
      </c>
      <c r="O13" s="158">
        <f t="shared" si="7"/>
        <v>0.2</v>
      </c>
      <c r="P13" s="88">
        <f t="shared" si="8"/>
        <v>0.1</v>
      </c>
      <c r="Q13" s="193">
        <v>0.1</v>
      </c>
      <c r="R13" s="196">
        <v>0.3</v>
      </c>
      <c r="S13" s="35">
        <f t="shared" si="0"/>
        <v>0.42800000000000005</v>
      </c>
      <c r="U13">
        <v>39</v>
      </c>
      <c r="V13" s="35">
        <f t="shared" si="4"/>
        <v>0</v>
      </c>
      <c r="W13" s="154">
        <f t="shared" si="5"/>
        <v>0.39</v>
      </c>
      <c r="X13" s="35" t="e">
        <f>+#REF!/100</f>
        <v>#REF!</v>
      </c>
      <c r="Y13" s="35">
        <v>0.93</v>
      </c>
      <c r="AA13" s="31">
        <f>+AA12</f>
        <v>5</v>
      </c>
      <c r="AB13" s="32"/>
    </row>
    <row r="14" spans="1:28" ht="15">
      <c r="A14">
        <v>13</v>
      </c>
      <c r="B14" s="132" t="s">
        <v>362</v>
      </c>
      <c r="C14" s="192">
        <v>0.4</v>
      </c>
      <c r="D14" s="193" t="s">
        <v>10</v>
      </c>
      <c r="E14" s="193">
        <v>2.7</v>
      </c>
      <c r="G14" s="200"/>
      <c r="I14" t="s">
        <v>36</v>
      </c>
      <c r="J14" s="44" t="s">
        <v>25</v>
      </c>
      <c r="K14">
        <v>90</v>
      </c>
      <c r="M14" s="32">
        <f>INDEX(Base!S$21:S$424,Riferimenti!K14-20)</f>
        <v>0</v>
      </c>
      <c r="N14" s="157">
        <f t="shared" si="2"/>
        <v>0</v>
      </c>
      <c r="O14" s="158">
        <f t="shared" si="7"/>
        <v>1.6</v>
      </c>
      <c r="P14" s="88">
        <f t="shared" si="8"/>
        <v>0.5</v>
      </c>
      <c r="Q14" s="193">
        <v>1.1000000000000001</v>
      </c>
      <c r="R14" s="196">
        <v>2.1</v>
      </c>
      <c r="S14" s="35">
        <f t="shared" si="0"/>
        <v>2.8890000000000002</v>
      </c>
      <c r="U14">
        <v>36</v>
      </c>
      <c r="V14" s="35">
        <f t="shared" si="4"/>
        <v>7.0000000000000007E-2</v>
      </c>
      <c r="W14" s="154">
        <f t="shared" si="5"/>
        <v>0.36</v>
      </c>
      <c r="X14" s="35" t="e">
        <f>+#REF!/100</f>
        <v>#REF!</v>
      </c>
      <c r="Y14" s="35">
        <v>0.93</v>
      </c>
      <c r="AA14" s="31">
        <v>6</v>
      </c>
      <c r="AB14" s="32">
        <f>-$AA$26</f>
        <v>-0.5</v>
      </c>
    </row>
    <row r="15" spans="1:28" ht="15">
      <c r="A15">
        <v>14</v>
      </c>
      <c r="B15" s="50" t="s">
        <v>148</v>
      </c>
      <c r="C15" s="192">
        <v>0.3</v>
      </c>
      <c r="D15" s="193" t="s">
        <v>10</v>
      </c>
      <c r="E15" s="193">
        <v>2</v>
      </c>
      <c r="G15" s="200"/>
      <c r="I15" t="s">
        <v>37</v>
      </c>
      <c r="J15" s="44" t="s">
        <v>25</v>
      </c>
      <c r="K15">
        <f t="shared" si="6"/>
        <v>95</v>
      </c>
      <c r="M15" s="32">
        <f>INDEX(Base!S$21:S$424,Riferimenti!K15-20)</f>
        <v>0</v>
      </c>
      <c r="N15" s="157">
        <f t="shared" si="2"/>
        <v>0</v>
      </c>
      <c r="O15" s="158">
        <f t="shared" si="7"/>
        <v>1</v>
      </c>
      <c r="P15" s="88">
        <f t="shared" si="8"/>
        <v>0.5</v>
      </c>
      <c r="Q15" s="193">
        <v>0.5</v>
      </c>
      <c r="R15" s="196">
        <v>1.5</v>
      </c>
      <c r="S15" s="35">
        <f t="shared" si="0"/>
        <v>2.14</v>
      </c>
      <c r="U15">
        <v>23</v>
      </c>
      <c r="V15" s="35">
        <f t="shared" si="4"/>
        <v>7.0000000000000007E-2</v>
      </c>
      <c r="W15" s="154">
        <f t="shared" si="5"/>
        <v>0.23</v>
      </c>
      <c r="X15" s="35" t="e">
        <f>+#REF!/100</f>
        <v>#REF!</v>
      </c>
      <c r="Y15" s="35">
        <v>0.93</v>
      </c>
      <c r="AA15" s="31">
        <v>6</v>
      </c>
      <c r="AB15" s="32">
        <f>+$AA$26</f>
        <v>0.5</v>
      </c>
    </row>
    <row r="16" spans="1:28" ht="15">
      <c r="A16" s="47">
        <v>15</v>
      </c>
      <c r="B16" s="53" t="s">
        <v>97</v>
      </c>
      <c r="C16" s="192"/>
      <c r="D16" s="193" t="s">
        <v>10</v>
      </c>
      <c r="E16" s="193">
        <v>8.3000000000000007</v>
      </c>
      <c r="F16" s="47"/>
      <c r="G16" s="47"/>
      <c r="H16" s="47"/>
      <c r="I16" s="47" t="s">
        <v>38</v>
      </c>
      <c r="J16" s="87" t="s">
        <v>25</v>
      </c>
      <c r="K16" s="47">
        <f t="shared" si="6"/>
        <v>100</v>
      </c>
      <c r="L16" s="47"/>
      <c r="M16" s="32">
        <f>INDEX(Base!S$21:S$424,Riferimenti!K16-20)</f>
        <v>0</v>
      </c>
      <c r="N16" s="157">
        <f t="shared" si="2"/>
        <v>0</v>
      </c>
      <c r="O16" s="158">
        <f t="shared" si="7"/>
        <v>4.0999999999999996</v>
      </c>
      <c r="P16" s="88">
        <f t="shared" si="8"/>
        <v>2.0999999999999996</v>
      </c>
      <c r="Q16" s="193">
        <v>2</v>
      </c>
      <c r="R16" s="196">
        <v>6.2</v>
      </c>
      <c r="S16" s="35">
        <f t="shared" si="0"/>
        <v>8.8810000000000002</v>
      </c>
      <c r="U16">
        <v>38</v>
      </c>
      <c r="V16" s="35">
        <f t="shared" si="4"/>
        <v>0</v>
      </c>
      <c r="W16" s="154">
        <f t="shared" si="5"/>
        <v>0.38</v>
      </c>
      <c r="X16" s="35" t="e">
        <f>+#REF!/100</f>
        <v>#REF!</v>
      </c>
      <c r="Y16" s="35">
        <v>0.93</v>
      </c>
      <c r="AA16" s="31">
        <v>7</v>
      </c>
      <c r="AB16" s="32"/>
    </row>
    <row r="17" spans="1:28" ht="15">
      <c r="A17">
        <v>16</v>
      </c>
      <c r="B17" s="50" t="s">
        <v>107</v>
      </c>
      <c r="C17" s="192"/>
      <c r="D17" s="193" t="s">
        <v>10</v>
      </c>
      <c r="E17" s="193">
        <v>1.9</v>
      </c>
      <c r="I17" t="s">
        <v>39</v>
      </c>
      <c r="J17" s="44" t="s">
        <v>25</v>
      </c>
      <c r="K17">
        <v>115</v>
      </c>
      <c r="M17" s="32">
        <f>INDEX(Base!S$21:S$424,Riferimenti!K17-20)</f>
        <v>0</v>
      </c>
      <c r="N17" s="157">
        <f t="shared" si="2"/>
        <v>0</v>
      </c>
      <c r="O17" s="158">
        <f t="shared" si="7"/>
        <v>1.05</v>
      </c>
      <c r="P17" s="88">
        <f t="shared" si="8"/>
        <v>0.45000000000000007</v>
      </c>
      <c r="Q17" s="193">
        <v>0.6</v>
      </c>
      <c r="R17" s="196">
        <v>1.5</v>
      </c>
      <c r="S17" s="35">
        <f t="shared" si="0"/>
        <v>2.0329999999999999</v>
      </c>
      <c r="U17">
        <v>25</v>
      </c>
      <c r="V17" s="35">
        <f t="shared" si="4"/>
        <v>0</v>
      </c>
      <c r="W17" s="154">
        <f t="shared" si="5"/>
        <v>0.25</v>
      </c>
      <c r="X17" s="35" t="e">
        <f>+#REF!/100</f>
        <v>#REF!</v>
      </c>
      <c r="Y17" s="35">
        <v>0.93</v>
      </c>
      <c r="AA17" s="31">
        <f>+AA16</f>
        <v>7</v>
      </c>
      <c r="AB17" s="32"/>
    </row>
    <row r="18" spans="1:28" ht="15">
      <c r="A18">
        <v>17</v>
      </c>
      <c r="B18" s="50" t="s">
        <v>365</v>
      </c>
      <c r="C18" s="192"/>
      <c r="D18" s="193" t="s">
        <v>10</v>
      </c>
      <c r="E18" s="193">
        <v>0.7</v>
      </c>
      <c r="I18" t="s">
        <v>40</v>
      </c>
      <c r="J18" s="44" t="s">
        <v>25</v>
      </c>
      <c r="K18">
        <f t="shared" si="6"/>
        <v>120</v>
      </c>
      <c r="M18" s="32">
        <f>INDEX(Base!S$21:S$424,Riferimenti!K18-20)</f>
        <v>0</v>
      </c>
      <c r="N18" s="157">
        <f t="shared" si="2"/>
        <v>0</v>
      </c>
      <c r="O18" s="158">
        <f t="shared" si="7"/>
        <v>0.3</v>
      </c>
      <c r="P18" s="88">
        <f t="shared" si="8"/>
        <v>0.19999999999999998</v>
      </c>
      <c r="Q18" s="193">
        <v>0.1</v>
      </c>
      <c r="R18" s="196">
        <v>0.5</v>
      </c>
      <c r="S18" s="35">
        <f t="shared" si="0"/>
        <v>0.749</v>
      </c>
      <c r="U18">
        <v>23</v>
      </c>
      <c r="V18" s="35">
        <f t="shared" si="4"/>
        <v>0</v>
      </c>
      <c r="W18" s="154">
        <f t="shared" si="5"/>
        <v>0.23</v>
      </c>
      <c r="X18" s="35" t="e">
        <f>+#REF!/100</f>
        <v>#REF!</v>
      </c>
      <c r="Y18" s="35">
        <v>0.93</v>
      </c>
      <c r="AA18" s="31">
        <v>8</v>
      </c>
      <c r="AB18" s="32">
        <f>-$AA$26</f>
        <v>-0.5</v>
      </c>
    </row>
    <row r="19" spans="1:28" ht="15">
      <c r="A19">
        <v>18</v>
      </c>
      <c r="B19" s="50" t="s">
        <v>366</v>
      </c>
      <c r="C19" s="192"/>
      <c r="D19" s="193" t="s">
        <v>10</v>
      </c>
      <c r="E19" s="193">
        <v>2.2999999999999998</v>
      </c>
      <c r="I19" t="s">
        <v>41</v>
      </c>
      <c r="J19" s="44" t="s">
        <v>25</v>
      </c>
      <c r="K19">
        <f t="shared" si="6"/>
        <v>125</v>
      </c>
      <c r="M19" s="32">
        <f>INDEX(Base!S$21:S$424,Riferimenti!K19-20)</f>
        <v>0</v>
      </c>
      <c r="N19" s="157">
        <f t="shared" si="2"/>
        <v>0</v>
      </c>
      <c r="O19" s="158">
        <f t="shared" si="7"/>
        <v>0.9</v>
      </c>
      <c r="P19" s="88">
        <f t="shared" si="8"/>
        <v>0.7</v>
      </c>
      <c r="Q19" s="193">
        <v>0.2</v>
      </c>
      <c r="R19" s="196">
        <v>1.6</v>
      </c>
      <c r="S19" s="35">
        <f t="shared" si="0"/>
        <v>2.4609999999999999</v>
      </c>
      <c r="U19">
        <v>39</v>
      </c>
      <c r="V19" s="35">
        <f t="shared" si="4"/>
        <v>0</v>
      </c>
      <c r="W19" s="154">
        <f t="shared" si="5"/>
        <v>0.39</v>
      </c>
      <c r="X19" s="35" t="e">
        <f>+#REF!/100</f>
        <v>#REF!</v>
      </c>
      <c r="Y19" s="35">
        <v>0.93</v>
      </c>
      <c r="AA19" s="31">
        <v>8</v>
      </c>
      <c r="AB19" s="32">
        <f>+$AA$26</f>
        <v>0.5</v>
      </c>
    </row>
    <row r="20" spans="1:28" ht="15">
      <c r="A20">
        <v>19</v>
      </c>
      <c r="B20" s="50" t="s">
        <v>108</v>
      </c>
      <c r="C20" s="192"/>
      <c r="D20" s="193" t="s">
        <v>10</v>
      </c>
      <c r="E20" s="193">
        <v>0.2</v>
      </c>
      <c r="I20" t="s">
        <v>42</v>
      </c>
      <c r="J20" s="44" t="s">
        <v>25</v>
      </c>
      <c r="K20">
        <f t="shared" si="6"/>
        <v>130</v>
      </c>
      <c r="M20" s="32">
        <f>INDEX(Base!S$21:S$424,Riferimenti!K20-20)</f>
        <v>0</v>
      </c>
      <c r="N20" s="157">
        <f t="shared" si="2"/>
        <v>0</v>
      </c>
      <c r="O20" s="158">
        <f t="shared" si="7"/>
        <v>0.05</v>
      </c>
      <c r="P20" s="88">
        <f t="shared" si="8"/>
        <v>0.05</v>
      </c>
      <c r="Q20" s="193">
        <v>0</v>
      </c>
      <c r="R20" s="196">
        <v>0.1</v>
      </c>
      <c r="S20" s="35">
        <f t="shared" si="0"/>
        <v>0.21400000000000002</v>
      </c>
      <c r="U20">
        <v>25</v>
      </c>
      <c r="V20" s="35">
        <f t="shared" si="4"/>
        <v>0</v>
      </c>
      <c r="W20" s="154">
        <f t="shared" si="5"/>
        <v>0.25</v>
      </c>
      <c r="X20" s="35" t="e">
        <f>+#REF!/100</f>
        <v>#REF!</v>
      </c>
      <c r="Y20" s="35">
        <v>0.93</v>
      </c>
      <c r="AA20" s="31">
        <v>9</v>
      </c>
      <c r="AB20" s="32"/>
    </row>
    <row r="21" spans="1:28" ht="15">
      <c r="A21">
        <v>20</v>
      </c>
      <c r="B21" s="50" t="s">
        <v>109</v>
      </c>
      <c r="C21" s="192">
        <v>5</v>
      </c>
      <c r="D21" s="193" t="s">
        <v>10</v>
      </c>
      <c r="E21" s="193">
        <v>54.7</v>
      </c>
      <c r="I21" t="s">
        <v>43</v>
      </c>
      <c r="J21" s="44" t="s">
        <v>25</v>
      </c>
      <c r="K21">
        <f t="shared" si="6"/>
        <v>135</v>
      </c>
      <c r="M21" s="32">
        <f>INDEX(Base!S$21:S$424,Riferimenti!K21-20)</f>
        <v>0</v>
      </c>
      <c r="N21" s="157">
        <f t="shared" si="2"/>
        <v>0</v>
      </c>
      <c r="O21" s="158">
        <f t="shared" si="7"/>
        <v>21.15</v>
      </c>
      <c r="P21" s="88">
        <f t="shared" si="8"/>
        <v>16.75</v>
      </c>
      <c r="Q21" s="193">
        <v>4.4000000000000004</v>
      </c>
      <c r="R21" s="196">
        <v>37.9</v>
      </c>
      <c r="S21" s="35">
        <f t="shared" si="0"/>
        <v>58.529000000000003</v>
      </c>
      <c r="U21">
        <v>40</v>
      </c>
      <c r="V21" s="35">
        <f t="shared" si="4"/>
        <v>7.0000000000000007E-2</v>
      </c>
      <c r="W21" s="154">
        <f t="shared" si="5"/>
        <v>0.4</v>
      </c>
      <c r="X21" s="35" t="e">
        <f>+#REF!/100</f>
        <v>#REF!</v>
      </c>
      <c r="Y21" s="35">
        <v>0.93</v>
      </c>
      <c r="AA21" s="31">
        <f>+AA20</f>
        <v>9</v>
      </c>
      <c r="AB21" s="32"/>
    </row>
    <row r="22" spans="1:28" ht="15">
      <c r="A22">
        <v>21</v>
      </c>
      <c r="B22" s="50" t="s">
        <v>110</v>
      </c>
      <c r="C22" s="192">
        <v>0.1</v>
      </c>
      <c r="D22" s="193" t="s">
        <v>10</v>
      </c>
      <c r="E22" s="193">
        <v>0.9</v>
      </c>
      <c r="I22" t="s">
        <v>44</v>
      </c>
      <c r="J22" s="44" t="s">
        <v>25</v>
      </c>
      <c r="K22">
        <f t="shared" si="6"/>
        <v>140</v>
      </c>
      <c r="M22" s="32">
        <f>INDEX(Base!S$21:S$424,Riferimenti!K22-20)</f>
        <v>0</v>
      </c>
      <c r="N22" s="157">
        <f t="shared" si="2"/>
        <v>0</v>
      </c>
      <c r="O22" s="158">
        <f t="shared" si="7"/>
        <v>0.4</v>
      </c>
      <c r="P22" s="88">
        <f t="shared" si="8"/>
        <v>0.2</v>
      </c>
      <c r="Q22" s="193">
        <v>0.2</v>
      </c>
      <c r="R22" s="196">
        <v>0.6</v>
      </c>
      <c r="S22" s="35">
        <f t="shared" si="0"/>
        <v>0.96300000000000008</v>
      </c>
      <c r="U22">
        <v>36</v>
      </c>
      <c r="V22" s="35">
        <f t="shared" si="4"/>
        <v>7.0000000000000007E-2</v>
      </c>
      <c r="W22" s="154">
        <f t="shared" si="5"/>
        <v>0.36</v>
      </c>
      <c r="X22" s="35" t="e">
        <f>+#REF!/100</f>
        <v>#REF!</v>
      </c>
      <c r="Y22" s="35">
        <v>0.93</v>
      </c>
      <c r="AA22" s="31">
        <v>10</v>
      </c>
      <c r="AB22" s="32">
        <f>-$AA$26</f>
        <v>-0.5</v>
      </c>
    </row>
    <row r="23" spans="1:28" ht="15">
      <c r="A23" s="47">
        <v>22</v>
      </c>
      <c r="B23" s="53" t="s">
        <v>367</v>
      </c>
      <c r="C23" s="192">
        <v>0.9</v>
      </c>
      <c r="D23" s="193" t="s">
        <v>10</v>
      </c>
      <c r="E23" s="193">
        <v>4.9000000000000004</v>
      </c>
      <c r="F23" s="47"/>
      <c r="G23" s="47"/>
      <c r="H23" s="47"/>
      <c r="I23" s="47" t="s">
        <v>45</v>
      </c>
      <c r="J23" s="87" t="s">
        <v>25</v>
      </c>
      <c r="K23" s="47">
        <f t="shared" si="6"/>
        <v>145</v>
      </c>
      <c r="L23" s="47"/>
      <c r="M23" s="32">
        <f>INDEX(Base!S$21:S$424,Riferimenti!K23-20)</f>
        <v>0</v>
      </c>
      <c r="N23" s="157">
        <f t="shared" si="2"/>
        <v>0</v>
      </c>
      <c r="O23" s="158">
        <f t="shared" si="7"/>
        <v>2.9</v>
      </c>
      <c r="P23" s="88">
        <f t="shared" si="8"/>
        <v>1</v>
      </c>
      <c r="Q23" s="193">
        <v>1.9</v>
      </c>
      <c r="R23" s="196">
        <v>3.9</v>
      </c>
      <c r="S23" s="35">
        <f t="shared" si="10"/>
        <v>5.2430000000000003</v>
      </c>
      <c r="U23">
        <v>28</v>
      </c>
      <c r="V23" s="35">
        <f t="shared" si="4"/>
        <v>7.0000000000000007E-2</v>
      </c>
      <c r="W23" s="154">
        <f t="shared" si="5"/>
        <v>0.28000000000000003</v>
      </c>
      <c r="X23" s="35" t="e">
        <f>+#REF!/100</f>
        <v>#REF!</v>
      </c>
      <c r="Y23" s="35">
        <v>0.93</v>
      </c>
      <c r="AA23" s="31">
        <v>10</v>
      </c>
      <c r="AB23" s="32">
        <f>+$AA$26</f>
        <v>0.5</v>
      </c>
    </row>
    <row r="24" spans="1:28" ht="15">
      <c r="A24">
        <v>23</v>
      </c>
      <c r="B24" s="133" t="s">
        <v>368</v>
      </c>
      <c r="C24" s="192"/>
      <c r="D24" s="193" t="s">
        <v>10</v>
      </c>
      <c r="E24" s="193">
        <v>0.2</v>
      </c>
      <c r="I24" t="s">
        <v>46</v>
      </c>
      <c r="J24" s="44" t="s">
        <v>25</v>
      </c>
      <c r="K24">
        <v>152</v>
      </c>
      <c r="M24" s="32">
        <f>INDEX(Base!S$21:S$424,Riferimenti!K24-20)</f>
        <v>0</v>
      </c>
      <c r="N24" s="157">
        <f t="shared" si="2"/>
        <v>0</v>
      </c>
      <c r="O24" s="158" t="e">
        <f t="shared" si="7"/>
        <v>#REF!</v>
      </c>
      <c r="P24" s="88" t="e">
        <f t="shared" si="8"/>
        <v>#REF!</v>
      </c>
      <c r="Q24" s="35">
        <f t="shared" ref="Q24" si="11">+S24/100*U24</f>
        <v>6.2060000000000011E-2</v>
      </c>
      <c r="R24" s="35" t="e">
        <f>+S24/100*#REF!</f>
        <v>#REF!</v>
      </c>
      <c r="S24" s="35">
        <f t="shared" si="0"/>
        <v>0.21400000000000002</v>
      </c>
      <c r="U24">
        <v>29</v>
      </c>
      <c r="V24" s="35">
        <f t="shared" si="4"/>
        <v>0</v>
      </c>
      <c r="W24" s="154">
        <f t="shared" si="5"/>
        <v>0.28999999999999998</v>
      </c>
      <c r="X24" s="35" t="e">
        <f>+#REF!/100</f>
        <v>#REF!</v>
      </c>
      <c r="Y24" s="35">
        <v>0.93</v>
      </c>
      <c r="AA24" s="31">
        <v>10</v>
      </c>
      <c r="AB24" s="32">
        <v>0</v>
      </c>
    </row>
    <row r="25" spans="1:28" ht="15">
      <c r="A25">
        <v>24</v>
      </c>
      <c r="B25" s="50" t="s">
        <v>112</v>
      </c>
      <c r="C25" s="192"/>
      <c r="D25" s="193" t="s">
        <v>10</v>
      </c>
      <c r="E25" s="193">
        <v>1.2</v>
      </c>
      <c r="I25" t="s">
        <v>47</v>
      </c>
      <c r="J25" s="44" t="s">
        <v>25</v>
      </c>
      <c r="K25">
        <f t="shared" si="6"/>
        <v>157</v>
      </c>
      <c r="M25" s="32">
        <f>INDEX(Base!S$21:S$424,Riferimenti!K25-20)</f>
        <v>0</v>
      </c>
      <c r="N25" s="157">
        <f t="shared" si="2"/>
        <v>0</v>
      </c>
      <c r="O25" s="158">
        <f t="shared" si="7"/>
        <v>0.5</v>
      </c>
      <c r="P25" s="88">
        <f t="shared" si="8"/>
        <v>0.4</v>
      </c>
      <c r="Q25" s="193">
        <v>0.1</v>
      </c>
      <c r="R25" s="196">
        <v>0.9</v>
      </c>
      <c r="S25" s="35">
        <f t="shared" si="0"/>
        <v>1.284</v>
      </c>
      <c r="U25">
        <v>37</v>
      </c>
      <c r="V25" s="35">
        <f t="shared" si="4"/>
        <v>0</v>
      </c>
      <c r="W25" s="154">
        <f t="shared" si="5"/>
        <v>0.37</v>
      </c>
      <c r="X25" s="35" t="e">
        <f>+#REF!/100</f>
        <v>#REF!</v>
      </c>
      <c r="Y25" s="35">
        <v>0.93</v>
      </c>
      <c r="AA25" s="31">
        <v>10</v>
      </c>
      <c r="AB25" s="32">
        <v>0</v>
      </c>
    </row>
    <row r="26" spans="1:28" ht="15">
      <c r="A26">
        <v>25</v>
      </c>
      <c r="B26" s="50" t="s">
        <v>113</v>
      </c>
      <c r="C26" s="192"/>
      <c r="D26" s="193" t="s">
        <v>10</v>
      </c>
      <c r="E26" s="193">
        <v>0.3</v>
      </c>
      <c r="I26" t="s">
        <v>48</v>
      </c>
      <c r="J26" s="44" t="s">
        <v>25</v>
      </c>
      <c r="K26">
        <f t="shared" si="6"/>
        <v>162</v>
      </c>
      <c r="M26" s="32">
        <f>INDEX(Base!S$21:S$424,Riferimenti!K26-20)</f>
        <v>0</v>
      </c>
      <c r="N26" s="157">
        <f t="shared" si="2"/>
        <v>0</v>
      </c>
      <c r="O26" s="158" t="e">
        <f t="shared" si="7"/>
        <v>#REF!</v>
      </c>
      <c r="P26" s="88" t="e">
        <f t="shared" si="8"/>
        <v>#REF!</v>
      </c>
      <c r="Q26" s="35">
        <f t="shared" ref="Q26" si="12">+S26/100*U26</f>
        <v>8.0250000000000002E-2</v>
      </c>
      <c r="R26" s="35" t="e">
        <f>+S26/100*#REF!</f>
        <v>#REF!</v>
      </c>
      <c r="S26" s="35">
        <f t="shared" si="0"/>
        <v>0.32100000000000001</v>
      </c>
      <c r="U26">
        <v>25</v>
      </c>
      <c r="V26" s="35">
        <f t="shared" si="4"/>
        <v>0</v>
      </c>
      <c r="W26" s="154">
        <f t="shared" si="5"/>
        <v>0.25</v>
      </c>
      <c r="X26" s="35" t="e">
        <f>+#REF!/100</f>
        <v>#REF!</v>
      </c>
      <c r="Y26" s="35">
        <v>0.93</v>
      </c>
      <c r="AA26" s="33">
        <v>0.5</v>
      </c>
      <c r="AB26" s="34">
        <f>+Base!AF18</f>
        <v>0</v>
      </c>
    </row>
    <row r="27" spans="1:28" ht="15">
      <c r="A27">
        <v>26</v>
      </c>
      <c r="B27" s="133" t="s">
        <v>369</v>
      </c>
      <c r="C27" s="192"/>
      <c r="D27" s="193" t="s">
        <v>10</v>
      </c>
      <c r="E27" s="193">
        <v>0.1</v>
      </c>
      <c r="I27" t="s">
        <v>49</v>
      </c>
      <c r="J27" s="44" t="s">
        <v>25</v>
      </c>
      <c r="K27">
        <f t="shared" si="6"/>
        <v>167</v>
      </c>
      <c r="M27" s="32">
        <f>INDEX(Base!S$21:S$424,Riferimenti!K27-20)</f>
        <v>0</v>
      </c>
      <c r="N27" s="157">
        <f t="shared" si="2"/>
        <v>0</v>
      </c>
      <c r="O27" s="158" t="e">
        <f t="shared" si="7"/>
        <v>#REF!</v>
      </c>
      <c r="P27" s="88" t="e">
        <f t="shared" si="8"/>
        <v>#REF!</v>
      </c>
      <c r="Q27" s="35">
        <f t="shared" ref="Q27" si="13">+S27/100*U27</f>
        <v>4.3870000000000006E-2</v>
      </c>
      <c r="R27" s="35" t="e">
        <f>+S27/100*#REF!</f>
        <v>#REF!</v>
      </c>
      <c r="S27" s="35">
        <f t="shared" si="0"/>
        <v>0.10700000000000001</v>
      </c>
      <c r="U27">
        <v>41</v>
      </c>
      <c r="V27" s="35">
        <f t="shared" si="4"/>
        <v>0</v>
      </c>
      <c r="W27" s="154">
        <f t="shared" si="5"/>
        <v>0.41</v>
      </c>
      <c r="X27" s="35" t="e">
        <f>+#REF!/100</f>
        <v>#REF!</v>
      </c>
      <c r="Y27" s="35">
        <v>0.93</v>
      </c>
      <c r="AB27" s="22"/>
    </row>
    <row r="28" spans="1:28" ht="15">
      <c r="A28">
        <v>27</v>
      </c>
      <c r="B28" s="98" t="s">
        <v>114</v>
      </c>
      <c r="C28" s="192"/>
      <c r="D28" s="193" t="s">
        <v>10</v>
      </c>
      <c r="E28" s="193">
        <v>6.8</v>
      </c>
      <c r="I28" t="s">
        <v>50</v>
      </c>
      <c r="J28" s="44" t="s">
        <v>25</v>
      </c>
      <c r="K28">
        <f t="shared" si="6"/>
        <v>172</v>
      </c>
      <c r="M28" s="32">
        <f>INDEX(Base!S$21:S$424,Riferimenti!K28-20)</f>
        <v>0</v>
      </c>
      <c r="N28" s="157">
        <f t="shared" si="2"/>
        <v>0</v>
      </c>
      <c r="O28" s="158">
        <f t="shared" si="7"/>
        <v>3.9</v>
      </c>
      <c r="P28" s="88">
        <f t="shared" si="8"/>
        <v>1.4</v>
      </c>
      <c r="Q28" s="193">
        <v>2.5</v>
      </c>
      <c r="R28" s="196">
        <v>5.3</v>
      </c>
      <c r="S28" s="35">
        <f t="shared" si="0"/>
        <v>7.2759999999999998</v>
      </c>
      <c r="U28">
        <v>40</v>
      </c>
      <c r="V28" s="35">
        <f t="shared" si="4"/>
        <v>0</v>
      </c>
      <c r="W28" s="154">
        <f t="shared" si="5"/>
        <v>0.4</v>
      </c>
      <c r="X28" s="35" t="e">
        <f>+#REF!/100</f>
        <v>#REF!</v>
      </c>
      <c r="Y28" s="35">
        <v>0.93</v>
      </c>
      <c r="AB28" s="22"/>
    </row>
    <row r="29" spans="1:28" ht="15">
      <c r="A29">
        <v>28</v>
      </c>
      <c r="B29" s="50" t="s">
        <v>115</v>
      </c>
      <c r="C29" s="192"/>
      <c r="D29" s="193" t="s">
        <v>10</v>
      </c>
      <c r="E29" s="193">
        <v>0.6</v>
      </c>
      <c r="I29" t="s">
        <v>51</v>
      </c>
      <c r="J29" s="44" t="s">
        <v>25</v>
      </c>
      <c r="K29">
        <f t="shared" si="6"/>
        <v>177</v>
      </c>
      <c r="M29" s="32">
        <f>INDEX(Base!S$21:S$424,Riferimenti!K29-20)</f>
        <v>0</v>
      </c>
      <c r="N29" s="157">
        <f t="shared" si="2"/>
        <v>0</v>
      </c>
      <c r="O29" s="158">
        <f t="shared" si="7"/>
        <v>0.35</v>
      </c>
      <c r="P29" s="88">
        <f t="shared" si="8"/>
        <v>0.14999999999999997</v>
      </c>
      <c r="Q29" s="193">
        <v>0.2</v>
      </c>
      <c r="R29" s="196">
        <v>0.5</v>
      </c>
      <c r="S29" s="35">
        <f t="shared" si="0"/>
        <v>0.64200000000000002</v>
      </c>
      <c r="U29">
        <v>31</v>
      </c>
      <c r="V29" s="35">
        <f t="shared" si="4"/>
        <v>0</v>
      </c>
      <c r="W29" s="154">
        <f t="shared" si="5"/>
        <v>0.31</v>
      </c>
      <c r="X29" s="35" t="e">
        <f>+#REF!/100</f>
        <v>#REF!</v>
      </c>
      <c r="Y29" s="35">
        <v>0.93</v>
      </c>
      <c r="AB29" s="22"/>
    </row>
    <row r="30" spans="1:28" ht="15">
      <c r="A30">
        <v>29</v>
      </c>
      <c r="B30" s="134" t="s">
        <v>370</v>
      </c>
      <c r="C30" s="192"/>
      <c r="D30" s="193" t="s">
        <v>10</v>
      </c>
      <c r="E30" s="193">
        <v>0.5</v>
      </c>
      <c r="I30" t="s">
        <v>52</v>
      </c>
      <c r="J30" s="44" t="s">
        <v>25</v>
      </c>
      <c r="K30">
        <f t="shared" si="6"/>
        <v>182</v>
      </c>
      <c r="M30" s="32">
        <f>INDEX(Base!S$21:S$424,Riferimenti!K30-20)</f>
        <v>0</v>
      </c>
      <c r="N30" s="157">
        <f t="shared" si="2"/>
        <v>0</v>
      </c>
      <c r="O30" s="158">
        <f t="shared" si="7"/>
        <v>0.25</v>
      </c>
      <c r="P30" s="88">
        <f t="shared" si="8"/>
        <v>0.15</v>
      </c>
      <c r="Q30" s="193">
        <v>0.1</v>
      </c>
      <c r="R30" s="196">
        <v>0.4</v>
      </c>
      <c r="S30" s="35">
        <f t="shared" si="0"/>
        <v>0.53500000000000003</v>
      </c>
      <c r="U30">
        <v>33</v>
      </c>
      <c r="V30" s="35">
        <f t="shared" ref="V30:V65" si="14">IF(C30&gt;0,(0.07+(C30-C30)/((E30-C30)/86)/100),0)</f>
        <v>0</v>
      </c>
      <c r="W30" s="154">
        <f t="shared" ref="W30:W65" si="15">+U30/100</f>
        <v>0.33</v>
      </c>
      <c r="X30" s="35" t="e">
        <f>+#REF!/100</f>
        <v>#REF!</v>
      </c>
      <c r="Y30" s="35">
        <v>0.93</v>
      </c>
      <c r="AB30" s="22"/>
    </row>
    <row r="31" spans="1:28" ht="15">
      <c r="A31" s="47">
        <v>30</v>
      </c>
      <c r="B31" s="52" t="s">
        <v>169</v>
      </c>
      <c r="C31" s="192"/>
      <c r="D31" s="193" t="s">
        <v>10</v>
      </c>
      <c r="E31" s="193">
        <v>0.6</v>
      </c>
      <c r="F31" s="47"/>
      <c r="G31" s="47"/>
      <c r="H31" s="47"/>
      <c r="I31" s="47" t="s">
        <v>53</v>
      </c>
      <c r="J31" s="87" t="s">
        <v>25</v>
      </c>
      <c r="K31" s="47">
        <f t="shared" si="6"/>
        <v>187</v>
      </c>
      <c r="L31" s="47"/>
      <c r="M31" s="34">
        <f>INDEX(Base!S$21:S$424,Riferimenti!K31-20)</f>
        <v>0</v>
      </c>
      <c r="N31" s="157">
        <f t="shared" si="2"/>
        <v>0</v>
      </c>
      <c r="O31" s="158">
        <f t="shared" si="7"/>
        <v>0.3</v>
      </c>
      <c r="P31" s="88">
        <f t="shared" si="8"/>
        <v>0.19999999999999998</v>
      </c>
      <c r="Q31" s="193">
        <v>0.1</v>
      </c>
      <c r="R31" s="196">
        <v>0.5</v>
      </c>
      <c r="S31" s="35">
        <f t="shared" si="0"/>
        <v>0.64200000000000002</v>
      </c>
      <c r="U31">
        <v>30</v>
      </c>
      <c r="V31" s="35">
        <f t="shared" si="14"/>
        <v>0</v>
      </c>
      <c r="W31" s="154">
        <f t="shared" si="15"/>
        <v>0.3</v>
      </c>
      <c r="X31" s="35" t="e">
        <f>+#REF!/100</f>
        <v>#REF!</v>
      </c>
      <c r="Y31" s="35">
        <v>0.93</v>
      </c>
      <c r="AB31" s="22"/>
    </row>
    <row r="32" spans="1:28" ht="15">
      <c r="A32">
        <v>31</v>
      </c>
      <c r="B32" s="50" t="s">
        <v>151</v>
      </c>
      <c r="C32" s="192"/>
      <c r="D32" s="193" t="s">
        <v>10</v>
      </c>
      <c r="E32" s="193">
        <v>1.7</v>
      </c>
      <c r="I32" t="s">
        <v>54</v>
      </c>
      <c r="J32" s="44" t="s">
        <v>25</v>
      </c>
      <c r="K32">
        <v>195</v>
      </c>
      <c r="M32" s="32">
        <f>INDEX(Base!S$21:S$424,Riferimenti!K32-20)</f>
        <v>0</v>
      </c>
      <c r="N32" s="157">
        <f t="shared" si="2"/>
        <v>0</v>
      </c>
      <c r="O32" s="158">
        <f t="shared" si="7"/>
        <v>1</v>
      </c>
      <c r="P32" s="88">
        <f t="shared" si="8"/>
        <v>0.4</v>
      </c>
      <c r="Q32" s="193">
        <v>0.6</v>
      </c>
      <c r="R32" s="196">
        <v>1.4</v>
      </c>
      <c r="S32" s="35">
        <f t="shared" si="0"/>
        <v>1.819</v>
      </c>
      <c r="U32">
        <v>37</v>
      </c>
      <c r="V32" s="35">
        <f t="shared" si="14"/>
        <v>0</v>
      </c>
      <c r="W32" s="154">
        <f t="shared" si="15"/>
        <v>0.37</v>
      </c>
      <c r="X32" s="35" t="e">
        <f>+#REF!/100</f>
        <v>#REF!</v>
      </c>
      <c r="Y32" s="35">
        <v>0.93</v>
      </c>
      <c r="AB32" s="22"/>
    </row>
    <row r="33" spans="1:28" ht="15">
      <c r="A33" s="47">
        <v>32</v>
      </c>
      <c r="B33" s="53" t="s">
        <v>150</v>
      </c>
      <c r="C33" s="192"/>
      <c r="D33" s="193" t="s">
        <v>10</v>
      </c>
      <c r="E33" s="193">
        <v>0.2</v>
      </c>
      <c r="F33" s="47"/>
      <c r="G33" s="47"/>
      <c r="H33" s="47"/>
      <c r="I33" s="47" t="s">
        <v>55</v>
      </c>
      <c r="J33" s="87" t="s">
        <v>25</v>
      </c>
      <c r="K33" s="47">
        <f t="shared" si="6"/>
        <v>200</v>
      </c>
      <c r="L33" s="47"/>
      <c r="M33" s="32">
        <f>INDEX(Base!S$21:S$424,Riferimenti!K33-20)</f>
        <v>0</v>
      </c>
      <c r="N33" s="157">
        <f t="shared" si="2"/>
        <v>0</v>
      </c>
      <c r="O33" s="158" t="e">
        <f t="shared" si="7"/>
        <v>#REF!</v>
      </c>
      <c r="P33" s="88" t="e">
        <f t="shared" si="8"/>
        <v>#REF!</v>
      </c>
      <c r="Q33" s="35">
        <f t="shared" ref="Q33" si="16">+S33/100*U33</f>
        <v>5.5640000000000009E-2</v>
      </c>
      <c r="R33" s="35" t="e">
        <f>+S33/100*#REF!</f>
        <v>#REF!</v>
      </c>
      <c r="S33" s="35">
        <f t="shared" si="0"/>
        <v>0.21400000000000002</v>
      </c>
      <c r="U33">
        <v>26</v>
      </c>
      <c r="V33" s="35">
        <f t="shared" si="14"/>
        <v>0</v>
      </c>
      <c r="W33" s="154">
        <f t="shared" si="15"/>
        <v>0.26</v>
      </c>
      <c r="X33" s="35" t="e">
        <f>+#REF!/100</f>
        <v>#REF!</v>
      </c>
      <c r="Y33" s="35">
        <v>0.93</v>
      </c>
      <c r="AB33" s="22"/>
    </row>
    <row r="34" spans="1:28" ht="15">
      <c r="A34">
        <v>33</v>
      </c>
      <c r="B34" s="50" t="s">
        <v>122</v>
      </c>
      <c r="C34" s="192"/>
      <c r="D34" s="193" t="s">
        <v>10</v>
      </c>
      <c r="E34" s="193">
        <v>3.7</v>
      </c>
      <c r="I34" t="s">
        <v>56</v>
      </c>
      <c r="J34" s="44" t="s">
        <v>25</v>
      </c>
      <c r="K34">
        <v>219</v>
      </c>
      <c r="M34" s="32">
        <f>INDEX(Base!S$21:S$424,Riferimenti!K34-20)</f>
        <v>0</v>
      </c>
      <c r="N34" s="157">
        <f t="shared" si="2"/>
        <v>0</v>
      </c>
      <c r="O34" s="158">
        <f t="shared" si="7"/>
        <v>2</v>
      </c>
      <c r="P34" s="88">
        <f t="shared" si="8"/>
        <v>0.8</v>
      </c>
      <c r="Q34" s="193">
        <v>1.2</v>
      </c>
      <c r="R34" s="196">
        <v>2.8</v>
      </c>
      <c r="S34" s="35">
        <f t="shared" si="10"/>
        <v>3.9590000000000001</v>
      </c>
      <c r="U34">
        <v>24</v>
      </c>
      <c r="V34" s="35">
        <f t="shared" si="14"/>
        <v>0</v>
      </c>
      <c r="W34" s="154">
        <f t="shared" si="15"/>
        <v>0.24</v>
      </c>
      <c r="X34" s="35" t="e">
        <f>+#REF!/100</f>
        <v>#REF!</v>
      </c>
      <c r="Y34" s="35">
        <v>0.93</v>
      </c>
      <c r="AB34" s="22"/>
    </row>
    <row r="35" spans="1:28" ht="15">
      <c r="A35">
        <v>34</v>
      </c>
      <c r="B35" s="50" t="s">
        <v>123</v>
      </c>
      <c r="C35" s="192"/>
      <c r="D35" s="193" t="s">
        <v>10</v>
      </c>
      <c r="E35" s="193">
        <v>1</v>
      </c>
      <c r="I35" t="s">
        <v>57</v>
      </c>
      <c r="J35" s="44" t="s">
        <v>25</v>
      </c>
      <c r="K35">
        <f t="shared" si="6"/>
        <v>224</v>
      </c>
      <c r="M35" s="32">
        <f>INDEX(Base!S$21:S$424,Riferimenti!K35-20)</f>
        <v>0</v>
      </c>
      <c r="N35" s="157">
        <f t="shared" si="2"/>
        <v>0</v>
      </c>
      <c r="O35" s="158">
        <f t="shared" si="7"/>
        <v>0.39999999999999997</v>
      </c>
      <c r="P35" s="88">
        <f t="shared" si="8"/>
        <v>0.29999999999999993</v>
      </c>
      <c r="Q35" s="193">
        <v>0.1</v>
      </c>
      <c r="R35" s="196">
        <v>0.7</v>
      </c>
      <c r="S35" s="35">
        <f t="shared" si="0"/>
        <v>1.07</v>
      </c>
      <c r="U35">
        <v>42</v>
      </c>
      <c r="V35" s="35">
        <f t="shared" si="14"/>
        <v>0</v>
      </c>
      <c r="W35" s="154">
        <f t="shared" si="15"/>
        <v>0.42</v>
      </c>
      <c r="X35" s="35" t="e">
        <f>+#REF!/100</f>
        <v>#REF!</v>
      </c>
      <c r="Y35" s="35">
        <v>0.93</v>
      </c>
      <c r="AB35" s="22"/>
    </row>
    <row r="36" spans="1:28" ht="15">
      <c r="A36">
        <v>35</v>
      </c>
      <c r="B36" s="50" t="s">
        <v>124</v>
      </c>
      <c r="C36" s="192"/>
      <c r="D36" s="193" t="s">
        <v>10</v>
      </c>
      <c r="E36" s="193">
        <v>18.100000000000001</v>
      </c>
      <c r="I36" t="s">
        <v>58</v>
      </c>
      <c r="J36" s="44" t="s">
        <v>25</v>
      </c>
      <c r="K36">
        <f t="shared" si="6"/>
        <v>229</v>
      </c>
      <c r="M36" s="32">
        <f>INDEX(Base!S$21:S$424,Riferimenti!K36-20)</f>
        <v>0</v>
      </c>
      <c r="N36" s="157">
        <f t="shared" si="2"/>
        <v>0</v>
      </c>
      <c r="O36" s="158">
        <f t="shared" si="7"/>
        <v>6.9</v>
      </c>
      <c r="P36" s="88">
        <f t="shared" si="8"/>
        <v>4.9000000000000004</v>
      </c>
      <c r="Q36" s="193">
        <v>2</v>
      </c>
      <c r="R36" s="196">
        <v>11.8</v>
      </c>
      <c r="S36" s="35">
        <f t="shared" si="0"/>
        <v>19.367000000000001</v>
      </c>
      <c r="U36">
        <v>23</v>
      </c>
      <c r="V36" s="35">
        <f t="shared" si="14"/>
        <v>0</v>
      </c>
      <c r="W36" s="154">
        <f t="shared" si="15"/>
        <v>0.23</v>
      </c>
      <c r="X36" s="35" t="e">
        <f>+#REF!/100</f>
        <v>#REF!</v>
      </c>
      <c r="Y36" s="35">
        <v>0.93</v>
      </c>
      <c r="AB36" s="22"/>
    </row>
    <row r="37" spans="1:28" ht="15">
      <c r="A37">
        <v>36</v>
      </c>
      <c r="B37" s="50" t="s">
        <v>125</v>
      </c>
      <c r="C37" s="192"/>
      <c r="D37" s="193" t="s">
        <v>10</v>
      </c>
      <c r="E37" s="193">
        <v>1.3</v>
      </c>
      <c r="I37" t="s">
        <v>59</v>
      </c>
      <c r="J37" s="44" t="s">
        <v>25</v>
      </c>
      <c r="K37">
        <f t="shared" si="6"/>
        <v>234</v>
      </c>
      <c r="M37" s="32">
        <f>INDEX(Base!S$21:S$424,Riferimenti!K37-20)</f>
        <v>0</v>
      </c>
      <c r="N37" s="157">
        <f t="shared" si="2"/>
        <v>0</v>
      </c>
      <c r="O37" s="158">
        <f t="shared" si="7"/>
        <v>0.7</v>
      </c>
      <c r="P37" s="88">
        <f t="shared" si="8"/>
        <v>0.29999999999999993</v>
      </c>
      <c r="Q37" s="193">
        <v>0.4</v>
      </c>
      <c r="R37" s="196">
        <v>1</v>
      </c>
      <c r="S37" s="35">
        <f t="shared" si="0"/>
        <v>1.391</v>
      </c>
      <c r="U37">
        <v>35</v>
      </c>
      <c r="V37" s="35">
        <f t="shared" si="14"/>
        <v>0</v>
      </c>
      <c r="W37" s="154">
        <f t="shared" si="15"/>
        <v>0.35</v>
      </c>
      <c r="X37" s="35" t="e">
        <f>+#REF!/100</f>
        <v>#REF!</v>
      </c>
      <c r="Y37" s="35">
        <v>0.93</v>
      </c>
      <c r="AB37" s="22"/>
    </row>
    <row r="38" spans="1:28" ht="15">
      <c r="A38">
        <v>37</v>
      </c>
      <c r="B38" s="50" t="s">
        <v>126</v>
      </c>
      <c r="C38" s="192"/>
      <c r="D38" s="193" t="s">
        <v>10</v>
      </c>
      <c r="E38" s="193">
        <v>0.3</v>
      </c>
      <c r="I38" t="s">
        <v>60</v>
      </c>
      <c r="J38" s="44" t="s">
        <v>25</v>
      </c>
      <c r="K38">
        <f t="shared" si="6"/>
        <v>239</v>
      </c>
      <c r="M38" s="32">
        <f>INDEX(Base!S$21:S$424,Riferimenti!K38-20)</f>
        <v>0</v>
      </c>
      <c r="N38" s="157">
        <f t="shared" si="2"/>
        <v>0</v>
      </c>
      <c r="O38" s="158">
        <f t="shared" si="7"/>
        <v>0.15000000000000002</v>
      </c>
      <c r="P38" s="88">
        <f t="shared" si="8"/>
        <v>5.0000000000000017E-2</v>
      </c>
      <c r="Q38" s="193">
        <v>0.1</v>
      </c>
      <c r="R38" s="196">
        <v>0.2</v>
      </c>
      <c r="S38" s="35">
        <f t="shared" si="0"/>
        <v>0.32100000000000001</v>
      </c>
      <c r="U38">
        <v>24</v>
      </c>
      <c r="V38" s="35">
        <f t="shared" si="14"/>
        <v>0</v>
      </c>
      <c r="W38" s="154">
        <f t="shared" si="15"/>
        <v>0.24</v>
      </c>
      <c r="X38" s="35" t="e">
        <f>+#REF!/100</f>
        <v>#REF!</v>
      </c>
      <c r="Y38" s="35">
        <v>0.93</v>
      </c>
      <c r="AB38" s="22"/>
    </row>
    <row r="39" spans="1:28" ht="15">
      <c r="A39">
        <v>38</v>
      </c>
      <c r="B39" s="50" t="s">
        <v>127</v>
      </c>
      <c r="C39" s="192"/>
      <c r="D39" s="193" t="s">
        <v>10</v>
      </c>
      <c r="E39" s="193">
        <v>22</v>
      </c>
      <c r="I39" t="s">
        <v>61</v>
      </c>
      <c r="J39" s="44" t="s">
        <v>25</v>
      </c>
      <c r="K39">
        <f t="shared" si="6"/>
        <v>244</v>
      </c>
      <c r="M39" s="32">
        <f>INDEX(Base!S$21:S$424,Riferimenti!K39-20)</f>
        <v>0</v>
      </c>
      <c r="N39" s="157">
        <f t="shared" si="2"/>
        <v>0</v>
      </c>
      <c r="O39" s="158" t="e">
        <f t="shared" si="7"/>
        <v>#REF!</v>
      </c>
      <c r="P39" s="88" t="e">
        <f t="shared" si="8"/>
        <v>#REF!</v>
      </c>
      <c r="Q39" s="35">
        <f t="shared" ref="Q39" si="17">+S39/100*U39</f>
        <v>8.2390000000000008</v>
      </c>
      <c r="R39" s="35" t="e">
        <f>+S39/100*#REF!</f>
        <v>#REF!</v>
      </c>
      <c r="S39" s="35">
        <f t="shared" si="0"/>
        <v>23.54</v>
      </c>
      <c r="U39">
        <v>35</v>
      </c>
      <c r="V39" s="35">
        <f t="shared" si="14"/>
        <v>0</v>
      </c>
      <c r="W39" s="154">
        <f t="shared" si="15"/>
        <v>0.35</v>
      </c>
      <c r="X39" s="35" t="e">
        <f>+#REF!/100</f>
        <v>#REF!</v>
      </c>
      <c r="Y39" s="35">
        <v>0.93</v>
      </c>
      <c r="AB39" s="22"/>
    </row>
    <row r="40" spans="1:28" ht="15">
      <c r="A40">
        <v>39</v>
      </c>
      <c r="B40" s="50" t="s">
        <v>128</v>
      </c>
      <c r="C40" s="192"/>
      <c r="D40" s="193" t="s">
        <v>10</v>
      </c>
      <c r="E40" s="193">
        <v>23.4</v>
      </c>
      <c r="I40" t="s">
        <v>62</v>
      </c>
      <c r="J40" s="44" t="s">
        <v>25</v>
      </c>
      <c r="K40">
        <f t="shared" si="6"/>
        <v>249</v>
      </c>
      <c r="M40" s="32">
        <f>INDEX(Base!S$21:S$424,Riferimenti!K40-20)</f>
        <v>0</v>
      </c>
      <c r="N40" s="157">
        <f>IF(M40&gt;0,(0.7+(M40-C40)/((E40-C40)/86)/10),0)</f>
        <v>0</v>
      </c>
      <c r="O40" s="158">
        <f>+(Q40+R40)/2</f>
        <v>15.5</v>
      </c>
      <c r="P40" s="88">
        <f t="shared" si="8"/>
        <v>3.9000000000000004</v>
      </c>
      <c r="Q40" s="193">
        <v>11.6</v>
      </c>
      <c r="R40" s="196">
        <v>19.399999999999999</v>
      </c>
      <c r="S40" s="35">
        <f t="shared" si="0"/>
        <v>25.037999999999997</v>
      </c>
      <c r="U40">
        <v>34</v>
      </c>
      <c r="V40" s="35">
        <f t="shared" si="14"/>
        <v>0</v>
      </c>
      <c r="W40" s="154">
        <f t="shared" si="15"/>
        <v>0.34</v>
      </c>
      <c r="X40" s="35" t="e">
        <f>+#REF!/100</f>
        <v>#REF!</v>
      </c>
      <c r="Y40" s="35">
        <v>0.93</v>
      </c>
      <c r="AB40" s="22"/>
    </row>
    <row r="41" spans="1:28" ht="15">
      <c r="A41">
        <v>40</v>
      </c>
      <c r="B41" s="53" t="s">
        <v>129</v>
      </c>
      <c r="C41" s="192"/>
      <c r="D41" s="193" t="s">
        <v>10</v>
      </c>
      <c r="E41" s="193">
        <v>1.4</v>
      </c>
      <c r="F41" s="47"/>
      <c r="G41" s="47"/>
      <c r="H41" s="47"/>
      <c r="I41" s="47" t="s">
        <v>63</v>
      </c>
      <c r="J41" s="87" t="s">
        <v>25</v>
      </c>
      <c r="K41" s="47">
        <f t="shared" si="6"/>
        <v>254</v>
      </c>
      <c r="L41" s="47"/>
      <c r="M41" s="32">
        <f>INDEX(Base!S$21:S$424,Riferimenti!K41-20)</f>
        <v>0</v>
      </c>
      <c r="N41" s="157">
        <f t="shared" si="2"/>
        <v>0</v>
      </c>
      <c r="O41" s="158">
        <f t="shared" si="7"/>
        <v>0.65</v>
      </c>
      <c r="P41" s="88">
        <f t="shared" si="8"/>
        <v>0.35000000000000003</v>
      </c>
      <c r="Q41" s="193">
        <v>0.3</v>
      </c>
      <c r="R41" s="196">
        <v>1</v>
      </c>
      <c r="S41" s="35">
        <f t="shared" si="0"/>
        <v>1.498</v>
      </c>
      <c r="U41">
        <v>24</v>
      </c>
      <c r="V41" s="35">
        <f t="shared" si="14"/>
        <v>0</v>
      </c>
      <c r="W41" s="154">
        <f t="shared" si="15"/>
        <v>0.24</v>
      </c>
      <c r="X41" s="35" t="e">
        <f>+#REF!/100</f>
        <v>#REF!</v>
      </c>
      <c r="Y41" s="35">
        <v>0.93</v>
      </c>
      <c r="AB41" s="22"/>
    </row>
    <row r="42" spans="1:28" ht="15">
      <c r="A42">
        <v>41</v>
      </c>
      <c r="B42" s="163" t="s">
        <v>453</v>
      </c>
      <c r="C42" s="192"/>
      <c r="D42" s="193" t="s">
        <v>10</v>
      </c>
      <c r="E42" s="193">
        <v>2.5</v>
      </c>
      <c r="I42" t="s">
        <v>64</v>
      </c>
      <c r="J42" s="44" t="s">
        <v>25</v>
      </c>
      <c r="K42">
        <v>262</v>
      </c>
      <c r="M42" s="32">
        <f>INDEX(Base!S$21:S$424,Riferimenti!K42-20)</f>
        <v>0</v>
      </c>
      <c r="N42" s="157">
        <f t="shared" si="2"/>
        <v>0</v>
      </c>
      <c r="O42" s="158">
        <f t="shared" si="7"/>
        <v>1.2999999999999998</v>
      </c>
      <c r="P42" s="88">
        <f t="shared" si="8"/>
        <v>0.59999999999999987</v>
      </c>
      <c r="Q42" s="193">
        <v>0.7</v>
      </c>
      <c r="R42" s="196">
        <v>1.9</v>
      </c>
      <c r="S42" s="35">
        <f t="shared" si="0"/>
        <v>2.6749999999999998</v>
      </c>
      <c r="U42">
        <v>28</v>
      </c>
      <c r="V42" s="35">
        <f t="shared" si="14"/>
        <v>0</v>
      </c>
      <c r="W42" s="154">
        <f t="shared" si="15"/>
        <v>0.28000000000000003</v>
      </c>
      <c r="X42" s="35" t="e">
        <f>+#REF!/100</f>
        <v>#REF!</v>
      </c>
      <c r="Y42" s="35">
        <v>0.93</v>
      </c>
      <c r="AB42" s="22"/>
    </row>
    <row r="43" spans="1:28" ht="15">
      <c r="A43">
        <v>42</v>
      </c>
      <c r="B43" s="50" t="s">
        <v>132</v>
      </c>
      <c r="C43" s="192"/>
      <c r="D43" s="193" t="s">
        <v>10</v>
      </c>
      <c r="E43" s="193">
        <v>100.2</v>
      </c>
      <c r="I43" t="s">
        <v>65</v>
      </c>
      <c r="J43" s="44" t="s">
        <v>25</v>
      </c>
      <c r="K43">
        <f t="shared" si="6"/>
        <v>267</v>
      </c>
      <c r="M43" s="32">
        <f>INDEX(Base!S$21:S$424,Riferimenti!K43-20)</f>
        <v>0</v>
      </c>
      <c r="N43" s="157">
        <f t="shared" si="2"/>
        <v>0</v>
      </c>
      <c r="O43" s="158">
        <f t="shared" si="7"/>
        <v>50.25</v>
      </c>
      <c r="P43" s="88">
        <f t="shared" si="8"/>
        <v>24.95</v>
      </c>
      <c r="Q43" s="193">
        <v>25.3</v>
      </c>
      <c r="R43" s="196">
        <v>75.2</v>
      </c>
      <c r="S43" s="35">
        <f t="shared" si="0"/>
        <v>107.214</v>
      </c>
      <c r="U43">
        <v>29</v>
      </c>
      <c r="V43" s="35">
        <f t="shared" si="14"/>
        <v>0</v>
      </c>
      <c r="W43" s="154">
        <f t="shared" si="15"/>
        <v>0.28999999999999998</v>
      </c>
      <c r="X43" s="35" t="e">
        <f>+#REF!/100</f>
        <v>#REF!</v>
      </c>
      <c r="Y43" s="35">
        <v>0.93</v>
      </c>
      <c r="AB43" s="22"/>
    </row>
    <row r="44" spans="1:28" ht="15">
      <c r="A44">
        <v>43</v>
      </c>
      <c r="B44" s="50" t="s">
        <v>133</v>
      </c>
      <c r="C44" s="192"/>
      <c r="D44" s="193" t="s">
        <v>10</v>
      </c>
      <c r="E44" s="193">
        <v>1.6</v>
      </c>
      <c r="I44" t="s">
        <v>66</v>
      </c>
      <c r="J44" s="44" t="s">
        <v>25</v>
      </c>
      <c r="K44">
        <f t="shared" si="6"/>
        <v>272</v>
      </c>
      <c r="M44" s="32">
        <f>INDEX(Base!S$21:S$424,Riferimenti!K44-20)</f>
        <v>0</v>
      </c>
      <c r="N44" s="157">
        <f t="shared" si="2"/>
        <v>0</v>
      </c>
      <c r="O44" s="158">
        <f t="shared" si="7"/>
        <v>0.60000000000000009</v>
      </c>
      <c r="P44" s="88">
        <f t="shared" si="8"/>
        <v>0.50000000000000011</v>
      </c>
      <c r="Q44" s="193">
        <v>0.1</v>
      </c>
      <c r="R44" s="196">
        <v>1.1000000000000001</v>
      </c>
      <c r="S44" s="35">
        <f t="shared" si="0"/>
        <v>1.7120000000000002</v>
      </c>
      <c r="U44">
        <v>30</v>
      </c>
      <c r="V44" s="35">
        <f t="shared" si="14"/>
        <v>0</v>
      </c>
      <c r="W44" s="154">
        <f t="shared" si="15"/>
        <v>0.3</v>
      </c>
      <c r="X44" s="35" t="e">
        <f>+#REF!/100</f>
        <v>#REF!</v>
      </c>
      <c r="Y44" s="35">
        <v>0.93</v>
      </c>
      <c r="AB44" s="22"/>
    </row>
    <row r="45" spans="1:28" ht="15">
      <c r="A45">
        <v>44</v>
      </c>
      <c r="B45" s="53" t="s">
        <v>454</v>
      </c>
      <c r="C45" s="192"/>
      <c r="D45" s="193" t="s">
        <v>10</v>
      </c>
      <c r="E45" s="193">
        <v>20</v>
      </c>
      <c r="F45" s="47"/>
      <c r="G45" s="47"/>
      <c r="H45" s="47"/>
      <c r="I45" s="47" t="s">
        <v>67</v>
      </c>
      <c r="J45" s="87" t="s">
        <v>25</v>
      </c>
      <c r="K45" s="47">
        <f t="shared" si="6"/>
        <v>277</v>
      </c>
      <c r="L45" s="47"/>
      <c r="M45" s="32">
        <f>INDEX(Base!S$21:S$424,Riferimenti!K45-20)</f>
        <v>0</v>
      </c>
      <c r="N45" s="157">
        <f t="shared" si="2"/>
        <v>0</v>
      </c>
      <c r="O45" s="158" t="e">
        <f t="shared" si="7"/>
        <v>#REF!</v>
      </c>
      <c r="P45" s="88" t="e">
        <f t="shared" si="8"/>
        <v>#REF!</v>
      </c>
      <c r="Q45" s="35">
        <f t="shared" ref="Q45" si="18">+S45/100*U45</f>
        <v>5.1360000000000001</v>
      </c>
      <c r="R45" s="35" t="e">
        <f>+S45/100*#REF!</f>
        <v>#REF!</v>
      </c>
      <c r="S45" s="35">
        <f t="shared" si="10"/>
        <v>21.4</v>
      </c>
      <c r="U45">
        <v>24</v>
      </c>
      <c r="V45" s="35">
        <f t="shared" si="14"/>
        <v>0</v>
      </c>
      <c r="W45" s="154">
        <f t="shared" si="15"/>
        <v>0.24</v>
      </c>
      <c r="X45" s="35" t="e">
        <f>+#REF!/100</f>
        <v>#REF!</v>
      </c>
      <c r="Y45" s="35">
        <v>0.93</v>
      </c>
      <c r="AB45" s="22"/>
    </row>
    <row r="46" spans="1:28" ht="15">
      <c r="A46">
        <v>45</v>
      </c>
      <c r="B46" s="50" t="s">
        <v>170</v>
      </c>
      <c r="C46" s="192"/>
      <c r="D46" s="193" t="s">
        <v>10</v>
      </c>
      <c r="E46" s="193">
        <v>15.2</v>
      </c>
      <c r="I46" t="s">
        <v>68</v>
      </c>
      <c r="J46" s="44" t="s">
        <v>25</v>
      </c>
      <c r="K46">
        <v>285</v>
      </c>
      <c r="M46" s="32">
        <f>INDEX(Base!S$21:S$424,Riferimenti!K46-20)</f>
        <v>0</v>
      </c>
      <c r="N46" s="157">
        <f t="shared" si="2"/>
        <v>0</v>
      </c>
      <c r="O46" s="158">
        <f t="shared" si="7"/>
        <v>5.1999999999999993</v>
      </c>
      <c r="P46" s="88">
        <f t="shared" si="8"/>
        <v>4.9999999999999991</v>
      </c>
      <c r="Q46" s="193">
        <v>0.2</v>
      </c>
      <c r="R46" s="196">
        <v>10.199999999999999</v>
      </c>
      <c r="S46" s="35">
        <f t="shared" si="0"/>
        <v>16.263999999999999</v>
      </c>
      <c r="U46">
        <v>26</v>
      </c>
      <c r="V46" s="35">
        <f t="shared" si="14"/>
        <v>0</v>
      </c>
      <c r="W46" s="154">
        <f t="shared" si="15"/>
        <v>0.26</v>
      </c>
      <c r="X46" s="35" t="e">
        <f>+#REF!/100</f>
        <v>#REF!</v>
      </c>
      <c r="Y46" s="35">
        <v>0.93</v>
      </c>
      <c r="AB46" s="22"/>
    </row>
    <row r="47" spans="1:28" ht="15">
      <c r="A47">
        <v>46</v>
      </c>
      <c r="B47" s="50" t="s">
        <v>135</v>
      </c>
      <c r="C47" s="192"/>
      <c r="D47" s="193" t="s">
        <v>10</v>
      </c>
      <c r="E47" s="193">
        <v>3.1</v>
      </c>
      <c r="I47" t="s">
        <v>69</v>
      </c>
      <c r="J47" s="44" t="s">
        <v>25</v>
      </c>
      <c r="K47">
        <f>+K46+5</f>
        <v>290</v>
      </c>
      <c r="M47" s="32">
        <f>INDEX(Base!S$21:S$424,Riferimenti!K47-20)</f>
        <v>0</v>
      </c>
      <c r="N47" s="157">
        <f t="shared" si="2"/>
        <v>0</v>
      </c>
      <c r="O47" s="158">
        <f t="shared" si="7"/>
        <v>1.7999999999999998</v>
      </c>
      <c r="P47" s="88">
        <f t="shared" si="8"/>
        <v>0.59999999999999987</v>
      </c>
      <c r="Q47" s="193">
        <v>1.2</v>
      </c>
      <c r="R47" s="196">
        <v>2.4</v>
      </c>
      <c r="S47" s="35">
        <f t="shared" si="0"/>
        <v>3.3170000000000002</v>
      </c>
      <c r="U47">
        <v>23</v>
      </c>
      <c r="V47" s="35">
        <f t="shared" si="14"/>
        <v>0</v>
      </c>
      <c r="W47" s="154">
        <f t="shared" si="15"/>
        <v>0.23</v>
      </c>
      <c r="X47" s="35" t="e">
        <f>+#REF!/100</f>
        <v>#REF!</v>
      </c>
      <c r="Y47" s="35">
        <v>0.93</v>
      </c>
      <c r="AB47" s="22"/>
    </row>
    <row r="48" spans="1:28" ht="15">
      <c r="A48">
        <v>47</v>
      </c>
      <c r="B48" s="50" t="s">
        <v>136</v>
      </c>
      <c r="C48" s="192"/>
      <c r="D48" s="193" t="s">
        <v>10</v>
      </c>
      <c r="E48" s="202">
        <v>0.6</v>
      </c>
      <c r="I48" t="s">
        <v>70</v>
      </c>
      <c r="J48" s="44" t="s">
        <v>25</v>
      </c>
      <c r="K48">
        <f>+K47+5</f>
        <v>295</v>
      </c>
      <c r="M48" s="32">
        <f>INDEX(Base!S$21:S$424,Riferimenti!K48-20)</f>
        <v>0</v>
      </c>
      <c r="N48" s="157">
        <f t="shared" si="2"/>
        <v>0</v>
      </c>
      <c r="O48" s="158" t="e">
        <f t="shared" si="7"/>
        <v>#REF!</v>
      </c>
      <c r="P48" s="88" t="e">
        <f t="shared" si="8"/>
        <v>#REF!</v>
      </c>
      <c r="Q48" s="35">
        <f t="shared" ref="Q48" si="19">+S48/100*U48</f>
        <v>0.25680000000000003</v>
      </c>
      <c r="R48" s="35" t="e">
        <f>+S48/100*#REF!</f>
        <v>#REF!</v>
      </c>
      <c r="S48" s="35">
        <f t="shared" si="0"/>
        <v>0.64200000000000002</v>
      </c>
      <c r="U48">
        <v>40</v>
      </c>
      <c r="V48" s="35">
        <f t="shared" si="14"/>
        <v>0</v>
      </c>
      <c r="W48" s="154">
        <f t="shared" si="15"/>
        <v>0.4</v>
      </c>
      <c r="X48" s="35" t="e">
        <f>+#REF!/100</f>
        <v>#REF!</v>
      </c>
      <c r="Y48" s="35">
        <v>0.93</v>
      </c>
      <c r="AB48" s="22"/>
    </row>
    <row r="49" spans="1:28" ht="15">
      <c r="A49">
        <v>48</v>
      </c>
      <c r="B49" s="98" t="s">
        <v>171</v>
      </c>
      <c r="C49" s="192"/>
      <c r="D49" s="193" t="s">
        <v>10</v>
      </c>
      <c r="E49" s="193">
        <v>1.9</v>
      </c>
      <c r="I49" t="s">
        <v>71</v>
      </c>
      <c r="J49" s="44" t="s">
        <v>25</v>
      </c>
      <c r="K49">
        <f>+K48+5</f>
        <v>300</v>
      </c>
      <c r="M49" s="32">
        <f>INDEX(Base!S$21:S$424,Riferimenti!K49-20)</f>
        <v>0</v>
      </c>
      <c r="N49" s="157">
        <f t="shared" si="2"/>
        <v>0</v>
      </c>
      <c r="O49" s="158">
        <f t="shared" si="7"/>
        <v>1.1000000000000001</v>
      </c>
      <c r="P49" s="88">
        <f t="shared" si="8"/>
        <v>0.40000000000000013</v>
      </c>
      <c r="Q49" s="193">
        <v>0.7</v>
      </c>
      <c r="R49" s="196">
        <v>1.5</v>
      </c>
      <c r="S49" s="35">
        <f t="shared" si="0"/>
        <v>2.0329999999999999</v>
      </c>
      <c r="U49">
        <v>39</v>
      </c>
      <c r="V49" s="35">
        <f t="shared" si="14"/>
        <v>0</v>
      </c>
      <c r="W49" s="154">
        <f t="shared" si="15"/>
        <v>0.39</v>
      </c>
      <c r="X49" s="35" t="e">
        <f>+#REF!/100</f>
        <v>#REF!</v>
      </c>
      <c r="Y49" s="35">
        <v>0.93</v>
      </c>
      <c r="AB49" s="22"/>
    </row>
    <row r="50" spans="1:28" ht="15">
      <c r="A50" s="47">
        <v>49</v>
      </c>
      <c r="B50" s="53" t="s">
        <v>443</v>
      </c>
      <c r="C50" s="192"/>
      <c r="D50" s="193" t="s">
        <v>10</v>
      </c>
      <c r="E50" s="193">
        <v>13.2</v>
      </c>
      <c r="F50" s="47"/>
      <c r="G50" s="47"/>
      <c r="H50" s="47"/>
      <c r="I50" s="47" t="s">
        <v>72</v>
      </c>
      <c r="J50" s="87" t="s">
        <v>25</v>
      </c>
      <c r="K50" s="47">
        <f>+K49+5</f>
        <v>305</v>
      </c>
      <c r="L50" s="47"/>
      <c r="M50" s="32">
        <f>INDEX(Base!S$21:S$424,Riferimenti!K50-20)</f>
        <v>0</v>
      </c>
      <c r="N50" s="157">
        <f t="shared" si="2"/>
        <v>0</v>
      </c>
      <c r="O50" s="158">
        <f t="shared" si="7"/>
        <v>4.55</v>
      </c>
      <c r="P50" s="88">
        <f t="shared" si="8"/>
        <v>4.3499999999999996</v>
      </c>
      <c r="Q50" s="193">
        <v>0.2</v>
      </c>
      <c r="R50" s="196">
        <v>8.9</v>
      </c>
      <c r="S50" s="35">
        <f t="shared" si="0"/>
        <v>14.123999999999999</v>
      </c>
      <c r="U50">
        <v>26</v>
      </c>
      <c r="V50" s="35">
        <f t="shared" si="14"/>
        <v>0</v>
      </c>
      <c r="W50" s="154">
        <f t="shared" si="15"/>
        <v>0.26</v>
      </c>
      <c r="X50" s="35" t="e">
        <f>+#REF!/100</f>
        <v>#REF!</v>
      </c>
      <c r="Y50" s="35">
        <v>0.93</v>
      </c>
      <c r="AB50" s="22"/>
    </row>
    <row r="51" spans="1:28" ht="15">
      <c r="A51">
        <v>50</v>
      </c>
      <c r="B51" s="50" t="s">
        <v>137</v>
      </c>
      <c r="C51" s="192">
        <v>7.3</v>
      </c>
      <c r="D51" s="193" t="s">
        <v>10</v>
      </c>
      <c r="E51" s="193">
        <v>64.3</v>
      </c>
      <c r="I51" t="s">
        <v>73</v>
      </c>
      <c r="J51" s="44" t="s">
        <v>25</v>
      </c>
      <c r="K51">
        <v>321</v>
      </c>
      <c r="M51" s="32">
        <f>INDEX(Base!S$21:S$424,Riferimenti!K51-20)</f>
        <v>0</v>
      </c>
      <c r="N51" s="157">
        <f t="shared" si="2"/>
        <v>0</v>
      </c>
      <c r="O51" s="158">
        <f t="shared" si="7"/>
        <v>35.75</v>
      </c>
      <c r="P51" s="88">
        <f t="shared" si="8"/>
        <v>14.25</v>
      </c>
      <c r="Q51" s="193">
        <v>21.5</v>
      </c>
      <c r="R51" s="196">
        <v>50</v>
      </c>
      <c r="S51" s="35">
        <f t="shared" si="0"/>
        <v>68.801000000000002</v>
      </c>
      <c r="U51">
        <v>31</v>
      </c>
      <c r="V51" s="35">
        <f t="shared" si="14"/>
        <v>7.0000000000000007E-2</v>
      </c>
      <c r="W51" s="154">
        <f t="shared" si="15"/>
        <v>0.31</v>
      </c>
      <c r="X51" s="35" t="e">
        <f>+#REF!/100</f>
        <v>#REF!</v>
      </c>
      <c r="Y51" s="35">
        <v>0.93</v>
      </c>
      <c r="AB51" s="22"/>
    </row>
    <row r="52" spans="1:28" ht="15">
      <c r="A52">
        <v>51</v>
      </c>
      <c r="B52" s="50" t="s">
        <v>138</v>
      </c>
      <c r="C52" s="192">
        <v>0.1</v>
      </c>
      <c r="D52" s="193"/>
      <c r="E52" s="193">
        <v>3.9</v>
      </c>
      <c r="I52" t="s">
        <v>74</v>
      </c>
      <c r="J52" s="44" t="s">
        <v>25</v>
      </c>
      <c r="K52">
        <f>+K51+5</f>
        <v>326</v>
      </c>
      <c r="M52" s="32">
        <f>INDEX(Base!S$21:S$424,Riferimenti!K52-20)</f>
        <v>0</v>
      </c>
      <c r="N52" s="157">
        <f t="shared" si="2"/>
        <v>0</v>
      </c>
      <c r="O52" s="158">
        <v>12</v>
      </c>
      <c r="P52" s="88">
        <v>3</v>
      </c>
      <c r="Q52" s="193">
        <v>1.1000000000000001</v>
      </c>
      <c r="R52" s="196">
        <v>2.9</v>
      </c>
      <c r="S52" s="35">
        <f t="shared" si="0"/>
        <v>4.173</v>
      </c>
      <c r="U52">
        <v>32</v>
      </c>
      <c r="V52" s="35">
        <f t="shared" si="14"/>
        <v>7.0000000000000007E-2</v>
      </c>
      <c r="W52" s="154">
        <f t="shared" si="15"/>
        <v>0.32</v>
      </c>
      <c r="X52" s="35" t="e">
        <f>+#REF!/100</f>
        <v>#REF!</v>
      </c>
      <c r="Y52" s="35">
        <v>0.93</v>
      </c>
      <c r="AB52" s="22"/>
    </row>
    <row r="53" spans="1:28" ht="15">
      <c r="A53" s="47">
        <v>52</v>
      </c>
      <c r="B53" s="53" t="s">
        <v>450</v>
      </c>
      <c r="C53" s="192">
        <v>1.1000000000000001</v>
      </c>
      <c r="D53" s="199" t="s">
        <v>10</v>
      </c>
      <c r="E53" s="193">
        <v>33.299999999999997</v>
      </c>
      <c r="F53" s="47"/>
      <c r="G53" s="201"/>
      <c r="H53" s="47"/>
      <c r="I53" s="47" t="s">
        <v>75</v>
      </c>
      <c r="J53" s="87" t="s">
        <v>25</v>
      </c>
      <c r="K53" s="47">
        <f>+K52+5</f>
        <v>331</v>
      </c>
      <c r="M53" s="32">
        <f>INDEX(Base!S$21:S$424,Riferimenti!K53-20)</f>
        <v>0</v>
      </c>
      <c r="N53" s="157">
        <f t="shared" si="2"/>
        <v>0</v>
      </c>
      <c r="O53" s="158" t="e">
        <f t="shared" si="7"/>
        <v>#REF!</v>
      </c>
      <c r="P53" s="88" t="e">
        <f t="shared" si="8"/>
        <v>#REF!</v>
      </c>
      <c r="Q53" s="35">
        <f t="shared" ref="Q53" si="20">+S53/100*U53</f>
        <v>12.11454</v>
      </c>
      <c r="R53" s="35" t="e">
        <f>+S53/100*#REF!</f>
        <v>#REF!</v>
      </c>
      <c r="S53" s="35">
        <f t="shared" si="0"/>
        <v>35.631</v>
      </c>
      <c r="U53">
        <v>34</v>
      </c>
      <c r="V53" s="35">
        <f t="shared" si="14"/>
        <v>7.0000000000000007E-2</v>
      </c>
      <c r="W53" s="154">
        <f t="shared" si="15"/>
        <v>0.34</v>
      </c>
      <c r="X53" s="35" t="e">
        <f>+#REF!/100</f>
        <v>#REF!</v>
      </c>
      <c r="Y53" s="35">
        <v>0.93</v>
      </c>
      <c r="AB53" s="22"/>
    </row>
    <row r="54" spans="1:28" ht="15">
      <c r="A54">
        <v>53</v>
      </c>
      <c r="B54" s="50" t="s">
        <v>116</v>
      </c>
      <c r="C54" s="192"/>
      <c r="D54" s="193" t="s">
        <v>10</v>
      </c>
      <c r="E54" s="193">
        <v>0.3</v>
      </c>
      <c r="I54" t="s">
        <v>76</v>
      </c>
      <c r="J54" s="44" t="s">
        <v>25</v>
      </c>
      <c r="K54">
        <v>339</v>
      </c>
      <c r="M54" s="32">
        <f>INDEX(Base!S$21:S$424,Riferimenti!K54-20)</f>
        <v>0</v>
      </c>
      <c r="N54" s="157">
        <f t="shared" si="2"/>
        <v>0</v>
      </c>
      <c r="O54" s="158" t="e">
        <f t="shared" si="7"/>
        <v>#REF!</v>
      </c>
      <c r="P54" s="88" t="e">
        <f t="shared" si="8"/>
        <v>#REF!</v>
      </c>
      <c r="Q54" s="35">
        <f t="shared" ref="Q54" si="21">+S54/100*U54</f>
        <v>8.9880000000000002E-2</v>
      </c>
      <c r="R54" s="35" t="e">
        <f>+S54/100*#REF!</f>
        <v>#REF!</v>
      </c>
      <c r="S54" s="35">
        <f t="shared" si="0"/>
        <v>0.32100000000000001</v>
      </c>
      <c r="U54">
        <v>28</v>
      </c>
      <c r="V54" s="35">
        <f t="shared" si="14"/>
        <v>0</v>
      </c>
      <c r="W54" s="154">
        <f t="shared" si="15"/>
        <v>0.28000000000000003</v>
      </c>
      <c r="X54" s="35" t="e">
        <f>+#REF!/100</f>
        <v>#REF!</v>
      </c>
      <c r="Y54" s="35">
        <v>0.93</v>
      </c>
      <c r="AB54" s="22"/>
    </row>
    <row r="55" spans="1:28" ht="15">
      <c r="A55">
        <v>54</v>
      </c>
      <c r="B55" s="50" t="s">
        <v>117</v>
      </c>
      <c r="C55" s="192"/>
      <c r="D55" s="193" t="s">
        <v>10</v>
      </c>
      <c r="E55" s="193">
        <v>4.2</v>
      </c>
      <c r="I55" t="s">
        <v>77</v>
      </c>
      <c r="J55" s="44" t="s">
        <v>25</v>
      </c>
      <c r="K55">
        <f>+K54+5</f>
        <v>344</v>
      </c>
      <c r="M55" s="32">
        <f>INDEX(Base!S$21:S$424,Riferimenti!K55-20)</f>
        <v>0</v>
      </c>
      <c r="N55" s="157">
        <f t="shared" si="2"/>
        <v>0</v>
      </c>
      <c r="O55" s="158">
        <f t="shared" si="7"/>
        <v>2</v>
      </c>
      <c r="P55" s="88">
        <f t="shared" si="8"/>
        <v>1.1000000000000001</v>
      </c>
      <c r="Q55" s="193">
        <v>0.9</v>
      </c>
      <c r="R55" s="196">
        <v>3.1</v>
      </c>
      <c r="S55" s="35">
        <f t="shared" si="0"/>
        <v>4.4939999999999998</v>
      </c>
      <c r="U55">
        <v>31</v>
      </c>
      <c r="V55" s="35">
        <f t="shared" si="14"/>
        <v>0</v>
      </c>
      <c r="W55" s="154">
        <f t="shared" si="15"/>
        <v>0.31</v>
      </c>
      <c r="X55" s="35" t="e">
        <f>+#REF!/100</f>
        <v>#REF!</v>
      </c>
      <c r="Y55" s="35">
        <v>0.93</v>
      </c>
      <c r="AB55" s="22"/>
    </row>
    <row r="56" spans="1:28" ht="15">
      <c r="A56">
        <v>55</v>
      </c>
      <c r="B56" s="50" t="s">
        <v>118</v>
      </c>
      <c r="C56" s="192"/>
      <c r="D56" s="193" t="s">
        <v>10</v>
      </c>
      <c r="E56" s="193">
        <v>1.6</v>
      </c>
      <c r="I56" t="s">
        <v>152</v>
      </c>
      <c r="J56" s="44" t="s">
        <v>25</v>
      </c>
      <c r="K56">
        <f>+K55+5</f>
        <v>349</v>
      </c>
      <c r="M56" s="32">
        <f>INDEX(Base!S$21:S$424,Riferimenti!K56-20)</f>
        <v>0</v>
      </c>
      <c r="N56" s="157">
        <f t="shared" si="2"/>
        <v>0</v>
      </c>
      <c r="O56" s="158">
        <f t="shared" si="7"/>
        <v>0.8</v>
      </c>
      <c r="P56" s="88">
        <f t="shared" si="8"/>
        <v>0.4</v>
      </c>
      <c r="Q56" s="193">
        <v>0.4</v>
      </c>
      <c r="R56" s="196">
        <v>1.2</v>
      </c>
      <c r="S56" s="35">
        <f t="shared" si="10"/>
        <v>1.7120000000000002</v>
      </c>
      <c r="U56">
        <v>40</v>
      </c>
      <c r="V56" s="35">
        <f t="shared" si="14"/>
        <v>0</v>
      </c>
      <c r="W56" s="154">
        <f t="shared" si="15"/>
        <v>0.4</v>
      </c>
      <c r="X56" s="35" t="e">
        <f>+#REF!/100</f>
        <v>#REF!</v>
      </c>
      <c r="Y56" s="35">
        <v>0.93</v>
      </c>
      <c r="AB56" s="22"/>
    </row>
    <row r="57" spans="1:28" ht="15">
      <c r="A57">
        <v>56</v>
      </c>
      <c r="B57" s="50" t="s">
        <v>119</v>
      </c>
      <c r="C57" s="192"/>
      <c r="D57" s="193" t="s">
        <v>10</v>
      </c>
      <c r="E57" s="193">
        <v>5.9</v>
      </c>
      <c r="I57" t="s">
        <v>153</v>
      </c>
      <c r="J57" s="44" t="s">
        <v>25</v>
      </c>
      <c r="K57">
        <f>+K56+5</f>
        <v>354</v>
      </c>
      <c r="M57" s="32">
        <f>INDEX(Base!S$21:S$424,Riferimenti!K57-20)</f>
        <v>0</v>
      </c>
      <c r="N57" s="157">
        <f t="shared" si="2"/>
        <v>0</v>
      </c>
      <c r="O57" s="158">
        <f t="shared" si="7"/>
        <v>1.1000000000000001</v>
      </c>
      <c r="P57" s="88">
        <f t="shared" si="8"/>
        <v>0.40000000000000013</v>
      </c>
      <c r="Q57" s="193">
        <v>0.7</v>
      </c>
      <c r="R57" s="196">
        <v>1.5</v>
      </c>
      <c r="S57" s="35">
        <f t="shared" si="0"/>
        <v>6.3130000000000006</v>
      </c>
      <c r="U57">
        <v>42</v>
      </c>
      <c r="V57" s="35">
        <f t="shared" si="14"/>
        <v>0</v>
      </c>
      <c r="W57" s="154">
        <f t="shared" si="15"/>
        <v>0.42</v>
      </c>
      <c r="X57" s="35" t="e">
        <f>+#REF!/100</f>
        <v>#REF!</v>
      </c>
      <c r="Y57" s="35">
        <v>0.93</v>
      </c>
    </row>
    <row r="58" spans="1:28" ht="15">
      <c r="A58" s="47">
        <v>57</v>
      </c>
      <c r="B58" s="52" t="s">
        <v>172</v>
      </c>
      <c r="C58" s="192"/>
      <c r="D58" s="193" t="s">
        <v>10</v>
      </c>
      <c r="E58" s="193">
        <v>0.8</v>
      </c>
      <c r="F58" s="47"/>
      <c r="G58" s="47"/>
      <c r="H58" s="47"/>
      <c r="I58" s="47" t="s">
        <v>154</v>
      </c>
      <c r="J58" s="87" t="s">
        <v>25</v>
      </c>
      <c r="K58" s="47">
        <f>+K57+5</f>
        <v>359</v>
      </c>
      <c r="L58" s="47"/>
      <c r="M58" s="32">
        <f>INDEX(Base!S$21:S$424,Riferimenti!K58-20)</f>
        <v>0</v>
      </c>
      <c r="N58" s="157">
        <f t="shared" si="2"/>
        <v>0</v>
      </c>
      <c r="O58" s="158">
        <f t="shared" si="7"/>
        <v>0.4</v>
      </c>
      <c r="P58" s="88">
        <f t="shared" si="8"/>
        <v>0.2</v>
      </c>
      <c r="Q58" s="193">
        <v>0.2</v>
      </c>
      <c r="R58" s="197">
        <v>0.6</v>
      </c>
      <c r="S58" s="35">
        <f t="shared" si="0"/>
        <v>0.85600000000000009</v>
      </c>
      <c r="U58">
        <v>36</v>
      </c>
      <c r="V58" s="35">
        <f t="shared" si="14"/>
        <v>0</v>
      </c>
      <c r="W58" s="154">
        <f t="shared" si="15"/>
        <v>0.36</v>
      </c>
      <c r="X58" s="35" t="e">
        <f>+#REF!/100</f>
        <v>#REF!</v>
      </c>
      <c r="Y58" s="35">
        <v>0.93</v>
      </c>
    </row>
    <row r="59" spans="1:28" ht="15">
      <c r="A59">
        <v>58</v>
      </c>
      <c r="B59" s="50" t="s">
        <v>140</v>
      </c>
      <c r="C59" s="192">
        <v>0.8</v>
      </c>
      <c r="D59" s="193" t="s">
        <v>10</v>
      </c>
      <c r="E59" s="193">
        <v>4.3</v>
      </c>
      <c r="I59" t="s">
        <v>155</v>
      </c>
      <c r="J59" s="44" t="s">
        <v>25</v>
      </c>
      <c r="K59">
        <f>+K58+8</f>
        <v>367</v>
      </c>
      <c r="M59" s="32">
        <f>INDEX(Base!S$21:S$424,Riferimenti!K59-20)</f>
        <v>0</v>
      </c>
      <c r="N59" s="157">
        <f t="shared" si="2"/>
        <v>0</v>
      </c>
      <c r="O59" s="158">
        <f t="shared" si="7"/>
        <v>2.6</v>
      </c>
      <c r="P59" s="88">
        <f t="shared" si="8"/>
        <v>0.90000000000000013</v>
      </c>
      <c r="Q59" s="193">
        <v>1.7</v>
      </c>
      <c r="R59" s="196">
        <v>3.5</v>
      </c>
      <c r="S59" s="35">
        <f t="shared" si="0"/>
        <v>4.601</v>
      </c>
      <c r="U59">
        <v>40</v>
      </c>
      <c r="V59" s="35">
        <f t="shared" si="14"/>
        <v>7.0000000000000007E-2</v>
      </c>
      <c r="W59" s="154">
        <f t="shared" si="15"/>
        <v>0.4</v>
      </c>
      <c r="X59" s="35" t="e">
        <f>+#REF!/100</f>
        <v>#REF!</v>
      </c>
      <c r="Y59" s="35">
        <v>0.93</v>
      </c>
    </row>
    <row r="60" spans="1:28" ht="15">
      <c r="A60" s="47">
        <v>59</v>
      </c>
      <c r="B60" s="53" t="s">
        <v>141</v>
      </c>
      <c r="C60" s="192">
        <v>0.7</v>
      </c>
      <c r="D60" s="193" t="s">
        <v>10</v>
      </c>
      <c r="E60" s="193">
        <v>10.8</v>
      </c>
      <c r="F60" s="47"/>
      <c r="G60" s="47"/>
      <c r="H60" s="47"/>
      <c r="I60" s="47" t="s">
        <v>196</v>
      </c>
      <c r="J60" s="87" t="s">
        <v>25</v>
      </c>
      <c r="K60" s="47">
        <f>+K59+5</f>
        <v>372</v>
      </c>
      <c r="L60" s="47"/>
      <c r="M60" s="32">
        <f>INDEX(Base!S$21:S$424,Riferimenti!K60-20)</f>
        <v>0</v>
      </c>
      <c r="N60" s="157">
        <f t="shared" si="2"/>
        <v>0</v>
      </c>
      <c r="O60" s="158">
        <f t="shared" si="7"/>
        <v>5.8000000000000007</v>
      </c>
      <c r="P60" s="88">
        <f t="shared" si="8"/>
        <v>2.5000000000000009</v>
      </c>
      <c r="Q60" s="193">
        <v>3.3</v>
      </c>
      <c r="R60" s="196">
        <v>8.3000000000000007</v>
      </c>
      <c r="S60" s="35">
        <f t="shared" si="0"/>
        <v>11.556000000000001</v>
      </c>
      <c r="U60">
        <v>32</v>
      </c>
      <c r="V60" s="35">
        <f t="shared" si="14"/>
        <v>7.0000000000000007E-2</v>
      </c>
      <c r="W60" s="154">
        <f t="shared" si="15"/>
        <v>0.32</v>
      </c>
      <c r="X60" s="35" t="e">
        <f>+#REF!/100</f>
        <v>#REF!</v>
      </c>
      <c r="Y60" s="35">
        <v>0.93</v>
      </c>
    </row>
    <row r="61" spans="1:28" ht="15">
      <c r="A61" s="47">
        <v>60</v>
      </c>
      <c r="B61" s="50" t="s">
        <v>373</v>
      </c>
      <c r="C61" s="192"/>
      <c r="D61" s="193" t="s">
        <v>10</v>
      </c>
      <c r="E61" s="193">
        <v>12.4</v>
      </c>
      <c r="F61" s="130"/>
      <c r="G61" s="130"/>
      <c r="H61" s="130"/>
      <c r="I61" s="47" t="s">
        <v>234</v>
      </c>
      <c r="J61" s="87" t="s">
        <v>25</v>
      </c>
      <c r="K61" s="130">
        <f>+K60+10</f>
        <v>382</v>
      </c>
      <c r="L61" s="130"/>
      <c r="M61" s="32">
        <f>INDEX(Base!S$21:S$424,Riferimenti!K61-20)</f>
        <v>0</v>
      </c>
      <c r="N61" s="157">
        <f t="shared" si="2"/>
        <v>0</v>
      </c>
      <c r="O61" s="158">
        <f t="shared" si="7"/>
        <v>5.2</v>
      </c>
      <c r="P61" s="88">
        <f t="shared" si="8"/>
        <v>3.6</v>
      </c>
      <c r="Q61" s="193">
        <v>1.6</v>
      </c>
      <c r="R61" s="196">
        <v>8.8000000000000007</v>
      </c>
      <c r="S61" s="35">
        <f t="shared" si="0"/>
        <v>13.268000000000001</v>
      </c>
      <c r="U61">
        <v>25</v>
      </c>
      <c r="V61" s="35">
        <f t="shared" si="14"/>
        <v>0</v>
      </c>
      <c r="W61" s="154">
        <f t="shared" si="15"/>
        <v>0.25</v>
      </c>
      <c r="X61" s="35" t="e">
        <f>+#REF!/100</f>
        <v>#REF!</v>
      </c>
      <c r="Y61" s="35">
        <v>0.93</v>
      </c>
    </row>
    <row r="62" spans="1:28" ht="15">
      <c r="A62" s="47">
        <v>61</v>
      </c>
      <c r="B62" s="131" t="s">
        <v>145</v>
      </c>
      <c r="C62" s="192"/>
      <c r="D62" s="193" t="s">
        <v>10</v>
      </c>
      <c r="E62" s="193">
        <v>0.3</v>
      </c>
      <c r="F62" s="130"/>
      <c r="G62" s="130"/>
      <c r="H62" s="130"/>
      <c r="I62" s="47" t="s">
        <v>235</v>
      </c>
      <c r="J62" s="87" t="s">
        <v>25</v>
      </c>
      <c r="K62" s="130">
        <f>+K61+8</f>
        <v>390</v>
      </c>
      <c r="L62" s="130"/>
      <c r="M62" s="32">
        <f>INDEX(Base!S$21:S$424,Riferimenti!K62-20)</f>
        <v>0</v>
      </c>
      <c r="N62" s="157">
        <f t="shared" si="2"/>
        <v>0</v>
      </c>
      <c r="O62" s="158" t="e">
        <f t="shared" si="7"/>
        <v>#REF!</v>
      </c>
      <c r="P62" s="88" t="e">
        <f t="shared" si="8"/>
        <v>#REF!</v>
      </c>
      <c r="Q62" s="35">
        <f t="shared" ref="Q62" si="22">+S62/100*U62</f>
        <v>0.12198000000000001</v>
      </c>
      <c r="R62" s="35" t="e">
        <f>+S62/100*#REF!</f>
        <v>#REF!</v>
      </c>
      <c r="S62" s="35">
        <f t="shared" si="0"/>
        <v>0.32100000000000001</v>
      </c>
      <c r="U62">
        <v>38</v>
      </c>
      <c r="V62" s="35">
        <f t="shared" si="14"/>
        <v>0</v>
      </c>
      <c r="W62" s="154">
        <f t="shared" si="15"/>
        <v>0.38</v>
      </c>
      <c r="X62" s="35" t="e">
        <f>+#REF!/100</f>
        <v>#REF!</v>
      </c>
      <c r="Y62" s="35">
        <v>0.93</v>
      </c>
    </row>
    <row r="63" spans="1:28" ht="15">
      <c r="A63">
        <v>62</v>
      </c>
      <c r="B63" s="50" t="s">
        <v>147</v>
      </c>
      <c r="C63" s="192"/>
      <c r="D63" s="193" t="s">
        <v>10</v>
      </c>
      <c r="E63" s="193">
        <v>23.7</v>
      </c>
      <c r="I63" t="s">
        <v>236</v>
      </c>
      <c r="J63" s="44" t="s">
        <v>25</v>
      </c>
      <c r="K63">
        <f>+K62+8</f>
        <v>398</v>
      </c>
      <c r="M63" s="32">
        <f>INDEX(Base!S$21:S$424,Riferimenti!K63-20)</f>
        <v>0</v>
      </c>
      <c r="N63" s="157">
        <f t="shared" si="2"/>
        <v>0</v>
      </c>
      <c r="O63" s="158">
        <f t="shared" si="7"/>
        <v>15.2</v>
      </c>
      <c r="P63" s="88">
        <f t="shared" si="8"/>
        <v>4.2999999999999989</v>
      </c>
      <c r="Q63" s="193">
        <v>10.9</v>
      </c>
      <c r="R63" s="196">
        <v>19.5</v>
      </c>
      <c r="S63" s="35">
        <f t="shared" si="0"/>
        <v>25.358999999999998</v>
      </c>
      <c r="U63">
        <v>26</v>
      </c>
      <c r="V63" s="35">
        <f t="shared" si="14"/>
        <v>0</v>
      </c>
      <c r="W63" s="154">
        <f t="shared" si="15"/>
        <v>0.26</v>
      </c>
      <c r="X63" s="35" t="e">
        <f>+#REF!/100</f>
        <v>#REF!</v>
      </c>
      <c r="Y63" s="35">
        <v>0.93</v>
      </c>
    </row>
    <row r="64" spans="1:28" ht="15">
      <c r="A64" s="47">
        <v>63</v>
      </c>
      <c r="B64" s="53" t="s">
        <v>374</v>
      </c>
      <c r="C64" s="192"/>
      <c r="D64" s="193" t="s">
        <v>10</v>
      </c>
      <c r="E64" s="193">
        <v>0.5</v>
      </c>
      <c r="F64" s="47"/>
      <c r="G64" s="47"/>
      <c r="H64" s="47"/>
      <c r="I64" s="47" t="s">
        <v>449</v>
      </c>
      <c r="J64" s="87" t="s">
        <v>25</v>
      </c>
      <c r="K64" s="47">
        <f>+K63+5</f>
        <v>403</v>
      </c>
      <c r="L64" s="47"/>
      <c r="M64" s="32">
        <f>INDEX(Base!S$21:S$424,Riferimenti!K64-20)</f>
        <v>0</v>
      </c>
      <c r="N64" s="157">
        <f t="shared" si="2"/>
        <v>0</v>
      </c>
      <c r="O64" s="158">
        <f>+(Q64+R64)/2</f>
        <v>0.25</v>
      </c>
      <c r="P64" s="88">
        <f t="shared" ref="P64" si="23">+O64-Q64</f>
        <v>0.15</v>
      </c>
      <c r="Q64" s="193">
        <v>0.1</v>
      </c>
      <c r="R64" s="196">
        <v>0.4</v>
      </c>
      <c r="S64" s="35">
        <f t="shared" si="0"/>
        <v>0.53500000000000003</v>
      </c>
      <c r="U64">
        <v>39</v>
      </c>
      <c r="V64" s="35">
        <f t="shared" si="14"/>
        <v>0</v>
      </c>
      <c r="W64" s="154">
        <f t="shared" si="15"/>
        <v>0.39</v>
      </c>
      <c r="X64" s="35" t="e">
        <f>+#REF!/100</f>
        <v>#REF!</v>
      </c>
      <c r="Y64" s="35">
        <v>0.93</v>
      </c>
    </row>
    <row r="65" spans="1:25" ht="15.75" thickBot="1">
      <c r="A65">
        <v>64</v>
      </c>
      <c r="B65" s="50" t="s">
        <v>13</v>
      </c>
      <c r="C65" s="194">
        <v>40</v>
      </c>
      <c r="D65" s="195" t="s">
        <v>10</v>
      </c>
      <c r="E65" s="195">
        <v>278</v>
      </c>
      <c r="I65" t="s">
        <v>455</v>
      </c>
      <c r="J65" s="44" t="s">
        <v>25</v>
      </c>
      <c r="K65">
        <f>+K64+7</f>
        <v>410</v>
      </c>
      <c r="M65" s="32">
        <f>INDEX(Base!S$21:S$424,Riferimenti!K65-20)</f>
        <v>0</v>
      </c>
      <c r="N65" s="157">
        <f t="shared" si="2"/>
        <v>0</v>
      </c>
      <c r="O65" s="158">
        <f>+(Q65+R65)/2</f>
        <v>127</v>
      </c>
      <c r="P65" s="88">
        <f t="shared" ref="P65" si="24">+O65-Q65</f>
        <v>34</v>
      </c>
      <c r="Q65" s="35">
        <v>93</v>
      </c>
      <c r="R65" s="35">
        <v>161</v>
      </c>
      <c r="S65" s="35">
        <f t="shared" si="0"/>
        <v>297.45999999999998</v>
      </c>
      <c r="U65">
        <v>33</v>
      </c>
      <c r="V65" s="35">
        <f t="shared" si="14"/>
        <v>7.0000000000000007E-2</v>
      </c>
      <c r="W65" s="154">
        <f t="shared" si="15"/>
        <v>0.33</v>
      </c>
      <c r="X65" s="35" t="e">
        <f>+#REF!/100</f>
        <v>#REF!</v>
      </c>
      <c r="Y65" s="35">
        <v>0.93</v>
      </c>
    </row>
    <row r="66" spans="1:25">
      <c r="T66" s="35"/>
    </row>
    <row r="67" spans="1:25">
      <c r="T67" s="35"/>
    </row>
    <row r="68" spans="1:25">
      <c r="B68" t="s">
        <v>8</v>
      </c>
      <c r="T68" s="35"/>
    </row>
    <row r="69" spans="1:25">
      <c r="B69" t="s">
        <v>9</v>
      </c>
      <c r="T69" s="35"/>
    </row>
    <row r="70" spans="1:25">
      <c r="J70" s="44"/>
      <c r="T70" s="35"/>
    </row>
    <row r="71" spans="1:25" ht="15">
      <c r="B71" s="132" t="s">
        <v>371</v>
      </c>
      <c r="J71" s="44"/>
      <c r="T71" s="35"/>
    </row>
    <row r="72" spans="1:25">
      <c r="J72" s="44"/>
      <c r="T72" s="35"/>
    </row>
    <row r="73" spans="1:25">
      <c r="J73" s="44"/>
      <c r="T73" s="35"/>
    </row>
    <row r="74" spans="1:25">
      <c r="J74" s="44"/>
      <c r="T74" s="35"/>
    </row>
    <row r="75" spans="1:25">
      <c r="J75" s="44"/>
      <c r="T75" s="35"/>
    </row>
    <row r="76" spans="1:25">
      <c r="J76" s="44"/>
    </row>
    <row r="77" spans="1:25">
      <c r="J77" s="44"/>
    </row>
    <row r="78" spans="1:25">
      <c r="J78" s="44"/>
    </row>
    <row r="79" spans="1:25">
      <c r="J79" s="44"/>
    </row>
    <row r="80" spans="1:25">
      <c r="J80" s="44"/>
    </row>
    <row r="81" spans="10:10">
      <c r="J81" s="44"/>
    </row>
    <row r="82" spans="10:10">
      <c r="J82" s="44"/>
    </row>
    <row r="83" spans="10:10">
      <c r="J83" s="44"/>
    </row>
    <row r="84" spans="10:10">
      <c r="J84" s="44"/>
    </row>
    <row r="85" spans="10:10">
      <c r="J85" s="44"/>
    </row>
    <row r="86" spans="10:10">
      <c r="J86" s="44"/>
    </row>
    <row r="87" spans="10:10">
      <c r="J87" s="44"/>
    </row>
    <row r="88" spans="10:10">
      <c r="J88" s="44"/>
    </row>
    <row r="89" spans="10:10">
      <c r="J89" s="44"/>
    </row>
    <row r="90" spans="10:10">
      <c r="J90" s="44"/>
    </row>
    <row r="91" spans="10:10">
      <c r="J91" s="44"/>
    </row>
    <row r="92" spans="10:10">
      <c r="J92" s="44"/>
    </row>
    <row r="93" spans="10:10">
      <c r="J93" s="44"/>
    </row>
    <row r="94" spans="10:10">
      <c r="J94" s="44"/>
    </row>
    <row r="95" spans="10:10">
      <c r="J95" s="44"/>
    </row>
    <row r="96" spans="10:10">
      <c r="J96" s="44"/>
    </row>
    <row r="97" spans="10:10">
      <c r="J97" s="44"/>
    </row>
    <row r="98" spans="10:10">
      <c r="J98" s="44"/>
    </row>
    <row r="99" spans="10:10">
      <c r="J99" s="44"/>
    </row>
    <row r="100" spans="10:10">
      <c r="J100" s="44"/>
    </row>
    <row r="101" spans="10:10">
      <c r="J101" s="44"/>
    </row>
    <row r="102" spans="10:10">
      <c r="J102" s="44"/>
    </row>
    <row r="103" spans="10:10">
      <c r="J103" s="44"/>
    </row>
    <row r="104" spans="10:10">
      <c r="J104" s="44"/>
    </row>
    <row r="105" spans="10:10">
      <c r="J105" s="44"/>
    </row>
    <row r="106" spans="10:10">
      <c r="J106" s="44"/>
    </row>
    <row r="107" spans="10:10">
      <c r="J107" s="44"/>
    </row>
    <row r="108" spans="10:10">
      <c r="J108" s="44"/>
    </row>
    <row r="109" spans="10:10">
      <c r="J109" s="44"/>
    </row>
    <row r="110" spans="10:10">
      <c r="J110" s="44"/>
    </row>
    <row r="111" spans="10:10">
      <c r="J111" s="44"/>
    </row>
    <row r="112" spans="10:10">
      <c r="J112" s="44"/>
    </row>
    <row r="113" spans="10:10">
      <c r="J113" s="44"/>
    </row>
    <row r="114" spans="10:10">
      <c r="J114" s="44"/>
    </row>
    <row r="115" spans="10:10">
      <c r="J115" s="44"/>
    </row>
    <row r="116" spans="10:10">
      <c r="J116" s="44"/>
    </row>
    <row r="117" spans="10:10">
      <c r="J117" s="44"/>
    </row>
    <row r="118" spans="10:10">
      <c r="J118" s="44"/>
    </row>
    <row r="119" spans="10:10">
      <c r="J119" s="44"/>
    </row>
    <row r="120" spans="10:10">
      <c r="J120" s="44"/>
    </row>
    <row r="121" spans="10:10">
      <c r="J121" s="44"/>
    </row>
    <row r="122" spans="10:10">
      <c r="J122" s="44"/>
    </row>
    <row r="123" spans="10:10">
      <c r="J123" s="44"/>
    </row>
    <row r="124" spans="10:10">
      <c r="J124" s="44"/>
    </row>
    <row r="125" spans="10:10">
      <c r="J125" s="44"/>
    </row>
    <row r="126" spans="10:10">
      <c r="J126" s="44"/>
    </row>
    <row r="127" spans="10:10">
      <c r="J127" s="44"/>
    </row>
    <row r="128" spans="10:10">
      <c r="J128" s="44"/>
    </row>
    <row r="129" spans="10:10">
      <c r="J129" s="44"/>
    </row>
  </sheetData>
  <dataConsolidate/>
  <mergeCells count="1">
    <mergeCell ref="C1:E1"/>
  </mergeCells>
  <phoneticPr fontId="2" type="noConversion"/>
  <printOptions horizontalCentered="1"/>
  <pageMargins left="0.59055118110236227" right="0.39370078740157483" top="0.74803149606299213" bottom="0.74803149606299213" header="0.31496062992125984" footer="0.31496062992125984"/>
  <pageSetup paperSize="9" scale="93" orientation="portrait" verticalDpi="300" r:id="rId1"/>
  <headerFooter>
    <oddHeader>&amp;C
&amp;G</oddHeader>
    <oddFooter>&amp;CVia Cairoli, 2 - 40121 Bologna
Tel. 051240218 - Fax 051241330 - E-mail. vaòsambro@valsambro.it
C.Fisc/P.Iva 01546951201 - Rea Bo 344234 - Caèitale I.V. 10.400,00 Euro&amp;RPagina &amp;P di &amp;N</oddFooter>
    <firstFooter>&amp;C&amp;"Verdana,Normale"&amp;11Via Cairoli, 2 40121 Bologna
Tel: 051240218; Fax 051241330; E-mail: valsambro@valsambro.it
C.Fisc/P.IVA: 01546951201 - Rea Bo 344234 - Capitale I.V.: 10.4000,00 Euro</first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7"/>
  <dimension ref="A1:AG54"/>
  <sheetViews>
    <sheetView zoomScale="90" zoomScaleNormal="90" workbookViewId="0">
      <selection activeCell="L9" sqref="L9:L10"/>
    </sheetView>
  </sheetViews>
  <sheetFormatPr defaultRowHeight="12.75"/>
  <cols>
    <col min="1" max="1" width="3.85546875" customWidth="1"/>
  </cols>
  <sheetData>
    <row r="1" spans="1:33" ht="12.75" customHeight="1">
      <c r="F1" s="258" t="s">
        <v>233</v>
      </c>
      <c r="G1" s="258"/>
      <c r="H1" s="258"/>
      <c r="I1" s="258"/>
      <c r="J1" s="258"/>
      <c r="L1">
        <v>16</v>
      </c>
      <c r="M1">
        <v>16</v>
      </c>
      <c r="N1">
        <v>0</v>
      </c>
      <c r="O1">
        <v>0</v>
      </c>
    </row>
    <row r="2" spans="1:33" ht="12.75" customHeight="1">
      <c r="F2" s="258"/>
      <c r="G2" s="258"/>
      <c r="H2" s="258"/>
      <c r="I2" s="258"/>
      <c r="J2" s="258"/>
    </row>
    <row r="3" spans="1:33" ht="23.25" customHeight="1">
      <c r="A3" s="260" t="s">
        <v>11</v>
      </c>
      <c r="B3" s="260"/>
      <c r="C3" s="260"/>
      <c r="D3" s="260"/>
      <c r="E3" s="260"/>
      <c r="F3" s="260"/>
      <c r="G3" s="260"/>
      <c r="H3" s="260"/>
      <c r="I3" s="260"/>
      <c r="J3" s="260"/>
      <c r="K3" s="260"/>
    </row>
    <row r="4" spans="1:33" ht="21" customHeight="1">
      <c r="A4" s="261" t="s">
        <v>165</v>
      </c>
      <c r="B4" s="261"/>
      <c r="C4" s="261"/>
      <c r="D4" s="261"/>
      <c r="E4" s="261"/>
      <c r="F4" s="261"/>
      <c r="G4" s="261"/>
      <c r="H4" s="261"/>
      <c r="I4" s="261"/>
      <c r="J4" s="261"/>
      <c r="K4" s="261"/>
    </row>
    <row r="5" spans="1:33" ht="15">
      <c r="A5" s="51" t="s">
        <v>162</v>
      </c>
    </row>
    <row r="6" spans="1:33" ht="14.45" customHeight="1">
      <c r="A6" s="257" t="s">
        <v>166</v>
      </c>
      <c r="B6" s="257"/>
      <c r="C6" s="257"/>
      <c r="D6" s="257"/>
      <c r="E6" s="257"/>
      <c r="F6" s="257"/>
      <c r="G6" s="257"/>
      <c r="H6" s="257"/>
      <c r="I6" s="257"/>
      <c r="J6" s="257"/>
      <c r="K6" s="257"/>
    </row>
    <row r="7" spans="1:33" ht="14.45" customHeight="1">
      <c r="A7" s="257"/>
      <c r="B7" s="257"/>
      <c r="C7" s="257"/>
      <c r="D7" s="257"/>
      <c r="E7" s="257"/>
      <c r="F7" s="257"/>
      <c r="G7" s="257"/>
      <c r="H7" s="257"/>
      <c r="I7" s="257"/>
      <c r="J7" s="257"/>
      <c r="K7" s="257"/>
    </row>
    <row r="8" spans="1:33" ht="14.45" customHeight="1">
      <c r="A8" s="257"/>
      <c r="B8" s="257"/>
      <c r="C8" s="257"/>
      <c r="D8" s="257"/>
      <c r="E8" s="257"/>
      <c r="F8" s="257"/>
      <c r="G8" s="257"/>
      <c r="H8" s="257"/>
      <c r="I8" s="257"/>
      <c r="J8" s="257"/>
      <c r="K8" s="257"/>
    </row>
    <row r="9" spans="1:33" ht="14.45" customHeight="1">
      <c r="A9" s="257"/>
      <c r="B9" s="257"/>
      <c r="C9" s="257"/>
      <c r="D9" s="257"/>
      <c r="E9" s="257"/>
      <c r="F9" s="257"/>
      <c r="G9" s="257"/>
      <c r="H9" s="257"/>
      <c r="I9" s="257"/>
      <c r="J9" s="257"/>
      <c r="K9" s="257"/>
      <c r="L9" s="75" t="s">
        <v>179</v>
      </c>
    </row>
    <row r="10" spans="1:33" ht="15" customHeight="1">
      <c r="A10" s="262" t="s">
        <v>167</v>
      </c>
      <c r="B10" s="262"/>
      <c r="C10" s="262"/>
      <c r="D10" s="262"/>
      <c r="E10" s="262"/>
      <c r="F10" s="262"/>
      <c r="G10" s="262"/>
      <c r="H10" s="262"/>
      <c r="I10" s="262"/>
      <c r="J10" s="262"/>
      <c r="K10" s="262"/>
      <c r="L10" s="75" t="s">
        <v>180</v>
      </c>
    </row>
    <row r="11" spans="1:33" ht="12.75" customHeight="1">
      <c r="A11" s="262"/>
      <c r="B11" s="262"/>
      <c r="C11" s="262"/>
      <c r="D11" s="262"/>
      <c r="E11" s="262"/>
      <c r="F11" s="262"/>
      <c r="G11" s="262"/>
      <c r="H11" s="262"/>
      <c r="I11" s="262"/>
      <c r="J11" s="262"/>
      <c r="K11" s="262"/>
    </row>
    <row r="12" spans="1:33" ht="12.75" customHeight="1">
      <c r="A12" s="262"/>
      <c r="B12" s="262"/>
      <c r="C12" s="262"/>
      <c r="D12" s="262"/>
      <c r="E12" s="262"/>
      <c r="F12" s="262"/>
      <c r="G12" s="262"/>
      <c r="H12" s="262"/>
      <c r="I12" s="262"/>
      <c r="J12" s="262"/>
      <c r="K12" s="262"/>
    </row>
    <row r="13" spans="1:33" ht="12.75" customHeight="1">
      <c r="A13" s="262"/>
      <c r="B13" s="262"/>
      <c r="C13" s="262"/>
      <c r="D13" s="262"/>
      <c r="E13" s="262"/>
      <c r="F13" s="262"/>
      <c r="G13" s="262"/>
      <c r="H13" s="262"/>
      <c r="I13" s="262"/>
      <c r="J13" s="262"/>
      <c r="K13" s="262"/>
    </row>
    <row r="14" spans="1:33" s="162" customFormat="1" ht="18.75" customHeight="1">
      <c r="A14" s="259" t="s">
        <v>168</v>
      </c>
      <c r="B14" s="259"/>
      <c r="C14" s="259"/>
      <c r="D14" s="259"/>
      <c r="E14" s="259"/>
      <c r="F14" s="259"/>
      <c r="G14" s="259"/>
      <c r="H14" s="259"/>
      <c r="I14" s="259"/>
      <c r="J14" s="259"/>
    </row>
    <row r="15" spans="1:33" ht="12.75" customHeight="1">
      <c r="A15" s="255" t="s">
        <v>446</v>
      </c>
      <c r="B15" s="255"/>
      <c r="C15" s="255"/>
      <c r="D15" s="255"/>
      <c r="E15" s="255"/>
      <c r="F15" s="256"/>
      <c r="G15" s="254" t="s">
        <v>447</v>
      </c>
      <c r="H15" s="255"/>
      <c r="I15" s="255"/>
      <c r="J15" s="255"/>
      <c r="K15" s="255"/>
      <c r="W15" s="255" t="s">
        <v>446</v>
      </c>
      <c r="X15" s="255"/>
      <c r="Y15" s="255"/>
      <c r="Z15" s="255"/>
      <c r="AA15" s="255"/>
      <c r="AB15" s="256"/>
      <c r="AC15" s="254" t="s">
        <v>447</v>
      </c>
      <c r="AD15" s="255"/>
      <c r="AE15" s="255"/>
      <c r="AF15" s="255"/>
      <c r="AG15" s="255"/>
    </row>
    <row r="16" spans="1:33" ht="12.75" customHeight="1">
      <c r="A16" s="255"/>
      <c r="B16" s="255"/>
      <c r="C16" s="255"/>
      <c r="D16" s="255"/>
      <c r="E16" s="255"/>
      <c r="F16" s="256"/>
      <c r="G16" s="254"/>
      <c r="H16" s="255"/>
      <c r="I16" s="255"/>
      <c r="J16" s="255"/>
      <c r="K16" s="255"/>
      <c r="W16" s="252"/>
      <c r="X16" s="252"/>
      <c r="Y16" s="253"/>
      <c r="Z16" s="252"/>
      <c r="AA16" s="252"/>
      <c r="AB16" s="253"/>
      <c r="AC16" s="254"/>
      <c r="AD16" s="255"/>
      <c r="AE16" s="255"/>
      <c r="AF16" s="255"/>
      <c r="AG16" s="255"/>
    </row>
    <row r="17" spans="1:33" ht="12.75" customHeight="1">
      <c r="A17" s="255"/>
      <c r="B17" s="255"/>
      <c r="C17" s="255"/>
      <c r="D17" s="255"/>
      <c r="E17" s="255"/>
      <c r="F17" s="256"/>
      <c r="G17" s="254"/>
      <c r="H17" s="255"/>
      <c r="I17" s="255"/>
      <c r="J17" s="255"/>
      <c r="K17" s="255"/>
      <c r="W17" s="252"/>
      <c r="X17" s="252"/>
      <c r="Y17" s="253"/>
      <c r="Z17" s="252"/>
      <c r="AA17" s="252"/>
      <c r="AB17" s="253"/>
      <c r="AC17" s="254"/>
      <c r="AD17" s="255"/>
      <c r="AE17" s="255"/>
      <c r="AF17" s="255"/>
      <c r="AG17" s="255"/>
    </row>
    <row r="18" spans="1:33" ht="12.75" customHeight="1">
      <c r="A18" s="255"/>
      <c r="B18" s="255"/>
      <c r="C18" s="255"/>
      <c r="D18" s="255"/>
      <c r="E18" s="255"/>
      <c r="F18" s="256"/>
      <c r="G18" s="254"/>
      <c r="H18" s="255"/>
      <c r="I18" s="255"/>
      <c r="J18" s="255"/>
      <c r="K18" s="255"/>
      <c r="W18" s="252"/>
      <c r="X18" s="252"/>
      <c r="Y18" s="253"/>
      <c r="Z18" s="252"/>
      <c r="AA18" s="252"/>
      <c r="AB18" s="253"/>
      <c r="AC18" s="254"/>
      <c r="AD18" s="255"/>
      <c r="AE18" s="255"/>
      <c r="AF18" s="255"/>
      <c r="AG18" s="255"/>
    </row>
    <row r="19" spans="1:33" ht="12.75" customHeight="1">
      <c r="A19" s="255"/>
      <c r="B19" s="255"/>
      <c r="C19" s="255"/>
      <c r="D19" s="255"/>
      <c r="E19" s="255"/>
      <c r="F19" s="256"/>
      <c r="G19" s="254"/>
      <c r="H19" s="255"/>
      <c r="I19" s="255"/>
      <c r="J19" s="255"/>
      <c r="K19" s="255"/>
      <c r="W19" s="252"/>
      <c r="X19" s="252"/>
      <c r="Y19" s="253"/>
      <c r="Z19" s="252"/>
      <c r="AA19" s="252"/>
      <c r="AB19" s="253"/>
      <c r="AC19" s="254"/>
      <c r="AD19" s="255"/>
      <c r="AE19" s="255"/>
      <c r="AF19" s="255"/>
      <c r="AG19" s="255"/>
    </row>
    <row r="20" spans="1:33" ht="12.75" customHeight="1">
      <c r="A20" s="255"/>
      <c r="B20" s="255"/>
      <c r="C20" s="255"/>
      <c r="D20" s="255"/>
      <c r="E20" s="255"/>
      <c r="F20" s="256"/>
      <c r="G20" s="254"/>
      <c r="H20" s="255"/>
      <c r="I20" s="255"/>
      <c r="J20" s="255"/>
      <c r="K20" s="255"/>
      <c r="W20" s="252"/>
      <c r="X20" s="252"/>
      <c r="Y20" s="253"/>
      <c r="Z20" s="252"/>
      <c r="AA20" s="252"/>
      <c r="AB20" s="253"/>
      <c r="AC20" s="254"/>
      <c r="AD20" s="255"/>
      <c r="AE20" s="255"/>
      <c r="AF20" s="255"/>
      <c r="AG20" s="255"/>
    </row>
    <row r="21" spans="1:33" ht="12.75" customHeight="1">
      <c r="A21" s="255"/>
      <c r="B21" s="255"/>
      <c r="C21" s="255"/>
      <c r="D21" s="255"/>
      <c r="E21" s="255"/>
      <c r="F21" s="256"/>
      <c r="G21" s="254"/>
      <c r="H21" s="255"/>
      <c r="I21" s="255"/>
      <c r="J21" s="255"/>
      <c r="K21" s="255"/>
      <c r="W21" s="252"/>
      <c r="X21" s="252"/>
      <c r="Y21" s="253"/>
      <c r="Z21" s="252"/>
      <c r="AA21" s="252"/>
      <c r="AB21" s="253"/>
      <c r="AC21" s="254"/>
      <c r="AD21" s="255"/>
      <c r="AE21" s="255"/>
      <c r="AF21" s="255"/>
      <c r="AG21" s="255"/>
    </row>
    <row r="22" spans="1:33" ht="12.75" customHeight="1">
      <c r="A22" s="255"/>
      <c r="B22" s="255"/>
      <c r="C22" s="255"/>
      <c r="D22" s="255"/>
      <c r="E22" s="255"/>
      <c r="F22" s="256"/>
      <c r="G22" s="254"/>
      <c r="H22" s="255"/>
      <c r="I22" s="255"/>
      <c r="J22" s="255"/>
      <c r="K22" s="255"/>
      <c r="W22" s="252"/>
      <c r="X22" s="252"/>
      <c r="Y22" s="253"/>
      <c r="Z22" s="252"/>
      <c r="AA22" s="252"/>
      <c r="AB22" s="253"/>
      <c r="AC22" s="254"/>
      <c r="AD22" s="255"/>
      <c r="AE22" s="255"/>
      <c r="AF22" s="255"/>
      <c r="AG22" s="255"/>
    </row>
    <row r="23" spans="1:33" ht="12.75" customHeight="1">
      <c r="A23" s="255"/>
      <c r="B23" s="255"/>
      <c r="C23" s="255"/>
      <c r="D23" s="255"/>
      <c r="E23" s="255"/>
      <c r="F23" s="256"/>
      <c r="G23" s="254"/>
      <c r="H23" s="255"/>
      <c r="I23" s="255"/>
      <c r="J23" s="255"/>
      <c r="K23" s="255"/>
      <c r="W23" s="252"/>
      <c r="X23" s="252"/>
      <c r="Y23" s="253"/>
      <c r="Z23" s="252"/>
      <c r="AA23" s="252"/>
      <c r="AB23" s="253"/>
      <c r="AC23" s="254"/>
      <c r="AD23" s="255"/>
      <c r="AE23" s="255"/>
      <c r="AF23" s="255"/>
      <c r="AG23" s="255"/>
    </row>
    <row r="24" spans="1:33" ht="12.75" customHeight="1">
      <c r="A24" s="255"/>
      <c r="B24" s="255"/>
      <c r="C24" s="255"/>
      <c r="D24" s="255"/>
      <c r="E24" s="255"/>
      <c r="F24" s="256"/>
      <c r="G24" s="254"/>
      <c r="H24" s="255"/>
      <c r="I24" s="255"/>
      <c r="J24" s="255"/>
      <c r="K24" s="255"/>
      <c r="W24" s="252"/>
      <c r="X24" s="252"/>
      <c r="Y24" s="253"/>
      <c r="Z24" s="252"/>
      <c r="AA24" s="252"/>
      <c r="AB24" s="253"/>
      <c r="AC24" s="254"/>
      <c r="AD24" s="255"/>
      <c r="AE24" s="255"/>
      <c r="AF24" s="255"/>
      <c r="AG24" s="255"/>
    </row>
    <row r="25" spans="1:33" ht="12.75" customHeight="1">
      <c r="A25" s="255"/>
      <c r="B25" s="255"/>
      <c r="C25" s="255"/>
      <c r="D25" s="255"/>
      <c r="E25" s="255"/>
      <c r="F25" s="256"/>
      <c r="G25" s="254"/>
      <c r="H25" s="255"/>
      <c r="I25" s="255"/>
      <c r="J25" s="255"/>
      <c r="K25" s="255"/>
      <c r="W25" s="252"/>
      <c r="X25" s="252"/>
      <c r="Y25" s="253"/>
      <c r="Z25" s="252"/>
      <c r="AA25" s="252"/>
      <c r="AB25" s="253"/>
      <c r="AC25" s="254"/>
      <c r="AD25" s="255"/>
      <c r="AE25" s="255"/>
      <c r="AF25" s="255"/>
      <c r="AG25" s="255"/>
    </row>
    <row r="26" spans="1:33" ht="12.75" customHeight="1">
      <c r="A26" s="255"/>
      <c r="B26" s="255"/>
      <c r="C26" s="255"/>
      <c r="D26" s="255"/>
      <c r="E26" s="255"/>
      <c r="F26" s="256"/>
      <c r="G26" s="254"/>
      <c r="H26" s="255"/>
      <c r="I26" s="255"/>
      <c r="J26" s="255"/>
      <c r="K26" s="255"/>
      <c r="W26" s="252"/>
      <c r="X26" s="252"/>
      <c r="Y26" s="253"/>
      <c r="Z26" s="252"/>
      <c r="AA26" s="252"/>
      <c r="AB26" s="253"/>
      <c r="AC26" s="254"/>
      <c r="AD26" s="255"/>
      <c r="AE26" s="255"/>
      <c r="AF26" s="255"/>
      <c r="AG26" s="255"/>
    </row>
    <row r="27" spans="1:33" ht="12.75" customHeight="1">
      <c r="A27" s="255"/>
      <c r="B27" s="255"/>
      <c r="C27" s="255"/>
      <c r="D27" s="255"/>
      <c r="E27" s="255"/>
      <c r="F27" s="256"/>
      <c r="G27" s="254"/>
      <c r="H27" s="255"/>
      <c r="I27" s="255"/>
      <c r="J27" s="255"/>
      <c r="K27" s="255"/>
      <c r="W27" s="252"/>
      <c r="X27" s="252"/>
      <c r="Y27" s="253"/>
      <c r="Z27" s="252"/>
      <c r="AA27" s="252"/>
      <c r="AB27" s="253"/>
      <c r="AC27" s="254"/>
      <c r="AD27" s="255"/>
      <c r="AE27" s="255"/>
      <c r="AF27" s="255"/>
      <c r="AG27" s="255"/>
    </row>
    <row r="28" spans="1:33" ht="12.75" customHeight="1">
      <c r="A28" s="255"/>
      <c r="B28" s="255"/>
      <c r="C28" s="255"/>
      <c r="D28" s="255"/>
      <c r="E28" s="255"/>
      <c r="F28" s="256"/>
      <c r="G28" s="254"/>
      <c r="H28" s="255"/>
      <c r="I28" s="255"/>
      <c r="J28" s="255"/>
      <c r="K28" s="255"/>
      <c r="W28" s="252"/>
      <c r="X28" s="252"/>
      <c r="Y28" s="253"/>
      <c r="Z28" s="252"/>
      <c r="AA28" s="252"/>
      <c r="AB28" s="253"/>
      <c r="AC28" s="254"/>
      <c r="AD28" s="255"/>
      <c r="AE28" s="255"/>
      <c r="AF28" s="255"/>
      <c r="AG28" s="255"/>
    </row>
    <row r="29" spans="1:33" ht="12.75" customHeight="1">
      <c r="A29" s="255"/>
      <c r="B29" s="255"/>
      <c r="C29" s="255"/>
      <c r="D29" s="255"/>
      <c r="E29" s="255"/>
      <c r="F29" s="256"/>
      <c r="G29" s="254"/>
      <c r="H29" s="255"/>
      <c r="I29" s="255"/>
      <c r="J29" s="255"/>
      <c r="K29" s="255"/>
      <c r="W29" s="252"/>
      <c r="X29" s="252"/>
      <c r="Y29" s="253"/>
      <c r="Z29" s="252"/>
      <c r="AA29" s="252"/>
      <c r="AB29" s="253"/>
      <c r="AC29" s="254"/>
      <c r="AD29" s="255"/>
      <c r="AE29" s="255"/>
      <c r="AF29" s="255"/>
      <c r="AG29" s="255"/>
    </row>
    <row r="30" spans="1:33" ht="12.75" customHeight="1">
      <c r="A30" s="255"/>
      <c r="B30" s="255"/>
      <c r="C30" s="255"/>
      <c r="D30" s="255"/>
      <c r="E30" s="255"/>
      <c r="F30" s="256"/>
      <c r="G30" s="254"/>
      <c r="H30" s="255"/>
      <c r="I30" s="255"/>
      <c r="J30" s="255"/>
      <c r="K30" s="255"/>
      <c r="W30" s="252"/>
      <c r="X30" s="252"/>
      <c r="Y30" s="253"/>
      <c r="Z30" s="252"/>
      <c r="AA30" s="252"/>
      <c r="AB30" s="253"/>
      <c r="AC30" s="254"/>
      <c r="AD30" s="255"/>
      <c r="AE30" s="255"/>
      <c r="AF30" s="255"/>
      <c r="AG30" s="255"/>
    </row>
    <row r="31" spans="1:33" ht="12.75" customHeight="1">
      <c r="A31" s="255"/>
      <c r="B31" s="255"/>
      <c r="C31" s="255"/>
      <c r="D31" s="255"/>
      <c r="E31" s="255"/>
      <c r="F31" s="256"/>
      <c r="G31" s="254"/>
      <c r="H31" s="255"/>
      <c r="I31" s="255"/>
      <c r="J31" s="255"/>
      <c r="K31" s="255"/>
      <c r="W31" s="252"/>
      <c r="X31" s="252"/>
      <c r="Y31" s="253"/>
      <c r="Z31" s="252"/>
      <c r="AA31" s="252"/>
      <c r="AB31" s="253"/>
      <c r="AC31" s="254"/>
      <c r="AD31" s="255"/>
      <c r="AE31" s="255"/>
      <c r="AF31" s="255"/>
      <c r="AG31" s="255"/>
    </row>
    <row r="32" spans="1:33" ht="12.75" customHeight="1">
      <c r="A32" s="255"/>
      <c r="B32" s="255"/>
      <c r="C32" s="255"/>
      <c r="D32" s="255"/>
      <c r="E32" s="255"/>
      <c r="F32" s="256"/>
      <c r="G32" s="254"/>
      <c r="H32" s="255"/>
      <c r="I32" s="255"/>
      <c r="J32" s="255"/>
      <c r="K32" s="255"/>
      <c r="W32" s="252"/>
      <c r="X32" s="252"/>
      <c r="Y32" s="253"/>
      <c r="Z32" s="252"/>
      <c r="AA32" s="252"/>
      <c r="AB32" s="253"/>
      <c r="AC32" s="254"/>
      <c r="AD32" s="255"/>
      <c r="AE32" s="255"/>
      <c r="AF32" s="255"/>
      <c r="AG32" s="255"/>
    </row>
    <row r="33" spans="1:33" ht="12.75" customHeight="1">
      <c r="A33" s="255"/>
      <c r="B33" s="255"/>
      <c r="C33" s="255"/>
      <c r="D33" s="255"/>
      <c r="E33" s="255"/>
      <c r="F33" s="256"/>
      <c r="G33" s="254"/>
      <c r="H33" s="255"/>
      <c r="I33" s="255"/>
      <c r="J33" s="255"/>
      <c r="K33" s="255"/>
      <c r="W33" s="252"/>
      <c r="X33" s="252"/>
      <c r="Y33" s="253"/>
      <c r="Z33" s="252"/>
      <c r="AA33" s="252"/>
      <c r="AB33" s="253"/>
      <c r="AC33" s="254"/>
      <c r="AD33" s="255"/>
      <c r="AE33" s="255"/>
      <c r="AF33" s="255"/>
      <c r="AG33" s="255"/>
    </row>
    <row r="34" spans="1:33" ht="12.75" customHeight="1">
      <c r="A34" s="255"/>
      <c r="B34" s="255"/>
      <c r="C34" s="255"/>
      <c r="D34" s="255"/>
      <c r="E34" s="255"/>
      <c r="F34" s="256"/>
      <c r="G34" s="254"/>
      <c r="H34" s="255"/>
      <c r="I34" s="255"/>
      <c r="J34" s="255"/>
      <c r="K34" s="255"/>
      <c r="W34" s="252"/>
      <c r="X34" s="252"/>
      <c r="Y34" s="253"/>
      <c r="Z34" s="252"/>
      <c r="AA34" s="252"/>
      <c r="AB34" s="253"/>
      <c r="AC34" s="254"/>
      <c r="AD34" s="255"/>
      <c r="AE34" s="255"/>
      <c r="AF34" s="255"/>
      <c r="AG34" s="255"/>
    </row>
    <row r="35" spans="1:33" ht="12.75" customHeight="1">
      <c r="A35" s="255"/>
      <c r="B35" s="255"/>
      <c r="C35" s="255"/>
      <c r="D35" s="255"/>
      <c r="E35" s="255"/>
      <c r="F35" s="256"/>
      <c r="G35" s="254"/>
      <c r="H35" s="255"/>
      <c r="I35" s="255"/>
      <c r="J35" s="255"/>
      <c r="K35" s="255"/>
      <c r="W35" s="252"/>
      <c r="X35" s="252"/>
      <c r="Y35" s="253"/>
      <c r="Z35" s="252"/>
      <c r="AA35" s="252"/>
      <c r="AB35" s="253"/>
      <c r="AC35" s="254"/>
      <c r="AD35" s="255"/>
      <c r="AE35" s="255"/>
      <c r="AF35" s="255"/>
      <c r="AG35" s="255"/>
    </row>
    <row r="36" spans="1:33" ht="12.75" customHeight="1">
      <c r="A36" s="255"/>
      <c r="B36" s="255"/>
      <c r="C36" s="255"/>
      <c r="D36" s="255"/>
      <c r="E36" s="255"/>
      <c r="F36" s="256"/>
      <c r="G36" s="254"/>
      <c r="H36" s="255"/>
      <c r="I36" s="255"/>
      <c r="J36" s="255"/>
      <c r="K36" s="255"/>
      <c r="W36" s="252"/>
      <c r="X36" s="252"/>
      <c r="Y36" s="253"/>
      <c r="Z36" s="252"/>
      <c r="AA36" s="252"/>
      <c r="AB36" s="253"/>
      <c r="AC36" s="254"/>
      <c r="AD36" s="255"/>
      <c r="AE36" s="255"/>
      <c r="AF36" s="255"/>
      <c r="AG36" s="255"/>
    </row>
    <row r="37" spans="1:33" ht="12.75" customHeight="1">
      <c r="A37" s="255"/>
      <c r="B37" s="255"/>
      <c r="C37" s="255"/>
      <c r="D37" s="255"/>
      <c r="E37" s="255"/>
      <c r="F37" s="256"/>
      <c r="G37" s="254"/>
      <c r="H37" s="255"/>
      <c r="I37" s="255"/>
      <c r="J37" s="255"/>
      <c r="K37" s="255"/>
      <c r="W37" s="252"/>
      <c r="X37" s="252"/>
      <c r="Y37" s="253"/>
      <c r="Z37" s="252"/>
      <c r="AA37" s="252"/>
      <c r="AB37" s="253"/>
      <c r="AC37" s="254"/>
      <c r="AD37" s="255"/>
      <c r="AE37" s="255"/>
      <c r="AF37" s="255"/>
      <c r="AG37" s="255"/>
    </row>
    <row r="38" spans="1:33" ht="12.75" customHeight="1">
      <c r="A38" s="255"/>
      <c r="B38" s="255"/>
      <c r="C38" s="255"/>
      <c r="D38" s="255"/>
      <c r="E38" s="255"/>
      <c r="F38" s="256"/>
      <c r="G38" s="254"/>
      <c r="H38" s="255"/>
      <c r="I38" s="255"/>
      <c r="J38" s="255"/>
      <c r="K38" s="255"/>
      <c r="W38" s="252"/>
      <c r="X38" s="252"/>
      <c r="Y38" s="253"/>
      <c r="Z38" s="252"/>
      <c r="AA38" s="252"/>
      <c r="AB38" s="253"/>
      <c r="AC38" s="254"/>
      <c r="AD38" s="255"/>
      <c r="AE38" s="255"/>
      <c r="AF38" s="255"/>
      <c r="AG38" s="255"/>
    </row>
    <row r="39" spans="1:33" ht="12.75" customHeight="1">
      <c r="A39" s="255"/>
      <c r="B39" s="255"/>
      <c r="C39" s="255"/>
      <c r="D39" s="255"/>
      <c r="E39" s="255"/>
      <c r="F39" s="256"/>
      <c r="G39" s="254"/>
      <c r="H39" s="255"/>
      <c r="I39" s="255"/>
      <c r="J39" s="255"/>
      <c r="K39" s="255"/>
      <c r="W39" s="252"/>
      <c r="X39" s="252"/>
      <c r="Y39" s="253"/>
      <c r="Z39" s="252"/>
      <c r="AA39" s="252"/>
      <c r="AB39" s="253"/>
      <c r="AC39" s="254"/>
      <c r="AD39" s="255"/>
      <c r="AE39" s="255"/>
      <c r="AF39" s="255"/>
      <c r="AG39" s="255"/>
    </row>
    <row r="40" spans="1:33" ht="12.75" customHeight="1">
      <c r="A40" s="255"/>
      <c r="B40" s="255"/>
      <c r="C40" s="255"/>
      <c r="D40" s="255"/>
      <c r="E40" s="255"/>
      <c r="F40" s="256"/>
      <c r="G40" s="254"/>
      <c r="H40" s="255"/>
      <c r="I40" s="255"/>
      <c r="J40" s="255"/>
      <c r="K40" s="255"/>
      <c r="W40" s="252"/>
      <c r="X40" s="252"/>
      <c r="Y40" s="253"/>
      <c r="Z40" s="252"/>
      <c r="AA40" s="252"/>
      <c r="AB40" s="253"/>
      <c r="AC40" s="254"/>
      <c r="AD40" s="255"/>
      <c r="AE40" s="255"/>
      <c r="AF40" s="255"/>
      <c r="AG40" s="255"/>
    </row>
    <row r="41" spans="1:33" ht="12.75" customHeight="1">
      <c r="A41" s="255"/>
      <c r="B41" s="255"/>
      <c r="C41" s="255"/>
      <c r="D41" s="255"/>
      <c r="E41" s="255"/>
      <c r="F41" s="256"/>
      <c r="G41" s="254"/>
      <c r="H41" s="255"/>
      <c r="I41" s="255"/>
      <c r="J41" s="255"/>
      <c r="K41" s="255"/>
      <c r="W41" s="252"/>
      <c r="X41" s="252"/>
      <c r="Y41" s="253"/>
      <c r="Z41" s="252"/>
      <c r="AA41" s="252"/>
      <c r="AB41" s="253"/>
      <c r="AC41" s="254"/>
      <c r="AD41" s="255"/>
      <c r="AE41" s="255"/>
      <c r="AF41" s="255"/>
      <c r="AG41" s="255"/>
    </row>
    <row r="42" spans="1:33" ht="12.75" customHeight="1">
      <c r="A42" s="255"/>
      <c r="B42" s="255"/>
      <c r="C42" s="255"/>
      <c r="D42" s="255"/>
      <c r="E42" s="255"/>
      <c r="F42" s="256"/>
      <c r="G42" s="254"/>
      <c r="H42" s="255"/>
      <c r="I42" s="255"/>
      <c r="J42" s="255"/>
      <c r="K42" s="255"/>
      <c r="W42" s="252"/>
      <c r="X42" s="252"/>
      <c r="Y42" s="253"/>
      <c r="Z42" s="252"/>
      <c r="AA42" s="252"/>
      <c r="AB42" s="253"/>
      <c r="AC42" s="254"/>
      <c r="AD42" s="255"/>
      <c r="AE42" s="255"/>
      <c r="AF42" s="255"/>
      <c r="AG42" s="255"/>
    </row>
    <row r="43" spans="1:33" ht="12.75" customHeight="1">
      <c r="A43" s="255"/>
      <c r="B43" s="255"/>
      <c r="C43" s="255"/>
      <c r="D43" s="255"/>
      <c r="E43" s="255"/>
      <c r="F43" s="256"/>
      <c r="G43" s="254"/>
      <c r="H43" s="255"/>
      <c r="I43" s="255"/>
      <c r="J43" s="255"/>
      <c r="K43" s="255"/>
      <c r="W43" s="252"/>
      <c r="X43" s="252"/>
      <c r="Y43" s="253"/>
      <c r="Z43" s="252"/>
      <c r="AA43" s="252"/>
      <c r="AB43" s="253"/>
      <c r="AC43" s="254"/>
      <c r="AD43" s="255"/>
      <c r="AE43" s="255"/>
      <c r="AF43" s="255"/>
      <c r="AG43" s="255"/>
    </row>
    <row r="44" spans="1:33" ht="12.75" customHeight="1">
      <c r="A44" s="255"/>
      <c r="B44" s="255"/>
      <c r="C44" s="255"/>
      <c r="D44" s="255"/>
      <c r="E44" s="255"/>
      <c r="F44" s="256"/>
      <c r="G44" s="254"/>
      <c r="H44" s="255"/>
      <c r="I44" s="255"/>
      <c r="J44" s="255"/>
      <c r="K44" s="255"/>
      <c r="W44" s="252"/>
      <c r="X44" s="252"/>
      <c r="Y44" s="253"/>
      <c r="Z44" s="252"/>
      <c r="AA44" s="252"/>
      <c r="AB44" s="253"/>
      <c r="AC44" s="254"/>
      <c r="AD44" s="255"/>
      <c r="AE44" s="255"/>
      <c r="AF44" s="255"/>
      <c r="AG44" s="255"/>
    </row>
    <row r="45" spans="1:33" ht="12.75" customHeight="1">
      <c r="A45" s="255"/>
      <c r="B45" s="255"/>
      <c r="C45" s="255"/>
      <c r="D45" s="255"/>
      <c r="E45" s="255"/>
      <c r="F45" s="256"/>
      <c r="G45" s="254"/>
      <c r="H45" s="255"/>
      <c r="I45" s="255"/>
      <c r="J45" s="255"/>
      <c r="K45" s="255"/>
      <c r="W45" s="252"/>
      <c r="X45" s="252"/>
      <c r="Y45" s="253"/>
      <c r="Z45" s="252"/>
      <c r="AA45" s="252"/>
      <c r="AB45" s="253"/>
      <c r="AC45" s="254"/>
      <c r="AD45" s="255"/>
      <c r="AE45" s="255"/>
      <c r="AF45" s="255"/>
      <c r="AG45" s="255"/>
    </row>
    <row r="46" spans="1:33" ht="12.75" customHeight="1">
      <c r="A46" s="255"/>
      <c r="B46" s="255"/>
      <c r="C46" s="255"/>
      <c r="D46" s="255"/>
      <c r="E46" s="255"/>
      <c r="F46" s="256"/>
      <c r="G46" s="254"/>
      <c r="H46" s="255"/>
      <c r="I46" s="255"/>
      <c r="J46" s="255"/>
      <c r="K46" s="255"/>
      <c r="W46" s="252"/>
      <c r="X46" s="252"/>
      <c r="Y46" s="253"/>
      <c r="Z46" s="252"/>
      <c r="AA46" s="252"/>
      <c r="AB46" s="253"/>
      <c r="AC46" s="254"/>
      <c r="AD46" s="255"/>
      <c r="AE46" s="255"/>
      <c r="AF46" s="255"/>
      <c r="AG46" s="255"/>
    </row>
    <row r="47" spans="1:33" ht="12.75" customHeight="1">
      <c r="A47" s="255"/>
      <c r="B47" s="255"/>
      <c r="C47" s="255"/>
      <c r="D47" s="255"/>
      <c r="E47" s="255"/>
      <c r="F47" s="256"/>
      <c r="G47" s="254"/>
      <c r="H47" s="255"/>
      <c r="I47" s="255"/>
      <c r="J47" s="255"/>
      <c r="K47" s="255"/>
      <c r="W47" s="252"/>
      <c r="X47" s="252"/>
      <c r="Y47" s="253"/>
      <c r="Z47" s="252"/>
      <c r="AA47" s="252"/>
      <c r="AB47" s="253"/>
      <c r="AC47" s="254"/>
      <c r="AD47" s="255"/>
      <c r="AE47" s="255"/>
      <c r="AF47" s="255"/>
      <c r="AG47" s="255"/>
    </row>
    <row r="48" spans="1:33" ht="12.75" customHeight="1">
      <c r="A48" s="255"/>
      <c r="B48" s="255"/>
      <c r="C48" s="255"/>
      <c r="D48" s="255"/>
      <c r="E48" s="255"/>
      <c r="F48" s="256"/>
      <c r="G48" s="254"/>
      <c r="H48" s="255"/>
      <c r="I48" s="255"/>
      <c r="J48" s="255"/>
      <c r="K48" s="255"/>
      <c r="W48" s="252"/>
      <c r="X48" s="252"/>
      <c r="Y48" s="253"/>
      <c r="Z48" s="252"/>
      <c r="AA48" s="252"/>
      <c r="AB48" s="253"/>
      <c r="AC48" s="254"/>
      <c r="AD48" s="255"/>
      <c r="AE48" s="255"/>
      <c r="AF48" s="255"/>
      <c r="AG48" s="255"/>
    </row>
    <row r="49" spans="1:33" ht="12.75" customHeight="1">
      <c r="A49" s="255"/>
      <c r="B49" s="255"/>
      <c r="C49" s="255"/>
      <c r="D49" s="255"/>
      <c r="E49" s="255"/>
      <c r="F49" s="256"/>
      <c r="G49" s="254"/>
      <c r="H49" s="255"/>
      <c r="I49" s="255"/>
      <c r="J49" s="255"/>
      <c r="K49" s="255"/>
      <c r="W49" s="252"/>
      <c r="X49" s="252"/>
      <c r="Y49" s="253"/>
      <c r="Z49" s="252"/>
      <c r="AA49" s="252"/>
      <c r="AB49" s="253"/>
      <c r="AC49" s="254"/>
      <c r="AD49" s="255"/>
      <c r="AE49" s="255"/>
      <c r="AF49" s="255"/>
      <c r="AG49" s="255"/>
    </row>
    <row r="50" spans="1:33" ht="12.75" customHeight="1">
      <c r="A50" s="255"/>
      <c r="B50" s="255"/>
      <c r="C50" s="255"/>
      <c r="D50" s="255"/>
      <c r="E50" s="255"/>
      <c r="F50" s="256"/>
      <c r="G50" s="254"/>
      <c r="H50" s="255"/>
      <c r="I50" s="255"/>
      <c r="J50" s="255"/>
      <c r="K50" s="255"/>
      <c r="W50" s="252"/>
      <c r="X50" s="252"/>
      <c r="Y50" s="253"/>
      <c r="Z50" s="252"/>
      <c r="AA50" s="252"/>
      <c r="AB50" s="253"/>
      <c r="AC50" s="254"/>
      <c r="AD50" s="255"/>
      <c r="AE50" s="255"/>
      <c r="AF50" s="255"/>
      <c r="AG50" s="255"/>
    </row>
    <row r="51" spans="1:33" ht="12.75" customHeight="1">
      <c r="A51" s="255"/>
      <c r="B51" s="255"/>
      <c r="C51" s="255"/>
      <c r="D51" s="255"/>
      <c r="E51" s="255"/>
      <c r="F51" s="256"/>
      <c r="G51" s="254"/>
      <c r="H51" s="255"/>
      <c r="I51" s="255"/>
      <c r="J51" s="255"/>
      <c r="K51" s="255"/>
      <c r="W51" s="252"/>
      <c r="X51" s="252"/>
      <c r="Y51" s="253"/>
      <c r="Z51" s="252"/>
      <c r="AA51" s="252"/>
      <c r="AB51" s="253"/>
      <c r="AC51" s="254"/>
      <c r="AD51" s="255"/>
      <c r="AE51" s="255"/>
      <c r="AF51" s="255"/>
      <c r="AG51" s="255"/>
    </row>
    <row r="52" spans="1:33" ht="12.75" customHeight="1">
      <c r="A52" s="255"/>
      <c r="B52" s="255"/>
      <c r="C52" s="255"/>
      <c r="D52" s="255"/>
      <c r="E52" s="255"/>
      <c r="F52" s="256"/>
      <c r="G52" s="254"/>
      <c r="H52" s="255"/>
      <c r="I52" s="255"/>
      <c r="J52" s="255"/>
      <c r="K52" s="255"/>
      <c r="W52" s="252"/>
      <c r="X52" s="252"/>
      <c r="Y52" s="253"/>
      <c r="Z52" s="252"/>
      <c r="AA52" s="252"/>
      <c r="AB52" s="253"/>
      <c r="AC52" s="254"/>
      <c r="AD52" s="255"/>
      <c r="AE52" s="255"/>
      <c r="AF52" s="255"/>
      <c r="AG52" s="255"/>
    </row>
    <row r="53" spans="1:33" ht="12.75" customHeight="1">
      <c r="A53" s="255"/>
      <c r="B53" s="255"/>
      <c r="C53" s="255"/>
      <c r="D53" s="255"/>
      <c r="E53" s="255"/>
      <c r="F53" s="256"/>
      <c r="G53" s="254"/>
      <c r="H53" s="255"/>
      <c r="I53" s="255"/>
      <c r="J53" s="255"/>
      <c r="K53" s="255"/>
      <c r="W53" s="252"/>
      <c r="X53" s="252"/>
      <c r="Y53" s="253"/>
      <c r="Z53" s="252"/>
      <c r="AA53" s="252"/>
      <c r="AB53" s="253"/>
      <c r="AC53" s="254"/>
      <c r="AD53" s="255"/>
      <c r="AE53" s="255"/>
      <c r="AF53" s="255"/>
      <c r="AG53" s="255"/>
    </row>
    <row r="54" spans="1:33" ht="15">
      <c r="A54" s="255"/>
      <c r="B54" s="255"/>
      <c r="C54" s="255"/>
      <c r="D54" s="255"/>
      <c r="E54" s="255"/>
      <c r="F54" s="256"/>
      <c r="G54" s="254"/>
      <c r="H54" s="255"/>
      <c r="I54" s="255"/>
      <c r="J54" s="255"/>
      <c r="K54" s="255"/>
      <c r="W54" s="252"/>
      <c r="X54" s="252"/>
      <c r="Y54" s="253"/>
      <c r="Z54" s="252"/>
      <c r="AA54" s="252"/>
      <c r="AB54" s="253"/>
      <c r="AC54" s="254"/>
      <c r="AD54" s="255"/>
      <c r="AE54" s="255"/>
      <c r="AF54" s="255"/>
      <c r="AG54" s="255"/>
    </row>
  </sheetData>
  <mergeCells count="205">
    <mergeCell ref="A48:F48"/>
    <mergeCell ref="G48:K48"/>
    <mergeCell ref="A49:F49"/>
    <mergeCell ref="G49:K49"/>
    <mergeCell ref="A45:F45"/>
    <mergeCell ref="G45:K45"/>
    <mergeCell ref="A46:F46"/>
    <mergeCell ref="G46:K46"/>
    <mergeCell ref="A47:F47"/>
    <mergeCell ref="G47:K47"/>
    <mergeCell ref="G33:K33"/>
    <mergeCell ref="A34:F34"/>
    <mergeCell ref="G34:K34"/>
    <mergeCell ref="A44:F44"/>
    <mergeCell ref="G44:K44"/>
    <mergeCell ref="A43:F43"/>
    <mergeCell ref="G43:K43"/>
    <mergeCell ref="A35:F35"/>
    <mergeCell ref="G35:K35"/>
    <mergeCell ref="A36:F36"/>
    <mergeCell ref="G36:K36"/>
    <mergeCell ref="A37:F37"/>
    <mergeCell ref="G37:K37"/>
    <mergeCell ref="A38:F38"/>
    <mergeCell ref="G38:K38"/>
    <mergeCell ref="A39:F39"/>
    <mergeCell ref="G39:K39"/>
    <mergeCell ref="G51:K51"/>
    <mergeCell ref="A52:F52"/>
    <mergeCell ref="G52:K52"/>
    <mergeCell ref="A23:F23"/>
    <mergeCell ref="G23:K23"/>
    <mergeCell ref="A24:F24"/>
    <mergeCell ref="G24:K24"/>
    <mergeCell ref="A25:F25"/>
    <mergeCell ref="G25:K25"/>
    <mergeCell ref="A26:F26"/>
    <mergeCell ref="G26:K26"/>
    <mergeCell ref="A27:F27"/>
    <mergeCell ref="G27:K27"/>
    <mergeCell ref="A28:F28"/>
    <mergeCell ref="G28:K28"/>
    <mergeCell ref="A29:F29"/>
    <mergeCell ref="G29:K29"/>
    <mergeCell ref="A30:F30"/>
    <mergeCell ref="G30:K30"/>
    <mergeCell ref="A31:F31"/>
    <mergeCell ref="G31:K31"/>
    <mergeCell ref="A32:F32"/>
    <mergeCell ref="G32:K32"/>
    <mergeCell ref="A33:F33"/>
    <mergeCell ref="F1:J2"/>
    <mergeCell ref="A14:J14"/>
    <mergeCell ref="A3:K3"/>
    <mergeCell ref="A4:K4"/>
    <mergeCell ref="A10:K13"/>
    <mergeCell ref="A53:F53"/>
    <mergeCell ref="G53:K53"/>
    <mergeCell ref="A54:F54"/>
    <mergeCell ref="G54:K54"/>
    <mergeCell ref="A16:F16"/>
    <mergeCell ref="G16:K16"/>
    <mergeCell ref="A17:F17"/>
    <mergeCell ref="G17:K17"/>
    <mergeCell ref="A18:F18"/>
    <mergeCell ref="G18:K18"/>
    <mergeCell ref="A40:F40"/>
    <mergeCell ref="G40:K40"/>
    <mergeCell ref="A41:F41"/>
    <mergeCell ref="G41:K41"/>
    <mergeCell ref="A42:F42"/>
    <mergeCell ref="G42:K42"/>
    <mergeCell ref="A50:F50"/>
    <mergeCell ref="G50:K50"/>
    <mergeCell ref="A51:F51"/>
    <mergeCell ref="A22:F22"/>
    <mergeCell ref="G22:K22"/>
    <mergeCell ref="A19:F19"/>
    <mergeCell ref="G19:K19"/>
    <mergeCell ref="A20:F20"/>
    <mergeCell ref="G20:K20"/>
    <mergeCell ref="A21:F21"/>
    <mergeCell ref="G21:K21"/>
    <mergeCell ref="A6:K9"/>
    <mergeCell ref="A15:F15"/>
    <mergeCell ref="G15:K15"/>
    <mergeCell ref="W17:Y17"/>
    <mergeCell ref="Z17:AB17"/>
    <mergeCell ref="AC17:AG17"/>
    <mergeCell ref="W18:Y18"/>
    <mergeCell ref="Z18:AB18"/>
    <mergeCell ref="AC18:AG18"/>
    <mergeCell ref="W15:AB15"/>
    <mergeCell ref="AC15:AG15"/>
    <mergeCell ref="W16:Y16"/>
    <mergeCell ref="Z16:AB16"/>
    <mergeCell ref="AC16:AG16"/>
    <mergeCell ref="W21:Y21"/>
    <mergeCell ref="Z21:AB21"/>
    <mergeCell ref="AC21:AG21"/>
    <mergeCell ref="W22:Y22"/>
    <mergeCell ref="Z22:AB22"/>
    <mergeCell ref="AC22:AG22"/>
    <mergeCell ref="W19:Y19"/>
    <mergeCell ref="Z19:AB19"/>
    <mergeCell ref="AC19:AG19"/>
    <mergeCell ref="W20:Y20"/>
    <mergeCell ref="Z20:AB20"/>
    <mergeCell ref="AC20:AG20"/>
    <mergeCell ref="W25:Y25"/>
    <mergeCell ref="Z25:AB25"/>
    <mergeCell ref="AC25:AG25"/>
    <mergeCell ref="W26:Y26"/>
    <mergeCell ref="Z26:AB26"/>
    <mergeCell ref="AC26:AG26"/>
    <mergeCell ref="W23:Y23"/>
    <mergeCell ref="Z23:AB23"/>
    <mergeCell ref="AC23:AG23"/>
    <mergeCell ref="W24:Y24"/>
    <mergeCell ref="Z24:AB24"/>
    <mergeCell ref="AC24:AG24"/>
    <mergeCell ref="W29:Y29"/>
    <mergeCell ref="Z29:AB29"/>
    <mergeCell ref="AC29:AG29"/>
    <mergeCell ref="W30:Y30"/>
    <mergeCell ref="Z30:AB30"/>
    <mergeCell ref="AC30:AG30"/>
    <mergeCell ref="W27:Y27"/>
    <mergeCell ref="Z27:AB27"/>
    <mergeCell ref="AC27:AG27"/>
    <mergeCell ref="W28:Y28"/>
    <mergeCell ref="Z28:AB28"/>
    <mergeCell ref="AC28:AG28"/>
    <mergeCell ref="W33:Y33"/>
    <mergeCell ref="Z33:AB33"/>
    <mergeCell ref="AC33:AG33"/>
    <mergeCell ref="W34:Y34"/>
    <mergeCell ref="Z34:AB34"/>
    <mergeCell ref="AC34:AG34"/>
    <mergeCell ref="W31:Y31"/>
    <mergeCell ref="Z31:AB31"/>
    <mergeCell ref="AC31:AG31"/>
    <mergeCell ref="W32:Y32"/>
    <mergeCell ref="Z32:AB32"/>
    <mergeCell ref="AC32:AG32"/>
    <mergeCell ref="W37:Y37"/>
    <mergeCell ref="Z37:AB37"/>
    <mergeCell ref="AC37:AG37"/>
    <mergeCell ref="W38:Y38"/>
    <mergeCell ref="Z38:AB38"/>
    <mergeCell ref="AC38:AG38"/>
    <mergeCell ref="W35:Y35"/>
    <mergeCell ref="Z35:AB35"/>
    <mergeCell ref="AC35:AG35"/>
    <mergeCell ref="W36:Y36"/>
    <mergeCell ref="Z36:AB36"/>
    <mergeCell ref="AC36:AG36"/>
    <mergeCell ref="W41:Y41"/>
    <mergeCell ref="Z41:AB41"/>
    <mergeCell ref="AC41:AG41"/>
    <mergeCell ref="W42:Y42"/>
    <mergeCell ref="Z42:AB42"/>
    <mergeCell ref="AC42:AG42"/>
    <mergeCell ref="W39:Y39"/>
    <mergeCell ref="Z39:AB39"/>
    <mergeCell ref="AC39:AG39"/>
    <mergeCell ref="W40:Y40"/>
    <mergeCell ref="Z40:AB40"/>
    <mergeCell ref="AC40:AG40"/>
    <mergeCell ref="W45:Y45"/>
    <mergeCell ref="Z45:AB45"/>
    <mergeCell ref="AC45:AG45"/>
    <mergeCell ref="W46:Y46"/>
    <mergeCell ref="Z46:AB46"/>
    <mergeCell ref="AC46:AG46"/>
    <mergeCell ref="W43:Y43"/>
    <mergeCell ref="Z43:AB43"/>
    <mergeCell ref="AC43:AG43"/>
    <mergeCell ref="W44:Y44"/>
    <mergeCell ref="Z44:AB44"/>
    <mergeCell ref="AC44:AG44"/>
    <mergeCell ref="W49:Y49"/>
    <mergeCell ref="Z49:AB49"/>
    <mergeCell ref="AC49:AG49"/>
    <mergeCell ref="W50:Y50"/>
    <mergeCell ref="Z50:AB50"/>
    <mergeCell ref="AC50:AG50"/>
    <mergeCell ref="W47:Y47"/>
    <mergeCell ref="Z47:AB47"/>
    <mergeCell ref="AC47:AG47"/>
    <mergeCell ref="W48:Y48"/>
    <mergeCell ref="Z48:AB48"/>
    <mergeCell ref="AC48:AG48"/>
    <mergeCell ref="W53:Y53"/>
    <mergeCell ref="Z53:AB53"/>
    <mergeCell ref="AC53:AG53"/>
    <mergeCell ref="W54:Y54"/>
    <mergeCell ref="Z54:AB54"/>
    <mergeCell ref="AC54:AG54"/>
    <mergeCell ref="W51:Y51"/>
    <mergeCell ref="Z51:AB51"/>
    <mergeCell ref="AC51:AG51"/>
    <mergeCell ref="W52:Y52"/>
    <mergeCell ref="Z52:AB52"/>
    <mergeCell ref="AC52:AG52"/>
  </mergeCells>
  <pageMargins left="0.31496062992125984" right="0.31496062992125984" top="0.74803149606299213" bottom="0.74803149606299213" header="0.31496062992125984" footer="0.31496062992125984"/>
  <pageSetup paperSize="9" orientation="portrait" r:id="rId1"/>
  <headerFooter>
    <oddFooter xml:space="preserve">&amp;LRevisione N° 1 del 01/10/2022&amp;RPagina &amp;P di &amp;N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breakPoint">
                <anchor moveWithCells="1" sizeWithCells="1">
                  <from>
                    <xdr:col>14</xdr:col>
                    <xdr:colOff>9525</xdr:colOff>
                    <xdr:row>5</xdr:row>
                    <xdr:rowOff>19050</xdr:rowOff>
                  </from>
                  <to>
                    <xdr:col>15</xdr:col>
                    <xdr:colOff>314325</xdr:colOff>
                    <xdr:row>6</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5"/>
  <dimension ref="A2:X1101"/>
  <sheetViews>
    <sheetView tabSelected="1" zoomScale="80" zoomScaleNormal="80" workbookViewId="0">
      <selection activeCell="C14" sqref="C14:K20"/>
    </sheetView>
  </sheetViews>
  <sheetFormatPr defaultColWidth="8.85546875" defaultRowHeight="13.15" customHeight="1"/>
  <cols>
    <col min="1" max="1" width="4" style="152" customWidth="1"/>
    <col min="2" max="16384" width="8.85546875" style="3"/>
  </cols>
  <sheetData>
    <row r="2" spans="1:24" s="90" customFormat="1" ht="13.15" customHeight="1">
      <c r="A2" s="152" t="s">
        <v>377</v>
      </c>
      <c r="B2" s="263" t="s">
        <v>378</v>
      </c>
      <c r="C2" s="263"/>
      <c r="D2" s="263"/>
      <c r="E2" s="263"/>
      <c r="F2" s="263"/>
      <c r="G2" s="263"/>
      <c r="H2" s="263"/>
      <c r="I2" s="263"/>
      <c r="J2" s="263"/>
      <c r="K2" s="263"/>
      <c r="L2" s="3">
        <v>1</v>
      </c>
      <c r="M2" s="3">
        <v>26</v>
      </c>
      <c r="N2" s="3">
        <v>11</v>
      </c>
      <c r="O2" s="3">
        <f t="shared" ref="O2:O84" si="0">ROW(M2)</f>
        <v>2</v>
      </c>
      <c r="R2" s="3"/>
      <c r="S2" s="3"/>
      <c r="T2" s="3"/>
      <c r="U2" s="3"/>
      <c r="V2" s="3"/>
      <c r="W2" s="3"/>
      <c r="X2" s="3"/>
    </row>
    <row r="3" spans="1:24" s="90" customFormat="1" ht="13.15" customHeight="1">
      <c r="A3" s="152"/>
      <c r="B3" s="263"/>
      <c r="C3" s="263"/>
      <c r="D3" s="263"/>
      <c r="E3" s="263"/>
      <c r="F3" s="263"/>
      <c r="G3" s="263"/>
      <c r="H3" s="263"/>
      <c r="I3" s="263"/>
      <c r="J3" s="263"/>
      <c r="K3" s="263"/>
      <c r="O3" s="3">
        <f t="shared" si="0"/>
        <v>3</v>
      </c>
      <c r="R3" s="3"/>
      <c r="S3" s="3"/>
      <c r="T3" s="3"/>
      <c r="U3" s="3"/>
      <c r="V3" s="3"/>
      <c r="W3" s="3"/>
      <c r="X3" s="3"/>
    </row>
    <row r="4" spans="1:24" s="90" customFormat="1" ht="13.15" customHeight="1">
      <c r="A4" s="152"/>
      <c r="B4" s="263"/>
      <c r="C4" s="263"/>
      <c r="D4" s="263"/>
      <c r="E4" s="263"/>
      <c r="F4" s="263"/>
      <c r="G4" s="263"/>
      <c r="H4" s="263"/>
      <c r="I4" s="263"/>
      <c r="J4" s="263"/>
      <c r="K4" s="263"/>
      <c r="O4" s="3">
        <f t="shared" si="0"/>
        <v>4</v>
      </c>
      <c r="R4" s="3"/>
      <c r="S4" s="3"/>
      <c r="T4" s="3"/>
      <c r="U4" s="3"/>
      <c r="V4" s="3"/>
      <c r="W4" s="3"/>
      <c r="X4" s="3"/>
    </row>
    <row r="5" spans="1:24" s="90" customFormat="1" ht="13.15" customHeight="1">
      <c r="A5" s="152"/>
      <c r="B5" s="263"/>
      <c r="C5" s="263"/>
      <c r="D5" s="263"/>
      <c r="E5" s="263"/>
      <c r="F5" s="263"/>
      <c r="G5" s="263"/>
      <c r="H5" s="263"/>
      <c r="I5" s="263"/>
      <c r="J5" s="263"/>
      <c r="K5" s="263"/>
      <c r="O5" s="3">
        <f t="shared" si="0"/>
        <v>5</v>
      </c>
      <c r="R5" s="3"/>
      <c r="S5" s="3"/>
      <c r="T5" s="3"/>
      <c r="U5" s="3"/>
      <c r="V5" s="3"/>
      <c r="W5" s="3"/>
      <c r="X5" s="3"/>
    </row>
    <row r="6" spans="1:24" s="90" customFormat="1" ht="13.15" customHeight="1">
      <c r="A6" s="152"/>
      <c r="B6" s="263"/>
      <c r="C6" s="263"/>
      <c r="D6" s="263"/>
      <c r="E6" s="263"/>
      <c r="F6" s="263"/>
      <c r="G6" s="263"/>
      <c r="H6" s="263"/>
      <c r="I6" s="263"/>
      <c r="J6" s="263"/>
      <c r="K6" s="263"/>
      <c r="O6" s="3">
        <f t="shared" si="0"/>
        <v>6</v>
      </c>
      <c r="R6" s="3"/>
      <c r="S6" s="3"/>
      <c r="T6" s="3"/>
      <c r="U6" s="3"/>
      <c r="V6" s="3"/>
      <c r="W6" s="3"/>
      <c r="X6" s="3"/>
    </row>
    <row r="7" spans="1:24" s="90" customFormat="1" ht="13.15" customHeight="1">
      <c r="A7" s="152"/>
      <c r="B7" s="263"/>
      <c r="C7" s="263"/>
      <c r="D7" s="263"/>
      <c r="E7" s="263"/>
      <c r="F7" s="263"/>
      <c r="G7" s="263"/>
      <c r="H7" s="263"/>
      <c r="I7" s="263"/>
      <c r="J7" s="263"/>
      <c r="K7" s="263"/>
      <c r="O7" s="3">
        <f t="shared" si="0"/>
        <v>7</v>
      </c>
      <c r="R7" s="3"/>
      <c r="S7" s="3"/>
      <c r="T7" s="3"/>
      <c r="U7" s="3"/>
      <c r="V7" s="3"/>
      <c r="W7" s="3"/>
      <c r="X7" s="3"/>
    </row>
    <row r="8" spans="1:24" s="90" customFormat="1" ht="13.15" customHeight="1">
      <c r="A8" s="152"/>
      <c r="B8" s="263"/>
      <c r="C8" s="263"/>
      <c r="D8" s="263"/>
      <c r="E8" s="263"/>
      <c r="F8" s="263"/>
      <c r="G8" s="263"/>
      <c r="H8" s="263"/>
      <c r="I8" s="263"/>
      <c r="J8" s="263"/>
      <c r="K8" s="263"/>
      <c r="O8" s="3">
        <f t="shared" si="0"/>
        <v>8</v>
      </c>
      <c r="R8" s="3"/>
      <c r="S8" s="3"/>
      <c r="T8" s="3"/>
      <c r="U8" s="3"/>
      <c r="V8" s="3"/>
      <c r="W8" s="3"/>
      <c r="X8" s="3"/>
    </row>
    <row r="9" spans="1:24" s="90" customFormat="1" ht="13.15" customHeight="1">
      <c r="A9" s="152"/>
      <c r="B9" s="263"/>
      <c r="C9" s="263"/>
      <c r="D9" s="263"/>
      <c r="E9" s="263"/>
      <c r="F9" s="263"/>
      <c r="G9" s="263"/>
      <c r="H9" s="263"/>
      <c r="I9" s="263"/>
      <c r="J9" s="263"/>
      <c r="K9" s="263"/>
      <c r="O9" s="3">
        <f t="shared" si="0"/>
        <v>9</v>
      </c>
      <c r="R9" s="3"/>
      <c r="S9" s="3"/>
      <c r="T9" s="3"/>
      <c r="U9" s="3"/>
      <c r="V9" s="3"/>
      <c r="W9" s="3"/>
      <c r="X9" s="3"/>
    </row>
    <row r="10" spans="1:24" s="90" customFormat="1" ht="13.15" customHeight="1">
      <c r="A10" s="152"/>
      <c r="B10" s="263"/>
      <c r="C10" s="263"/>
      <c r="D10" s="263"/>
      <c r="E10" s="263"/>
      <c r="F10" s="263"/>
      <c r="G10" s="263"/>
      <c r="H10" s="263"/>
      <c r="I10" s="263"/>
      <c r="J10" s="263"/>
      <c r="K10" s="263"/>
      <c r="O10" s="3">
        <f t="shared" si="0"/>
        <v>10</v>
      </c>
      <c r="R10" s="3"/>
      <c r="S10" s="3"/>
      <c r="T10" s="3"/>
      <c r="U10" s="3"/>
      <c r="V10" s="3"/>
      <c r="W10" s="3"/>
      <c r="X10" s="3"/>
    </row>
    <row r="11" spans="1:24" s="90" customFormat="1" ht="13.15" customHeight="1">
      <c r="A11" s="152"/>
      <c r="B11" s="263"/>
      <c r="C11" s="263"/>
      <c r="D11" s="263"/>
      <c r="E11" s="263"/>
      <c r="F11" s="263"/>
      <c r="G11" s="263"/>
      <c r="H11" s="263"/>
      <c r="I11" s="263"/>
      <c r="J11" s="263"/>
      <c r="K11" s="263"/>
      <c r="O11" s="3">
        <f t="shared" si="0"/>
        <v>11</v>
      </c>
      <c r="R11" s="3"/>
      <c r="S11" s="3"/>
      <c r="T11" s="3"/>
      <c r="U11" s="3"/>
      <c r="V11" s="3"/>
      <c r="W11" s="3"/>
      <c r="X11" s="3"/>
    </row>
    <row r="12" spans="1:24" s="90" customFormat="1" ht="13.15" customHeight="1">
      <c r="A12" s="152"/>
      <c r="B12" s="263"/>
      <c r="C12" s="263"/>
      <c r="D12" s="263"/>
      <c r="E12" s="263"/>
      <c r="F12" s="263"/>
      <c r="G12" s="263"/>
      <c r="H12" s="263"/>
      <c r="I12" s="263"/>
      <c r="J12" s="263"/>
      <c r="K12" s="263"/>
      <c r="O12" s="3">
        <f t="shared" si="0"/>
        <v>12</v>
      </c>
      <c r="R12" s="3"/>
      <c r="S12" s="3"/>
      <c r="T12" s="3"/>
      <c r="U12" s="3"/>
      <c r="V12" s="3"/>
      <c r="W12" s="3"/>
      <c r="X12" s="3"/>
    </row>
    <row r="13" spans="1:24" ht="13.15" customHeight="1">
      <c r="B13" s="175"/>
      <c r="C13" s="175"/>
      <c r="D13" s="175"/>
      <c r="E13" s="175"/>
      <c r="F13" s="175"/>
      <c r="G13" s="175"/>
      <c r="H13" s="175"/>
      <c r="I13" s="175"/>
      <c r="J13" s="175"/>
      <c r="K13" s="175"/>
      <c r="O13" s="3">
        <f t="shared" si="0"/>
        <v>13</v>
      </c>
    </row>
    <row r="14" spans="1:24" ht="13.15" customHeight="1">
      <c r="B14" s="156" t="s">
        <v>379</v>
      </c>
      <c r="C14" s="264" t="s">
        <v>237</v>
      </c>
      <c r="D14" s="264"/>
      <c r="E14" s="264"/>
      <c r="F14" s="264"/>
      <c r="G14" s="264"/>
      <c r="H14" s="264"/>
      <c r="I14" s="264"/>
      <c r="J14" s="264"/>
      <c r="K14" s="264"/>
      <c r="O14" s="3">
        <f t="shared" si="0"/>
        <v>14</v>
      </c>
    </row>
    <row r="15" spans="1:24" ht="13.15" customHeight="1">
      <c r="C15" s="264"/>
      <c r="D15" s="264"/>
      <c r="E15" s="264"/>
      <c r="F15" s="264"/>
      <c r="G15" s="264"/>
      <c r="H15" s="264"/>
      <c r="I15" s="264"/>
      <c r="J15" s="264"/>
      <c r="K15" s="264"/>
      <c r="O15" s="3">
        <f t="shared" si="0"/>
        <v>15</v>
      </c>
    </row>
    <row r="16" spans="1:24" ht="13.15" customHeight="1">
      <c r="C16" s="264"/>
      <c r="D16" s="264"/>
      <c r="E16" s="264"/>
      <c r="F16" s="264"/>
      <c r="G16" s="264"/>
      <c r="H16" s="264"/>
      <c r="I16" s="264"/>
      <c r="J16" s="264"/>
      <c r="K16" s="264"/>
      <c r="O16" s="3">
        <f t="shared" si="0"/>
        <v>16</v>
      </c>
    </row>
    <row r="17" spans="1:15" ht="13.15" customHeight="1">
      <c r="C17" s="264"/>
      <c r="D17" s="264"/>
      <c r="E17" s="264"/>
      <c r="F17" s="264"/>
      <c r="G17" s="264"/>
      <c r="H17" s="264"/>
      <c r="I17" s="264"/>
      <c r="J17" s="264"/>
      <c r="K17" s="264"/>
      <c r="O17" s="3">
        <f t="shared" si="0"/>
        <v>17</v>
      </c>
    </row>
    <row r="18" spans="1:15" ht="13.15" customHeight="1">
      <c r="C18" s="264"/>
      <c r="D18" s="264"/>
      <c r="E18" s="264"/>
      <c r="F18" s="264"/>
      <c r="G18" s="264"/>
      <c r="H18" s="264"/>
      <c r="I18" s="264"/>
      <c r="J18" s="264"/>
      <c r="K18" s="264"/>
      <c r="O18" s="3">
        <f t="shared" si="0"/>
        <v>18</v>
      </c>
    </row>
    <row r="19" spans="1:15" ht="13.15" customHeight="1">
      <c r="C19" s="264"/>
      <c r="D19" s="264"/>
      <c r="E19" s="264"/>
      <c r="F19" s="264"/>
      <c r="G19" s="264"/>
      <c r="H19" s="264"/>
      <c r="I19" s="264"/>
      <c r="J19" s="264"/>
      <c r="K19" s="264"/>
      <c r="O19" s="3">
        <f t="shared" si="0"/>
        <v>19</v>
      </c>
    </row>
    <row r="20" spans="1:15" ht="13.15" customHeight="1">
      <c r="C20" s="264"/>
      <c r="D20" s="264"/>
      <c r="E20" s="264"/>
      <c r="F20" s="264"/>
      <c r="G20" s="264"/>
      <c r="H20" s="264"/>
      <c r="I20" s="264"/>
      <c r="J20" s="264"/>
      <c r="K20" s="264"/>
      <c r="O20" s="3">
        <f t="shared" si="0"/>
        <v>20</v>
      </c>
    </row>
    <row r="21" spans="1:15" ht="13.15" customHeight="1">
      <c r="C21" s="173"/>
      <c r="D21" s="173"/>
      <c r="E21" s="173"/>
      <c r="F21" s="173"/>
      <c r="G21" s="173"/>
      <c r="H21" s="173"/>
      <c r="I21" s="173"/>
      <c r="J21" s="173"/>
      <c r="K21" s="173"/>
      <c r="O21" s="3">
        <f t="shared" si="0"/>
        <v>21</v>
      </c>
    </row>
    <row r="22" spans="1:15" ht="13.15" customHeight="1">
      <c r="B22" s="156" t="s">
        <v>379</v>
      </c>
      <c r="C22" s="264" t="s">
        <v>200</v>
      </c>
      <c r="D22" s="264"/>
      <c r="E22" s="264"/>
      <c r="F22" s="264"/>
      <c r="G22" s="264"/>
      <c r="H22" s="264"/>
      <c r="I22" s="264"/>
      <c r="J22" s="264"/>
      <c r="K22" s="264"/>
      <c r="O22" s="3">
        <f t="shared" si="0"/>
        <v>22</v>
      </c>
    </row>
    <row r="23" spans="1:15" ht="13.15" customHeight="1">
      <c r="C23" s="264"/>
      <c r="D23" s="264"/>
      <c r="E23" s="264"/>
      <c r="F23" s="264"/>
      <c r="G23" s="264"/>
      <c r="H23" s="264"/>
      <c r="I23" s="264"/>
      <c r="J23" s="264"/>
      <c r="K23" s="264"/>
      <c r="O23" s="3">
        <f t="shared" si="0"/>
        <v>23</v>
      </c>
    </row>
    <row r="24" spans="1:15" ht="13.15" customHeight="1">
      <c r="C24" s="264"/>
      <c r="D24" s="264"/>
      <c r="E24" s="264"/>
      <c r="F24" s="264"/>
      <c r="G24" s="264"/>
      <c r="H24" s="264"/>
      <c r="I24" s="264"/>
      <c r="J24" s="264"/>
      <c r="K24" s="264"/>
      <c r="O24" s="3">
        <f t="shared" si="0"/>
        <v>24</v>
      </c>
    </row>
    <row r="25" spans="1:15" ht="13.15" customHeight="1">
      <c r="C25" s="264"/>
      <c r="D25" s="264"/>
      <c r="E25" s="264"/>
      <c r="F25" s="264"/>
      <c r="G25" s="264"/>
      <c r="H25" s="264"/>
      <c r="I25" s="264"/>
      <c r="J25" s="264"/>
      <c r="K25" s="264"/>
      <c r="O25" s="3">
        <f t="shared" si="0"/>
        <v>25</v>
      </c>
    </row>
    <row r="26" spans="1:15" ht="13.15" customHeight="1">
      <c r="C26" s="264"/>
      <c r="D26" s="264"/>
      <c r="E26" s="264"/>
      <c r="F26" s="264"/>
      <c r="G26" s="264"/>
      <c r="H26" s="264"/>
      <c r="I26" s="264"/>
      <c r="J26" s="264"/>
      <c r="K26" s="264"/>
      <c r="O26" s="3">
        <f t="shared" si="0"/>
        <v>26</v>
      </c>
    </row>
    <row r="27" spans="1:15" ht="13.15" customHeight="1">
      <c r="C27" s="264"/>
      <c r="D27" s="264"/>
      <c r="E27" s="264"/>
      <c r="F27" s="264"/>
      <c r="G27" s="264"/>
      <c r="H27" s="264"/>
      <c r="I27" s="264"/>
      <c r="J27" s="264"/>
      <c r="K27" s="264"/>
      <c r="O27" s="3">
        <f t="shared" si="0"/>
        <v>27</v>
      </c>
    </row>
    <row r="28" spans="1:15" ht="13.15" customHeight="1">
      <c r="O28" s="3">
        <f t="shared" si="0"/>
        <v>28</v>
      </c>
    </row>
    <row r="29" spans="1:15" ht="13.15" customHeight="1">
      <c r="A29" s="155" t="s">
        <v>380</v>
      </c>
      <c r="B29" s="263" t="s">
        <v>238</v>
      </c>
      <c r="C29" s="263"/>
      <c r="D29" s="263"/>
      <c r="E29" s="263"/>
      <c r="F29" s="263"/>
      <c r="G29" s="263"/>
      <c r="H29" s="263"/>
      <c r="I29" s="263"/>
      <c r="J29" s="263"/>
      <c r="K29" s="263"/>
      <c r="L29" s="3">
        <v>2</v>
      </c>
      <c r="M29" s="3">
        <v>19</v>
      </c>
      <c r="N29" s="3">
        <v>7</v>
      </c>
      <c r="O29" s="3">
        <f t="shared" si="0"/>
        <v>29</v>
      </c>
    </row>
    <row r="30" spans="1:15" ht="13.15" customHeight="1">
      <c r="B30" s="263"/>
      <c r="C30" s="263"/>
      <c r="D30" s="263"/>
      <c r="E30" s="263"/>
      <c r="F30" s="263"/>
      <c r="G30" s="263"/>
      <c r="H30" s="263"/>
      <c r="I30" s="263"/>
      <c r="J30" s="263"/>
      <c r="K30" s="263"/>
      <c r="O30" s="3">
        <f t="shared" si="0"/>
        <v>30</v>
      </c>
    </row>
    <row r="31" spans="1:15" ht="13.15" customHeight="1">
      <c r="B31" s="263"/>
      <c r="C31" s="263"/>
      <c r="D31" s="263"/>
      <c r="E31" s="263"/>
      <c r="F31" s="263"/>
      <c r="G31" s="263"/>
      <c r="H31" s="263"/>
      <c r="I31" s="263"/>
      <c r="J31" s="263"/>
      <c r="K31" s="263"/>
      <c r="O31" s="3">
        <f t="shared" si="0"/>
        <v>31</v>
      </c>
    </row>
    <row r="32" spans="1:15" ht="13.15" customHeight="1">
      <c r="B32" s="263"/>
      <c r="C32" s="263"/>
      <c r="D32" s="263"/>
      <c r="E32" s="263"/>
      <c r="F32" s="263"/>
      <c r="G32" s="263"/>
      <c r="H32" s="263"/>
      <c r="I32" s="263"/>
      <c r="J32" s="263"/>
      <c r="K32" s="263"/>
      <c r="O32" s="3">
        <f t="shared" si="0"/>
        <v>32</v>
      </c>
    </row>
    <row r="33" spans="2:15" ht="13.15" customHeight="1">
      <c r="B33" s="263"/>
      <c r="C33" s="263"/>
      <c r="D33" s="263"/>
      <c r="E33" s="263"/>
      <c r="F33" s="263"/>
      <c r="G33" s="263"/>
      <c r="H33" s="263"/>
      <c r="I33" s="263"/>
      <c r="J33" s="263"/>
      <c r="K33" s="263"/>
      <c r="O33" s="3">
        <f t="shared" si="0"/>
        <v>33</v>
      </c>
    </row>
    <row r="34" spans="2:15" ht="13.15" customHeight="1">
      <c r="B34" s="263"/>
      <c r="C34" s="263"/>
      <c r="D34" s="263"/>
      <c r="E34" s="263"/>
      <c r="F34" s="263"/>
      <c r="G34" s="263"/>
      <c r="H34" s="263"/>
      <c r="I34" s="263"/>
      <c r="J34" s="263"/>
      <c r="K34" s="263"/>
      <c r="O34" s="3">
        <f t="shared" si="0"/>
        <v>34</v>
      </c>
    </row>
    <row r="35" spans="2:15" ht="13.15" customHeight="1">
      <c r="B35" s="263"/>
      <c r="C35" s="263"/>
      <c r="D35" s="263"/>
      <c r="E35" s="263"/>
      <c r="F35" s="263"/>
      <c r="G35" s="263"/>
      <c r="H35" s="263"/>
      <c r="I35" s="263"/>
      <c r="J35" s="263"/>
      <c r="K35" s="263"/>
      <c r="O35" s="3">
        <f t="shared" si="0"/>
        <v>35</v>
      </c>
    </row>
    <row r="36" spans="2:15" ht="13.15" customHeight="1">
      <c r="O36" s="3">
        <f t="shared" si="0"/>
        <v>36</v>
      </c>
    </row>
    <row r="37" spans="2:15" ht="13.15" customHeight="1">
      <c r="B37" s="156" t="s">
        <v>379</v>
      </c>
      <c r="C37" s="264" t="s">
        <v>239</v>
      </c>
      <c r="D37" s="264"/>
      <c r="E37" s="264"/>
      <c r="F37" s="264"/>
      <c r="G37" s="264"/>
      <c r="H37" s="264"/>
      <c r="I37" s="264"/>
      <c r="J37" s="264"/>
      <c r="K37" s="264"/>
      <c r="O37" s="3">
        <f t="shared" si="0"/>
        <v>37</v>
      </c>
    </row>
    <row r="38" spans="2:15" ht="13.15" customHeight="1">
      <c r="C38" s="264"/>
      <c r="D38" s="264"/>
      <c r="E38" s="264"/>
      <c r="F38" s="264"/>
      <c r="G38" s="264"/>
      <c r="H38" s="264"/>
      <c r="I38" s="264"/>
      <c r="J38" s="264"/>
      <c r="K38" s="264"/>
      <c r="O38" s="3">
        <f t="shared" si="0"/>
        <v>38</v>
      </c>
    </row>
    <row r="39" spans="2:15" ht="13.15" customHeight="1">
      <c r="C39" s="264"/>
      <c r="D39" s="264"/>
      <c r="E39" s="264"/>
      <c r="F39" s="264"/>
      <c r="G39" s="264"/>
      <c r="H39" s="264"/>
      <c r="I39" s="264"/>
      <c r="J39" s="264"/>
      <c r="K39" s="264"/>
      <c r="O39" s="3">
        <f t="shared" si="0"/>
        <v>39</v>
      </c>
    </row>
    <row r="40" spans="2:15" ht="13.15" customHeight="1">
      <c r="C40" s="264"/>
      <c r="D40" s="264"/>
      <c r="E40" s="264"/>
      <c r="F40" s="264"/>
      <c r="G40" s="264"/>
      <c r="H40" s="264"/>
      <c r="I40" s="264"/>
      <c r="J40" s="264"/>
      <c r="K40" s="264"/>
      <c r="O40" s="3">
        <f t="shared" si="0"/>
        <v>40</v>
      </c>
    </row>
    <row r="41" spans="2:15" ht="13.15" customHeight="1">
      <c r="C41" s="264"/>
      <c r="D41" s="264"/>
      <c r="E41" s="264"/>
      <c r="F41" s="264"/>
      <c r="G41" s="264"/>
      <c r="H41" s="264"/>
      <c r="I41" s="264"/>
      <c r="J41" s="264"/>
      <c r="K41" s="264"/>
      <c r="O41" s="3">
        <f t="shared" si="0"/>
        <v>41</v>
      </c>
    </row>
    <row r="42" spans="2:15" ht="13.15" customHeight="1">
      <c r="O42" s="3">
        <f t="shared" si="0"/>
        <v>42</v>
      </c>
    </row>
    <row r="43" spans="2:15" ht="13.15" customHeight="1">
      <c r="B43" s="156" t="s">
        <v>379</v>
      </c>
      <c r="C43" s="264" t="s">
        <v>197</v>
      </c>
      <c r="D43" s="264"/>
      <c r="E43" s="264"/>
      <c r="F43" s="264"/>
      <c r="G43" s="264"/>
      <c r="H43" s="264"/>
      <c r="I43" s="264"/>
      <c r="J43" s="264"/>
      <c r="K43" s="264"/>
      <c r="O43" s="3">
        <f t="shared" si="0"/>
        <v>43</v>
      </c>
    </row>
    <row r="44" spans="2:15" ht="13.15" customHeight="1">
      <c r="C44" s="264"/>
      <c r="D44" s="264"/>
      <c r="E44" s="264"/>
      <c r="F44" s="264"/>
      <c r="G44" s="264"/>
      <c r="H44" s="264"/>
      <c r="I44" s="264"/>
      <c r="J44" s="264"/>
      <c r="K44" s="264"/>
      <c r="O44" s="3">
        <f t="shared" si="0"/>
        <v>44</v>
      </c>
    </row>
    <row r="45" spans="2:15" ht="13.15" customHeight="1">
      <c r="C45" s="264"/>
      <c r="D45" s="264"/>
      <c r="E45" s="264"/>
      <c r="F45" s="264"/>
      <c r="G45" s="264"/>
      <c r="H45" s="264"/>
      <c r="I45" s="264"/>
      <c r="J45" s="264"/>
      <c r="K45" s="264"/>
      <c r="O45" s="3">
        <f t="shared" si="0"/>
        <v>45</v>
      </c>
    </row>
    <row r="46" spans="2:15" ht="13.15" customHeight="1">
      <c r="C46" s="264"/>
      <c r="D46" s="264"/>
      <c r="E46" s="264"/>
      <c r="F46" s="264"/>
      <c r="G46" s="264"/>
      <c r="H46" s="264"/>
      <c r="I46" s="264"/>
      <c r="J46" s="264"/>
      <c r="K46" s="264"/>
      <c r="O46" s="3">
        <f t="shared" si="0"/>
        <v>46</v>
      </c>
    </row>
    <row r="47" spans="2:15" ht="13.15" customHeight="1">
      <c r="C47" s="264"/>
      <c r="D47" s="264"/>
      <c r="E47" s="264"/>
      <c r="F47" s="264"/>
      <c r="G47" s="264"/>
      <c r="H47" s="264"/>
      <c r="I47" s="264"/>
      <c r="J47" s="264"/>
      <c r="K47" s="264"/>
      <c r="O47" s="3">
        <f t="shared" si="0"/>
        <v>47</v>
      </c>
    </row>
    <row r="48" spans="2:15" ht="13.15" customHeight="1">
      <c r="O48" s="3">
        <f t="shared" si="0"/>
        <v>48</v>
      </c>
    </row>
    <row r="49" spans="1:15" ht="13.15" customHeight="1">
      <c r="A49" s="152" t="s">
        <v>381</v>
      </c>
      <c r="B49" s="263" t="s">
        <v>240</v>
      </c>
      <c r="C49" s="263"/>
      <c r="D49" s="263"/>
      <c r="E49" s="263"/>
      <c r="F49" s="263"/>
      <c r="G49" s="263"/>
      <c r="H49" s="263"/>
      <c r="I49" s="263"/>
      <c r="J49" s="263"/>
      <c r="K49" s="263"/>
      <c r="L49" s="3">
        <v>3</v>
      </c>
      <c r="M49" s="3">
        <v>16</v>
      </c>
      <c r="N49" s="3">
        <v>6</v>
      </c>
      <c r="O49" s="3">
        <f t="shared" si="0"/>
        <v>49</v>
      </c>
    </row>
    <row r="50" spans="1:15" ht="13.15" customHeight="1">
      <c r="B50" s="263"/>
      <c r="C50" s="263"/>
      <c r="D50" s="263"/>
      <c r="E50" s="263"/>
      <c r="F50" s="263"/>
      <c r="G50" s="263"/>
      <c r="H50" s="263"/>
      <c r="I50" s="263"/>
      <c r="J50" s="263"/>
      <c r="K50" s="263"/>
      <c r="O50" s="3">
        <f t="shared" si="0"/>
        <v>50</v>
      </c>
    </row>
    <row r="51" spans="1:15" ht="13.15" customHeight="1">
      <c r="B51" s="263"/>
      <c r="C51" s="263"/>
      <c r="D51" s="263"/>
      <c r="E51" s="263"/>
      <c r="F51" s="263"/>
      <c r="G51" s="263"/>
      <c r="H51" s="263"/>
      <c r="I51" s="263"/>
      <c r="J51" s="263"/>
      <c r="K51" s="263"/>
      <c r="O51" s="3">
        <f t="shared" si="0"/>
        <v>51</v>
      </c>
    </row>
    <row r="52" spans="1:15" ht="13.15" customHeight="1">
      <c r="B52" s="263"/>
      <c r="C52" s="263"/>
      <c r="D52" s="263"/>
      <c r="E52" s="263"/>
      <c r="F52" s="263"/>
      <c r="G52" s="263"/>
      <c r="H52" s="263"/>
      <c r="I52" s="263"/>
      <c r="J52" s="263"/>
      <c r="K52" s="263"/>
      <c r="O52" s="3">
        <f t="shared" si="0"/>
        <v>52</v>
      </c>
    </row>
    <row r="53" spans="1:15" ht="13.15" customHeight="1">
      <c r="B53" s="263"/>
      <c r="C53" s="263"/>
      <c r="D53" s="263"/>
      <c r="E53" s="263"/>
      <c r="F53" s="263"/>
      <c r="G53" s="263"/>
      <c r="H53" s="263"/>
      <c r="I53" s="263"/>
      <c r="J53" s="263"/>
      <c r="K53" s="263"/>
      <c r="O53" s="3">
        <f t="shared" si="0"/>
        <v>53</v>
      </c>
    </row>
    <row r="54" spans="1:15" ht="13.15" customHeight="1">
      <c r="B54" s="263"/>
      <c r="C54" s="263"/>
      <c r="D54" s="263"/>
      <c r="E54" s="263"/>
      <c r="F54" s="263"/>
      <c r="G54" s="263"/>
      <c r="H54" s="263"/>
      <c r="I54" s="263"/>
      <c r="J54" s="263"/>
      <c r="K54" s="263"/>
      <c r="O54" s="3">
        <f t="shared" si="0"/>
        <v>54</v>
      </c>
    </row>
    <row r="55" spans="1:15" ht="13.15" customHeight="1">
      <c r="B55" s="99"/>
      <c r="C55" s="99"/>
      <c r="D55" s="99"/>
      <c r="E55" s="99"/>
      <c r="F55" s="99"/>
      <c r="G55" s="99"/>
      <c r="H55" s="99"/>
      <c r="I55" s="99"/>
      <c r="J55" s="99"/>
      <c r="K55" s="99"/>
      <c r="O55" s="3">
        <f t="shared" si="0"/>
        <v>55</v>
      </c>
    </row>
    <row r="56" spans="1:15" ht="13.15" customHeight="1">
      <c r="B56" s="156" t="s">
        <v>379</v>
      </c>
      <c r="C56" s="264" t="s">
        <v>198</v>
      </c>
      <c r="D56" s="264"/>
      <c r="E56" s="264"/>
      <c r="F56" s="264"/>
      <c r="G56" s="264"/>
      <c r="H56" s="264"/>
      <c r="I56" s="264"/>
      <c r="J56" s="264"/>
      <c r="K56" s="264"/>
      <c r="O56" s="3">
        <f t="shared" si="0"/>
        <v>56</v>
      </c>
    </row>
    <row r="57" spans="1:15" ht="13.15" customHeight="1">
      <c r="C57" s="264"/>
      <c r="D57" s="264"/>
      <c r="E57" s="264"/>
      <c r="F57" s="264"/>
      <c r="G57" s="264"/>
      <c r="H57" s="264"/>
      <c r="I57" s="264"/>
      <c r="J57" s="264"/>
      <c r="K57" s="264"/>
      <c r="O57" s="3">
        <f t="shared" si="0"/>
        <v>57</v>
      </c>
    </row>
    <row r="58" spans="1:15" ht="13.15" customHeight="1">
      <c r="C58" s="264"/>
      <c r="D58" s="264"/>
      <c r="E58" s="264"/>
      <c r="F58" s="264"/>
      <c r="G58" s="264"/>
      <c r="H58" s="264"/>
      <c r="I58" s="264"/>
      <c r="J58" s="264"/>
      <c r="K58" s="264"/>
      <c r="O58" s="3">
        <f t="shared" si="0"/>
        <v>58</v>
      </c>
    </row>
    <row r="59" spans="1:15" ht="13.15" customHeight="1">
      <c r="C59" s="264"/>
      <c r="D59" s="264"/>
      <c r="E59" s="264"/>
      <c r="F59" s="264"/>
      <c r="G59" s="264"/>
      <c r="H59" s="264"/>
      <c r="I59" s="264"/>
      <c r="J59" s="264"/>
      <c r="K59" s="264"/>
      <c r="O59" s="3">
        <f t="shared" si="0"/>
        <v>59</v>
      </c>
    </row>
    <row r="60" spans="1:15" ht="13.15" customHeight="1">
      <c r="O60" s="3">
        <f t="shared" si="0"/>
        <v>60</v>
      </c>
    </row>
    <row r="61" spans="1:15" ht="13.15" customHeight="1">
      <c r="B61" s="156" t="s">
        <v>379</v>
      </c>
      <c r="C61" s="264" t="s">
        <v>161</v>
      </c>
      <c r="D61" s="264"/>
      <c r="E61" s="264"/>
      <c r="F61" s="264"/>
      <c r="G61" s="264"/>
      <c r="H61" s="264"/>
      <c r="I61" s="264"/>
      <c r="J61" s="264"/>
      <c r="K61" s="264"/>
      <c r="O61" s="3">
        <f t="shared" si="0"/>
        <v>61</v>
      </c>
    </row>
    <row r="62" spans="1:15" ht="13.15" customHeight="1">
      <c r="C62" s="264"/>
      <c r="D62" s="264"/>
      <c r="E62" s="264"/>
      <c r="F62" s="264"/>
      <c r="G62" s="264"/>
      <c r="H62" s="264"/>
      <c r="I62" s="264"/>
      <c r="J62" s="264"/>
      <c r="K62" s="264"/>
      <c r="O62" s="3">
        <f t="shared" si="0"/>
        <v>62</v>
      </c>
    </row>
    <row r="63" spans="1:15" ht="13.15" customHeight="1">
      <c r="C63" s="264"/>
      <c r="D63" s="264"/>
      <c r="E63" s="264"/>
      <c r="F63" s="264"/>
      <c r="G63" s="264"/>
      <c r="H63" s="264"/>
      <c r="I63" s="264"/>
      <c r="J63" s="264"/>
      <c r="K63" s="264"/>
      <c r="O63" s="3">
        <f t="shared" si="0"/>
        <v>63</v>
      </c>
    </row>
    <row r="64" spans="1:15" ht="13.15" customHeight="1">
      <c r="C64" s="264"/>
      <c r="D64" s="264"/>
      <c r="E64" s="264"/>
      <c r="F64" s="264"/>
      <c r="G64" s="264"/>
      <c r="H64" s="264"/>
      <c r="I64" s="264"/>
      <c r="J64" s="264"/>
      <c r="K64" s="264"/>
      <c r="O64" s="3">
        <f t="shared" si="0"/>
        <v>64</v>
      </c>
    </row>
    <row r="65" spans="1:15" ht="13.15" customHeight="1">
      <c r="O65" s="3">
        <f t="shared" si="0"/>
        <v>65</v>
      </c>
    </row>
    <row r="66" spans="1:15" ht="13.15" customHeight="1">
      <c r="A66" s="152" t="s">
        <v>382</v>
      </c>
      <c r="B66" s="263" t="s">
        <v>241</v>
      </c>
      <c r="C66" s="263"/>
      <c r="D66" s="263"/>
      <c r="E66" s="263"/>
      <c r="F66" s="263"/>
      <c r="G66" s="263"/>
      <c r="H66" s="263"/>
      <c r="I66" s="263"/>
      <c r="J66" s="263"/>
      <c r="K66" s="263"/>
      <c r="L66" s="3">
        <v>4</v>
      </c>
      <c r="M66" s="3">
        <v>18</v>
      </c>
      <c r="N66" s="3">
        <v>5</v>
      </c>
      <c r="O66" s="3">
        <f t="shared" si="0"/>
        <v>66</v>
      </c>
    </row>
    <row r="67" spans="1:15" ht="13.15" customHeight="1">
      <c r="B67" s="263"/>
      <c r="C67" s="263"/>
      <c r="D67" s="263"/>
      <c r="E67" s="263"/>
      <c r="F67" s="263"/>
      <c r="G67" s="263"/>
      <c r="H67" s="263"/>
      <c r="I67" s="263"/>
      <c r="J67" s="263"/>
      <c r="K67" s="263"/>
      <c r="O67" s="3">
        <f t="shared" si="0"/>
        <v>67</v>
      </c>
    </row>
    <row r="68" spans="1:15" ht="13.15" customHeight="1">
      <c r="B68" s="263"/>
      <c r="C68" s="263"/>
      <c r="D68" s="263"/>
      <c r="E68" s="263"/>
      <c r="F68" s="263"/>
      <c r="G68" s="263"/>
      <c r="H68" s="263"/>
      <c r="I68" s="263"/>
      <c r="J68" s="263"/>
      <c r="K68" s="263"/>
      <c r="O68" s="3">
        <f t="shared" si="0"/>
        <v>68</v>
      </c>
    </row>
    <row r="69" spans="1:15" ht="13.15" customHeight="1">
      <c r="B69" s="263"/>
      <c r="C69" s="263"/>
      <c r="D69" s="263"/>
      <c r="E69" s="263"/>
      <c r="F69" s="263"/>
      <c r="G69" s="263"/>
      <c r="H69" s="263"/>
      <c r="I69" s="263"/>
      <c r="J69" s="263"/>
      <c r="K69" s="263"/>
      <c r="O69" s="3">
        <f t="shared" si="0"/>
        <v>69</v>
      </c>
    </row>
    <row r="70" spans="1:15" ht="13.15" customHeight="1">
      <c r="B70" s="263"/>
      <c r="C70" s="263"/>
      <c r="D70" s="263"/>
      <c r="E70" s="263"/>
      <c r="F70" s="263"/>
      <c r="G70" s="263"/>
      <c r="H70" s="263"/>
      <c r="I70" s="263"/>
      <c r="J70" s="263"/>
      <c r="K70" s="263"/>
      <c r="O70" s="3">
        <f t="shared" si="0"/>
        <v>70</v>
      </c>
    </row>
    <row r="71" spans="1:15" ht="13.15" customHeight="1">
      <c r="B71" s="96"/>
      <c r="C71" s="96"/>
      <c r="D71" s="96"/>
      <c r="E71" s="96"/>
      <c r="F71" s="96"/>
      <c r="G71" s="96"/>
      <c r="H71" s="96"/>
      <c r="I71" s="96"/>
      <c r="J71" s="96"/>
      <c r="K71" s="96"/>
      <c r="O71" s="3">
        <f t="shared" si="0"/>
        <v>71</v>
      </c>
    </row>
    <row r="72" spans="1:15" ht="13.15" customHeight="1">
      <c r="B72" s="156" t="s">
        <v>379</v>
      </c>
      <c r="C72" s="264" t="s">
        <v>242</v>
      </c>
      <c r="D72" s="264"/>
      <c r="E72" s="264"/>
      <c r="F72" s="264"/>
      <c r="G72" s="264"/>
      <c r="H72" s="264"/>
      <c r="I72" s="264"/>
      <c r="J72" s="264"/>
      <c r="K72" s="264"/>
      <c r="O72" s="3">
        <f t="shared" si="0"/>
        <v>72</v>
      </c>
    </row>
    <row r="73" spans="1:15" ht="13.15" customHeight="1">
      <c r="C73" s="264"/>
      <c r="D73" s="264"/>
      <c r="E73" s="264"/>
      <c r="F73" s="264"/>
      <c r="G73" s="264"/>
      <c r="H73" s="264"/>
      <c r="I73" s="264"/>
      <c r="J73" s="264"/>
      <c r="K73" s="264"/>
      <c r="O73" s="3">
        <f t="shared" si="0"/>
        <v>73</v>
      </c>
    </row>
    <row r="74" spans="1:15" ht="13.15" customHeight="1">
      <c r="C74" s="264"/>
      <c r="D74" s="264"/>
      <c r="E74" s="264"/>
      <c r="F74" s="264"/>
      <c r="G74" s="264"/>
      <c r="H74" s="264"/>
      <c r="I74" s="264"/>
      <c r="J74" s="264"/>
      <c r="K74" s="264"/>
      <c r="O74" s="3">
        <f t="shared" si="0"/>
        <v>74</v>
      </c>
    </row>
    <row r="75" spans="1:15" ht="13.15" customHeight="1">
      <c r="C75" s="264"/>
      <c r="D75" s="264"/>
      <c r="E75" s="264"/>
      <c r="F75" s="264"/>
      <c r="G75" s="264"/>
      <c r="H75" s="264"/>
      <c r="I75" s="264"/>
      <c r="J75" s="264"/>
      <c r="K75" s="264"/>
      <c r="O75" s="3">
        <f t="shared" si="0"/>
        <v>75</v>
      </c>
    </row>
    <row r="76" spans="1:15" ht="13.15" customHeight="1">
      <c r="C76" s="264"/>
      <c r="D76" s="264"/>
      <c r="E76" s="264"/>
      <c r="F76" s="264"/>
      <c r="G76" s="264"/>
      <c r="H76" s="264"/>
      <c r="I76" s="264"/>
      <c r="J76" s="264"/>
      <c r="K76" s="264"/>
      <c r="O76" s="3">
        <f t="shared" si="0"/>
        <v>76</v>
      </c>
    </row>
    <row r="77" spans="1:15" ht="13.15" customHeight="1">
      <c r="C77" s="264"/>
      <c r="D77" s="264"/>
      <c r="E77" s="264"/>
      <c r="F77" s="264"/>
      <c r="G77" s="264"/>
      <c r="H77" s="264"/>
      <c r="I77" s="264"/>
      <c r="J77" s="264"/>
      <c r="K77" s="264"/>
      <c r="O77" s="3">
        <f t="shared" si="0"/>
        <v>77</v>
      </c>
    </row>
    <row r="78" spans="1:15" ht="13.15" customHeight="1">
      <c r="O78" s="3">
        <f t="shared" si="0"/>
        <v>78</v>
      </c>
    </row>
    <row r="79" spans="1:15" ht="13.15" customHeight="1">
      <c r="B79" s="156" t="s">
        <v>379</v>
      </c>
      <c r="C79" s="264" t="s">
        <v>243</v>
      </c>
      <c r="D79" s="264"/>
      <c r="E79" s="264"/>
      <c r="F79" s="264"/>
      <c r="G79" s="264"/>
      <c r="H79" s="264"/>
      <c r="I79" s="264"/>
      <c r="J79" s="264"/>
      <c r="K79" s="264"/>
      <c r="O79" s="3">
        <f t="shared" si="0"/>
        <v>79</v>
      </c>
    </row>
    <row r="80" spans="1:15" ht="13.15" customHeight="1">
      <c r="C80" s="264"/>
      <c r="D80" s="264"/>
      <c r="E80" s="264"/>
      <c r="F80" s="264"/>
      <c r="G80" s="264"/>
      <c r="H80" s="264"/>
      <c r="I80" s="264"/>
      <c r="J80" s="264"/>
      <c r="K80" s="264"/>
      <c r="O80" s="3">
        <f t="shared" si="0"/>
        <v>80</v>
      </c>
    </row>
    <row r="81" spans="1:15" ht="13.15" customHeight="1">
      <c r="C81" s="264"/>
      <c r="D81" s="264"/>
      <c r="E81" s="264"/>
      <c r="F81" s="264"/>
      <c r="G81" s="264"/>
      <c r="H81" s="264"/>
      <c r="I81" s="264"/>
      <c r="J81" s="264"/>
      <c r="K81" s="264"/>
      <c r="O81" s="3">
        <f t="shared" si="0"/>
        <v>81</v>
      </c>
    </row>
    <row r="82" spans="1:15" ht="13.15" customHeight="1">
      <c r="C82" s="264"/>
      <c r="D82" s="264"/>
      <c r="E82" s="264"/>
      <c r="F82" s="264"/>
      <c r="G82" s="264"/>
      <c r="H82" s="264"/>
      <c r="I82" s="264"/>
      <c r="J82" s="264"/>
      <c r="K82" s="264"/>
      <c r="O82" s="3">
        <f t="shared" si="0"/>
        <v>82</v>
      </c>
    </row>
    <row r="83" spans="1:15" ht="13.15" customHeight="1">
      <c r="C83" s="264"/>
      <c r="D83" s="264"/>
      <c r="E83" s="264"/>
      <c r="F83" s="264"/>
      <c r="G83" s="264"/>
      <c r="H83" s="264"/>
      <c r="I83" s="264"/>
      <c r="J83" s="264"/>
      <c r="K83" s="264"/>
      <c r="O83" s="3">
        <f t="shared" si="0"/>
        <v>83</v>
      </c>
    </row>
    <row r="84" spans="1:15" ht="13.15" customHeight="1">
      <c r="O84" s="3">
        <f t="shared" si="0"/>
        <v>84</v>
      </c>
    </row>
    <row r="85" spans="1:15" ht="13.15" customHeight="1">
      <c r="A85" s="152" t="s">
        <v>383</v>
      </c>
      <c r="B85" s="263" t="s">
        <v>244</v>
      </c>
      <c r="C85" s="263"/>
      <c r="D85" s="263"/>
      <c r="E85" s="263"/>
      <c r="F85" s="263"/>
      <c r="G85" s="263"/>
      <c r="H85" s="263"/>
      <c r="I85" s="263"/>
      <c r="J85" s="263"/>
      <c r="K85" s="263"/>
      <c r="L85" s="3">
        <v>5</v>
      </c>
      <c r="M85" s="3">
        <v>26</v>
      </c>
      <c r="N85" s="3">
        <v>9</v>
      </c>
      <c r="O85" s="3">
        <f t="shared" ref="O85:O152" si="1">ROW(M85)</f>
        <v>85</v>
      </c>
    </row>
    <row r="86" spans="1:15" ht="13.15" customHeight="1">
      <c r="B86" s="263"/>
      <c r="C86" s="263"/>
      <c r="D86" s="263"/>
      <c r="E86" s="263"/>
      <c r="F86" s="263"/>
      <c r="G86" s="263"/>
      <c r="H86" s="263"/>
      <c r="I86" s="263"/>
      <c r="J86" s="263"/>
      <c r="K86" s="263"/>
      <c r="O86" s="3">
        <f t="shared" si="1"/>
        <v>86</v>
      </c>
    </row>
    <row r="87" spans="1:15" ht="13.15" customHeight="1">
      <c r="B87" s="263"/>
      <c r="C87" s="263"/>
      <c r="D87" s="263"/>
      <c r="E87" s="263"/>
      <c r="F87" s="263"/>
      <c r="G87" s="263"/>
      <c r="H87" s="263"/>
      <c r="I87" s="263"/>
      <c r="J87" s="263"/>
      <c r="K87" s="263"/>
      <c r="O87" s="3">
        <f t="shared" si="1"/>
        <v>87</v>
      </c>
    </row>
    <row r="88" spans="1:15" ht="13.15" customHeight="1">
      <c r="B88" s="263"/>
      <c r="C88" s="263"/>
      <c r="D88" s="263"/>
      <c r="E88" s="263"/>
      <c r="F88" s="263"/>
      <c r="G88" s="263"/>
      <c r="H88" s="263"/>
      <c r="I88" s="263"/>
      <c r="J88" s="263"/>
      <c r="K88" s="263"/>
      <c r="O88" s="3">
        <f t="shared" si="1"/>
        <v>88</v>
      </c>
    </row>
    <row r="89" spans="1:15" ht="13.15" customHeight="1">
      <c r="B89" s="263"/>
      <c r="C89" s="263"/>
      <c r="D89" s="263"/>
      <c r="E89" s="263"/>
      <c r="F89" s="263"/>
      <c r="G89" s="263"/>
      <c r="H89" s="263"/>
      <c r="I89" s="263"/>
      <c r="J89" s="263"/>
      <c r="K89" s="263"/>
      <c r="O89" s="3">
        <f t="shared" si="1"/>
        <v>89</v>
      </c>
    </row>
    <row r="90" spans="1:15" ht="13.15" customHeight="1">
      <c r="B90" s="263"/>
      <c r="C90" s="263"/>
      <c r="D90" s="263"/>
      <c r="E90" s="263"/>
      <c r="F90" s="263"/>
      <c r="G90" s="263"/>
      <c r="H90" s="263"/>
      <c r="I90" s="263"/>
      <c r="J90" s="263"/>
      <c r="K90" s="263"/>
      <c r="O90" s="3">
        <f t="shared" si="1"/>
        <v>90</v>
      </c>
    </row>
    <row r="91" spans="1:15" ht="13.15" customHeight="1">
      <c r="B91" s="263"/>
      <c r="C91" s="263"/>
      <c r="D91" s="263"/>
      <c r="E91" s="263"/>
      <c r="F91" s="263"/>
      <c r="G91" s="263"/>
      <c r="H91" s="263"/>
      <c r="I91" s="263"/>
      <c r="J91" s="263"/>
      <c r="K91" s="263"/>
      <c r="O91" s="3">
        <f t="shared" si="1"/>
        <v>91</v>
      </c>
    </row>
    <row r="92" spans="1:15" ht="13.15" customHeight="1">
      <c r="B92" s="263"/>
      <c r="C92" s="263"/>
      <c r="D92" s="263"/>
      <c r="E92" s="263"/>
      <c r="F92" s="263"/>
      <c r="G92" s="263"/>
      <c r="H92" s="263"/>
      <c r="I92" s="263"/>
      <c r="J92" s="263"/>
      <c r="K92" s="263"/>
      <c r="O92" s="3">
        <f t="shared" si="1"/>
        <v>92</v>
      </c>
    </row>
    <row r="93" spans="1:15" ht="13.15" customHeight="1">
      <c r="B93" s="263"/>
      <c r="C93" s="263"/>
      <c r="D93" s="263"/>
      <c r="E93" s="263"/>
      <c r="F93" s="263"/>
      <c r="G93" s="263"/>
      <c r="H93" s="263"/>
      <c r="I93" s="263"/>
      <c r="J93" s="263"/>
      <c r="K93" s="263"/>
      <c r="O93" s="3">
        <f t="shared" si="1"/>
        <v>93</v>
      </c>
    </row>
    <row r="94" spans="1:15" ht="13.15" customHeight="1">
      <c r="B94" s="156"/>
      <c r="O94" s="3">
        <f t="shared" si="1"/>
        <v>94</v>
      </c>
    </row>
    <row r="95" spans="1:15" ht="13.15" customHeight="1">
      <c r="B95" s="156" t="s">
        <v>379</v>
      </c>
      <c r="C95" s="264" t="s">
        <v>245</v>
      </c>
      <c r="D95" s="264"/>
      <c r="E95" s="264"/>
      <c r="F95" s="264"/>
      <c r="G95" s="264"/>
      <c r="H95" s="264"/>
      <c r="I95" s="264"/>
      <c r="J95" s="264"/>
      <c r="K95" s="264"/>
      <c r="O95" s="3">
        <f t="shared" si="1"/>
        <v>95</v>
      </c>
    </row>
    <row r="96" spans="1:15" ht="13.15" customHeight="1">
      <c r="C96" s="264"/>
      <c r="D96" s="264"/>
      <c r="E96" s="264"/>
      <c r="F96" s="264"/>
      <c r="G96" s="264"/>
      <c r="H96" s="264"/>
      <c r="I96" s="264"/>
      <c r="J96" s="264"/>
      <c r="K96" s="264"/>
      <c r="O96" s="3">
        <f t="shared" si="1"/>
        <v>96</v>
      </c>
    </row>
    <row r="97" spans="1:15" ht="13.15" customHeight="1">
      <c r="C97" s="264"/>
      <c r="D97" s="264"/>
      <c r="E97" s="264"/>
      <c r="F97" s="264"/>
      <c r="G97" s="264"/>
      <c r="H97" s="264"/>
      <c r="I97" s="264"/>
      <c r="J97" s="264"/>
      <c r="K97" s="264"/>
      <c r="O97" s="3">
        <f t="shared" si="1"/>
        <v>97</v>
      </c>
    </row>
    <row r="98" spans="1:15" ht="13.15" customHeight="1">
      <c r="C98" s="264"/>
      <c r="D98" s="264"/>
      <c r="E98" s="264"/>
      <c r="F98" s="264"/>
      <c r="G98" s="264"/>
      <c r="H98" s="264"/>
      <c r="I98" s="264"/>
      <c r="J98" s="264"/>
      <c r="K98" s="264"/>
      <c r="O98" s="3">
        <f t="shared" si="1"/>
        <v>98</v>
      </c>
    </row>
    <row r="99" spans="1:15" ht="13.15" customHeight="1">
      <c r="C99" s="264"/>
      <c r="D99" s="264"/>
      <c r="E99" s="264"/>
      <c r="F99" s="264"/>
      <c r="G99" s="264"/>
      <c r="H99" s="264"/>
      <c r="I99" s="264"/>
      <c r="J99" s="264"/>
      <c r="K99" s="264"/>
      <c r="O99" s="3">
        <f t="shared" si="1"/>
        <v>99</v>
      </c>
    </row>
    <row r="100" spans="1:15" ht="13.15" customHeight="1">
      <c r="C100" s="264"/>
      <c r="D100" s="264"/>
      <c r="E100" s="264"/>
      <c r="F100" s="264"/>
      <c r="G100" s="264"/>
      <c r="H100" s="264"/>
      <c r="I100" s="264"/>
      <c r="J100" s="264"/>
      <c r="K100" s="264"/>
      <c r="O100" s="3">
        <f t="shared" si="1"/>
        <v>100</v>
      </c>
    </row>
    <row r="101" spans="1:15" ht="13.15" customHeight="1">
      <c r="C101" s="264"/>
      <c r="D101" s="264"/>
      <c r="E101" s="264"/>
      <c r="F101" s="264"/>
      <c r="G101" s="264"/>
      <c r="H101" s="264"/>
      <c r="I101" s="264"/>
      <c r="J101" s="264"/>
      <c r="K101" s="264"/>
      <c r="O101" s="3">
        <f t="shared" si="1"/>
        <v>101</v>
      </c>
    </row>
    <row r="102" spans="1:15" ht="13.15" customHeight="1">
      <c r="C102" s="264"/>
      <c r="D102" s="264"/>
      <c r="E102" s="264"/>
      <c r="F102" s="264"/>
      <c r="G102" s="264"/>
      <c r="H102" s="264"/>
      <c r="I102" s="264"/>
      <c r="J102" s="264"/>
      <c r="K102" s="264"/>
      <c r="O102" s="3">
        <f t="shared" si="1"/>
        <v>102</v>
      </c>
    </row>
    <row r="103" spans="1:15" ht="13.15" customHeight="1">
      <c r="C103" s="264"/>
      <c r="D103" s="264"/>
      <c r="E103" s="264"/>
      <c r="F103" s="264"/>
      <c r="G103" s="264"/>
      <c r="H103" s="264"/>
      <c r="I103" s="264"/>
      <c r="J103" s="264"/>
      <c r="K103" s="264"/>
      <c r="O103" s="3">
        <f t="shared" si="1"/>
        <v>103</v>
      </c>
    </row>
    <row r="104" spans="1:15" ht="13.15" customHeight="1">
      <c r="C104" s="165"/>
      <c r="D104" s="165"/>
      <c r="E104" s="165"/>
      <c r="F104" s="165"/>
      <c r="G104" s="165"/>
      <c r="H104" s="165"/>
      <c r="I104" s="165"/>
      <c r="J104" s="165"/>
      <c r="K104" s="165"/>
      <c r="O104" s="3">
        <f t="shared" si="1"/>
        <v>104</v>
      </c>
    </row>
    <row r="105" spans="1:15" ht="13.15" customHeight="1">
      <c r="B105" s="156" t="s">
        <v>379</v>
      </c>
      <c r="C105" s="264" t="s">
        <v>246</v>
      </c>
      <c r="D105" s="264"/>
      <c r="E105" s="264"/>
      <c r="F105" s="264"/>
      <c r="G105" s="264"/>
      <c r="H105" s="264"/>
      <c r="I105" s="264"/>
      <c r="J105" s="264"/>
      <c r="K105" s="264"/>
      <c r="O105" s="3">
        <f t="shared" si="1"/>
        <v>105</v>
      </c>
    </row>
    <row r="106" spans="1:15" ht="13.15" customHeight="1">
      <c r="C106" s="264"/>
      <c r="D106" s="264"/>
      <c r="E106" s="264"/>
      <c r="F106" s="264"/>
      <c r="G106" s="264"/>
      <c r="H106" s="264"/>
      <c r="I106" s="264"/>
      <c r="J106" s="264"/>
      <c r="K106" s="264"/>
      <c r="O106" s="3">
        <f t="shared" si="1"/>
        <v>106</v>
      </c>
    </row>
    <row r="107" spans="1:15" ht="13.15" customHeight="1">
      <c r="C107" s="264"/>
      <c r="D107" s="264"/>
      <c r="E107" s="264"/>
      <c r="F107" s="264"/>
      <c r="G107" s="264"/>
      <c r="H107" s="264"/>
      <c r="I107" s="264"/>
      <c r="J107" s="264"/>
      <c r="K107" s="264"/>
      <c r="O107" s="3">
        <f t="shared" si="1"/>
        <v>107</v>
      </c>
    </row>
    <row r="108" spans="1:15" ht="13.15" customHeight="1">
      <c r="C108" s="264"/>
      <c r="D108" s="264"/>
      <c r="E108" s="264"/>
      <c r="F108" s="264"/>
      <c r="G108" s="264"/>
      <c r="H108" s="264"/>
      <c r="I108" s="264"/>
      <c r="J108" s="264"/>
      <c r="K108" s="264"/>
      <c r="O108" s="3">
        <f t="shared" si="1"/>
        <v>108</v>
      </c>
    </row>
    <row r="109" spans="1:15" ht="13.15" customHeight="1">
      <c r="C109" s="264"/>
      <c r="D109" s="264"/>
      <c r="E109" s="264"/>
      <c r="F109" s="264"/>
      <c r="G109" s="264"/>
      <c r="H109" s="264"/>
      <c r="I109" s="264"/>
      <c r="J109" s="264"/>
      <c r="K109" s="264"/>
      <c r="O109" s="3">
        <f t="shared" si="1"/>
        <v>109</v>
      </c>
    </row>
    <row r="110" spans="1:15" ht="13.15" customHeight="1">
      <c r="C110" s="264"/>
      <c r="D110" s="264"/>
      <c r="E110" s="264"/>
      <c r="F110" s="264"/>
      <c r="G110" s="264"/>
      <c r="H110" s="264"/>
      <c r="I110" s="264"/>
      <c r="J110" s="264"/>
      <c r="K110" s="264"/>
      <c r="O110" s="3">
        <f t="shared" si="1"/>
        <v>110</v>
      </c>
    </row>
    <row r="111" spans="1:15" ht="13.15" customHeight="1">
      <c r="C111" s="165"/>
      <c r="D111" s="165"/>
      <c r="E111" s="165"/>
      <c r="F111" s="165"/>
      <c r="G111" s="165"/>
      <c r="H111" s="165"/>
      <c r="I111" s="165"/>
      <c r="J111" s="165"/>
      <c r="K111" s="165"/>
      <c r="O111" s="3">
        <f t="shared" si="1"/>
        <v>111</v>
      </c>
    </row>
    <row r="112" spans="1:15" ht="13.15" customHeight="1">
      <c r="A112" s="152" t="s">
        <v>384</v>
      </c>
      <c r="B112" s="263" t="s">
        <v>247</v>
      </c>
      <c r="C112" s="263"/>
      <c r="D112" s="263"/>
      <c r="E112" s="263"/>
      <c r="F112" s="263"/>
      <c r="G112" s="263"/>
      <c r="H112" s="263"/>
      <c r="I112" s="263"/>
      <c r="J112" s="263"/>
      <c r="K112" s="263"/>
      <c r="L112" s="3">
        <v>6</v>
      </c>
      <c r="M112" s="3">
        <v>14</v>
      </c>
      <c r="N112" s="3">
        <v>7</v>
      </c>
      <c r="O112" s="3">
        <f t="shared" si="1"/>
        <v>112</v>
      </c>
    </row>
    <row r="113" spans="1:15" ht="13.15" customHeight="1">
      <c r="B113" s="263"/>
      <c r="C113" s="263"/>
      <c r="D113" s="263"/>
      <c r="E113" s="263"/>
      <c r="F113" s="263"/>
      <c r="G113" s="263"/>
      <c r="H113" s="263"/>
      <c r="I113" s="263"/>
      <c r="J113" s="263"/>
      <c r="K113" s="263"/>
      <c r="O113" s="3">
        <f t="shared" si="1"/>
        <v>113</v>
      </c>
    </row>
    <row r="114" spans="1:15" ht="13.15" customHeight="1">
      <c r="B114" s="263"/>
      <c r="C114" s="263"/>
      <c r="D114" s="263"/>
      <c r="E114" s="263"/>
      <c r="F114" s="263"/>
      <c r="G114" s="263"/>
      <c r="H114" s="263"/>
      <c r="I114" s="263"/>
      <c r="J114" s="263"/>
      <c r="K114" s="263"/>
      <c r="O114" s="3">
        <f t="shared" si="1"/>
        <v>114</v>
      </c>
    </row>
    <row r="115" spans="1:15" ht="13.15" customHeight="1">
      <c r="B115" s="263"/>
      <c r="C115" s="263"/>
      <c r="D115" s="263"/>
      <c r="E115" s="263"/>
      <c r="F115" s="263"/>
      <c r="G115" s="263"/>
      <c r="H115" s="263"/>
      <c r="I115" s="263"/>
      <c r="J115" s="263"/>
      <c r="K115" s="263"/>
      <c r="O115" s="3">
        <f t="shared" si="1"/>
        <v>115</v>
      </c>
    </row>
    <row r="116" spans="1:15" ht="13.15" customHeight="1">
      <c r="B116" s="263"/>
      <c r="C116" s="263"/>
      <c r="D116" s="263"/>
      <c r="E116" s="263"/>
      <c r="F116" s="263"/>
      <c r="G116" s="263"/>
      <c r="H116" s="263"/>
      <c r="I116" s="263"/>
      <c r="J116" s="263"/>
      <c r="K116" s="263"/>
      <c r="O116" s="3">
        <f t="shared" si="1"/>
        <v>116</v>
      </c>
    </row>
    <row r="117" spans="1:15" ht="13.15" customHeight="1">
      <c r="B117" s="263"/>
      <c r="C117" s="263"/>
      <c r="D117" s="263"/>
      <c r="E117" s="263"/>
      <c r="F117" s="263"/>
      <c r="G117" s="263"/>
      <c r="H117" s="263"/>
      <c r="I117" s="263"/>
      <c r="J117" s="263"/>
      <c r="K117" s="263"/>
      <c r="O117" s="3">
        <f t="shared" si="1"/>
        <v>117</v>
      </c>
    </row>
    <row r="118" spans="1:15" ht="13.15" customHeight="1">
      <c r="B118" s="263"/>
      <c r="C118" s="263"/>
      <c r="D118" s="263"/>
      <c r="E118" s="263"/>
      <c r="F118" s="263"/>
      <c r="G118" s="263"/>
      <c r="H118" s="263"/>
      <c r="I118" s="263"/>
      <c r="J118" s="263"/>
      <c r="K118" s="263"/>
      <c r="O118" s="3">
        <f t="shared" si="1"/>
        <v>118</v>
      </c>
    </row>
    <row r="119" spans="1:15" ht="13.15" customHeight="1">
      <c r="O119" s="3">
        <f t="shared" si="1"/>
        <v>119</v>
      </c>
    </row>
    <row r="120" spans="1:15" ht="13.15" customHeight="1">
      <c r="B120" s="156" t="s">
        <v>379</v>
      </c>
      <c r="C120" s="265" t="s">
        <v>248</v>
      </c>
      <c r="D120" s="265"/>
      <c r="E120" s="265"/>
      <c r="F120" s="265"/>
      <c r="G120" s="265"/>
      <c r="H120" s="265"/>
      <c r="I120" s="265"/>
      <c r="J120" s="265"/>
      <c r="K120" s="265"/>
      <c r="O120" s="3">
        <f t="shared" si="1"/>
        <v>120</v>
      </c>
    </row>
    <row r="121" spans="1:15" ht="13.15" customHeight="1">
      <c r="C121" s="265"/>
      <c r="D121" s="265"/>
      <c r="E121" s="265"/>
      <c r="F121" s="265"/>
      <c r="G121" s="265"/>
      <c r="H121" s="265"/>
      <c r="I121" s="265"/>
      <c r="J121" s="265"/>
      <c r="K121" s="265"/>
      <c r="O121" s="3">
        <f t="shared" si="1"/>
        <v>121</v>
      </c>
    </row>
    <row r="122" spans="1:15" ht="13.15" customHeight="1">
      <c r="C122" s="265"/>
      <c r="D122" s="265"/>
      <c r="E122" s="265"/>
      <c r="F122" s="265"/>
      <c r="G122" s="265"/>
      <c r="H122" s="265"/>
      <c r="I122" s="265"/>
      <c r="J122" s="265"/>
      <c r="K122" s="265"/>
      <c r="O122" s="3">
        <f t="shared" si="1"/>
        <v>122</v>
      </c>
    </row>
    <row r="123" spans="1:15" ht="13.15" customHeight="1">
      <c r="C123" s="265"/>
      <c r="D123" s="265"/>
      <c r="E123" s="265"/>
      <c r="F123" s="265"/>
      <c r="G123" s="265"/>
      <c r="H123" s="265"/>
      <c r="I123" s="265"/>
      <c r="J123" s="265"/>
      <c r="K123" s="265"/>
      <c r="O123" s="3">
        <f t="shared" si="1"/>
        <v>123</v>
      </c>
    </row>
    <row r="124" spans="1:15" ht="13.15" customHeight="1">
      <c r="C124" s="265"/>
      <c r="D124" s="265"/>
      <c r="E124" s="265"/>
      <c r="F124" s="265"/>
      <c r="G124" s="265"/>
      <c r="H124" s="265"/>
      <c r="I124" s="265"/>
      <c r="J124" s="265"/>
      <c r="K124" s="265"/>
      <c r="O124" s="3">
        <f t="shared" si="1"/>
        <v>124</v>
      </c>
    </row>
    <row r="125" spans="1:15" ht="13.15" customHeight="1">
      <c r="C125" s="265"/>
      <c r="D125" s="265"/>
      <c r="E125" s="265"/>
      <c r="F125" s="265"/>
      <c r="G125" s="265"/>
      <c r="H125" s="265"/>
      <c r="I125" s="265"/>
      <c r="J125" s="265"/>
      <c r="K125" s="265"/>
      <c r="O125" s="3">
        <f t="shared" si="1"/>
        <v>125</v>
      </c>
    </row>
    <row r="126" spans="1:15" ht="13.15" customHeight="1">
      <c r="O126" s="3">
        <f t="shared" si="1"/>
        <v>126</v>
      </c>
    </row>
    <row r="127" spans="1:15" ht="13.15" customHeight="1">
      <c r="A127" s="152" t="s">
        <v>385</v>
      </c>
      <c r="B127" s="266" t="s">
        <v>249</v>
      </c>
      <c r="C127" s="266"/>
      <c r="D127" s="266"/>
      <c r="E127" s="266"/>
      <c r="F127" s="266"/>
      <c r="G127" s="266"/>
      <c r="H127" s="266"/>
      <c r="I127" s="266"/>
      <c r="J127" s="266"/>
      <c r="K127" s="266"/>
      <c r="L127" s="3">
        <v>7</v>
      </c>
      <c r="M127" s="3">
        <v>13</v>
      </c>
      <c r="N127" s="3">
        <v>8</v>
      </c>
      <c r="O127" s="3">
        <f t="shared" si="1"/>
        <v>127</v>
      </c>
    </row>
    <row r="128" spans="1:15" ht="13.15" customHeight="1">
      <c r="B128" s="266"/>
      <c r="C128" s="266"/>
      <c r="D128" s="266"/>
      <c r="E128" s="266"/>
      <c r="F128" s="266"/>
      <c r="G128" s="266"/>
      <c r="H128" s="266"/>
      <c r="I128" s="266"/>
      <c r="J128" s="266"/>
      <c r="K128" s="266"/>
      <c r="O128" s="3">
        <f t="shared" si="1"/>
        <v>128</v>
      </c>
    </row>
    <row r="129" spans="1:23" ht="13.15" customHeight="1">
      <c r="B129" s="266"/>
      <c r="C129" s="266"/>
      <c r="D129" s="266"/>
      <c r="E129" s="266"/>
      <c r="F129" s="266"/>
      <c r="G129" s="266"/>
      <c r="H129" s="266"/>
      <c r="I129" s="266"/>
      <c r="J129" s="266"/>
      <c r="K129" s="266"/>
    </row>
    <row r="130" spans="1:23" ht="13.15" customHeight="1">
      <c r="B130" s="266"/>
      <c r="C130" s="266"/>
      <c r="D130" s="266"/>
      <c r="E130" s="266"/>
      <c r="F130" s="266"/>
      <c r="G130" s="266"/>
      <c r="H130" s="266"/>
      <c r="I130" s="266"/>
      <c r="J130" s="266"/>
      <c r="K130" s="266"/>
    </row>
    <row r="131" spans="1:23" ht="13.15" customHeight="1">
      <c r="B131" s="266"/>
      <c r="C131" s="266"/>
      <c r="D131" s="266"/>
      <c r="E131" s="266"/>
      <c r="F131" s="266"/>
      <c r="G131" s="266"/>
      <c r="H131" s="266"/>
      <c r="I131" s="266"/>
      <c r="J131" s="266"/>
      <c r="K131" s="266"/>
    </row>
    <row r="132" spans="1:23" ht="13.15" customHeight="1">
      <c r="B132" s="266"/>
      <c r="C132" s="266"/>
      <c r="D132" s="266"/>
      <c r="E132" s="266"/>
      <c r="F132" s="266"/>
      <c r="G132" s="266"/>
      <c r="H132" s="266"/>
      <c r="I132" s="266"/>
      <c r="J132" s="266"/>
      <c r="K132" s="266"/>
    </row>
    <row r="133" spans="1:23" ht="13.15" customHeight="1">
      <c r="B133" s="266"/>
      <c r="C133" s="266"/>
      <c r="D133" s="266"/>
      <c r="E133" s="266"/>
      <c r="F133" s="266"/>
      <c r="G133" s="266"/>
      <c r="H133" s="266"/>
      <c r="I133" s="266"/>
      <c r="J133" s="266"/>
      <c r="K133" s="266"/>
      <c r="O133" s="3">
        <f t="shared" si="1"/>
        <v>133</v>
      </c>
    </row>
    <row r="134" spans="1:23" ht="13.15" customHeight="1">
      <c r="B134" s="266"/>
      <c r="C134" s="266"/>
      <c r="D134" s="266"/>
      <c r="E134" s="266"/>
      <c r="F134" s="266"/>
      <c r="G134" s="266"/>
      <c r="H134" s="266"/>
      <c r="I134" s="266"/>
      <c r="J134" s="266"/>
      <c r="K134" s="266"/>
      <c r="O134" s="3">
        <f t="shared" si="1"/>
        <v>134</v>
      </c>
    </row>
    <row r="135" spans="1:23" ht="13.15" customHeight="1">
      <c r="O135" s="3">
        <f t="shared" si="1"/>
        <v>135</v>
      </c>
    </row>
    <row r="136" spans="1:23" ht="13.15" customHeight="1">
      <c r="B136" s="156" t="s">
        <v>379</v>
      </c>
      <c r="C136" s="265" t="s">
        <v>250</v>
      </c>
      <c r="D136" s="265"/>
      <c r="E136" s="265"/>
      <c r="F136" s="265"/>
      <c r="G136" s="265"/>
      <c r="H136" s="265"/>
      <c r="I136" s="265"/>
      <c r="J136" s="265"/>
      <c r="K136" s="265"/>
      <c r="O136" s="3">
        <f t="shared" si="1"/>
        <v>136</v>
      </c>
    </row>
    <row r="137" spans="1:23" ht="13.15" customHeight="1">
      <c r="C137" s="265"/>
      <c r="D137" s="265"/>
      <c r="E137" s="265"/>
      <c r="F137" s="265"/>
      <c r="G137" s="265"/>
      <c r="H137" s="265"/>
      <c r="I137" s="265"/>
      <c r="J137" s="265"/>
      <c r="K137" s="265"/>
      <c r="O137" s="3">
        <f t="shared" si="1"/>
        <v>137</v>
      </c>
    </row>
    <row r="138" spans="1:23" ht="13.15" customHeight="1">
      <c r="C138" s="265"/>
      <c r="D138" s="265"/>
      <c r="E138" s="265"/>
      <c r="F138" s="265"/>
      <c r="G138" s="265"/>
      <c r="H138" s="265"/>
      <c r="I138" s="265"/>
      <c r="J138" s="265"/>
      <c r="K138" s="265"/>
      <c r="O138" s="3">
        <f t="shared" si="1"/>
        <v>138</v>
      </c>
    </row>
    <row r="139" spans="1:23" ht="13.15" customHeight="1">
      <c r="C139" s="265"/>
      <c r="D139" s="265"/>
      <c r="E139" s="265"/>
      <c r="F139" s="265"/>
      <c r="G139" s="265"/>
      <c r="H139" s="265"/>
      <c r="I139" s="265"/>
      <c r="J139" s="265"/>
      <c r="K139" s="265"/>
      <c r="O139" s="3">
        <f t="shared" si="1"/>
        <v>139</v>
      </c>
    </row>
    <row r="140" spans="1:23" ht="13.15" customHeight="1">
      <c r="C140" s="166"/>
      <c r="D140" s="166"/>
      <c r="E140" s="166"/>
      <c r="F140" s="166"/>
      <c r="G140" s="166"/>
      <c r="H140" s="166"/>
      <c r="I140" s="166"/>
      <c r="J140" s="166"/>
      <c r="K140" s="166"/>
      <c r="O140" s="3">
        <f t="shared" si="1"/>
        <v>140</v>
      </c>
    </row>
    <row r="141" spans="1:23" ht="13.15" customHeight="1">
      <c r="A141" s="152" t="s">
        <v>386</v>
      </c>
      <c r="B141" s="268" t="s">
        <v>251</v>
      </c>
      <c r="C141" s="268"/>
      <c r="D141" s="268"/>
      <c r="E141" s="268"/>
      <c r="F141" s="268"/>
      <c r="G141" s="268"/>
      <c r="H141" s="268"/>
      <c r="I141" s="268"/>
      <c r="J141" s="268"/>
      <c r="K141" s="268"/>
      <c r="L141" s="3">
        <v>8</v>
      </c>
      <c r="M141" s="3">
        <v>14</v>
      </c>
      <c r="N141" s="3">
        <v>10</v>
      </c>
      <c r="O141" s="3">
        <f t="shared" si="1"/>
        <v>141</v>
      </c>
      <c r="S141" s="269"/>
      <c r="T141" s="269"/>
      <c r="U141" s="269"/>
      <c r="V141" s="269"/>
      <c r="W141" s="269"/>
    </row>
    <row r="142" spans="1:23" ht="13.15" customHeight="1">
      <c r="B142" s="268"/>
      <c r="C142" s="268"/>
      <c r="D142" s="268"/>
      <c r="E142" s="268"/>
      <c r="F142" s="268"/>
      <c r="G142" s="268"/>
      <c r="H142" s="268"/>
      <c r="I142" s="268"/>
      <c r="J142" s="268"/>
      <c r="K142" s="268"/>
      <c r="L142" s="100"/>
      <c r="M142" s="100"/>
      <c r="N142" s="100"/>
      <c r="O142" s="3">
        <f t="shared" si="1"/>
        <v>142</v>
      </c>
      <c r="S142" s="169"/>
      <c r="T142" s="169"/>
      <c r="U142" s="169"/>
      <c r="V142" s="169"/>
      <c r="W142" s="169"/>
    </row>
    <row r="143" spans="1:23" ht="13.15" customHeight="1">
      <c r="B143" s="268"/>
      <c r="C143" s="268"/>
      <c r="D143" s="268"/>
      <c r="E143" s="268"/>
      <c r="F143" s="268"/>
      <c r="G143" s="268"/>
      <c r="H143" s="268"/>
      <c r="I143" s="268"/>
      <c r="J143" s="268"/>
      <c r="K143" s="268"/>
      <c r="L143" s="101"/>
      <c r="M143" s="101"/>
      <c r="N143" s="101"/>
      <c r="O143" s="3">
        <f t="shared" si="1"/>
        <v>143</v>
      </c>
      <c r="P143" s="102"/>
      <c r="Q143" s="102"/>
      <c r="S143" s="169"/>
      <c r="T143" s="169"/>
      <c r="U143" s="169"/>
      <c r="V143" s="169"/>
      <c r="W143" s="169"/>
    </row>
    <row r="144" spans="1:23" ht="13.15" customHeight="1">
      <c r="B144" s="268"/>
      <c r="C144" s="268"/>
      <c r="D144" s="268"/>
      <c r="E144" s="268"/>
      <c r="F144" s="268"/>
      <c r="G144" s="268"/>
      <c r="H144" s="268"/>
      <c r="I144" s="268"/>
      <c r="J144" s="268"/>
      <c r="K144" s="268"/>
      <c r="L144" s="101"/>
      <c r="M144" s="101"/>
      <c r="N144" s="101"/>
      <c r="O144" s="3">
        <f t="shared" si="1"/>
        <v>144</v>
      </c>
      <c r="P144" s="102"/>
      <c r="Q144" s="102"/>
      <c r="S144" s="169"/>
      <c r="T144" s="169"/>
      <c r="U144" s="169"/>
      <c r="V144" s="169"/>
      <c r="W144" s="169"/>
    </row>
    <row r="145" spans="1:23" ht="13.15" customHeight="1">
      <c r="B145" s="268"/>
      <c r="C145" s="268"/>
      <c r="D145" s="268"/>
      <c r="E145" s="268"/>
      <c r="F145" s="268"/>
      <c r="G145" s="268"/>
      <c r="H145" s="268"/>
      <c r="I145" s="268"/>
      <c r="J145" s="268"/>
      <c r="K145" s="268"/>
      <c r="L145" s="101"/>
      <c r="M145" s="101"/>
      <c r="N145" s="101"/>
      <c r="O145" s="3">
        <f t="shared" si="1"/>
        <v>145</v>
      </c>
      <c r="P145" s="102"/>
      <c r="Q145" s="102"/>
      <c r="S145" s="169"/>
      <c r="T145" s="169"/>
      <c r="U145" s="169"/>
      <c r="V145" s="169"/>
      <c r="W145" s="169"/>
    </row>
    <row r="146" spans="1:23" ht="13.15" customHeight="1">
      <c r="B146" s="268"/>
      <c r="C146" s="268"/>
      <c r="D146" s="268"/>
      <c r="E146" s="268"/>
      <c r="F146" s="268"/>
      <c r="G146" s="268"/>
      <c r="H146" s="268"/>
      <c r="I146" s="268"/>
      <c r="J146" s="268"/>
      <c r="K146" s="268"/>
      <c r="L146" s="101"/>
      <c r="M146" s="101"/>
      <c r="N146" s="101"/>
      <c r="O146" s="3">
        <f t="shared" si="1"/>
        <v>146</v>
      </c>
      <c r="P146" s="102"/>
      <c r="Q146" s="102"/>
      <c r="S146" s="169"/>
      <c r="T146" s="169"/>
      <c r="U146" s="169"/>
      <c r="V146" s="169"/>
      <c r="W146" s="169"/>
    </row>
    <row r="147" spans="1:23" ht="13.15" customHeight="1">
      <c r="B147" s="268"/>
      <c r="C147" s="268"/>
      <c r="D147" s="268"/>
      <c r="E147" s="268"/>
      <c r="F147" s="268"/>
      <c r="G147" s="268"/>
      <c r="H147" s="268"/>
      <c r="I147" s="268"/>
      <c r="J147" s="268"/>
      <c r="K147" s="268"/>
      <c r="L147" s="101"/>
      <c r="M147" s="101"/>
      <c r="N147" s="101"/>
      <c r="O147" s="3">
        <f t="shared" si="1"/>
        <v>147</v>
      </c>
      <c r="P147" s="102"/>
      <c r="Q147" s="102"/>
      <c r="S147" s="169"/>
      <c r="T147" s="169"/>
      <c r="U147" s="169"/>
      <c r="V147" s="169"/>
      <c r="W147" s="169"/>
    </row>
    <row r="148" spans="1:23" ht="13.15" customHeight="1">
      <c r="B148" s="268"/>
      <c r="C148" s="268"/>
      <c r="D148" s="268"/>
      <c r="E148" s="268"/>
      <c r="F148" s="268"/>
      <c r="G148" s="268"/>
      <c r="H148" s="268"/>
      <c r="I148" s="268"/>
      <c r="J148" s="268"/>
      <c r="K148" s="268"/>
      <c r="L148" s="101"/>
      <c r="M148" s="101"/>
      <c r="N148" s="101"/>
      <c r="O148" s="3">
        <f t="shared" si="1"/>
        <v>148</v>
      </c>
      <c r="P148" s="102"/>
      <c r="Q148" s="102"/>
      <c r="S148" s="169"/>
      <c r="T148" s="169"/>
      <c r="U148" s="169"/>
      <c r="V148" s="169"/>
      <c r="W148" s="169"/>
    </row>
    <row r="149" spans="1:23" ht="13.15" customHeight="1">
      <c r="B149" s="268"/>
      <c r="C149" s="268"/>
      <c r="D149" s="268"/>
      <c r="E149" s="268"/>
      <c r="F149" s="268"/>
      <c r="G149" s="268"/>
      <c r="H149" s="268"/>
      <c r="I149" s="268"/>
      <c r="J149" s="268"/>
      <c r="K149" s="268"/>
      <c r="L149" s="101"/>
      <c r="M149" s="101"/>
      <c r="N149" s="101"/>
      <c r="O149" s="3">
        <f t="shared" si="1"/>
        <v>149</v>
      </c>
      <c r="P149" s="102"/>
      <c r="Q149" s="102"/>
      <c r="S149" s="169"/>
      <c r="T149" s="169"/>
      <c r="U149" s="169"/>
      <c r="V149" s="169"/>
      <c r="W149" s="169"/>
    </row>
    <row r="150" spans="1:23" ht="13.15" customHeight="1">
      <c r="B150" s="268"/>
      <c r="C150" s="268"/>
      <c r="D150" s="268"/>
      <c r="E150" s="268"/>
      <c r="F150" s="268"/>
      <c r="G150" s="268"/>
      <c r="H150" s="268"/>
      <c r="I150" s="268"/>
      <c r="J150" s="268"/>
      <c r="K150" s="268"/>
      <c r="L150" s="101"/>
      <c r="M150" s="101"/>
      <c r="N150" s="101"/>
      <c r="O150" s="3">
        <f t="shared" si="1"/>
        <v>150</v>
      </c>
      <c r="P150" s="102"/>
      <c r="Q150" s="102"/>
      <c r="S150" s="169"/>
      <c r="T150" s="169"/>
      <c r="U150" s="169"/>
      <c r="V150" s="169"/>
      <c r="W150" s="169"/>
    </row>
    <row r="151" spans="1:23" ht="13.15" customHeight="1">
      <c r="B151" s="168"/>
      <c r="C151" s="168"/>
      <c r="D151" s="168"/>
      <c r="E151" s="168"/>
      <c r="F151" s="168"/>
      <c r="G151" s="168"/>
      <c r="H151" s="168"/>
      <c r="I151" s="168"/>
      <c r="J151" s="168"/>
      <c r="K151" s="168"/>
      <c r="L151" s="101"/>
      <c r="M151" s="101"/>
      <c r="N151" s="101"/>
      <c r="O151" s="3">
        <f t="shared" si="1"/>
        <v>151</v>
      </c>
      <c r="P151" s="102"/>
      <c r="Q151" s="102"/>
      <c r="S151" s="169"/>
      <c r="T151" s="169"/>
      <c r="U151" s="169"/>
      <c r="V151" s="169"/>
      <c r="W151" s="169"/>
    </row>
    <row r="152" spans="1:23" ht="13.15" customHeight="1">
      <c r="B152" s="156" t="s">
        <v>379</v>
      </c>
      <c r="C152" s="268" t="s">
        <v>252</v>
      </c>
      <c r="D152" s="268"/>
      <c r="E152" s="268"/>
      <c r="F152" s="268"/>
      <c r="G152" s="268"/>
      <c r="H152" s="268"/>
      <c r="I152" s="268"/>
      <c r="J152" s="268"/>
      <c r="K152" s="268"/>
      <c r="L152" s="101"/>
      <c r="M152" s="101"/>
      <c r="N152" s="101"/>
      <c r="O152" s="3">
        <f t="shared" si="1"/>
        <v>152</v>
      </c>
      <c r="P152" s="102"/>
      <c r="Q152" s="102"/>
      <c r="S152" s="169"/>
      <c r="T152" s="169"/>
      <c r="U152" s="169"/>
      <c r="V152" s="169"/>
      <c r="W152" s="169"/>
    </row>
    <row r="153" spans="1:23" ht="13.15" customHeight="1">
      <c r="B153" s="168"/>
      <c r="C153" s="268"/>
      <c r="D153" s="268"/>
      <c r="E153" s="268"/>
      <c r="F153" s="268"/>
      <c r="G153" s="268"/>
      <c r="H153" s="268"/>
      <c r="I153" s="268"/>
      <c r="J153" s="268"/>
      <c r="K153" s="268"/>
      <c r="L153" s="101"/>
      <c r="M153" s="101"/>
      <c r="N153" s="101"/>
      <c r="O153" s="3">
        <f t="shared" ref="O153:O216" si="2">ROW(M153)</f>
        <v>153</v>
      </c>
      <c r="P153" s="102"/>
      <c r="Q153" s="102"/>
      <c r="S153" s="169"/>
      <c r="T153" s="169"/>
      <c r="U153" s="169"/>
      <c r="V153" s="169"/>
      <c r="W153" s="169"/>
    </row>
    <row r="154" spans="1:23" ht="13.15" customHeight="1">
      <c r="B154" s="168"/>
      <c r="C154" s="268"/>
      <c r="D154" s="268"/>
      <c r="E154" s="268"/>
      <c r="F154" s="268"/>
      <c r="G154" s="268"/>
      <c r="H154" s="268"/>
      <c r="I154" s="268"/>
      <c r="J154" s="268"/>
      <c r="K154" s="268"/>
      <c r="L154" s="101"/>
      <c r="M154" s="101"/>
      <c r="N154" s="101"/>
      <c r="O154" s="3">
        <f t="shared" si="2"/>
        <v>154</v>
      </c>
      <c r="P154" s="102"/>
      <c r="Q154" s="102"/>
      <c r="S154" s="169"/>
      <c r="T154" s="169"/>
      <c r="U154" s="169"/>
      <c r="V154" s="169"/>
      <c r="W154" s="169"/>
    </row>
    <row r="155" spans="1:23" ht="13.15" customHeight="1">
      <c r="L155" s="101"/>
      <c r="M155" s="101"/>
      <c r="N155" s="101"/>
      <c r="O155" s="3">
        <f t="shared" si="2"/>
        <v>155</v>
      </c>
    </row>
    <row r="156" spans="1:23" ht="13.15" customHeight="1">
      <c r="A156" s="152" t="s">
        <v>387</v>
      </c>
      <c r="B156" s="263" t="s">
        <v>253</v>
      </c>
      <c r="C156" s="263"/>
      <c r="D156" s="263"/>
      <c r="E156" s="263"/>
      <c r="F156" s="263"/>
      <c r="G156" s="263"/>
      <c r="H156" s="263"/>
      <c r="I156" s="263"/>
      <c r="J156" s="263"/>
      <c r="K156" s="263"/>
      <c r="L156" s="3">
        <v>9</v>
      </c>
      <c r="M156" s="3">
        <v>25</v>
      </c>
      <c r="N156" s="3">
        <v>9</v>
      </c>
      <c r="O156" s="3">
        <f t="shared" si="2"/>
        <v>156</v>
      </c>
    </row>
    <row r="157" spans="1:23" ht="13.15" customHeight="1">
      <c r="B157" s="263"/>
      <c r="C157" s="263"/>
      <c r="D157" s="263"/>
      <c r="E157" s="263"/>
      <c r="F157" s="263"/>
      <c r="G157" s="263"/>
      <c r="H157" s="263"/>
      <c r="I157" s="263"/>
      <c r="J157" s="263"/>
      <c r="K157" s="263"/>
      <c r="O157" s="3">
        <f t="shared" si="2"/>
        <v>157</v>
      </c>
    </row>
    <row r="158" spans="1:23" ht="13.15" customHeight="1">
      <c r="B158" s="263"/>
      <c r="C158" s="263"/>
      <c r="D158" s="263"/>
      <c r="E158" s="263"/>
      <c r="F158" s="263"/>
      <c r="G158" s="263"/>
      <c r="H158" s="263"/>
      <c r="I158" s="263"/>
      <c r="J158" s="263"/>
      <c r="K158" s="263"/>
      <c r="O158" s="3">
        <f t="shared" si="2"/>
        <v>158</v>
      </c>
    </row>
    <row r="159" spans="1:23" ht="13.15" customHeight="1">
      <c r="B159" s="263"/>
      <c r="C159" s="263"/>
      <c r="D159" s="263"/>
      <c r="E159" s="263"/>
      <c r="F159" s="263"/>
      <c r="G159" s="263"/>
      <c r="H159" s="263"/>
      <c r="I159" s="263"/>
      <c r="J159" s="263"/>
      <c r="K159" s="263"/>
      <c r="O159" s="3">
        <f t="shared" si="2"/>
        <v>159</v>
      </c>
    </row>
    <row r="160" spans="1:23" ht="13.15" customHeight="1">
      <c r="B160" s="263"/>
      <c r="C160" s="263"/>
      <c r="D160" s="263"/>
      <c r="E160" s="263"/>
      <c r="F160" s="263"/>
      <c r="G160" s="263"/>
      <c r="H160" s="263"/>
      <c r="I160" s="263"/>
      <c r="J160" s="263"/>
      <c r="K160" s="263"/>
      <c r="O160" s="3">
        <f t="shared" si="2"/>
        <v>160</v>
      </c>
    </row>
    <row r="161" spans="2:15" ht="13.15" customHeight="1">
      <c r="B161" s="263"/>
      <c r="C161" s="263"/>
      <c r="D161" s="263"/>
      <c r="E161" s="263"/>
      <c r="F161" s="263"/>
      <c r="G161" s="263"/>
      <c r="H161" s="263"/>
      <c r="I161" s="263"/>
      <c r="J161" s="263"/>
      <c r="K161" s="263"/>
      <c r="O161" s="3">
        <f t="shared" si="2"/>
        <v>161</v>
      </c>
    </row>
    <row r="162" spans="2:15" ht="13.15" customHeight="1">
      <c r="B162" s="263"/>
      <c r="C162" s="263"/>
      <c r="D162" s="263"/>
      <c r="E162" s="263"/>
      <c r="F162" s="263"/>
      <c r="G162" s="263"/>
      <c r="H162" s="263"/>
      <c r="I162" s="263"/>
      <c r="J162" s="263"/>
      <c r="K162" s="263"/>
      <c r="O162" s="3">
        <f t="shared" si="2"/>
        <v>162</v>
      </c>
    </row>
    <row r="163" spans="2:15" ht="13.15" customHeight="1">
      <c r="B163" s="263"/>
      <c r="C163" s="263"/>
      <c r="D163" s="263"/>
      <c r="E163" s="263"/>
      <c r="F163" s="263"/>
      <c r="G163" s="263"/>
      <c r="H163" s="263"/>
      <c r="I163" s="263"/>
      <c r="J163" s="263"/>
      <c r="K163" s="263"/>
      <c r="O163" s="3">
        <f t="shared" si="2"/>
        <v>163</v>
      </c>
    </row>
    <row r="164" spans="2:15" ht="13.15" customHeight="1">
      <c r="B164" s="263"/>
      <c r="C164" s="263"/>
      <c r="D164" s="263"/>
      <c r="E164" s="263"/>
      <c r="F164" s="263"/>
      <c r="G164" s="263"/>
      <c r="H164" s="263"/>
      <c r="I164" s="263"/>
      <c r="J164" s="263"/>
      <c r="K164" s="263"/>
      <c r="O164" s="3">
        <f t="shared" si="2"/>
        <v>164</v>
      </c>
    </row>
    <row r="165" spans="2:15" ht="13.15" customHeight="1">
      <c r="O165" s="3">
        <f t="shared" si="2"/>
        <v>165</v>
      </c>
    </row>
    <row r="166" spans="2:15" ht="13.15" customHeight="1">
      <c r="B166" s="156" t="s">
        <v>379</v>
      </c>
      <c r="C166" s="264" t="s">
        <v>254</v>
      </c>
      <c r="D166" s="264"/>
      <c r="E166" s="264"/>
      <c r="F166" s="264"/>
      <c r="G166" s="264"/>
      <c r="H166" s="264"/>
      <c r="I166" s="264"/>
      <c r="J166" s="264"/>
      <c r="K166" s="264"/>
      <c r="O166" s="3">
        <f t="shared" si="2"/>
        <v>166</v>
      </c>
    </row>
    <row r="167" spans="2:15" ht="13.15" customHeight="1">
      <c r="C167" s="264"/>
      <c r="D167" s="264"/>
      <c r="E167" s="264"/>
      <c r="F167" s="264"/>
      <c r="G167" s="264"/>
      <c r="H167" s="264"/>
      <c r="I167" s="264"/>
      <c r="J167" s="264"/>
      <c r="K167" s="264"/>
      <c r="O167" s="3">
        <f t="shared" si="2"/>
        <v>167</v>
      </c>
    </row>
    <row r="168" spans="2:15" ht="13.15" customHeight="1">
      <c r="C168" s="264"/>
      <c r="D168" s="264"/>
      <c r="E168" s="264"/>
      <c r="F168" s="264"/>
      <c r="G168" s="264"/>
      <c r="H168" s="264"/>
      <c r="I168" s="264"/>
      <c r="J168" s="264"/>
      <c r="K168" s="264"/>
      <c r="O168" s="3">
        <f t="shared" si="2"/>
        <v>168</v>
      </c>
    </row>
    <row r="169" spans="2:15" ht="13.15" customHeight="1">
      <c r="C169" s="264"/>
      <c r="D169" s="264"/>
      <c r="E169" s="264"/>
      <c r="F169" s="264"/>
      <c r="G169" s="264"/>
      <c r="H169" s="264"/>
      <c r="I169" s="264"/>
      <c r="J169" s="264"/>
      <c r="K169" s="264"/>
      <c r="O169" s="3">
        <f t="shared" si="2"/>
        <v>169</v>
      </c>
    </row>
    <row r="170" spans="2:15" ht="13.15" customHeight="1">
      <c r="C170" s="264"/>
      <c r="D170" s="264"/>
      <c r="E170" s="264"/>
      <c r="F170" s="264"/>
      <c r="G170" s="264"/>
      <c r="H170" s="264"/>
      <c r="I170" s="264"/>
      <c r="J170" s="264"/>
      <c r="K170" s="264"/>
      <c r="O170" s="3">
        <f t="shared" si="2"/>
        <v>170</v>
      </c>
    </row>
    <row r="171" spans="2:15" ht="13.15" customHeight="1">
      <c r="C171" s="264"/>
      <c r="D171" s="264"/>
      <c r="E171" s="264"/>
      <c r="F171" s="264"/>
      <c r="G171" s="264"/>
      <c r="H171" s="264"/>
      <c r="I171" s="264"/>
      <c r="J171" s="264"/>
      <c r="K171" s="264"/>
      <c r="O171" s="3">
        <f t="shared" si="2"/>
        <v>171</v>
      </c>
    </row>
    <row r="172" spans="2:15" ht="13.15" customHeight="1">
      <c r="C172" s="165"/>
      <c r="D172" s="165"/>
      <c r="E172" s="165"/>
      <c r="F172" s="165"/>
      <c r="G172" s="165"/>
      <c r="H172" s="165"/>
      <c r="I172" s="165"/>
      <c r="J172" s="165"/>
      <c r="K172" s="165"/>
      <c r="O172" s="3">
        <f t="shared" si="2"/>
        <v>172</v>
      </c>
    </row>
    <row r="173" spans="2:15" ht="13.15" customHeight="1">
      <c r="B173" s="156" t="s">
        <v>379</v>
      </c>
      <c r="C173" s="264" t="s">
        <v>199</v>
      </c>
      <c r="D173" s="264"/>
      <c r="E173" s="264"/>
      <c r="F173" s="264"/>
      <c r="G173" s="264"/>
      <c r="H173" s="264"/>
      <c r="I173" s="264"/>
      <c r="J173" s="264"/>
      <c r="K173" s="264"/>
      <c r="O173" s="3">
        <f t="shared" si="2"/>
        <v>173</v>
      </c>
    </row>
    <row r="174" spans="2:15" ht="13.15" customHeight="1">
      <c r="C174" s="264"/>
      <c r="D174" s="264"/>
      <c r="E174" s="264"/>
      <c r="F174" s="264"/>
      <c r="G174" s="264"/>
      <c r="H174" s="264"/>
      <c r="I174" s="264"/>
      <c r="J174" s="264"/>
      <c r="K174" s="264"/>
      <c r="O174" s="3">
        <f t="shared" si="2"/>
        <v>174</v>
      </c>
    </row>
    <row r="175" spans="2:15" ht="13.15" customHeight="1">
      <c r="C175" s="264"/>
      <c r="D175" s="264"/>
      <c r="E175" s="264"/>
      <c r="F175" s="264"/>
      <c r="G175" s="264"/>
      <c r="H175" s="264"/>
      <c r="I175" s="264"/>
      <c r="J175" s="264"/>
      <c r="K175" s="264"/>
      <c r="O175" s="3">
        <f t="shared" si="2"/>
        <v>175</v>
      </c>
    </row>
    <row r="176" spans="2:15" ht="13.15" customHeight="1">
      <c r="C176" s="264"/>
      <c r="D176" s="264"/>
      <c r="E176" s="264"/>
      <c r="F176" s="264"/>
      <c r="G176" s="264"/>
      <c r="H176" s="264"/>
      <c r="I176" s="264"/>
      <c r="J176" s="264"/>
      <c r="K176" s="264"/>
      <c r="O176" s="3">
        <f t="shared" si="2"/>
        <v>176</v>
      </c>
    </row>
    <row r="177" spans="1:15" ht="13.15" customHeight="1">
      <c r="C177" s="264"/>
      <c r="D177" s="264"/>
      <c r="E177" s="264"/>
      <c r="F177" s="264"/>
      <c r="G177" s="264"/>
      <c r="H177" s="264"/>
      <c r="I177" s="264"/>
      <c r="J177" s="264"/>
      <c r="K177" s="264"/>
      <c r="O177" s="3">
        <f t="shared" si="2"/>
        <v>177</v>
      </c>
    </row>
    <row r="178" spans="1:15" ht="13.15" customHeight="1">
      <c r="C178" s="264"/>
      <c r="D178" s="264"/>
      <c r="E178" s="264"/>
      <c r="F178" s="264"/>
      <c r="G178" s="264"/>
      <c r="H178" s="264"/>
      <c r="I178" s="264"/>
      <c r="J178" s="264"/>
      <c r="K178" s="264"/>
      <c r="O178" s="3">
        <f t="shared" si="2"/>
        <v>178</v>
      </c>
    </row>
    <row r="179" spans="1:15" ht="13.15" customHeight="1">
      <c r="C179" s="264"/>
      <c r="D179" s="264"/>
      <c r="E179" s="264"/>
      <c r="F179" s="264"/>
      <c r="G179" s="264"/>
      <c r="H179" s="264"/>
      <c r="I179" s="264"/>
      <c r="J179" s="264"/>
      <c r="K179" s="264"/>
      <c r="O179" s="3">
        <f t="shared" si="2"/>
        <v>179</v>
      </c>
    </row>
    <row r="180" spans="1:15" ht="13.15" customHeight="1">
      <c r="C180" s="264"/>
      <c r="D180" s="264"/>
      <c r="E180" s="264"/>
      <c r="F180" s="264"/>
      <c r="G180" s="264"/>
      <c r="H180" s="264"/>
      <c r="I180" s="264"/>
      <c r="J180" s="264"/>
      <c r="K180" s="264"/>
      <c r="O180" s="3">
        <f t="shared" si="2"/>
        <v>180</v>
      </c>
    </row>
    <row r="181" spans="1:15" ht="13.15" customHeight="1">
      <c r="C181" s="172"/>
      <c r="D181" s="172"/>
      <c r="E181" s="172"/>
      <c r="F181" s="172"/>
      <c r="G181" s="172"/>
      <c r="H181" s="172"/>
      <c r="I181" s="172"/>
      <c r="J181" s="172"/>
      <c r="K181" s="172"/>
      <c r="O181" s="3">
        <f t="shared" si="2"/>
        <v>181</v>
      </c>
    </row>
    <row r="182" spans="1:15" ht="13.15" customHeight="1">
      <c r="A182" s="152" t="s">
        <v>388</v>
      </c>
      <c r="B182" s="263" t="s">
        <v>255</v>
      </c>
      <c r="C182" s="263"/>
      <c r="D182" s="263"/>
      <c r="E182" s="263"/>
      <c r="F182" s="263"/>
      <c r="G182" s="263"/>
      <c r="H182" s="263"/>
      <c r="I182" s="263"/>
      <c r="J182" s="263"/>
      <c r="K182" s="263"/>
      <c r="L182" s="3">
        <v>10</v>
      </c>
      <c r="M182" s="3">
        <v>21</v>
      </c>
      <c r="N182" s="3">
        <v>4</v>
      </c>
      <c r="O182" s="3">
        <f t="shared" si="2"/>
        <v>182</v>
      </c>
    </row>
    <row r="183" spans="1:15" ht="13.15" customHeight="1">
      <c r="B183" s="263"/>
      <c r="C183" s="263"/>
      <c r="D183" s="263"/>
      <c r="E183" s="263"/>
      <c r="F183" s="263"/>
      <c r="G183" s="263"/>
      <c r="H183" s="263"/>
      <c r="I183" s="263"/>
      <c r="J183" s="263"/>
      <c r="K183" s="263"/>
      <c r="M183" s="3" t="s">
        <v>233</v>
      </c>
      <c r="O183" s="3">
        <f t="shared" si="2"/>
        <v>183</v>
      </c>
    </row>
    <row r="184" spans="1:15" ht="13.15" customHeight="1">
      <c r="B184" s="263"/>
      <c r="C184" s="263"/>
      <c r="D184" s="263"/>
      <c r="E184" s="263"/>
      <c r="F184" s="263"/>
      <c r="G184" s="263"/>
      <c r="H184" s="263"/>
      <c r="I184" s="263"/>
      <c r="J184" s="263"/>
      <c r="K184" s="263"/>
      <c r="M184" s="3" t="s">
        <v>233</v>
      </c>
      <c r="O184" s="3">
        <f t="shared" si="2"/>
        <v>184</v>
      </c>
    </row>
    <row r="185" spans="1:15" ht="13.15" customHeight="1">
      <c r="B185" s="263"/>
      <c r="C185" s="263"/>
      <c r="D185" s="263"/>
      <c r="E185" s="263"/>
      <c r="F185" s="263"/>
      <c r="G185" s="263"/>
      <c r="H185" s="263"/>
      <c r="I185" s="263"/>
      <c r="J185" s="263"/>
      <c r="K185" s="263"/>
      <c r="M185" s="3" t="s">
        <v>233</v>
      </c>
      <c r="O185" s="3">
        <f t="shared" si="2"/>
        <v>185</v>
      </c>
    </row>
    <row r="186" spans="1:15" ht="13.15" customHeight="1">
      <c r="B186" s="164"/>
      <c r="C186" s="164"/>
      <c r="D186" s="164"/>
      <c r="E186" s="164"/>
      <c r="F186" s="164"/>
      <c r="G186" s="164"/>
      <c r="H186" s="164"/>
      <c r="I186" s="164"/>
      <c r="J186" s="164"/>
      <c r="K186" s="164"/>
      <c r="M186" s="3" t="s">
        <v>233</v>
      </c>
      <c r="O186" s="3">
        <f t="shared" si="2"/>
        <v>186</v>
      </c>
    </row>
    <row r="187" spans="1:15" ht="13.15" customHeight="1">
      <c r="B187" s="156" t="s">
        <v>379</v>
      </c>
      <c r="C187" s="264" t="s">
        <v>256</v>
      </c>
      <c r="D187" s="264"/>
      <c r="E187" s="264"/>
      <c r="F187" s="264"/>
      <c r="G187" s="264"/>
      <c r="H187" s="264"/>
      <c r="I187" s="264"/>
      <c r="J187" s="264"/>
      <c r="K187" s="264"/>
      <c r="M187" s="3" t="s">
        <v>233</v>
      </c>
      <c r="O187" s="3">
        <f t="shared" si="2"/>
        <v>187</v>
      </c>
    </row>
    <row r="188" spans="1:15" ht="13.15" customHeight="1">
      <c r="C188" s="264"/>
      <c r="D188" s="264"/>
      <c r="E188" s="264"/>
      <c r="F188" s="264"/>
      <c r="G188" s="264"/>
      <c r="H188" s="264"/>
      <c r="I188" s="264"/>
      <c r="J188" s="264"/>
      <c r="K188" s="264"/>
      <c r="M188" s="3" t="s">
        <v>233</v>
      </c>
      <c r="O188" s="3">
        <f t="shared" si="2"/>
        <v>188</v>
      </c>
    </row>
    <row r="189" spans="1:15" ht="13.15" customHeight="1">
      <c r="B189" s="99"/>
      <c r="C189" s="264"/>
      <c r="D189" s="264"/>
      <c r="E189" s="264"/>
      <c r="F189" s="264"/>
      <c r="G189" s="264"/>
      <c r="H189" s="264"/>
      <c r="I189" s="264"/>
      <c r="J189" s="264"/>
      <c r="K189" s="264"/>
      <c r="M189" s="3" t="s">
        <v>233</v>
      </c>
      <c r="O189" s="3">
        <f t="shared" si="2"/>
        <v>189</v>
      </c>
    </row>
    <row r="190" spans="1:15" ht="13.15" customHeight="1">
      <c r="B190" s="99"/>
      <c r="C190" s="264"/>
      <c r="D190" s="264"/>
      <c r="E190" s="264"/>
      <c r="F190" s="264"/>
      <c r="G190" s="264"/>
      <c r="H190" s="264"/>
      <c r="I190" s="264"/>
      <c r="J190" s="264"/>
      <c r="K190" s="264"/>
      <c r="M190" s="3" t="s">
        <v>233</v>
      </c>
      <c r="O190" s="3">
        <f t="shared" si="2"/>
        <v>190</v>
      </c>
    </row>
    <row r="191" spans="1:15" ht="13.15" customHeight="1">
      <c r="B191" s="99"/>
      <c r="C191" s="264"/>
      <c r="D191" s="264"/>
      <c r="E191" s="264"/>
      <c r="F191" s="264"/>
      <c r="G191" s="264"/>
      <c r="H191" s="264"/>
      <c r="I191" s="264"/>
      <c r="J191" s="264"/>
      <c r="K191" s="264"/>
      <c r="M191" s="3" t="s">
        <v>233</v>
      </c>
      <c r="O191" s="3">
        <f t="shared" si="2"/>
        <v>191</v>
      </c>
    </row>
    <row r="192" spans="1:15" ht="13.15" customHeight="1">
      <c r="C192" s="264"/>
      <c r="D192" s="264"/>
      <c r="E192" s="264"/>
      <c r="F192" s="264"/>
      <c r="G192" s="264"/>
      <c r="H192" s="264"/>
      <c r="I192" s="264"/>
      <c r="J192" s="264"/>
      <c r="K192" s="264"/>
      <c r="M192" s="3" t="s">
        <v>233</v>
      </c>
      <c r="O192" s="3">
        <f t="shared" si="2"/>
        <v>192</v>
      </c>
    </row>
    <row r="193" spans="1:15" ht="13.15" customHeight="1">
      <c r="C193" s="264"/>
      <c r="D193" s="264"/>
      <c r="E193" s="264"/>
      <c r="F193" s="264"/>
      <c r="G193" s="264"/>
      <c r="H193" s="264"/>
      <c r="I193" s="264"/>
      <c r="J193" s="264"/>
      <c r="K193" s="264"/>
      <c r="M193" s="3" t="s">
        <v>233</v>
      </c>
      <c r="O193" s="3">
        <f t="shared" si="2"/>
        <v>193</v>
      </c>
    </row>
    <row r="194" spans="1:15" ht="13.15" customHeight="1">
      <c r="C194" s="264"/>
      <c r="D194" s="264"/>
      <c r="E194" s="264"/>
      <c r="F194" s="264"/>
      <c r="G194" s="264"/>
      <c r="H194" s="264"/>
      <c r="I194" s="264"/>
      <c r="J194" s="264"/>
      <c r="K194" s="264"/>
      <c r="M194" s="3" t="s">
        <v>233</v>
      </c>
      <c r="O194" s="3">
        <f t="shared" si="2"/>
        <v>194</v>
      </c>
    </row>
    <row r="195" spans="1:15" ht="13.15" customHeight="1">
      <c r="C195" s="164"/>
      <c r="D195" s="164"/>
      <c r="E195" s="164"/>
      <c r="F195" s="164"/>
      <c r="G195" s="164"/>
      <c r="H195" s="164"/>
      <c r="I195" s="164"/>
      <c r="J195" s="164"/>
      <c r="K195" s="164"/>
      <c r="M195" s="3" t="s">
        <v>233</v>
      </c>
      <c r="O195" s="3">
        <f t="shared" si="2"/>
        <v>195</v>
      </c>
    </row>
    <row r="196" spans="1:15" ht="13.15" customHeight="1">
      <c r="B196" s="156" t="s">
        <v>379</v>
      </c>
      <c r="C196" s="264" t="s">
        <v>257</v>
      </c>
      <c r="D196" s="264"/>
      <c r="E196" s="264"/>
      <c r="F196" s="264"/>
      <c r="G196" s="264"/>
      <c r="H196" s="264"/>
      <c r="I196" s="264"/>
      <c r="J196" s="264"/>
      <c r="K196" s="264"/>
      <c r="M196" s="3" t="s">
        <v>233</v>
      </c>
      <c r="O196" s="3">
        <f t="shared" si="2"/>
        <v>196</v>
      </c>
    </row>
    <row r="197" spans="1:15" ht="13.15" customHeight="1">
      <c r="C197" s="264"/>
      <c r="D197" s="264"/>
      <c r="E197" s="264"/>
      <c r="F197" s="264"/>
      <c r="G197" s="264"/>
      <c r="H197" s="264"/>
      <c r="I197" s="264"/>
      <c r="J197" s="264"/>
      <c r="K197" s="264"/>
      <c r="M197" s="3" t="s">
        <v>233</v>
      </c>
      <c r="O197" s="3">
        <f t="shared" si="2"/>
        <v>197</v>
      </c>
    </row>
    <row r="198" spans="1:15" ht="13.15" customHeight="1">
      <c r="C198" s="264"/>
      <c r="D198" s="264"/>
      <c r="E198" s="264"/>
      <c r="F198" s="264"/>
      <c r="G198" s="264"/>
      <c r="H198" s="264"/>
      <c r="I198" s="264"/>
      <c r="J198" s="264"/>
      <c r="K198" s="264"/>
      <c r="L198" s="92"/>
      <c r="M198" s="3" t="s">
        <v>233</v>
      </c>
      <c r="O198" s="3">
        <f t="shared" si="2"/>
        <v>198</v>
      </c>
    </row>
    <row r="199" spans="1:15" ht="13.15" customHeight="1">
      <c r="C199" s="264"/>
      <c r="D199" s="264"/>
      <c r="E199" s="264"/>
      <c r="F199" s="264"/>
      <c r="G199" s="264"/>
      <c r="H199" s="264"/>
      <c r="I199" s="264"/>
      <c r="J199" s="264"/>
      <c r="K199" s="264"/>
      <c r="M199" s="3" t="s">
        <v>233</v>
      </c>
      <c r="O199" s="3">
        <f t="shared" si="2"/>
        <v>199</v>
      </c>
    </row>
    <row r="200" spans="1:15" ht="13.15" customHeight="1">
      <c r="C200" s="264"/>
      <c r="D200" s="264"/>
      <c r="E200" s="264"/>
      <c r="F200" s="264"/>
      <c r="G200" s="264"/>
      <c r="H200" s="264"/>
      <c r="I200" s="264"/>
      <c r="J200" s="264"/>
      <c r="K200" s="264"/>
      <c r="M200" s="3" t="s">
        <v>233</v>
      </c>
      <c r="O200" s="3">
        <f t="shared" si="2"/>
        <v>200</v>
      </c>
    </row>
    <row r="201" spans="1:15" ht="13.15" customHeight="1">
      <c r="C201" s="264"/>
      <c r="D201" s="264"/>
      <c r="E201" s="264"/>
      <c r="F201" s="264"/>
      <c r="G201" s="264"/>
      <c r="H201" s="264"/>
      <c r="I201" s="264"/>
      <c r="J201" s="264"/>
      <c r="K201" s="264"/>
      <c r="M201" s="3" t="s">
        <v>233</v>
      </c>
      <c r="O201" s="3">
        <f t="shared" si="2"/>
        <v>201</v>
      </c>
    </row>
    <row r="202" spans="1:15" ht="13.15" customHeight="1">
      <c r="C202" s="264"/>
      <c r="D202" s="264"/>
      <c r="E202" s="264"/>
      <c r="F202" s="264"/>
      <c r="G202" s="264"/>
      <c r="H202" s="264"/>
      <c r="I202" s="264"/>
      <c r="J202" s="264"/>
      <c r="K202" s="264"/>
      <c r="M202" s="3" t="s">
        <v>233</v>
      </c>
      <c r="O202" s="3">
        <f t="shared" si="2"/>
        <v>202</v>
      </c>
    </row>
    <row r="203" spans="1:15" ht="13.15" customHeight="1">
      <c r="C203" s="173"/>
      <c r="D203" s="173"/>
      <c r="E203" s="173"/>
      <c r="F203" s="173"/>
      <c r="G203" s="173"/>
      <c r="H203" s="173"/>
      <c r="I203" s="173"/>
      <c r="J203" s="173"/>
      <c r="K203" s="173"/>
      <c r="M203" s="3" t="s">
        <v>233</v>
      </c>
      <c r="O203" s="3">
        <f t="shared" si="2"/>
        <v>203</v>
      </c>
    </row>
    <row r="204" spans="1:15" ht="13.15" customHeight="1">
      <c r="A204" s="152" t="s">
        <v>389</v>
      </c>
      <c r="B204" s="267" t="s">
        <v>440</v>
      </c>
      <c r="C204" s="267"/>
      <c r="D204" s="267"/>
      <c r="E204" s="267"/>
      <c r="F204" s="267"/>
      <c r="G204" s="267"/>
      <c r="H204" s="267"/>
      <c r="I204" s="267"/>
      <c r="J204" s="267"/>
      <c r="K204" s="267"/>
      <c r="L204" s="3">
        <v>11</v>
      </c>
      <c r="M204" s="3">
        <v>12</v>
      </c>
      <c r="N204" s="3">
        <v>3</v>
      </c>
      <c r="O204" s="3">
        <f t="shared" si="2"/>
        <v>204</v>
      </c>
    </row>
    <row r="205" spans="1:15" ht="13.15" customHeight="1">
      <c r="B205" s="267"/>
      <c r="C205" s="267"/>
      <c r="D205" s="267"/>
      <c r="E205" s="267"/>
      <c r="F205" s="267"/>
      <c r="G205" s="267"/>
      <c r="H205" s="267"/>
      <c r="I205" s="267"/>
      <c r="J205" s="267"/>
      <c r="K205" s="267"/>
      <c r="L205" s="103"/>
      <c r="M205" s="3" t="s">
        <v>233</v>
      </c>
      <c r="O205" s="3">
        <f t="shared" si="2"/>
        <v>205</v>
      </c>
    </row>
    <row r="206" spans="1:15" ht="13.15" customHeight="1">
      <c r="B206" s="267"/>
      <c r="C206" s="267"/>
      <c r="D206" s="267"/>
      <c r="E206" s="267"/>
      <c r="F206" s="267"/>
      <c r="G206" s="267"/>
      <c r="H206" s="267"/>
      <c r="I206" s="267"/>
      <c r="J206" s="267"/>
      <c r="K206" s="267"/>
      <c r="L206" s="103"/>
      <c r="M206" s="3" t="s">
        <v>233</v>
      </c>
      <c r="O206" s="3">
        <f t="shared" si="2"/>
        <v>206</v>
      </c>
    </row>
    <row r="207" spans="1:15" ht="13.15" customHeight="1">
      <c r="B207" s="103"/>
      <c r="C207" s="103"/>
      <c r="D207" s="103"/>
      <c r="E207" s="103"/>
      <c r="F207" s="103"/>
      <c r="G207" s="103"/>
      <c r="H207" s="103"/>
      <c r="I207" s="103"/>
      <c r="J207" s="103"/>
      <c r="K207" s="103"/>
      <c r="L207" s="103"/>
      <c r="M207" s="3" t="s">
        <v>233</v>
      </c>
      <c r="O207" s="3">
        <f t="shared" si="2"/>
        <v>207</v>
      </c>
    </row>
    <row r="208" spans="1:15" ht="13.15" customHeight="1">
      <c r="B208" s="156" t="s">
        <v>379</v>
      </c>
      <c r="C208" s="267" t="s">
        <v>258</v>
      </c>
      <c r="D208" s="267"/>
      <c r="E208" s="267"/>
      <c r="F208" s="267"/>
      <c r="G208" s="267"/>
      <c r="H208" s="267"/>
      <c r="I208" s="267"/>
      <c r="J208" s="267"/>
      <c r="K208" s="267"/>
      <c r="L208" s="103"/>
      <c r="M208" s="3" t="s">
        <v>233</v>
      </c>
      <c r="O208" s="3">
        <f t="shared" si="2"/>
        <v>208</v>
      </c>
    </row>
    <row r="209" spans="1:15" ht="13.15" customHeight="1">
      <c r="C209" s="267"/>
      <c r="D209" s="267"/>
      <c r="E209" s="267"/>
      <c r="F209" s="267"/>
      <c r="G209" s="267"/>
      <c r="H209" s="267"/>
      <c r="I209" s="267"/>
      <c r="J209" s="267"/>
      <c r="K209" s="267"/>
      <c r="L209" s="104"/>
      <c r="M209" s="3" t="s">
        <v>233</v>
      </c>
      <c r="O209" s="3">
        <f t="shared" si="2"/>
        <v>209</v>
      </c>
    </row>
    <row r="210" spans="1:15" ht="13.15" customHeight="1">
      <c r="C210" s="267"/>
      <c r="D210" s="267"/>
      <c r="E210" s="267"/>
      <c r="F210" s="267"/>
      <c r="G210" s="267"/>
      <c r="H210" s="267"/>
      <c r="I210" s="267"/>
      <c r="J210" s="267"/>
      <c r="K210" s="267"/>
      <c r="L210" s="104"/>
      <c r="M210" s="3" t="s">
        <v>233</v>
      </c>
      <c r="O210" s="3">
        <f t="shared" si="2"/>
        <v>210</v>
      </c>
    </row>
    <row r="211" spans="1:15" ht="13.15" customHeight="1">
      <c r="C211" s="267"/>
      <c r="D211" s="267"/>
      <c r="E211" s="267"/>
      <c r="F211" s="267"/>
      <c r="G211" s="267"/>
      <c r="H211" s="267"/>
      <c r="I211" s="267"/>
      <c r="J211" s="267"/>
      <c r="K211" s="267"/>
      <c r="L211" s="104"/>
      <c r="M211" s="3" t="s">
        <v>233</v>
      </c>
      <c r="O211" s="3">
        <f t="shared" si="2"/>
        <v>211</v>
      </c>
    </row>
    <row r="212" spans="1:15" ht="13.15" customHeight="1">
      <c r="C212" s="267"/>
      <c r="D212" s="267"/>
      <c r="E212" s="267"/>
      <c r="F212" s="267"/>
      <c r="G212" s="267"/>
      <c r="H212" s="267"/>
      <c r="I212" s="267"/>
      <c r="J212" s="267"/>
      <c r="K212" s="267"/>
      <c r="L212" s="104"/>
      <c r="M212" s="3" t="s">
        <v>233</v>
      </c>
      <c r="O212" s="3">
        <f t="shared" si="2"/>
        <v>212</v>
      </c>
    </row>
    <row r="213" spans="1:15" ht="13.15" customHeight="1">
      <c r="C213" s="267"/>
      <c r="D213" s="267"/>
      <c r="E213" s="267"/>
      <c r="F213" s="267"/>
      <c r="G213" s="267"/>
      <c r="H213" s="267"/>
      <c r="I213" s="267"/>
      <c r="J213" s="267"/>
      <c r="K213" s="267"/>
      <c r="L213" s="104"/>
      <c r="M213" s="3" t="s">
        <v>233</v>
      </c>
      <c r="O213" s="3">
        <f t="shared" si="2"/>
        <v>213</v>
      </c>
    </row>
    <row r="214" spans="1:15" ht="13.15" customHeight="1">
      <c r="C214" s="267"/>
      <c r="D214" s="267"/>
      <c r="E214" s="267"/>
      <c r="F214" s="267"/>
      <c r="G214" s="267"/>
      <c r="H214" s="267"/>
      <c r="I214" s="267"/>
      <c r="J214" s="267"/>
      <c r="K214" s="267"/>
      <c r="L214" s="104"/>
      <c r="M214" s="3" t="s">
        <v>233</v>
      </c>
      <c r="O214" s="3">
        <f t="shared" si="2"/>
        <v>214</v>
      </c>
    </row>
    <row r="215" spans="1:15" ht="13.15" customHeight="1">
      <c r="C215" s="267"/>
      <c r="D215" s="267"/>
      <c r="E215" s="267"/>
      <c r="F215" s="267"/>
      <c r="G215" s="267"/>
      <c r="H215" s="267"/>
      <c r="I215" s="267"/>
      <c r="J215" s="267"/>
      <c r="K215" s="267"/>
      <c r="L215" s="104"/>
      <c r="M215" s="3" t="s">
        <v>233</v>
      </c>
      <c r="O215" s="3">
        <f t="shared" si="2"/>
        <v>215</v>
      </c>
    </row>
    <row r="216" spans="1:15" ht="13.15" customHeight="1">
      <c r="C216" s="104"/>
      <c r="D216" s="104"/>
      <c r="E216" s="104"/>
      <c r="F216" s="104"/>
      <c r="G216" s="104"/>
      <c r="H216" s="104"/>
      <c r="I216" s="104"/>
      <c r="J216" s="104"/>
      <c r="K216" s="104"/>
      <c r="L216" s="104"/>
      <c r="M216" s="3" t="s">
        <v>233</v>
      </c>
      <c r="O216" s="3">
        <f t="shared" si="2"/>
        <v>216</v>
      </c>
    </row>
    <row r="217" spans="1:15" ht="13.15" customHeight="1">
      <c r="A217" s="152" t="s">
        <v>390</v>
      </c>
      <c r="B217" s="271" t="s">
        <v>259</v>
      </c>
      <c r="C217" s="271"/>
      <c r="D217" s="271"/>
      <c r="E217" s="271"/>
      <c r="F217" s="271"/>
      <c r="G217" s="271"/>
      <c r="H217" s="271"/>
      <c r="I217" s="271"/>
      <c r="J217" s="271"/>
      <c r="K217" s="271"/>
      <c r="L217" s="3">
        <v>12</v>
      </c>
      <c r="M217" s="3">
        <v>24</v>
      </c>
      <c r="N217" s="3">
        <v>11</v>
      </c>
      <c r="O217" s="3">
        <f t="shared" ref="O217:O278" si="3">ROW(M217)</f>
        <v>217</v>
      </c>
    </row>
    <row r="218" spans="1:15" ht="13.15" customHeight="1">
      <c r="B218" s="271"/>
      <c r="C218" s="271"/>
      <c r="D218" s="271"/>
      <c r="E218" s="271"/>
      <c r="F218" s="271"/>
      <c r="G218" s="271"/>
      <c r="H218" s="271"/>
      <c r="I218" s="271"/>
      <c r="J218" s="271"/>
      <c r="K218" s="271"/>
      <c r="L218" s="105"/>
      <c r="M218" s="3" t="s">
        <v>233</v>
      </c>
      <c r="O218" s="3">
        <f t="shared" si="3"/>
        <v>218</v>
      </c>
    </row>
    <row r="219" spans="1:15" ht="13.15" customHeight="1">
      <c r="B219" s="271"/>
      <c r="C219" s="271"/>
      <c r="D219" s="271"/>
      <c r="E219" s="271"/>
      <c r="F219" s="271"/>
      <c r="G219" s="271"/>
      <c r="H219" s="271"/>
      <c r="I219" s="271"/>
      <c r="J219" s="271"/>
      <c r="K219" s="271"/>
      <c r="L219" s="105"/>
      <c r="M219" s="3" t="s">
        <v>233</v>
      </c>
      <c r="O219" s="3">
        <f t="shared" si="3"/>
        <v>219</v>
      </c>
    </row>
    <row r="220" spans="1:15" ht="13.15" customHeight="1">
      <c r="B220" s="271"/>
      <c r="C220" s="271"/>
      <c r="D220" s="271"/>
      <c r="E220" s="271"/>
      <c r="F220" s="271"/>
      <c r="G220" s="271"/>
      <c r="H220" s="271"/>
      <c r="I220" s="271"/>
      <c r="J220" s="271"/>
      <c r="K220" s="271"/>
      <c r="L220" s="105"/>
      <c r="M220" s="3" t="s">
        <v>233</v>
      </c>
      <c r="O220" s="3">
        <f t="shared" si="3"/>
        <v>220</v>
      </c>
    </row>
    <row r="221" spans="1:15" ht="13.15" customHeight="1">
      <c r="B221" s="271"/>
      <c r="C221" s="271"/>
      <c r="D221" s="271"/>
      <c r="E221" s="271"/>
      <c r="F221" s="271"/>
      <c r="G221" s="271"/>
      <c r="H221" s="271"/>
      <c r="I221" s="271"/>
      <c r="J221" s="271"/>
      <c r="K221" s="271"/>
      <c r="L221" s="105"/>
      <c r="M221" s="3" t="s">
        <v>233</v>
      </c>
      <c r="O221" s="3">
        <f t="shared" si="3"/>
        <v>221</v>
      </c>
    </row>
    <row r="222" spans="1:15" ht="13.15" customHeight="1">
      <c r="B222" s="271"/>
      <c r="C222" s="271"/>
      <c r="D222" s="271"/>
      <c r="E222" s="271"/>
      <c r="F222" s="271"/>
      <c r="G222" s="271"/>
      <c r="H222" s="271"/>
      <c r="I222" s="271"/>
      <c r="J222" s="271"/>
      <c r="K222" s="271"/>
      <c r="L222" s="105"/>
      <c r="M222" s="3" t="s">
        <v>233</v>
      </c>
      <c r="O222" s="3">
        <f t="shared" si="3"/>
        <v>222</v>
      </c>
    </row>
    <row r="223" spans="1:15" ht="13.15" customHeight="1">
      <c r="B223" s="271"/>
      <c r="C223" s="271"/>
      <c r="D223" s="271"/>
      <c r="E223" s="271"/>
      <c r="F223" s="271"/>
      <c r="G223" s="271"/>
      <c r="H223" s="271"/>
      <c r="I223" s="271"/>
      <c r="J223" s="271"/>
      <c r="K223" s="271"/>
      <c r="L223" s="105"/>
      <c r="M223" s="3" t="s">
        <v>233</v>
      </c>
      <c r="O223" s="3">
        <f t="shared" si="3"/>
        <v>223</v>
      </c>
    </row>
    <row r="224" spans="1:15" ht="13.15" customHeight="1">
      <c r="B224" s="271"/>
      <c r="C224" s="271"/>
      <c r="D224" s="271"/>
      <c r="E224" s="271"/>
      <c r="F224" s="271"/>
      <c r="G224" s="271"/>
      <c r="H224" s="271"/>
      <c r="I224" s="271"/>
      <c r="J224" s="271"/>
      <c r="K224" s="271"/>
      <c r="L224" s="105"/>
      <c r="M224" s="3" t="s">
        <v>233</v>
      </c>
      <c r="O224" s="3">
        <f t="shared" si="3"/>
        <v>224</v>
      </c>
    </row>
    <row r="225" spans="2:15" ht="13.15" customHeight="1">
      <c r="B225" s="271"/>
      <c r="C225" s="271"/>
      <c r="D225" s="271"/>
      <c r="E225" s="271"/>
      <c r="F225" s="271"/>
      <c r="G225" s="271"/>
      <c r="H225" s="271"/>
      <c r="I225" s="271"/>
      <c r="J225" s="271"/>
      <c r="K225" s="271"/>
      <c r="L225" s="105"/>
      <c r="M225" s="3" t="s">
        <v>233</v>
      </c>
      <c r="O225" s="3">
        <f t="shared" si="3"/>
        <v>225</v>
      </c>
    </row>
    <row r="226" spans="2:15" ht="13.15" customHeight="1">
      <c r="B226" s="271"/>
      <c r="C226" s="271"/>
      <c r="D226" s="271"/>
      <c r="E226" s="271"/>
      <c r="F226" s="271"/>
      <c r="G226" s="271"/>
      <c r="H226" s="271"/>
      <c r="I226" s="271"/>
      <c r="J226" s="271"/>
      <c r="K226" s="271"/>
      <c r="L226" s="105"/>
      <c r="M226" s="3" t="s">
        <v>233</v>
      </c>
      <c r="O226" s="3">
        <f t="shared" si="3"/>
        <v>226</v>
      </c>
    </row>
    <row r="227" spans="2:15" ht="13.15" customHeight="1">
      <c r="B227" s="271"/>
      <c r="C227" s="271"/>
      <c r="D227" s="271"/>
      <c r="E227" s="271"/>
      <c r="F227" s="271"/>
      <c r="G227" s="271"/>
      <c r="H227" s="271"/>
      <c r="I227" s="271"/>
      <c r="J227" s="271"/>
      <c r="K227" s="271"/>
      <c r="L227" s="105"/>
      <c r="M227" s="3" t="s">
        <v>233</v>
      </c>
      <c r="O227" s="3">
        <f t="shared" si="3"/>
        <v>227</v>
      </c>
    </row>
    <row r="228" spans="2:15" ht="13.15" customHeight="1">
      <c r="B228" s="105"/>
      <c r="C228" s="105"/>
      <c r="D228" s="105"/>
      <c r="E228" s="105"/>
      <c r="F228" s="105"/>
      <c r="G228" s="105"/>
      <c r="H228" s="105"/>
      <c r="I228" s="105"/>
      <c r="J228" s="105"/>
      <c r="K228" s="105"/>
      <c r="L228" s="105"/>
      <c r="M228" s="3" t="s">
        <v>233</v>
      </c>
      <c r="O228" s="3">
        <f t="shared" si="3"/>
        <v>228</v>
      </c>
    </row>
    <row r="229" spans="2:15" ht="13.15" customHeight="1">
      <c r="B229" s="156" t="s">
        <v>379</v>
      </c>
      <c r="C229" s="267" t="s">
        <v>260</v>
      </c>
      <c r="D229" s="267"/>
      <c r="E229" s="267"/>
      <c r="F229" s="267"/>
      <c r="G229" s="267"/>
      <c r="H229" s="267"/>
      <c r="I229" s="267"/>
      <c r="J229" s="267"/>
      <c r="K229" s="267"/>
      <c r="L229" s="105"/>
      <c r="M229" s="3" t="s">
        <v>233</v>
      </c>
      <c r="O229" s="3">
        <f t="shared" si="3"/>
        <v>229</v>
      </c>
    </row>
    <row r="230" spans="2:15" ht="13.15" customHeight="1">
      <c r="B230" s="177"/>
      <c r="C230" s="267"/>
      <c r="D230" s="267"/>
      <c r="E230" s="267"/>
      <c r="F230" s="267"/>
      <c r="G230" s="267"/>
      <c r="H230" s="267"/>
      <c r="I230" s="267"/>
      <c r="J230" s="267"/>
      <c r="K230" s="267"/>
      <c r="L230" s="106"/>
      <c r="M230" s="3" t="s">
        <v>233</v>
      </c>
      <c r="O230" s="3">
        <f t="shared" si="3"/>
        <v>230</v>
      </c>
    </row>
    <row r="231" spans="2:15" ht="13.15" customHeight="1">
      <c r="B231" s="177"/>
      <c r="C231" s="267"/>
      <c r="D231" s="267"/>
      <c r="E231" s="267"/>
      <c r="F231" s="267"/>
      <c r="G231" s="267"/>
      <c r="H231" s="267"/>
      <c r="I231" s="267"/>
      <c r="J231" s="267"/>
      <c r="K231" s="267"/>
      <c r="L231" s="106"/>
      <c r="M231" s="3" t="s">
        <v>233</v>
      </c>
      <c r="O231" s="3">
        <f t="shared" si="3"/>
        <v>231</v>
      </c>
    </row>
    <row r="232" spans="2:15" ht="13.15" customHeight="1">
      <c r="B232" s="177"/>
      <c r="C232" s="267"/>
      <c r="D232" s="267"/>
      <c r="E232" s="267"/>
      <c r="F232" s="267"/>
      <c r="G232" s="267"/>
      <c r="H232" s="267"/>
      <c r="I232" s="267"/>
      <c r="J232" s="267"/>
      <c r="K232" s="267"/>
      <c r="L232" s="106"/>
      <c r="M232" s="3" t="s">
        <v>233</v>
      </c>
      <c r="O232" s="3">
        <f t="shared" si="3"/>
        <v>232</v>
      </c>
    </row>
    <row r="233" spans="2:15" ht="13.15" customHeight="1">
      <c r="B233" s="177"/>
      <c r="C233" s="167"/>
      <c r="D233" s="167"/>
      <c r="E233" s="167"/>
      <c r="F233" s="167"/>
      <c r="G233" s="167"/>
      <c r="H233" s="167"/>
      <c r="I233" s="167"/>
      <c r="J233" s="167"/>
      <c r="K233" s="167"/>
      <c r="L233" s="167"/>
      <c r="M233" s="3" t="s">
        <v>233</v>
      </c>
      <c r="O233" s="3">
        <f t="shared" si="3"/>
        <v>233</v>
      </c>
    </row>
    <row r="234" spans="2:15" ht="13.15" customHeight="1">
      <c r="B234" s="156" t="s">
        <v>379</v>
      </c>
      <c r="C234" s="267" t="s">
        <v>261</v>
      </c>
      <c r="D234" s="267"/>
      <c r="E234" s="267"/>
      <c r="F234" s="267"/>
      <c r="G234" s="267"/>
      <c r="H234" s="267"/>
      <c r="I234" s="267"/>
      <c r="J234" s="267"/>
      <c r="K234" s="267"/>
      <c r="L234" s="167"/>
      <c r="M234" s="3" t="s">
        <v>233</v>
      </c>
      <c r="O234" s="3">
        <f t="shared" si="3"/>
        <v>234</v>
      </c>
    </row>
    <row r="235" spans="2:15" ht="13.15" customHeight="1">
      <c r="B235" s="177"/>
      <c r="C235" s="267"/>
      <c r="D235" s="267"/>
      <c r="E235" s="267"/>
      <c r="F235" s="267"/>
      <c r="G235" s="267"/>
      <c r="H235" s="267"/>
      <c r="I235" s="267"/>
      <c r="J235" s="267"/>
      <c r="K235" s="267"/>
      <c r="L235" s="106"/>
      <c r="M235" s="3" t="s">
        <v>233</v>
      </c>
      <c r="O235" s="3">
        <f t="shared" si="3"/>
        <v>235</v>
      </c>
    </row>
    <row r="236" spans="2:15" ht="13.15" customHeight="1">
      <c r="B236" s="177"/>
      <c r="C236" s="267"/>
      <c r="D236" s="267"/>
      <c r="E236" s="267"/>
      <c r="F236" s="267"/>
      <c r="G236" s="267"/>
      <c r="H236" s="267"/>
      <c r="I236" s="267"/>
      <c r="J236" s="267"/>
      <c r="K236" s="267"/>
      <c r="L236" s="106"/>
      <c r="M236" s="3" t="s">
        <v>233</v>
      </c>
      <c r="O236" s="3">
        <f t="shared" si="3"/>
        <v>236</v>
      </c>
    </row>
    <row r="237" spans="2:15" ht="13.15" customHeight="1">
      <c r="B237" s="177"/>
      <c r="C237" s="267"/>
      <c r="D237" s="267"/>
      <c r="E237" s="267"/>
      <c r="F237" s="267"/>
      <c r="G237" s="267"/>
      <c r="H237" s="267"/>
      <c r="I237" s="267"/>
      <c r="J237" s="267"/>
      <c r="K237" s="267"/>
      <c r="L237" s="106"/>
      <c r="M237" s="3" t="s">
        <v>233</v>
      </c>
      <c r="O237" s="3">
        <f t="shared" si="3"/>
        <v>237</v>
      </c>
    </row>
    <row r="238" spans="2:15" ht="13.15" customHeight="1">
      <c r="B238" s="177"/>
      <c r="C238" s="267"/>
      <c r="D238" s="267"/>
      <c r="E238" s="267"/>
      <c r="F238" s="267"/>
      <c r="G238" s="267"/>
      <c r="H238" s="267"/>
      <c r="I238" s="267"/>
      <c r="J238" s="267"/>
      <c r="K238" s="267"/>
      <c r="L238" s="106"/>
      <c r="M238" s="3" t="s">
        <v>233</v>
      </c>
      <c r="O238" s="3">
        <f t="shared" si="3"/>
        <v>238</v>
      </c>
    </row>
    <row r="239" spans="2:15" ht="13.15" customHeight="1">
      <c r="B239" s="177"/>
      <c r="C239" s="267"/>
      <c r="D239" s="267"/>
      <c r="E239" s="267"/>
      <c r="F239" s="267"/>
      <c r="G239" s="267"/>
      <c r="H239" s="267"/>
      <c r="I239" s="267"/>
      <c r="J239" s="267"/>
      <c r="K239" s="267"/>
      <c r="L239" s="106"/>
      <c r="M239" s="3" t="s">
        <v>233</v>
      </c>
      <c r="O239" s="3">
        <f t="shared" si="3"/>
        <v>239</v>
      </c>
    </row>
    <row r="240" spans="2:15" ht="13.15" customHeight="1">
      <c r="C240" s="267"/>
      <c r="D240" s="267"/>
      <c r="E240" s="267"/>
      <c r="F240" s="267"/>
      <c r="G240" s="267"/>
      <c r="H240" s="267"/>
      <c r="I240" s="267"/>
      <c r="J240" s="267"/>
      <c r="K240" s="267"/>
      <c r="L240" s="106"/>
      <c r="M240" s="3" t="s">
        <v>233</v>
      </c>
      <c r="O240" s="3">
        <f t="shared" si="3"/>
        <v>240</v>
      </c>
    </row>
    <row r="241" spans="1:17" ht="13.15" customHeight="1">
      <c r="C241" s="167"/>
      <c r="D241" s="167"/>
      <c r="E241" s="167"/>
      <c r="F241" s="167"/>
      <c r="G241" s="167"/>
      <c r="H241" s="167"/>
      <c r="I241" s="167"/>
      <c r="J241" s="167"/>
      <c r="K241" s="167"/>
      <c r="L241" s="106"/>
      <c r="M241" s="3" t="s">
        <v>233</v>
      </c>
      <c r="O241" s="3">
        <f t="shared" si="3"/>
        <v>241</v>
      </c>
    </row>
    <row r="242" spans="1:17" s="48" customFormat="1" ht="13.15" customHeight="1">
      <c r="A242" s="152" t="s">
        <v>391</v>
      </c>
      <c r="B242" s="263" t="s">
        <v>262</v>
      </c>
      <c r="C242" s="263"/>
      <c r="D242" s="263"/>
      <c r="E242" s="263"/>
      <c r="F242" s="263"/>
      <c r="G242" s="263"/>
      <c r="H242" s="263"/>
      <c r="I242" s="263"/>
      <c r="J242" s="263"/>
      <c r="K242" s="263"/>
      <c r="L242" s="3">
        <v>13</v>
      </c>
      <c r="M242" s="3">
        <v>27</v>
      </c>
      <c r="N242" s="3">
        <v>5</v>
      </c>
      <c r="O242" s="3">
        <f t="shared" si="3"/>
        <v>242</v>
      </c>
      <c r="P242" s="3"/>
      <c r="Q242" s="3"/>
    </row>
    <row r="243" spans="1:17" s="48" customFormat="1" ht="13.15" customHeight="1">
      <c r="A243" s="152"/>
      <c r="B243" s="263"/>
      <c r="C243" s="263"/>
      <c r="D243" s="263"/>
      <c r="E243" s="263"/>
      <c r="F243" s="263"/>
      <c r="G243" s="263"/>
      <c r="H243" s="263"/>
      <c r="I243" s="263"/>
      <c r="J243" s="263"/>
      <c r="K243" s="263"/>
      <c r="M243" s="48" t="s">
        <v>233</v>
      </c>
      <c r="O243" s="3">
        <f t="shared" si="3"/>
        <v>243</v>
      </c>
      <c r="P243" s="3"/>
      <c r="Q243" s="3"/>
    </row>
    <row r="244" spans="1:17" s="48" customFormat="1" ht="13.15" customHeight="1">
      <c r="A244" s="152"/>
      <c r="B244" s="263"/>
      <c r="C244" s="263"/>
      <c r="D244" s="263"/>
      <c r="E244" s="263"/>
      <c r="F244" s="263"/>
      <c r="G244" s="263"/>
      <c r="H244" s="263"/>
      <c r="I244" s="263"/>
      <c r="J244" s="263"/>
      <c r="K244" s="263"/>
      <c r="L244" s="3"/>
      <c r="M244" s="48" t="s">
        <v>233</v>
      </c>
      <c r="O244" s="3">
        <f t="shared" si="3"/>
        <v>244</v>
      </c>
      <c r="P244" s="3"/>
      <c r="Q244" s="3"/>
    </row>
    <row r="245" spans="1:17" s="48" customFormat="1" ht="13.15" customHeight="1">
      <c r="A245" s="152"/>
      <c r="B245" s="263"/>
      <c r="C245" s="263"/>
      <c r="D245" s="263"/>
      <c r="E245" s="263"/>
      <c r="F245" s="263"/>
      <c r="G245" s="263"/>
      <c r="H245" s="263"/>
      <c r="I245" s="263"/>
      <c r="J245" s="263"/>
      <c r="K245" s="263"/>
      <c r="L245" s="3"/>
      <c r="M245" s="48" t="s">
        <v>233</v>
      </c>
      <c r="O245" s="3">
        <f t="shared" si="3"/>
        <v>245</v>
      </c>
      <c r="P245" s="3"/>
      <c r="Q245" s="3"/>
    </row>
    <row r="246" spans="1:17" s="48" customFormat="1" ht="13.15" customHeight="1">
      <c r="A246" s="152"/>
      <c r="B246" s="263"/>
      <c r="C246" s="263"/>
      <c r="D246" s="263"/>
      <c r="E246" s="263"/>
      <c r="F246" s="263"/>
      <c r="G246" s="263"/>
      <c r="H246" s="263"/>
      <c r="I246" s="263"/>
      <c r="J246" s="263"/>
      <c r="K246" s="263"/>
      <c r="L246" s="3"/>
      <c r="M246" s="48" t="s">
        <v>233</v>
      </c>
      <c r="O246" s="3">
        <f t="shared" si="3"/>
        <v>246</v>
      </c>
      <c r="P246" s="3"/>
      <c r="Q246" s="3"/>
    </row>
    <row r="247" spans="1:17" s="48" customFormat="1" ht="13.15" customHeight="1">
      <c r="A247" s="152"/>
      <c r="B247" s="164"/>
      <c r="C247" s="164"/>
      <c r="D247" s="164"/>
      <c r="E247" s="164"/>
      <c r="F247" s="164"/>
      <c r="G247" s="164"/>
      <c r="H247" s="164"/>
      <c r="I247" s="164"/>
      <c r="J247" s="164"/>
      <c r="K247" s="164"/>
      <c r="L247" s="3"/>
      <c r="M247" s="48" t="s">
        <v>233</v>
      </c>
      <c r="O247" s="3">
        <f t="shared" si="3"/>
        <v>247</v>
      </c>
      <c r="P247" s="3"/>
      <c r="Q247" s="3"/>
    </row>
    <row r="248" spans="1:17" s="48" customFormat="1" ht="13.15" customHeight="1">
      <c r="A248" s="152"/>
      <c r="B248" s="156" t="s">
        <v>379</v>
      </c>
      <c r="C248" s="264" t="s">
        <v>263</v>
      </c>
      <c r="D248" s="264"/>
      <c r="E248" s="264"/>
      <c r="F248" s="264"/>
      <c r="G248" s="264"/>
      <c r="H248" s="264"/>
      <c r="I248" s="264"/>
      <c r="J248" s="264"/>
      <c r="K248" s="264"/>
      <c r="L248" s="3"/>
      <c r="M248" s="48" t="s">
        <v>233</v>
      </c>
      <c r="O248" s="3">
        <f t="shared" si="3"/>
        <v>248</v>
      </c>
      <c r="P248" s="3"/>
      <c r="Q248" s="3"/>
    </row>
    <row r="249" spans="1:17" s="48" customFormat="1" ht="13.15" customHeight="1">
      <c r="A249" s="152"/>
      <c r="B249" s="3"/>
      <c r="C249" s="264"/>
      <c r="D249" s="264"/>
      <c r="E249" s="264"/>
      <c r="F249" s="264"/>
      <c r="G249" s="264"/>
      <c r="H249" s="264"/>
      <c r="I249" s="264"/>
      <c r="J249" s="264"/>
      <c r="K249" s="264"/>
      <c r="L249" s="3"/>
      <c r="M249" s="48" t="s">
        <v>233</v>
      </c>
      <c r="O249" s="3">
        <f t="shared" si="3"/>
        <v>249</v>
      </c>
      <c r="P249" s="3"/>
      <c r="Q249" s="3"/>
    </row>
    <row r="250" spans="1:17" s="48" customFormat="1" ht="13.15" customHeight="1">
      <c r="A250" s="152"/>
      <c r="B250" s="3"/>
      <c r="C250" s="264"/>
      <c r="D250" s="264"/>
      <c r="E250" s="264"/>
      <c r="F250" s="264"/>
      <c r="G250" s="264"/>
      <c r="H250" s="264"/>
      <c r="I250" s="264"/>
      <c r="J250" s="264"/>
      <c r="K250" s="264"/>
      <c r="L250" s="3"/>
      <c r="M250" s="48" t="s">
        <v>233</v>
      </c>
      <c r="O250" s="3">
        <f t="shared" si="3"/>
        <v>250</v>
      </c>
      <c r="P250" s="3"/>
      <c r="Q250" s="3"/>
    </row>
    <row r="251" spans="1:17" s="48" customFormat="1" ht="13.15" customHeight="1">
      <c r="A251" s="152"/>
      <c r="B251" s="3"/>
      <c r="C251" s="264"/>
      <c r="D251" s="264"/>
      <c r="E251" s="264"/>
      <c r="F251" s="264"/>
      <c r="G251" s="264"/>
      <c r="H251" s="264"/>
      <c r="I251" s="264"/>
      <c r="J251" s="264"/>
      <c r="K251" s="264"/>
      <c r="L251" s="3"/>
      <c r="M251" s="48" t="s">
        <v>233</v>
      </c>
      <c r="O251" s="3">
        <f t="shared" si="3"/>
        <v>251</v>
      </c>
      <c r="P251" s="3"/>
      <c r="Q251" s="3"/>
    </row>
    <row r="252" spans="1:17" s="48" customFormat="1" ht="13.15" customHeight="1">
      <c r="A252" s="152"/>
      <c r="B252" s="3"/>
      <c r="C252" s="264"/>
      <c r="D252" s="264"/>
      <c r="E252" s="264"/>
      <c r="F252" s="264"/>
      <c r="G252" s="264"/>
      <c r="H252" s="264"/>
      <c r="I252" s="264"/>
      <c r="J252" s="264"/>
      <c r="K252" s="264"/>
      <c r="L252" s="107"/>
      <c r="M252" s="48" t="s">
        <v>233</v>
      </c>
      <c r="O252" s="3">
        <f t="shared" si="3"/>
        <v>252</v>
      </c>
      <c r="P252" s="3"/>
      <c r="Q252" s="3"/>
    </row>
    <row r="253" spans="1:17" s="48" customFormat="1" ht="13.15" customHeight="1">
      <c r="A253" s="152"/>
      <c r="B253" s="3"/>
      <c r="C253" s="264"/>
      <c r="D253" s="264"/>
      <c r="E253" s="264"/>
      <c r="F253" s="264"/>
      <c r="G253" s="264"/>
      <c r="H253" s="264"/>
      <c r="I253" s="264"/>
      <c r="J253" s="264"/>
      <c r="K253" s="264"/>
      <c r="L253" s="107"/>
      <c r="M253" s="48" t="s">
        <v>233</v>
      </c>
      <c r="O253" s="3">
        <f t="shared" si="3"/>
        <v>253</v>
      </c>
      <c r="P253" s="3"/>
      <c r="Q253" s="3"/>
    </row>
    <row r="254" spans="1:17" s="48" customFormat="1" ht="13.15" customHeight="1">
      <c r="A254" s="152"/>
      <c r="B254" s="3"/>
      <c r="C254" s="264"/>
      <c r="D254" s="264"/>
      <c r="E254" s="264"/>
      <c r="F254" s="264"/>
      <c r="G254" s="264"/>
      <c r="H254" s="264"/>
      <c r="I254" s="264"/>
      <c r="J254" s="264"/>
      <c r="K254" s="264"/>
      <c r="L254" s="107"/>
      <c r="M254" s="48" t="s">
        <v>233</v>
      </c>
      <c r="O254" s="3">
        <f t="shared" si="3"/>
        <v>254</v>
      </c>
      <c r="P254" s="3"/>
      <c r="Q254" s="3"/>
    </row>
    <row r="255" spans="1:17" s="48" customFormat="1" ht="13.15" customHeight="1">
      <c r="A255" s="152"/>
      <c r="B255" s="3"/>
      <c r="C255" s="264"/>
      <c r="D255" s="264"/>
      <c r="E255" s="264"/>
      <c r="F255" s="264"/>
      <c r="G255" s="264"/>
      <c r="H255" s="264"/>
      <c r="I255" s="264"/>
      <c r="J255" s="264"/>
      <c r="K255" s="264"/>
      <c r="L255" s="107"/>
      <c r="M255" s="48" t="s">
        <v>233</v>
      </c>
      <c r="O255" s="3">
        <f t="shared" si="3"/>
        <v>255</v>
      </c>
      <c r="P255" s="3"/>
      <c r="Q255" s="3"/>
    </row>
    <row r="256" spans="1:17" s="48" customFormat="1" ht="13.15" customHeight="1">
      <c r="A256" s="152"/>
      <c r="B256" s="3"/>
      <c r="C256" s="264"/>
      <c r="D256" s="264"/>
      <c r="E256" s="264"/>
      <c r="F256" s="264"/>
      <c r="G256" s="264"/>
      <c r="H256" s="264"/>
      <c r="I256" s="264"/>
      <c r="J256" s="264"/>
      <c r="K256" s="264"/>
      <c r="L256" s="107"/>
      <c r="M256" s="48" t="s">
        <v>233</v>
      </c>
      <c r="O256" s="3">
        <f t="shared" si="3"/>
        <v>256</v>
      </c>
      <c r="P256" s="3"/>
      <c r="Q256" s="3"/>
    </row>
    <row r="257" spans="1:17" s="48" customFormat="1" ht="13.15" customHeight="1">
      <c r="A257" s="152"/>
      <c r="B257" s="3"/>
      <c r="C257" s="264"/>
      <c r="D257" s="264"/>
      <c r="E257" s="264"/>
      <c r="F257" s="264"/>
      <c r="G257" s="264"/>
      <c r="H257" s="264"/>
      <c r="I257" s="264"/>
      <c r="J257" s="264"/>
      <c r="K257" s="264"/>
      <c r="L257" s="107"/>
      <c r="M257" s="48" t="s">
        <v>233</v>
      </c>
      <c r="O257" s="3">
        <f t="shared" si="3"/>
        <v>257</v>
      </c>
      <c r="P257" s="3"/>
      <c r="Q257" s="3"/>
    </row>
    <row r="258" spans="1:17" ht="13.15" customHeight="1">
      <c r="B258" s="91"/>
      <c r="C258" s="91"/>
      <c r="D258" s="91"/>
      <c r="E258" s="91"/>
      <c r="F258" s="91"/>
      <c r="G258" s="91"/>
      <c r="H258" s="91"/>
      <c r="I258" s="91"/>
      <c r="J258" s="91"/>
      <c r="K258" s="91"/>
      <c r="L258" s="107"/>
      <c r="M258" s="3" t="s">
        <v>233</v>
      </c>
      <c r="O258" s="3">
        <f t="shared" si="3"/>
        <v>258</v>
      </c>
    </row>
    <row r="259" spans="1:17" ht="13.15" customHeight="1">
      <c r="B259" s="156" t="s">
        <v>379</v>
      </c>
      <c r="C259" s="264" t="s">
        <v>264</v>
      </c>
      <c r="D259" s="264"/>
      <c r="E259" s="264"/>
      <c r="F259" s="264"/>
      <c r="G259" s="264"/>
      <c r="H259" s="264"/>
      <c r="I259" s="264"/>
      <c r="J259" s="264"/>
      <c r="K259" s="264"/>
      <c r="M259" s="3" t="s">
        <v>233</v>
      </c>
      <c r="O259" s="3">
        <f t="shared" si="3"/>
        <v>259</v>
      </c>
    </row>
    <row r="260" spans="1:17" ht="13.15" customHeight="1">
      <c r="C260" s="264"/>
      <c r="D260" s="264"/>
      <c r="E260" s="264"/>
      <c r="F260" s="264"/>
      <c r="G260" s="264"/>
      <c r="H260" s="264"/>
      <c r="I260" s="264"/>
      <c r="J260" s="264"/>
      <c r="K260" s="264"/>
      <c r="M260" s="3" t="s">
        <v>233</v>
      </c>
      <c r="O260" s="3">
        <f t="shared" si="3"/>
        <v>260</v>
      </c>
    </row>
    <row r="261" spans="1:17" ht="13.15" customHeight="1">
      <c r="C261" s="264"/>
      <c r="D261" s="264"/>
      <c r="E261" s="264"/>
      <c r="F261" s="264"/>
      <c r="G261" s="264"/>
      <c r="H261" s="264"/>
      <c r="I261" s="264"/>
      <c r="J261" s="264"/>
      <c r="K261" s="264"/>
      <c r="M261" s="3" t="s">
        <v>233</v>
      </c>
      <c r="O261" s="3">
        <f t="shared" si="3"/>
        <v>261</v>
      </c>
    </row>
    <row r="262" spans="1:17" ht="13.15" customHeight="1">
      <c r="C262" s="264"/>
      <c r="D262" s="264"/>
      <c r="E262" s="264"/>
      <c r="F262" s="264"/>
      <c r="G262" s="264"/>
      <c r="H262" s="264"/>
      <c r="I262" s="264"/>
      <c r="J262" s="264"/>
      <c r="K262" s="264"/>
      <c r="M262" s="3" t="s">
        <v>233</v>
      </c>
      <c r="O262" s="3">
        <f t="shared" si="3"/>
        <v>262</v>
      </c>
    </row>
    <row r="263" spans="1:17" ht="13.15" customHeight="1">
      <c r="C263" s="264"/>
      <c r="D263" s="264"/>
      <c r="E263" s="264"/>
      <c r="F263" s="264"/>
      <c r="G263" s="264"/>
      <c r="H263" s="264"/>
      <c r="I263" s="264"/>
      <c r="J263" s="264"/>
      <c r="K263" s="264"/>
      <c r="M263" s="3" t="s">
        <v>233</v>
      </c>
      <c r="O263" s="3">
        <f t="shared" si="3"/>
        <v>263</v>
      </c>
    </row>
    <row r="264" spans="1:17" ht="13.15" customHeight="1">
      <c r="C264" s="264"/>
      <c r="D264" s="264"/>
      <c r="E264" s="264"/>
      <c r="F264" s="264"/>
      <c r="G264" s="264"/>
      <c r="H264" s="264"/>
      <c r="I264" s="264"/>
      <c r="J264" s="264"/>
      <c r="K264" s="264"/>
      <c r="M264" s="3" t="s">
        <v>233</v>
      </c>
      <c r="O264" s="3">
        <f t="shared" si="3"/>
        <v>264</v>
      </c>
    </row>
    <row r="265" spans="1:17" ht="13.15" customHeight="1">
      <c r="A265" s="3"/>
      <c r="C265" s="264"/>
      <c r="D265" s="264"/>
      <c r="E265" s="264"/>
      <c r="F265" s="264"/>
      <c r="G265" s="264"/>
      <c r="H265" s="264"/>
      <c r="I265" s="264"/>
      <c r="J265" s="264"/>
      <c r="K265" s="264"/>
      <c r="M265" s="3" t="s">
        <v>233</v>
      </c>
      <c r="O265" s="3">
        <f t="shared" si="3"/>
        <v>265</v>
      </c>
    </row>
    <row r="266" spans="1:17" ht="13.15" customHeight="1">
      <c r="C266" s="264"/>
      <c r="D266" s="264"/>
      <c r="E266" s="264"/>
      <c r="F266" s="264"/>
      <c r="G266" s="264"/>
      <c r="H266" s="264"/>
      <c r="I266" s="264"/>
      <c r="J266" s="264"/>
      <c r="K266" s="264"/>
      <c r="M266" s="3" t="s">
        <v>233</v>
      </c>
      <c r="O266" s="3">
        <f t="shared" si="3"/>
        <v>266</v>
      </c>
    </row>
    <row r="267" spans="1:17" ht="13.15" customHeight="1">
      <c r="C267" s="264"/>
      <c r="D267" s="264"/>
      <c r="E267" s="264"/>
      <c r="F267" s="264"/>
      <c r="G267" s="264"/>
      <c r="H267" s="264"/>
      <c r="I267" s="264"/>
      <c r="J267" s="264"/>
      <c r="K267" s="264"/>
      <c r="M267" s="3" t="s">
        <v>233</v>
      </c>
      <c r="O267" s="3">
        <f t="shared" si="3"/>
        <v>267</v>
      </c>
    </row>
    <row r="268" spans="1:17" ht="13.15" customHeight="1">
      <c r="C268" s="264"/>
      <c r="D268" s="264"/>
      <c r="E268" s="264"/>
      <c r="F268" s="264"/>
      <c r="G268" s="264"/>
      <c r="H268" s="264"/>
      <c r="I268" s="264"/>
      <c r="J268" s="264"/>
      <c r="K268" s="264"/>
      <c r="M268" s="3" t="s">
        <v>233</v>
      </c>
      <c r="O268" s="3">
        <f t="shared" si="3"/>
        <v>268</v>
      </c>
    </row>
    <row r="269" spans="1:17" ht="15.6" customHeight="1">
      <c r="C269" s="108"/>
      <c r="D269" s="108"/>
      <c r="E269" s="108"/>
      <c r="F269" s="108"/>
      <c r="G269" s="108"/>
      <c r="H269" s="108"/>
      <c r="I269" s="108"/>
      <c r="J269" s="108"/>
      <c r="K269" s="108"/>
      <c r="M269" s="3" t="s">
        <v>233</v>
      </c>
      <c r="O269" s="3">
        <f t="shared" si="3"/>
        <v>269</v>
      </c>
    </row>
    <row r="270" spans="1:17" ht="13.15" customHeight="1">
      <c r="A270" s="152" t="s">
        <v>392</v>
      </c>
      <c r="B270" s="263" t="s">
        <v>265</v>
      </c>
      <c r="C270" s="263"/>
      <c r="D270" s="263"/>
      <c r="E270" s="263"/>
      <c r="F270" s="263"/>
      <c r="G270" s="263"/>
      <c r="H270" s="263"/>
      <c r="I270" s="263"/>
      <c r="J270" s="263"/>
      <c r="K270" s="263"/>
      <c r="L270" s="3">
        <v>14</v>
      </c>
      <c r="M270" s="3">
        <v>26</v>
      </c>
      <c r="N270" s="3">
        <v>9</v>
      </c>
      <c r="O270" s="3">
        <f t="shared" si="3"/>
        <v>270</v>
      </c>
    </row>
    <row r="271" spans="1:17" ht="13.15" customHeight="1">
      <c r="B271" s="263"/>
      <c r="C271" s="263"/>
      <c r="D271" s="263"/>
      <c r="E271" s="263"/>
      <c r="F271" s="263"/>
      <c r="G271" s="263"/>
      <c r="H271" s="263"/>
      <c r="I271" s="263"/>
      <c r="J271" s="263"/>
      <c r="K271" s="263"/>
      <c r="M271" s="3" t="s">
        <v>233</v>
      </c>
      <c r="O271" s="3">
        <f t="shared" si="3"/>
        <v>271</v>
      </c>
    </row>
    <row r="272" spans="1:17" ht="13.15" customHeight="1">
      <c r="B272" s="263"/>
      <c r="C272" s="263"/>
      <c r="D272" s="263"/>
      <c r="E272" s="263"/>
      <c r="F272" s="263"/>
      <c r="G272" s="263"/>
      <c r="H272" s="263"/>
      <c r="I272" s="263"/>
      <c r="J272" s="263"/>
      <c r="K272" s="263"/>
      <c r="M272" s="3" t="s">
        <v>233</v>
      </c>
      <c r="O272" s="3">
        <f t="shared" si="3"/>
        <v>272</v>
      </c>
    </row>
    <row r="273" spans="1:15" ht="13.15" customHeight="1">
      <c r="B273" s="263"/>
      <c r="C273" s="263"/>
      <c r="D273" s="263"/>
      <c r="E273" s="263"/>
      <c r="F273" s="263"/>
      <c r="G273" s="263"/>
      <c r="H273" s="263"/>
      <c r="I273" s="263"/>
      <c r="J273" s="263"/>
      <c r="K273" s="263"/>
      <c r="M273" s="3" t="s">
        <v>233</v>
      </c>
      <c r="O273" s="3">
        <f t="shared" si="3"/>
        <v>273</v>
      </c>
    </row>
    <row r="274" spans="1:15" ht="13.15" customHeight="1">
      <c r="B274" s="263"/>
      <c r="C274" s="263"/>
      <c r="D274" s="263"/>
      <c r="E274" s="263"/>
      <c r="F274" s="263"/>
      <c r="G274" s="263"/>
      <c r="H274" s="263"/>
      <c r="I274" s="263"/>
      <c r="J274" s="263"/>
      <c r="K274" s="263"/>
      <c r="M274" s="3" t="s">
        <v>233</v>
      </c>
      <c r="O274" s="3">
        <f t="shared" si="3"/>
        <v>274</v>
      </c>
    </row>
    <row r="275" spans="1:15" ht="13.15" customHeight="1">
      <c r="B275" s="263"/>
      <c r="C275" s="263"/>
      <c r="D275" s="263"/>
      <c r="E275" s="263"/>
      <c r="F275" s="263"/>
      <c r="G275" s="263"/>
      <c r="H275" s="263"/>
      <c r="I275" s="263"/>
      <c r="J275" s="263"/>
      <c r="K275" s="263"/>
      <c r="M275" s="3" t="s">
        <v>233</v>
      </c>
      <c r="O275" s="3">
        <f t="shared" si="3"/>
        <v>275</v>
      </c>
    </row>
    <row r="276" spans="1:15" ht="13.15" customHeight="1">
      <c r="B276" s="263"/>
      <c r="C276" s="263"/>
      <c r="D276" s="263"/>
      <c r="E276" s="263"/>
      <c r="F276" s="263"/>
      <c r="G276" s="263"/>
      <c r="H276" s="263"/>
      <c r="I276" s="263"/>
      <c r="J276" s="263"/>
      <c r="K276" s="263"/>
      <c r="M276" s="3" t="s">
        <v>233</v>
      </c>
      <c r="O276" s="3">
        <f t="shared" si="3"/>
        <v>276</v>
      </c>
    </row>
    <row r="277" spans="1:15" ht="13.15" customHeight="1">
      <c r="B277" s="263"/>
      <c r="C277" s="263"/>
      <c r="D277" s="263"/>
      <c r="E277" s="263"/>
      <c r="F277" s="263"/>
      <c r="G277" s="263"/>
      <c r="H277" s="263"/>
      <c r="I277" s="263"/>
      <c r="J277" s="263"/>
      <c r="K277" s="263"/>
      <c r="M277" s="3" t="s">
        <v>233</v>
      </c>
      <c r="O277" s="3">
        <f t="shared" si="3"/>
        <v>277</v>
      </c>
    </row>
    <row r="278" spans="1:15" ht="13.15" customHeight="1">
      <c r="B278" s="263"/>
      <c r="C278" s="263"/>
      <c r="D278" s="263"/>
      <c r="E278" s="263"/>
      <c r="F278" s="263"/>
      <c r="G278" s="263"/>
      <c r="H278" s="263"/>
      <c r="I278" s="263"/>
      <c r="J278" s="263"/>
      <c r="K278" s="263"/>
      <c r="M278" s="3" t="s">
        <v>233</v>
      </c>
      <c r="O278" s="3">
        <f t="shared" si="3"/>
        <v>278</v>
      </c>
    </row>
    <row r="279" spans="1:15" ht="13.15" customHeight="1">
      <c r="B279" s="164"/>
      <c r="C279" s="164"/>
      <c r="D279" s="164"/>
      <c r="E279" s="164"/>
      <c r="F279" s="164"/>
      <c r="G279" s="164"/>
      <c r="H279" s="164"/>
      <c r="I279" s="164"/>
      <c r="J279" s="164"/>
      <c r="K279" s="164"/>
    </row>
    <row r="280" spans="1:15" ht="13.15" customHeight="1">
      <c r="B280" s="156" t="s">
        <v>379</v>
      </c>
      <c r="C280" s="270" t="s">
        <v>448</v>
      </c>
      <c r="D280" s="270"/>
      <c r="E280" s="270"/>
      <c r="F280" s="270"/>
      <c r="G280" s="270"/>
      <c r="H280" s="270"/>
      <c r="I280" s="270"/>
      <c r="J280" s="270"/>
      <c r="K280" s="270"/>
      <c r="L280" s="180"/>
    </row>
    <row r="281" spans="1:15" ht="13.15" customHeight="1">
      <c r="C281" s="270"/>
      <c r="D281" s="270"/>
      <c r="E281" s="270"/>
      <c r="F281" s="270"/>
      <c r="G281" s="270"/>
      <c r="H281" s="270"/>
      <c r="I281" s="270"/>
      <c r="J281" s="270"/>
      <c r="K281" s="270"/>
    </row>
    <row r="282" spans="1:15" ht="13.15" customHeight="1">
      <c r="B282" s="164"/>
      <c r="C282" s="270"/>
      <c r="D282" s="270"/>
      <c r="E282" s="270"/>
      <c r="F282" s="270"/>
      <c r="G282" s="270"/>
      <c r="H282" s="270"/>
      <c r="I282" s="270"/>
      <c r="J282" s="270"/>
      <c r="K282" s="270"/>
    </row>
    <row r="283" spans="1:15" ht="13.15" customHeight="1">
      <c r="B283" s="164"/>
      <c r="C283" s="270"/>
      <c r="D283" s="270"/>
      <c r="E283" s="270"/>
      <c r="F283" s="270"/>
      <c r="G283" s="270"/>
      <c r="H283" s="270"/>
      <c r="I283" s="270"/>
      <c r="J283" s="270"/>
      <c r="K283" s="270"/>
    </row>
    <row r="284" spans="1:15" ht="13.15" customHeight="1">
      <c r="B284" s="164"/>
      <c r="C284" s="270"/>
      <c r="D284" s="270"/>
      <c r="E284" s="270"/>
      <c r="F284" s="270"/>
      <c r="G284" s="270"/>
      <c r="H284" s="270"/>
      <c r="I284" s="270"/>
      <c r="J284" s="270"/>
      <c r="K284" s="270"/>
    </row>
    <row r="285" spans="1:15" ht="13.15" customHeight="1">
      <c r="B285" s="91"/>
      <c r="C285" s="91"/>
      <c r="D285" s="91"/>
      <c r="E285" s="91"/>
      <c r="F285" s="91"/>
      <c r="G285" s="91"/>
      <c r="H285" s="91"/>
      <c r="I285" s="91"/>
      <c r="J285" s="91"/>
      <c r="K285" s="91"/>
      <c r="M285" s="3" t="s">
        <v>233</v>
      </c>
      <c r="O285" s="3">
        <f t="shared" ref="O285:O354" si="4">ROW(M285)</f>
        <v>285</v>
      </c>
    </row>
    <row r="286" spans="1:15" ht="13.15" customHeight="1">
      <c r="B286" s="156" t="s">
        <v>379</v>
      </c>
      <c r="C286" s="264" t="s">
        <v>266</v>
      </c>
      <c r="D286" s="264"/>
      <c r="E286" s="264"/>
      <c r="F286" s="264"/>
      <c r="G286" s="264"/>
      <c r="H286" s="264"/>
      <c r="I286" s="264"/>
      <c r="J286" s="264"/>
      <c r="K286" s="264"/>
      <c r="M286" s="3" t="s">
        <v>233</v>
      </c>
      <c r="O286" s="3">
        <f t="shared" si="4"/>
        <v>286</v>
      </c>
    </row>
    <row r="287" spans="1:15" ht="13.15" customHeight="1">
      <c r="A287" s="3"/>
      <c r="B287" s="91"/>
      <c r="C287" s="264"/>
      <c r="D287" s="264"/>
      <c r="E287" s="264"/>
      <c r="F287" s="264"/>
      <c r="G287" s="264"/>
      <c r="H287" s="264"/>
      <c r="I287" s="264"/>
      <c r="J287" s="264"/>
      <c r="K287" s="264"/>
      <c r="M287" s="3" t="s">
        <v>233</v>
      </c>
      <c r="O287" s="3">
        <f t="shared" si="4"/>
        <v>287</v>
      </c>
    </row>
    <row r="288" spans="1:15" ht="13.15" customHeight="1">
      <c r="B288" s="91"/>
      <c r="C288" s="264"/>
      <c r="D288" s="264"/>
      <c r="E288" s="264"/>
      <c r="F288" s="264"/>
      <c r="G288" s="264"/>
      <c r="H288" s="264"/>
      <c r="I288" s="264"/>
      <c r="J288" s="264"/>
      <c r="K288" s="264"/>
      <c r="M288" s="3" t="s">
        <v>233</v>
      </c>
      <c r="O288" s="3">
        <f t="shared" si="4"/>
        <v>288</v>
      </c>
    </row>
    <row r="289" spans="1:15" ht="13.15" customHeight="1">
      <c r="B289" s="91"/>
      <c r="C289" s="264"/>
      <c r="D289" s="264"/>
      <c r="E289" s="264"/>
      <c r="F289" s="264"/>
      <c r="G289" s="264"/>
      <c r="H289" s="264"/>
      <c r="I289" s="264"/>
      <c r="J289" s="264"/>
      <c r="K289" s="264"/>
      <c r="M289" s="3" t="s">
        <v>233</v>
      </c>
      <c r="O289" s="3">
        <f t="shared" si="4"/>
        <v>289</v>
      </c>
    </row>
    <row r="290" spans="1:15" ht="13.15" customHeight="1">
      <c r="B290" s="91"/>
      <c r="C290" s="264"/>
      <c r="D290" s="264"/>
      <c r="E290" s="264"/>
      <c r="F290" s="264"/>
      <c r="G290" s="264"/>
      <c r="H290" s="264"/>
      <c r="I290" s="264"/>
      <c r="J290" s="264"/>
      <c r="K290" s="264"/>
      <c r="M290" s="3" t="s">
        <v>233</v>
      </c>
      <c r="O290" s="3">
        <f t="shared" si="4"/>
        <v>290</v>
      </c>
    </row>
    <row r="291" spans="1:15" ht="13.15" customHeight="1">
      <c r="B291" s="91"/>
      <c r="C291" s="264"/>
      <c r="D291" s="264"/>
      <c r="E291" s="264"/>
      <c r="F291" s="264"/>
      <c r="G291" s="264"/>
      <c r="H291" s="264"/>
      <c r="I291" s="264"/>
      <c r="J291" s="264"/>
      <c r="K291" s="264"/>
      <c r="M291" s="3" t="s">
        <v>233</v>
      </c>
      <c r="O291" s="3">
        <f t="shared" si="4"/>
        <v>291</v>
      </c>
    </row>
    <row r="292" spans="1:15" ht="13.15" customHeight="1">
      <c r="B292" s="91"/>
      <c r="C292" s="264"/>
      <c r="D292" s="264"/>
      <c r="E292" s="264"/>
      <c r="F292" s="264"/>
      <c r="G292" s="264"/>
      <c r="H292" s="264"/>
      <c r="I292" s="264"/>
      <c r="J292" s="264"/>
      <c r="K292" s="264"/>
      <c r="M292" s="3" t="s">
        <v>233</v>
      </c>
      <c r="O292" s="3">
        <f t="shared" si="4"/>
        <v>292</v>
      </c>
    </row>
    <row r="293" spans="1:15" ht="13.15" customHeight="1">
      <c r="B293" s="91"/>
      <c r="C293" s="264"/>
      <c r="D293" s="264"/>
      <c r="E293" s="264"/>
      <c r="F293" s="264"/>
      <c r="G293" s="264"/>
      <c r="H293" s="264"/>
      <c r="I293" s="264"/>
      <c r="J293" s="264"/>
      <c r="K293" s="264"/>
      <c r="M293" s="3" t="s">
        <v>233</v>
      </c>
      <c r="O293" s="3">
        <f t="shared" si="4"/>
        <v>293</v>
      </c>
    </row>
    <row r="294" spans="1:15" ht="13.15" customHeight="1">
      <c r="B294" s="109"/>
      <c r="C294" s="264"/>
      <c r="D294" s="264"/>
      <c r="E294" s="264"/>
      <c r="F294" s="264"/>
      <c r="G294" s="264"/>
      <c r="H294" s="264"/>
      <c r="I294" s="264"/>
      <c r="J294" s="264"/>
      <c r="K294" s="264"/>
      <c r="M294" s="3" t="s">
        <v>233</v>
      </c>
      <c r="O294" s="3">
        <f t="shared" si="4"/>
        <v>294</v>
      </c>
    </row>
    <row r="295" spans="1:15" ht="13.15" customHeight="1">
      <c r="B295" s="109"/>
      <c r="C295" s="264"/>
      <c r="D295" s="264"/>
      <c r="E295" s="264"/>
      <c r="F295" s="264"/>
      <c r="G295" s="264"/>
      <c r="H295" s="264"/>
      <c r="I295" s="264"/>
      <c r="J295" s="264"/>
      <c r="K295" s="264"/>
      <c r="M295" s="3" t="s">
        <v>233</v>
      </c>
      <c r="O295" s="3">
        <f t="shared" si="4"/>
        <v>295</v>
      </c>
    </row>
    <row r="296" spans="1:15" ht="13.15" customHeight="1">
      <c r="C296" s="110"/>
      <c r="D296" s="110"/>
      <c r="E296" s="110"/>
      <c r="F296" s="110"/>
      <c r="G296" s="110"/>
      <c r="H296" s="110"/>
      <c r="I296" s="110"/>
      <c r="J296" s="110"/>
      <c r="K296" s="110"/>
      <c r="M296" s="3" t="s">
        <v>233</v>
      </c>
      <c r="O296" s="3">
        <f t="shared" si="4"/>
        <v>296</v>
      </c>
    </row>
    <row r="297" spans="1:15" ht="13.15" customHeight="1">
      <c r="A297" s="152" t="s">
        <v>393</v>
      </c>
      <c r="B297" s="263" t="s">
        <v>267</v>
      </c>
      <c r="C297" s="263"/>
      <c r="D297" s="263"/>
      <c r="E297" s="263"/>
      <c r="F297" s="263"/>
      <c r="G297" s="263"/>
      <c r="H297" s="263"/>
      <c r="I297" s="263"/>
      <c r="J297" s="263"/>
      <c r="K297" s="263"/>
      <c r="L297" s="3">
        <v>15</v>
      </c>
      <c r="M297" s="3">
        <v>16</v>
      </c>
      <c r="N297" s="3">
        <v>8</v>
      </c>
      <c r="O297" s="3">
        <f t="shared" si="4"/>
        <v>297</v>
      </c>
    </row>
    <row r="298" spans="1:15" ht="13.15" customHeight="1">
      <c r="B298" s="263"/>
      <c r="C298" s="263"/>
      <c r="D298" s="263"/>
      <c r="E298" s="263"/>
      <c r="F298" s="263"/>
      <c r="G298" s="263"/>
      <c r="H298" s="263"/>
      <c r="I298" s="263"/>
      <c r="J298" s="263"/>
      <c r="K298" s="263"/>
      <c r="M298" s="3" t="s">
        <v>233</v>
      </c>
      <c r="O298" s="3">
        <f t="shared" si="4"/>
        <v>298</v>
      </c>
    </row>
    <row r="299" spans="1:15" ht="13.15" customHeight="1">
      <c r="B299" s="263"/>
      <c r="C299" s="263"/>
      <c r="D299" s="263"/>
      <c r="E299" s="263"/>
      <c r="F299" s="263"/>
      <c r="G299" s="263"/>
      <c r="H299" s="263"/>
      <c r="I299" s="263"/>
      <c r="J299" s="263"/>
      <c r="K299" s="263"/>
      <c r="M299" s="3" t="s">
        <v>233</v>
      </c>
      <c r="O299" s="3">
        <f t="shared" si="4"/>
        <v>299</v>
      </c>
    </row>
    <row r="300" spans="1:15" ht="13.15" customHeight="1">
      <c r="B300" s="263"/>
      <c r="C300" s="263"/>
      <c r="D300" s="263"/>
      <c r="E300" s="263"/>
      <c r="F300" s="263"/>
      <c r="G300" s="263"/>
      <c r="H300" s="263"/>
      <c r="I300" s="263"/>
      <c r="J300" s="263"/>
      <c r="K300" s="263"/>
      <c r="M300" s="3" t="s">
        <v>233</v>
      </c>
      <c r="O300" s="3">
        <f t="shared" si="4"/>
        <v>300</v>
      </c>
    </row>
    <row r="301" spans="1:15" ht="13.15" customHeight="1">
      <c r="B301" s="263"/>
      <c r="C301" s="263"/>
      <c r="D301" s="263"/>
      <c r="E301" s="263"/>
      <c r="F301" s="263"/>
      <c r="G301" s="263"/>
      <c r="H301" s="263"/>
      <c r="I301" s="263"/>
      <c r="J301" s="263"/>
      <c r="K301" s="263"/>
      <c r="M301" s="3" t="s">
        <v>233</v>
      </c>
      <c r="O301" s="3">
        <f t="shared" si="4"/>
        <v>301</v>
      </c>
    </row>
    <row r="302" spans="1:15" ht="13.15" customHeight="1">
      <c r="B302" s="263"/>
      <c r="C302" s="263"/>
      <c r="D302" s="263"/>
      <c r="E302" s="263"/>
      <c r="F302" s="263"/>
      <c r="G302" s="263"/>
      <c r="H302" s="263"/>
      <c r="I302" s="263"/>
      <c r="J302" s="263"/>
      <c r="K302" s="263"/>
      <c r="M302" s="3" t="s">
        <v>233</v>
      </c>
      <c r="O302" s="3">
        <f t="shared" si="4"/>
        <v>302</v>
      </c>
    </row>
    <row r="303" spans="1:15" ht="13.15" customHeight="1">
      <c r="B303" s="263"/>
      <c r="C303" s="263"/>
      <c r="D303" s="263"/>
      <c r="E303" s="263"/>
      <c r="F303" s="263"/>
      <c r="G303" s="263"/>
      <c r="H303" s="263"/>
      <c r="I303" s="263"/>
      <c r="J303" s="263"/>
      <c r="K303" s="263"/>
      <c r="M303" s="3" t="s">
        <v>233</v>
      </c>
      <c r="O303" s="3">
        <f t="shared" si="4"/>
        <v>303</v>
      </c>
    </row>
    <row r="304" spans="1:15" ht="13.15" customHeight="1">
      <c r="B304" s="263"/>
      <c r="C304" s="263"/>
      <c r="D304" s="263"/>
      <c r="E304" s="263"/>
      <c r="F304" s="263"/>
      <c r="G304" s="263"/>
      <c r="H304" s="263"/>
      <c r="I304" s="263"/>
      <c r="J304" s="263"/>
      <c r="K304" s="263"/>
      <c r="M304" s="3" t="s">
        <v>233</v>
      </c>
      <c r="O304" s="3">
        <f t="shared" si="4"/>
        <v>304</v>
      </c>
    </row>
    <row r="305" spans="1:15" ht="13.15" customHeight="1">
      <c r="B305" s="175"/>
      <c r="C305" s="175"/>
      <c r="D305" s="175"/>
      <c r="E305" s="175"/>
      <c r="F305" s="175"/>
      <c r="G305" s="175"/>
      <c r="H305" s="175"/>
      <c r="I305" s="175"/>
      <c r="J305" s="175"/>
      <c r="K305" s="175"/>
      <c r="M305" s="3" t="s">
        <v>233</v>
      </c>
      <c r="O305" s="3">
        <f t="shared" si="4"/>
        <v>305</v>
      </c>
    </row>
    <row r="306" spans="1:15" ht="13.15" customHeight="1">
      <c r="B306" s="156" t="s">
        <v>379</v>
      </c>
      <c r="C306" s="264" t="s">
        <v>268</v>
      </c>
      <c r="D306" s="264"/>
      <c r="E306" s="264"/>
      <c r="F306" s="264"/>
      <c r="G306" s="264"/>
      <c r="H306" s="264"/>
      <c r="I306" s="264"/>
      <c r="J306" s="264"/>
      <c r="K306" s="264"/>
      <c r="M306" s="3" t="s">
        <v>233</v>
      </c>
      <c r="O306" s="3">
        <f t="shared" si="4"/>
        <v>306</v>
      </c>
    </row>
    <row r="307" spans="1:15" ht="13.15" customHeight="1">
      <c r="C307" s="264"/>
      <c r="D307" s="264"/>
      <c r="E307" s="264"/>
      <c r="F307" s="264"/>
      <c r="G307" s="264"/>
      <c r="H307" s="264"/>
      <c r="I307" s="264"/>
      <c r="J307" s="264"/>
      <c r="K307" s="264"/>
      <c r="M307" s="3" t="s">
        <v>233</v>
      </c>
      <c r="O307" s="3">
        <f t="shared" si="4"/>
        <v>307</v>
      </c>
    </row>
    <row r="308" spans="1:15" ht="13.15" customHeight="1">
      <c r="C308" s="264"/>
      <c r="D308" s="264"/>
      <c r="E308" s="264"/>
      <c r="F308" s="264"/>
      <c r="G308" s="264"/>
      <c r="H308" s="264"/>
      <c r="I308" s="264"/>
      <c r="J308" s="264"/>
      <c r="K308" s="264"/>
      <c r="M308" s="3" t="s">
        <v>233</v>
      </c>
      <c r="O308" s="3">
        <f t="shared" si="4"/>
        <v>308</v>
      </c>
    </row>
    <row r="309" spans="1:15" ht="13.15" customHeight="1">
      <c r="C309" s="264"/>
      <c r="D309" s="264"/>
      <c r="E309" s="264"/>
      <c r="F309" s="264"/>
      <c r="G309" s="264"/>
      <c r="H309" s="264"/>
      <c r="I309" s="264"/>
      <c r="J309" s="264"/>
      <c r="K309" s="264"/>
      <c r="M309" s="3" t="s">
        <v>233</v>
      </c>
      <c r="O309" s="3">
        <f t="shared" si="4"/>
        <v>309</v>
      </c>
    </row>
    <row r="310" spans="1:15" ht="13.15" customHeight="1">
      <c r="C310" s="264"/>
      <c r="D310" s="264"/>
      <c r="E310" s="264"/>
      <c r="F310" s="264"/>
      <c r="G310" s="264"/>
      <c r="H310" s="264"/>
      <c r="I310" s="264"/>
      <c r="J310" s="264"/>
      <c r="K310" s="264"/>
      <c r="M310" s="3" t="s">
        <v>233</v>
      </c>
      <c r="O310" s="3">
        <f t="shared" si="4"/>
        <v>310</v>
      </c>
    </row>
    <row r="311" spans="1:15" ht="13.15" customHeight="1">
      <c r="C311" s="264"/>
      <c r="D311" s="264"/>
      <c r="E311" s="264"/>
      <c r="F311" s="264"/>
      <c r="G311" s="264"/>
      <c r="H311" s="264"/>
      <c r="I311" s="264"/>
      <c r="J311" s="264"/>
      <c r="K311" s="264"/>
      <c r="M311" s="3" t="s">
        <v>233</v>
      </c>
      <c r="O311" s="3">
        <f t="shared" si="4"/>
        <v>311</v>
      </c>
    </row>
    <row r="312" spans="1:15" ht="13.15" customHeight="1">
      <c r="A312" s="3"/>
      <c r="C312" s="264"/>
      <c r="D312" s="264"/>
      <c r="E312" s="264"/>
      <c r="F312" s="264"/>
      <c r="G312" s="264"/>
      <c r="H312" s="264"/>
      <c r="I312" s="264"/>
      <c r="J312" s="264"/>
      <c r="K312" s="264"/>
      <c r="M312" s="3" t="s">
        <v>233</v>
      </c>
      <c r="O312" s="3">
        <f t="shared" si="4"/>
        <v>312</v>
      </c>
    </row>
    <row r="313" spans="1:15" ht="13.15" customHeight="1">
      <c r="M313" s="3" t="s">
        <v>233</v>
      </c>
      <c r="O313" s="3">
        <f t="shared" si="4"/>
        <v>313</v>
      </c>
    </row>
    <row r="314" spans="1:15" ht="13.15" customHeight="1">
      <c r="A314" s="152" t="s">
        <v>394</v>
      </c>
      <c r="B314" s="263" t="s">
        <v>269</v>
      </c>
      <c r="C314" s="263"/>
      <c r="D314" s="263"/>
      <c r="E314" s="263"/>
      <c r="F314" s="263"/>
      <c r="G314" s="263"/>
      <c r="H314" s="263"/>
      <c r="I314" s="263"/>
      <c r="J314" s="263"/>
      <c r="K314" s="263"/>
      <c r="L314" s="3">
        <v>16</v>
      </c>
      <c r="M314" s="3">
        <v>12</v>
      </c>
      <c r="N314" s="3">
        <v>6</v>
      </c>
      <c r="O314" s="3">
        <f t="shared" si="4"/>
        <v>314</v>
      </c>
    </row>
    <row r="315" spans="1:15" ht="13.15" customHeight="1">
      <c r="B315" s="263"/>
      <c r="C315" s="263"/>
      <c r="D315" s="263"/>
      <c r="E315" s="263"/>
      <c r="F315" s="263"/>
      <c r="G315" s="263"/>
      <c r="H315" s="263"/>
      <c r="I315" s="263"/>
      <c r="J315" s="263"/>
      <c r="K315" s="263"/>
      <c r="M315" s="3" t="s">
        <v>233</v>
      </c>
      <c r="O315" s="3">
        <f t="shared" si="4"/>
        <v>315</v>
      </c>
    </row>
    <row r="316" spans="1:15" ht="13.15" customHeight="1">
      <c r="B316" s="263"/>
      <c r="C316" s="263"/>
      <c r="D316" s="263"/>
      <c r="E316" s="263"/>
      <c r="F316" s="263"/>
      <c r="G316" s="263"/>
      <c r="H316" s="263"/>
      <c r="I316" s="263"/>
      <c r="J316" s="263"/>
      <c r="K316" s="263"/>
      <c r="M316" s="3" t="s">
        <v>233</v>
      </c>
      <c r="O316" s="3">
        <f t="shared" si="4"/>
        <v>316</v>
      </c>
    </row>
    <row r="317" spans="1:15" ht="13.15" customHeight="1">
      <c r="B317" s="263"/>
      <c r="C317" s="263"/>
      <c r="D317" s="263"/>
      <c r="E317" s="263"/>
      <c r="F317" s="263"/>
      <c r="G317" s="263"/>
      <c r="H317" s="263"/>
      <c r="I317" s="263"/>
      <c r="J317" s="263"/>
      <c r="K317" s="263"/>
      <c r="M317" s="3" t="s">
        <v>233</v>
      </c>
      <c r="O317" s="3">
        <f t="shared" si="4"/>
        <v>317</v>
      </c>
    </row>
    <row r="318" spans="1:15" ht="13.15" customHeight="1">
      <c r="B318" s="263"/>
      <c r="C318" s="263"/>
      <c r="D318" s="263"/>
      <c r="E318" s="263"/>
      <c r="F318" s="263"/>
      <c r="G318" s="263"/>
      <c r="H318" s="263"/>
      <c r="I318" s="263"/>
      <c r="J318" s="263"/>
      <c r="K318" s="263"/>
      <c r="M318" s="3" t="s">
        <v>233</v>
      </c>
      <c r="O318" s="3">
        <f t="shared" si="4"/>
        <v>318</v>
      </c>
    </row>
    <row r="319" spans="1:15" ht="13.15" customHeight="1">
      <c r="B319" s="263"/>
      <c r="C319" s="263"/>
      <c r="D319" s="263"/>
      <c r="E319" s="263"/>
      <c r="F319" s="263"/>
      <c r="G319" s="263"/>
      <c r="H319" s="263"/>
      <c r="I319" s="263"/>
      <c r="J319" s="263"/>
      <c r="K319" s="263"/>
      <c r="M319" s="3" t="s">
        <v>233</v>
      </c>
      <c r="O319" s="3">
        <f t="shared" si="4"/>
        <v>319</v>
      </c>
    </row>
    <row r="320" spans="1:15" ht="13.15" customHeight="1">
      <c r="B320" s="164"/>
      <c r="C320" s="164"/>
      <c r="D320" s="164"/>
      <c r="E320" s="164"/>
      <c r="F320" s="164"/>
      <c r="G320" s="164"/>
      <c r="H320" s="164"/>
      <c r="I320" s="164"/>
      <c r="J320" s="164"/>
      <c r="K320" s="164"/>
      <c r="M320" s="3" t="s">
        <v>233</v>
      </c>
      <c r="O320" s="3">
        <f t="shared" si="4"/>
        <v>320</v>
      </c>
    </row>
    <row r="321" spans="1:15" ht="13.15" customHeight="1">
      <c r="B321" s="156" t="s">
        <v>379</v>
      </c>
      <c r="C321" s="264" t="s">
        <v>201</v>
      </c>
      <c r="D321" s="264"/>
      <c r="E321" s="264"/>
      <c r="F321" s="264"/>
      <c r="G321" s="264"/>
      <c r="H321" s="264"/>
      <c r="I321" s="264"/>
      <c r="J321" s="264"/>
      <c r="K321" s="97"/>
      <c r="M321" s="3" t="s">
        <v>233</v>
      </c>
      <c r="O321" s="3">
        <f t="shared" si="4"/>
        <v>321</v>
      </c>
    </row>
    <row r="322" spans="1:15" ht="13.15" customHeight="1">
      <c r="B322" s="97"/>
      <c r="C322" s="264"/>
      <c r="D322" s="264"/>
      <c r="E322" s="264"/>
      <c r="F322" s="264"/>
      <c r="G322" s="264"/>
      <c r="H322" s="264"/>
      <c r="I322" s="264"/>
      <c r="J322" s="264"/>
      <c r="K322" s="97"/>
      <c r="M322" s="3" t="s">
        <v>233</v>
      </c>
      <c r="O322" s="3">
        <f t="shared" si="4"/>
        <v>322</v>
      </c>
    </row>
    <row r="323" spans="1:15" ht="13.15" customHeight="1">
      <c r="B323" s="97"/>
      <c r="C323" s="264"/>
      <c r="D323" s="264"/>
      <c r="E323" s="264"/>
      <c r="F323" s="264"/>
      <c r="G323" s="264"/>
      <c r="H323" s="264"/>
      <c r="I323" s="264"/>
      <c r="J323" s="264"/>
      <c r="K323" s="97"/>
      <c r="M323" s="3" t="s">
        <v>233</v>
      </c>
      <c r="O323" s="3">
        <f t="shared" si="4"/>
        <v>323</v>
      </c>
    </row>
    <row r="324" spans="1:15" ht="13.15" customHeight="1">
      <c r="B324" s="97"/>
      <c r="C324" s="171"/>
      <c r="D324" s="171"/>
      <c r="E324" s="171"/>
      <c r="F324" s="171"/>
      <c r="G324" s="171"/>
      <c r="H324" s="171"/>
      <c r="I324" s="171"/>
      <c r="J324" s="171"/>
      <c r="K324" s="97"/>
      <c r="M324" s="3" t="s">
        <v>233</v>
      </c>
      <c r="O324" s="3">
        <f t="shared" si="4"/>
        <v>324</v>
      </c>
    </row>
    <row r="325" spans="1:15" ht="13.15" customHeight="1">
      <c r="B325" s="156" t="s">
        <v>379</v>
      </c>
      <c r="C325" s="272" t="s">
        <v>202</v>
      </c>
      <c r="D325" s="272"/>
      <c r="E325" s="272"/>
      <c r="F325" s="272"/>
      <c r="G325" s="272"/>
      <c r="H325" s="272"/>
      <c r="I325" s="272"/>
      <c r="J325" s="272"/>
      <c r="K325" s="272"/>
      <c r="M325" s="3" t="s">
        <v>233</v>
      </c>
      <c r="O325" s="3">
        <f t="shared" si="4"/>
        <v>325</v>
      </c>
    </row>
    <row r="326" spans="1:15" ht="13.15" customHeight="1">
      <c r="M326" s="3" t="s">
        <v>233</v>
      </c>
      <c r="O326" s="3">
        <f t="shared" si="4"/>
        <v>326</v>
      </c>
    </row>
    <row r="327" spans="1:15" ht="13.15" customHeight="1">
      <c r="A327" s="152" t="s">
        <v>395</v>
      </c>
      <c r="B327" s="263" t="s">
        <v>270</v>
      </c>
      <c r="C327" s="263"/>
      <c r="D327" s="263"/>
      <c r="E327" s="263"/>
      <c r="F327" s="263"/>
      <c r="G327" s="263"/>
      <c r="H327" s="263"/>
      <c r="I327" s="263"/>
      <c r="J327" s="263"/>
      <c r="K327" s="263"/>
      <c r="L327" s="3">
        <v>17</v>
      </c>
      <c r="M327" s="3">
        <v>10</v>
      </c>
      <c r="N327" s="3">
        <v>5</v>
      </c>
      <c r="O327" s="3">
        <f t="shared" si="4"/>
        <v>327</v>
      </c>
    </row>
    <row r="328" spans="1:15" ht="13.15" customHeight="1">
      <c r="B328" s="263"/>
      <c r="C328" s="263"/>
      <c r="D328" s="263"/>
      <c r="E328" s="263"/>
      <c r="F328" s="263"/>
      <c r="G328" s="263"/>
      <c r="H328" s="263"/>
      <c r="I328" s="263"/>
      <c r="J328" s="263"/>
      <c r="K328" s="263"/>
      <c r="M328" s="3" t="s">
        <v>233</v>
      </c>
      <c r="O328" s="3">
        <f t="shared" si="4"/>
        <v>328</v>
      </c>
    </row>
    <row r="329" spans="1:15" ht="13.15" customHeight="1">
      <c r="B329" s="263"/>
      <c r="C329" s="263"/>
      <c r="D329" s="263"/>
      <c r="E329" s="263"/>
      <c r="F329" s="263"/>
      <c r="G329" s="263"/>
      <c r="H329" s="263"/>
      <c r="I329" s="263"/>
      <c r="J329" s="263"/>
      <c r="K329" s="263"/>
      <c r="M329" s="3" t="s">
        <v>233</v>
      </c>
      <c r="O329" s="3">
        <f t="shared" si="4"/>
        <v>329</v>
      </c>
    </row>
    <row r="330" spans="1:15" ht="13.15" customHeight="1">
      <c r="B330" s="263"/>
      <c r="C330" s="263"/>
      <c r="D330" s="263"/>
      <c r="E330" s="263"/>
      <c r="F330" s="263"/>
      <c r="G330" s="263"/>
      <c r="H330" s="263"/>
      <c r="I330" s="263"/>
      <c r="J330" s="263"/>
      <c r="K330" s="263"/>
      <c r="M330" s="3" t="s">
        <v>233</v>
      </c>
      <c r="O330" s="3">
        <f t="shared" si="4"/>
        <v>330</v>
      </c>
    </row>
    <row r="331" spans="1:15" ht="13.15" customHeight="1">
      <c r="B331" s="263"/>
      <c r="C331" s="263"/>
      <c r="D331" s="263"/>
      <c r="E331" s="263"/>
      <c r="F331" s="263"/>
      <c r="G331" s="263"/>
      <c r="H331" s="263"/>
      <c r="I331" s="263"/>
      <c r="J331" s="263"/>
      <c r="K331" s="263"/>
      <c r="M331" s="3" t="s">
        <v>233</v>
      </c>
      <c r="O331" s="3">
        <f t="shared" si="4"/>
        <v>331</v>
      </c>
    </row>
    <row r="332" spans="1:15" ht="13.15" customHeight="1">
      <c r="B332" s="164"/>
      <c r="C332" s="164"/>
      <c r="D332" s="164"/>
      <c r="E332" s="164"/>
      <c r="F332" s="164"/>
      <c r="G332" s="164"/>
      <c r="H332" s="164"/>
      <c r="I332" s="164"/>
      <c r="J332" s="164"/>
      <c r="K332" s="164"/>
      <c r="M332" s="3" t="s">
        <v>233</v>
      </c>
      <c r="O332" s="3">
        <f t="shared" si="4"/>
        <v>332</v>
      </c>
    </row>
    <row r="333" spans="1:15" ht="13.15" customHeight="1">
      <c r="B333" s="156" t="s">
        <v>379</v>
      </c>
      <c r="C333" s="264" t="s">
        <v>271</v>
      </c>
      <c r="D333" s="264"/>
      <c r="E333" s="264"/>
      <c r="F333" s="264"/>
      <c r="G333" s="264"/>
      <c r="H333" s="264"/>
      <c r="I333" s="264"/>
      <c r="J333" s="264"/>
      <c r="K333" s="264"/>
      <c r="M333" s="3" t="s">
        <v>233</v>
      </c>
      <c r="O333" s="3">
        <f t="shared" si="4"/>
        <v>333</v>
      </c>
    </row>
    <row r="334" spans="1:15" ht="13.15" customHeight="1">
      <c r="C334" s="264"/>
      <c r="D334" s="264"/>
      <c r="E334" s="264"/>
      <c r="F334" s="264"/>
      <c r="G334" s="264"/>
      <c r="H334" s="264"/>
      <c r="I334" s="264"/>
      <c r="J334" s="264"/>
      <c r="K334" s="264"/>
      <c r="M334" s="3" t="s">
        <v>233</v>
      </c>
      <c r="O334" s="3">
        <f t="shared" si="4"/>
        <v>334</v>
      </c>
    </row>
    <row r="335" spans="1:15" ht="13.15" customHeight="1">
      <c r="C335" s="264"/>
      <c r="D335" s="264"/>
      <c r="E335" s="264"/>
      <c r="F335" s="264"/>
      <c r="G335" s="264"/>
      <c r="H335" s="264"/>
      <c r="I335" s="264"/>
      <c r="J335" s="264"/>
      <c r="K335" s="264"/>
      <c r="M335" s="3" t="s">
        <v>233</v>
      </c>
      <c r="O335" s="3">
        <f t="shared" si="4"/>
        <v>335</v>
      </c>
    </row>
    <row r="336" spans="1:15" ht="13.15" customHeight="1">
      <c r="C336" s="264"/>
      <c r="D336" s="264"/>
      <c r="E336" s="264"/>
      <c r="F336" s="264"/>
      <c r="G336" s="264"/>
      <c r="H336" s="264"/>
      <c r="I336" s="264"/>
      <c r="J336" s="264"/>
      <c r="K336" s="264"/>
      <c r="M336" s="3" t="s">
        <v>233</v>
      </c>
      <c r="O336" s="3">
        <f t="shared" si="4"/>
        <v>336</v>
      </c>
    </row>
    <row r="337" spans="1:15" ht="13.15" customHeight="1">
      <c r="C337" s="94"/>
      <c r="D337" s="94"/>
      <c r="E337" s="94"/>
      <c r="F337" s="94"/>
      <c r="G337" s="94"/>
      <c r="H337" s="94"/>
      <c r="I337" s="94"/>
      <c r="J337" s="94"/>
      <c r="K337" s="94"/>
      <c r="M337" s="3" t="s">
        <v>233</v>
      </c>
      <c r="O337" s="3">
        <f t="shared" si="4"/>
        <v>337</v>
      </c>
    </row>
    <row r="338" spans="1:15" ht="13.15" customHeight="1">
      <c r="A338" s="152" t="s">
        <v>396</v>
      </c>
      <c r="B338" s="263" t="s">
        <v>272</v>
      </c>
      <c r="C338" s="263"/>
      <c r="D338" s="263"/>
      <c r="E338" s="263"/>
      <c r="F338" s="263"/>
      <c r="G338" s="263"/>
      <c r="H338" s="263"/>
      <c r="I338" s="263"/>
      <c r="J338" s="263"/>
      <c r="K338" s="263"/>
      <c r="L338" s="3">
        <v>18</v>
      </c>
      <c r="M338" s="3">
        <v>15</v>
      </c>
      <c r="N338" s="3">
        <v>6</v>
      </c>
      <c r="O338" s="3">
        <f t="shared" si="4"/>
        <v>338</v>
      </c>
    </row>
    <row r="339" spans="1:15" ht="13.15" customHeight="1">
      <c r="B339" s="263"/>
      <c r="C339" s="263"/>
      <c r="D339" s="263"/>
      <c r="E339" s="263"/>
      <c r="F339" s="263"/>
      <c r="G339" s="263"/>
      <c r="H339" s="263"/>
      <c r="I339" s="263"/>
      <c r="J339" s="263"/>
      <c r="K339" s="263"/>
      <c r="M339" s="3" t="s">
        <v>233</v>
      </c>
      <c r="O339" s="3">
        <f t="shared" si="4"/>
        <v>339</v>
      </c>
    </row>
    <row r="340" spans="1:15" ht="13.15" customHeight="1">
      <c r="B340" s="263"/>
      <c r="C340" s="263"/>
      <c r="D340" s="263"/>
      <c r="E340" s="263"/>
      <c r="F340" s="263"/>
      <c r="G340" s="263"/>
      <c r="H340" s="263"/>
      <c r="I340" s="263"/>
      <c r="J340" s="263"/>
      <c r="K340" s="263"/>
      <c r="M340" s="3" t="s">
        <v>233</v>
      </c>
      <c r="O340" s="3">
        <f t="shared" si="4"/>
        <v>340</v>
      </c>
    </row>
    <row r="341" spans="1:15" ht="13.15" customHeight="1">
      <c r="B341" s="263"/>
      <c r="C341" s="263"/>
      <c r="D341" s="263"/>
      <c r="E341" s="263"/>
      <c r="F341" s="263"/>
      <c r="G341" s="263"/>
      <c r="H341" s="263"/>
      <c r="I341" s="263"/>
      <c r="J341" s="263"/>
      <c r="K341" s="263"/>
      <c r="M341" s="3" t="s">
        <v>233</v>
      </c>
      <c r="O341" s="3">
        <f t="shared" si="4"/>
        <v>341</v>
      </c>
    </row>
    <row r="342" spans="1:15" ht="13.15" customHeight="1">
      <c r="B342" s="263"/>
      <c r="C342" s="263"/>
      <c r="D342" s="263"/>
      <c r="E342" s="263"/>
      <c r="F342" s="263"/>
      <c r="G342" s="263"/>
      <c r="H342" s="263"/>
      <c r="I342" s="263"/>
      <c r="J342" s="263"/>
      <c r="K342" s="263"/>
      <c r="M342" s="3" t="s">
        <v>233</v>
      </c>
      <c r="O342" s="3">
        <f t="shared" si="4"/>
        <v>342</v>
      </c>
    </row>
    <row r="343" spans="1:15" ht="13.15" customHeight="1">
      <c r="B343" s="263"/>
      <c r="C343" s="263"/>
      <c r="D343" s="263"/>
      <c r="E343" s="263"/>
      <c r="F343" s="263"/>
      <c r="G343" s="263"/>
      <c r="H343" s="263"/>
      <c r="I343" s="263"/>
      <c r="J343" s="263"/>
      <c r="K343" s="263"/>
      <c r="M343" s="3" t="s">
        <v>233</v>
      </c>
      <c r="O343" s="3">
        <f t="shared" si="4"/>
        <v>343</v>
      </c>
    </row>
    <row r="344" spans="1:15" ht="13.15" customHeight="1">
      <c r="M344" s="3" t="s">
        <v>233</v>
      </c>
      <c r="O344" s="3">
        <f t="shared" si="4"/>
        <v>344</v>
      </c>
    </row>
    <row r="345" spans="1:15" ht="13.15" customHeight="1">
      <c r="B345" s="156" t="s">
        <v>379</v>
      </c>
      <c r="C345" s="264" t="s">
        <v>273</v>
      </c>
      <c r="D345" s="264"/>
      <c r="E345" s="264"/>
      <c r="F345" s="264"/>
      <c r="G345" s="264"/>
      <c r="H345" s="264"/>
      <c r="I345" s="264"/>
      <c r="J345" s="264"/>
      <c r="K345" s="264"/>
      <c r="M345" s="3" t="s">
        <v>233</v>
      </c>
      <c r="O345" s="3">
        <f t="shared" si="4"/>
        <v>345</v>
      </c>
    </row>
    <row r="346" spans="1:15" ht="13.15" customHeight="1">
      <c r="C346" s="264"/>
      <c r="D346" s="264"/>
      <c r="E346" s="264"/>
      <c r="F346" s="264"/>
      <c r="G346" s="264"/>
      <c r="H346" s="264"/>
      <c r="I346" s="264"/>
      <c r="J346" s="264"/>
      <c r="K346" s="264"/>
      <c r="M346" s="3" t="s">
        <v>233</v>
      </c>
      <c r="O346" s="3">
        <f t="shared" si="4"/>
        <v>346</v>
      </c>
    </row>
    <row r="347" spans="1:15" ht="13.15" customHeight="1">
      <c r="C347" s="264"/>
      <c r="D347" s="264"/>
      <c r="E347" s="264"/>
      <c r="F347" s="264"/>
      <c r="G347" s="264"/>
      <c r="H347" s="264"/>
      <c r="I347" s="264"/>
      <c r="J347" s="264"/>
      <c r="K347" s="264"/>
      <c r="M347" s="3" t="s">
        <v>233</v>
      </c>
      <c r="O347" s="3">
        <f t="shared" si="4"/>
        <v>347</v>
      </c>
    </row>
    <row r="348" spans="1:15" ht="13.15" customHeight="1">
      <c r="C348" s="264"/>
      <c r="D348" s="264"/>
      <c r="E348" s="264"/>
      <c r="F348" s="264"/>
      <c r="G348" s="264"/>
      <c r="H348" s="264"/>
      <c r="I348" s="264"/>
      <c r="J348" s="264"/>
      <c r="K348" s="264"/>
      <c r="M348" s="3" t="s">
        <v>233</v>
      </c>
      <c r="O348" s="3">
        <f t="shared" si="4"/>
        <v>348</v>
      </c>
    </row>
    <row r="349" spans="1:15" ht="13.15" customHeight="1">
      <c r="C349" s="264"/>
      <c r="D349" s="264"/>
      <c r="E349" s="264"/>
      <c r="F349" s="264"/>
      <c r="G349" s="264"/>
      <c r="H349" s="264"/>
      <c r="I349" s="264"/>
      <c r="J349" s="264"/>
      <c r="K349" s="264"/>
      <c r="M349" s="3" t="s">
        <v>233</v>
      </c>
      <c r="O349" s="3">
        <f t="shared" si="4"/>
        <v>349</v>
      </c>
    </row>
    <row r="350" spans="1:15" ht="13.15" customHeight="1">
      <c r="C350" s="264"/>
      <c r="D350" s="264"/>
      <c r="E350" s="264"/>
      <c r="F350" s="264"/>
      <c r="G350" s="264"/>
      <c r="H350" s="264"/>
      <c r="I350" s="264"/>
      <c r="J350" s="264"/>
      <c r="K350" s="264"/>
      <c r="M350" s="3" t="s">
        <v>233</v>
      </c>
      <c r="O350" s="3">
        <f t="shared" si="4"/>
        <v>350</v>
      </c>
    </row>
    <row r="351" spans="1:15" ht="13.15" customHeight="1">
      <c r="C351" s="264"/>
      <c r="D351" s="264"/>
      <c r="E351" s="264"/>
      <c r="F351" s="264"/>
      <c r="G351" s="264"/>
      <c r="H351" s="264"/>
      <c r="I351" s="264"/>
      <c r="J351" s="264"/>
      <c r="K351" s="264"/>
      <c r="M351" s="3" t="s">
        <v>233</v>
      </c>
      <c r="O351" s="3">
        <f t="shared" si="4"/>
        <v>351</v>
      </c>
    </row>
    <row r="352" spans="1:15" ht="13.15" customHeight="1">
      <c r="C352" s="264"/>
      <c r="D352" s="264"/>
      <c r="E352" s="264"/>
      <c r="F352" s="264"/>
      <c r="G352" s="264"/>
      <c r="H352" s="264"/>
      <c r="I352" s="264"/>
      <c r="J352" s="264"/>
      <c r="K352" s="264"/>
      <c r="M352" s="3" t="s">
        <v>233</v>
      </c>
      <c r="O352" s="3">
        <f t="shared" si="4"/>
        <v>352</v>
      </c>
    </row>
    <row r="353" spans="1:15" ht="13.15" customHeight="1">
      <c r="C353" s="172"/>
      <c r="D353" s="172"/>
      <c r="E353" s="172"/>
      <c r="F353" s="172"/>
      <c r="G353" s="172"/>
      <c r="H353" s="172"/>
      <c r="I353" s="172"/>
      <c r="J353" s="172"/>
      <c r="K353" s="172"/>
      <c r="M353" s="3" t="s">
        <v>233</v>
      </c>
      <c r="O353" s="3">
        <f t="shared" si="4"/>
        <v>353</v>
      </c>
    </row>
    <row r="354" spans="1:15" ht="13.15" customHeight="1">
      <c r="A354" s="152" t="s">
        <v>397</v>
      </c>
      <c r="B354" s="263" t="s">
        <v>274</v>
      </c>
      <c r="C354" s="263"/>
      <c r="D354" s="263"/>
      <c r="E354" s="263"/>
      <c r="F354" s="263"/>
      <c r="G354" s="263"/>
      <c r="H354" s="263"/>
      <c r="I354" s="263"/>
      <c r="J354" s="263"/>
      <c r="K354" s="263"/>
      <c r="L354" s="3">
        <v>19</v>
      </c>
      <c r="M354" s="3">
        <v>10</v>
      </c>
      <c r="N354" s="3">
        <v>8</v>
      </c>
      <c r="O354" s="3">
        <f t="shared" si="4"/>
        <v>354</v>
      </c>
    </row>
    <row r="355" spans="1:15" ht="13.15" customHeight="1">
      <c r="B355" s="263"/>
      <c r="C355" s="263"/>
      <c r="D355" s="263"/>
      <c r="E355" s="263"/>
      <c r="F355" s="263"/>
      <c r="G355" s="263"/>
      <c r="H355" s="263"/>
      <c r="I355" s="263"/>
      <c r="J355" s="263"/>
      <c r="K355" s="263"/>
      <c r="M355" s="3" t="s">
        <v>233</v>
      </c>
      <c r="O355" s="3">
        <f t="shared" ref="O355:O418" si="5">ROW(M355)</f>
        <v>355</v>
      </c>
    </row>
    <row r="356" spans="1:15" ht="13.15" customHeight="1">
      <c r="B356" s="263"/>
      <c r="C356" s="263"/>
      <c r="D356" s="263"/>
      <c r="E356" s="263"/>
      <c r="F356" s="263"/>
      <c r="G356" s="263"/>
      <c r="H356" s="263"/>
      <c r="I356" s="263"/>
      <c r="J356" s="263"/>
      <c r="K356" s="263"/>
      <c r="M356" s="3" t="s">
        <v>233</v>
      </c>
      <c r="O356" s="3">
        <f t="shared" si="5"/>
        <v>356</v>
      </c>
    </row>
    <row r="357" spans="1:15" ht="13.15" customHeight="1">
      <c r="B357" s="263"/>
      <c r="C357" s="263"/>
      <c r="D357" s="263"/>
      <c r="E357" s="263"/>
      <c r="F357" s="263"/>
      <c r="G357" s="263"/>
      <c r="H357" s="263"/>
      <c r="I357" s="263"/>
      <c r="J357" s="263"/>
      <c r="K357" s="263"/>
      <c r="M357" s="3" t="s">
        <v>233</v>
      </c>
      <c r="O357" s="3">
        <f t="shared" si="5"/>
        <v>357</v>
      </c>
    </row>
    <row r="358" spans="1:15" ht="13.15" customHeight="1">
      <c r="B358" s="263"/>
      <c r="C358" s="263"/>
      <c r="D358" s="263"/>
      <c r="E358" s="263"/>
      <c r="F358" s="263"/>
      <c r="G358" s="263"/>
      <c r="H358" s="263"/>
      <c r="I358" s="263"/>
      <c r="J358" s="263"/>
      <c r="K358" s="263"/>
      <c r="M358" s="3" t="s">
        <v>233</v>
      </c>
      <c r="O358" s="3">
        <f t="shared" si="5"/>
        <v>358</v>
      </c>
    </row>
    <row r="359" spans="1:15" ht="13.15" customHeight="1">
      <c r="B359" s="263"/>
      <c r="C359" s="263"/>
      <c r="D359" s="263"/>
      <c r="E359" s="263"/>
      <c r="F359" s="263"/>
      <c r="G359" s="263"/>
      <c r="H359" s="263"/>
      <c r="I359" s="263"/>
      <c r="J359" s="263"/>
      <c r="K359" s="263"/>
      <c r="M359" s="3" t="s">
        <v>233</v>
      </c>
      <c r="O359" s="3">
        <f t="shared" si="5"/>
        <v>359</v>
      </c>
    </row>
    <row r="360" spans="1:15" ht="13.15" customHeight="1">
      <c r="B360" s="263"/>
      <c r="C360" s="263"/>
      <c r="D360" s="263"/>
      <c r="E360" s="263"/>
      <c r="F360" s="263"/>
      <c r="G360" s="263"/>
      <c r="H360" s="263"/>
      <c r="I360" s="263"/>
      <c r="J360" s="263"/>
      <c r="K360" s="263"/>
      <c r="M360" s="3" t="s">
        <v>233</v>
      </c>
      <c r="O360" s="3">
        <f t="shared" si="5"/>
        <v>360</v>
      </c>
    </row>
    <row r="361" spans="1:15" ht="13.15" customHeight="1">
      <c r="B361" s="263"/>
      <c r="C361" s="263"/>
      <c r="D361" s="263"/>
      <c r="E361" s="263"/>
      <c r="F361" s="263"/>
      <c r="G361" s="263"/>
      <c r="H361" s="263"/>
      <c r="I361" s="263"/>
      <c r="J361" s="263"/>
      <c r="K361" s="263"/>
      <c r="M361" s="3" t="s">
        <v>233</v>
      </c>
      <c r="O361" s="3">
        <f t="shared" si="5"/>
        <v>361</v>
      </c>
    </row>
    <row r="362" spans="1:15" ht="13.15" customHeight="1">
      <c r="M362" s="3" t="s">
        <v>233</v>
      </c>
      <c r="O362" s="3">
        <f t="shared" si="5"/>
        <v>362</v>
      </c>
    </row>
    <row r="363" spans="1:15" ht="13.15" customHeight="1">
      <c r="A363" s="3"/>
      <c r="B363" s="156" t="s">
        <v>379</v>
      </c>
      <c r="C363" s="272" t="s">
        <v>205</v>
      </c>
      <c r="D363" s="272"/>
      <c r="E363" s="272"/>
      <c r="F363" s="272"/>
      <c r="G363" s="272"/>
      <c r="H363" s="272"/>
      <c r="I363" s="272"/>
      <c r="J363" s="272"/>
      <c r="K363" s="272"/>
      <c r="M363" s="3" t="s">
        <v>233</v>
      </c>
      <c r="O363" s="3">
        <f t="shared" si="5"/>
        <v>363</v>
      </c>
    </row>
    <row r="364" spans="1:15" ht="13.15" customHeight="1">
      <c r="M364" s="3" t="s">
        <v>233</v>
      </c>
      <c r="O364" s="3">
        <f t="shared" si="5"/>
        <v>364</v>
      </c>
    </row>
    <row r="365" spans="1:15" ht="13.15" customHeight="1">
      <c r="A365" s="152" t="s">
        <v>398</v>
      </c>
      <c r="B365" s="263" t="s">
        <v>275</v>
      </c>
      <c r="C365" s="263"/>
      <c r="D365" s="263"/>
      <c r="E365" s="263"/>
      <c r="F365" s="263"/>
      <c r="G365" s="263"/>
      <c r="H365" s="263"/>
      <c r="I365" s="263"/>
      <c r="J365" s="263"/>
      <c r="K365" s="263"/>
      <c r="L365" s="3">
        <v>20</v>
      </c>
      <c r="M365" s="3">
        <v>16</v>
      </c>
      <c r="N365" s="3">
        <v>11</v>
      </c>
      <c r="O365" s="3">
        <f t="shared" si="5"/>
        <v>365</v>
      </c>
    </row>
    <row r="366" spans="1:15" ht="13.15" customHeight="1">
      <c r="B366" s="263"/>
      <c r="C366" s="263"/>
      <c r="D366" s="263"/>
      <c r="E366" s="263"/>
      <c r="F366" s="263"/>
      <c r="G366" s="263"/>
      <c r="H366" s="263"/>
      <c r="I366" s="263"/>
      <c r="J366" s="263"/>
      <c r="K366" s="263"/>
      <c r="M366" s="3" t="s">
        <v>233</v>
      </c>
      <c r="O366" s="3">
        <f t="shared" si="5"/>
        <v>366</v>
      </c>
    </row>
    <row r="367" spans="1:15" ht="13.15" customHeight="1">
      <c r="B367" s="263"/>
      <c r="C367" s="263"/>
      <c r="D367" s="263"/>
      <c r="E367" s="263"/>
      <c r="F367" s="263"/>
      <c r="G367" s="263"/>
      <c r="H367" s="263"/>
      <c r="I367" s="263"/>
      <c r="J367" s="263"/>
      <c r="K367" s="263"/>
      <c r="M367" s="3" t="s">
        <v>233</v>
      </c>
      <c r="O367" s="3">
        <f t="shared" si="5"/>
        <v>367</v>
      </c>
    </row>
    <row r="368" spans="1:15" ht="13.15" customHeight="1">
      <c r="B368" s="263"/>
      <c r="C368" s="263"/>
      <c r="D368" s="263"/>
      <c r="E368" s="263"/>
      <c r="F368" s="263"/>
      <c r="G368" s="263"/>
      <c r="H368" s="263"/>
      <c r="I368" s="263"/>
      <c r="J368" s="263"/>
      <c r="K368" s="263"/>
      <c r="M368" s="3" t="s">
        <v>233</v>
      </c>
      <c r="O368" s="3">
        <f t="shared" si="5"/>
        <v>368</v>
      </c>
    </row>
    <row r="369" spans="1:15" ht="13.15" customHeight="1">
      <c r="B369" s="263"/>
      <c r="C369" s="263"/>
      <c r="D369" s="263"/>
      <c r="E369" s="263"/>
      <c r="F369" s="263"/>
      <c r="G369" s="263"/>
      <c r="H369" s="263"/>
      <c r="I369" s="263"/>
      <c r="J369" s="263"/>
      <c r="K369" s="263"/>
      <c r="M369" s="3" t="s">
        <v>233</v>
      </c>
      <c r="O369" s="3">
        <f t="shared" si="5"/>
        <v>369</v>
      </c>
    </row>
    <row r="370" spans="1:15" ht="13.15" customHeight="1">
      <c r="B370" s="263"/>
      <c r="C370" s="263"/>
      <c r="D370" s="263"/>
      <c r="E370" s="263"/>
      <c r="F370" s="263"/>
      <c r="G370" s="263"/>
      <c r="H370" s="263"/>
      <c r="I370" s="263"/>
      <c r="J370" s="263"/>
      <c r="K370" s="263"/>
      <c r="M370" s="3" t="s">
        <v>233</v>
      </c>
      <c r="O370" s="3">
        <f t="shared" si="5"/>
        <v>370</v>
      </c>
    </row>
    <row r="371" spans="1:15" ht="13.15" customHeight="1">
      <c r="B371" s="263"/>
      <c r="C371" s="263"/>
      <c r="D371" s="263"/>
      <c r="E371" s="263"/>
      <c r="F371" s="263"/>
      <c r="G371" s="263"/>
      <c r="H371" s="263"/>
      <c r="I371" s="263"/>
      <c r="J371" s="263"/>
      <c r="K371" s="263"/>
      <c r="M371" s="3" t="s">
        <v>233</v>
      </c>
      <c r="O371" s="3">
        <f t="shared" si="5"/>
        <v>371</v>
      </c>
    </row>
    <row r="372" spans="1:15" ht="13.15" customHeight="1">
      <c r="B372" s="263"/>
      <c r="C372" s="263"/>
      <c r="D372" s="263"/>
      <c r="E372" s="263"/>
      <c r="F372" s="263"/>
      <c r="G372" s="263"/>
      <c r="H372" s="263"/>
      <c r="I372" s="263"/>
      <c r="J372" s="263"/>
      <c r="K372" s="263"/>
      <c r="M372" s="3" t="s">
        <v>233</v>
      </c>
      <c r="O372" s="3">
        <f t="shared" si="5"/>
        <v>372</v>
      </c>
    </row>
    <row r="373" spans="1:15" ht="13.15" customHeight="1">
      <c r="B373" s="263"/>
      <c r="C373" s="263"/>
      <c r="D373" s="263"/>
      <c r="E373" s="263"/>
      <c r="F373" s="263"/>
      <c r="G373" s="263"/>
      <c r="H373" s="263"/>
      <c r="I373" s="263"/>
      <c r="J373" s="263"/>
      <c r="K373" s="263"/>
      <c r="M373" s="3" t="s">
        <v>233</v>
      </c>
      <c r="O373" s="3">
        <f t="shared" si="5"/>
        <v>373</v>
      </c>
    </row>
    <row r="374" spans="1:15" ht="13.15" customHeight="1">
      <c r="B374" s="263"/>
      <c r="C374" s="263"/>
      <c r="D374" s="263"/>
      <c r="E374" s="263"/>
      <c r="F374" s="263"/>
      <c r="G374" s="263"/>
      <c r="H374" s="263"/>
      <c r="I374" s="263"/>
      <c r="J374" s="263"/>
      <c r="K374" s="263"/>
      <c r="M374" s="3" t="s">
        <v>233</v>
      </c>
      <c r="O374" s="3">
        <f t="shared" si="5"/>
        <v>374</v>
      </c>
    </row>
    <row r="375" spans="1:15" ht="13.15" customHeight="1">
      <c r="B375" s="263"/>
      <c r="C375" s="263"/>
      <c r="D375" s="263"/>
      <c r="E375" s="263"/>
      <c r="F375" s="263"/>
      <c r="G375" s="263"/>
      <c r="H375" s="263"/>
      <c r="I375" s="263"/>
      <c r="J375" s="263"/>
      <c r="K375" s="263"/>
      <c r="M375" s="3" t="s">
        <v>233</v>
      </c>
      <c r="O375" s="3">
        <f t="shared" si="5"/>
        <v>375</v>
      </c>
    </row>
    <row r="376" spans="1:15" ht="13.15" customHeight="1">
      <c r="A376" s="3"/>
      <c r="B376" s="111"/>
      <c r="C376" s="111"/>
      <c r="D376" s="111"/>
      <c r="E376" s="111"/>
      <c r="F376" s="111"/>
      <c r="G376" s="111"/>
      <c r="H376" s="111"/>
      <c r="I376" s="111"/>
      <c r="J376" s="111"/>
      <c r="K376" s="111"/>
      <c r="M376" s="3" t="s">
        <v>233</v>
      </c>
      <c r="O376" s="3">
        <f t="shared" si="5"/>
        <v>376</v>
      </c>
    </row>
    <row r="377" spans="1:15" ht="13.15" customHeight="1">
      <c r="B377" s="156" t="s">
        <v>379</v>
      </c>
      <c r="C377" s="264" t="s">
        <v>203</v>
      </c>
      <c r="D377" s="264"/>
      <c r="E377" s="264"/>
      <c r="F377" s="264"/>
      <c r="G377" s="264"/>
      <c r="H377" s="264"/>
      <c r="I377" s="264"/>
      <c r="J377" s="264"/>
      <c r="K377" s="264"/>
      <c r="M377" s="3" t="s">
        <v>233</v>
      </c>
      <c r="O377" s="3">
        <f t="shared" si="5"/>
        <v>377</v>
      </c>
    </row>
    <row r="378" spans="1:15" ht="13.15" customHeight="1">
      <c r="C378" s="264"/>
      <c r="D378" s="264"/>
      <c r="E378" s="264"/>
      <c r="F378" s="264"/>
      <c r="G378" s="264"/>
      <c r="H378" s="264"/>
      <c r="I378" s="264"/>
      <c r="J378" s="264"/>
      <c r="K378" s="264"/>
      <c r="M378" s="3" t="s">
        <v>233</v>
      </c>
      <c r="O378" s="3">
        <f t="shared" si="5"/>
        <v>378</v>
      </c>
    </row>
    <row r="379" spans="1:15" ht="13.15" customHeight="1">
      <c r="M379" s="3" t="s">
        <v>233</v>
      </c>
      <c r="O379" s="3">
        <f t="shared" si="5"/>
        <v>379</v>
      </c>
    </row>
    <row r="380" spans="1:15" ht="13.15" customHeight="1">
      <c r="B380" s="156" t="s">
        <v>379</v>
      </c>
      <c r="C380" s="126" t="s">
        <v>276</v>
      </c>
      <c r="D380" s="126"/>
      <c r="E380" s="126"/>
      <c r="F380" s="126"/>
      <c r="G380" s="126"/>
      <c r="H380" s="126"/>
      <c r="I380" s="126"/>
      <c r="J380" s="126"/>
      <c r="K380" s="126"/>
      <c r="M380" s="3" t="s">
        <v>233</v>
      </c>
      <c r="O380" s="3">
        <f t="shared" si="5"/>
        <v>380</v>
      </c>
    </row>
    <row r="381" spans="1:15" ht="12.75">
      <c r="M381" s="3" t="s">
        <v>233</v>
      </c>
      <c r="O381" s="3">
        <f t="shared" si="5"/>
        <v>381</v>
      </c>
    </row>
    <row r="382" spans="1:15" ht="12.75">
      <c r="A382" s="152" t="s">
        <v>399</v>
      </c>
      <c r="B382" s="263" t="s">
        <v>277</v>
      </c>
      <c r="C382" s="263"/>
      <c r="D382" s="263"/>
      <c r="E382" s="263"/>
      <c r="F382" s="263"/>
      <c r="G382" s="263"/>
      <c r="H382" s="263"/>
      <c r="I382" s="263"/>
      <c r="J382" s="263"/>
      <c r="K382" s="263"/>
      <c r="L382" s="3">
        <v>21</v>
      </c>
      <c r="M382" s="3">
        <v>14</v>
      </c>
      <c r="N382" s="3">
        <v>9</v>
      </c>
      <c r="O382" s="3">
        <f t="shared" si="5"/>
        <v>382</v>
      </c>
    </row>
    <row r="383" spans="1:15" ht="13.15" customHeight="1">
      <c r="B383" s="263"/>
      <c r="C383" s="263"/>
      <c r="D383" s="263"/>
      <c r="E383" s="263"/>
      <c r="F383" s="263"/>
      <c r="G383" s="263"/>
      <c r="H383" s="263"/>
      <c r="I383" s="263"/>
      <c r="J383" s="263"/>
      <c r="K383" s="263"/>
      <c r="M383" s="3" t="s">
        <v>233</v>
      </c>
      <c r="O383" s="3">
        <f t="shared" si="5"/>
        <v>383</v>
      </c>
    </row>
    <row r="384" spans="1:15" ht="13.15" customHeight="1">
      <c r="B384" s="263"/>
      <c r="C384" s="263"/>
      <c r="D384" s="263"/>
      <c r="E384" s="263"/>
      <c r="F384" s="263"/>
      <c r="G384" s="263"/>
      <c r="H384" s="263"/>
      <c r="I384" s="263"/>
      <c r="J384" s="263"/>
      <c r="K384" s="263"/>
      <c r="M384" s="3" t="s">
        <v>233</v>
      </c>
      <c r="O384" s="3">
        <f t="shared" si="5"/>
        <v>384</v>
      </c>
    </row>
    <row r="385" spans="1:15" ht="13.15" customHeight="1">
      <c r="B385" s="263"/>
      <c r="C385" s="263"/>
      <c r="D385" s="263"/>
      <c r="E385" s="263"/>
      <c r="F385" s="263"/>
      <c r="G385" s="263"/>
      <c r="H385" s="263"/>
      <c r="I385" s="263"/>
      <c r="J385" s="263"/>
      <c r="K385" s="263"/>
      <c r="M385" s="3" t="s">
        <v>233</v>
      </c>
      <c r="O385" s="3">
        <f t="shared" si="5"/>
        <v>385</v>
      </c>
    </row>
    <row r="386" spans="1:15" ht="13.15" customHeight="1">
      <c r="B386" s="263"/>
      <c r="C386" s="263"/>
      <c r="D386" s="263"/>
      <c r="E386" s="263"/>
      <c r="F386" s="263"/>
      <c r="G386" s="263"/>
      <c r="H386" s="263"/>
      <c r="I386" s="263"/>
      <c r="J386" s="263"/>
      <c r="K386" s="263"/>
      <c r="M386" s="3" t="s">
        <v>233</v>
      </c>
      <c r="O386" s="3">
        <f t="shared" si="5"/>
        <v>386</v>
      </c>
    </row>
    <row r="387" spans="1:15" ht="13.15" customHeight="1">
      <c r="B387" s="263"/>
      <c r="C387" s="263"/>
      <c r="D387" s="263"/>
      <c r="E387" s="263"/>
      <c r="F387" s="263"/>
      <c r="G387" s="263"/>
      <c r="H387" s="263"/>
      <c r="I387" s="263"/>
      <c r="J387" s="263"/>
      <c r="K387" s="263"/>
      <c r="M387" s="3" t="s">
        <v>233</v>
      </c>
      <c r="O387" s="3">
        <f t="shared" si="5"/>
        <v>387</v>
      </c>
    </row>
    <row r="388" spans="1:15" ht="13.15" customHeight="1">
      <c r="B388" s="263"/>
      <c r="C388" s="263"/>
      <c r="D388" s="263"/>
      <c r="E388" s="263"/>
      <c r="F388" s="263"/>
      <c r="G388" s="263"/>
      <c r="H388" s="263"/>
      <c r="I388" s="263"/>
      <c r="J388" s="263"/>
      <c r="K388" s="263"/>
      <c r="M388" s="3" t="s">
        <v>233</v>
      </c>
      <c r="O388" s="3">
        <f t="shared" si="5"/>
        <v>388</v>
      </c>
    </row>
    <row r="389" spans="1:15" ht="13.15" customHeight="1">
      <c r="B389" s="263"/>
      <c r="C389" s="263"/>
      <c r="D389" s="263"/>
      <c r="E389" s="263"/>
      <c r="F389" s="263"/>
      <c r="G389" s="263"/>
      <c r="H389" s="263"/>
      <c r="I389" s="263"/>
      <c r="J389" s="263"/>
      <c r="K389" s="263"/>
      <c r="M389" s="3" t="s">
        <v>233</v>
      </c>
      <c r="O389" s="3">
        <f t="shared" si="5"/>
        <v>389</v>
      </c>
    </row>
    <row r="390" spans="1:15" ht="13.15" customHeight="1">
      <c r="B390" s="263"/>
      <c r="C390" s="263"/>
      <c r="D390" s="263"/>
      <c r="E390" s="263"/>
      <c r="F390" s="263"/>
      <c r="G390" s="263"/>
      <c r="H390" s="263"/>
      <c r="I390" s="263"/>
      <c r="J390" s="263"/>
      <c r="K390" s="263"/>
      <c r="M390" s="3" t="s">
        <v>233</v>
      </c>
      <c r="O390" s="3">
        <f t="shared" si="5"/>
        <v>390</v>
      </c>
    </row>
    <row r="391" spans="1:15" ht="13.15" customHeight="1">
      <c r="B391" s="175"/>
      <c r="C391" s="175"/>
      <c r="D391" s="175"/>
      <c r="E391" s="175"/>
      <c r="F391" s="175"/>
      <c r="G391" s="175"/>
      <c r="H391" s="175"/>
      <c r="I391" s="175"/>
      <c r="J391" s="175"/>
      <c r="K391" s="175"/>
      <c r="M391" s="3" t="s">
        <v>233</v>
      </c>
      <c r="O391" s="3">
        <f t="shared" si="5"/>
        <v>391</v>
      </c>
    </row>
    <row r="392" spans="1:15" ht="13.15" customHeight="1">
      <c r="B392" s="156" t="s">
        <v>379</v>
      </c>
      <c r="C392" s="273" t="s">
        <v>278</v>
      </c>
      <c r="D392" s="273"/>
      <c r="E392" s="273"/>
      <c r="F392" s="273"/>
      <c r="G392" s="273"/>
      <c r="H392" s="273"/>
      <c r="I392" s="273"/>
      <c r="J392" s="273"/>
      <c r="K392" s="273"/>
      <c r="M392" s="3" t="s">
        <v>233</v>
      </c>
      <c r="O392" s="3">
        <f t="shared" si="5"/>
        <v>392</v>
      </c>
    </row>
    <row r="393" spans="1:15" ht="13.15" customHeight="1">
      <c r="C393" s="273"/>
      <c r="D393" s="273"/>
      <c r="E393" s="273"/>
      <c r="F393" s="273"/>
      <c r="G393" s="273"/>
      <c r="H393" s="273"/>
      <c r="I393" s="273"/>
      <c r="J393" s="273"/>
      <c r="K393" s="273"/>
      <c r="M393" s="3" t="s">
        <v>233</v>
      </c>
      <c r="O393" s="3">
        <f t="shared" si="5"/>
        <v>393</v>
      </c>
    </row>
    <row r="394" spans="1:15" ht="13.15" customHeight="1">
      <c r="C394" s="273"/>
      <c r="D394" s="273"/>
      <c r="E394" s="273"/>
      <c r="F394" s="273"/>
      <c r="G394" s="273"/>
      <c r="H394" s="273"/>
      <c r="I394" s="273"/>
      <c r="J394" s="273"/>
      <c r="K394" s="273"/>
      <c r="M394" s="3" t="s">
        <v>233</v>
      </c>
      <c r="O394" s="3">
        <f t="shared" si="5"/>
        <v>394</v>
      </c>
    </row>
    <row r="395" spans="1:15" ht="13.15" customHeight="1">
      <c r="B395" s="156" t="s">
        <v>379</v>
      </c>
      <c r="C395" s="273" t="s">
        <v>204</v>
      </c>
      <c r="D395" s="273"/>
      <c r="E395" s="273"/>
      <c r="F395" s="273"/>
      <c r="G395" s="273"/>
      <c r="H395" s="273"/>
      <c r="I395" s="273"/>
      <c r="J395" s="273"/>
      <c r="K395" s="273"/>
      <c r="M395" s="3" t="s">
        <v>233</v>
      </c>
      <c r="O395" s="3">
        <f t="shared" si="5"/>
        <v>395</v>
      </c>
    </row>
    <row r="396" spans="1:15" ht="13.15" customHeight="1">
      <c r="M396" s="3" t="s">
        <v>233</v>
      </c>
      <c r="O396" s="3">
        <f t="shared" si="5"/>
        <v>396</v>
      </c>
    </row>
    <row r="397" spans="1:15" ht="13.15" customHeight="1">
      <c r="A397" s="152" t="s">
        <v>400</v>
      </c>
      <c r="B397" s="263" t="s">
        <v>279</v>
      </c>
      <c r="C397" s="263"/>
      <c r="D397" s="263"/>
      <c r="E397" s="263"/>
      <c r="F397" s="263"/>
      <c r="G397" s="263"/>
      <c r="H397" s="263"/>
      <c r="I397" s="263"/>
      <c r="J397" s="263"/>
      <c r="K397" s="263"/>
      <c r="L397" s="3">
        <v>22</v>
      </c>
      <c r="M397" s="3">
        <v>16</v>
      </c>
      <c r="N397" s="3">
        <v>8</v>
      </c>
      <c r="O397" s="3">
        <f t="shared" si="5"/>
        <v>397</v>
      </c>
    </row>
    <row r="398" spans="1:15" ht="13.15" customHeight="1">
      <c r="B398" s="263"/>
      <c r="C398" s="263"/>
      <c r="D398" s="263"/>
      <c r="E398" s="263"/>
      <c r="F398" s="263"/>
      <c r="G398" s="263"/>
      <c r="H398" s="263"/>
      <c r="I398" s="263"/>
      <c r="J398" s="263"/>
      <c r="K398" s="263"/>
      <c r="M398" s="3" t="s">
        <v>233</v>
      </c>
      <c r="O398" s="3">
        <f t="shared" si="5"/>
        <v>398</v>
      </c>
    </row>
    <row r="399" spans="1:15" ht="13.15" customHeight="1">
      <c r="B399" s="263"/>
      <c r="C399" s="263"/>
      <c r="D399" s="263"/>
      <c r="E399" s="263"/>
      <c r="F399" s="263"/>
      <c r="G399" s="263"/>
      <c r="H399" s="263"/>
      <c r="I399" s="263"/>
      <c r="J399" s="263"/>
      <c r="K399" s="263"/>
      <c r="M399" s="3" t="s">
        <v>233</v>
      </c>
      <c r="O399" s="3">
        <f t="shared" si="5"/>
        <v>399</v>
      </c>
    </row>
    <row r="400" spans="1:15" ht="13.15" customHeight="1">
      <c r="B400" s="263"/>
      <c r="C400" s="263"/>
      <c r="D400" s="263"/>
      <c r="E400" s="263"/>
      <c r="F400" s="263"/>
      <c r="G400" s="263"/>
      <c r="H400" s="263"/>
      <c r="I400" s="263"/>
      <c r="J400" s="263"/>
      <c r="K400" s="263"/>
      <c r="M400" s="3" t="s">
        <v>233</v>
      </c>
      <c r="O400" s="3">
        <f t="shared" si="5"/>
        <v>400</v>
      </c>
    </row>
    <row r="401" spans="1:15" ht="13.15" customHeight="1">
      <c r="B401" s="263"/>
      <c r="C401" s="263"/>
      <c r="D401" s="263"/>
      <c r="E401" s="263"/>
      <c r="F401" s="263"/>
      <c r="G401" s="263"/>
      <c r="H401" s="263"/>
      <c r="I401" s="263"/>
      <c r="J401" s="263"/>
      <c r="K401" s="263"/>
      <c r="M401" s="3" t="s">
        <v>233</v>
      </c>
      <c r="O401" s="3">
        <f t="shared" si="5"/>
        <v>401</v>
      </c>
    </row>
    <row r="402" spans="1:15" ht="13.15" customHeight="1">
      <c r="B402" s="263"/>
      <c r="C402" s="263"/>
      <c r="D402" s="263"/>
      <c r="E402" s="263"/>
      <c r="F402" s="263"/>
      <c r="G402" s="263"/>
      <c r="H402" s="263"/>
      <c r="I402" s="263"/>
      <c r="J402" s="263"/>
      <c r="K402" s="263"/>
      <c r="M402" s="3" t="s">
        <v>233</v>
      </c>
      <c r="O402" s="3">
        <f t="shared" si="5"/>
        <v>402</v>
      </c>
    </row>
    <row r="403" spans="1:15" ht="13.15" customHeight="1">
      <c r="B403" s="263"/>
      <c r="C403" s="263"/>
      <c r="D403" s="263"/>
      <c r="E403" s="263"/>
      <c r="F403" s="263"/>
      <c r="G403" s="263"/>
      <c r="H403" s="263"/>
      <c r="I403" s="263"/>
      <c r="J403" s="263"/>
      <c r="K403" s="263"/>
      <c r="M403" s="3" t="s">
        <v>233</v>
      </c>
      <c r="O403" s="3">
        <f t="shared" si="5"/>
        <v>403</v>
      </c>
    </row>
    <row r="404" spans="1:15" ht="13.15" customHeight="1">
      <c r="B404" s="263"/>
      <c r="C404" s="263"/>
      <c r="D404" s="263"/>
      <c r="E404" s="263"/>
      <c r="F404" s="263"/>
      <c r="G404" s="263"/>
      <c r="H404" s="263"/>
      <c r="I404" s="263"/>
      <c r="J404" s="263"/>
      <c r="K404" s="263"/>
      <c r="M404" s="3" t="s">
        <v>233</v>
      </c>
      <c r="O404" s="3">
        <f t="shared" si="5"/>
        <v>404</v>
      </c>
    </row>
    <row r="405" spans="1:15" ht="13.15" customHeight="1">
      <c r="B405" s="175"/>
      <c r="C405" s="175"/>
      <c r="D405" s="175"/>
      <c r="E405" s="175"/>
      <c r="F405" s="175"/>
      <c r="G405" s="175"/>
      <c r="H405" s="175"/>
      <c r="I405" s="175"/>
      <c r="J405" s="175"/>
      <c r="K405" s="175"/>
      <c r="M405" s="3" t="s">
        <v>233</v>
      </c>
      <c r="O405" s="3">
        <f t="shared" si="5"/>
        <v>405</v>
      </c>
    </row>
    <row r="406" spans="1:15" ht="13.15" customHeight="1">
      <c r="B406" s="156" t="s">
        <v>379</v>
      </c>
      <c r="C406" s="264" t="s">
        <v>206</v>
      </c>
      <c r="D406" s="275"/>
      <c r="E406" s="275"/>
      <c r="F406" s="275"/>
      <c r="G406" s="275"/>
      <c r="H406" s="275"/>
      <c r="I406" s="275"/>
      <c r="J406" s="275"/>
      <c r="K406" s="275"/>
      <c r="M406" s="3" t="s">
        <v>233</v>
      </c>
      <c r="O406" s="3">
        <f t="shared" si="5"/>
        <v>406</v>
      </c>
    </row>
    <row r="407" spans="1:15" ht="13.15" customHeight="1">
      <c r="C407" s="264"/>
      <c r="D407" s="275"/>
      <c r="E407" s="275"/>
      <c r="F407" s="275"/>
      <c r="G407" s="275"/>
      <c r="H407" s="275"/>
      <c r="I407" s="275"/>
      <c r="J407" s="275"/>
      <c r="K407" s="275"/>
      <c r="M407" s="3" t="s">
        <v>233</v>
      </c>
      <c r="O407" s="3">
        <f t="shared" si="5"/>
        <v>407</v>
      </c>
    </row>
    <row r="408" spans="1:15" ht="13.15" customHeight="1">
      <c r="C408" s="264"/>
      <c r="D408" s="275"/>
      <c r="E408" s="275"/>
      <c r="F408" s="275"/>
      <c r="G408" s="275"/>
      <c r="H408" s="275"/>
      <c r="I408" s="275"/>
      <c r="J408" s="275"/>
      <c r="K408" s="275"/>
      <c r="M408" s="3" t="s">
        <v>233</v>
      </c>
      <c r="O408" s="3">
        <f t="shared" si="5"/>
        <v>408</v>
      </c>
    </row>
    <row r="409" spans="1:15" ht="13.15" customHeight="1">
      <c r="C409" s="275"/>
      <c r="D409" s="275"/>
      <c r="E409" s="275"/>
      <c r="F409" s="275"/>
      <c r="G409" s="275"/>
      <c r="H409" s="275"/>
      <c r="I409" s="275"/>
      <c r="J409" s="275"/>
      <c r="K409" s="275"/>
      <c r="M409" s="3" t="s">
        <v>233</v>
      </c>
      <c r="O409" s="3">
        <f t="shared" si="5"/>
        <v>409</v>
      </c>
    </row>
    <row r="410" spans="1:15" ht="13.15" customHeight="1">
      <c r="C410" s="275"/>
      <c r="D410" s="275"/>
      <c r="E410" s="275"/>
      <c r="F410" s="275"/>
      <c r="G410" s="275"/>
      <c r="H410" s="275"/>
      <c r="I410" s="275"/>
      <c r="J410" s="275"/>
      <c r="K410" s="275"/>
      <c r="M410" s="3" t="s">
        <v>233</v>
      </c>
      <c r="O410" s="3">
        <f t="shared" si="5"/>
        <v>410</v>
      </c>
    </row>
    <row r="411" spans="1:15" ht="13.15" customHeight="1">
      <c r="C411" s="112"/>
      <c r="D411" s="112"/>
      <c r="E411" s="112"/>
      <c r="F411" s="112"/>
      <c r="G411" s="112"/>
      <c r="H411" s="112"/>
      <c r="I411" s="112"/>
      <c r="J411" s="112"/>
      <c r="K411" s="112"/>
      <c r="M411" s="3" t="s">
        <v>233</v>
      </c>
      <c r="O411" s="3">
        <f t="shared" si="5"/>
        <v>411</v>
      </c>
    </row>
    <row r="412" spans="1:15" ht="13.15" customHeight="1">
      <c r="B412" s="156" t="s">
        <v>379</v>
      </c>
      <c r="C412" s="272" t="s">
        <v>207</v>
      </c>
      <c r="D412" s="272"/>
      <c r="E412" s="272"/>
      <c r="F412" s="272"/>
      <c r="G412" s="272"/>
      <c r="H412" s="272"/>
      <c r="I412" s="272"/>
      <c r="J412" s="272"/>
      <c r="K412" s="272"/>
      <c r="M412" s="3" t="s">
        <v>233</v>
      </c>
      <c r="O412" s="3">
        <f t="shared" si="5"/>
        <v>412</v>
      </c>
    </row>
    <row r="413" spans="1:15" ht="13.15" customHeight="1">
      <c r="M413" s="3" t="s">
        <v>233</v>
      </c>
      <c r="O413" s="3">
        <f t="shared" si="5"/>
        <v>413</v>
      </c>
    </row>
    <row r="414" spans="1:15" ht="13.15" customHeight="1">
      <c r="A414" s="152" t="s">
        <v>401</v>
      </c>
      <c r="B414" s="264" t="s">
        <v>461</v>
      </c>
      <c r="C414" s="264"/>
      <c r="D414" s="264"/>
      <c r="E414" s="264"/>
      <c r="F414" s="264"/>
      <c r="G414" s="264"/>
      <c r="H414" s="264"/>
      <c r="I414" s="264"/>
      <c r="J414" s="264"/>
      <c r="K414" s="264"/>
      <c r="L414" s="3">
        <v>23</v>
      </c>
      <c r="M414" s="3">
        <v>20</v>
      </c>
      <c r="N414" s="3">
        <v>16</v>
      </c>
      <c r="O414" s="3">
        <f t="shared" si="5"/>
        <v>414</v>
      </c>
    </row>
    <row r="415" spans="1:15" ht="13.15" customHeight="1">
      <c r="B415" s="264"/>
      <c r="C415" s="264"/>
      <c r="D415" s="264"/>
      <c r="E415" s="264"/>
      <c r="F415" s="264"/>
      <c r="G415" s="264"/>
      <c r="H415" s="264"/>
      <c r="I415" s="264"/>
      <c r="J415" s="264"/>
      <c r="K415" s="264"/>
      <c r="M415" s="3" t="s">
        <v>233</v>
      </c>
      <c r="O415" s="3">
        <f t="shared" si="5"/>
        <v>415</v>
      </c>
    </row>
    <row r="416" spans="1:15" ht="13.15" customHeight="1">
      <c r="B416" s="264"/>
      <c r="C416" s="264"/>
      <c r="D416" s="264"/>
      <c r="E416" s="264"/>
      <c r="F416" s="264"/>
      <c r="G416" s="264"/>
      <c r="H416" s="264"/>
      <c r="I416" s="264"/>
      <c r="J416" s="264"/>
      <c r="K416" s="264"/>
      <c r="M416" s="3" t="s">
        <v>233</v>
      </c>
      <c r="O416" s="3">
        <f t="shared" si="5"/>
        <v>416</v>
      </c>
    </row>
    <row r="417" spans="2:15" ht="13.15" customHeight="1">
      <c r="B417" s="264"/>
      <c r="C417" s="264"/>
      <c r="D417" s="264"/>
      <c r="E417" s="264"/>
      <c r="F417" s="264"/>
      <c r="G417" s="264"/>
      <c r="H417" s="264"/>
      <c r="I417" s="264"/>
      <c r="J417" s="264"/>
      <c r="K417" s="264"/>
      <c r="M417" s="3" t="s">
        <v>233</v>
      </c>
      <c r="O417" s="3">
        <f t="shared" si="5"/>
        <v>417</v>
      </c>
    </row>
    <row r="418" spans="2:15" ht="13.15" customHeight="1">
      <c r="B418" s="264"/>
      <c r="C418" s="264"/>
      <c r="D418" s="264"/>
      <c r="E418" s="264"/>
      <c r="F418" s="264"/>
      <c r="G418" s="264"/>
      <c r="H418" s="264"/>
      <c r="I418" s="264"/>
      <c r="J418" s="264"/>
      <c r="K418" s="264"/>
      <c r="M418" s="3" t="s">
        <v>233</v>
      </c>
      <c r="O418" s="3">
        <f t="shared" si="5"/>
        <v>418</v>
      </c>
    </row>
    <row r="419" spans="2:15" ht="13.15" customHeight="1">
      <c r="B419" s="264"/>
      <c r="C419" s="264"/>
      <c r="D419" s="264"/>
      <c r="E419" s="264"/>
      <c r="F419" s="264"/>
      <c r="G419" s="264"/>
      <c r="H419" s="264"/>
      <c r="I419" s="264"/>
      <c r="J419" s="264"/>
      <c r="K419" s="264"/>
      <c r="M419" s="3" t="s">
        <v>233</v>
      </c>
      <c r="O419" s="3">
        <f t="shared" ref="O419:O482" si="6">ROW(M419)</f>
        <v>419</v>
      </c>
    </row>
    <row r="420" spans="2:15" ht="13.15" customHeight="1">
      <c r="B420" s="264"/>
      <c r="C420" s="264"/>
      <c r="D420" s="264"/>
      <c r="E420" s="264"/>
      <c r="F420" s="264"/>
      <c r="G420" s="264"/>
      <c r="H420" s="264"/>
      <c r="I420" s="264"/>
      <c r="J420" s="264"/>
      <c r="K420" s="264"/>
      <c r="M420" s="3" t="s">
        <v>233</v>
      </c>
      <c r="O420" s="3">
        <f t="shared" si="6"/>
        <v>420</v>
      </c>
    </row>
    <row r="421" spans="2:15" ht="13.15" customHeight="1">
      <c r="B421" s="264"/>
      <c r="C421" s="264"/>
      <c r="D421" s="264"/>
      <c r="E421" s="264"/>
      <c r="F421" s="264"/>
      <c r="G421" s="264"/>
      <c r="H421" s="264"/>
      <c r="I421" s="264"/>
      <c r="J421" s="264"/>
      <c r="K421" s="264"/>
      <c r="M421" s="3" t="s">
        <v>233</v>
      </c>
      <c r="O421" s="3">
        <f t="shared" si="6"/>
        <v>421</v>
      </c>
    </row>
    <row r="422" spans="2:15" ht="13.15" customHeight="1">
      <c r="B422" s="264"/>
      <c r="C422" s="264"/>
      <c r="D422" s="264"/>
      <c r="E422" s="264"/>
      <c r="F422" s="264"/>
      <c r="G422" s="264"/>
      <c r="H422" s="264"/>
      <c r="I422" s="264"/>
      <c r="J422" s="264"/>
      <c r="K422" s="264"/>
      <c r="M422" s="3" t="s">
        <v>233</v>
      </c>
      <c r="O422" s="3">
        <f t="shared" si="6"/>
        <v>422</v>
      </c>
    </row>
    <row r="423" spans="2:15" ht="13.15" customHeight="1">
      <c r="B423" s="264"/>
      <c r="C423" s="264"/>
      <c r="D423" s="264"/>
      <c r="E423" s="264"/>
      <c r="F423" s="264"/>
      <c r="G423" s="264"/>
      <c r="H423" s="264"/>
      <c r="I423" s="264"/>
      <c r="J423" s="264"/>
      <c r="K423" s="264"/>
      <c r="M423" s="3" t="s">
        <v>233</v>
      </c>
      <c r="O423" s="3">
        <f t="shared" si="6"/>
        <v>423</v>
      </c>
    </row>
    <row r="424" spans="2:15" ht="13.15" customHeight="1">
      <c r="B424" s="264"/>
      <c r="C424" s="264"/>
      <c r="D424" s="264"/>
      <c r="E424" s="264"/>
      <c r="F424" s="264"/>
      <c r="G424" s="264"/>
      <c r="H424" s="264"/>
      <c r="I424" s="264"/>
      <c r="J424" s="264"/>
      <c r="K424" s="264"/>
      <c r="M424" s="3" t="s">
        <v>233</v>
      </c>
      <c r="O424" s="3">
        <f t="shared" si="6"/>
        <v>424</v>
      </c>
    </row>
    <row r="425" spans="2:15" ht="13.15" customHeight="1">
      <c r="B425" s="264"/>
      <c r="C425" s="264"/>
      <c r="D425" s="264"/>
      <c r="E425" s="264"/>
      <c r="F425" s="264"/>
      <c r="G425" s="264"/>
      <c r="H425" s="264"/>
      <c r="I425" s="264"/>
      <c r="J425" s="264"/>
      <c r="K425" s="264"/>
      <c r="M425" s="3" t="s">
        <v>233</v>
      </c>
      <c r="O425" s="3">
        <f t="shared" si="6"/>
        <v>425</v>
      </c>
    </row>
    <row r="426" spans="2:15" ht="13.15" customHeight="1">
      <c r="B426" s="264"/>
      <c r="C426" s="264"/>
      <c r="D426" s="264"/>
      <c r="E426" s="264"/>
      <c r="F426" s="264"/>
      <c r="G426" s="264"/>
      <c r="H426" s="264"/>
      <c r="I426" s="264"/>
      <c r="J426" s="264"/>
      <c r="K426" s="264"/>
      <c r="M426" s="3" t="s">
        <v>233</v>
      </c>
      <c r="O426" s="3">
        <f t="shared" si="6"/>
        <v>426</v>
      </c>
    </row>
    <row r="427" spans="2:15" ht="13.15" customHeight="1">
      <c r="B427" s="264"/>
      <c r="C427" s="264"/>
      <c r="D427" s="264"/>
      <c r="E427" s="264"/>
      <c r="F427" s="264"/>
      <c r="G427" s="264"/>
      <c r="H427" s="264"/>
      <c r="I427" s="264"/>
      <c r="J427" s="264"/>
      <c r="K427" s="264"/>
      <c r="M427" s="3" t="s">
        <v>233</v>
      </c>
      <c r="O427" s="3">
        <f t="shared" si="6"/>
        <v>427</v>
      </c>
    </row>
    <row r="428" spans="2:15" ht="13.15" customHeight="1">
      <c r="B428" s="264"/>
      <c r="C428" s="264"/>
      <c r="D428" s="264"/>
      <c r="E428" s="264"/>
      <c r="F428" s="264"/>
      <c r="G428" s="264"/>
      <c r="H428" s="264"/>
      <c r="I428" s="264"/>
      <c r="J428" s="264"/>
      <c r="K428" s="264"/>
      <c r="M428" s="3" t="s">
        <v>233</v>
      </c>
      <c r="O428" s="3">
        <f t="shared" si="6"/>
        <v>428</v>
      </c>
    </row>
    <row r="429" spans="2:15" ht="13.15" customHeight="1">
      <c r="B429" s="264"/>
      <c r="C429" s="264"/>
      <c r="D429" s="264"/>
      <c r="E429" s="264"/>
      <c r="F429" s="264"/>
      <c r="G429" s="264"/>
      <c r="H429" s="264"/>
      <c r="I429" s="264"/>
      <c r="J429" s="264"/>
      <c r="K429" s="264"/>
      <c r="M429" s="3" t="s">
        <v>233</v>
      </c>
      <c r="O429" s="3">
        <f t="shared" si="6"/>
        <v>429</v>
      </c>
    </row>
    <row r="430" spans="2:15" ht="13.15" customHeight="1">
      <c r="B430" s="108"/>
      <c r="C430" s="108"/>
      <c r="D430" s="108"/>
      <c r="E430" s="108"/>
      <c r="F430" s="108"/>
      <c r="G430" s="108"/>
      <c r="H430" s="108"/>
      <c r="I430" s="108"/>
      <c r="J430" s="108"/>
      <c r="K430" s="108"/>
      <c r="M430" s="3" t="s">
        <v>233</v>
      </c>
      <c r="O430" s="3">
        <f t="shared" si="6"/>
        <v>430</v>
      </c>
    </row>
    <row r="431" spans="2:15" ht="13.15" customHeight="1">
      <c r="B431" s="156" t="s">
        <v>379</v>
      </c>
      <c r="C431" s="276" t="s">
        <v>209</v>
      </c>
      <c r="D431" s="276"/>
      <c r="E431" s="276"/>
      <c r="F431" s="276"/>
      <c r="G431" s="276"/>
      <c r="H431" s="276"/>
      <c r="I431" s="276"/>
      <c r="J431" s="276"/>
      <c r="K431" s="276"/>
      <c r="M431" s="3" t="s">
        <v>233</v>
      </c>
      <c r="O431" s="3">
        <f t="shared" si="6"/>
        <v>431</v>
      </c>
    </row>
    <row r="432" spans="2:15" ht="13.15" customHeight="1">
      <c r="C432" s="276"/>
      <c r="D432" s="276"/>
      <c r="E432" s="276"/>
      <c r="F432" s="276"/>
      <c r="G432" s="276"/>
      <c r="H432" s="276"/>
      <c r="I432" s="276"/>
      <c r="J432" s="276"/>
      <c r="K432" s="276"/>
      <c r="M432" s="3" t="s">
        <v>233</v>
      </c>
      <c r="O432" s="3">
        <f t="shared" si="6"/>
        <v>432</v>
      </c>
    </row>
    <row r="433" spans="1:15" ht="13.15" customHeight="1">
      <c r="C433" s="276"/>
      <c r="D433" s="276"/>
      <c r="E433" s="276"/>
      <c r="F433" s="276"/>
      <c r="G433" s="276"/>
      <c r="H433" s="276"/>
      <c r="I433" s="276"/>
      <c r="J433" s="276"/>
      <c r="K433" s="276"/>
      <c r="M433" s="3" t="s">
        <v>233</v>
      </c>
      <c r="O433" s="3">
        <f t="shared" si="6"/>
        <v>433</v>
      </c>
    </row>
    <row r="434" spans="1:15" ht="13.15" customHeight="1">
      <c r="C434" s="173"/>
      <c r="D434" s="173"/>
      <c r="E434" s="173"/>
      <c r="F434" s="173"/>
      <c r="G434" s="173"/>
      <c r="H434" s="173"/>
      <c r="I434" s="173"/>
      <c r="J434" s="173"/>
      <c r="K434" s="173"/>
      <c r="M434" s="3" t="s">
        <v>233</v>
      </c>
      <c r="O434" s="3">
        <f t="shared" si="6"/>
        <v>434</v>
      </c>
    </row>
    <row r="435" spans="1:15" ht="13.15" customHeight="1">
      <c r="A435" s="152" t="s">
        <v>402</v>
      </c>
      <c r="B435" s="263" t="s">
        <v>280</v>
      </c>
      <c r="C435" s="263"/>
      <c r="D435" s="263"/>
      <c r="E435" s="263"/>
      <c r="F435" s="263"/>
      <c r="G435" s="263"/>
      <c r="H435" s="263"/>
      <c r="I435" s="263"/>
      <c r="J435" s="263"/>
      <c r="K435" s="263"/>
      <c r="L435" s="3">
        <v>24</v>
      </c>
      <c r="M435" s="3">
        <v>8</v>
      </c>
      <c r="N435" s="3">
        <v>4</v>
      </c>
      <c r="O435" s="3">
        <f t="shared" si="6"/>
        <v>435</v>
      </c>
    </row>
    <row r="436" spans="1:15" ht="13.15" customHeight="1">
      <c r="B436" s="263"/>
      <c r="C436" s="263"/>
      <c r="D436" s="263"/>
      <c r="E436" s="263"/>
      <c r="F436" s="263"/>
      <c r="G436" s="263"/>
      <c r="H436" s="263"/>
      <c r="I436" s="263"/>
      <c r="J436" s="263"/>
      <c r="K436" s="263"/>
      <c r="M436" s="3" t="s">
        <v>233</v>
      </c>
      <c r="O436" s="3">
        <f t="shared" si="6"/>
        <v>436</v>
      </c>
    </row>
    <row r="437" spans="1:15" ht="13.15" customHeight="1">
      <c r="B437" s="263"/>
      <c r="C437" s="263"/>
      <c r="D437" s="263"/>
      <c r="E437" s="263"/>
      <c r="F437" s="263"/>
      <c r="G437" s="263"/>
      <c r="H437" s="263"/>
      <c r="I437" s="263"/>
      <c r="J437" s="263"/>
      <c r="K437" s="263"/>
      <c r="M437" s="3" t="s">
        <v>233</v>
      </c>
      <c r="O437" s="3">
        <f t="shared" si="6"/>
        <v>437</v>
      </c>
    </row>
    <row r="438" spans="1:15" ht="13.15" customHeight="1">
      <c r="B438" s="263"/>
      <c r="C438" s="263"/>
      <c r="D438" s="263"/>
      <c r="E438" s="263"/>
      <c r="F438" s="263"/>
      <c r="G438" s="263"/>
      <c r="H438" s="263"/>
      <c r="I438" s="263"/>
      <c r="J438" s="263"/>
      <c r="K438" s="263"/>
      <c r="M438" s="3" t="s">
        <v>233</v>
      </c>
      <c r="O438" s="3">
        <f t="shared" si="6"/>
        <v>438</v>
      </c>
    </row>
    <row r="439" spans="1:15" ht="13.15" customHeight="1">
      <c r="B439" s="175"/>
      <c r="C439" s="175"/>
      <c r="D439" s="175"/>
      <c r="E439" s="175"/>
      <c r="F439" s="175"/>
      <c r="G439" s="175"/>
      <c r="H439" s="175"/>
      <c r="I439" s="175"/>
      <c r="J439" s="175"/>
      <c r="K439" s="175"/>
      <c r="M439" s="3" t="s">
        <v>233</v>
      </c>
      <c r="O439" s="3">
        <f t="shared" si="6"/>
        <v>439</v>
      </c>
    </row>
    <row r="440" spans="1:15" ht="13.15" customHeight="1">
      <c r="B440" s="156" t="s">
        <v>379</v>
      </c>
      <c r="C440" s="264" t="s">
        <v>208</v>
      </c>
      <c r="D440" s="264"/>
      <c r="E440" s="264"/>
      <c r="F440" s="264"/>
      <c r="G440" s="264"/>
      <c r="H440" s="264"/>
      <c r="I440" s="264"/>
      <c r="J440" s="264"/>
      <c r="K440" s="264"/>
      <c r="M440" s="3" t="s">
        <v>233</v>
      </c>
      <c r="O440" s="3">
        <f t="shared" si="6"/>
        <v>440</v>
      </c>
    </row>
    <row r="441" spans="1:15" ht="13.15" customHeight="1">
      <c r="A441" s="3"/>
      <c r="C441" s="264"/>
      <c r="D441" s="264"/>
      <c r="E441" s="264"/>
      <c r="F441" s="264"/>
      <c r="G441" s="264"/>
      <c r="H441" s="264"/>
      <c r="I441" s="264"/>
      <c r="J441" s="264"/>
      <c r="K441" s="264"/>
      <c r="M441" s="3" t="s">
        <v>233</v>
      </c>
      <c r="O441" s="3">
        <f t="shared" si="6"/>
        <v>441</v>
      </c>
    </row>
    <row r="442" spans="1:15" ht="13.15" customHeight="1">
      <c r="C442" s="264"/>
      <c r="D442" s="264"/>
      <c r="E442" s="264"/>
      <c r="F442" s="264"/>
      <c r="G442" s="264"/>
      <c r="H442" s="264"/>
      <c r="I442" s="264"/>
      <c r="J442" s="264"/>
      <c r="K442" s="264"/>
      <c r="M442" s="3" t="s">
        <v>233</v>
      </c>
      <c r="O442" s="3">
        <f t="shared" si="6"/>
        <v>442</v>
      </c>
    </row>
    <row r="443" spans="1:15" ht="13.15" customHeight="1">
      <c r="B443" s="113"/>
      <c r="M443" s="3" t="s">
        <v>233</v>
      </c>
      <c r="O443" s="3">
        <f t="shared" si="6"/>
        <v>443</v>
      </c>
    </row>
    <row r="444" spans="1:15" ht="13.15" customHeight="1">
      <c r="A444" s="152" t="s">
        <v>403</v>
      </c>
      <c r="B444" s="264" t="s">
        <v>281</v>
      </c>
      <c r="C444" s="264"/>
      <c r="D444" s="264"/>
      <c r="E444" s="264"/>
      <c r="F444" s="264"/>
      <c r="G444" s="264"/>
      <c r="H444" s="264"/>
      <c r="I444" s="264"/>
      <c r="J444" s="264"/>
      <c r="K444" s="264"/>
      <c r="L444" s="3">
        <v>25</v>
      </c>
      <c r="M444" s="3">
        <v>15</v>
      </c>
      <c r="N444" s="3">
        <v>10</v>
      </c>
      <c r="O444" s="3">
        <f t="shared" si="6"/>
        <v>444</v>
      </c>
    </row>
    <row r="445" spans="1:15" ht="13.15" customHeight="1">
      <c r="B445" s="264"/>
      <c r="C445" s="264"/>
      <c r="D445" s="264"/>
      <c r="E445" s="264"/>
      <c r="F445" s="264"/>
      <c r="G445" s="264"/>
      <c r="H445" s="264"/>
      <c r="I445" s="264"/>
      <c r="J445" s="264"/>
      <c r="K445" s="264"/>
      <c r="M445" s="3" t="s">
        <v>233</v>
      </c>
      <c r="O445" s="3">
        <f t="shared" si="6"/>
        <v>445</v>
      </c>
    </row>
    <row r="446" spans="1:15" ht="13.15" customHeight="1">
      <c r="B446" s="264"/>
      <c r="C446" s="264"/>
      <c r="D446" s="264"/>
      <c r="E446" s="264"/>
      <c r="F446" s="264"/>
      <c r="G446" s="264"/>
      <c r="H446" s="264"/>
      <c r="I446" s="264"/>
      <c r="J446" s="264"/>
      <c r="K446" s="264"/>
      <c r="M446" s="3" t="s">
        <v>233</v>
      </c>
      <c r="O446" s="3">
        <f t="shared" si="6"/>
        <v>446</v>
      </c>
    </row>
    <row r="447" spans="1:15" ht="13.15" customHeight="1">
      <c r="B447" s="264"/>
      <c r="C447" s="264"/>
      <c r="D447" s="264"/>
      <c r="E447" s="264"/>
      <c r="F447" s="264"/>
      <c r="G447" s="264"/>
      <c r="H447" s="264"/>
      <c r="I447" s="264"/>
      <c r="J447" s="264"/>
      <c r="K447" s="264"/>
      <c r="M447" s="3" t="s">
        <v>233</v>
      </c>
      <c r="O447" s="3">
        <f t="shared" si="6"/>
        <v>447</v>
      </c>
    </row>
    <row r="448" spans="1:15" ht="13.15" customHeight="1">
      <c r="B448" s="264"/>
      <c r="C448" s="264"/>
      <c r="D448" s="264"/>
      <c r="E448" s="264"/>
      <c r="F448" s="264"/>
      <c r="G448" s="264"/>
      <c r="H448" s="264"/>
      <c r="I448" s="264"/>
      <c r="J448" s="264"/>
      <c r="K448" s="264"/>
      <c r="M448" s="3" t="s">
        <v>233</v>
      </c>
      <c r="O448" s="3">
        <f t="shared" si="6"/>
        <v>448</v>
      </c>
    </row>
    <row r="449" spans="1:15" ht="13.15" customHeight="1">
      <c r="B449" s="264"/>
      <c r="C449" s="264"/>
      <c r="D449" s="264"/>
      <c r="E449" s="264"/>
      <c r="F449" s="264"/>
      <c r="G449" s="264"/>
      <c r="H449" s="264"/>
      <c r="I449" s="264"/>
      <c r="J449" s="264"/>
      <c r="K449" s="264"/>
      <c r="M449" s="3" t="s">
        <v>233</v>
      </c>
      <c r="O449" s="3">
        <f t="shared" si="6"/>
        <v>449</v>
      </c>
    </row>
    <row r="450" spans="1:15" ht="13.15" customHeight="1">
      <c r="B450" s="264"/>
      <c r="C450" s="264"/>
      <c r="D450" s="264"/>
      <c r="E450" s="264"/>
      <c r="F450" s="264"/>
      <c r="G450" s="264"/>
      <c r="H450" s="264"/>
      <c r="I450" s="264"/>
      <c r="J450" s="264"/>
      <c r="K450" s="264"/>
      <c r="M450" s="3" t="s">
        <v>233</v>
      </c>
      <c r="O450" s="3">
        <f t="shared" si="6"/>
        <v>450</v>
      </c>
    </row>
    <row r="451" spans="1:15" ht="13.15" customHeight="1">
      <c r="B451" s="264"/>
      <c r="C451" s="264"/>
      <c r="D451" s="264"/>
      <c r="E451" s="264"/>
      <c r="F451" s="264"/>
      <c r="G451" s="264"/>
      <c r="H451" s="264"/>
      <c r="I451" s="264"/>
      <c r="J451" s="264"/>
      <c r="K451" s="264"/>
      <c r="M451" s="3" t="s">
        <v>233</v>
      </c>
      <c r="O451" s="3">
        <f t="shared" si="6"/>
        <v>451</v>
      </c>
    </row>
    <row r="452" spans="1:15" ht="13.15" customHeight="1">
      <c r="B452" s="264"/>
      <c r="C452" s="264"/>
      <c r="D452" s="264"/>
      <c r="E452" s="264"/>
      <c r="F452" s="264"/>
      <c r="G452" s="264"/>
      <c r="H452" s="264"/>
      <c r="I452" s="264"/>
      <c r="J452" s="264"/>
      <c r="K452" s="264"/>
      <c r="M452" s="3" t="s">
        <v>233</v>
      </c>
      <c r="O452" s="3">
        <f t="shared" si="6"/>
        <v>452</v>
      </c>
    </row>
    <row r="453" spans="1:15" ht="13.15" customHeight="1">
      <c r="A453" s="3"/>
      <c r="B453" s="264"/>
      <c r="C453" s="264"/>
      <c r="D453" s="264"/>
      <c r="E453" s="264"/>
      <c r="F453" s="264"/>
      <c r="G453" s="264"/>
      <c r="H453" s="264"/>
      <c r="I453" s="264"/>
      <c r="J453" s="264"/>
      <c r="K453" s="264"/>
      <c r="M453" s="3" t="s">
        <v>233</v>
      </c>
      <c r="O453" s="3">
        <f t="shared" si="6"/>
        <v>453</v>
      </c>
    </row>
    <row r="454" spans="1:15" ht="13.15" customHeight="1">
      <c r="B454" s="173"/>
      <c r="C454" s="173"/>
      <c r="D454" s="173"/>
      <c r="E454" s="173"/>
      <c r="F454" s="173"/>
      <c r="G454" s="173"/>
      <c r="H454" s="173"/>
      <c r="I454" s="173"/>
      <c r="J454" s="173"/>
      <c r="K454" s="173"/>
      <c r="M454" s="3" t="s">
        <v>233</v>
      </c>
      <c r="O454" s="3">
        <f t="shared" si="6"/>
        <v>454</v>
      </c>
    </row>
    <row r="455" spans="1:15" ht="13.15" customHeight="1">
      <c r="B455" s="156" t="s">
        <v>379</v>
      </c>
      <c r="C455" s="264" t="s">
        <v>282</v>
      </c>
      <c r="D455" s="274"/>
      <c r="E455" s="274"/>
      <c r="F455" s="274"/>
      <c r="G455" s="274"/>
      <c r="H455" s="274"/>
      <c r="I455" s="274"/>
      <c r="J455" s="274"/>
      <c r="K455" s="274"/>
      <c r="M455" s="3" t="s">
        <v>233</v>
      </c>
      <c r="O455" s="3">
        <f t="shared" si="6"/>
        <v>455</v>
      </c>
    </row>
    <row r="456" spans="1:15" ht="13.15" customHeight="1">
      <c r="C456" s="264"/>
      <c r="D456" s="274"/>
      <c r="E456" s="274"/>
      <c r="F456" s="274"/>
      <c r="G456" s="274"/>
      <c r="H456" s="274"/>
      <c r="I456" s="274"/>
      <c r="J456" s="274"/>
      <c r="K456" s="274"/>
      <c r="M456" s="3" t="s">
        <v>233</v>
      </c>
      <c r="O456" s="3">
        <f t="shared" si="6"/>
        <v>456</v>
      </c>
    </row>
    <row r="457" spans="1:15" ht="13.15" customHeight="1">
      <c r="C457" s="264"/>
      <c r="D457" s="274"/>
      <c r="E457" s="274"/>
      <c r="F457" s="274"/>
      <c r="G457" s="274"/>
      <c r="H457" s="274"/>
      <c r="I457" s="274"/>
      <c r="J457" s="274"/>
      <c r="K457" s="274"/>
      <c r="M457" s="3" t="s">
        <v>233</v>
      </c>
      <c r="O457" s="3">
        <f t="shared" si="6"/>
        <v>457</v>
      </c>
    </row>
    <row r="458" spans="1:15" ht="13.15" customHeight="1">
      <c r="C458" s="274"/>
      <c r="D458" s="274"/>
      <c r="E458" s="274"/>
      <c r="F458" s="274"/>
      <c r="G458" s="274"/>
      <c r="H458" s="274"/>
      <c r="I458" s="274"/>
      <c r="J458" s="274"/>
      <c r="K458" s="274"/>
      <c r="M458" s="3" t="s">
        <v>233</v>
      </c>
      <c r="O458" s="3">
        <f t="shared" si="6"/>
        <v>458</v>
      </c>
    </row>
    <row r="459" spans="1:15" ht="13.15" customHeight="1">
      <c r="C459" s="108"/>
      <c r="D459" s="108"/>
      <c r="E459" s="108"/>
      <c r="F459" s="108"/>
      <c r="G459" s="108"/>
      <c r="H459" s="108"/>
      <c r="I459" s="108"/>
      <c r="J459" s="108"/>
      <c r="K459" s="108"/>
      <c r="M459" s="3" t="s">
        <v>233</v>
      </c>
      <c r="O459" s="3">
        <f t="shared" si="6"/>
        <v>459</v>
      </c>
    </row>
    <row r="460" spans="1:15" ht="13.15" customHeight="1">
      <c r="A460" s="152" t="s">
        <v>404</v>
      </c>
      <c r="B460" s="264" t="s">
        <v>283</v>
      </c>
      <c r="C460" s="264"/>
      <c r="D460" s="264"/>
      <c r="E460" s="264"/>
      <c r="F460" s="264"/>
      <c r="G460" s="264"/>
      <c r="H460" s="264"/>
      <c r="I460" s="264"/>
      <c r="J460" s="264"/>
      <c r="K460" s="264"/>
      <c r="L460" s="3">
        <v>26</v>
      </c>
      <c r="M460" s="3">
        <v>11</v>
      </c>
      <c r="N460" s="3">
        <v>5</v>
      </c>
      <c r="O460" s="3">
        <f t="shared" si="6"/>
        <v>460</v>
      </c>
    </row>
    <row r="461" spans="1:15" ht="13.15" customHeight="1">
      <c r="B461" s="264"/>
      <c r="C461" s="264"/>
      <c r="D461" s="264"/>
      <c r="E461" s="264"/>
      <c r="F461" s="264"/>
      <c r="G461" s="264"/>
      <c r="H461" s="264"/>
      <c r="I461" s="264"/>
      <c r="J461" s="264"/>
      <c r="K461" s="264"/>
      <c r="M461" s="3" t="s">
        <v>233</v>
      </c>
      <c r="O461" s="3">
        <f t="shared" si="6"/>
        <v>461</v>
      </c>
    </row>
    <row r="462" spans="1:15" ht="13.15" customHeight="1">
      <c r="B462" s="264"/>
      <c r="C462" s="264"/>
      <c r="D462" s="264"/>
      <c r="E462" s="264"/>
      <c r="F462" s="264"/>
      <c r="G462" s="264"/>
      <c r="H462" s="264"/>
      <c r="I462" s="264"/>
      <c r="J462" s="264"/>
      <c r="K462" s="264"/>
      <c r="M462" s="3" t="s">
        <v>233</v>
      </c>
      <c r="O462" s="3">
        <f t="shared" si="6"/>
        <v>462</v>
      </c>
    </row>
    <row r="463" spans="1:15" ht="13.15" customHeight="1">
      <c r="B463" s="264"/>
      <c r="C463" s="264"/>
      <c r="D463" s="264"/>
      <c r="E463" s="264"/>
      <c r="F463" s="264"/>
      <c r="G463" s="264"/>
      <c r="H463" s="264"/>
      <c r="I463" s="264"/>
      <c r="J463" s="264"/>
      <c r="K463" s="264"/>
      <c r="M463" s="3" t="s">
        <v>233</v>
      </c>
      <c r="O463" s="3">
        <f t="shared" si="6"/>
        <v>463</v>
      </c>
    </row>
    <row r="464" spans="1:15" ht="13.15" customHeight="1">
      <c r="B464" s="264"/>
      <c r="C464" s="264"/>
      <c r="D464" s="264"/>
      <c r="E464" s="264"/>
      <c r="F464" s="264"/>
      <c r="G464" s="264"/>
      <c r="H464" s="264"/>
      <c r="I464" s="264"/>
      <c r="J464" s="264"/>
      <c r="K464" s="264"/>
      <c r="M464" s="3" t="s">
        <v>233</v>
      </c>
      <c r="O464" s="3">
        <f t="shared" si="6"/>
        <v>464</v>
      </c>
    </row>
    <row r="465" spans="1:15" ht="13.15" customHeight="1">
      <c r="B465" s="173"/>
      <c r="C465" s="173"/>
      <c r="D465" s="173"/>
      <c r="E465" s="173"/>
      <c r="F465" s="173"/>
      <c r="G465" s="173"/>
      <c r="H465" s="173"/>
      <c r="I465" s="173"/>
      <c r="J465" s="173"/>
      <c r="K465" s="173"/>
      <c r="M465" s="3" t="s">
        <v>233</v>
      </c>
      <c r="O465" s="3">
        <f t="shared" si="6"/>
        <v>465</v>
      </c>
    </row>
    <row r="466" spans="1:15" ht="13.15" customHeight="1">
      <c r="B466" s="156" t="s">
        <v>379</v>
      </c>
      <c r="C466" s="264" t="s">
        <v>284</v>
      </c>
      <c r="D466" s="275"/>
      <c r="E466" s="275"/>
      <c r="F466" s="275"/>
      <c r="G466" s="275"/>
      <c r="H466" s="275"/>
      <c r="I466" s="275"/>
      <c r="J466" s="275"/>
      <c r="K466" s="275"/>
      <c r="M466" s="3" t="s">
        <v>233</v>
      </c>
      <c r="O466" s="3">
        <f t="shared" si="6"/>
        <v>466</v>
      </c>
    </row>
    <row r="467" spans="1:15" ht="13.15" customHeight="1">
      <c r="C467" s="264"/>
      <c r="D467" s="275"/>
      <c r="E467" s="275"/>
      <c r="F467" s="275"/>
      <c r="G467" s="275"/>
      <c r="H467" s="275"/>
      <c r="I467" s="275"/>
      <c r="J467" s="275"/>
      <c r="K467" s="275"/>
      <c r="M467" s="3" t="s">
        <v>233</v>
      </c>
      <c r="O467" s="3">
        <f t="shared" si="6"/>
        <v>467</v>
      </c>
    </row>
    <row r="468" spans="1:15" ht="13.15" customHeight="1">
      <c r="C468" s="275"/>
      <c r="D468" s="275"/>
      <c r="E468" s="275"/>
      <c r="F468" s="275"/>
      <c r="G468" s="275"/>
      <c r="H468" s="275"/>
      <c r="I468" s="275"/>
      <c r="J468" s="275"/>
      <c r="K468" s="275"/>
      <c r="M468" s="3" t="s">
        <v>233</v>
      </c>
      <c r="O468" s="3">
        <f t="shared" si="6"/>
        <v>468</v>
      </c>
    </row>
    <row r="469" spans="1:15" ht="13.15" customHeight="1">
      <c r="C469" s="275"/>
      <c r="D469" s="275"/>
      <c r="E469" s="275"/>
      <c r="F469" s="275"/>
      <c r="G469" s="275"/>
      <c r="H469" s="275"/>
      <c r="I469" s="275"/>
      <c r="J469" s="275"/>
      <c r="K469" s="275"/>
      <c r="M469" s="3" t="s">
        <v>233</v>
      </c>
      <c r="O469" s="3">
        <f t="shared" si="6"/>
        <v>469</v>
      </c>
    </row>
    <row r="470" spans="1:15" ht="13.15" customHeight="1">
      <c r="C470" s="275"/>
      <c r="D470" s="275"/>
      <c r="E470" s="275"/>
      <c r="F470" s="275"/>
      <c r="G470" s="275"/>
      <c r="H470" s="275"/>
      <c r="I470" s="275"/>
      <c r="J470" s="275"/>
      <c r="K470" s="275"/>
      <c r="M470" s="3" t="s">
        <v>233</v>
      </c>
      <c r="O470" s="3">
        <f t="shared" si="6"/>
        <v>470</v>
      </c>
    </row>
    <row r="471" spans="1:15" ht="13.15" customHeight="1">
      <c r="M471" s="3" t="s">
        <v>233</v>
      </c>
      <c r="O471" s="3">
        <f t="shared" si="6"/>
        <v>471</v>
      </c>
    </row>
    <row r="472" spans="1:15" ht="13.15" customHeight="1">
      <c r="A472" s="152" t="s">
        <v>405</v>
      </c>
      <c r="B472" s="263" t="s">
        <v>285</v>
      </c>
      <c r="C472" s="263"/>
      <c r="D472" s="263"/>
      <c r="E472" s="263"/>
      <c r="F472" s="263"/>
      <c r="G472" s="263"/>
      <c r="H472" s="263"/>
      <c r="I472" s="263"/>
      <c r="J472" s="263"/>
      <c r="K472" s="263"/>
      <c r="L472" s="3">
        <v>27</v>
      </c>
      <c r="M472" s="3">
        <v>16</v>
      </c>
      <c r="N472" s="3">
        <v>13</v>
      </c>
      <c r="O472" s="3">
        <f t="shared" si="6"/>
        <v>472</v>
      </c>
    </row>
    <row r="473" spans="1:15" ht="13.15" customHeight="1">
      <c r="B473" s="263"/>
      <c r="C473" s="263"/>
      <c r="D473" s="263"/>
      <c r="E473" s="263"/>
      <c r="F473" s="263"/>
      <c r="G473" s="263"/>
      <c r="H473" s="263"/>
      <c r="I473" s="263"/>
      <c r="J473" s="263"/>
      <c r="K473" s="263"/>
      <c r="M473" s="3" t="s">
        <v>233</v>
      </c>
      <c r="O473" s="3">
        <f t="shared" si="6"/>
        <v>473</v>
      </c>
    </row>
    <row r="474" spans="1:15" ht="13.15" customHeight="1">
      <c r="B474" s="263"/>
      <c r="C474" s="263"/>
      <c r="D474" s="263"/>
      <c r="E474" s="263"/>
      <c r="F474" s="263"/>
      <c r="G474" s="263"/>
      <c r="H474" s="263"/>
      <c r="I474" s="263"/>
      <c r="J474" s="263"/>
      <c r="K474" s="263"/>
      <c r="M474" s="3" t="s">
        <v>233</v>
      </c>
      <c r="O474" s="3">
        <f t="shared" si="6"/>
        <v>474</v>
      </c>
    </row>
    <row r="475" spans="1:15" ht="13.15" customHeight="1">
      <c r="B475" s="263"/>
      <c r="C475" s="263"/>
      <c r="D475" s="263"/>
      <c r="E475" s="263"/>
      <c r="F475" s="263"/>
      <c r="G475" s="263"/>
      <c r="H475" s="263"/>
      <c r="I475" s="263"/>
      <c r="J475" s="263"/>
      <c r="K475" s="263"/>
      <c r="M475" s="3" t="s">
        <v>233</v>
      </c>
      <c r="O475" s="3">
        <f t="shared" si="6"/>
        <v>475</v>
      </c>
    </row>
    <row r="476" spans="1:15" ht="13.15" customHeight="1">
      <c r="B476" s="263"/>
      <c r="C476" s="263"/>
      <c r="D476" s="263"/>
      <c r="E476" s="263"/>
      <c r="F476" s="263"/>
      <c r="G476" s="263"/>
      <c r="H476" s="263"/>
      <c r="I476" s="263"/>
      <c r="J476" s="263"/>
      <c r="K476" s="263"/>
      <c r="M476" s="3" t="s">
        <v>233</v>
      </c>
      <c r="O476" s="3">
        <f t="shared" si="6"/>
        <v>476</v>
      </c>
    </row>
    <row r="477" spans="1:15" ht="13.15" customHeight="1">
      <c r="B477" s="263"/>
      <c r="C477" s="263"/>
      <c r="D477" s="263"/>
      <c r="E477" s="263"/>
      <c r="F477" s="263"/>
      <c r="G477" s="263"/>
      <c r="H477" s="263"/>
      <c r="I477" s="263"/>
      <c r="J477" s="263"/>
      <c r="K477" s="263"/>
      <c r="M477" s="3" t="s">
        <v>233</v>
      </c>
      <c r="O477" s="3">
        <f t="shared" si="6"/>
        <v>477</v>
      </c>
    </row>
    <row r="478" spans="1:15" ht="13.15" customHeight="1">
      <c r="B478" s="263"/>
      <c r="C478" s="263"/>
      <c r="D478" s="263"/>
      <c r="E478" s="263"/>
      <c r="F478" s="263"/>
      <c r="G478" s="263"/>
      <c r="H478" s="263"/>
      <c r="I478" s="263"/>
      <c r="J478" s="263"/>
      <c r="K478" s="263"/>
      <c r="M478" s="3" t="s">
        <v>233</v>
      </c>
      <c r="O478" s="3">
        <f t="shared" si="6"/>
        <v>478</v>
      </c>
    </row>
    <row r="479" spans="1:15" ht="13.15" customHeight="1">
      <c r="B479" s="263"/>
      <c r="C479" s="263"/>
      <c r="D479" s="263"/>
      <c r="E479" s="263"/>
      <c r="F479" s="263"/>
      <c r="G479" s="263"/>
      <c r="H479" s="263"/>
      <c r="I479" s="263"/>
      <c r="J479" s="263"/>
      <c r="K479" s="263"/>
      <c r="M479" s="3" t="s">
        <v>233</v>
      </c>
      <c r="O479" s="3">
        <f t="shared" si="6"/>
        <v>479</v>
      </c>
    </row>
    <row r="480" spans="1:15" ht="13.15" customHeight="1">
      <c r="B480" s="263"/>
      <c r="C480" s="263"/>
      <c r="D480" s="263"/>
      <c r="E480" s="263"/>
      <c r="F480" s="263"/>
      <c r="G480" s="263"/>
      <c r="H480" s="263"/>
      <c r="I480" s="263"/>
      <c r="J480" s="263"/>
      <c r="K480" s="263"/>
      <c r="M480" s="3" t="s">
        <v>233</v>
      </c>
      <c r="O480" s="3">
        <f t="shared" si="6"/>
        <v>480</v>
      </c>
    </row>
    <row r="481" spans="1:15" ht="13.15" customHeight="1">
      <c r="B481" s="263"/>
      <c r="C481" s="263"/>
      <c r="D481" s="263"/>
      <c r="E481" s="263"/>
      <c r="F481" s="263"/>
      <c r="G481" s="263"/>
      <c r="H481" s="263"/>
      <c r="I481" s="263"/>
      <c r="J481" s="263"/>
      <c r="K481" s="263"/>
      <c r="M481" s="3" t="s">
        <v>233</v>
      </c>
      <c r="O481" s="3">
        <f t="shared" si="6"/>
        <v>481</v>
      </c>
    </row>
    <row r="482" spans="1:15" ht="13.15" customHeight="1">
      <c r="B482" s="263"/>
      <c r="C482" s="263"/>
      <c r="D482" s="263"/>
      <c r="E482" s="263"/>
      <c r="F482" s="263"/>
      <c r="G482" s="263"/>
      <c r="H482" s="263"/>
      <c r="I482" s="263"/>
      <c r="J482" s="263"/>
      <c r="K482" s="263"/>
      <c r="M482" s="3" t="s">
        <v>233</v>
      </c>
      <c r="O482" s="3">
        <f t="shared" si="6"/>
        <v>482</v>
      </c>
    </row>
    <row r="483" spans="1:15" ht="13.15" customHeight="1">
      <c r="B483" s="263"/>
      <c r="C483" s="263"/>
      <c r="D483" s="263"/>
      <c r="E483" s="263"/>
      <c r="F483" s="263"/>
      <c r="G483" s="263"/>
      <c r="H483" s="263"/>
      <c r="I483" s="263"/>
      <c r="J483" s="263"/>
      <c r="K483" s="263"/>
      <c r="M483" s="3" t="s">
        <v>233</v>
      </c>
      <c r="O483" s="3">
        <f t="shared" ref="O483:O546" si="7">ROW(M483)</f>
        <v>483</v>
      </c>
    </row>
    <row r="484" spans="1:15" ht="13.15" customHeight="1">
      <c r="B484" s="263"/>
      <c r="C484" s="263"/>
      <c r="D484" s="263"/>
      <c r="E484" s="263"/>
      <c r="F484" s="263"/>
      <c r="G484" s="263"/>
      <c r="H484" s="263"/>
      <c r="I484" s="263"/>
      <c r="J484" s="263"/>
      <c r="K484" s="263"/>
      <c r="M484" s="3" t="s">
        <v>233</v>
      </c>
      <c r="O484" s="3">
        <f t="shared" si="7"/>
        <v>484</v>
      </c>
    </row>
    <row r="485" spans="1:15" ht="13.15" customHeight="1">
      <c r="B485" s="175"/>
      <c r="C485" s="175"/>
      <c r="D485" s="175"/>
      <c r="E485" s="175"/>
      <c r="F485" s="175"/>
      <c r="G485" s="175"/>
      <c r="H485" s="175"/>
      <c r="I485" s="175"/>
      <c r="J485" s="175"/>
      <c r="K485" s="175"/>
      <c r="M485" s="3" t="s">
        <v>233</v>
      </c>
      <c r="O485" s="3">
        <f t="shared" si="7"/>
        <v>485</v>
      </c>
    </row>
    <row r="486" spans="1:15" ht="13.15" customHeight="1">
      <c r="B486" s="156" t="s">
        <v>379</v>
      </c>
      <c r="C486" s="276" t="s">
        <v>286</v>
      </c>
      <c r="D486" s="276"/>
      <c r="E486" s="276"/>
      <c r="F486" s="276"/>
      <c r="G486" s="276"/>
      <c r="H486" s="276"/>
      <c r="I486" s="276"/>
      <c r="J486" s="276"/>
      <c r="K486" s="276"/>
      <c r="M486" s="3" t="s">
        <v>233</v>
      </c>
      <c r="O486" s="3">
        <f t="shared" si="7"/>
        <v>486</v>
      </c>
    </row>
    <row r="487" spans="1:15" ht="13.15" customHeight="1">
      <c r="C487" s="276"/>
      <c r="D487" s="276"/>
      <c r="E487" s="276"/>
      <c r="F487" s="276"/>
      <c r="G487" s="276"/>
      <c r="H487" s="276"/>
      <c r="I487" s="276"/>
      <c r="J487" s="276"/>
      <c r="K487" s="276"/>
      <c r="M487" s="3" t="s">
        <v>233</v>
      </c>
      <c r="O487" s="3">
        <f t="shared" si="7"/>
        <v>487</v>
      </c>
    </row>
    <row r="488" spans="1:15" ht="13.15" customHeight="1">
      <c r="M488" s="3" t="s">
        <v>233</v>
      </c>
      <c r="O488" s="3">
        <f t="shared" si="7"/>
        <v>488</v>
      </c>
    </row>
    <row r="489" spans="1:15" ht="13.15" customHeight="1">
      <c r="A489" s="152" t="s">
        <v>406</v>
      </c>
      <c r="B489" s="263" t="s">
        <v>287</v>
      </c>
      <c r="C489" s="263"/>
      <c r="D489" s="263"/>
      <c r="E489" s="263"/>
      <c r="F489" s="263"/>
      <c r="G489" s="263"/>
      <c r="H489" s="263"/>
      <c r="I489" s="263"/>
      <c r="J489" s="263"/>
      <c r="K489" s="263"/>
      <c r="L489" s="3">
        <v>28</v>
      </c>
      <c r="M489" s="3">
        <v>9</v>
      </c>
      <c r="N489" s="3">
        <v>6</v>
      </c>
      <c r="O489" s="3">
        <f t="shared" si="7"/>
        <v>489</v>
      </c>
    </row>
    <row r="490" spans="1:15" ht="13.15" customHeight="1">
      <c r="B490" s="263"/>
      <c r="C490" s="263"/>
      <c r="D490" s="263"/>
      <c r="E490" s="263"/>
      <c r="F490" s="263"/>
      <c r="G490" s="263"/>
      <c r="H490" s="263"/>
      <c r="I490" s="263"/>
      <c r="J490" s="263"/>
      <c r="K490" s="263"/>
      <c r="M490" s="3" t="s">
        <v>233</v>
      </c>
      <c r="O490" s="3">
        <f t="shared" si="7"/>
        <v>490</v>
      </c>
    </row>
    <row r="491" spans="1:15" ht="13.15" customHeight="1">
      <c r="B491" s="263"/>
      <c r="C491" s="263"/>
      <c r="D491" s="263"/>
      <c r="E491" s="263"/>
      <c r="F491" s="263"/>
      <c r="G491" s="263"/>
      <c r="H491" s="263"/>
      <c r="I491" s="263"/>
      <c r="J491" s="263"/>
      <c r="K491" s="263"/>
      <c r="M491" s="3" t="s">
        <v>233</v>
      </c>
      <c r="O491" s="3">
        <f t="shared" si="7"/>
        <v>491</v>
      </c>
    </row>
    <row r="492" spans="1:15" ht="13.15" customHeight="1">
      <c r="B492" s="263"/>
      <c r="C492" s="263"/>
      <c r="D492" s="263"/>
      <c r="E492" s="263"/>
      <c r="F492" s="263"/>
      <c r="G492" s="263"/>
      <c r="H492" s="263"/>
      <c r="I492" s="263"/>
      <c r="J492" s="263"/>
      <c r="K492" s="263"/>
      <c r="M492" s="3" t="s">
        <v>233</v>
      </c>
      <c r="O492" s="3">
        <f t="shared" si="7"/>
        <v>492</v>
      </c>
    </row>
    <row r="493" spans="1:15" ht="13.15" customHeight="1">
      <c r="B493" s="263"/>
      <c r="C493" s="263"/>
      <c r="D493" s="263"/>
      <c r="E493" s="263"/>
      <c r="F493" s="263"/>
      <c r="G493" s="263"/>
      <c r="H493" s="263"/>
      <c r="I493" s="263"/>
      <c r="J493" s="263"/>
      <c r="K493" s="263"/>
      <c r="M493" s="3" t="s">
        <v>233</v>
      </c>
      <c r="O493" s="3">
        <f t="shared" si="7"/>
        <v>493</v>
      </c>
    </row>
    <row r="494" spans="1:15" ht="13.15" customHeight="1">
      <c r="B494" s="263"/>
      <c r="C494" s="263"/>
      <c r="D494" s="263"/>
      <c r="E494" s="263"/>
      <c r="F494" s="263"/>
      <c r="G494" s="263"/>
      <c r="H494" s="263"/>
      <c r="I494" s="263"/>
      <c r="J494" s="263"/>
      <c r="K494" s="263"/>
      <c r="M494" s="3" t="s">
        <v>233</v>
      </c>
      <c r="O494" s="3">
        <f t="shared" si="7"/>
        <v>494</v>
      </c>
    </row>
    <row r="495" spans="1:15" ht="13.15" customHeight="1">
      <c r="B495" s="175"/>
      <c r="C495" s="175"/>
      <c r="D495" s="175"/>
      <c r="E495" s="175"/>
      <c r="F495" s="175"/>
      <c r="G495" s="175"/>
      <c r="H495" s="175"/>
      <c r="I495" s="175"/>
      <c r="J495" s="175"/>
      <c r="K495" s="175"/>
      <c r="M495" s="3" t="s">
        <v>233</v>
      </c>
      <c r="O495" s="3">
        <f t="shared" si="7"/>
        <v>495</v>
      </c>
    </row>
    <row r="496" spans="1:15" ht="13.15" customHeight="1">
      <c r="B496" s="156" t="s">
        <v>379</v>
      </c>
      <c r="C496" s="276" t="s">
        <v>210</v>
      </c>
      <c r="D496" s="279"/>
      <c r="E496" s="279"/>
      <c r="F496" s="279"/>
      <c r="G496" s="279"/>
      <c r="H496" s="279"/>
      <c r="I496" s="279"/>
      <c r="J496" s="279"/>
      <c r="K496" s="279"/>
      <c r="M496" s="3" t="s">
        <v>233</v>
      </c>
      <c r="O496" s="3">
        <f t="shared" si="7"/>
        <v>496</v>
      </c>
    </row>
    <row r="497" spans="1:15" ht="13.15" customHeight="1">
      <c r="C497" s="279"/>
      <c r="D497" s="279"/>
      <c r="E497" s="279"/>
      <c r="F497" s="279"/>
      <c r="G497" s="279"/>
      <c r="H497" s="279"/>
      <c r="I497" s="279"/>
      <c r="J497" s="279"/>
      <c r="K497" s="279"/>
      <c r="M497" s="3" t="s">
        <v>233</v>
      </c>
      <c r="O497" s="3">
        <f t="shared" si="7"/>
        <v>497</v>
      </c>
    </row>
    <row r="498" spans="1:15" ht="13.15" customHeight="1">
      <c r="M498" s="3" t="s">
        <v>233</v>
      </c>
      <c r="O498" s="3">
        <f t="shared" si="7"/>
        <v>498</v>
      </c>
    </row>
    <row r="499" spans="1:15" ht="13.15" customHeight="1">
      <c r="A499" s="152" t="s">
        <v>407</v>
      </c>
      <c r="B499" s="263" t="s">
        <v>288</v>
      </c>
      <c r="C499" s="263"/>
      <c r="D499" s="263"/>
      <c r="E499" s="263"/>
      <c r="F499" s="263"/>
      <c r="G499" s="263"/>
      <c r="H499" s="263"/>
      <c r="I499" s="263"/>
      <c r="J499" s="263"/>
      <c r="K499" s="263"/>
      <c r="L499" s="3">
        <v>29</v>
      </c>
      <c r="M499" s="3">
        <v>7</v>
      </c>
      <c r="N499" s="3">
        <v>4</v>
      </c>
      <c r="O499" s="3">
        <f t="shared" si="7"/>
        <v>499</v>
      </c>
    </row>
    <row r="500" spans="1:15" ht="13.15" customHeight="1">
      <c r="B500" s="263"/>
      <c r="C500" s="263"/>
      <c r="D500" s="263"/>
      <c r="E500" s="263"/>
      <c r="F500" s="263"/>
      <c r="G500" s="263"/>
      <c r="H500" s="263"/>
      <c r="I500" s="263"/>
      <c r="J500" s="263"/>
      <c r="K500" s="263"/>
      <c r="M500" s="3" t="s">
        <v>233</v>
      </c>
      <c r="O500" s="3">
        <f t="shared" si="7"/>
        <v>500</v>
      </c>
    </row>
    <row r="501" spans="1:15" ht="13.15" customHeight="1">
      <c r="B501" s="263"/>
      <c r="C501" s="263"/>
      <c r="D501" s="263"/>
      <c r="E501" s="263"/>
      <c r="F501" s="263"/>
      <c r="G501" s="263"/>
      <c r="H501" s="263"/>
      <c r="I501" s="263"/>
      <c r="J501" s="263"/>
      <c r="K501" s="263"/>
      <c r="M501" s="3" t="s">
        <v>233</v>
      </c>
      <c r="O501" s="3">
        <f t="shared" si="7"/>
        <v>501</v>
      </c>
    </row>
    <row r="502" spans="1:15" ht="13.15" customHeight="1">
      <c r="B502" s="263"/>
      <c r="C502" s="263"/>
      <c r="D502" s="263"/>
      <c r="E502" s="263"/>
      <c r="F502" s="263"/>
      <c r="G502" s="263"/>
      <c r="H502" s="263"/>
      <c r="I502" s="263"/>
      <c r="J502" s="263"/>
      <c r="K502" s="263"/>
      <c r="M502" s="3" t="s">
        <v>233</v>
      </c>
      <c r="O502" s="3">
        <f t="shared" si="7"/>
        <v>502</v>
      </c>
    </row>
    <row r="503" spans="1:15" ht="13.15" customHeight="1">
      <c r="B503" s="175"/>
      <c r="C503" s="175"/>
      <c r="D503" s="175"/>
      <c r="E503" s="175"/>
      <c r="F503" s="175"/>
      <c r="G503" s="175"/>
      <c r="H503" s="175"/>
      <c r="I503" s="175"/>
      <c r="J503" s="175"/>
      <c r="K503" s="175"/>
      <c r="M503" s="3" t="s">
        <v>233</v>
      </c>
      <c r="O503" s="3">
        <f t="shared" si="7"/>
        <v>503</v>
      </c>
    </row>
    <row r="504" spans="1:15" ht="13.15" customHeight="1">
      <c r="B504" s="156" t="s">
        <v>379</v>
      </c>
      <c r="C504" s="264" t="s">
        <v>211</v>
      </c>
      <c r="D504" s="264"/>
      <c r="E504" s="264"/>
      <c r="F504" s="264"/>
      <c r="G504" s="264"/>
      <c r="H504" s="264"/>
      <c r="I504" s="264"/>
      <c r="J504" s="264"/>
      <c r="K504" s="264"/>
      <c r="M504" s="3" t="s">
        <v>233</v>
      </c>
      <c r="O504" s="3">
        <f t="shared" si="7"/>
        <v>504</v>
      </c>
    </row>
    <row r="505" spans="1:15" ht="13.15" customHeight="1">
      <c r="C505" s="264"/>
      <c r="D505" s="264"/>
      <c r="E505" s="264"/>
      <c r="F505" s="264"/>
      <c r="G505" s="264"/>
      <c r="H505" s="264"/>
      <c r="I505" s="264"/>
      <c r="J505" s="264"/>
      <c r="K505" s="264"/>
      <c r="M505" s="3" t="s">
        <v>233</v>
      </c>
      <c r="O505" s="3">
        <f t="shared" si="7"/>
        <v>505</v>
      </c>
    </row>
    <row r="506" spans="1:15" ht="13.15" customHeight="1">
      <c r="C506" s="114"/>
      <c r="M506" s="3" t="s">
        <v>233</v>
      </c>
      <c r="O506" s="3">
        <f t="shared" si="7"/>
        <v>506</v>
      </c>
    </row>
    <row r="507" spans="1:15" ht="13.15" customHeight="1">
      <c r="A507" s="152" t="s">
        <v>408</v>
      </c>
      <c r="B507" s="264" t="s">
        <v>289</v>
      </c>
      <c r="C507" s="264"/>
      <c r="D507" s="264"/>
      <c r="E507" s="264"/>
      <c r="F507" s="264"/>
      <c r="G507" s="264"/>
      <c r="H507" s="264"/>
      <c r="I507" s="264"/>
      <c r="J507" s="264"/>
      <c r="K507" s="264"/>
      <c r="L507" s="3">
        <v>30</v>
      </c>
      <c r="M507" s="3">
        <v>7</v>
      </c>
      <c r="N507" s="3">
        <v>4</v>
      </c>
      <c r="O507" s="3">
        <f t="shared" si="7"/>
        <v>507</v>
      </c>
    </row>
    <row r="508" spans="1:15" ht="13.15" customHeight="1">
      <c r="B508" s="264"/>
      <c r="C508" s="264"/>
      <c r="D508" s="264"/>
      <c r="E508" s="264"/>
      <c r="F508" s="264"/>
      <c r="G508" s="264"/>
      <c r="H508" s="264"/>
      <c r="I508" s="264"/>
      <c r="J508" s="264"/>
      <c r="K508" s="264"/>
      <c r="L508" s="108"/>
      <c r="M508" s="3" t="s">
        <v>233</v>
      </c>
      <c r="O508" s="3">
        <f t="shared" si="7"/>
        <v>508</v>
      </c>
    </row>
    <row r="509" spans="1:15" ht="13.15" customHeight="1">
      <c r="B509" s="264"/>
      <c r="C509" s="264"/>
      <c r="D509" s="264"/>
      <c r="E509" s="264"/>
      <c r="F509" s="264"/>
      <c r="G509" s="264"/>
      <c r="H509" s="264"/>
      <c r="I509" s="264"/>
      <c r="J509" s="264"/>
      <c r="K509" s="264"/>
      <c r="L509" s="108"/>
      <c r="M509" s="3" t="s">
        <v>233</v>
      </c>
      <c r="O509" s="3">
        <f t="shared" si="7"/>
        <v>509</v>
      </c>
    </row>
    <row r="510" spans="1:15" ht="13.15" customHeight="1">
      <c r="B510" s="264"/>
      <c r="C510" s="264"/>
      <c r="D510" s="264"/>
      <c r="E510" s="264"/>
      <c r="F510" s="264"/>
      <c r="G510" s="264"/>
      <c r="H510" s="264"/>
      <c r="I510" s="264"/>
      <c r="J510" s="264"/>
      <c r="K510" s="264"/>
      <c r="L510" s="108"/>
      <c r="M510" s="3" t="s">
        <v>233</v>
      </c>
      <c r="O510" s="3">
        <f t="shared" si="7"/>
        <v>510</v>
      </c>
    </row>
    <row r="511" spans="1:15" ht="13.15" customHeight="1">
      <c r="B511" s="165"/>
      <c r="C511" s="165"/>
      <c r="D511" s="165"/>
      <c r="E511" s="165"/>
      <c r="F511" s="165"/>
      <c r="G511" s="165"/>
      <c r="H511" s="165"/>
      <c r="I511" s="165"/>
      <c r="J511" s="165"/>
      <c r="K511" s="165"/>
      <c r="M511" s="3" t="s">
        <v>233</v>
      </c>
      <c r="O511" s="3">
        <f t="shared" si="7"/>
        <v>511</v>
      </c>
    </row>
    <row r="512" spans="1:15" ht="13.15" customHeight="1">
      <c r="B512" s="156" t="s">
        <v>379</v>
      </c>
      <c r="C512" s="276" t="s">
        <v>212</v>
      </c>
      <c r="D512" s="277"/>
      <c r="E512" s="277"/>
      <c r="F512" s="277"/>
      <c r="G512" s="277"/>
      <c r="H512" s="277"/>
      <c r="I512" s="277"/>
      <c r="J512" s="277"/>
      <c r="K512" s="277"/>
      <c r="M512" s="3" t="s">
        <v>233</v>
      </c>
      <c r="O512" s="3">
        <f t="shared" si="7"/>
        <v>512</v>
      </c>
    </row>
    <row r="513" spans="1:15" ht="13.15" customHeight="1">
      <c r="C513" s="277"/>
      <c r="D513" s="277"/>
      <c r="E513" s="277"/>
      <c r="F513" s="277"/>
      <c r="G513" s="277"/>
      <c r="H513" s="277"/>
      <c r="I513" s="277"/>
      <c r="J513" s="277"/>
      <c r="K513" s="277"/>
      <c r="M513" s="3" t="s">
        <v>233</v>
      </c>
      <c r="O513" s="3">
        <f t="shared" si="7"/>
        <v>513</v>
      </c>
    </row>
    <row r="514" spans="1:15" ht="13.15" customHeight="1">
      <c r="M514" s="3" t="s">
        <v>233</v>
      </c>
      <c r="O514" s="3">
        <f t="shared" si="7"/>
        <v>514</v>
      </c>
    </row>
    <row r="515" spans="1:15" ht="13.15" customHeight="1">
      <c r="A515" s="152" t="s">
        <v>409</v>
      </c>
      <c r="B515" s="278" t="s">
        <v>290</v>
      </c>
      <c r="C515" s="278"/>
      <c r="D515" s="278"/>
      <c r="E515" s="278"/>
      <c r="F515" s="278"/>
      <c r="G515" s="278"/>
      <c r="H515" s="278"/>
      <c r="I515" s="278"/>
      <c r="J515" s="278"/>
      <c r="K515" s="278"/>
      <c r="L515" s="3">
        <v>31</v>
      </c>
      <c r="M515" s="3">
        <v>21</v>
      </c>
      <c r="N515" s="3">
        <v>11</v>
      </c>
      <c r="O515" s="3">
        <f t="shared" si="7"/>
        <v>515</v>
      </c>
    </row>
    <row r="516" spans="1:15" ht="13.15" customHeight="1">
      <c r="B516" s="278"/>
      <c r="C516" s="278"/>
      <c r="D516" s="278"/>
      <c r="E516" s="278"/>
      <c r="F516" s="278"/>
      <c r="G516" s="278"/>
      <c r="H516" s="278"/>
      <c r="I516" s="278"/>
      <c r="J516" s="278"/>
      <c r="K516" s="278"/>
      <c r="M516" s="3" t="s">
        <v>233</v>
      </c>
      <c r="O516" s="3">
        <f t="shared" si="7"/>
        <v>516</v>
      </c>
    </row>
    <row r="517" spans="1:15" ht="13.15" customHeight="1">
      <c r="B517" s="278"/>
      <c r="C517" s="278"/>
      <c r="D517" s="278"/>
      <c r="E517" s="278"/>
      <c r="F517" s="278"/>
      <c r="G517" s="278"/>
      <c r="H517" s="278"/>
      <c r="I517" s="278"/>
      <c r="J517" s="278"/>
      <c r="K517" s="278"/>
      <c r="M517" s="3" t="s">
        <v>233</v>
      </c>
      <c r="O517" s="3">
        <f t="shared" si="7"/>
        <v>517</v>
      </c>
    </row>
    <row r="518" spans="1:15" ht="13.15" customHeight="1">
      <c r="B518" s="278"/>
      <c r="C518" s="278"/>
      <c r="D518" s="278"/>
      <c r="E518" s="278"/>
      <c r="F518" s="278"/>
      <c r="G518" s="278"/>
      <c r="H518" s="278"/>
      <c r="I518" s="278"/>
      <c r="J518" s="278"/>
      <c r="K518" s="278"/>
      <c r="M518" s="3" t="s">
        <v>233</v>
      </c>
      <c r="O518" s="3">
        <f t="shared" si="7"/>
        <v>518</v>
      </c>
    </row>
    <row r="519" spans="1:15" ht="13.15" customHeight="1">
      <c r="B519" s="278"/>
      <c r="C519" s="278"/>
      <c r="D519" s="278"/>
      <c r="E519" s="278"/>
      <c r="F519" s="278"/>
      <c r="G519" s="278"/>
      <c r="H519" s="278"/>
      <c r="I519" s="278"/>
      <c r="J519" s="278"/>
      <c r="K519" s="278"/>
      <c r="M519" s="3" t="s">
        <v>233</v>
      </c>
      <c r="O519" s="3">
        <f t="shared" si="7"/>
        <v>519</v>
      </c>
    </row>
    <row r="520" spans="1:15" ht="13.15" customHeight="1">
      <c r="B520" s="278"/>
      <c r="C520" s="278"/>
      <c r="D520" s="278"/>
      <c r="E520" s="278"/>
      <c r="F520" s="278"/>
      <c r="G520" s="278"/>
      <c r="H520" s="278"/>
      <c r="I520" s="278"/>
      <c r="J520" s="278"/>
      <c r="K520" s="278"/>
      <c r="M520" s="3" t="s">
        <v>233</v>
      </c>
      <c r="O520" s="3">
        <f t="shared" si="7"/>
        <v>520</v>
      </c>
    </row>
    <row r="521" spans="1:15" ht="13.15" customHeight="1">
      <c r="B521" s="278"/>
      <c r="C521" s="278"/>
      <c r="D521" s="278"/>
      <c r="E521" s="278"/>
      <c r="F521" s="278"/>
      <c r="G521" s="278"/>
      <c r="H521" s="278"/>
      <c r="I521" s="278"/>
      <c r="J521" s="278"/>
      <c r="K521" s="278"/>
      <c r="M521" s="3" t="s">
        <v>233</v>
      </c>
      <c r="O521" s="3">
        <f t="shared" si="7"/>
        <v>521</v>
      </c>
    </row>
    <row r="522" spans="1:15" ht="13.15" customHeight="1">
      <c r="B522" s="278"/>
      <c r="C522" s="278"/>
      <c r="D522" s="278"/>
      <c r="E522" s="278"/>
      <c r="F522" s="278"/>
      <c r="G522" s="278"/>
      <c r="H522" s="278"/>
      <c r="I522" s="278"/>
      <c r="J522" s="278"/>
      <c r="K522" s="278"/>
      <c r="M522" s="3" t="s">
        <v>233</v>
      </c>
      <c r="O522" s="3">
        <f t="shared" si="7"/>
        <v>522</v>
      </c>
    </row>
    <row r="523" spans="1:15" ht="13.15" customHeight="1">
      <c r="B523" s="278"/>
      <c r="C523" s="278"/>
      <c r="D523" s="278"/>
      <c r="E523" s="278"/>
      <c r="F523" s="278"/>
      <c r="G523" s="278"/>
      <c r="H523" s="278"/>
      <c r="I523" s="278"/>
      <c r="J523" s="278"/>
      <c r="K523" s="278"/>
      <c r="M523" s="3" t="s">
        <v>233</v>
      </c>
      <c r="O523" s="3">
        <f t="shared" si="7"/>
        <v>523</v>
      </c>
    </row>
    <row r="524" spans="1:15" ht="13.15" customHeight="1">
      <c r="B524" s="278"/>
      <c r="C524" s="278"/>
      <c r="D524" s="278"/>
      <c r="E524" s="278"/>
      <c r="F524" s="278"/>
      <c r="G524" s="278"/>
      <c r="H524" s="278"/>
      <c r="I524" s="278"/>
      <c r="J524" s="278"/>
      <c r="K524" s="278"/>
      <c r="M524" s="3" t="s">
        <v>233</v>
      </c>
      <c r="O524" s="3">
        <f t="shared" si="7"/>
        <v>524</v>
      </c>
    </row>
    <row r="525" spans="1:15" ht="13.15" customHeight="1">
      <c r="B525" s="278"/>
      <c r="C525" s="278"/>
      <c r="D525" s="278"/>
      <c r="E525" s="278"/>
      <c r="F525" s="278"/>
      <c r="G525" s="278"/>
      <c r="H525" s="278"/>
      <c r="I525" s="278"/>
      <c r="J525" s="278"/>
      <c r="K525" s="278"/>
      <c r="M525" s="3" t="s">
        <v>233</v>
      </c>
      <c r="O525" s="3">
        <f t="shared" si="7"/>
        <v>525</v>
      </c>
    </row>
    <row r="526" spans="1:15" ht="13.15" customHeight="1">
      <c r="B526" s="115"/>
      <c r="C526" s="115"/>
      <c r="D526" s="115"/>
      <c r="E526" s="115"/>
      <c r="F526" s="115"/>
      <c r="G526" s="115"/>
      <c r="H526" s="115"/>
      <c r="I526" s="115"/>
      <c r="J526" s="115"/>
      <c r="K526" s="115"/>
      <c r="M526" s="3" t="s">
        <v>233</v>
      </c>
      <c r="O526" s="3">
        <f t="shared" si="7"/>
        <v>526</v>
      </c>
    </row>
    <row r="527" spans="1:15" ht="13.15" customHeight="1">
      <c r="B527" s="156" t="s">
        <v>379</v>
      </c>
      <c r="C527" s="278" t="s">
        <v>291</v>
      </c>
      <c r="D527" s="278"/>
      <c r="E527" s="278"/>
      <c r="F527" s="278"/>
      <c r="G527" s="278"/>
      <c r="H527" s="278"/>
      <c r="I527" s="278"/>
      <c r="J527" s="278"/>
      <c r="K527" s="278"/>
      <c r="M527" s="3" t="s">
        <v>233</v>
      </c>
      <c r="O527" s="3">
        <f t="shared" si="7"/>
        <v>527</v>
      </c>
    </row>
    <row r="528" spans="1:15" ht="13.15" customHeight="1">
      <c r="B528" s="115"/>
      <c r="C528" s="278"/>
      <c r="D528" s="278"/>
      <c r="E528" s="278"/>
      <c r="F528" s="278"/>
      <c r="G528" s="278"/>
      <c r="H528" s="278"/>
      <c r="I528" s="278"/>
      <c r="J528" s="278"/>
      <c r="K528" s="278"/>
      <c r="M528" s="3" t="s">
        <v>233</v>
      </c>
      <c r="O528" s="3">
        <f t="shared" si="7"/>
        <v>528</v>
      </c>
    </row>
    <row r="529" spans="1:15" ht="13.15" customHeight="1">
      <c r="B529" s="115"/>
      <c r="C529" s="278"/>
      <c r="D529" s="278"/>
      <c r="E529" s="278"/>
      <c r="F529" s="278"/>
      <c r="G529" s="278"/>
      <c r="H529" s="278"/>
      <c r="I529" s="278"/>
      <c r="J529" s="278"/>
      <c r="K529" s="278"/>
      <c r="M529" s="3" t="s">
        <v>233</v>
      </c>
      <c r="O529" s="3">
        <f t="shared" si="7"/>
        <v>529</v>
      </c>
    </row>
    <row r="530" spans="1:15" ht="13.15" customHeight="1">
      <c r="B530" s="115"/>
      <c r="C530" s="278"/>
      <c r="D530" s="278"/>
      <c r="E530" s="278"/>
      <c r="F530" s="278"/>
      <c r="G530" s="278"/>
      <c r="H530" s="278"/>
      <c r="I530" s="278"/>
      <c r="J530" s="278"/>
      <c r="K530" s="278"/>
      <c r="M530" s="3" t="s">
        <v>233</v>
      </c>
      <c r="O530" s="3">
        <f t="shared" si="7"/>
        <v>530</v>
      </c>
    </row>
    <row r="531" spans="1:15" ht="13.15" customHeight="1">
      <c r="B531" s="115"/>
      <c r="C531" s="278"/>
      <c r="D531" s="278"/>
      <c r="E531" s="278"/>
      <c r="F531" s="278"/>
      <c r="G531" s="278"/>
      <c r="H531" s="278"/>
      <c r="I531" s="278"/>
      <c r="J531" s="278"/>
      <c r="K531" s="278"/>
      <c r="M531" s="3" t="s">
        <v>233</v>
      </c>
      <c r="O531" s="3">
        <f t="shared" si="7"/>
        <v>531</v>
      </c>
    </row>
    <row r="532" spans="1:15" ht="13.15" customHeight="1">
      <c r="A532" s="3"/>
      <c r="B532" s="115"/>
      <c r="C532" s="278"/>
      <c r="D532" s="278"/>
      <c r="E532" s="278"/>
      <c r="F532" s="278"/>
      <c r="G532" s="278"/>
      <c r="H532" s="278"/>
      <c r="I532" s="278"/>
      <c r="J532" s="278"/>
      <c r="K532" s="278"/>
      <c r="M532" s="3" t="s">
        <v>233</v>
      </c>
      <c r="O532" s="3">
        <f t="shared" si="7"/>
        <v>532</v>
      </c>
    </row>
    <row r="533" spans="1:15" ht="13.15" customHeight="1">
      <c r="C533" s="278"/>
      <c r="D533" s="278"/>
      <c r="E533" s="278"/>
      <c r="F533" s="278"/>
      <c r="G533" s="278"/>
      <c r="H533" s="278"/>
      <c r="I533" s="278"/>
      <c r="J533" s="278"/>
      <c r="K533" s="278"/>
      <c r="M533" s="3" t="s">
        <v>233</v>
      </c>
      <c r="O533" s="3">
        <f t="shared" si="7"/>
        <v>533</v>
      </c>
    </row>
    <row r="534" spans="1:15" ht="13.15" customHeight="1">
      <c r="C534" s="278"/>
      <c r="D534" s="278"/>
      <c r="E534" s="278"/>
      <c r="F534" s="278"/>
      <c r="G534" s="278"/>
      <c r="H534" s="278"/>
      <c r="I534" s="278"/>
      <c r="J534" s="278"/>
      <c r="K534" s="278"/>
      <c r="M534" s="3" t="s">
        <v>233</v>
      </c>
      <c r="O534" s="3">
        <f t="shared" si="7"/>
        <v>534</v>
      </c>
    </row>
    <row r="535" spans="1:15" ht="13.15" customHeight="1">
      <c r="C535" s="278"/>
      <c r="D535" s="278"/>
      <c r="E535" s="278"/>
      <c r="F535" s="278"/>
      <c r="G535" s="278"/>
      <c r="H535" s="278"/>
      <c r="I535" s="278"/>
      <c r="J535" s="278"/>
      <c r="K535" s="278"/>
      <c r="M535" s="3" t="s">
        <v>233</v>
      </c>
      <c r="O535" s="3">
        <f t="shared" si="7"/>
        <v>535</v>
      </c>
    </row>
    <row r="536" spans="1:15" ht="13.15" customHeight="1">
      <c r="C536" s="174"/>
      <c r="D536" s="174"/>
      <c r="E536" s="174"/>
      <c r="F536" s="174"/>
      <c r="G536" s="174"/>
      <c r="H536" s="174"/>
      <c r="I536" s="174"/>
      <c r="J536" s="174"/>
      <c r="K536" s="174"/>
      <c r="M536" s="3" t="s">
        <v>233</v>
      </c>
      <c r="O536" s="3">
        <f t="shared" si="7"/>
        <v>536</v>
      </c>
    </row>
    <row r="537" spans="1:15" ht="13.15" customHeight="1">
      <c r="A537" s="152" t="s">
        <v>411</v>
      </c>
      <c r="B537" s="278" t="s">
        <v>290</v>
      </c>
      <c r="C537" s="278"/>
      <c r="D537" s="278"/>
      <c r="E537" s="278"/>
      <c r="F537" s="278"/>
      <c r="G537" s="278"/>
      <c r="H537" s="278"/>
      <c r="I537" s="278"/>
      <c r="J537" s="278"/>
      <c r="K537" s="278"/>
      <c r="L537" s="3">
        <v>32</v>
      </c>
      <c r="M537" s="3">
        <v>21</v>
      </c>
      <c r="N537" s="3">
        <v>11</v>
      </c>
      <c r="O537" s="3">
        <f t="shared" si="7"/>
        <v>537</v>
      </c>
    </row>
    <row r="538" spans="1:15" ht="13.15" customHeight="1">
      <c r="B538" s="278"/>
      <c r="C538" s="278"/>
      <c r="D538" s="278"/>
      <c r="E538" s="278"/>
      <c r="F538" s="278"/>
      <c r="G538" s="278"/>
      <c r="H538" s="278"/>
      <c r="I538" s="278"/>
      <c r="J538" s="278"/>
      <c r="K538" s="278"/>
      <c r="M538" s="3" t="s">
        <v>233</v>
      </c>
      <c r="O538" s="3">
        <f t="shared" si="7"/>
        <v>538</v>
      </c>
    </row>
    <row r="539" spans="1:15" ht="13.15" customHeight="1">
      <c r="B539" s="278"/>
      <c r="C539" s="278"/>
      <c r="D539" s="278"/>
      <c r="E539" s="278"/>
      <c r="F539" s="278"/>
      <c r="G539" s="278"/>
      <c r="H539" s="278"/>
      <c r="I539" s="278"/>
      <c r="J539" s="278"/>
      <c r="K539" s="278"/>
      <c r="M539" s="3" t="s">
        <v>233</v>
      </c>
      <c r="O539" s="3">
        <f t="shared" si="7"/>
        <v>539</v>
      </c>
    </row>
    <row r="540" spans="1:15" ht="13.15" customHeight="1">
      <c r="B540" s="278"/>
      <c r="C540" s="278"/>
      <c r="D540" s="278"/>
      <c r="E540" s="278"/>
      <c r="F540" s="278"/>
      <c r="G540" s="278"/>
      <c r="H540" s="278"/>
      <c r="I540" s="278"/>
      <c r="J540" s="278"/>
      <c r="K540" s="278"/>
      <c r="M540" s="3" t="s">
        <v>233</v>
      </c>
      <c r="O540" s="3">
        <f t="shared" si="7"/>
        <v>540</v>
      </c>
    </row>
    <row r="541" spans="1:15" ht="13.15" customHeight="1">
      <c r="B541" s="278"/>
      <c r="C541" s="278"/>
      <c r="D541" s="278"/>
      <c r="E541" s="278"/>
      <c r="F541" s="278"/>
      <c r="G541" s="278"/>
      <c r="H541" s="278"/>
      <c r="I541" s="278"/>
      <c r="J541" s="278"/>
      <c r="K541" s="278"/>
      <c r="M541" s="3" t="s">
        <v>233</v>
      </c>
      <c r="O541" s="3">
        <f t="shared" si="7"/>
        <v>541</v>
      </c>
    </row>
    <row r="542" spans="1:15" ht="13.15" customHeight="1">
      <c r="B542" s="278"/>
      <c r="C542" s="278"/>
      <c r="D542" s="278"/>
      <c r="E542" s="278"/>
      <c r="F542" s="278"/>
      <c r="G542" s="278"/>
      <c r="H542" s="278"/>
      <c r="I542" s="278"/>
      <c r="J542" s="278"/>
      <c r="K542" s="278"/>
      <c r="M542" s="3" t="s">
        <v>233</v>
      </c>
      <c r="O542" s="3">
        <f t="shared" si="7"/>
        <v>542</v>
      </c>
    </row>
    <row r="543" spans="1:15" ht="13.15" customHeight="1">
      <c r="B543" s="278"/>
      <c r="C543" s="278"/>
      <c r="D543" s="278"/>
      <c r="E543" s="278"/>
      <c r="F543" s="278"/>
      <c r="G543" s="278"/>
      <c r="H543" s="278"/>
      <c r="I543" s="278"/>
      <c r="J543" s="278"/>
      <c r="K543" s="278"/>
      <c r="M543" s="3" t="s">
        <v>233</v>
      </c>
      <c r="O543" s="3">
        <f t="shared" si="7"/>
        <v>543</v>
      </c>
    </row>
    <row r="544" spans="1:15" ht="13.15" customHeight="1">
      <c r="B544" s="278"/>
      <c r="C544" s="278"/>
      <c r="D544" s="278"/>
      <c r="E544" s="278"/>
      <c r="F544" s="278"/>
      <c r="G544" s="278"/>
      <c r="H544" s="278"/>
      <c r="I544" s="278"/>
      <c r="J544" s="278"/>
      <c r="K544" s="278"/>
      <c r="M544" s="3" t="s">
        <v>233</v>
      </c>
      <c r="O544" s="3">
        <f t="shared" si="7"/>
        <v>544</v>
      </c>
    </row>
    <row r="545" spans="1:15" ht="13.15" customHeight="1">
      <c r="B545" s="278"/>
      <c r="C545" s="278"/>
      <c r="D545" s="278"/>
      <c r="E545" s="278"/>
      <c r="F545" s="278"/>
      <c r="G545" s="278"/>
      <c r="H545" s="278"/>
      <c r="I545" s="278"/>
      <c r="J545" s="278"/>
      <c r="K545" s="278"/>
      <c r="M545" s="3" t="s">
        <v>233</v>
      </c>
      <c r="O545" s="3">
        <f t="shared" si="7"/>
        <v>545</v>
      </c>
    </row>
    <row r="546" spans="1:15" ht="13.15" customHeight="1">
      <c r="B546" s="278"/>
      <c r="C546" s="278"/>
      <c r="D546" s="278"/>
      <c r="E546" s="278"/>
      <c r="F546" s="278"/>
      <c r="G546" s="278"/>
      <c r="H546" s="278"/>
      <c r="I546" s="278"/>
      <c r="J546" s="278"/>
      <c r="K546" s="278"/>
      <c r="M546" s="3" t="s">
        <v>233</v>
      </c>
      <c r="O546" s="3">
        <f t="shared" si="7"/>
        <v>546</v>
      </c>
    </row>
    <row r="547" spans="1:15" ht="13.15" customHeight="1">
      <c r="B547" s="278"/>
      <c r="C547" s="278"/>
      <c r="D547" s="278"/>
      <c r="E547" s="278"/>
      <c r="F547" s="278"/>
      <c r="G547" s="278"/>
      <c r="H547" s="278"/>
      <c r="I547" s="278"/>
      <c r="J547" s="278"/>
      <c r="K547" s="278"/>
      <c r="M547" s="3" t="s">
        <v>233</v>
      </c>
      <c r="O547" s="3">
        <f t="shared" ref="O547:O610" si="8">ROW(M547)</f>
        <v>547</v>
      </c>
    </row>
    <row r="548" spans="1:15" ht="13.15" customHeight="1">
      <c r="B548" s="115"/>
      <c r="C548" s="115"/>
      <c r="D548" s="115"/>
      <c r="E548" s="115"/>
      <c r="F548" s="115"/>
      <c r="G548" s="115"/>
      <c r="H548" s="115"/>
      <c r="I548" s="115"/>
      <c r="J548" s="115"/>
      <c r="K548" s="115"/>
      <c r="M548" s="3" t="s">
        <v>233</v>
      </c>
      <c r="O548" s="3">
        <f t="shared" si="8"/>
        <v>548</v>
      </c>
    </row>
    <row r="549" spans="1:15" ht="13.15" customHeight="1">
      <c r="B549" s="156" t="s">
        <v>379</v>
      </c>
      <c r="C549" s="278" t="s">
        <v>291</v>
      </c>
      <c r="D549" s="278"/>
      <c r="E549" s="278"/>
      <c r="F549" s="278"/>
      <c r="G549" s="278"/>
      <c r="H549" s="278"/>
      <c r="I549" s="278"/>
      <c r="J549" s="278"/>
      <c r="K549" s="278"/>
      <c r="M549" s="3" t="s">
        <v>233</v>
      </c>
      <c r="O549" s="3">
        <f t="shared" si="8"/>
        <v>549</v>
      </c>
    </row>
    <row r="550" spans="1:15" ht="13.15" customHeight="1">
      <c r="B550" s="115"/>
      <c r="C550" s="278"/>
      <c r="D550" s="278"/>
      <c r="E550" s="278"/>
      <c r="F550" s="278"/>
      <c r="G550" s="278"/>
      <c r="H550" s="278"/>
      <c r="I550" s="278"/>
      <c r="J550" s="278"/>
      <c r="K550" s="278"/>
      <c r="M550" s="3" t="s">
        <v>233</v>
      </c>
      <c r="O550" s="3">
        <f t="shared" si="8"/>
        <v>550</v>
      </c>
    </row>
    <row r="551" spans="1:15" ht="13.15" customHeight="1">
      <c r="B551" s="115"/>
      <c r="C551" s="278"/>
      <c r="D551" s="278"/>
      <c r="E551" s="278"/>
      <c r="F551" s="278"/>
      <c r="G551" s="278"/>
      <c r="H551" s="278"/>
      <c r="I551" s="278"/>
      <c r="J551" s="278"/>
      <c r="K551" s="278"/>
      <c r="M551" s="3" t="s">
        <v>233</v>
      </c>
      <c r="O551" s="3">
        <f t="shared" si="8"/>
        <v>551</v>
      </c>
    </row>
    <row r="552" spans="1:15" ht="13.15" customHeight="1">
      <c r="B552" s="115"/>
      <c r="C552" s="278"/>
      <c r="D552" s="278"/>
      <c r="E552" s="278"/>
      <c r="F552" s="278"/>
      <c r="G552" s="278"/>
      <c r="H552" s="278"/>
      <c r="I552" s="278"/>
      <c r="J552" s="278"/>
      <c r="K552" s="278"/>
      <c r="M552" s="3" t="s">
        <v>233</v>
      </c>
      <c r="O552" s="3">
        <f t="shared" si="8"/>
        <v>552</v>
      </c>
    </row>
    <row r="553" spans="1:15" ht="13.15" customHeight="1">
      <c r="B553" s="115"/>
      <c r="C553" s="278"/>
      <c r="D553" s="278"/>
      <c r="E553" s="278"/>
      <c r="F553" s="278"/>
      <c r="G553" s="278"/>
      <c r="H553" s="278"/>
      <c r="I553" s="278"/>
      <c r="J553" s="278"/>
      <c r="K553" s="278"/>
      <c r="M553" s="3" t="s">
        <v>233</v>
      </c>
      <c r="O553" s="3">
        <f t="shared" si="8"/>
        <v>553</v>
      </c>
    </row>
    <row r="554" spans="1:15" ht="13.15" customHeight="1">
      <c r="B554" s="115"/>
      <c r="C554" s="278"/>
      <c r="D554" s="278"/>
      <c r="E554" s="278"/>
      <c r="F554" s="278"/>
      <c r="G554" s="278"/>
      <c r="H554" s="278"/>
      <c r="I554" s="278"/>
      <c r="J554" s="278"/>
      <c r="K554" s="278"/>
      <c r="M554" s="3" t="s">
        <v>233</v>
      </c>
      <c r="O554" s="3">
        <f t="shared" si="8"/>
        <v>554</v>
      </c>
    </row>
    <row r="555" spans="1:15" ht="13.15" customHeight="1">
      <c r="C555" s="278"/>
      <c r="D555" s="278"/>
      <c r="E555" s="278"/>
      <c r="F555" s="278"/>
      <c r="G555" s="278"/>
      <c r="H555" s="278"/>
      <c r="I555" s="278"/>
      <c r="J555" s="278"/>
      <c r="K555" s="278"/>
      <c r="M555" s="3" t="s">
        <v>233</v>
      </c>
      <c r="O555" s="3">
        <f t="shared" si="8"/>
        <v>555</v>
      </c>
    </row>
    <row r="556" spans="1:15" ht="13.15" customHeight="1">
      <c r="C556" s="278"/>
      <c r="D556" s="278"/>
      <c r="E556" s="278"/>
      <c r="F556" s="278"/>
      <c r="G556" s="278"/>
      <c r="H556" s="278"/>
      <c r="I556" s="278"/>
      <c r="J556" s="278"/>
      <c r="K556" s="278"/>
      <c r="M556" s="3" t="s">
        <v>233</v>
      </c>
      <c r="O556" s="3">
        <f t="shared" si="8"/>
        <v>556</v>
      </c>
    </row>
    <row r="557" spans="1:15" ht="13.15" customHeight="1">
      <c r="C557" s="278"/>
      <c r="D557" s="278"/>
      <c r="E557" s="278"/>
      <c r="F557" s="278"/>
      <c r="G557" s="278"/>
      <c r="H557" s="278"/>
      <c r="I557" s="278"/>
      <c r="J557" s="278"/>
      <c r="K557" s="278"/>
      <c r="M557" s="3" t="s">
        <v>233</v>
      </c>
      <c r="O557" s="3">
        <f t="shared" si="8"/>
        <v>557</v>
      </c>
    </row>
    <row r="558" spans="1:15" ht="13.15" customHeight="1">
      <c r="M558" s="3" t="s">
        <v>233</v>
      </c>
      <c r="O558" s="3">
        <f t="shared" si="8"/>
        <v>558</v>
      </c>
    </row>
    <row r="559" spans="1:15" ht="13.15" customHeight="1">
      <c r="A559" s="152" t="s">
        <v>410</v>
      </c>
      <c r="B559" s="263" t="s">
        <v>292</v>
      </c>
      <c r="C559" s="263"/>
      <c r="D559" s="263"/>
      <c r="E559" s="263"/>
      <c r="F559" s="263"/>
      <c r="G559" s="263"/>
      <c r="H559" s="263"/>
      <c r="I559" s="263"/>
      <c r="J559" s="263"/>
      <c r="K559" s="263"/>
      <c r="L559" s="3">
        <v>33</v>
      </c>
      <c r="M559" s="3">
        <v>14</v>
      </c>
      <c r="N559" s="3">
        <v>9</v>
      </c>
      <c r="O559" s="3">
        <f t="shared" si="8"/>
        <v>559</v>
      </c>
    </row>
    <row r="560" spans="1:15" ht="13.15" customHeight="1">
      <c r="B560" s="263"/>
      <c r="C560" s="263"/>
      <c r="D560" s="263"/>
      <c r="E560" s="263"/>
      <c r="F560" s="263"/>
      <c r="G560" s="263"/>
      <c r="H560" s="263"/>
      <c r="I560" s="263"/>
      <c r="J560" s="263"/>
      <c r="K560" s="263"/>
      <c r="M560" s="3" t="s">
        <v>233</v>
      </c>
      <c r="O560" s="3">
        <f t="shared" si="8"/>
        <v>560</v>
      </c>
    </row>
    <row r="561" spans="1:15" ht="13.15" customHeight="1">
      <c r="B561" s="263"/>
      <c r="C561" s="263"/>
      <c r="D561" s="263"/>
      <c r="E561" s="263"/>
      <c r="F561" s="263"/>
      <c r="G561" s="263"/>
      <c r="H561" s="263"/>
      <c r="I561" s="263"/>
      <c r="J561" s="263"/>
      <c r="K561" s="263"/>
      <c r="M561" s="3" t="s">
        <v>233</v>
      </c>
      <c r="O561" s="3">
        <f t="shared" si="8"/>
        <v>561</v>
      </c>
    </row>
    <row r="562" spans="1:15" ht="13.15" customHeight="1">
      <c r="B562" s="263"/>
      <c r="C562" s="263"/>
      <c r="D562" s="263"/>
      <c r="E562" s="263"/>
      <c r="F562" s="263"/>
      <c r="G562" s="263"/>
      <c r="H562" s="263"/>
      <c r="I562" s="263"/>
      <c r="J562" s="263"/>
      <c r="K562" s="263"/>
      <c r="M562" s="3" t="s">
        <v>233</v>
      </c>
      <c r="O562" s="3">
        <f t="shared" si="8"/>
        <v>562</v>
      </c>
    </row>
    <row r="563" spans="1:15" ht="13.15" customHeight="1">
      <c r="B563" s="263"/>
      <c r="C563" s="263"/>
      <c r="D563" s="263"/>
      <c r="E563" s="263"/>
      <c r="F563" s="263"/>
      <c r="G563" s="263"/>
      <c r="H563" s="263"/>
      <c r="I563" s="263"/>
      <c r="J563" s="263"/>
      <c r="K563" s="263"/>
      <c r="M563" s="3" t="s">
        <v>233</v>
      </c>
      <c r="O563" s="3">
        <f t="shared" si="8"/>
        <v>563</v>
      </c>
    </row>
    <row r="564" spans="1:15" ht="13.15" customHeight="1">
      <c r="B564" s="263"/>
      <c r="C564" s="263"/>
      <c r="D564" s="263"/>
      <c r="E564" s="263"/>
      <c r="F564" s="263"/>
      <c r="G564" s="263"/>
      <c r="H564" s="263"/>
      <c r="I564" s="263"/>
      <c r="J564" s="263"/>
      <c r="K564" s="263"/>
      <c r="M564" s="3" t="s">
        <v>233</v>
      </c>
      <c r="O564" s="3">
        <f t="shared" si="8"/>
        <v>564</v>
      </c>
    </row>
    <row r="565" spans="1:15" ht="13.15" customHeight="1">
      <c r="B565" s="263"/>
      <c r="C565" s="263"/>
      <c r="D565" s="263"/>
      <c r="E565" s="263"/>
      <c r="F565" s="263"/>
      <c r="G565" s="263"/>
      <c r="H565" s="263"/>
      <c r="I565" s="263"/>
      <c r="J565" s="263"/>
      <c r="K565" s="263"/>
      <c r="M565" s="3" t="s">
        <v>233</v>
      </c>
      <c r="O565" s="3">
        <f t="shared" si="8"/>
        <v>565</v>
      </c>
    </row>
    <row r="566" spans="1:15" ht="13.15" customHeight="1">
      <c r="B566" s="263"/>
      <c r="C566" s="263"/>
      <c r="D566" s="263"/>
      <c r="E566" s="263"/>
      <c r="F566" s="263"/>
      <c r="G566" s="263"/>
      <c r="H566" s="263"/>
      <c r="I566" s="263"/>
      <c r="J566" s="263"/>
      <c r="K566" s="263"/>
      <c r="M566" s="3" t="s">
        <v>233</v>
      </c>
      <c r="O566" s="3">
        <f t="shared" si="8"/>
        <v>566</v>
      </c>
    </row>
    <row r="567" spans="1:15" ht="13.15" customHeight="1">
      <c r="B567" s="263"/>
      <c r="C567" s="263"/>
      <c r="D567" s="263"/>
      <c r="E567" s="263"/>
      <c r="F567" s="263"/>
      <c r="G567" s="263"/>
      <c r="H567" s="263"/>
      <c r="I567" s="263"/>
      <c r="J567" s="263"/>
      <c r="K567" s="263"/>
      <c r="M567" s="3" t="s">
        <v>233</v>
      </c>
      <c r="O567" s="3">
        <f t="shared" si="8"/>
        <v>567</v>
      </c>
    </row>
    <row r="568" spans="1:15" ht="13.15" customHeight="1">
      <c r="B568" s="175"/>
      <c r="C568" s="175"/>
      <c r="D568" s="175"/>
      <c r="E568" s="175"/>
      <c r="F568" s="175"/>
      <c r="G568" s="175"/>
      <c r="H568" s="175"/>
      <c r="I568" s="175"/>
      <c r="J568" s="175"/>
      <c r="K568" s="175"/>
      <c r="M568" s="3" t="s">
        <v>233</v>
      </c>
      <c r="O568" s="3">
        <f t="shared" si="8"/>
        <v>568</v>
      </c>
    </row>
    <row r="569" spans="1:15" ht="13.15" customHeight="1">
      <c r="B569" s="156" t="s">
        <v>379</v>
      </c>
      <c r="C569" s="264" t="s">
        <v>213</v>
      </c>
      <c r="D569" s="264"/>
      <c r="E569" s="264"/>
      <c r="F569" s="264"/>
      <c r="G569" s="264"/>
      <c r="H569" s="264"/>
      <c r="I569" s="264"/>
      <c r="J569" s="264"/>
      <c r="K569" s="264"/>
      <c r="M569" s="3" t="s">
        <v>233</v>
      </c>
      <c r="O569" s="3">
        <f t="shared" si="8"/>
        <v>569</v>
      </c>
    </row>
    <row r="570" spans="1:15" ht="13.15" customHeight="1">
      <c r="B570" s="48"/>
      <c r="C570" s="264"/>
      <c r="D570" s="264"/>
      <c r="E570" s="264"/>
      <c r="F570" s="264"/>
      <c r="G570" s="264"/>
      <c r="H570" s="264"/>
      <c r="I570" s="264"/>
      <c r="J570" s="264"/>
      <c r="K570" s="264"/>
      <c r="M570" s="3" t="s">
        <v>233</v>
      </c>
      <c r="O570" s="3">
        <f t="shared" si="8"/>
        <v>570</v>
      </c>
    </row>
    <row r="571" spans="1:15" ht="13.15" customHeight="1">
      <c r="B571" s="48"/>
      <c r="C571" s="264"/>
      <c r="D571" s="264"/>
      <c r="E571" s="264"/>
      <c r="F571" s="264"/>
      <c r="G571" s="264"/>
      <c r="H571" s="264"/>
      <c r="I571" s="264"/>
      <c r="J571" s="264"/>
      <c r="K571" s="264"/>
      <c r="M571" s="3" t="s">
        <v>233</v>
      </c>
      <c r="O571" s="3">
        <f t="shared" si="8"/>
        <v>571</v>
      </c>
    </row>
    <row r="572" spans="1:15" ht="13.15" customHeight="1">
      <c r="B572" s="48"/>
      <c r="C572" s="264"/>
      <c r="D572" s="264"/>
      <c r="E572" s="264"/>
      <c r="F572" s="264"/>
      <c r="G572" s="264"/>
      <c r="H572" s="264"/>
      <c r="I572" s="264"/>
      <c r="J572" s="264"/>
      <c r="K572" s="264"/>
      <c r="M572" s="3" t="s">
        <v>233</v>
      </c>
      <c r="O572" s="3">
        <f t="shared" si="8"/>
        <v>572</v>
      </c>
    </row>
    <row r="573" spans="1:15" ht="13.15" customHeight="1">
      <c r="B573" s="48"/>
      <c r="C573" s="165"/>
      <c r="D573" s="165"/>
      <c r="E573" s="165"/>
      <c r="F573" s="165"/>
      <c r="G573" s="165"/>
      <c r="H573" s="165"/>
      <c r="I573" s="165"/>
      <c r="J573" s="165"/>
      <c r="K573" s="165"/>
      <c r="M573" s="3" t="s">
        <v>233</v>
      </c>
      <c r="O573" s="3">
        <f t="shared" si="8"/>
        <v>573</v>
      </c>
    </row>
    <row r="574" spans="1:15" ht="13.15" customHeight="1">
      <c r="A574" s="152" t="s">
        <v>412</v>
      </c>
      <c r="B574" s="280" t="s">
        <v>293</v>
      </c>
      <c r="C574" s="280"/>
      <c r="D574" s="280"/>
      <c r="E574" s="280"/>
      <c r="F574" s="280"/>
      <c r="G574" s="280"/>
      <c r="H574" s="280"/>
      <c r="I574" s="280"/>
      <c r="J574" s="280"/>
      <c r="K574" s="280"/>
      <c r="L574" s="3">
        <v>34</v>
      </c>
      <c r="M574" s="3">
        <v>6</v>
      </c>
      <c r="N574" s="3">
        <v>2</v>
      </c>
      <c r="O574" s="3">
        <f t="shared" si="8"/>
        <v>574</v>
      </c>
    </row>
    <row r="575" spans="1:15" ht="13.15" customHeight="1">
      <c r="B575" s="280"/>
      <c r="C575" s="280"/>
      <c r="D575" s="280"/>
      <c r="E575" s="280"/>
      <c r="F575" s="280"/>
      <c r="G575" s="280"/>
      <c r="H575" s="280"/>
      <c r="I575" s="280"/>
      <c r="J575" s="280"/>
      <c r="K575" s="280"/>
      <c r="M575" s="3" t="s">
        <v>233</v>
      </c>
      <c r="O575" s="3">
        <f t="shared" si="8"/>
        <v>575</v>
      </c>
    </row>
    <row r="576" spans="1:15" ht="13.15" customHeight="1">
      <c r="B576" s="175"/>
      <c r="C576" s="175"/>
      <c r="D576" s="175"/>
      <c r="E576" s="175"/>
      <c r="F576" s="175"/>
      <c r="G576" s="175"/>
      <c r="H576" s="175"/>
      <c r="I576" s="175"/>
      <c r="J576" s="175"/>
      <c r="K576" s="175"/>
      <c r="M576" s="3" t="s">
        <v>233</v>
      </c>
      <c r="O576" s="3">
        <f t="shared" si="8"/>
        <v>576</v>
      </c>
    </row>
    <row r="577" spans="1:15" ht="13.15" customHeight="1">
      <c r="B577" s="156" t="s">
        <v>379</v>
      </c>
      <c r="C577" s="278" t="s">
        <v>294</v>
      </c>
      <c r="D577" s="278"/>
      <c r="E577" s="278"/>
      <c r="F577" s="278"/>
      <c r="G577" s="278"/>
      <c r="H577" s="278"/>
      <c r="I577" s="278"/>
      <c r="J577" s="278"/>
      <c r="K577" s="278"/>
      <c r="M577" s="3" t="s">
        <v>233</v>
      </c>
      <c r="O577" s="3">
        <f t="shared" si="8"/>
        <v>577</v>
      </c>
    </row>
    <row r="578" spans="1:15" ht="13.15" customHeight="1">
      <c r="C578" s="278"/>
      <c r="D578" s="278"/>
      <c r="E578" s="278"/>
      <c r="F578" s="278"/>
      <c r="G578" s="278"/>
      <c r="H578" s="278"/>
      <c r="I578" s="278"/>
      <c r="J578" s="278"/>
      <c r="K578" s="278"/>
      <c r="M578" s="3" t="s">
        <v>233</v>
      </c>
      <c r="O578" s="3">
        <f t="shared" si="8"/>
        <v>578</v>
      </c>
    </row>
    <row r="579" spans="1:15" ht="13.15" customHeight="1">
      <c r="C579" s="278"/>
      <c r="D579" s="278"/>
      <c r="E579" s="278"/>
      <c r="F579" s="278"/>
      <c r="G579" s="278"/>
      <c r="H579" s="278"/>
      <c r="I579" s="278"/>
      <c r="J579" s="278"/>
      <c r="K579" s="278"/>
      <c r="M579" s="3" t="s">
        <v>233</v>
      </c>
      <c r="O579" s="3">
        <f t="shared" si="8"/>
        <v>579</v>
      </c>
    </row>
    <row r="580" spans="1:15" ht="13.15" customHeight="1">
      <c r="C580" s="116"/>
      <c r="D580" s="116"/>
      <c r="E580" s="116"/>
      <c r="F580" s="116"/>
      <c r="G580" s="116"/>
      <c r="H580" s="116"/>
      <c r="I580" s="116"/>
      <c r="J580" s="116"/>
      <c r="K580" s="116"/>
      <c r="M580" s="3" t="s">
        <v>233</v>
      </c>
      <c r="O580" s="3">
        <f t="shared" si="8"/>
        <v>580</v>
      </c>
    </row>
    <row r="581" spans="1:15" ht="13.15" customHeight="1">
      <c r="A581" s="152" t="s">
        <v>413</v>
      </c>
      <c r="B581" s="280" t="s">
        <v>295</v>
      </c>
      <c r="C581" s="280"/>
      <c r="D581" s="280"/>
      <c r="E581" s="280"/>
      <c r="F581" s="280"/>
      <c r="G581" s="280"/>
      <c r="H581" s="280"/>
      <c r="I581" s="280"/>
      <c r="J581" s="280"/>
      <c r="K581" s="280"/>
      <c r="L581" s="3">
        <v>35</v>
      </c>
      <c r="M581" s="3">
        <v>11</v>
      </c>
      <c r="N581" s="3">
        <v>5</v>
      </c>
      <c r="O581" s="3">
        <f t="shared" si="8"/>
        <v>581</v>
      </c>
    </row>
    <row r="582" spans="1:15" ht="13.15" customHeight="1">
      <c r="B582" s="280"/>
      <c r="C582" s="280"/>
      <c r="D582" s="280"/>
      <c r="E582" s="280"/>
      <c r="F582" s="280"/>
      <c r="G582" s="280"/>
      <c r="H582" s="280"/>
      <c r="I582" s="280"/>
      <c r="J582" s="280"/>
      <c r="K582" s="280"/>
      <c r="M582" s="3" t="s">
        <v>233</v>
      </c>
      <c r="O582" s="3">
        <f t="shared" si="8"/>
        <v>582</v>
      </c>
    </row>
    <row r="583" spans="1:15" ht="13.15" customHeight="1">
      <c r="B583" s="280"/>
      <c r="C583" s="280"/>
      <c r="D583" s="280"/>
      <c r="E583" s="280"/>
      <c r="F583" s="280"/>
      <c r="G583" s="280"/>
      <c r="H583" s="280"/>
      <c r="I583" s="280"/>
      <c r="J583" s="280"/>
      <c r="K583" s="280"/>
      <c r="M583" s="3" t="s">
        <v>233</v>
      </c>
      <c r="O583" s="3">
        <f t="shared" si="8"/>
        <v>583</v>
      </c>
    </row>
    <row r="584" spans="1:15" ht="13.15" customHeight="1">
      <c r="B584" s="280"/>
      <c r="C584" s="280"/>
      <c r="D584" s="280"/>
      <c r="E584" s="280"/>
      <c r="F584" s="280"/>
      <c r="G584" s="280"/>
      <c r="H584" s="280"/>
      <c r="I584" s="280"/>
      <c r="J584" s="280"/>
      <c r="K584" s="280"/>
      <c r="M584" s="3" t="s">
        <v>233</v>
      </c>
      <c r="O584" s="3">
        <f t="shared" si="8"/>
        <v>584</v>
      </c>
    </row>
    <row r="585" spans="1:15" ht="13.15" customHeight="1">
      <c r="B585" s="280"/>
      <c r="C585" s="280"/>
      <c r="D585" s="280"/>
      <c r="E585" s="280"/>
      <c r="F585" s="280"/>
      <c r="G585" s="280"/>
      <c r="H585" s="280"/>
      <c r="I585" s="280"/>
      <c r="J585" s="280"/>
      <c r="K585" s="280"/>
      <c r="M585" s="3" t="s">
        <v>233</v>
      </c>
      <c r="O585" s="3">
        <f t="shared" si="8"/>
        <v>585</v>
      </c>
    </row>
    <row r="586" spans="1:15" ht="13.15" customHeight="1">
      <c r="B586" s="175"/>
      <c r="C586" s="175"/>
      <c r="D586" s="175"/>
      <c r="E586" s="175"/>
      <c r="F586" s="175"/>
      <c r="G586" s="175"/>
      <c r="H586" s="175"/>
      <c r="I586" s="175"/>
      <c r="J586" s="175"/>
      <c r="K586" s="175"/>
      <c r="M586" s="3" t="s">
        <v>233</v>
      </c>
      <c r="O586" s="3">
        <f t="shared" si="8"/>
        <v>586</v>
      </c>
    </row>
    <row r="587" spans="1:15" ht="13.15" customHeight="1">
      <c r="B587" s="156" t="s">
        <v>379</v>
      </c>
      <c r="C587" s="278" t="s">
        <v>296</v>
      </c>
      <c r="D587" s="278"/>
      <c r="E587" s="278"/>
      <c r="F587" s="278"/>
      <c r="G587" s="278"/>
      <c r="H587" s="278"/>
      <c r="I587" s="278"/>
      <c r="J587" s="278"/>
      <c r="K587" s="278"/>
      <c r="M587" s="3" t="s">
        <v>233</v>
      </c>
      <c r="O587" s="3">
        <f t="shared" si="8"/>
        <v>587</v>
      </c>
    </row>
    <row r="588" spans="1:15" ht="13.15" customHeight="1">
      <c r="C588" s="278"/>
      <c r="D588" s="278"/>
      <c r="E588" s="278"/>
      <c r="F588" s="278"/>
      <c r="G588" s="278"/>
      <c r="H588" s="278"/>
      <c r="I588" s="278"/>
      <c r="J588" s="278"/>
      <c r="K588" s="278"/>
      <c r="M588" s="3" t="s">
        <v>233</v>
      </c>
      <c r="O588" s="3">
        <f t="shared" si="8"/>
        <v>588</v>
      </c>
    </row>
    <row r="589" spans="1:15" ht="13.15" customHeight="1">
      <c r="C589" s="278"/>
      <c r="D589" s="278"/>
      <c r="E589" s="278"/>
      <c r="F589" s="278"/>
      <c r="G589" s="278"/>
      <c r="H589" s="278"/>
      <c r="I589" s="278"/>
      <c r="J589" s="278"/>
      <c r="K589" s="278"/>
      <c r="M589" s="3" t="s">
        <v>233</v>
      </c>
      <c r="O589" s="3">
        <f t="shared" si="8"/>
        <v>589</v>
      </c>
    </row>
    <row r="590" spans="1:15" ht="13.15" customHeight="1">
      <c r="C590" s="278"/>
      <c r="D590" s="278"/>
      <c r="E590" s="278"/>
      <c r="F590" s="278"/>
      <c r="G590" s="278"/>
      <c r="H590" s="278"/>
      <c r="I590" s="278"/>
      <c r="J590" s="278"/>
      <c r="K590" s="278"/>
      <c r="M590" s="3" t="s">
        <v>233</v>
      </c>
      <c r="O590" s="3">
        <f t="shared" si="8"/>
        <v>590</v>
      </c>
    </row>
    <row r="591" spans="1:15" ht="13.15" customHeight="1">
      <c r="C591" s="278"/>
      <c r="D591" s="278"/>
      <c r="E591" s="278"/>
      <c r="F591" s="278"/>
      <c r="G591" s="278"/>
      <c r="H591" s="278"/>
      <c r="I591" s="278"/>
      <c r="J591" s="278"/>
      <c r="K591" s="278"/>
      <c r="M591" s="3" t="s">
        <v>233</v>
      </c>
      <c r="O591" s="3">
        <f t="shared" si="8"/>
        <v>591</v>
      </c>
    </row>
    <row r="592" spans="1:15" ht="13.15" customHeight="1">
      <c r="C592" s="116"/>
      <c r="D592" s="116"/>
      <c r="E592" s="116"/>
      <c r="F592" s="116"/>
      <c r="G592" s="116"/>
      <c r="H592" s="116"/>
      <c r="I592" s="116"/>
      <c r="J592" s="116"/>
      <c r="K592" s="116"/>
      <c r="M592" s="3" t="s">
        <v>233</v>
      </c>
      <c r="O592" s="3">
        <f t="shared" si="8"/>
        <v>592</v>
      </c>
    </row>
    <row r="593" spans="1:15" ht="13.15" customHeight="1">
      <c r="A593" s="152" t="s">
        <v>414</v>
      </c>
      <c r="B593" s="280" t="s">
        <v>297</v>
      </c>
      <c r="C593" s="280"/>
      <c r="D593" s="280"/>
      <c r="E593" s="280"/>
      <c r="F593" s="280"/>
      <c r="G593" s="280"/>
      <c r="H593" s="280"/>
      <c r="I593" s="280"/>
      <c r="J593" s="280"/>
      <c r="K593" s="280"/>
      <c r="L593" s="3">
        <v>36</v>
      </c>
      <c r="M593" s="3">
        <v>11</v>
      </c>
      <c r="N593" s="3">
        <v>6</v>
      </c>
      <c r="O593" s="3">
        <f t="shared" si="8"/>
        <v>593</v>
      </c>
    </row>
    <row r="594" spans="1:15" ht="13.15" customHeight="1">
      <c r="B594" s="280"/>
      <c r="C594" s="280"/>
      <c r="D594" s="280"/>
      <c r="E594" s="280"/>
      <c r="F594" s="280"/>
      <c r="G594" s="280"/>
      <c r="H594" s="280"/>
      <c r="I594" s="280"/>
      <c r="J594" s="280"/>
      <c r="K594" s="280"/>
      <c r="M594" s="3" t="s">
        <v>233</v>
      </c>
      <c r="O594" s="3">
        <f t="shared" si="8"/>
        <v>594</v>
      </c>
    </row>
    <row r="595" spans="1:15" ht="13.15" customHeight="1">
      <c r="B595" s="280"/>
      <c r="C595" s="280"/>
      <c r="D595" s="280"/>
      <c r="E595" s="280"/>
      <c r="F595" s="280"/>
      <c r="G595" s="280"/>
      <c r="H595" s="280"/>
      <c r="I595" s="280"/>
      <c r="J595" s="280"/>
      <c r="K595" s="280"/>
      <c r="M595" s="3" t="s">
        <v>233</v>
      </c>
      <c r="O595" s="3">
        <f t="shared" si="8"/>
        <v>595</v>
      </c>
    </row>
    <row r="596" spans="1:15" ht="13.15" customHeight="1">
      <c r="B596" s="280"/>
      <c r="C596" s="280"/>
      <c r="D596" s="280"/>
      <c r="E596" s="280"/>
      <c r="F596" s="280"/>
      <c r="G596" s="280"/>
      <c r="H596" s="280"/>
      <c r="I596" s="280"/>
      <c r="J596" s="280"/>
      <c r="K596" s="280"/>
      <c r="M596" s="3" t="s">
        <v>233</v>
      </c>
      <c r="O596" s="3">
        <f t="shared" si="8"/>
        <v>596</v>
      </c>
    </row>
    <row r="597" spans="1:15" ht="13.15" customHeight="1">
      <c r="B597" s="280"/>
      <c r="C597" s="280"/>
      <c r="D597" s="280"/>
      <c r="E597" s="280"/>
      <c r="F597" s="280"/>
      <c r="G597" s="280"/>
      <c r="H597" s="280"/>
      <c r="I597" s="280"/>
      <c r="J597" s="280"/>
      <c r="K597" s="280"/>
      <c r="M597" s="3" t="s">
        <v>233</v>
      </c>
      <c r="O597" s="3">
        <f t="shared" si="8"/>
        <v>597</v>
      </c>
    </row>
    <row r="598" spans="1:15" ht="13.15" customHeight="1">
      <c r="B598" s="280"/>
      <c r="C598" s="280"/>
      <c r="D598" s="280"/>
      <c r="E598" s="280"/>
      <c r="F598" s="280"/>
      <c r="G598" s="280"/>
      <c r="H598" s="280"/>
      <c r="I598" s="280"/>
      <c r="J598" s="280"/>
      <c r="K598" s="280"/>
      <c r="M598" s="3" t="s">
        <v>233</v>
      </c>
      <c r="O598" s="3">
        <f t="shared" si="8"/>
        <v>598</v>
      </c>
    </row>
    <row r="599" spans="1:15" ht="13.15" customHeight="1">
      <c r="B599" s="175"/>
      <c r="C599" s="175"/>
      <c r="D599" s="175"/>
      <c r="E599" s="175"/>
      <c r="F599" s="175"/>
      <c r="G599" s="175"/>
      <c r="H599" s="175"/>
      <c r="I599" s="175"/>
      <c r="J599" s="175"/>
      <c r="K599" s="175"/>
      <c r="M599" s="3" t="s">
        <v>233</v>
      </c>
      <c r="O599" s="3">
        <f t="shared" si="8"/>
        <v>599</v>
      </c>
    </row>
    <row r="600" spans="1:15" ht="13.15" customHeight="1">
      <c r="B600" s="156" t="s">
        <v>379</v>
      </c>
      <c r="C600" s="278" t="s">
        <v>298</v>
      </c>
      <c r="D600" s="281"/>
      <c r="E600" s="281"/>
      <c r="F600" s="281"/>
      <c r="G600" s="281"/>
      <c r="H600" s="281"/>
      <c r="I600" s="281"/>
      <c r="J600" s="281"/>
      <c r="K600" s="281"/>
      <c r="M600" s="3" t="s">
        <v>233</v>
      </c>
      <c r="O600" s="3">
        <f t="shared" si="8"/>
        <v>600</v>
      </c>
    </row>
    <row r="601" spans="1:15" ht="13.15" customHeight="1">
      <c r="C601" s="278"/>
      <c r="D601" s="281"/>
      <c r="E601" s="281"/>
      <c r="F601" s="281"/>
      <c r="G601" s="281"/>
      <c r="H601" s="281"/>
      <c r="I601" s="281"/>
      <c r="J601" s="281"/>
      <c r="K601" s="281"/>
      <c r="M601" s="3" t="s">
        <v>233</v>
      </c>
      <c r="O601" s="3">
        <f t="shared" si="8"/>
        <v>601</v>
      </c>
    </row>
    <row r="602" spans="1:15" ht="13.15" customHeight="1">
      <c r="C602" s="278"/>
      <c r="D602" s="281"/>
      <c r="E602" s="281"/>
      <c r="F602" s="281"/>
      <c r="G602" s="281"/>
      <c r="H602" s="281"/>
      <c r="I602" s="281"/>
      <c r="J602" s="281"/>
      <c r="K602" s="281"/>
      <c r="M602" s="3" t="s">
        <v>233</v>
      </c>
      <c r="O602" s="3">
        <f t="shared" si="8"/>
        <v>602</v>
      </c>
    </row>
    <row r="603" spans="1:15" ht="13.15" customHeight="1">
      <c r="C603" s="281"/>
      <c r="D603" s="281"/>
      <c r="E603" s="281"/>
      <c r="F603" s="281"/>
      <c r="G603" s="281"/>
      <c r="H603" s="281"/>
      <c r="I603" s="281"/>
      <c r="J603" s="281"/>
      <c r="K603" s="281"/>
      <c r="M603" s="3" t="s">
        <v>233</v>
      </c>
      <c r="O603" s="3">
        <f t="shared" si="8"/>
        <v>603</v>
      </c>
    </row>
    <row r="604" spans="1:15" ht="13.15" customHeight="1">
      <c r="C604" s="116"/>
      <c r="D604" s="116"/>
      <c r="E604" s="116"/>
      <c r="F604" s="116"/>
      <c r="G604" s="116"/>
      <c r="H604" s="116"/>
      <c r="I604" s="116"/>
      <c r="J604" s="116"/>
      <c r="K604" s="116"/>
      <c r="M604" s="3" t="s">
        <v>233</v>
      </c>
      <c r="O604" s="3">
        <f t="shared" si="8"/>
        <v>604</v>
      </c>
    </row>
    <row r="605" spans="1:15" ht="13.15" customHeight="1">
      <c r="A605" s="152" t="s">
        <v>415</v>
      </c>
      <c r="B605" s="271" t="s">
        <v>299</v>
      </c>
      <c r="C605" s="271"/>
      <c r="D605" s="271"/>
      <c r="E605" s="271"/>
      <c r="F605" s="271"/>
      <c r="G605" s="271"/>
      <c r="H605" s="271"/>
      <c r="I605" s="271"/>
      <c r="J605" s="271"/>
      <c r="K605" s="271"/>
      <c r="L605" s="3">
        <v>37</v>
      </c>
      <c r="M605" s="3">
        <v>11</v>
      </c>
      <c r="N605" s="3">
        <v>7</v>
      </c>
      <c r="O605" s="3">
        <f t="shared" si="8"/>
        <v>605</v>
      </c>
    </row>
    <row r="606" spans="1:15" ht="13.15" customHeight="1">
      <c r="B606" s="271"/>
      <c r="C606" s="271"/>
      <c r="D606" s="271"/>
      <c r="E606" s="271"/>
      <c r="F606" s="271"/>
      <c r="G606" s="271"/>
      <c r="H606" s="271"/>
      <c r="I606" s="271"/>
      <c r="J606" s="271"/>
      <c r="K606" s="271"/>
      <c r="M606" s="3" t="s">
        <v>233</v>
      </c>
      <c r="O606" s="3">
        <f t="shared" si="8"/>
        <v>606</v>
      </c>
    </row>
    <row r="607" spans="1:15" ht="13.15" customHeight="1">
      <c r="B607" s="271"/>
      <c r="C607" s="271"/>
      <c r="D607" s="271"/>
      <c r="E607" s="271"/>
      <c r="F607" s="271"/>
      <c r="G607" s="271"/>
      <c r="H607" s="271"/>
      <c r="I607" s="271"/>
      <c r="J607" s="271"/>
      <c r="K607" s="271"/>
      <c r="M607" s="3" t="s">
        <v>233</v>
      </c>
      <c r="O607" s="3">
        <f t="shared" si="8"/>
        <v>607</v>
      </c>
    </row>
    <row r="608" spans="1:15" ht="13.15" customHeight="1">
      <c r="B608" s="271"/>
      <c r="C608" s="271"/>
      <c r="D608" s="271"/>
      <c r="E608" s="271"/>
      <c r="F608" s="271"/>
      <c r="G608" s="271"/>
      <c r="H608" s="271"/>
      <c r="I608" s="271"/>
      <c r="J608" s="271"/>
      <c r="K608" s="271"/>
      <c r="M608" s="3" t="s">
        <v>233</v>
      </c>
      <c r="O608" s="3">
        <f t="shared" si="8"/>
        <v>608</v>
      </c>
    </row>
    <row r="609" spans="1:15" ht="13.15" customHeight="1">
      <c r="B609" s="271"/>
      <c r="C609" s="271"/>
      <c r="D609" s="271"/>
      <c r="E609" s="271"/>
      <c r="F609" s="271"/>
      <c r="G609" s="271"/>
      <c r="H609" s="271"/>
      <c r="I609" s="271"/>
      <c r="J609" s="271"/>
      <c r="K609" s="271"/>
      <c r="M609" s="3" t="s">
        <v>233</v>
      </c>
      <c r="O609" s="3">
        <f t="shared" si="8"/>
        <v>609</v>
      </c>
    </row>
    <row r="610" spans="1:15" ht="13.15" customHeight="1">
      <c r="B610" s="271"/>
      <c r="C610" s="271"/>
      <c r="D610" s="271"/>
      <c r="E610" s="271"/>
      <c r="F610" s="271"/>
      <c r="G610" s="271"/>
      <c r="H610" s="271"/>
      <c r="I610" s="271"/>
      <c r="J610" s="271"/>
      <c r="K610" s="271"/>
      <c r="M610" s="3" t="s">
        <v>233</v>
      </c>
      <c r="O610" s="3">
        <f t="shared" si="8"/>
        <v>610</v>
      </c>
    </row>
    <row r="611" spans="1:15" ht="13.15" customHeight="1">
      <c r="B611" s="271"/>
      <c r="C611" s="271"/>
      <c r="D611" s="271"/>
      <c r="E611" s="271"/>
      <c r="F611" s="271"/>
      <c r="G611" s="271"/>
      <c r="H611" s="271"/>
      <c r="I611" s="271"/>
      <c r="J611" s="271"/>
      <c r="K611" s="271"/>
      <c r="M611" s="3" t="s">
        <v>233</v>
      </c>
      <c r="O611" s="3">
        <f t="shared" ref="O611:O675" si="9">ROW(M611)</f>
        <v>611</v>
      </c>
    </row>
    <row r="612" spans="1:15" ht="13.15" customHeight="1">
      <c r="B612" s="170"/>
      <c r="C612" s="170"/>
      <c r="D612" s="170"/>
      <c r="E612" s="170"/>
      <c r="F612" s="170"/>
      <c r="G612" s="170"/>
      <c r="H612" s="170"/>
      <c r="I612" s="170"/>
      <c r="J612" s="170"/>
      <c r="K612" s="170"/>
      <c r="M612" s="3" t="s">
        <v>233</v>
      </c>
      <c r="O612" s="3">
        <f t="shared" si="9"/>
        <v>612</v>
      </c>
    </row>
    <row r="613" spans="1:15" ht="13.9" customHeight="1">
      <c r="B613" s="156" t="s">
        <v>379</v>
      </c>
      <c r="C613" s="271" t="s">
        <v>300</v>
      </c>
      <c r="D613" s="271"/>
      <c r="E613" s="271"/>
      <c r="F613" s="271"/>
      <c r="G613" s="271"/>
      <c r="H613" s="271"/>
      <c r="I613" s="271"/>
      <c r="J613" s="271"/>
      <c r="K613" s="271"/>
      <c r="M613" s="3" t="s">
        <v>233</v>
      </c>
      <c r="O613" s="3">
        <f t="shared" si="9"/>
        <v>613</v>
      </c>
    </row>
    <row r="614" spans="1:15" ht="13.9" customHeight="1">
      <c r="B614" s="117"/>
      <c r="C614" s="271"/>
      <c r="D614" s="271"/>
      <c r="E614" s="271"/>
      <c r="F614" s="271"/>
      <c r="G614" s="271"/>
      <c r="H614" s="271"/>
      <c r="I614" s="271"/>
      <c r="J614" s="271"/>
      <c r="K614" s="271"/>
      <c r="M614" s="3" t="s">
        <v>233</v>
      </c>
      <c r="O614" s="3">
        <f t="shared" si="9"/>
        <v>614</v>
      </c>
    </row>
    <row r="615" spans="1:15" ht="12.75">
      <c r="B615" s="117"/>
      <c r="C615" s="271"/>
      <c r="D615" s="271"/>
      <c r="E615" s="271"/>
      <c r="F615" s="271"/>
      <c r="G615" s="271"/>
      <c r="H615" s="271"/>
      <c r="I615" s="271"/>
      <c r="J615" s="271"/>
      <c r="K615" s="271"/>
      <c r="M615" s="3" t="s">
        <v>233</v>
      </c>
      <c r="O615" s="3">
        <f t="shared" si="9"/>
        <v>615</v>
      </c>
    </row>
    <row r="616" spans="1:15" ht="12.75">
      <c r="B616" s="117"/>
      <c r="C616" s="170"/>
      <c r="D616" s="170"/>
      <c r="E616" s="170"/>
      <c r="F616" s="170"/>
      <c r="G616" s="170"/>
      <c r="H616" s="170"/>
      <c r="I616" s="170"/>
      <c r="J616" s="170"/>
      <c r="K616" s="170"/>
      <c r="M616" s="3" t="s">
        <v>233</v>
      </c>
      <c r="O616" s="3">
        <f t="shared" si="9"/>
        <v>616</v>
      </c>
    </row>
    <row r="617" spans="1:15" ht="13.15" customHeight="1">
      <c r="A617" s="152" t="s">
        <v>416</v>
      </c>
      <c r="B617" s="271" t="s">
        <v>301</v>
      </c>
      <c r="C617" s="271"/>
      <c r="D617" s="271"/>
      <c r="E617" s="271"/>
      <c r="F617" s="271"/>
      <c r="G617" s="271"/>
      <c r="H617" s="271"/>
      <c r="I617" s="271"/>
      <c r="J617" s="271"/>
      <c r="K617" s="271"/>
      <c r="L617" s="3">
        <v>38</v>
      </c>
      <c r="M617" s="3">
        <v>14</v>
      </c>
      <c r="N617" s="3">
        <v>10</v>
      </c>
      <c r="O617" s="3">
        <f t="shared" si="9"/>
        <v>617</v>
      </c>
    </row>
    <row r="618" spans="1:15" ht="13.15" customHeight="1">
      <c r="B618" s="271"/>
      <c r="C618" s="271"/>
      <c r="D618" s="271"/>
      <c r="E618" s="271"/>
      <c r="F618" s="271"/>
      <c r="G618" s="271"/>
      <c r="H618" s="271"/>
      <c r="I618" s="271"/>
      <c r="J618" s="271"/>
      <c r="K618" s="271"/>
      <c r="M618" s="3" t="s">
        <v>233</v>
      </c>
      <c r="O618" s="3">
        <f t="shared" si="9"/>
        <v>618</v>
      </c>
    </row>
    <row r="619" spans="1:15" ht="13.15" customHeight="1">
      <c r="B619" s="271"/>
      <c r="C619" s="271"/>
      <c r="D619" s="271"/>
      <c r="E619" s="271"/>
      <c r="F619" s="271"/>
      <c r="G619" s="271"/>
      <c r="H619" s="271"/>
      <c r="I619" s="271"/>
      <c r="J619" s="271"/>
      <c r="K619" s="271"/>
      <c r="M619" s="3" t="s">
        <v>233</v>
      </c>
      <c r="O619" s="3">
        <f t="shared" si="9"/>
        <v>619</v>
      </c>
    </row>
    <row r="620" spans="1:15" ht="13.15" customHeight="1">
      <c r="B620" s="271"/>
      <c r="C620" s="271"/>
      <c r="D620" s="271"/>
      <c r="E620" s="271"/>
      <c r="F620" s="271"/>
      <c r="G620" s="271"/>
      <c r="H620" s="271"/>
      <c r="I620" s="271"/>
      <c r="J620" s="271"/>
      <c r="K620" s="271"/>
      <c r="M620" s="3" t="s">
        <v>233</v>
      </c>
      <c r="O620" s="3">
        <f t="shared" si="9"/>
        <v>620</v>
      </c>
    </row>
    <row r="621" spans="1:15" ht="13.15" customHeight="1">
      <c r="B621" s="271"/>
      <c r="C621" s="271"/>
      <c r="D621" s="271"/>
      <c r="E621" s="271"/>
      <c r="F621" s="271"/>
      <c r="G621" s="271"/>
      <c r="H621" s="271"/>
      <c r="I621" s="271"/>
      <c r="J621" s="271"/>
      <c r="K621" s="271"/>
      <c r="M621" s="3" t="s">
        <v>233</v>
      </c>
      <c r="O621" s="3">
        <f t="shared" si="9"/>
        <v>621</v>
      </c>
    </row>
    <row r="622" spans="1:15" ht="13.15" customHeight="1">
      <c r="B622" s="271"/>
      <c r="C622" s="271"/>
      <c r="D622" s="271"/>
      <c r="E622" s="271"/>
      <c r="F622" s="271"/>
      <c r="G622" s="271"/>
      <c r="H622" s="271"/>
      <c r="I622" s="271"/>
      <c r="J622" s="271"/>
      <c r="K622" s="271"/>
      <c r="M622" s="3" t="s">
        <v>233</v>
      </c>
      <c r="O622" s="3">
        <f t="shared" si="9"/>
        <v>622</v>
      </c>
    </row>
    <row r="623" spans="1:15" ht="13.15" customHeight="1">
      <c r="B623" s="271"/>
      <c r="C623" s="271"/>
      <c r="D623" s="271"/>
      <c r="E623" s="271"/>
      <c r="F623" s="271"/>
      <c r="G623" s="271"/>
      <c r="H623" s="271"/>
      <c r="I623" s="271"/>
      <c r="J623" s="271"/>
      <c r="K623" s="271"/>
      <c r="M623" s="3" t="s">
        <v>233</v>
      </c>
      <c r="O623" s="3">
        <f t="shared" si="9"/>
        <v>623</v>
      </c>
    </row>
    <row r="624" spans="1:15" ht="13.15" customHeight="1">
      <c r="B624" s="271"/>
      <c r="C624" s="271"/>
      <c r="D624" s="271"/>
      <c r="E624" s="271"/>
      <c r="F624" s="271"/>
      <c r="G624" s="271"/>
      <c r="H624" s="271"/>
      <c r="I624" s="271"/>
      <c r="J624" s="271"/>
      <c r="K624" s="271"/>
      <c r="M624" s="3" t="s">
        <v>233</v>
      </c>
      <c r="O624" s="3">
        <f t="shared" si="9"/>
        <v>624</v>
      </c>
    </row>
    <row r="625" spans="1:15" ht="13.15" customHeight="1">
      <c r="B625" s="271"/>
      <c r="C625" s="271"/>
      <c r="D625" s="271"/>
      <c r="E625" s="271"/>
      <c r="F625" s="271"/>
      <c r="G625" s="271"/>
      <c r="H625" s="271"/>
      <c r="I625" s="271"/>
      <c r="J625" s="271"/>
      <c r="K625" s="271"/>
      <c r="M625" s="3" t="s">
        <v>233</v>
      </c>
      <c r="O625" s="3">
        <f t="shared" si="9"/>
        <v>625</v>
      </c>
    </row>
    <row r="626" spans="1:15" ht="13.15" customHeight="1">
      <c r="B626" s="271"/>
      <c r="C626" s="271"/>
      <c r="D626" s="271"/>
      <c r="E626" s="271"/>
      <c r="F626" s="271"/>
      <c r="G626" s="271"/>
      <c r="H626" s="271"/>
      <c r="I626" s="271"/>
      <c r="J626" s="271"/>
      <c r="K626" s="271"/>
      <c r="M626" s="3" t="s">
        <v>233</v>
      </c>
      <c r="O626" s="3">
        <f t="shared" si="9"/>
        <v>626</v>
      </c>
    </row>
    <row r="627" spans="1:15" ht="13.15" customHeight="1">
      <c r="B627" s="176"/>
      <c r="C627" s="176"/>
      <c r="D627" s="176"/>
      <c r="E627" s="176"/>
      <c r="F627" s="176"/>
      <c r="G627" s="176"/>
      <c r="H627" s="176"/>
      <c r="I627" s="176"/>
      <c r="J627" s="176"/>
      <c r="K627" s="176"/>
      <c r="M627" s="3" t="s">
        <v>233</v>
      </c>
      <c r="O627" s="3">
        <f t="shared" si="9"/>
        <v>627</v>
      </c>
    </row>
    <row r="628" spans="1:15" ht="13.15" customHeight="1">
      <c r="B628" s="156" t="s">
        <v>379</v>
      </c>
      <c r="C628" s="276" t="s">
        <v>302</v>
      </c>
      <c r="D628" s="276"/>
      <c r="E628" s="276"/>
      <c r="F628" s="276"/>
      <c r="G628" s="276"/>
      <c r="H628" s="276"/>
      <c r="I628" s="276"/>
      <c r="J628" s="276"/>
      <c r="K628" s="276"/>
      <c r="M628" s="3" t="s">
        <v>233</v>
      </c>
      <c r="O628" s="3">
        <f t="shared" si="9"/>
        <v>628</v>
      </c>
    </row>
    <row r="629" spans="1:15" ht="13.15" customHeight="1">
      <c r="B629" s="156"/>
      <c r="C629" s="276"/>
      <c r="D629" s="276"/>
      <c r="E629" s="276"/>
      <c r="F629" s="276"/>
      <c r="G629" s="276"/>
      <c r="H629" s="276"/>
      <c r="I629" s="276"/>
      <c r="J629" s="276"/>
      <c r="K629" s="276"/>
    </row>
    <row r="630" spans="1:15" ht="13.15" customHeight="1">
      <c r="B630" s="93"/>
      <c r="C630" s="276"/>
      <c r="D630" s="276"/>
      <c r="E630" s="276"/>
      <c r="F630" s="276"/>
      <c r="G630" s="276"/>
      <c r="H630" s="276"/>
      <c r="I630" s="276"/>
      <c r="J630" s="276"/>
      <c r="K630" s="276"/>
      <c r="M630" s="3" t="s">
        <v>233</v>
      </c>
      <c r="O630" s="3">
        <f t="shared" si="9"/>
        <v>630</v>
      </c>
    </row>
    <row r="631" spans="1:15" ht="13.15" customHeight="1">
      <c r="B631" s="93"/>
      <c r="C631" s="173"/>
      <c r="D631" s="173"/>
      <c r="E631" s="173"/>
      <c r="F631" s="173"/>
      <c r="G631" s="173"/>
      <c r="H631" s="173"/>
      <c r="I631" s="173"/>
      <c r="J631" s="173"/>
      <c r="K631" s="173"/>
      <c r="M631" s="3" t="s">
        <v>233</v>
      </c>
      <c r="O631" s="3">
        <f t="shared" si="9"/>
        <v>631</v>
      </c>
    </row>
    <row r="632" spans="1:15" ht="13.15" customHeight="1">
      <c r="A632" s="152" t="s">
        <v>418</v>
      </c>
      <c r="B632" s="271" t="s">
        <v>303</v>
      </c>
      <c r="C632" s="271"/>
      <c r="D632" s="271"/>
      <c r="E632" s="271"/>
      <c r="F632" s="271"/>
      <c r="G632" s="271"/>
      <c r="H632" s="271"/>
      <c r="I632" s="271"/>
      <c r="J632" s="271"/>
      <c r="K632" s="271"/>
      <c r="L632" s="3">
        <v>39</v>
      </c>
      <c r="M632" s="3">
        <v>5</v>
      </c>
      <c r="N632" s="3">
        <v>2</v>
      </c>
      <c r="O632" s="3">
        <f t="shared" si="9"/>
        <v>632</v>
      </c>
    </row>
    <row r="633" spans="1:15" ht="13.15" customHeight="1">
      <c r="B633" s="271"/>
      <c r="C633" s="271"/>
      <c r="D633" s="271"/>
      <c r="E633" s="271"/>
      <c r="F633" s="271"/>
      <c r="G633" s="271"/>
      <c r="H633" s="271"/>
      <c r="I633" s="271"/>
      <c r="J633" s="271"/>
      <c r="K633" s="271"/>
      <c r="M633" s="3" t="s">
        <v>233</v>
      </c>
      <c r="O633" s="3">
        <f t="shared" si="9"/>
        <v>633</v>
      </c>
    </row>
    <row r="634" spans="1:15" ht="13.15" customHeight="1">
      <c r="B634" s="176"/>
      <c r="C634" s="176"/>
      <c r="D634" s="176"/>
      <c r="E634" s="176"/>
      <c r="F634" s="176"/>
      <c r="G634" s="176"/>
      <c r="H634" s="176"/>
      <c r="I634" s="176"/>
      <c r="J634" s="176"/>
      <c r="K634" s="176"/>
      <c r="M634" s="3" t="s">
        <v>233</v>
      </c>
      <c r="O634" s="3">
        <f t="shared" si="9"/>
        <v>634</v>
      </c>
    </row>
    <row r="635" spans="1:15" ht="13.15" customHeight="1">
      <c r="B635" s="156" t="s">
        <v>379</v>
      </c>
      <c r="C635" s="282" t="s">
        <v>304</v>
      </c>
      <c r="D635" s="282"/>
      <c r="E635" s="282"/>
      <c r="F635" s="282"/>
      <c r="G635" s="282"/>
      <c r="H635" s="282"/>
      <c r="I635" s="282"/>
      <c r="J635" s="282"/>
      <c r="K635" s="282"/>
      <c r="M635" s="3" t="s">
        <v>233</v>
      </c>
      <c r="O635" s="3">
        <f t="shared" si="9"/>
        <v>635</v>
      </c>
    </row>
    <row r="636" spans="1:15" ht="13.15" customHeight="1">
      <c r="B636" s="176"/>
      <c r="C636" s="282"/>
      <c r="D636" s="282"/>
      <c r="E636" s="282"/>
      <c r="F636" s="282"/>
      <c r="G636" s="282"/>
      <c r="H636" s="282"/>
      <c r="I636" s="282"/>
      <c r="J636" s="282"/>
      <c r="K636" s="282"/>
      <c r="M636" s="3" t="s">
        <v>233</v>
      </c>
      <c r="O636" s="3">
        <f t="shared" si="9"/>
        <v>636</v>
      </c>
    </row>
    <row r="637" spans="1:15" ht="13.15" customHeight="1">
      <c r="B637" s="176"/>
      <c r="C637" s="176"/>
      <c r="D637" s="176"/>
      <c r="E637" s="176"/>
      <c r="F637" s="176"/>
      <c r="G637" s="176"/>
      <c r="H637" s="176"/>
      <c r="I637" s="176"/>
      <c r="J637" s="176"/>
      <c r="K637" s="176"/>
      <c r="M637" s="3" t="s">
        <v>233</v>
      </c>
      <c r="O637" s="3">
        <f t="shared" si="9"/>
        <v>637</v>
      </c>
    </row>
    <row r="638" spans="1:15" ht="13.15" customHeight="1">
      <c r="A638" s="152" t="s">
        <v>417</v>
      </c>
      <c r="B638" s="282" t="s">
        <v>305</v>
      </c>
      <c r="C638" s="282"/>
      <c r="D638" s="282"/>
      <c r="E638" s="282"/>
      <c r="F638" s="282"/>
      <c r="G638" s="282"/>
      <c r="H638" s="282"/>
      <c r="I638" s="282"/>
      <c r="J638" s="282"/>
      <c r="K638" s="282"/>
      <c r="L638" s="3">
        <v>40</v>
      </c>
      <c r="M638" s="3">
        <v>5</v>
      </c>
      <c r="N638" s="3">
        <v>3</v>
      </c>
      <c r="O638" s="3">
        <f t="shared" si="9"/>
        <v>638</v>
      </c>
    </row>
    <row r="639" spans="1:15" ht="13.15" customHeight="1">
      <c r="B639" s="282"/>
      <c r="C639" s="282"/>
      <c r="D639" s="282"/>
      <c r="E639" s="282"/>
      <c r="F639" s="282"/>
      <c r="G639" s="282"/>
      <c r="H639" s="282"/>
      <c r="I639" s="282"/>
      <c r="J639" s="282"/>
      <c r="K639" s="282"/>
      <c r="M639" s="3" t="s">
        <v>233</v>
      </c>
      <c r="O639" s="3">
        <f t="shared" si="9"/>
        <v>639</v>
      </c>
    </row>
    <row r="640" spans="1:15" ht="13.15" customHeight="1">
      <c r="B640" s="282"/>
      <c r="C640" s="282"/>
      <c r="D640" s="282"/>
      <c r="E640" s="282"/>
      <c r="F640" s="282"/>
      <c r="G640" s="282"/>
      <c r="H640" s="282"/>
      <c r="I640" s="282"/>
      <c r="J640" s="282"/>
      <c r="K640" s="282"/>
      <c r="M640" s="3" t="s">
        <v>233</v>
      </c>
      <c r="O640" s="3">
        <f t="shared" si="9"/>
        <v>640</v>
      </c>
    </row>
    <row r="641" spans="1:15" ht="13.15" customHeight="1">
      <c r="B641" s="176"/>
      <c r="C641" s="176"/>
      <c r="D641" s="176"/>
      <c r="E641" s="176"/>
      <c r="F641" s="176"/>
      <c r="G641" s="176"/>
      <c r="H641" s="176"/>
      <c r="I641" s="176"/>
      <c r="J641" s="176"/>
      <c r="K641" s="176"/>
      <c r="M641" s="3" t="s">
        <v>233</v>
      </c>
      <c r="O641" s="3">
        <f t="shared" si="9"/>
        <v>641</v>
      </c>
    </row>
    <row r="642" spans="1:15" ht="13.15" customHeight="1">
      <c r="B642" s="156" t="s">
        <v>379</v>
      </c>
      <c r="C642" s="271" t="s">
        <v>306</v>
      </c>
      <c r="D642" s="271"/>
      <c r="E642" s="271"/>
      <c r="F642" s="271"/>
      <c r="G642" s="271"/>
      <c r="H642" s="271"/>
      <c r="I642" s="271"/>
      <c r="J642" s="271"/>
      <c r="K642" s="271"/>
      <c r="M642" s="3" t="s">
        <v>233</v>
      </c>
      <c r="O642" s="3">
        <f t="shared" si="9"/>
        <v>642</v>
      </c>
    </row>
    <row r="643" spans="1:15" ht="13.15" customHeight="1">
      <c r="M643" s="3" t="s">
        <v>233</v>
      </c>
      <c r="O643" s="3">
        <f t="shared" si="9"/>
        <v>643</v>
      </c>
    </row>
    <row r="644" spans="1:15" ht="13.15" customHeight="1">
      <c r="A644" s="152" t="s">
        <v>419</v>
      </c>
      <c r="B644" s="271" t="s">
        <v>307</v>
      </c>
      <c r="C644" s="271"/>
      <c r="D644" s="271"/>
      <c r="E644" s="271"/>
      <c r="F644" s="271"/>
      <c r="G644" s="271"/>
      <c r="H644" s="271"/>
      <c r="I644" s="271"/>
      <c r="J644" s="271"/>
      <c r="K644" s="271"/>
      <c r="L644" s="3">
        <v>41</v>
      </c>
      <c r="M644" s="3">
        <v>9</v>
      </c>
      <c r="N644" s="3">
        <v>2</v>
      </c>
      <c r="O644" s="3">
        <f t="shared" si="9"/>
        <v>644</v>
      </c>
    </row>
    <row r="645" spans="1:15" ht="13.15" customHeight="1">
      <c r="B645" s="271"/>
      <c r="C645" s="271"/>
      <c r="D645" s="271"/>
      <c r="E645" s="271"/>
      <c r="F645" s="271"/>
      <c r="G645" s="271"/>
      <c r="H645" s="271"/>
      <c r="I645" s="271"/>
      <c r="J645" s="271"/>
      <c r="K645" s="271"/>
      <c r="M645" s="3" t="s">
        <v>233</v>
      </c>
      <c r="O645" s="3">
        <f t="shared" si="9"/>
        <v>645</v>
      </c>
    </row>
    <row r="646" spans="1:15" ht="13.15" customHeight="1">
      <c r="B646" s="170"/>
      <c r="C646" s="170"/>
      <c r="D646" s="170"/>
      <c r="E646" s="170"/>
      <c r="F646" s="170"/>
      <c r="G646" s="170"/>
      <c r="H646" s="170"/>
      <c r="I646" s="170"/>
      <c r="J646" s="170"/>
      <c r="K646" s="170"/>
      <c r="M646" s="3" t="s">
        <v>233</v>
      </c>
      <c r="O646" s="3">
        <f t="shared" si="9"/>
        <v>646</v>
      </c>
    </row>
    <row r="647" spans="1:15" ht="13.15" customHeight="1">
      <c r="B647" s="156" t="s">
        <v>379</v>
      </c>
      <c r="C647" s="271" t="s">
        <v>308</v>
      </c>
      <c r="D647" s="271"/>
      <c r="E647" s="271"/>
      <c r="F647" s="271"/>
      <c r="G647" s="271"/>
      <c r="H647" s="271"/>
      <c r="I647" s="271"/>
      <c r="J647" s="271"/>
      <c r="K647" s="271"/>
      <c r="M647" s="3" t="s">
        <v>233</v>
      </c>
      <c r="O647" s="3">
        <f t="shared" si="9"/>
        <v>647</v>
      </c>
    </row>
    <row r="648" spans="1:15" ht="13.15" customHeight="1">
      <c r="B648" s="60"/>
      <c r="C648" s="271"/>
      <c r="D648" s="271"/>
      <c r="E648" s="271"/>
      <c r="F648" s="271"/>
      <c r="G648" s="271"/>
      <c r="H648" s="271"/>
      <c r="I648" s="271"/>
      <c r="J648" s="271"/>
      <c r="K648" s="271"/>
      <c r="M648" s="3" t="s">
        <v>233</v>
      </c>
      <c r="O648" s="3">
        <f t="shared" si="9"/>
        <v>648</v>
      </c>
    </row>
    <row r="649" spans="1:15" ht="13.15" customHeight="1">
      <c r="B649" s="60"/>
      <c r="C649" s="271"/>
      <c r="D649" s="271"/>
      <c r="E649" s="271"/>
      <c r="F649" s="271"/>
      <c r="G649" s="271"/>
      <c r="H649" s="271"/>
      <c r="I649" s="271"/>
      <c r="J649" s="271"/>
      <c r="K649" s="271"/>
      <c r="M649" s="3" t="s">
        <v>233</v>
      </c>
      <c r="O649" s="3">
        <f t="shared" si="9"/>
        <v>649</v>
      </c>
    </row>
    <row r="650" spans="1:15" ht="13.15" customHeight="1">
      <c r="B650" s="60"/>
      <c r="C650" s="271"/>
      <c r="D650" s="271"/>
      <c r="E650" s="271"/>
      <c r="F650" s="271"/>
      <c r="G650" s="271"/>
      <c r="H650" s="271"/>
      <c r="I650" s="271"/>
      <c r="J650" s="271"/>
      <c r="K650" s="271"/>
      <c r="M650" s="3" t="s">
        <v>233</v>
      </c>
      <c r="O650" s="3">
        <f t="shared" si="9"/>
        <v>650</v>
      </c>
    </row>
    <row r="651" spans="1:15" ht="13.15" customHeight="1">
      <c r="B651" s="60"/>
      <c r="C651" s="271"/>
      <c r="D651" s="271"/>
      <c r="E651" s="271"/>
      <c r="F651" s="271"/>
      <c r="G651" s="271"/>
      <c r="H651" s="271"/>
      <c r="I651" s="271"/>
      <c r="J651" s="271"/>
      <c r="K651" s="271"/>
      <c r="M651" s="3" t="s">
        <v>233</v>
      </c>
      <c r="O651" s="3">
        <f t="shared" si="9"/>
        <v>651</v>
      </c>
    </row>
    <row r="652" spans="1:15" ht="13.15" customHeight="1">
      <c r="B652" s="60"/>
      <c r="C652" s="271"/>
      <c r="D652" s="271"/>
      <c r="E652" s="271"/>
      <c r="F652" s="271"/>
      <c r="G652" s="271"/>
      <c r="H652" s="271"/>
      <c r="I652" s="271"/>
      <c r="J652" s="271"/>
      <c r="K652" s="271"/>
      <c r="M652" s="3" t="s">
        <v>233</v>
      </c>
      <c r="O652" s="3">
        <f t="shared" si="9"/>
        <v>652</v>
      </c>
    </row>
    <row r="653" spans="1:15" ht="13.15" customHeight="1">
      <c r="B653" s="63"/>
      <c r="C653" s="118"/>
      <c r="D653" s="118"/>
      <c r="E653" s="118"/>
      <c r="F653" s="118"/>
      <c r="G653" s="118"/>
      <c r="H653" s="118"/>
      <c r="I653" s="118"/>
      <c r="J653" s="118"/>
      <c r="K653" s="118"/>
      <c r="M653" s="3" t="s">
        <v>233</v>
      </c>
      <c r="O653" s="3">
        <f t="shared" si="9"/>
        <v>653</v>
      </c>
    </row>
    <row r="654" spans="1:15" ht="13.15" customHeight="1">
      <c r="A654" s="152" t="s">
        <v>420</v>
      </c>
      <c r="B654" s="271" t="s">
        <v>309</v>
      </c>
      <c r="C654" s="271"/>
      <c r="D654" s="271"/>
      <c r="E654" s="271"/>
      <c r="F654" s="271"/>
      <c r="G654" s="271"/>
      <c r="H654" s="271"/>
      <c r="I654" s="271"/>
      <c r="J654" s="271"/>
      <c r="K654" s="271"/>
      <c r="L654" s="3">
        <v>42</v>
      </c>
      <c r="M654" s="3">
        <v>15</v>
      </c>
      <c r="N654" s="3">
        <v>8</v>
      </c>
      <c r="O654" s="3">
        <f t="shared" si="9"/>
        <v>654</v>
      </c>
    </row>
    <row r="655" spans="1:15" ht="13.15" customHeight="1">
      <c r="B655" s="271"/>
      <c r="C655" s="271"/>
      <c r="D655" s="271"/>
      <c r="E655" s="271"/>
      <c r="F655" s="271"/>
      <c r="G655" s="271"/>
      <c r="H655" s="271"/>
      <c r="I655" s="271"/>
      <c r="J655" s="271"/>
      <c r="K655" s="271"/>
      <c r="M655" s="3" t="s">
        <v>233</v>
      </c>
      <c r="O655" s="3">
        <f t="shared" si="9"/>
        <v>655</v>
      </c>
    </row>
    <row r="656" spans="1:15" ht="13.15" customHeight="1">
      <c r="B656" s="271"/>
      <c r="C656" s="271"/>
      <c r="D656" s="271"/>
      <c r="E656" s="271"/>
      <c r="F656" s="271"/>
      <c r="G656" s="271"/>
      <c r="H656" s="271"/>
      <c r="I656" s="271"/>
      <c r="J656" s="271"/>
      <c r="K656" s="271"/>
      <c r="M656" s="3" t="s">
        <v>233</v>
      </c>
      <c r="O656" s="3">
        <f t="shared" si="9"/>
        <v>656</v>
      </c>
    </row>
    <row r="657" spans="1:15" ht="13.15" customHeight="1">
      <c r="B657" s="271"/>
      <c r="C657" s="271"/>
      <c r="D657" s="271"/>
      <c r="E657" s="271"/>
      <c r="F657" s="271"/>
      <c r="G657" s="271"/>
      <c r="H657" s="271"/>
      <c r="I657" s="271"/>
      <c r="J657" s="271"/>
      <c r="K657" s="271"/>
      <c r="M657" s="3" t="s">
        <v>233</v>
      </c>
      <c r="O657" s="3">
        <f t="shared" si="9"/>
        <v>657</v>
      </c>
    </row>
    <row r="658" spans="1:15" ht="13.15" customHeight="1">
      <c r="B658" s="271"/>
      <c r="C658" s="271"/>
      <c r="D658" s="271"/>
      <c r="E658" s="271"/>
      <c r="F658" s="271"/>
      <c r="G658" s="271"/>
      <c r="H658" s="271"/>
      <c r="I658" s="271"/>
      <c r="J658" s="271"/>
      <c r="K658" s="271"/>
      <c r="M658" s="3" t="s">
        <v>233</v>
      </c>
      <c r="O658" s="3">
        <f t="shared" si="9"/>
        <v>658</v>
      </c>
    </row>
    <row r="659" spans="1:15" ht="13.15" customHeight="1">
      <c r="B659" s="271"/>
      <c r="C659" s="271"/>
      <c r="D659" s="271"/>
      <c r="E659" s="271"/>
      <c r="F659" s="271"/>
      <c r="G659" s="271"/>
      <c r="H659" s="271"/>
      <c r="I659" s="271"/>
      <c r="J659" s="271"/>
      <c r="K659" s="271"/>
      <c r="M659" s="3" t="s">
        <v>233</v>
      </c>
      <c r="O659" s="3">
        <f t="shared" si="9"/>
        <v>659</v>
      </c>
    </row>
    <row r="660" spans="1:15" ht="13.15" customHeight="1">
      <c r="B660" s="271"/>
      <c r="C660" s="271"/>
      <c r="D660" s="271"/>
      <c r="E660" s="271"/>
      <c r="F660" s="271"/>
      <c r="G660" s="271"/>
      <c r="H660" s="271"/>
      <c r="I660" s="271"/>
      <c r="J660" s="271"/>
      <c r="K660" s="271"/>
      <c r="M660" s="3" t="s">
        <v>233</v>
      </c>
      <c r="O660" s="3">
        <f t="shared" si="9"/>
        <v>660</v>
      </c>
    </row>
    <row r="661" spans="1:15" ht="13.15" customHeight="1">
      <c r="B661" s="271"/>
      <c r="C661" s="271"/>
      <c r="D661" s="271"/>
      <c r="E661" s="271"/>
      <c r="F661" s="271"/>
      <c r="G661" s="271"/>
      <c r="H661" s="271"/>
      <c r="I661" s="271"/>
      <c r="J661" s="271"/>
      <c r="K661" s="271"/>
      <c r="M661" s="3" t="s">
        <v>233</v>
      </c>
      <c r="O661" s="3">
        <f t="shared" si="9"/>
        <v>661</v>
      </c>
    </row>
    <row r="662" spans="1:15" ht="13.15" customHeight="1">
      <c r="B662" s="105"/>
      <c r="C662" s="105"/>
      <c r="D662" s="105"/>
      <c r="E662" s="105"/>
      <c r="F662" s="105"/>
      <c r="G662" s="105"/>
      <c r="H662" s="105"/>
      <c r="I662" s="105"/>
      <c r="J662" s="105"/>
      <c r="K662" s="105"/>
      <c r="M662" s="3" t="s">
        <v>233</v>
      </c>
      <c r="O662" s="3">
        <f t="shared" si="9"/>
        <v>662</v>
      </c>
    </row>
    <row r="663" spans="1:15" ht="13.15" customHeight="1">
      <c r="B663" s="156" t="s">
        <v>379</v>
      </c>
      <c r="C663" s="271" t="s">
        <v>214</v>
      </c>
      <c r="D663" s="271"/>
      <c r="E663" s="271"/>
      <c r="F663" s="271"/>
      <c r="G663" s="271"/>
      <c r="H663" s="271"/>
      <c r="I663" s="271"/>
      <c r="J663" s="271"/>
      <c r="K663" s="271"/>
      <c r="M663" s="3" t="s">
        <v>233</v>
      </c>
      <c r="O663" s="3">
        <f t="shared" si="9"/>
        <v>663</v>
      </c>
    </row>
    <row r="664" spans="1:15" ht="13.15" customHeight="1">
      <c r="C664" s="271"/>
      <c r="D664" s="271"/>
      <c r="E664" s="271"/>
      <c r="F664" s="271"/>
      <c r="G664" s="271"/>
      <c r="H664" s="271"/>
      <c r="I664" s="271"/>
      <c r="J664" s="271"/>
      <c r="K664" s="271"/>
      <c r="M664" s="3" t="s">
        <v>233</v>
      </c>
      <c r="O664" s="3">
        <f t="shared" si="9"/>
        <v>664</v>
      </c>
    </row>
    <row r="665" spans="1:15" ht="13.15" customHeight="1">
      <c r="B665" s="177"/>
      <c r="C665" s="271"/>
      <c r="D665" s="271"/>
      <c r="E665" s="271"/>
      <c r="F665" s="271"/>
      <c r="G665" s="271"/>
      <c r="H665" s="271"/>
      <c r="I665" s="271"/>
      <c r="J665" s="271"/>
      <c r="K665" s="271"/>
      <c r="M665" s="3" t="s">
        <v>233</v>
      </c>
      <c r="O665" s="3">
        <f t="shared" si="9"/>
        <v>665</v>
      </c>
    </row>
    <row r="666" spans="1:15" ht="13.15" customHeight="1">
      <c r="B666" s="177"/>
      <c r="C666" s="170"/>
      <c r="D666" s="170"/>
      <c r="E666" s="170"/>
      <c r="F666" s="170"/>
      <c r="G666" s="170"/>
      <c r="H666" s="170"/>
      <c r="I666" s="170"/>
      <c r="J666" s="170"/>
      <c r="K666" s="170"/>
      <c r="M666" s="3" t="s">
        <v>233</v>
      </c>
      <c r="O666" s="3">
        <f t="shared" si="9"/>
        <v>666</v>
      </c>
    </row>
    <row r="667" spans="1:15" ht="13.15" customHeight="1">
      <c r="B667" s="156" t="s">
        <v>379</v>
      </c>
      <c r="C667" s="271" t="s">
        <v>310</v>
      </c>
      <c r="D667" s="271"/>
      <c r="E667" s="271"/>
      <c r="F667" s="271"/>
      <c r="G667" s="271"/>
      <c r="H667" s="271"/>
      <c r="I667" s="271"/>
      <c r="J667" s="271"/>
      <c r="K667" s="271"/>
      <c r="M667" s="3" t="s">
        <v>233</v>
      </c>
      <c r="O667" s="3">
        <f t="shared" si="9"/>
        <v>667</v>
      </c>
    </row>
    <row r="668" spans="1:15" ht="13.15" customHeight="1">
      <c r="B668" s="63"/>
      <c r="C668" s="271"/>
      <c r="D668" s="271"/>
      <c r="E668" s="271"/>
      <c r="F668" s="271"/>
      <c r="G668" s="271"/>
      <c r="H668" s="271"/>
      <c r="I668" s="271"/>
      <c r="J668" s="271"/>
      <c r="K668" s="271"/>
      <c r="M668" s="3" t="s">
        <v>233</v>
      </c>
      <c r="O668" s="3">
        <f t="shared" si="9"/>
        <v>668</v>
      </c>
    </row>
    <row r="669" spans="1:15" ht="13.15" customHeight="1">
      <c r="B669" s="63"/>
      <c r="C669" s="127"/>
      <c r="D669" s="127"/>
      <c r="E669" s="127"/>
      <c r="F669" s="127"/>
      <c r="G669" s="127"/>
      <c r="H669" s="127"/>
      <c r="I669" s="127"/>
      <c r="J669" s="127"/>
      <c r="K669" s="127"/>
      <c r="M669" s="3" t="s">
        <v>233</v>
      </c>
      <c r="O669" s="3">
        <f t="shared" si="9"/>
        <v>669</v>
      </c>
    </row>
    <row r="670" spans="1:15" ht="13.15" customHeight="1">
      <c r="A670" s="152" t="s">
        <v>421</v>
      </c>
      <c r="B670" s="271" t="s">
        <v>311</v>
      </c>
      <c r="C670" s="271"/>
      <c r="D670" s="271"/>
      <c r="E670" s="271"/>
      <c r="F670" s="271"/>
      <c r="G670" s="271"/>
      <c r="H670" s="271"/>
      <c r="I670" s="271"/>
      <c r="J670" s="271"/>
      <c r="K670" s="271"/>
      <c r="L670" s="3">
        <v>43</v>
      </c>
      <c r="M670" s="3">
        <v>6</v>
      </c>
      <c r="N670" s="3">
        <v>3</v>
      </c>
      <c r="O670" s="3">
        <f t="shared" si="9"/>
        <v>670</v>
      </c>
    </row>
    <row r="671" spans="1:15" ht="13.15" customHeight="1">
      <c r="B671" s="271"/>
      <c r="C671" s="271"/>
      <c r="D671" s="271"/>
      <c r="E671" s="271"/>
      <c r="F671" s="271"/>
      <c r="G671" s="271"/>
      <c r="H671" s="271"/>
      <c r="I671" s="271"/>
      <c r="J671" s="271"/>
      <c r="K671" s="271"/>
      <c r="M671" s="3" t="s">
        <v>233</v>
      </c>
      <c r="O671" s="3">
        <f t="shared" si="9"/>
        <v>671</v>
      </c>
    </row>
    <row r="672" spans="1:15" ht="13.15" customHeight="1">
      <c r="B672" s="271"/>
      <c r="C672" s="271"/>
      <c r="D672" s="271"/>
      <c r="E672" s="271"/>
      <c r="F672" s="271"/>
      <c r="G672" s="271"/>
      <c r="H672" s="271"/>
      <c r="I672" s="271"/>
      <c r="J672" s="271"/>
      <c r="K672" s="271"/>
      <c r="M672" s="3" t="s">
        <v>233</v>
      </c>
      <c r="O672" s="3">
        <f t="shared" si="9"/>
        <v>672</v>
      </c>
    </row>
    <row r="673" spans="1:15" ht="13.15" customHeight="1">
      <c r="B673" s="170"/>
      <c r="C673" s="170"/>
      <c r="D673" s="170"/>
      <c r="E673" s="170"/>
      <c r="F673" s="170"/>
      <c r="G673" s="170"/>
      <c r="H673" s="170"/>
      <c r="I673" s="170"/>
      <c r="J673" s="170"/>
      <c r="K673" s="170"/>
      <c r="M673" s="3" t="s">
        <v>233</v>
      </c>
      <c r="O673" s="3">
        <f t="shared" si="9"/>
        <v>673</v>
      </c>
    </row>
    <row r="674" spans="1:15" ht="13.15" customHeight="1">
      <c r="B674" s="156" t="s">
        <v>379</v>
      </c>
      <c r="C674" s="282" t="s">
        <v>215</v>
      </c>
      <c r="D674" s="282"/>
      <c r="E674" s="282"/>
      <c r="F674" s="282"/>
      <c r="G674" s="282"/>
      <c r="H674" s="282"/>
      <c r="I674" s="282"/>
      <c r="J674" s="282"/>
      <c r="K674" s="282"/>
      <c r="M674" s="3" t="s">
        <v>233</v>
      </c>
      <c r="O674" s="3">
        <f t="shared" si="9"/>
        <v>674</v>
      </c>
    </row>
    <row r="675" spans="1:15" ht="13.15" customHeight="1">
      <c r="B675" s="60"/>
      <c r="C675" s="282"/>
      <c r="D675" s="282"/>
      <c r="E675" s="282"/>
      <c r="F675" s="282"/>
      <c r="G675" s="282"/>
      <c r="H675" s="282"/>
      <c r="I675" s="282"/>
      <c r="J675" s="282"/>
      <c r="K675" s="282"/>
      <c r="M675" s="3" t="s">
        <v>233</v>
      </c>
      <c r="O675" s="3">
        <f t="shared" si="9"/>
        <v>675</v>
      </c>
    </row>
    <row r="676" spans="1:15" ht="13.15" customHeight="1">
      <c r="B676" s="60"/>
      <c r="C676" s="176"/>
      <c r="D676" s="176"/>
      <c r="E676" s="176"/>
      <c r="F676" s="176"/>
      <c r="G676" s="176"/>
      <c r="H676" s="176"/>
      <c r="I676" s="176"/>
      <c r="J676" s="176"/>
      <c r="K676" s="176"/>
      <c r="O676" s="3">
        <f t="shared" ref="O676:O763" si="10">ROW(M676)</f>
        <v>676</v>
      </c>
    </row>
    <row r="677" spans="1:15" ht="13.15" customHeight="1">
      <c r="A677" s="152" t="s">
        <v>422</v>
      </c>
      <c r="B677" s="283" t="s">
        <v>456</v>
      </c>
      <c r="C677" s="283"/>
      <c r="D677" s="283"/>
      <c r="E677" s="283"/>
      <c r="F677" s="283"/>
      <c r="G677" s="283"/>
      <c r="H677" s="283"/>
      <c r="I677" s="283"/>
      <c r="J677" s="283"/>
      <c r="K677" s="283"/>
      <c r="L677" s="3">
        <v>44</v>
      </c>
      <c r="M677" s="3">
        <v>24</v>
      </c>
      <c r="N677" s="3">
        <v>16</v>
      </c>
      <c r="O677" s="3">
        <f t="shared" si="10"/>
        <v>677</v>
      </c>
    </row>
    <row r="678" spans="1:15" ht="13.15" customHeight="1">
      <c r="B678" s="283"/>
      <c r="C678" s="283"/>
      <c r="D678" s="283"/>
      <c r="E678" s="283"/>
      <c r="F678" s="283"/>
      <c r="G678" s="283"/>
      <c r="H678" s="283"/>
      <c r="I678" s="283"/>
      <c r="J678" s="283"/>
      <c r="K678" s="283"/>
      <c r="O678" s="3">
        <f t="shared" si="10"/>
        <v>678</v>
      </c>
    </row>
    <row r="679" spans="1:15" ht="13.15" customHeight="1">
      <c r="B679" s="283"/>
      <c r="C679" s="283"/>
      <c r="D679" s="283"/>
      <c r="E679" s="283"/>
      <c r="F679" s="283"/>
      <c r="G679" s="283"/>
      <c r="H679" s="283"/>
      <c r="I679" s="283"/>
      <c r="J679" s="283"/>
      <c r="K679" s="283"/>
      <c r="O679" s="3">
        <f t="shared" si="10"/>
        <v>679</v>
      </c>
    </row>
    <row r="680" spans="1:15" ht="13.15" customHeight="1">
      <c r="B680" s="283"/>
      <c r="C680" s="283"/>
      <c r="D680" s="283"/>
      <c r="E680" s="283"/>
      <c r="F680" s="283"/>
      <c r="G680" s="283"/>
      <c r="H680" s="283"/>
      <c r="I680" s="283"/>
      <c r="J680" s="283"/>
      <c r="K680" s="283"/>
      <c r="O680" s="3">
        <f t="shared" si="10"/>
        <v>680</v>
      </c>
    </row>
    <row r="681" spans="1:15" ht="13.15" customHeight="1">
      <c r="B681" s="283"/>
      <c r="C681" s="283"/>
      <c r="D681" s="283"/>
      <c r="E681" s="283"/>
      <c r="F681" s="283"/>
      <c r="G681" s="283"/>
      <c r="H681" s="283"/>
      <c r="I681" s="283"/>
      <c r="J681" s="283"/>
      <c r="K681" s="283"/>
      <c r="O681" s="3">
        <f t="shared" si="10"/>
        <v>681</v>
      </c>
    </row>
    <row r="682" spans="1:15" ht="13.15" customHeight="1">
      <c r="B682" s="283"/>
      <c r="C682" s="283"/>
      <c r="D682" s="283"/>
      <c r="E682" s="283"/>
      <c r="F682" s="283"/>
      <c r="G682" s="283"/>
      <c r="H682" s="283"/>
      <c r="I682" s="283"/>
      <c r="J682" s="283"/>
      <c r="K682" s="283"/>
      <c r="O682" s="3">
        <f t="shared" si="10"/>
        <v>682</v>
      </c>
    </row>
    <row r="683" spans="1:15" ht="13.15" customHeight="1">
      <c r="B683" s="283"/>
      <c r="C683" s="283"/>
      <c r="D683" s="283"/>
      <c r="E683" s="283"/>
      <c r="F683" s="283"/>
      <c r="G683" s="283"/>
      <c r="H683" s="283"/>
      <c r="I683" s="283"/>
      <c r="J683" s="283"/>
      <c r="K683" s="283"/>
      <c r="O683" s="3">
        <f t="shared" si="10"/>
        <v>683</v>
      </c>
    </row>
    <row r="684" spans="1:15" ht="13.15" customHeight="1">
      <c r="B684" s="283"/>
      <c r="C684" s="283"/>
      <c r="D684" s="283"/>
      <c r="E684" s="283"/>
      <c r="F684" s="283"/>
      <c r="G684" s="283"/>
      <c r="H684" s="283"/>
      <c r="I684" s="283"/>
      <c r="J684" s="283"/>
      <c r="K684" s="283"/>
      <c r="O684" s="3">
        <f t="shared" si="10"/>
        <v>684</v>
      </c>
    </row>
    <row r="685" spans="1:15" ht="13.15" customHeight="1">
      <c r="B685" s="283"/>
      <c r="C685" s="283"/>
      <c r="D685" s="283"/>
      <c r="E685" s="283"/>
      <c r="F685" s="283"/>
      <c r="G685" s="283"/>
      <c r="H685" s="283"/>
      <c r="I685" s="283"/>
      <c r="J685" s="283"/>
      <c r="K685" s="283"/>
      <c r="O685" s="3">
        <f t="shared" si="10"/>
        <v>685</v>
      </c>
    </row>
    <row r="686" spans="1:15" ht="13.15" customHeight="1">
      <c r="B686" s="283"/>
      <c r="C686" s="283"/>
      <c r="D686" s="283"/>
      <c r="E686" s="283"/>
      <c r="F686" s="283"/>
      <c r="G686" s="283"/>
      <c r="H686" s="283"/>
      <c r="I686" s="283"/>
      <c r="J686" s="283"/>
      <c r="K686" s="283"/>
      <c r="O686" s="3">
        <f t="shared" si="10"/>
        <v>686</v>
      </c>
    </row>
    <row r="687" spans="1:15" ht="13.15" customHeight="1">
      <c r="B687" s="283"/>
      <c r="C687" s="283"/>
      <c r="D687" s="283"/>
      <c r="E687" s="283"/>
      <c r="F687" s="283"/>
      <c r="G687" s="283"/>
      <c r="H687" s="283"/>
      <c r="I687" s="283"/>
      <c r="J687" s="283"/>
      <c r="K687" s="283"/>
      <c r="O687" s="3">
        <f t="shared" si="10"/>
        <v>687</v>
      </c>
    </row>
    <row r="688" spans="1:15" ht="13.15" customHeight="1">
      <c r="B688" s="283"/>
      <c r="C688" s="283"/>
      <c r="D688" s="283"/>
      <c r="E688" s="283"/>
      <c r="F688" s="283"/>
      <c r="G688" s="283"/>
      <c r="H688" s="283"/>
      <c r="I688" s="283"/>
      <c r="J688" s="283"/>
      <c r="K688" s="283"/>
      <c r="O688" s="3">
        <f t="shared" si="10"/>
        <v>688</v>
      </c>
    </row>
    <row r="689" spans="1:15" ht="13.15" customHeight="1">
      <c r="B689" s="283"/>
      <c r="C689" s="283"/>
      <c r="D689" s="283"/>
      <c r="E689" s="283"/>
      <c r="F689" s="283"/>
      <c r="G689" s="283"/>
      <c r="H689" s="283"/>
      <c r="I689" s="283"/>
      <c r="J689" s="283"/>
      <c r="K689" s="283"/>
      <c r="O689" s="3">
        <f t="shared" si="10"/>
        <v>689</v>
      </c>
    </row>
    <row r="690" spans="1:15" ht="13.15" customHeight="1">
      <c r="B690" s="283"/>
      <c r="C690" s="283"/>
      <c r="D690" s="283"/>
      <c r="E690" s="283"/>
      <c r="F690" s="283"/>
      <c r="G690" s="283"/>
      <c r="H690" s="283"/>
      <c r="I690" s="283"/>
      <c r="J690" s="283"/>
      <c r="K690" s="283"/>
      <c r="O690" s="3">
        <f t="shared" si="10"/>
        <v>690</v>
      </c>
    </row>
    <row r="691" spans="1:15" ht="13.15" customHeight="1">
      <c r="B691" s="283"/>
      <c r="C691" s="283"/>
      <c r="D691" s="283"/>
      <c r="E691" s="283"/>
      <c r="F691" s="283"/>
      <c r="G691" s="283"/>
      <c r="H691" s="283"/>
      <c r="I691" s="283"/>
      <c r="J691" s="283"/>
      <c r="K691" s="283"/>
      <c r="O691" s="3">
        <f t="shared" si="10"/>
        <v>691</v>
      </c>
    </row>
    <row r="692" spans="1:15" ht="13.15" customHeight="1">
      <c r="B692" s="283"/>
      <c r="C692" s="283"/>
      <c r="D692" s="283"/>
      <c r="E692" s="283"/>
      <c r="F692" s="283"/>
      <c r="G692" s="283"/>
      <c r="H692" s="283"/>
      <c r="I692" s="283"/>
      <c r="J692" s="283"/>
      <c r="K692" s="283"/>
      <c r="O692" s="3">
        <f t="shared" si="10"/>
        <v>692</v>
      </c>
    </row>
    <row r="693" spans="1:15" ht="13.15" customHeight="1">
      <c r="B693" s="60"/>
      <c r="D693" s="176"/>
      <c r="E693" s="176"/>
      <c r="F693" s="176"/>
      <c r="G693" s="176"/>
      <c r="H693" s="176"/>
      <c r="I693" s="176"/>
      <c r="J693" s="176"/>
      <c r="K693" s="176"/>
      <c r="O693" s="3">
        <f t="shared" si="10"/>
        <v>693</v>
      </c>
    </row>
    <row r="694" spans="1:15" ht="13.15" customHeight="1">
      <c r="B694" s="156" t="s">
        <v>379</v>
      </c>
      <c r="C694" s="283" t="s">
        <v>457</v>
      </c>
      <c r="D694" s="283"/>
      <c r="E694" s="283"/>
      <c r="F694" s="283"/>
      <c r="G694" s="283"/>
      <c r="H694" s="283"/>
      <c r="I694" s="283"/>
      <c r="J694" s="283"/>
      <c r="K694" s="283"/>
      <c r="O694" s="3">
        <f t="shared" si="10"/>
        <v>694</v>
      </c>
    </row>
    <row r="695" spans="1:15" ht="13.15" customHeight="1">
      <c r="B695" s="60"/>
      <c r="C695" s="283"/>
      <c r="D695" s="283"/>
      <c r="E695" s="283"/>
      <c r="F695" s="283"/>
      <c r="G695" s="283"/>
      <c r="H695" s="283"/>
      <c r="I695" s="283"/>
      <c r="J695" s="283"/>
      <c r="K695" s="283"/>
      <c r="O695" s="3">
        <f t="shared" si="10"/>
        <v>695</v>
      </c>
    </row>
    <row r="696" spans="1:15" ht="13.15" customHeight="1">
      <c r="B696" s="60"/>
      <c r="C696" s="283"/>
      <c r="D696" s="283"/>
      <c r="E696" s="283"/>
      <c r="F696" s="283"/>
      <c r="G696" s="283"/>
      <c r="H696" s="283"/>
      <c r="I696" s="283"/>
      <c r="J696" s="283"/>
      <c r="K696" s="283"/>
      <c r="O696" s="3">
        <f t="shared" si="10"/>
        <v>696</v>
      </c>
    </row>
    <row r="697" spans="1:15" ht="13.15" customHeight="1">
      <c r="B697" s="60"/>
      <c r="C697" s="283"/>
      <c r="D697" s="283"/>
      <c r="E697" s="283"/>
      <c r="F697" s="283"/>
      <c r="G697" s="283"/>
      <c r="H697" s="283"/>
      <c r="I697" s="283"/>
      <c r="J697" s="283"/>
      <c r="K697" s="283"/>
      <c r="O697" s="3">
        <f t="shared" si="10"/>
        <v>697</v>
      </c>
    </row>
    <row r="698" spans="1:15" ht="13.15" customHeight="1">
      <c r="B698" s="60"/>
      <c r="C698" s="283"/>
      <c r="D698" s="283"/>
      <c r="E698" s="283"/>
      <c r="F698" s="283"/>
      <c r="G698" s="283"/>
      <c r="H698" s="283"/>
      <c r="I698" s="283"/>
      <c r="J698" s="283"/>
      <c r="K698" s="283"/>
      <c r="O698" s="3">
        <f t="shared" si="10"/>
        <v>698</v>
      </c>
    </row>
    <row r="699" spans="1:15" ht="13.15" customHeight="1">
      <c r="B699" s="60"/>
      <c r="C699" s="283"/>
      <c r="D699" s="283"/>
      <c r="E699" s="283"/>
      <c r="F699" s="283"/>
      <c r="G699" s="283"/>
      <c r="H699" s="283"/>
      <c r="I699" s="283"/>
      <c r="J699" s="283"/>
      <c r="K699" s="283"/>
      <c r="O699" s="3">
        <f t="shared" si="10"/>
        <v>699</v>
      </c>
    </row>
    <row r="700" spans="1:15" ht="13.15" customHeight="1">
      <c r="B700" s="60"/>
      <c r="C700" s="283"/>
      <c r="D700" s="283"/>
      <c r="E700" s="283"/>
      <c r="F700" s="283"/>
      <c r="G700" s="283"/>
      <c r="H700" s="283"/>
      <c r="I700" s="283"/>
      <c r="J700" s="283"/>
      <c r="K700" s="283"/>
      <c r="O700" s="3">
        <f t="shared" si="10"/>
        <v>700</v>
      </c>
    </row>
    <row r="701" spans="1:15" ht="13.15" customHeight="1">
      <c r="A701" s="3"/>
      <c r="B701" s="63"/>
      <c r="M701" s="3" t="s">
        <v>233</v>
      </c>
      <c r="O701" s="3">
        <f t="shared" si="10"/>
        <v>701</v>
      </c>
    </row>
    <row r="702" spans="1:15" ht="13.15" customHeight="1">
      <c r="A702" s="152" t="s">
        <v>423</v>
      </c>
      <c r="B702" s="271" t="s">
        <v>312</v>
      </c>
      <c r="C702" s="271"/>
      <c r="D702" s="271"/>
      <c r="E702" s="271"/>
      <c r="F702" s="271"/>
      <c r="G702" s="271"/>
      <c r="H702" s="271"/>
      <c r="I702" s="271"/>
      <c r="J702" s="271"/>
      <c r="K702" s="271"/>
      <c r="L702" s="3">
        <v>45</v>
      </c>
      <c r="M702" s="3">
        <v>12</v>
      </c>
      <c r="N702" s="3">
        <v>5</v>
      </c>
      <c r="O702" s="3">
        <f t="shared" si="10"/>
        <v>702</v>
      </c>
    </row>
    <row r="703" spans="1:15" ht="13.15" customHeight="1">
      <c r="B703" s="271"/>
      <c r="C703" s="271"/>
      <c r="D703" s="271"/>
      <c r="E703" s="271"/>
      <c r="F703" s="271"/>
      <c r="G703" s="271"/>
      <c r="H703" s="271"/>
      <c r="I703" s="271"/>
      <c r="J703" s="271"/>
      <c r="K703" s="271"/>
      <c r="M703" s="3" t="s">
        <v>233</v>
      </c>
      <c r="O703" s="3">
        <f t="shared" si="10"/>
        <v>703</v>
      </c>
    </row>
    <row r="704" spans="1:15" ht="13.15" customHeight="1">
      <c r="B704" s="271"/>
      <c r="C704" s="271"/>
      <c r="D704" s="271"/>
      <c r="E704" s="271"/>
      <c r="F704" s="271"/>
      <c r="G704" s="271"/>
      <c r="H704" s="271"/>
      <c r="I704" s="271"/>
      <c r="J704" s="271"/>
      <c r="K704" s="271"/>
      <c r="M704" s="3" t="s">
        <v>233</v>
      </c>
      <c r="O704" s="3">
        <f t="shared" si="10"/>
        <v>704</v>
      </c>
    </row>
    <row r="705" spans="1:15" ht="13.15" customHeight="1">
      <c r="B705" s="271"/>
      <c r="C705" s="271"/>
      <c r="D705" s="271"/>
      <c r="E705" s="271"/>
      <c r="F705" s="271"/>
      <c r="G705" s="271"/>
      <c r="H705" s="271"/>
      <c r="I705" s="271"/>
      <c r="J705" s="271"/>
      <c r="K705" s="271"/>
      <c r="M705" s="3" t="s">
        <v>233</v>
      </c>
      <c r="O705" s="3">
        <f t="shared" si="10"/>
        <v>705</v>
      </c>
    </row>
    <row r="706" spans="1:15" ht="13.15" customHeight="1">
      <c r="B706" s="271"/>
      <c r="C706" s="271"/>
      <c r="D706" s="271"/>
      <c r="E706" s="271"/>
      <c r="F706" s="271"/>
      <c r="G706" s="271"/>
      <c r="H706" s="271"/>
      <c r="I706" s="271"/>
      <c r="J706" s="271"/>
      <c r="K706" s="271"/>
      <c r="M706" s="3" t="s">
        <v>233</v>
      </c>
      <c r="O706" s="3">
        <f t="shared" si="10"/>
        <v>706</v>
      </c>
    </row>
    <row r="707" spans="1:15" ht="13.15" customHeight="1">
      <c r="B707" s="3" t="s">
        <v>162</v>
      </c>
      <c r="M707" s="3" t="s">
        <v>233</v>
      </c>
      <c r="O707" s="3">
        <f t="shared" si="10"/>
        <v>707</v>
      </c>
    </row>
    <row r="708" spans="1:15" ht="13.15" customHeight="1">
      <c r="B708" s="156" t="s">
        <v>379</v>
      </c>
      <c r="C708" s="271" t="s">
        <v>313</v>
      </c>
      <c r="D708" s="271"/>
      <c r="E708" s="271"/>
      <c r="F708" s="271"/>
      <c r="G708" s="271"/>
      <c r="H708" s="271"/>
      <c r="I708" s="271"/>
      <c r="J708" s="271"/>
      <c r="K708" s="271"/>
      <c r="M708" s="3" t="s">
        <v>233</v>
      </c>
      <c r="O708" s="3">
        <f t="shared" si="10"/>
        <v>708</v>
      </c>
    </row>
    <row r="709" spans="1:15" ht="13.15" customHeight="1">
      <c r="B709" s="60"/>
      <c r="C709" s="271"/>
      <c r="D709" s="271"/>
      <c r="E709" s="271"/>
      <c r="F709" s="271"/>
      <c r="G709" s="271"/>
      <c r="H709" s="271"/>
      <c r="I709" s="271"/>
      <c r="J709" s="271"/>
      <c r="K709" s="271"/>
      <c r="M709" s="3" t="s">
        <v>233</v>
      </c>
      <c r="O709" s="3">
        <f t="shared" si="10"/>
        <v>709</v>
      </c>
    </row>
    <row r="710" spans="1:15" ht="13.15" customHeight="1">
      <c r="B710" s="60"/>
      <c r="C710" s="271"/>
      <c r="D710" s="271"/>
      <c r="E710" s="271"/>
      <c r="F710" s="271"/>
      <c r="G710" s="271"/>
      <c r="H710" s="271"/>
      <c r="I710" s="271"/>
      <c r="J710" s="271"/>
      <c r="K710" s="271"/>
      <c r="M710" s="3" t="s">
        <v>233</v>
      </c>
      <c r="O710" s="3">
        <f t="shared" si="10"/>
        <v>710</v>
      </c>
    </row>
    <row r="711" spans="1:15" ht="13.15" customHeight="1">
      <c r="B711" s="60"/>
      <c r="C711" s="271"/>
      <c r="D711" s="271"/>
      <c r="E711" s="271"/>
      <c r="F711" s="271"/>
      <c r="G711" s="271"/>
      <c r="H711" s="271"/>
      <c r="I711" s="271"/>
      <c r="J711" s="271"/>
      <c r="K711" s="271"/>
      <c r="M711" s="3" t="s">
        <v>233</v>
      </c>
      <c r="O711" s="3">
        <f t="shared" si="10"/>
        <v>711</v>
      </c>
    </row>
    <row r="712" spans="1:15" ht="13.15" customHeight="1">
      <c r="B712" s="3" t="s">
        <v>162</v>
      </c>
      <c r="C712" s="271"/>
      <c r="D712" s="271"/>
      <c r="E712" s="271"/>
      <c r="F712" s="271"/>
      <c r="G712" s="271"/>
      <c r="H712" s="271"/>
      <c r="I712" s="271"/>
      <c r="J712" s="271"/>
      <c r="K712" s="271"/>
      <c r="M712" s="3" t="s">
        <v>233</v>
      </c>
      <c r="O712" s="3">
        <f t="shared" si="10"/>
        <v>712</v>
      </c>
    </row>
    <row r="713" spans="1:15" ht="13.15" customHeight="1">
      <c r="C713" s="271"/>
      <c r="D713" s="271"/>
      <c r="E713" s="271"/>
      <c r="F713" s="271"/>
      <c r="G713" s="271"/>
      <c r="H713" s="271"/>
      <c r="I713" s="271"/>
      <c r="J713" s="271"/>
      <c r="K713" s="271"/>
      <c r="M713" s="3" t="s">
        <v>233</v>
      </c>
      <c r="O713" s="3">
        <f t="shared" si="10"/>
        <v>713</v>
      </c>
    </row>
    <row r="714" spans="1:15" ht="13.15" customHeight="1">
      <c r="C714" s="119"/>
      <c r="D714" s="119"/>
      <c r="E714" s="119"/>
      <c r="F714" s="119"/>
      <c r="G714" s="119"/>
      <c r="H714" s="119"/>
      <c r="I714" s="119"/>
      <c r="J714" s="119"/>
      <c r="K714" s="119"/>
      <c r="M714" s="3" t="s">
        <v>233</v>
      </c>
      <c r="O714" s="3">
        <f t="shared" si="10"/>
        <v>714</v>
      </c>
    </row>
    <row r="715" spans="1:15" ht="13.15" customHeight="1">
      <c r="A715" s="152" t="s">
        <v>424</v>
      </c>
      <c r="B715" s="271" t="s">
        <v>314</v>
      </c>
      <c r="C715" s="271"/>
      <c r="D715" s="271"/>
      <c r="E715" s="271"/>
      <c r="F715" s="271"/>
      <c r="G715" s="271"/>
      <c r="H715" s="271"/>
      <c r="I715" s="271"/>
      <c r="J715" s="271"/>
      <c r="K715" s="271"/>
      <c r="L715" s="3">
        <v>46</v>
      </c>
      <c r="M715" s="3">
        <v>7</v>
      </c>
      <c r="N715" s="3">
        <v>2</v>
      </c>
      <c r="O715" s="3">
        <f t="shared" si="10"/>
        <v>715</v>
      </c>
    </row>
    <row r="716" spans="1:15" ht="13.15" customHeight="1">
      <c r="A716" s="3"/>
      <c r="B716" s="271"/>
      <c r="C716" s="271"/>
      <c r="D716" s="271"/>
      <c r="E716" s="271"/>
      <c r="F716" s="271"/>
      <c r="G716" s="271"/>
      <c r="H716" s="271"/>
      <c r="I716" s="271"/>
      <c r="J716" s="271"/>
      <c r="K716" s="271"/>
      <c r="M716" s="3" t="s">
        <v>233</v>
      </c>
      <c r="O716" s="3">
        <f t="shared" si="10"/>
        <v>716</v>
      </c>
    </row>
    <row r="717" spans="1:15" ht="13.15" customHeight="1">
      <c r="B717" s="176"/>
      <c r="C717" s="176"/>
      <c r="D717" s="176"/>
      <c r="E717" s="176"/>
      <c r="F717" s="176"/>
      <c r="G717" s="176"/>
      <c r="H717" s="176"/>
      <c r="I717" s="176"/>
      <c r="J717" s="176"/>
      <c r="K717" s="176"/>
      <c r="M717" s="3" t="s">
        <v>233</v>
      </c>
      <c r="O717" s="3">
        <f t="shared" si="10"/>
        <v>717</v>
      </c>
    </row>
    <row r="718" spans="1:15" ht="13.15" customHeight="1">
      <c r="B718" s="156" t="s">
        <v>379</v>
      </c>
      <c r="C718" s="271" t="s">
        <v>315</v>
      </c>
      <c r="D718" s="271"/>
      <c r="E718" s="271"/>
      <c r="F718" s="271"/>
      <c r="G718" s="271"/>
      <c r="H718" s="271"/>
      <c r="I718" s="271"/>
      <c r="J718" s="271"/>
      <c r="K718" s="271"/>
      <c r="M718" s="3" t="s">
        <v>233</v>
      </c>
      <c r="O718" s="3">
        <f t="shared" si="10"/>
        <v>718</v>
      </c>
    </row>
    <row r="719" spans="1:15" ht="13.15" customHeight="1">
      <c r="B719" s="60"/>
      <c r="C719" s="271"/>
      <c r="D719" s="271"/>
      <c r="E719" s="271"/>
      <c r="F719" s="271"/>
      <c r="G719" s="271"/>
      <c r="H719" s="271"/>
      <c r="I719" s="271"/>
      <c r="J719" s="271"/>
      <c r="K719" s="271"/>
      <c r="M719" s="3" t="s">
        <v>233</v>
      </c>
      <c r="O719" s="3">
        <f t="shared" si="10"/>
        <v>719</v>
      </c>
    </row>
    <row r="720" spans="1:15" ht="13.15" customHeight="1">
      <c r="B720" s="60"/>
      <c r="C720" s="271"/>
      <c r="D720" s="271"/>
      <c r="E720" s="271"/>
      <c r="F720" s="271"/>
      <c r="G720" s="271"/>
      <c r="H720" s="271"/>
      <c r="I720" s="271"/>
      <c r="J720" s="271"/>
      <c r="K720" s="271"/>
      <c r="M720" s="3" t="s">
        <v>233</v>
      </c>
      <c r="O720" s="3">
        <f t="shared" si="10"/>
        <v>720</v>
      </c>
    </row>
    <row r="721" spans="1:15" ht="13.15" customHeight="1">
      <c r="B721" s="60"/>
      <c r="C721" s="271"/>
      <c r="D721" s="271"/>
      <c r="E721" s="271"/>
      <c r="F721" s="271"/>
      <c r="G721" s="271"/>
      <c r="H721" s="271"/>
      <c r="I721" s="271"/>
      <c r="J721" s="271"/>
      <c r="K721" s="271"/>
      <c r="M721" s="3" t="s">
        <v>233</v>
      </c>
      <c r="O721" s="3">
        <f t="shared" si="10"/>
        <v>721</v>
      </c>
    </row>
    <row r="722" spans="1:15" ht="13.15" customHeight="1">
      <c r="B722" s="284"/>
      <c r="C722" s="284"/>
      <c r="D722" s="284"/>
      <c r="E722" s="284"/>
      <c r="F722" s="284"/>
      <c r="G722" s="284"/>
      <c r="H722" s="284"/>
      <c r="I722" s="284"/>
      <c r="J722" s="284"/>
      <c r="K722" s="284"/>
      <c r="M722" s="3" t="s">
        <v>233</v>
      </c>
      <c r="O722" s="3">
        <f t="shared" si="10"/>
        <v>722</v>
      </c>
    </row>
    <row r="723" spans="1:15" ht="13.15" customHeight="1">
      <c r="A723" s="152" t="s">
        <v>425</v>
      </c>
      <c r="B723" s="271" t="s">
        <v>316</v>
      </c>
      <c r="C723" s="271"/>
      <c r="D723" s="271"/>
      <c r="E723" s="271"/>
      <c r="F723" s="271"/>
      <c r="G723" s="271"/>
      <c r="H723" s="271"/>
      <c r="I723" s="271"/>
      <c r="J723" s="271"/>
      <c r="K723" s="271"/>
      <c r="L723" s="3">
        <v>47</v>
      </c>
      <c r="M723" s="3">
        <v>15</v>
      </c>
      <c r="N723" s="3">
        <v>9</v>
      </c>
      <c r="O723" s="3">
        <f t="shared" si="10"/>
        <v>723</v>
      </c>
    </row>
    <row r="724" spans="1:15" ht="13.15" customHeight="1">
      <c r="B724" s="271"/>
      <c r="C724" s="271"/>
      <c r="D724" s="271"/>
      <c r="E724" s="271"/>
      <c r="F724" s="271"/>
      <c r="G724" s="271"/>
      <c r="H724" s="271"/>
      <c r="I724" s="271"/>
      <c r="J724" s="271"/>
      <c r="K724" s="271"/>
      <c r="M724" s="3" t="s">
        <v>233</v>
      </c>
      <c r="O724" s="3">
        <f t="shared" si="10"/>
        <v>724</v>
      </c>
    </row>
    <row r="725" spans="1:15" ht="13.15" customHeight="1">
      <c r="B725" s="271"/>
      <c r="C725" s="271"/>
      <c r="D725" s="271"/>
      <c r="E725" s="271"/>
      <c r="F725" s="271"/>
      <c r="G725" s="271"/>
      <c r="H725" s="271"/>
      <c r="I725" s="271"/>
      <c r="J725" s="271"/>
      <c r="K725" s="271"/>
      <c r="M725" s="3" t="s">
        <v>233</v>
      </c>
      <c r="O725" s="3">
        <f t="shared" si="10"/>
        <v>725</v>
      </c>
    </row>
    <row r="726" spans="1:15" ht="13.15" customHeight="1">
      <c r="B726" s="271"/>
      <c r="C726" s="271"/>
      <c r="D726" s="271"/>
      <c r="E726" s="271"/>
      <c r="F726" s="271"/>
      <c r="G726" s="271"/>
      <c r="H726" s="271"/>
      <c r="I726" s="271"/>
      <c r="J726" s="271"/>
      <c r="K726" s="271"/>
      <c r="M726" s="3" t="s">
        <v>233</v>
      </c>
      <c r="O726" s="3">
        <f t="shared" si="10"/>
        <v>726</v>
      </c>
    </row>
    <row r="727" spans="1:15" ht="13.15" customHeight="1">
      <c r="B727" s="271"/>
      <c r="C727" s="271"/>
      <c r="D727" s="271"/>
      <c r="E727" s="271"/>
      <c r="F727" s="271"/>
      <c r="G727" s="271"/>
      <c r="H727" s="271"/>
      <c r="I727" s="271"/>
      <c r="J727" s="271"/>
      <c r="K727" s="271"/>
      <c r="M727" s="3" t="s">
        <v>233</v>
      </c>
      <c r="O727" s="3">
        <f t="shared" si="10"/>
        <v>727</v>
      </c>
    </row>
    <row r="728" spans="1:15" ht="13.15" customHeight="1">
      <c r="B728" s="271"/>
      <c r="C728" s="271"/>
      <c r="D728" s="271"/>
      <c r="E728" s="271"/>
      <c r="F728" s="271"/>
      <c r="G728" s="271"/>
      <c r="H728" s="271"/>
      <c r="I728" s="271"/>
      <c r="J728" s="271"/>
      <c r="K728" s="271"/>
      <c r="M728" s="3" t="s">
        <v>233</v>
      </c>
      <c r="O728" s="3">
        <f t="shared" si="10"/>
        <v>728</v>
      </c>
    </row>
    <row r="729" spans="1:15" ht="13.15" customHeight="1">
      <c r="B729" s="271"/>
      <c r="C729" s="271"/>
      <c r="D729" s="271"/>
      <c r="E729" s="271"/>
      <c r="F729" s="271"/>
      <c r="G729" s="271"/>
      <c r="H729" s="271"/>
      <c r="I729" s="271"/>
      <c r="J729" s="271"/>
      <c r="K729" s="271"/>
      <c r="M729" s="3" t="s">
        <v>233</v>
      </c>
      <c r="O729" s="3">
        <f t="shared" si="10"/>
        <v>729</v>
      </c>
    </row>
    <row r="730" spans="1:15" ht="13.15" customHeight="1">
      <c r="B730" s="271"/>
      <c r="C730" s="271"/>
      <c r="D730" s="271"/>
      <c r="E730" s="271"/>
      <c r="F730" s="271"/>
      <c r="G730" s="271"/>
      <c r="H730" s="271"/>
      <c r="I730" s="271"/>
      <c r="J730" s="271"/>
      <c r="K730" s="271"/>
      <c r="M730" s="3" t="s">
        <v>233</v>
      </c>
      <c r="O730" s="3">
        <f t="shared" si="10"/>
        <v>730</v>
      </c>
    </row>
    <row r="731" spans="1:15" ht="13.15" customHeight="1">
      <c r="B731" s="271"/>
      <c r="C731" s="271"/>
      <c r="D731" s="271"/>
      <c r="E731" s="271"/>
      <c r="F731" s="271"/>
      <c r="G731" s="271"/>
      <c r="H731" s="271"/>
      <c r="I731" s="271"/>
      <c r="J731" s="271"/>
      <c r="K731" s="271"/>
      <c r="M731" s="3" t="s">
        <v>233</v>
      </c>
      <c r="O731" s="3">
        <f t="shared" si="10"/>
        <v>731</v>
      </c>
    </row>
    <row r="732" spans="1:15" ht="13.15" customHeight="1">
      <c r="B732" s="176"/>
      <c r="C732" s="176"/>
      <c r="D732" s="176"/>
      <c r="E732" s="176"/>
      <c r="F732" s="176"/>
      <c r="G732" s="176"/>
      <c r="H732" s="176"/>
      <c r="I732" s="176"/>
      <c r="J732" s="176"/>
      <c r="K732" s="176"/>
      <c r="M732" s="3" t="s">
        <v>233</v>
      </c>
      <c r="O732" s="3">
        <f t="shared" si="10"/>
        <v>732</v>
      </c>
    </row>
    <row r="733" spans="1:15" ht="13.15" customHeight="1">
      <c r="B733" s="156" t="s">
        <v>379</v>
      </c>
      <c r="C733" s="271" t="s">
        <v>317</v>
      </c>
      <c r="D733" s="271"/>
      <c r="E733" s="271"/>
      <c r="F733" s="271"/>
      <c r="G733" s="271"/>
      <c r="H733" s="271"/>
      <c r="I733" s="271"/>
      <c r="J733" s="271"/>
      <c r="K733" s="271"/>
      <c r="M733" s="3" t="s">
        <v>233</v>
      </c>
      <c r="O733" s="3">
        <f t="shared" si="10"/>
        <v>733</v>
      </c>
    </row>
    <row r="734" spans="1:15" ht="13.15" customHeight="1">
      <c r="C734" s="271"/>
      <c r="D734" s="271"/>
      <c r="E734" s="271"/>
      <c r="F734" s="271"/>
      <c r="G734" s="271"/>
      <c r="H734" s="271"/>
      <c r="I734" s="271"/>
      <c r="J734" s="271"/>
      <c r="K734" s="271"/>
      <c r="M734" s="3" t="s">
        <v>233</v>
      </c>
      <c r="O734" s="3">
        <f t="shared" si="10"/>
        <v>734</v>
      </c>
    </row>
    <row r="735" spans="1:15" ht="13.15" customHeight="1">
      <c r="C735" s="271"/>
      <c r="D735" s="271"/>
      <c r="E735" s="271"/>
      <c r="F735" s="271"/>
      <c r="G735" s="271"/>
      <c r="H735" s="271"/>
      <c r="I735" s="271"/>
      <c r="J735" s="271"/>
      <c r="K735" s="271"/>
      <c r="M735" s="3" t="s">
        <v>233</v>
      </c>
      <c r="O735" s="3">
        <f t="shared" si="10"/>
        <v>735</v>
      </c>
    </row>
    <row r="736" spans="1:15" ht="13.15" customHeight="1">
      <c r="C736" s="271"/>
      <c r="D736" s="271"/>
      <c r="E736" s="271"/>
      <c r="F736" s="271"/>
      <c r="G736" s="271"/>
      <c r="H736" s="271"/>
      <c r="I736" s="271"/>
      <c r="J736" s="271"/>
      <c r="K736" s="271"/>
      <c r="M736" s="3" t="s">
        <v>233</v>
      </c>
      <c r="O736" s="3">
        <f t="shared" si="10"/>
        <v>736</v>
      </c>
    </row>
    <row r="737" spans="1:15" ht="13.15" customHeight="1">
      <c r="C737" s="271"/>
      <c r="D737" s="271"/>
      <c r="E737" s="271"/>
      <c r="F737" s="271"/>
      <c r="G737" s="271"/>
      <c r="H737" s="271"/>
      <c r="I737" s="271"/>
      <c r="J737" s="271"/>
      <c r="K737" s="271"/>
      <c r="M737" s="3" t="s">
        <v>233</v>
      </c>
      <c r="O737" s="3">
        <f t="shared" si="10"/>
        <v>737</v>
      </c>
    </row>
    <row r="738" spans="1:15" ht="13.15" customHeight="1">
      <c r="B738" s="63"/>
      <c r="C738" s="120"/>
      <c r="D738" s="120"/>
      <c r="E738" s="120"/>
      <c r="F738" s="120"/>
      <c r="G738" s="120"/>
      <c r="H738" s="120"/>
      <c r="I738" s="120"/>
      <c r="J738" s="120"/>
      <c r="K738" s="120"/>
      <c r="M738" s="3" t="s">
        <v>233</v>
      </c>
      <c r="O738" s="3">
        <f t="shared" si="10"/>
        <v>738</v>
      </c>
    </row>
    <row r="739" spans="1:15" ht="13.15" customHeight="1">
      <c r="A739" s="152" t="s">
        <v>426</v>
      </c>
      <c r="B739" s="271" t="s">
        <v>318</v>
      </c>
      <c r="C739" s="271"/>
      <c r="D739" s="271"/>
      <c r="E739" s="271"/>
      <c r="F739" s="271"/>
      <c r="G739" s="271"/>
      <c r="H739" s="271"/>
      <c r="I739" s="271"/>
      <c r="J739" s="271"/>
      <c r="K739" s="271"/>
      <c r="L739" s="3">
        <v>48</v>
      </c>
      <c r="M739" s="3">
        <v>10</v>
      </c>
      <c r="N739" s="3">
        <v>5</v>
      </c>
      <c r="O739" s="3">
        <f t="shared" si="10"/>
        <v>739</v>
      </c>
    </row>
    <row r="740" spans="1:15" ht="13.15" customHeight="1">
      <c r="B740" s="271"/>
      <c r="C740" s="271"/>
      <c r="D740" s="271"/>
      <c r="E740" s="271"/>
      <c r="F740" s="271"/>
      <c r="G740" s="271"/>
      <c r="H740" s="271"/>
      <c r="I740" s="271"/>
      <c r="J740" s="271"/>
      <c r="K740" s="271"/>
      <c r="M740" s="3" t="s">
        <v>233</v>
      </c>
      <c r="O740" s="3">
        <f t="shared" si="10"/>
        <v>740</v>
      </c>
    </row>
    <row r="741" spans="1:15" ht="13.15" customHeight="1">
      <c r="B741" s="271"/>
      <c r="C741" s="271"/>
      <c r="D741" s="271"/>
      <c r="E741" s="271"/>
      <c r="F741" s="271"/>
      <c r="G741" s="271"/>
      <c r="H741" s="271"/>
      <c r="I741" s="271"/>
      <c r="J741" s="271"/>
      <c r="K741" s="271"/>
      <c r="M741" s="3" t="s">
        <v>233</v>
      </c>
      <c r="O741" s="3">
        <f t="shared" si="10"/>
        <v>741</v>
      </c>
    </row>
    <row r="742" spans="1:15" ht="13.15" customHeight="1">
      <c r="B742" s="271"/>
      <c r="C742" s="271"/>
      <c r="D742" s="271"/>
      <c r="E742" s="271"/>
      <c r="F742" s="271"/>
      <c r="G742" s="271"/>
      <c r="H742" s="271"/>
      <c r="I742" s="271"/>
      <c r="J742" s="271"/>
      <c r="K742" s="271"/>
      <c r="M742" s="3" t="s">
        <v>233</v>
      </c>
      <c r="O742" s="3">
        <f t="shared" si="10"/>
        <v>742</v>
      </c>
    </row>
    <row r="743" spans="1:15" ht="13.15" customHeight="1">
      <c r="B743" s="271"/>
      <c r="C743" s="271"/>
      <c r="D743" s="271"/>
      <c r="E743" s="271"/>
      <c r="F743" s="271"/>
      <c r="G743" s="271"/>
      <c r="H743" s="271"/>
      <c r="I743" s="271"/>
      <c r="J743" s="271"/>
      <c r="K743" s="271"/>
      <c r="M743" s="3" t="s">
        <v>233</v>
      </c>
      <c r="O743" s="3">
        <f t="shared" si="10"/>
        <v>743</v>
      </c>
    </row>
    <row r="744" spans="1:15" ht="13.15" customHeight="1">
      <c r="B744" s="170"/>
      <c r="C744" s="170"/>
      <c r="D744" s="170"/>
      <c r="E744" s="170"/>
      <c r="F744" s="170"/>
      <c r="G744" s="170"/>
      <c r="H744" s="170"/>
      <c r="I744" s="170"/>
      <c r="J744" s="170"/>
      <c r="K744" s="170"/>
      <c r="M744" s="3" t="s">
        <v>233</v>
      </c>
      <c r="O744" s="3">
        <f t="shared" si="10"/>
        <v>744</v>
      </c>
    </row>
    <row r="745" spans="1:15" ht="13.15" customHeight="1">
      <c r="B745" s="156" t="s">
        <v>379</v>
      </c>
      <c r="C745" s="271" t="s">
        <v>319</v>
      </c>
      <c r="D745" s="271"/>
      <c r="E745" s="271"/>
      <c r="F745" s="271"/>
      <c r="G745" s="271"/>
      <c r="H745" s="271"/>
      <c r="I745" s="271"/>
      <c r="J745" s="271"/>
      <c r="K745" s="271"/>
      <c r="M745" s="3" t="s">
        <v>233</v>
      </c>
      <c r="O745" s="3">
        <f t="shared" si="10"/>
        <v>745</v>
      </c>
    </row>
    <row r="746" spans="1:15" ht="13.15" customHeight="1">
      <c r="B746" s="60"/>
      <c r="C746" s="271"/>
      <c r="D746" s="271"/>
      <c r="E746" s="271"/>
      <c r="F746" s="271"/>
      <c r="G746" s="271"/>
      <c r="H746" s="271"/>
      <c r="I746" s="271"/>
      <c r="J746" s="271"/>
      <c r="K746" s="271"/>
      <c r="M746" s="3" t="s">
        <v>233</v>
      </c>
      <c r="O746" s="3">
        <f t="shared" si="10"/>
        <v>746</v>
      </c>
    </row>
    <row r="747" spans="1:15" ht="13.15" customHeight="1">
      <c r="B747" s="60"/>
      <c r="C747" s="271"/>
      <c r="D747" s="271"/>
      <c r="E747" s="271"/>
      <c r="F747" s="271"/>
      <c r="G747" s="271"/>
      <c r="H747" s="271"/>
      <c r="I747" s="271"/>
      <c r="J747" s="271"/>
      <c r="K747" s="271"/>
      <c r="M747" s="3" t="s">
        <v>233</v>
      </c>
      <c r="O747" s="3">
        <f t="shared" si="10"/>
        <v>747</v>
      </c>
    </row>
    <row r="748" spans="1:15" ht="13.15" customHeight="1">
      <c r="B748" s="60"/>
      <c r="C748" s="271"/>
      <c r="D748" s="271"/>
      <c r="E748" s="271"/>
      <c r="F748" s="271"/>
      <c r="G748" s="271"/>
      <c r="H748" s="271"/>
      <c r="I748" s="271"/>
      <c r="J748" s="271"/>
      <c r="K748" s="271"/>
      <c r="M748" s="3" t="s">
        <v>233</v>
      </c>
      <c r="O748" s="3">
        <f t="shared" si="10"/>
        <v>748</v>
      </c>
    </row>
    <row r="749" spans="1:15" ht="13.15" customHeight="1">
      <c r="B749" s="60"/>
      <c r="C749" s="170"/>
      <c r="D749" s="170"/>
      <c r="E749" s="170"/>
      <c r="F749" s="170"/>
      <c r="G749" s="170"/>
      <c r="H749" s="170"/>
      <c r="I749" s="170"/>
      <c r="J749" s="170"/>
      <c r="K749" s="170"/>
      <c r="M749" s="3" t="s">
        <v>233</v>
      </c>
      <c r="O749" s="3">
        <f t="shared" si="10"/>
        <v>749</v>
      </c>
    </row>
    <row r="750" spans="1:15" ht="13.15" customHeight="1">
      <c r="A750" s="152" t="s">
        <v>427</v>
      </c>
      <c r="B750" s="267" t="s">
        <v>320</v>
      </c>
      <c r="C750" s="267"/>
      <c r="D750" s="267"/>
      <c r="E750" s="267"/>
      <c r="F750" s="267"/>
      <c r="G750" s="267"/>
      <c r="H750" s="267"/>
      <c r="I750" s="267"/>
      <c r="J750" s="267"/>
      <c r="K750" s="267"/>
      <c r="L750" s="3">
        <v>49</v>
      </c>
      <c r="M750" s="3">
        <v>14</v>
      </c>
      <c r="N750" s="3">
        <v>8</v>
      </c>
      <c r="O750" s="3">
        <f t="shared" si="10"/>
        <v>750</v>
      </c>
    </row>
    <row r="751" spans="1:15" ht="13.15" customHeight="1">
      <c r="B751" s="267"/>
      <c r="C751" s="267"/>
      <c r="D751" s="267"/>
      <c r="E751" s="267"/>
      <c r="F751" s="267"/>
      <c r="G751" s="267"/>
      <c r="H751" s="267"/>
      <c r="I751" s="267"/>
      <c r="J751" s="267"/>
      <c r="K751" s="267"/>
      <c r="M751" s="3" t="s">
        <v>233</v>
      </c>
      <c r="O751" s="3">
        <f t="shared" si="10"/>
        <v>751</v>
      </c>
    </row>
    <row r="752" spans="1:15" ht="13.15" customHeight="1">
      <c r="B752" s="267"/>
      <c r="C752" s="267"/>
      <c r="D752" s="267"/>
      <c r="E752" s="267"/>
      <c r="F752" s="267"/>
      <c r="G752" s="267"/>
      <c r="H752" s="267"/>
      <c r="I752" s="267"/>
      <c r="J752" s="267"/>
      <c r="K752" s="267"/>
      <c r="M752" s="3" t="s">
        <v>233</v>
      </c>
      <c r="O752" s="3">
        <f t="shared" si="10"/>
        <v>752</v>
      </c>
    </row>
    <row r="753" spans="1:15" ht="13.15" customHeight="1">
      <c r="B753" s="267"/>
      <c r="C753" s="267"/>
      <c r="D753" s="267"/>
      <c r="E753" s="267"/>
      <c r="F753" s="267"/>
      <c r="G753" s="267"/>
      <c r="H753" s="267"/>
      <c r="I753" s="267"/>
      <c r="J753" s="267"/>
      <c r="K753" s="267"/>
      <c r="M753" s="3" t="s">
        <v>233</v>
      </c>
      <c r="O753" s="3">
        <f t="shared" si="10"/>
        <v>753</v>
      </c>
    </row>
    <row r="754" spans="1:15" ht="13.15" customHeight="1">
      <c r="B754" s="267"/>
      <c r="C754" s="267"/>
      <c r="D754" s="267"/>
      <c r="E754" s="267"/>
      <c r="F754" s="267"/>
      <c r="G754" s="267"/>
      <c r="H754" s="267"/>
      <c r="I754" s="267"/>
      <c r="J754" s="267"/>
      <c r="K754" s="267"/>
      <c r="M754" s="3" t="s">
        <v>233</v>
      </c>
      <c r="O754" s="3">
        <f t="shared" si="10"/>
        <v>754</v>
      </c>
    </row>
    <row r="755" spans="1:15" ht="13.15" customHeight="1">
      <c r="B755" s="267"/>
      <c r="C755" s="267"/>
      <c r="D755" s="267"/>
      <c r="E755" s="267"/>
      <c r="F755" s="267"/>
      <c r="G755" s="267"/>
      <c r="H755" s="267"/>
      <c r="I755" s="267"/>
      <c r="J755" s="267"/>
      <c r="K755" s="267"/>
      <c r="M755" s="3" t="s">
        <v>233</v>
      </c>
      <c r="O755" s="3">
        <f t="shared" si="10"/>
        <v>755</v>
      </c>
    </row>
    <row r="756" spans="1:15" ht="13.15" customHeight="1">
      <c r="B756" s="267"/>
      <c r="C756" s="267"/>
      <c r="D756" s="267"/>
      <c r="E756" s="267"/>
      <c r="F756" s="267"/>
      <c r="G756" s="267"/>
      <c r="H756" s="267"/>
      <c r="I756" s="267"/>
      <c r="J756" s="267"/>
      <c r="K756" s="267"/>
      <c r="M756" s="3" t="s">
        <v>233</v>
      </c>
      <c r="O756" s="3">
        <f t="shared" si="10"/>
        <v>756</v>
      </c>
    </row>
    <row r="757" spans="1:15" ht="13.15" customHeight="1">
      <c r="B757" s="267"/>
      <c r="C757" s="267"/>
      <c r="D757" s="267"/>
      <c r="E757" s="267"/>
      <c r="F757" s="267"/>
      <c r="G757" s="267"/>
      <c r="H757" s="267"/>
      <c r="I757" s="267"/>
      <c r="J757" s="267"/>
      <c r="K757" s="267"/>
      <c r="M757" s="3" t="s">
        <v>233</v>
      </c>
      <c r="O757" s="3">
        <f t="shared" si="10"/>
        <v>757</v>
      </c>
    </row>
    <row r="758" spans="1:15" ht="13.15" customHeight="1">
      <c r="B758" s="167"/>
      <c r="C758" s="167"/>
      <c r="D758" s="167"/>
      <c r="E758" s="167"/>
      <c r="F758" s="167"/>
      <c r="G758" s="167"/>
      <c r="H758" s="167"/>
      <c r="I758" s="167"/>
      <c r="J758" s="167"/>
      <c r="K758" s="167"/>
      <c r="M758" s="3" t="s">
        <v>233</v>
      </c>
      <c r="O758" s="3">
        <f t="shared" si="10"/>
        <v>758</v>
      </c>
    </row>
    <row r="759" spans="1:15" ht="13.15" customHeight="1">
      <c r="B759" s="156" t="s">
        <v>379</v>
      </c>
      <c r="C759" s="267" t="s">
        <v>321</v>
      </c>
      <c r="D759" s="267"/>
      <c r="E759" s="267"/>
      <c r="F759" s="267"/>
      <c r="G759" s="267"/>
      <c r="H759" s="267"/>
      <c r="I759" s="267"/>
      <c r="J759" s="267"/>
      <c r="K759" s="267"/>
      <c r="M759" s="3" t="s">
        <v>233</v>
      </c>
      <c r="O759" s="3">
        <f t="shared" si="10"/>
        <v>759</v>
      </c>
    </row>
    <row r="760" spans="1:15" ht="13.15" customHeight="1">
      <c r="B760" s="167"/>
      <c r="C760" s="267"/>
      <c r="D760" s="267"/>
      <c r="E760" s="267"/>
      <c r="F760" s="267"/>
      <c r="G760" s="267"/>
      <c r="H760" s="267"/>
      <c r="I760" s="267"/>
      <c r="J760" s="267"/>
      <c r="K760" s="267"/>
      <c r="M760" s="3" t="s">
        <v>233</v>
      </c>
      <c r="O760" s="3">
        <f t="shared" si="10"/>
        <v>760</v>
      </c>
    </row>
    <row r="761" spans="1:15" ht="13.15" customHeight="1">
      <c r="B761" s="167"/>
      <c r="C761" s="267"/>
      <c r="D761" s="267"/>
      <c r="E761" s="267"/>
      <c r="F761" s="267"/>
      <c r="G761" s="267"/>
      <c r="H761" s="267"/>
      <c r="I761" s="267"/>
      <c r="J761" s="267"/>
      <c r="K761" s="267"/>
      <c r="M761" s="3" t="s">
        <v>233</v>
      </c>
      <c r="O761" s="3">
        <f t="shared" si="10"/>
        <v>761</v>
      </c>
    </row>
    <row r="762" spans="1:15" ht="13.15" customHeight="1">
      <c r="B762" s="167"/>
      <c r="C762" s="267"/>
      <c r="D762" s="267"/>
      <c r="E762" s="267"/>
      <c r="F762" s="267"/>
      <c r="G762" s="267"/>
      <c r="H762" s="267"/>
      <c r="I762" s="267"/>
      <c r="J762" s="267"/>
      <c r="K762" s="267"/>
      <c r="M762" s="3" t="s">
        <v>233</v>
      </c>
      <c r="O762" s="3">
        <f t="shared" si="10"/>
        <v>762</v>
      </c>
    </row>
    <row r="763" spans="1:15" ht="13.15" customHeight="1">
      <c r="B763" s="167"/>
      <c r="C763" s="267"/>
      <c r="D763" s="267"/>
      <c r="E763" s="267"/>
      <c r="F763" s="267"/>
      <c r="G763" s="267"/>
      <c r="H763" s="267"/>
      <c r="I763" s="267"/>
      <c r="J763" s="267"/>
      <c r="K763" s="267"/>
      <c r="M763" s="3" t="s">
        <v>233</v>
      </c>
      <c r="O763" s="3">
        <f t="shared" si="10"/>
        <v>763</v>
      </c>
    </row>
    <row r="764" spans="1:15" ht="13.15" customHeight="1">
      <c r="B764" s="167"/>
      <c r="C764" s="167"/>
      <c r="D764" s="167"/>
      <c r="E764" s="167"/>
      <c r="F764" s="167"/>
      <c r="G764" s="167"/>
      <c r="H764" s="167"/>
      <c r="I764" s="167"/>
      <c r="J764" s="167"/>
      <c r="K764" s="167"/>
      <c r="M764" s="3" t="s">
        <v>233</v>
      </c>
      <c r="O764" s="3">
        <f t="shared" ref="O764:O827" si="11">ROW(M764)</f>
        <v>764</v>
      </c>
    </row>
    <row r="765" spans="1:15" ht="13.15" customHeight="1">
      <c r="A765" s="152" t="s">
        <v>428</v>
      </c>
      <c r="B765" s="271" t="s">
        <v>322</v>
      </c>
      <c r="C765" s="271"/>
      <c r="D765" s="271"/>
      <c r="E765" s="271"/>
      <c r="F765" s="271"/>
      <c r="G765" s="271"/>
      <c r="H765" s="271"/>
      <c r="I765" s="271"/>
      <c r="J765" s="271"/>
      <c r="K765" s="271"/>
      <c r="L765" s="3">
        <v>50</v>
      </c>
      <c r="M765" s="3">
        <v>11</v>
      </c>
      <c r="N765" s="3">
        <v>7</v>
      </c>
      <c r="O765" s="3">
        <f t="shared" si="11"/>
        <v>765</v>
      </c>
    </row>
    <row r="766" spans="1:15" ht="13.15" customHeight="1">
      <c r="B766" s="271"/>
      <c r="C766" s="271"/>
      <c r="D766" s="271"/>
      <c r="E766" s="271"/>
      <c r="F766" s="271"/>
      <c r="G766" s="271"/>
      <c r="H766" s="271"/>
      <c r="I766" s="271"/>
      <c r="J766" s="271"/>
      <c r="K766" s="271"/>
      <c r="M766" s="3" t="s">
        <v>233</v>
      </c>
      <c r="O766" s="3">
        <f t="shared" si="11"/>
        <v>766</v>
      </c>
    </row>
    <row r="767" spans="1:15" ht="13.15" customHeight="1">
      <c r="B767" s="271"/>
      <c r="C767" s="271"/>
      <c r="D767" s="271"/>
      <c r="E767" s="271"/>
      <c r="F767" s="271"/>
      <c r="G767" s="271"/>
      <c r="H767" s="271"/>
      <c r="I767" s="271"/>
      <c r="J767" s="271"/>
      <c r="K767" s="271"/>
      <c r="M767" s="3" t="s">
        <v>233</v>
      </c>
      <c r="O767" s="3">
        <f t="shared" si="11"/>
        <v>767</v>
      </c>
    </row>
    <row r="768" spans="1:15" ht="13.15" customHeight="1">
      <c r="B768" s="271"/>
      <c r="C768" s="271"/>
      <c r="D768" s="271"/>
      <c r="E768" s="271"/>
      <c r="F768" s="271"/>
      <c r="G768" s="271"/>
      <c r="H768" s="271"/>
      <c r="I768" s="271"/>
      <c r="J768" s="271"/>
      <c r="K768" s="271"/>
      <c r="O768" s="3">
        <f t="shared" si="11"/>
        <v>768</v>
      </c>
    </row>
    <row r="769" spans="1:17" ht="13.15" customHeight="1">
      <c r="B769" s="271"/>
      <c r="C769" s="271"/>
      <c r="D769" s="271"/>
      <c r="E769" s="271"/>
      <c r="F769" s="271"/>
      <c r="G769" s="271"/>
      <c r="H769" s="271"/>
      <c r="I769" s="271"/>
      <c r="J769" s="271"/>
      <c r="K769" s="271"/>
      <c r="M769" s="3" t="s">
        <v>233</v>
      </c>
      <c r="O769" s="3">
        <f t="shared" si="11"/>
        <v>769</v>
      </c>
    </row>
    <row r="770" spans="1:17" ht="13.15" customHeight="1">
      <c r="B770" s="271"/>
      <c r="C770" s="271"/>
      <c r="D770" s="271"/>
      <c r="E770" s="271"/>
      <c r="F770" s="271"/>
      <c r="G770" s="271"/>
      <c r="H770" s="271"/>
      <c r="I770" s="271"/>
      <c r="J770" s="271"/>
      <c r="K770" s="271"/>
      <c r="M770" s="3" t="s">
        <v>233</v>
      </c>
      <c r="O770" s="3">
        <f t="shared" si="11"/>
        <v>770</v>
      </c>
    </row>
    <row r="771" spans="1:17" ht="13.15" customHeight="1">
      <c r="B771" s="271"/>
      <c r="C771" s="271"/>
      <c r="D771" s="271"/>
      <c r="E771" s="271"/>
      <c r="F771" s="271"/>
      <c r="G771" s="271"/>
      <c r="H771" s="271"/>
      <c r="I771" s="271"/>
      <c r="J771" s="271"/>
      <c r="K771" s="271"/>
      <c r="M771" s="3" t="s">
        <v>233</v>
      </c>
      <c r="O771" s="3">
        <f t="shared" si="11"/>
        <v>771</v>
      </c>
    </row>
    <row r="772" spans="1:17" ht="13.15" customHeight="1">
      <c r="B772" s="170"/>
      <c r="C772" s="170"/>
      <c r="D772" s="170"/>
      <c r="E772" s="170"/>
      <c r="F772" s="170"/>
      <c r="G772" s="170"/>
      <c r="H772" s="170"/>
      <c r="I772" s="170"/>
      <c r="J772" s="170"/>
      <c r="K772" s="170"/>
      <c r="M772" s="3" t="s">
        <v>233</v>
      </c>
      <c r="O772" s="3">
        <f t="shared" si="11"/>
        <v>772</v>
      </c>
    </row>
    <row r="773" spans="1:17" ht="13.15" customHeight="1">
      <c r="B773" s="156" t="s">
        <v>379</v>
      </c>
      <c r="C773" s="271" t="s">
        <v>216</v>
      </c>
      <c r="D773" s="271"/>
      <c r="E773" s="271"/>
      <c r="F773" s="271"/>
      <c r="G773" s="271"/>
      <c r="H773" s="271"/>
      <c r="I773" s="271"/>
      <c r="J773" s="271"/>
      <c r="K773" s="271"/>
      <c r="M773" s="3" t="s">
        <v>233</v>
      </c>
      <c r="O773" s="3">
        <f t="shared" si="11"/>
        <v>773</v>
      </c>
    </row>
    <row r="774" spans="1:17" ht="13.15" customHeight="1">
      <c r="B774" s="167"/>
      <c r="C774" s="271"/>
      <c r="D774" s="271"/>
      <c r="E774" s="271"/>
      <c r="F774" s="271"/>
      <c r="G774" s="271"/>
      <c r="H774" s="271"/>
      <c r="I774" s="271"/>
      <c r="J774" s="271"/>
      <c r="K774" s="271"/>
      <c r="M774" s="3" t="s">
        <v>233</v>
      </c>
      <c r="O774" s="3">
        <f t="shared" si="11"/>
        <v>774</v>
      </c>
    </row>
    <row r="775" spans="1:17" ht="13.15" customHeight="1">
      <c r="B775" s="167"/>
      <c r="C775" s="271"/>
      <c r="D775" s="271"/>
      <c r="E775" s="271"/>
      <c r="F775" s="271"/>
      <c r="G775" s="271"/>
      <c r="H775" s="271"/>
      <c r="I775" s="271"/>
      <c r="J775" s="271"/>
      <c r="K775" s="271"/>
      <c r="M775" s="3" t="s">
        <v>233</v>
      </c>
      <c r="O775" s="3">
        <f t="shared" si="11"/>
        <v>775</v>
      </c>
    </row>
    <row r="776" spans="1:17" ht="13.15" customHeight="1">
      <c r="B776" s="170"/>
      <c r="C776" s="170"/>
      <c r="D776" s="170"/>
      <c r="E776" s="170"/>
      <c r="F776" s="170"/>
      <c r="G776" s="170"/>
      <c r="H776" s="170"/>
      <c r="I776" s="170"/>
      <c r="J776" s="170"/>
      <c r="K776" s="170"/>
      <c r="M776" s="3" t="s">
        <v>233</v>
      </c>
      <c r="O776" s="3">
        <f t="shared" si="11"/>
        <v>776</v>
      </c>
    </row>
    <row r="777" spans="1:17" s="63" customFormat="1" ht="13.15" customHeight="1">
      <c r="A777" s="152" t="s">
        <v>429</v>
      </c>
      <c r="B777" s="271" t="s">
        <v>323</v>
      </c>
      <c r="C777" s="271"/>
      <c r="D777" s="271"/>
      <c r="E777" s="271"/>
      <c r="F777" s="271"/>
      <c r="G777" s="271"/>
      <c r="H777" s="271"/>
      <c r="I777" s="271"/>
      <c r="J777" s="271"/>
      <c r="K777" s="271"/>
      <c r="L777" s="3">
        <v>51</v>
      </c>
      <c r="M777" s="63">
        <v>6</v>
      </c>
      <c r="N777" s="63">
        <v>3</v>
      </c>
      <c r="O777" s="3">
        <f t="shared" si="11"/>
        <v>777</v>
      </c>
      <c r="P777" s="3"/>
      <c r="Q777" s="3"/>
    </row>
    <row r="778" spans="1:17" s="63" customFormat="1" ht="13.15" customHeight="1">
      <c r="A778" s="152"/>
      <c r="B778" s="271"/>
      <c r="C778" s="271"/>
      <c r="D778" s="271"/>
      <c r="E778" s="271"/>
      <c r="F778" s="271"/>
      <c r="G778" s="271"/>
      <c r="H778" s="271"/>
      <c r="I778" s="271"/>
      <c r="J778" s="271"/>
      <c r="K778" s="271"/>
      <c r="M778" s="63" t="s">
        <v>233</v>
      </c>
      <c r="O778" s="3">
        <f t="shared" si="11"/>
        <v>778</v>
      </c>
      <c r="P778" s="3"/>
      <c r="Q778" s="3"/>
    </row>
    <row r="779" spans="1:17" s="63" customFormat="1" ht="13.15" customHeight="1">
      <c r="A779" s="152"/>
      <c r="B779" s="271"/>
      <c r="C779" s="271"/>
      <c r="D779" s="271"/>
      <c r="E779" s="271"/>
      <c r="F779" s="271"/>
      <c r="G779" s="271"/>
      <c r="H779" s="271"/>
      <c r="I779" s="271"/>
      <c r="J779" s="271"/>
      <c r="K779" s="271"/>
      <c r="M779" s="63" t="s">
        <v>233</v>
      </c>
      <c r="O779" s="3">
        <f t="shared" si="11"/>
        <v>779</v>
      </c>
      <c r="P779" s="3"/>
      <c r="Q779" s="3"/>
    </row>
    <row r="780" spans="1:17" s="63" customFormat="1" ht="13.15" customHeight="1">
      <c r="A780" s="152"/>
      <c r="B780" s="170"/>
      <c r="C780" s="170"/>
      <c r="D780" s="170"/>
      <c r="E780" s="170"/>
      <c r="F780" s="170"/>
      <c r="G780" s="170"/>
      <c r="H780" s="170"/>
      <c r="I780" s="170"/>
      <c r="J780" s="170"/>
      <c r="K780" s="170"/>
      <c r="M780" s="63" t="s">
        <v>233</v>
      </c>
      <c r="O780" s="3">
        <f t="shared" si="11"/>
        <v>780</v>
      </c>
      <c r="P780" s="3"/>
      <c r="Q780" s="3"/>
    </row>
    <row r="781" spans="1:17" s="63" customFormat="1" ht="13.15" customHeight="1">
      <c r="A781" s="152"/>
      <c r="B781" s="156" t="s">
        <v>379</v>
      </c>
      <c r="C781" s="271" t="s">
        <v>217</v>
      </c>
      <c r="D781" s="271"/>
      <c r="E781" s="271"/>
      <c r="F781" s="271"/>
      <c r="G781" s="271"/>
      <c r="H781" s="271"/>
      <c r="I781" s="271"/>
      <c r="J781" s="271"/>
      <c r="K781" s="271"/>
      <c r="M781" s="63" t="s">
        <v>233</v>
      </c>
      <c r="O781" s="3">
        <f t="shared" si="11"/>
        <v>781</v>
      </c>
      <c r="P781" s="3"/>
      <c r="Q781" s="3"/>
    </row>
    <row r="782" spans="1:17" s="63" customFormat="1" ht="13.15" customHeight="1">
      <c r="A782" s="152"/>
      <c r="B782" s="3"/>
      <c r="C782" s="271"/>
      <c r="D782" s="271"/>
      <c r="E782" s="271"/>
      <c r="F782" s="271"/>
      <c r="G782" s="271"/>
      <c r="H782" s="271"/>
      <c r="I782" s="271"/>
      <c r="J782" s="271"/>
      <c r="K782" s="271"/>
      <c r="M782" s="63" t="s">
        <v>233</v>
      </c>
      <c r="O782" s="3">
        <f t="shared" si="11"/>
        <v>782</v>
      </c>
      <c r="P782" s="3"/>
      <c r="Q782" s="3"/>
    </row>
    <row r="783" spans="1:17" ht="13.15" customHeight="1">
      <c r="A783" s="3"/>
      <c r="L783" s="63"/>
      <c r="M783" s="3" t="s">
        <v>233</v>
      </c>
      <c r="O783" s="3">
        <f t="shared" si="11"/>
        <v>783</v>
      </c>
    </row>
    <row r="784" spans="1:17" s="63" customFormat="1" ht="13.15" customHeight="1">
      <c r="A784" s="152" t="s">
        <v>430</v>
      </c>
      <c r="B784" s="285" t="s">
        <v>460</v>
      </c>
      <c r="C784" s="285"/>
      <c r="D784" s="285"/>
      <c r="E784" s="285"/>
      <c r="F784" s="285"/>
      <c r="G784" s="285"/>
      <c r="H784" s="285"/>
      <c r="I784" s="285"/>
      <c r="J784" s="285"/>
      <c r="K784" s="285"/>
      <c r="L784" s="63">
        <v>52</v>
      </c>
      <c r="M784" s="63">
        <v>20</v>
      </c>
      <c r="N784" s="63">
        <v>13</v>
      </c>
      <c r="O784" s="3">
        <f t="shared" si="11"/>
        <v>784</v>
      </c>
      <c r="P784" s="3"/>
    </row>
    <row r="785" spans="1:16" s="63" customFormat="1" ht="13.15" customHeight="1">
      <c r="A785" s="152"/>
      <c r="B785" s="285"/>
      <c r="C785" s="285"/>
      <c r="D785" s="285"/>
      <c r="E785" s="285"/>
      <c r="F785" s="285"/>
      <c r="G785" s="285"/>
      <c r="H785" s="285"/>
      <c r="I785" s="285"/>
      <c r="J785" s="285"/>
      <c r="K785" s="285"/>
      <c r="O785" s="3">
        <f t="shared" si="11"/>
        <v>785</v>
      </c>
      <c r="P785" s="3"/>
    </row>
    <row r="786" spans="1:16" s="63" customFormat="1" ht="13.15" customHeight="1">
      <c r="A786" s="152"/>
      <c r="B786" s="285"/>
      <c r="C786" s="285"/>
      <c r="D786" s="285"/>
      <c r="E786" s="285"/>
      <c r="F786" s="285"/>
      <c r="G786" s="285"/>
      <c r="H786" s="285"/>
      <c r="I786" s="285"/>
      <c r="J786" s="285"/>
      <c r="K786" s="285"/>
      <c r="O786" s="3">
        <f t="shared" si="11"/>
        <v>786</v>
      </c>
      <c r="P786" s="3"/>
    </row>
    <row r="787" spans="1:16" s="63" customFormat="1" ht="13.15" customHeight="1">
      <c r="A787" s="152"/>
      <c r="B787" s="285"/>
      <c r="C787" s="285"/>
      <c r="D787" s="285"/>
      <c r="E787" s="285"/>
      <c r="F787" s="285"/>
      <c r="G787" s="285"/>
      <c r="H787" s="285"/>
      <c r="I787" s="285"/>
      <c r="J787" s="285"/>
      <c r="K787" s="285"/>
      <c r="O787" s="3">
        <f t="shared" si="11"/>
        <v>787</v>
      </c>
      <c r="P787" s="3"/>
    </row>
    <row r="788" spans="1:16" s="63" customFormat="1" ht="13.15" customHeight="1">
      <c r="A788" s="152"/>
      <c r="B788" s="285"/>
      <c r="C788" s="285"/>
      <c r="D788" s="285"/>
      <c r="E788" s="285"/>
      <c r="F788" s="285"/>
      <c r="G788" s="285"/>
      <c r="H788" s="285"/>
      <c r="I788" s="285"/>
      <c r="J788" s="285"/>
      <c r="K788" s="285"/>
      <c r="O788" s="3">
        <f t="shared" si="11"/>
        <v>788</v>
      </c>
      <c r="P788" s="3"/>
    </row>
    <row r="789" spans="1:16" s="63" customFormat="1" ht="13.15" customHeight="1">
      <c r="A789" s="152"/>
      <c r="B789" s="285"/>
      <c r="C789" s="285"/>
      <c r="D789" s="285"/>
      <c r="E789" s="285"/>
      <c r="F789" s="285"/>
      <c r="G789" s="285"/>
      <c r="H789" s="285"/>
      <c r="I789" s="285"/>
      <c r="J789" s="285"/>
      <c r="K789" s="285"/>
      <c r="O789" s="3">
        <f t="shared" si="11"/>
        <v>789</v>
      </c>
      <c r="P789" s="3"/>
    </row>
    <row r="790" spans="1:16" s="63" customFormat="1" ht="13.15" customHeight="1">
      <c r="A790" s="152"/>
      <c r="B790" s="285"/>
      <c r="C790" s="285"/>
      <c r="D790" s="285"/>
      <c r="E790" s="285"/>
      <c r="F790" s="285"/>
      <c r="G790" s="285"/>
      <c r="H790" s="285"/>
      <c r="I790" s="285"/>
      <c r="J790" s="285"/>
      <c r="K790" s="285"/>
      <c r="O790" s="3">
        <f t="shared" si="11"/>
        <v>790</v>
      </c>
      <c r="P790" s="3"/>
    </row>
    <row r="791" spans="1:16" s="63" customFormat="1" ht="13.15" customHeight="1">
      <c r="A791" s="152"/>
      <c r="B791" s="285"/>
      <c r="C791" s="285"/>
      <c r="D791" s="285"/>
      <c r="E791" s="285"/>
      <c r="F791" s="285"/>
      <c r="G791" s="285"/>
      <c r="H791" s="285"/>
      <c r="I791" s="285"/>
      <c r="J791" s="285"/>
      <c r="K791" s="285"/>
      <c r="O791" s="3">
        <f t="shared" si="11"/>
        <v>791</v>
      </c>
      <c r="P791" s="3"/>
    </row>
    <row r="792" spans="1:16" s="63" customFormat="1" ht="13.15" customHeight="1">
      <c r="A792" s="152"/>
      <c r="B792" s="285"/>
      <c r="C792" s="285"/>
      <c r="D792" s="285"/>
      <c r="E792" s="285"/>
      <c r="F792" s="285"/>
      <c r="G792" s="285"/>
      <c r="H792" s="285"/>
      <c r="I792" s="285"/>
      <c r="J792" s="285"/>
      <c r="K792" s="285"/>
      <c r="O792" s="3">
        <f t="shared" si="11"/>
        <v>792</v>
      </c>
      <c r="P792" s="3"/>
    </row>
    <row r="793" spans="1:16" s="63" customFormat="1" ht="13.15" customHeight="1">
      <c r="A793" s="152"/>
      <c r="B793" s="285"/>
      <c r="C793" s="285"/>
      <c r="D793" s="285"/>
      <c r="E793" s="285"/>
      <c r="F793" s="285"/>
      <c r="G793" s="285"/>
      <c r="H793" s="285"/>
      <c r="I793" s="285"/>
      <c r="J793" s="285"/>
      <c r="K793" s="285"/>
      <c r="O793" s="3">
        <f t="shared" si="11"/>
        <v>793</v>
      </c>
      <c r="P793" s="3"/>
    </row>
    <row r="794" spans="1:16" s="63" customFormat="1" ht="13.15" customHeight="1">
      <c r="A794" s="152"/>
      <c r="B794" s="285"/>
      <c r="C794" s="285"/>
      <c r="D794" s="285"/>
      <c r="E794" s="285"/>
      <c r="F794" s="285"/>
      <c r="G794" s="285"/>
      <c r="H794" s="285"/>
      <c r="I794" s="285"/>
      <c r="J794" s="285"/>
      <c r="K794" s="285"/>
      <c r="O794" s="3">
        <f t="shared" si="11"/>
        <v>794</v>
      </c>
      <c r="P794" s="3"/>
    </row>
    <row r="795" spans="1:16" s="63" customFormat="1" ht="13.15" customHeight="1">
      <c r="A795" s="152"/>
      <c r="B795" s="285"/>
      <c r="C795" s="285"/>
      <c r="D795" s="285"/>
      <c r="E795" s="285"/>
      <c r="F795" s="285"/>
      <c r="G795" s="285"/>
      <c r="H795" s="285"/>
      <c r="I795" s="285"/>
      <c r="J795" s="285"/>
      <c r="K795" s="285"/>
      <c r="O795" s="3">
        <f t="shared" si="11"/>
        <v>795</v>
      </c>
      <c r="P795" s="3"/>
    </row>
    <row r="796" spans="1:16" s="63" customFormat="1" ht="13.15" customHeight="1">
      <c r="A796" s="152"/>
      <c r="B796" s="285"/>
      <c r="C796" s="285"/>
      <c r="D796" s="285"/>
      <c r="E796" s="285"/>
      <c r="F796" s="285"/>
      <c r="G796" s="285"/>
      <c r="H796" s="285"/>
      <c r="I796" s="285"/>
      <c r="J796" s="285"/>
      <c r="K796" s="285"/>
      <c r="O796" s="3">
        <f t="shared" si="11"/>
        <v>796</v>
      </c>
      <c r="P796" s="3"/>
    </row>
    <row r="797" spans="1:16" s="63" customFormat="1" ht="13.15" customHeight="1">
      <c r="A797" s="152"/>
      <c r="B797" s="3"/>
      <c r="C797" s="170"/>
      <c r="D797" s="170"/>
      <c r="E797" s="170"/>
      <c r="F797" s="170"/>
      <c r="G797" s="170"/>
      <c r="H797" s="170"/>
      <c r="I797" s="170"/>
      <c r="J797" s="170"/>
      <c r="K797" s="170"/>
      <c r="O797" s="3">
        <f t="shared" si="11"/>
        <v>797</v>
      </c>
      <c r="P797" s="3"/>
    </row>
    <row r="798" spans="1:16" s="63" customFormat="1" ht="13.15" customHeight="1">
      <c r="A798" s="152"/>
      <c r="B798" s="156" t="s">
        <v>379</v>
      </c>
      <c r="C798" s="271" t="s">
        <v>451</v>
      </c>
      <c r="D798" s="271"/>
      <c r="E798" s="271"/>
      <c r="F798" s="271"/>
      <c r="G798" s="271"/>
      <c r="H798" s="271"/>
      <c r="I798" s="271"/>
      <c r="J798" s="271"/>
      <c r="K798" s="271"/>
      <c r="O798" s="3">
        <f t="shared" si="11"/>
        <v>798</v>
      </c>
      <c r="P798" s="3"/>
    </row>
    <row r="799" spans="1:16" s="63" customFormat="1" ht="13.15" customHeight="1">
      <c r="A799" s="152"/>
      <c r="B799" s="3"/>
      <c r="C799" s="271"/>
      <c r="D799" s="271"/>
      <c r="E799" s="271"/>
      <c r="F799" s="271"/>
      <c r="G799" s="271"/>
      <c r="H799" s="271"/>
      <c r="I799" s="271"/>
      <c r="J799" s="271"/>
      <c r="K799" s="271"/>
      <c r="O799" s="3">
        <f t="shared" si="11"/>
        <v>799</v>
      </c>
      <c r="P799" s="3"/>
    </row>
    <row r="800" spans="1:16" s="63" customFormat="1" ht="13.15" customHeight="1">
      <c r="A800" s="152"/>
      <c r="B800" s="3"/>
      <c r="C800" s="271"/>
      <c r="D800" s="271"/>
      <c r="E800" s="271"/>
      <c r="F800" s="271"/>
      <c r="G800" s="271"/>
      <c r="H800" s="271"/>
      <c r="I800" s="271"/>
      <c r="J800" s="271"/>
      <c r="K800" s="271"/>
      <c r="O800" s="3">
        <f t="shared" si="11"/>
        <v>800</v>
      </c>
      <c r="P800" s="3"/>
    </row>
    <row r="801" spans="1:16" s="63" customFormat="1" ht="13.15" customHeight="1">
      <c r="A801" s="152"/>
      <c r="B801" s="3"/>
      <c r="C801" s="271"/>
      <c r="D801" s="271"/>
      <c r="E801" s="271"/>
      <c r="F801" s="271"/>
      <c r="G801" s="271"/>
      <c r="H801" s="271"/>
      <c r="I801" s="271"/>
      <c r="J801" s="271"/>
      <c r="K801" s="271"/>
      <c r="O801" s="3">
        <f t="shared" si="11"/>
        <v>801</v>
      </c>
      <c r="P801" s="3"/>
    </row>
    <row r="802" spans="1:16" s="63" customFormat="1" ht="13.15" customHeight="1">
      <c r="A802" s="152"/>
      <c r="B802" s="3"/>
      <c r="C802" s="271"/>
      <c r="D802" s="271"/>
      <c r="E802" s="271"/>
      <c r="F802" s="271"/>
      <c r="G802" s="271"/>
      <c r="H802" s="271"/>
      <c r="I802" s="271"/>
      <c r="J802" s="271"/>
      <c r="K802" s="271"/>
      <c r="O802" s="3">
        <f t="shared" si="11"/>
        <v>802</v>
      </c>
      <c r="P802" s="3"/>
    </row>
    <row r="803" spans="1:16" s="63" customFormat="1" ht="13.15" customHeight="1">
      <c r="A803" s="152"/>
      <c r="B803" s="3"/>
      <c r="C803" s="271"/>
      <c r="D803" s="271"/>
      <c r="E803" s="271"/>
      <c r="F803" s="271"/>
      <c r="G803" s="271"/>
      <c r="H803" s="271"/>
      <c r="I803" s="271"/>
      <c r="J803" s="271"/>
      <c r="K803" s="271"/>
      <c r="O803" s="3">
        <f t="shared" si="11"/>
        <v>803</v>
      </c>
      <c r="P803" s="3"/>
    </row>
    <row r="804" spans="1:16" s="63" customFormat="1" ht="13.15" customHeight="1">
      <c r="A804" s="152"/>
      <c r="B804" s="3"/>
      <c r="C804" s="170"/>
      <c r="D804" s="170"/>
      <c r="E804" s="170"/>
      <c r="F804" s="170"/>
      <c r="G804" s="170"/>
      <c r="H804" s="170"/>
      <c r="I804" s="170"/>
      <c r="J804" s="170"/>
      <c r="K804" s="170"/>
      <c r="O804" s="3">
        <f t="shared" si="11"/>
        <v>804</v>
      </c>
      <c r="P804" s="3"/>
    </row>
    <row r="805" spans="1:16" s="63" customFormat="1" ht="13.15" customHeight="1">
      <c r="A805" s="152" t="s">
        <v>431</v>
      </c>
      <c r="B805" s="271" t="s">
        <v>324</v>
      </c>
      <c r="C805" s="271"/>
      <c r="D805" s="271"/>
      <c r="E805" s="271"/>
      <c r="F805" s="271"/>
      <c r="G805" s="271"/>
      <c r="H805" s="271"/>
      <c r="I805" s="271"/>
      <c r="J805" s="271"/>
      <c r="K805" s="271"/>
      <c r="L805" s="3">
        <v>53</v>
      </c>
      <c r="M805" s="63">
        <v>11</v>
      </c>
      <c r="N805" s="63">
        <v>1</v>
      </c>
      <c r="O805" s="3">
        <f t="shared" si="11"/>
        <v>805</v>
      </c>
      <c r="P805" s="3"/>
    </row>
    <row r="806" spans="1:16" s="63" customFormat="1" ht="13.15" customHeight="1">
      <c r="A806" s="152"/>
      <c r="B806" s="170"/>
      <c r="C806" s="170"/>
      <c r="D806" s="170"/>
      <c r="E806" s="170"/>
      <c r="F806" s="170"/>
      <c r="G806" s="170"/>
      <c r="H806" s="170"/>
      <c r="I806" s="170"/>
      <c r="J806" s="170"/>
      <c r="K806" s="170"/>
      <c r="M806" s="63" t="s">
        <v>233</v>
      </c>
      <c r="O806" s="3">
        <f t="shared" si="11"/>
        <v>806</v>
      </c>
      <c r="P806" s="3"/>
    </row>
    <row r="807" spans="1:16" s="63" customFormat="1" ht="13.15" customHeight="1">
      <c r="A807" s="152"/>
      <c r="B807" s="156" t="s">
        <v>379</v>
      </c>
      <c r="C807" s="271" t="s">
        <v>325</v>
      </c>
      <c r="D807" s="271"/>
      <c r="E807" s="271"/>
      <c r="F807" s="271"/>
      <c r="G807" s="271"/>
      <c r="H807" s="271"/>
      <c r="I807" s="271"/>
      <c r="J807" s="271"/>
      <c r="K807" s="271"/>
      <c r="M807" s="63" t="s">
        <v>233</v>
      </c>
      <c r="O807" s="3">
        <f t="shared" si="11"/>
        <v>807</v>
      </c>
      <c r="P807" s="3"/>
    </row>
    <row r="808" spans="1:16" s="63" customFormat="1" ht="13.15" customHeight="1">
      <c r="A808" s="152"/>
      <c r="B808" s="60"/>
      <c r="C808" s="271"/>
      <c r="D808" s="271"/>
      <c r="E808" s="271"/>
      <c r="F808" s="271"/>
      <c r="G808" s="271"/>
      <c r="H808" s="271"/>
      <c r="I808" s="271"/>
      <c r="J808" s="271"/>
      <c r="K808" s="271"/>
      <c r="M808" s="63" t="s">
        <v>233</v>
      </c>
      <c r="O808" s="3">
        <f t="shared" si="11"/>
        <v>808</v>
      </c>
      <c r="P808" s="3"/>
    </row>
    <row r="809" spans="1:16" s="63" customFormat="1" ht="13.15" customHeight="1">
      <c r="A809" s="152"/>
      <c r="B809" s="60"/>
      <c r="C809" s="271"/>
      <c r="D809" s="271"/>
      <c r="E809" s="271"/>
      <c r="F809" s="271"/>
      <c r="G809" s="271"/>
      <c r="H809" s="271"/>
      <c r="I809" s="271"/>
      <c r="J809" s="271"/>
      <c r="K809" s="271"/>
      <c r="M809" s="63" t="s">
        <v>233</v>
      </c>
      <c r="O809" s="3">
        <f t="shared" si="11"/>
        <v>809</v>
      </c>
      <c r="P809" s="3"/>
    </row>
    <row r="810" spans="1:16" s="63" customFormat="1" ht="13.15" customHeight="1">
      <c r="A810" s="152"/>
      <c r="B810" s="60"/>
      <c r="C810" s="271"/>
      <c r="D810" s="271"/>
      <c r="E810" s="271"/>
      <c r="F810" s="271"/>
      <c r="G810" s="271"/>
      <c r="H810" s="271"/>
      <c r="I810" s="271"/>
      <c r="J810" s="271"/>
      <c r="K810" s="271"/>
      <c r="M810" s="63" t="s">
        <v>233</v>
      </c>
      <c r="O810" s="3">
        <f t="shared" si="11"/>
        <v>810</v>
      </c>
      <c r="P810" s="3"/>
    </row>
    <row r="811" spans="1:16" ht="13.15" customHeight="1">
      <c r="C811" s="271"/>
      <c r="D811" s="271"/>
      <c r="E811" s="271"/>
      <c r="F811" s="271"/>
      <c r="G811" s="271"/>
      <c r="H811" s="271"/>
      <c r="I811" s="271"/>
      <c r="J811" s="271"/>
      <c r="K811" s="271"/>
      <c r="L811" s="63"/>
      <c r="M811" s="3" t="s">
        <v>233</v>
      </c>
      <c r="O811" s="3">
        <f t="shared" si="11"/>
        <v>811</v>
      </c>
    </row>
    <row r="812" spans="1:16" ht="13.15" customHeight="1">
      <c r="C812" s="271"/>
      <c r="D812" s="271"/>
      <c r="E812" s="271"/>
      <c r="F812" s="271"/>
      <c r="G812" s="271"/>
      <c r="H812" s="271"/>
      <c r="I812" s="271"/>
      <c r="J812" s="271"/>
      <c r="K812" s="271"/>
      <c r="M812" s="3" t="s">
        <v>233</v>
      </c>
      <c r="O812" s="3">
        <f t="shared" si="11"/>
        <v>812</v>
      </c>
    </row>
    <row r="813" spans="1:16" ht="13.15" customHeight="1">
      <c r="C813" s="271"/>
      <c r="D813" s="271"/>
      <c r="E813" s="271"/>
      <c r="F813" s="271"/>
      <c r="G813" s="271"/>
      <c r="H813" s="271"/>
      <c r="I813" s="271"/>
      <c r="J813" s="271"/>
      <c r="K813" s="271"/>
      <c r="M813" s="3" t="s">
        <v>233</v>
      </c>
      <c r="O813" s="3">
        <f t="shared" si="11"/>
        <v>813</v>
      </c>
    </row>
    <row r="814" spans="1:16" ht="13.15" customHeight="1">
      <c r="C814" s="271"/>
      <c r="D814" s="271"/>
      <c r="E814" s="271"/>
      <c r="F814" s="271"/>
      <c r="G814" s="271"/>
      <c r="H814" s="271"/>
      <c r="I814" s="271"/>
      <c r="J814" s="271"/>
      <c r="K814" s="271"/>
      <c r="M814" s="3" t="s">
        <v>233</v>
      </c>
      <c r="O814" s="3">
        <f t="shared" si="11"/>
        <v>814</v>
      </c>
    </row>
    <row r="815" spans="1:16" ht="13.15" customHeight="1">
      <c r="C815" s="271"/>
      <c r="D815" s="271"/>
      <c r="E815" s="271"/>
      <c r="F815" s="271"/>
      <c r="G815" s="271"/>
      <c r="H815" s="271"/>
      <c r="I815" s="271"/>
      <c r="J815" s="271"/>
      <c r="K815" s="271"/>
      <c r="M815" s="3" t="s">
        <v>233</v>
      </c>
      <c r="O815" s="3">
        <f t="shared" si="11"/>
        <v>815</v>
      </c>
    </row>
    <row r="816" spans="1:16" ht="13.15" customHeight="1">
      <c r="C816" s="93"/>
      <c r="D816" s="93"/>
      <c r="E816" s="93"/>
      <c r="F816" s="93"/>
      <c r="G816" s="93"/>
      <c r="H816" s="93"/>
      <c r="I816" s="93"/>
      <c r="J816" s="93"/>
      <c r="K816" s="93"/>
      <c r="M816" s="3" t="s">
        <v>233</v>
      </c>
      <c r="O816" s="3">
        <f t="shared" si="11"/>
        <v>816</v>
      </c>
    </row>
    <row r="817" spans="1:16" s="63" customFormat="1" ht="13.15" customHeight="1">
      <c r="A817" s="152" t="s">
        <v>432</v>
      </c>
      <c r="B817" s="271" t="s">
        <v>326</v>
      </c>
      <c r="C817" s="271"/>
      <c r="D817" s="271"/>
      <c r="E817" s="271"/>
      <c r="F817" s="271"/>
      <c r="G817" s="271"/>
      <c r="H817" s="271"/>
      <c r="I817" s="271"/>
      <c r="J817" s="271"/>
      <c r="K817" s="271"/>
      <c r="L817" s="3">
        <v>54</v>
      </c>
      <c r="M817" s="63">
        <v>10</v>
      </c>
      <c r="N817" s="63">
        <v>1</v>
      </c>
      <c r="O817" s="3">
        <f t="shared" si="11"/>
        <v>817</v>
      </c>
      <c r="P817" s="3"/>
    </row>
    <row r="818" spans="1:16" s="63" customFormat="1" ht="13.15" customHeight="1">
      <c r="A818" s="152"/>
      <c r="B818" s="271"/>
      <c r="C818" s="271"/>
      <c r="D818" s="271"/>
      <c r="E818" s="271"/>
      <c r="F818" s="271"/>
      <c r="G818" s="271"/>
      <c r="H818" s="271"/>
      <c r="I818" s="271"/>
      <c r="J818" s="271"/>
      <c r="K818" s="271"/>
      <c r="M818" s="63" t="s">
        <v>233</v>
      </c>
      <c r="O818" s="3">
        <f t="shared" si="11"/>
        <v>818</v>
      </c>
      <c r="P818" s="3"/>
    </row>
    <row r="819" spans="1:16" s="63" customFormat="1" ht="13.15" customHeight="1">
      <c r="A819" s="152"/>
      <c r="B819" s="156" t="s">
        <v>379</v>
      </c>
      <c r="C819" s="271" t="s">
        <v>327</v>
      </c>
      <c r="D819" s="271"/>
      <c r="E819" s="271"/>
      <c r="F819" s="271"/>
      <c r="G819" s="271"/>
      <c r="H819" s="271"/>
      <c r="I819" s="271"/>
      <c r="J819" s="271"/>
      <c r="K819" s="271"/>
      <c r="M819" s="63" t="s">
        <v>233</v>
      </c>
      <c r="O819" s="3">
        <f t="shared" si="11"/>
        <v>819</v>
      </c>
      <c r="P819" s="3"/>
    </row>
    <row r="820" spans="1:16" s="63" customFormat="1" ht="13.15" customHeight="1">
      <c r="A820" s="152"/>
      <c r="B820" s="60"/>
      <c r="C820" s="271"/>
      <c r="D820" s="271"/>
      <c r="E820" s="271"/>
      <c r="F820" s="271"/>
      <c r="G820" s="271"/>
      <c r="H820" s="271"/>
      <c r="I820" s="271"/>
      <c r="J820" s="271"/>
      <c r="K820" s="271"/>
      <c r="M820" s="63" t="s">
        <v>233</v>
      </c>
      <c r="O820" s="3">
        <f t="shared" si="11"/>
        <v>820</v>
      </c>
      <c r="P820" s="3"/>
    </row>
    <row r="821" spans="1:16" s="63" customFormat="1" ht="13.15" customHeight="1">
      <c r="A821" s="152"/>
      <c r="B821" s="60"/>
      <c r="C821" s="271"/>
      <c r="D821" s="271"/>
      <c r="E821" s="271"/>
      <c r="F821" s="271"/>
      <c r="G821" s="271"/>
      <c r="H821" s="271"/>
      <c r="I821" s="271"/>
      <c r="J821" s="271"/>
      <c r="K821" s="271"/>
      <c r="M821" s="63" t="s">
        <v>233</v>
      </c>
      <c r="O821" s="3">
        <f t="shared" si="11"/>
        <v>821</v>
      </c>
      <c r="P821" s="3"/>
    </row>
    <row r="822" spans="1:16" ht="13.15" customHeight="1">
      <c r="C822" s="271"/>
      <c r="D822" s="271"/>
      <c r="E822" s="271"/>
      <c r="F822" s="271"/>
      <c r="G822" s="271"/>
      <c r="H822" s="271"/>
      <c r="I822" s="271"/>
      <c r="J822" s="271"/>
      <c r="K822" s="271"/>
      <c r="L822" s="63"/>
      <c r="M822" s="3" t="s">
        <v>233</v>
      </c>
      <c r="O822" s="3">
        <f t="shared" si="11"/>
        <v>822</v>
      </c>
    </row>
    <row r="823" spans="1:16" ht="13.15" customHeight="1">
      <c r="C823" s="271"/>
      <c r="D823" s="271"/>
      <c r="E823" s="271"/>
      <c r="F823" s="271"/>
      <c r="G823" s="271"/>
      <c r="H823" s="271"/>
      <c r="I823" s="271"/>
      <c r="J823" s="271"/>
      <c r="K823" s="271"/>
      <c r="M823" s="3" t="s">
        <v>233</v>
      </c>
      <c r="O823" s="3">
        <f t="shared" si="11"/>
        <v>823</v>
      </c>
    </row>
    <row r="824" spans="1:16" ht="13.15" customHeight="1">
      <c r="C824" s="271"/>
      <c r="D824" s="271"/>
      <c r="E824" s="271"/>
      <c r="F824" s="271"/>
      <c r="G824" s="271"/>
      <c r="H824" s="271"/>
      <c r="I824" s="271"/>
      <c r="J824" s="271"/>
      <c r="K824" s="271"/>
      <c r="M824" s="3" t="s">
        <v>233</v>
      </c>
      <c r="O824" s="3">
        <f t="shared" si="11"/>
        <v>824</v>
      </c>
    </row>
    <row r="825" spans="1:16" ht="13.15" customHeight="1">
      <c r="C825" s="271"/>
      <c r="D825" s="271"/>
      <c r="E825" s="271"/>
      <c r="F825" s="271"/>
      <c r="G825" s="271"/>
      <c r="H825" s="271"/>
      <c r="I825" s="271"/>
      <c r="J825" s="271"/>
      <c r="K825" s="271"/>
      <c r="M825" s="3" t="s">
        <v>233</v>
      </c>
      <c r="O825" s="3">
        <f t="shared" si="11"/>
        <v>825</v>
      </c>
    </row>
    <row r="826" spans="1:16" ht="13.15" customHeight="1">
      <c r="C826" s="271"/>
      <c r="D826" s="271"/>
      <c r="E826" s="271"/>
      <c r="F826" s="271"/>
      <c r="G826" s="271"/>
      <c r="H826" s="271"/>
      <c r="I826" s="271"/>
      <c r="J826" s="271"/>
      <c r="K826" s="271"/>
      <c r="M826" s="3" t="s">
        <v>233</v>
      </c>
      <c r="O826" s="3">
        <f t="shared" si="11"/>
        <v>826</v>
      </c>
    </row>
    <row r="827" spans="1:16" ht="13.15" customHeight="1">
      <c r="C827" s="121"/>
      <c r="D827" s="121"/>
      <c r="E827" s="121"/>
      <c r="F827" s="121"/>
      <c r="G827" s="121"/>
      <c r="H827" s="121"/>
      <c r="I827" s="121"/>
      <c r="J827" s="121"/>
      <c r="K827" s="121"/>
      <c r="M827" s="3" t="s">
        <v>233</v>
      </c>
      <c r="O827" s="3">
        <f t="shared" si="11"/>
        <v>827</v>
      </c>
    </row>
    <row r="828" spans="1:16" s="63" customFormat="1" ht="13.15" customHeight="1">
      <c r="A828" s="152" t="s">
        <v>433</v>
      </c>
      <c r="B828" s="271" t="s">
        <v>328</v>
      </c>
      <c r="C828" s="271"/>
      <c r="D828" s="271"/>
      <c r="E828" s="271"/>
      <c r="F828" s="271"/>
      <c r="G828" s="271"/>
      <c r="H828" s="271"/>
      <c r="I828" s="271"/>
      <c r="J828" s="271"/>
      <c r="K828" s="271"/>
      <c r="L828" s="3">
        <v>55</v>
      </c>
      <c r="M828" s="63">
        <v>11</v>
      </c>
      <c r="N828" s="63">
        <v>2</v>
      </c>
      <c r="O828" s="3">
        <f t="shared" ref="O828:O912" si="12">ROW(M828)</f>
        <v>828</v>
      </c>
      <c r="P828" s="3"/>
    </row>
    <row r="829" spans="1:16" s="63" customFormat="1" ht="13.15" customHeight="1">
      <c r="A829" s="152"/>
      <c r="B829" s="271"/>
      <c r="C829" s="271"/>
      <c r="D829" s="271"/>
      <c r="E829" s="271"/>
      <c r="F829" s="271"/>
      <c r="G829" s="271"/>
      <c r="H829" s="271"/>
      <c r="I829" s="271"/>
      <c r="J829" s="271"/>
      <c r="K829" s="271"/>
      <c r="M829" s="63" t="s">
        <v>233</v>
      </c>
      <c r="O829" s="3">
        <f t="shared" si="12"/>
        <v>829</v>
      </c>
      <c r="P829" s="3"/>
    </row>
    <row r="830" spans="1:16" s="63" customFormat="1" ht="13.15" customHeight="1">
      <c r="A830" s="152"/>
      <c r="B830" s="271"/>
      <c r="C830" s="271"/>
      <c r="D830" s="271"/>
      <c r="E830" s="271"/>
      <c r="F830" s="271"/>
      <c r="G830" s="271"/>
      <c r="H830" s="271"/>
      <c r="I830" s="271"/>
      <c r="J830" s="271"/>
      <c r="K830" s="271"/>
      <c r="M830" s="63" t="s">
        <v>233</v>
      </c>
      <c r="O830" s="3">
        <f t="shared" si="12"/>
        <v>830</v>
      </c>
      <c r="P830" s="3"/>
    </row>
    <row r="831" spans="1:16" s="63" customFormat="1" ht="13.15" customHeight="1">
      <c r="A831" s="152"/>
      <c r="B831" s="156" t="s">
        <v>379</v>
      </c>
      <c r="C831" s="271" t="s">
        <v>329</v>
      </c>
      <c r="D831" s="271"/>
      <c r="E831" s="271"/>
      <c r="F831" s="271"/>
      <c r="G831" s="271"/>
      <c r="H831" s="271"/>
      <c r="I831" s="271"/>
      <c r="J831" s="271"/>
      <c r="K831" s="271"/>
      <c r="M831" s="63" t="s">
        <v>233</v>
      </c>
      <c r="O831" s="3">
        <f t="shared" si="12"/>
        <v>831</v>
      </c>
      <c r="P831" s="3"/>
    </row>
    <row r="832" spans="1:16" s="63" customFormat="1" ht="13.15" customHeight="1">
      <c r="A832" s="152"/>
      <c r="B832" s="60"/>
      <c r="C832" s="271"/>
      <c r="D832" s="271"/>
      <c r="E832" s="271"/>
      <c r="F832" s="271"/>
      <c r="G832" s="271"/>
      <c r="H832" s="271"/>
      <c r="I832" s="271"/>
      <c r="J832" s="271"/>
      <c r="K832" s="271"/>
      <c r="M832" s="63" t="s">
        <v>233</v>
      </c>
      <c r="O832" s="3">
        <f t="shared" si="12"/>
        <v>832</v>
      </c>
      <c r="P832" s="3"/>
    </row>
    <row r="833" spans="1:16" s="63" customFormat="1" ht="13.15" customHeight="1">
      <c r="A833" s="152"/>
      <c r="B833" s="60"/>
      <c r="C833" s="271"/>
      <c r="D833" s="271"/>
      <c r="E833" s="271"/>
      <c r="F833" s="271"/>
      <c r="G833" s="271"/>
      <c r="H833" s="271"/>
      <c r="I833" s="271"/>
      <c r="J833" s="271"/>
      <c r="K833" s="271"/>
      <c r="M833" s="63" t="s">
        <v>233</v>
      </c>
      <c r="O833" s="3">
        <f t="shared" si="12"/>
        <v>833</v>
      </c>
      <c r="P833" s="3"/>
    </row>
    <row r="834" spans="1:16" ht="13.15" customHeight="1">
      <c r="C834" s="271"/>
      <c r="D834" s="271"/>
      <c r="E834" s="271"/>
      <c r="F834" s="271"/>
      <c r="G834" s="271"/>
      <c r="H834" s="271"/>
      <c r="I834" s="271"/>
      <c r="J834" s="271"/>
      <c r="K834" s="271"/>
      <c r="L834" s="63"/>
      <c r="M834" s="3" t="s">
        <v>233</v>
      </c>
      <c r="O834" s="3">
        <f t="shared" si="12"/>
        <v>834</v>
      </c>
    </row>
    <row r="835" spans="1:16" ht="13.15" customHeight="1">
      <c r="C835" s="271"/>
      <c r="D835" s="271"/>
      <c r="E835" s="271"/>
      <c r="F835" s="271"/>
      <c r="G835" s="271"/>
      <c r="H835" s="271"/>
      <c r="I835" s="271"/>
      <c r="J835" s="271"/>
      <c r="K835" s="271"/>
      <c r="M835" s="3" t="s">
        <v>233</v>
      </c>
      <c r="O835" s="3">
        <f t="shared" si="12"/>
        <v>835</v>
      </c>
    </row>
    <row r="836" spans="1:16" ht="13.15" customHeight="1">
      <c r="C836" s="271"/>
      <c r="D836" s="271"/>
      <c r="E836" s="271"/>
      <c r="F836" s="271"/>
      <c r="G836" s="271"/>
      <c r="H836" s="271"/>
      <c r="I836" s="271"/>
      <c r="J836" s="271"/>
      <c r="K836" s="271"/>
      <c r="M836" s="3" t="s">
        <v>233</v>
      </c>
      <c r="O836" s="3">
        <f t="shared" si="12"/>
        <v>836</v>
      </c>
    </row>
    <row r="837" spans="1:16" ht="13.15" customHeight="1">
      <c r="C837" s="271"/>
      <c r="D837" s="271"/>
      <c r="E837" s="271"/>
      <c r="F837" s="271"/>
      <c r="G837" s="271"/>
      <c r="H837" s="271"/>
      <c r="I837" s="271"/>
      <c r="J837" s="271"/>
      <c r="K837" s="271"/>
      <c r="M837" s="3" t="s">
        <v>233</v>
      </c>
      <c r="O837" s="3">
        <f t="shared" si="12"/>
        <v>837</v>
      </c>
    </row>
    <row r="838" spans="1:16" ht="13.15" customHeight="1">
      <c r="C838" s="271"/>
      <c r="D838" s="271"/>
      <c r="E838" s="271"/>
      <c r="F838" s="271"/>
      <c r="G838" s="271"/>
      <c r="H838" s="271"/>
      <c r="I838" s="271"/>
      <c r="J838" s="271"/>
      <c r="K838" s="271"/>
      <c r="M838" s="3" t="s">
        <v>233</v>
      </c>
      <c r="O838" s="3">
        <f t="shared" si="12"/>
        <v>838</v>
      </c>
    </row>
    <row r="839" spans="1:16" ht="13.15" customHeight="1">
      <c r="C839" s="95"/>
      <c r="D839" s="95"/>
      <c r="E839" s="95"/>
      <c r="F839" s="95"/>
      <c r="G839" s="95"/>
      <c r="H839" s="95"/>
      <c r="I839" s="95"/>
      <c r="J839" s="95"/>
      <c r="K839" s="95"/>
      <c r="M839" s="3" t="s">
        <v>233</v>
      </c>
      <c r="O839" s="3">
        <f t="shared" si="12"/>
        <v>839</v>
      </c>
    </row>
    <row r="840" spans="1:16" s="63" customFormat="1" ht="13.15" customHeight="1">
      <c r="A840" s="152" t="s">
        <v>434</v>
      </c>
      <c r="B840" s="271" t="s">
        <v>330</v>
      </c>
      <c r="C840" s="271"/>
      <c r="D840" s="271"/>
      <c r="E840" s="271"/>
      <c r="F840" s="271"/>
      <c r="G840" s="271"/>
      <c r="H840" s="271"/>
      <c r="I840" s="271"/>
      <c r="J840" s="271"/>
      <c r="K840" s="271"/>
      <c r="L840" s="3">
        <v>56</v>
      </c>
      <c r="M840" s="63">
        <v>10</v>
      </c>
      <c r="N840" s="63">
        <v>4</v>
      </c>
      <c r="O840" s="3">
        <f t="shared" si="12"/>
        <v>840</v>
      </c>
      <c r="P840" s="3"/>
    </row>
    <row r="841" spans="1:16" s="63" customFormat="1" ht="13.15" customHeight="1">
      <c r="A841" s="152"/>
      <c r="B841" s="271"/>
      <c r="C841" s="271"/>
      <c r="D841" s="271"/>
      <c r="E841" s="271"/>
      <c r="F841" s="271"/>
      <c r="G841" s="271"/>
      <c r="H841" s="271"/>
      <c r="I841" s="271"/>
      <c r="J841" s="271"/>
      <c r="K841" s="271"/>
      <c r="M841" s="63" t="s">
        <v>233</v>
      </c>
      <c r="O841" s="3">
        <f t="shared" si="12"/>
        <v>841</v>
      </c>
      <c r="P841" s="3"/>
    </row>
    <row r="842" spans="1:16" s="63" customFormat="1" ht="13.15" customHeight="1">
      <c r="A842" s="152"/>
      <c r="B842" s="271"/>
      <c r="C842" s="271"/>
      <c r="D842" s="271"/>
      <c r="E842" s="271"/>
      <c r="F842" s="271"/>
      <c r="G842" s="271"/>
      <c r="H842" s="271"/>
      <c r="I842" s="271"/>
      <c r="J842" s="271"/>
      <c r="K842" s="271"/>
      <c r="M842" s="63" t="s">
        <v>233</v>
      </c>
      <c r="O842" s="3">
        <f t="shared" si="12"/>
        <v>842</v>
      </c>
      <c r="P842" s="3"/>
    </row>
    <row r="843" spans="1:16" s="63" customFormat="1" ht="13.15" customHeight="1">
      <c r="A843" s="152"/>
      <c r="B843" s="271"/>
      <c r="C843" s="271"/>
      <c r="D843" s="271"/>
      <c r="E843" s="271"/>
      <c r="F843" s="271"/>
      <c r="G843" s="271"/>
      <c r="H843" s="271"/>
      <c r="I843" s="271"/>
      <c r="J843" s="271"/>
      <c r="K843" s="271"/>
      <c r="M843" s="63" t="s">
        <v>233</v>
      </c>
      <c r="O843" s="3">
        <f t="shared" si="12"/>
        <v>843</v>
      </c>
      <c r="P843" s="3"/>
    </row>
    <row r="844" spans="1:16" s="63" customFormat="1" ht="13.15" customHeight="1">
      <c r="A844" s="152"/>
      <c r="B844" s="170"/>
      <c r="C844" s="170"/>
      <c r="D844" s="170"/>
      <c r="E844" s="170"/>
      <c r="F844" s="170"/>
      <c r="G844" s="170"/>
      <c r="H844" s="170"/>
      <c r="I844" s="170"/>
      <c r="J844" s="170"/>
      <c r="K844" s="170"/>
      <c r="M844" s="63" t="s">
        <v>233</v>
      </c>
      <c r="O844" s="3">
        <f t="shared" si="12"/>
        <v>844</v>
      </c>
      <c r="P844" s="3"/>
    </row>
    <row r="845" spans="1:16" s="63" customFormat="1" ht="13.15" customHeight="1">
      <c r="A845" s="152"/>
      <c r="B845" s="156" t="s">
        <v>379</v>
      </c>
      <c r="C845" s="271" t="s">
        <v>331</v>
      </c>
      <c r="D845" s="271"/>
      <c r="E845" s="271"/>
      <c r="F845" s="271"/>
      <c r="G845" s="271"/>
      <c r="H845" s="271"/>
      <c r="I845" s="271"/>
      <c r="J845" s="271"/>
      <c r="K845" s="271"/>
      <c r="M845" s="63" t="s">
        <v>233</v>
      </c>
      <c r="O845" s="3">
        <f t="shared" si="12"/>
        <v>845</v>
      </c>
      <c r="P845" s="3"/>
    </row>
    <row r="846" spans="1:16" s="63" customFormat="1" ht="13.15" customHeight="1">
      <c r="A846" s="152"/>
      <c r="B846" s="60"/>
      <c r="C846" s="271"/>
      <c r="D846" s="271"/>
      <c r="E846" s="271"/>
      <c r="F846" s="271"/>
      <c r="G846" s="271"/>
      <c r="H846" s="271"/>
      <c r="I846" s="271"/>
      <c r="J846" s="271"/>
      <c r="K846" s="271"/>
      <c r="M846" s="63" t="s">
        <v>233</v>
      </c>
      <c r="O846" s="3">
        <f t="shared" si="12"/>
        <v>846</v>
      </c>
      <c r="P846" s="3"/>
    </row>
    <row r="847" spans="1:16" s="63" customFormat="1" ht="13.15" customHeight="1">
      <c r="A847" s="152"/>
      <c r="B847" s="60"/>
      <c r="C847" s="271"/>
      <c r="D847" s="271"/>
      <c r="E847" s="271"/>
      <c r="F847" s="271"/>
      <c r="G847" s="271"/>
      <c r="H847" s="271"/>
      <c r="I847" s="271"/>
      <c r="J847" s="271"/>
      <c r="K847" s="271"/>
      <c r="M847" s="63" t="s">
        <v>233</v>
      </c>
      <c r="O847" s="3">
        <f t="shared" si="12"/>
        <v>847</v>
      </c>
      <c r="P847" s="3"/>
    </row>
    <row r="848" spans="1:16" s="63" customFormat="1" ht="13.15" customHeight="1">
      <c r="A848" s="152"/>
      <c r="B848" s="60"/>
      <c r="C848" s="271"/>
      <c r="D848" s="271"/>
      <c r="E848" s="271"/>
      <c r="F848" s="271"/>
      <c r="G848" s="271"/>
      <c r="H848" s="271"/>
      <c r="I848" s="271"/>
      <c r="J848" s="271"/>
      <c r="K848" s="271"/>
      <c r="M848" s="63" t="s">
        <v>233</v>
      </c>
      <c r="O848" s="3">
        <f t="shared" si="12"/>
        <v>848</v>
      </c>
      <c r="P848" s="3"/>
    </row>
    <row r="849" spans="1:16" ht="13.15" customHeight="1">
      <c r="C849" s="271"/>
      <c r="D849" s="271"/>
      <c r="E849" s="271"/>
      <c r="F849" s="271"/>
      <c r="G849" s="271"/>
      <c r="H849" s="271"/>
      <c r="I849" s="271"/>
      <c r="J849" s="271"/>
      <c r="K849" s="271"/>
      <c r="L849" s="63"/>
      <c r="M849" s="3" t="s">
        <v>233</v>
      </c>
      <c r="O849" s="3">
        <f t="shared" si="12"/>
        <v>849</v>
      </c>
    </row>
    <row r="850" spans="1:16" ht="13.15" customHeight="1">
      <c r="C850" s="122"/>
      <c r="D850" s="122"/>
      <c r="E850" s="122"/>
      <c r="F850" s="122"/>
      <c r="G850" s="122"/>
      <c r="H850" s="122"/>
      <c r="I850" s="122"/>
      <c r="J850" s="122"/>
      <c r="K850" s="122"/>
      <c r="M850" s="3" t="s">
        <v>233</v>
      </c>
      <c r="O850" s="3">
        <f t="shared" si="12"/>
        <v>850</v>
      </c>
    </row>
    <row r="851" spans="1:16" s="63" customFormat="1" ht="13.15" customHeight="1">
      <c r="A851" s="152" t="s">
        <v>458</v>
      </c>
      <c r="B851" s="271" t="s">
        <v>332</v>
      </c>
      <c r="C851" s="271"/>
      <c r="D851" s="271"/>
      <c r="E851" s="271"/>
      <c r="F851" s="271"/>
      <c r="G851" s="271"/>
      <c r="H851" s="271"/>
      <c r="I851" s="271"/>
      <c r="J851" s="271"/>
      <c r="K851" s="271"/>
      <c r="L851" s="3">
        <v>57</v>
      </c>
      <c r="M851" s="63">
        <v>9</v>
      </c>
      <c r="N851" s="63">
        <v>5</v>
      </c>
      <c r="O851" s="3">
        <f t="shared" si="12"/>
        <v>851</v>
      </c>
      <c r="P851" s="3"/>
    </row>
    <row r="852" spans="1:16" s="63" customFormat="1" ht="13.15" customHeight="1">
      <c r="A852" s="152"/>
      <c r="B852" s="271"/>
      <c r="C852" s="271"/>
      <c r="D852" s="271"/>
      <c r="E852" s="271"/>
      <c r="F852" s="271"/>
      <c r="G852" s="271"/>
      <c r="H852" s="271"/>
      <c r="I852" s="271"/>
      <c r="J852" s="271"/>
      <c r="K852" s="271"/>
      <c r="M852" s="63" t="s">
        <v>233</v>
      </c>
      <c r="O852" s="3">
        <f t="shared" si="12"/>
        <v>852</v>
      </c>
      <c r="P852" s="3"/>
    </row>
    <row r="853" spans="1:16" s="63" customFormat="1" ht="13.15" customHeight="1">
      <c r="A853" s="152"/>
      <c r="B853" s="271"/>
      <c r="C853" s="271"/>
      <c r="D853" s="271"/>
      <c r="E853" s="271"/>
      <c r="F853" s="271"/>
      <c r="G853" s="271"/>
      <c r="H853" s="271"/>
      <c r="I853" s="271"/>
      <c r="J853" s="271"/>
      <c r="K853" s="271"/>
      <c r="M853" s="63" t="s">
        <v>233</v>
      </c>
      <c r="O853" s="3">
        <f t="shared" si="12"/>
        <v>853</v>
      </c>
      <c r="P853" s="3"/>
    </row>
    <row r="854" spans="1:16" s="63" customFormat="1" ht="13.15" customHeight="1">
      <c r="A854" s="152"/>
      <c r="B854" s="271"/>
      <c r="C854" s="271"/>
      <c r="D854" s="271"/>
      <c r="E854" s="271"/>
      <c r="F854" s="271"/>
      <c r="G854" s="271"/>
      <c r="H854" s="271"/>
      <c r="I854" s="271"/>
      <c r="J854" s="271"/>
      <c r="K854" s="271"/>
      <c r="M854" s="63" t="s">
        <v>233</v>
      </c>
      <c r="O854" s="3">
        <f t="shared" si="12"/>
        <v>854</v>
      </c>
      <c r="P854" s="3"/>
    </row>
    <row r="855" spans="1:16" s="63" customFormat="1" ht="13.15" customHeight="1">
      <c r="A855" s="152"/>
      <c r="B855" s="271"/>
      <c r="C855" s="271"/>
      <c r="D855" s="271"/>
      <c r="E855" s="271"/>
      <c r="F855" s="271"/>
      <c r="G855" s="271"/>
      <c r="H855" s="271"/>
      <c r="I855" s="271"/>
      <c r="J855" s="271"/>
      <c r="K855" s="271"/>
      <c r="M855" s="63" t="s">
        <v>233</v>
      </c>
      <c r="O855" s="3">
        <f t="shared" si="12"/>
        <v>855</v>
      </c>
      <c r="P855" s="3"/>
    </row>
    <row r="856" spans="1:16" s="63" customFormat="1" ht="13.15" customHeight="1">
      <c r="A856" s="152"/>
      <c r="B856" s="170"/>
      <c r="C856" s="170"/>
      <c r="D856" s="170"/>
      <c r="E856" s="170"/>
      <c r="F856" s="170"/>
      <c r="G856" s="170"/>
      <c r="H856" s="170"/>
      <c r="I856" s="170"/>
      <c r="J856" s="170"/>
      <c r="K856" s="170"/>
      <c r="M856" s="63" t="s">
        <v>233</v>
      </c>
      <c r="O856" s="3">
        <f t="shared" si="12"/>
        <v>856</v>
      </c>
      <c r="P856" s="3"/>
    </row>
    <row r="857" spans="1:16" s="63" customFormat="1" ht="13.15" customHeight="1">
      <c r="A857" s="152"/>
      <c r="B857" s="156" t="s">
        <v>379</v>
      </c>
      <c r="C857" s="271" t="s">
        <v>333</v>
      </c>
      <c r="D857" s="271"/>
      <c r="E857" s="271"/>
      <c r="F857" s="271"/>
      <c r="G857" s="271"/>
      <c r="H857" s="271"/>
      <c r="I857" s="271"/>
      <c r="J857" s="271"/>
      <c r="K857" s="271"/>
      <c r="M857" s="63" t="s">
        <v>233</v>
      </c>
      <c r="O857" s="3">
        <f t="shared" si="12"/>
        <v>857</v>
      </c>
      <c r="P857" s="3"/>
    </row>
    <row r="858" spans="1:16" s="63" customFormat="1" ht="13.15" customHeight="1">
      <c r="A858" s="152"/>
      <c r="B858" s="3"/>
      <c r="C858" s="271"/>
      <c r="D858" s="271"/>
      <c r="E858" s="271"/>
      <c r="F858" s="271"/>
      <c r="G858" s="271"/>
      <c r="H858" s="271"/>
      <c r="I858" s="271"/>
      <c r="J858" s="271"/>
      <c r="K858" s="271"/>
      <c r="M858" s="63" t="s">
        <v>233</v>
      </c>
      <c r="O858" s="3">
        <f t="shared" si="12"/>
        <v>858</v>
      </c>
      <c r="P858" s="3"/>
    </row>
    <row r="859" spans="1:16" s="63" customFormat="1" ht="13.15" customHeight="1">
      <c r="A859" s="152"/>
      <c r="B859" s="60"/>
      <c r="C859" s="271"/>
      <c r="D859" s="271"/>
      <c r="E859" s="271"/>
      <c r="F859" s="271"/>
      <c r="G859" s="271"/>
      <c r="H859" s="271"/>
      <c r="I859" s="271"/>
      <c r="J859" s="271"/>
      <c r="K859" s="271"/>
      <c r="M859" s="63" t="s">
        <v>233</v>
      </c>
      <c r="O859" s="3">
        <f t="shared" si="12"/>
        <v>859</v>
      </c>
      <c r="P859" s="3"/>
    </row>
    <row r="860" spans="1:16" s="63" customFormat="1" ht="13.15" customHeight="1">
      <c r="A860" s="152"/>
      <c r="M860" s="63" t="s">
        <v>233</v>
      </c>
      <c r="O860" s="3">
        <f t="shared" si="12"/>
        <v>860</v>
      </c>
      <c r="P860" s="3"/>
    </row>
    <row r="861" spans="1:16" ht="13.15" customHeight="1">
      <c r="A861" s="152" t="s">
        <v>435</v>
      </c>
      <c r="B861" s="271" t="s">
        <v>346</v>
      </c>
      <c r="C861" s="271"/>
      <c r="D861" s="271"/>
      <c r="E861" s="271"/>
      <c r="F861" s="271"/>
      <c r="G861" s="271"/>
      <c r="H861" s="271"/>
      <c r="I861" s="271"/>
      <c r="J861" s="271"/>
      <c r="K861" s="271"/>
      <c r="L861" s="3">
        <v>58</v>
      </c>
      <c r="M861" s="3">
        <v>21</v>
      </c>
      <c r="N861" s="3">
        <v>13</v>
      </c>
      <c r="O861" s="3">
        <f t="shared" si="12"/>
        <v>861</v>
      </c>
    </row>
    <row r="862" spans="1:16" ht="13.15" customHeight="1">
      <c r="B862" s="271"/>
      <c r="C862" s="271"/>
      <c r="D862" s="271"/>
      <c r="E862" s="271"/>
      <c r="F862" s="271"/>
      <c r="G862" s="271"/>
      <c r="H862" s="271"/>
      <c r="I862" s="271"/>
      <c r="J862" s="271"/>
      <c r="K862" s="271"/>
      <c r="M862" s="3" t="s">
        <v>233</v>
      </c>
      <c r="O862" s="3">
        <f t="shared" si="12"/>
        <v>862</v>
      </c>
    </row>
    <row r="863" spans="1:16" ht="13.15" customHeight="1">
      <c r="B863" s="271"/>
      <c r="C863" s="271"/>
      <c r="D863" s="271"/>
      <c r="E863" s="271"/>
      <c r="F863" s="271"/>
      <c r="G863" s="271"/>
      <c r="H863" s="271"/>
      <c r="I863" s="271"/>
      <c r="J863" s="271"/>
      <c r="K863" s="271"/>
      <c r="M863" s="3" t="s">
        <v>233</v>
      </c>
      <c r="O863" s="3">
        <f t="shared" si="12"/>
        <v>863</v>
      </c>
    </row>
    <row r="864" spans="1:16" ht="13.15" customHeight="1">
      <c r="B864" s="271"/>
      <c r="C864" s="271"/>
      <c r="D864" s="271"/>
      <c r="E864" s="271"/>
      <c r="F864" s="271"/>
      <c r="G864" s="271"/>
      <c r="H864" s="271"/>
      <c r="I864" s="271"/>
      <c r="J864" s="271"/>
      <c r="K864" s="271"/>
      <c r="M864" s="3" t="s">
        <v>233</v>
      </c>
      <c r="O864" s="3">
        <f t="shared" si="12"/>
        <v>864</v>
      </c>
    </row>
    <row r="865" spans="2:15" ht="13.15" customHeight="1">
      <c r="B865" s="271"/>
      <c r="C865" s="271"/>
      <c r="D865" s="271"/>
      <c r="E865" s="271"/>
      <c r="F865" s="271"/>
      <c r="G865" s="271"/>
      <c r="H865" s="271"/>
      <c r="I865" s="271"/>
      <c r="J865" s="271"/>
      <c r="K865" s="271"/>
      <c r="M865" s="3" t="s">
        <v>233</v>
      </c>
      <c r="O865" s="3">
        <f t="shared" si="12"/>
        <v>865</v>
      </c>
    </row>
    <row r="866" spans="2:15" ht="13.15" customHeight="1">
      <c r="B866" s="271"/>
      <c r="C866" s="271"/>
      <c r="D866" s="271"/>
      <c r="E866" s="271"/>
      <c r="F866" s="271"/>
      <c r="G866" s="271"/>
      <c r="H866" s="271"/>
      <c r="I866" s="271"/>
      <c r="J866" s="271"/>
      <c r="K866" s="271"/>
      <c r="M866" s="3" t="s">
        <v>233</v>
      </c>
      <c r="O866" s="3">
        <f t="shared" si="12"/>
        <v>866</v>
      </c>
    </row>
    <row r="867" spans="2:15" ht="13.15" customHeight="1">
      <c r="B867" s="271"/>
      <c r="C867" s="271"/>
      <c r="D867" s="271"/>
      <c r="E867" s="271"/>
      <c r="F867" s="271"/>
      <c r="G867" s="271"/>
      <c r="H867" s="271"/>
      <c r="I867" s="271"/>
      <c r="J867" s="271"/>
      <c r="K867" s="271"/>
      <c r="M867" s="3" t="s">
        <v>233</v>
      </c>
      <c r="O867" s="3">
        <f t="shared" si="12"/>
        <v>867</v>
      </c>
    </row>
    <row r="868" spans="2:15" ht="13.15" customHeight="1">
      <c r="B868" s="271"/>
      <c r="C868" s="271"/>
      <c r="D868" s="271"/>
      <c r="E868" s="271"/>
      <c r="F868" s="271"/>
      <c r="G868" s="271"/>
      <c r="H868" s="271"/>
      <c r="I868" s="271"/>
      <c r="J868" s="271"/>
      <c r="K868" s="271"/>
      <c r="M868" s="3" t="s">
        <v>233</v>
      </c>
      <c r="O868" s="3">
        <f t="shared" si="12"/>
        <v>868</v>
      </c>
    </row>
    <row r="869" spans="2:15" ht="13.15" customHeight="1">
      <c r="B869" s="271"/>
      <c r="C869" s="271"/>
      <c r="D869" s="271"/>
      <c r="E869" s="271"/>
      <c r="F869" s="271"/>
      <c r="G869" s="271"/>
      <c r="H869" s="271"/>
      <c r="I869" s="271"/>
      <c r="J869" s="271"/>
      <c r="K869" s="271"/>
      <c r="M869" s="3" t="s">
        <v>233</v>
      </c>
      <c r="O869" s="3">
        <f t="shared" si="12"/>
        <v>869</v>
      </c>
    </row>
    <row r="870" spans="2:15" ht="13.15" customHeight="1">
      <c r="B870" s="271"/>
      <c r="C870" s="271"/>
      <c r="D870" s="271"/>
      <c r="E870" s="271"/>
      <c r="F870" s="271"/>
      <c r="G870" s="271"/>
      <c r="H870" s="271"/>
      <c r="I870" s="271"/>
      <c r="J870" s="271"/>
      <c r="K870" s="271"/>
      <c r="M870" s="3" t="s">
        <v>233</v>
      </c>
      <c r="O870" s="3">
        <f t="shared" si="12"/>
        <v>870</v>
      </c>
    </row>
    <row r="871" spans="2:15" ht="13.15" customHeight="1">
      <c r="B871" s="271"/>
      <c r="C871" s="271"/>
      <c r="D871" s="271"/>
      <c r="E871" s="271"/>
      <c r="F871" s="271"/>
      <c r="G871" s="271"/>
      <c r="H871" s="271"/>
      <c r="I871" s="271"/>
      <c r="J871" s="271"/>
      <c r="K871" s="271"/>
      <c r="M871" s="3" t="s">
        <v>233</v>
      </c>
      <c r="O871" s="3">
        <f t="shared" si="12"/>
        <v>871</v>
      </c>
    </row>
    <row r="872" spans="2:15" ht="13.15" customHeight="1">
      <c r="B872" s="271"/>
      <c r="C872" s="271"/>
      <c r="D872" s="271"/>
      <c r="E872" s="271"/>
      <c r="F872" s="271"/>
      <c r="G872" s="271"/>
      <c r="H872" s="271"/>
      <c r="I872" s="271"/>
      <c r="J872" s="271"/>
      <c r="K872" s="271"/>
      <c r="M872" s="3" t="s">
        <v>233</v>
      </c>
      <c r="O872" s="3">
        <f t="shared" si="12"/>
        <v>872</v>
      </c>
    </row>
    <row r="873" spans="2:15" ht="13.15" customHeight="1">
      <c r="B873" s="271"/>
      <c r="C873" s="271"/>
      <c r="D873" s="271"/>
      <c r="E873" s="271"/>
      <c r="F873" s="271"/>
      <c r="G873" s="271"/>
      <c r="H873" s="271"/>
      <c r="I873" s="271"/>
      <c r="J873" s="271"/>
      <c r="K873" s="271"/>
      <c r="M873" s="3" t="s">
        <v>233</v>
      </c>
      <c r="O873" s="3">
        <f t="shared" si="12"/>
        <v>873</v>
      </c>
    </row>
    <row r="874" spans="2:15" ht="13.15" customHeight="1">
      <c r="B874" s="170"/>
      <c r="C874" s="170"/>
      <c r="D874" s="170"/>
      <c r="E874" s="170"/>
      <c r="F874" s="170"/>
      <c r="G874" s="170"/>
      <c r="H874" s="170"/>
      <c r="I874" s="170"/>
      <c r="J874" s="170"/>
      <c r="K874" s="170"/>
      <c r="M874" s="3" t="s">
        <v>233</v>
      </c>
      <c r="O874" s="3">
        <f t="shared" si="12"/>
        <v>874</v>
      </c>
    </row>
    <row r="875" spans="2:15" ht="13.15" customHeight="1">
      <c r="B875" s="156" t="s">
        <v>379</v>
      </c>
      <c r="C875" s="271" t="s">
        <v>334</v>
      </c>
      <c r="D875" s="271"/>
      <c r="E875" s="271"/>
      <c r="F875" s="271"/>
      <c r="G875" s="271"/>
      <c r="H875" s="271"/>
      <c r="I875" s="271"/>
      <c r="J875" s="271"/>
      <c r="K875" s="271"/>
      <c r="M875" s="3" t="s">
        <v>233</v>
      </c>
      <c r="O875" s="3">
        <f t="shared" si="12"/>
        <v>875</v>
      </c>
    </row>
    <row r="876" spans="2:15" ht="13.15" customHeight="1">
      <c r="C876" s="271"/>
      <c r="D876" s="271"/>
      <c r="E876" s="271"/>
      <c r="F876" s="271"/>
      <c r="G876" s="271"/>
      <c r="H876" s="271"/>
      <c r="I876" s="271"/>
      <c r="J876" s="271"/>
      <c r="K876" s="271"/>
      <c r="M876" s="3" t="s">
        <v>233</v>
      </c>
      <c r="O876" s="3">
        <f t="shared" si="12"/>
        <v>876</v>
      </c>
    </row>
    <row r="877" spans="2:15" ht="13.15" customHeight="1">
      <c r="B877" s="93"/>
      <c r="C877" s="271"/>
      <c r="D877" s="271"/>
      <c r="E877" s="271"/>
      <c r="F877" s="271"/>
      <c r="G877" s="271"/>
      <c r="H877" s="271"/>
      <c r="I877" s="271"/>
      <c r="J877" s="271"/>
      <c r="K877" s="271"/>
      <c r="M877" s="3" t="s">
        <v>233</v>
      </c>
      <c r="O877" s="3">
        <f t="shared" si="12"/>
        <v>877</v>
      </c>
    </row>
    <row r="878" spans="2:15" ht="13.15" customHeight="1">
      <c r="B878" s="93"/>
      <c r="C878" s="170"/>
      <c r="D878" s="170"/>
      <c r="E878" s="170"/>
      <c r="F878" s="170"/>
      <c r="G878" s="170"/>
      <c r="H878" s="170"/>
      <c r="I878" s="170"/>
      <c r="J878" s="170"/>
      <c r="K878" s="170"/>
      <c r="M878" s="3" t="s">
        <v>233</v>
      </c>
      <c r="O878" s="3">
        <f t="shared" si="12"/>
        <v>878</v>
      </c>
    </row>
    <row r="879" spans="2:15" ht="13.15" customHeight="1">
      <c r="B879" s="156" t="s">
        <v>379</v>
      </c>
      <c r="C879" s="271" t="s">
        <v>218</v>
      </c>
      <c r="D879" s="271"/>
      <c r="E879" s="271"/>
      <c r="F879" s="271"/>
      <c r="G879" s="271"/>
      <c r="H879" s="271"/>
      <c r="I879" s="271"/>
      <c r="J879" s="271"/>
      <c r="K879" s="271"/>
      <c r="M879" s="3" t="s">
        <v>233</v>
      </c>
      <c r="O879" s="3">
        <f t="shared" si="12"/>
        <v>879</v>
      </c>
    </row>
    <row r="880" spans="2:15" ht="13.15" customHeight="1">
      <c r="C880" s="271"/>
      <c r="D880" s="271"/>
      <c r="E880" s="271"/>
      <c r="F880" s="271"/>
      <c r="G880" s="271"/>
      <c r="H880" s="271"/>
      <c r="I880" s="271"/>
      <c r="J880" s="271"/>
      <c r="K880" s="271"/>
      <c r="M880" s="3" t="s">
        <v>233</v>
      </c>
      <c r="O880" s="3">
        <f t="shared" si="12"/>
        <v>880</v>
      </c>
    </row>
    <row r="881" spans="1:15" ht="13.15" customHeight="1">
      <c r="C881" s="271"/>
      <c r="D881" s="271"/>
      <c r="E881" s="271"/>
      <c r="F881" s="271"/>
      <c r="G881" s="271"/>
      <c r="H881" s="271"/>
      <c r="I881" s="271"/>
      <c r="J881" s="271"/>
      <c r="K881" s="271"/>
      <c r="M881" s="3" t="s">
        <v>233</v>
      </c>
      <c r="O881" s="3">
        <f t="shared" si="12"/>
        <v>881</v>
      </c>
    </row>
    <row r="882" spans="1:15" ht="13.15" customHeight="1">
      <c r="C882" s="170"/>
      <c r="D882" s="170"/>
      <c r="E882" s="170"/>
      <c r="F882" s="170"/>
      <c r="G882" s="170"/>
      <c r="H882" s="170"/>
      <c r="I882" s="170"/>
      <c r="J882" s="170"/>
      <c r="K882" s="170"/>
      <c r="M882" s="3" t="s">
        <v>233</v>
      </c>
      <c r="O882" s="3">
        <f t="shared" si="12"/>
        <v>882</v>
      </c>
    </row>
    <row r="883" spans="1:15" ht="13.15" customHeight="1">
      <c r="A883" s="152" t="s">
        <v>436</v>
      </c>
      <c r="B883" s="271" t="s">
        <v>346</v>
      </c>
      <c r="C883" s="271"/>
      <c r="D883" s="271"/>
      <c r="E883" s="271"/>
      <c r="F883" s="271"/>
      <c r="G883" s="271"/>
      <c r="H883" s="271"/>
      <c r="I883" s="271"/>
      <c r="J883" s="271"/>
      <c r="K883" s="271"/>
      <c r="L883" s="3">
        <v>59</v>
      </c>
      <c r="M883" s="3">
        <v>21</v>
      </c>
      <c r="N883" s="3">
        <v>13</v>
      </c>
      <c r="O883" s="3">
        <f t="shared" si="12"/>
        <v>883</v>
      </c>
    </row>
    <row r="884" spans="1:15" ht="13.15" customHeight="1">
      <c r="B884" s="271"/>
      <c r="C884" s="271"/>
      <c r="D884" s="271"/>
      <c r="E884" s="271"/>
      <c r="F884" s="271"/>
      <c r="G884" s="271"/>
      <c r="H884" s="271"/>
      <c r="I884" s="271"/>
      <c r="J884" s="271"/>
      <c r="K884" s="271"/>
      <c r="M884" s="3" t="s">
        <v>233</v>
      </c>
      <c r="O884" s="3">
        <f t="shared" si="12"/>
        <v>884</v>
      </c>
    </row>
    <row r="885" spans="1:15" ht="13.15" customHeight="1">
      <c r="B885" s="271"/>
      <c r="C885" s="271"/>
      <c r="D885" s="271"/>
      <c r="E885" s="271"/>
      <c r="F885" s="271"/>
      <c r="G885" s="271"/>
      <c r="H885" s="271"/>
      <c r="I885" s="271"/>
      <c r="J885" s="271"/>
      <c r="K885" s="271"/>
      <c r="M885" s="3" t="s">
        <v>233</v>
      </c>
      <c r="O885" s="3">
        <f t="shared" si="12"/>
        <v>885</v>
      </c>
    </row>
    <row r="886" spans="1:15" ht="13.15" customHeight="1">
      <c r="B886" s="271"/>
      <c r="C886" s="271"/>
      <c r="D886" s="271"/>
      <c r="E886" s="271"/>
      <c r="F886" s="271"/>
      <c r="G886" s="271"/>
      <c r="H886" s="271"/>
      <c r="I886" s="271"/>
      <c r="J886" s="271"/>
      <c r="K886" s="271"/>
      <c r="M886" s="3" t="s">
        <v>233</v>
      </c>
      <c r="O886" s="3">
        <f t="shared" si="12"/>
        <v>886</v>
      </c>
    </row>
    <row r="887" spans="1:15" ht="13.15" customHeight="1">
      <c r="B887" s="271"/>
      <c r="C887" s="271"/>
      <c r="D887" s="271"/>
      <c r="E887" s="271"/>
      <c r="F887" s="271"/>
      <c r="G887" s="271"/>
      <c r="H887" s="271"/>
      <c r="I887" s="271"/>
      <c r="J887" s="271"/>
      <c r="K887" s="271"/>
      <c r="M887" s="3" t="s">
        <v>233</v>
      </c>
      <c r="O887" s="3">
        <f t="shared" si="12"/>
        <v>887</v>
      </c>
    </row>
    <row r="888" spans="1:15" ht="13.15" customHeight="1">
      <c r="B888" s="271"/>
      <c r="C888" s="271"/>
      <c r="D888" s="271"/>
      <c r="E888" s="271"/>
      <c r="F888" s="271"/>
      <c r="G888" s="271"/>
      <c r="H888" s="271"/>
      <c r="I888" s="271"/>
      <c r="J888" s="271"/>
      <c r="K888" s="271"/>
      <c r="M888" s="3" t="s">
        <v>233</v>
      </c>
      <c r="O888" s="3">
        <f t="shared" si="12"/>
        <v>888</v>
      </c>
    </row>
    <row r="889" spans="1:15" ht="13.15" customHeight="1">
      <c r="B889" s="271"/>
      <c r="C889" s="271"/>
      <c r="D889" s="271"/>
      <c r="E889" s="271"/>
      <c r="F889" s="271"/>
      <c r="G889" s="271"/>
      <c r="H889" s="271"/>
      <c r="I889" s="271"/>
      <c r="J889" s="271"/>
      <c r="K889" s="271"/>
      <c r="M889" s="3" t="s">
        <v>233</v>
      </c>
      <c r="O889" s="3">
        <f t="shared" si="12"/>
        <v>889</v>
      </c>
    </row>
    <row r="890" spans="1:15" ht="13.15" customHeight="1">
      <c r="B890" s="271"/>
      <c r="C890" s="271"/>
      <c r="D890" s="271"/>
      <c r="E890" s="271"/>
      <c r="F890" s="271"/>
      <c r="G890" s="271"/>
      <c r="H890" s="271"/>
      <c r="I890" s="271"/>
      <c r="J890" s="271"/>
      <c r="K890" s="271"/>
      <c r="M890" s="3" t="s">
        <v>233</v>
      </c>
      <c r="O890" s="3">
        <f t="shared" si="12"/>
        <v>890</v>
      </c>
    </row>
    <row r="891" spans="1:15" ht="13.15" customHeight="1">
      <c r="B891" s="271"/>
      <c r="C891" s="271"/>
      <c r="D891" s="271"/>
      <c r="E891" s="271"/>
      <c r="F891" s="271"/>
      <c r="G891" s="271"/>
      <c r="H891" s="271"/>
      <c r="I891" s="271"/>
      <c r="J891" s="271"/>
      <c r="K891" s="271"/>
      <c r="M891" s="3" t="s">
        <v>233</v>
      </c>
      <c r="O891" s="3">
        <f t="shared" si="12"/>
        <v>891</v>
      </c>
    </row>
    <row r="892" spans="1:15" ht="13.15" customHeight="1">
      <c r="B892" s="271"/>
      <c r="C892" s="271"/>
      <c r="D892" s="271"/>
      <c r="E892" s="271"/>
      <c r="F892" s="271"/>
      <c r="G892" s="271"/>
      <c r="H892" s="271"/>
      <c r="I892" s="271"/>
      <c r="J892" s="271"/>
      <c r="K892" s="271"/>
      <c r="M892" s="3" t="s">
        <v>233</v>
      </c>
      <c r="O892" s="3">
        <f t="shared" si="12"/>
        <v>892</v>
      </c>
    </row>
    <row r="893" spans="1:15" ht="13.15" customHeight="1">
      <c r="B893" s="271"/>
      <c r="C893" s="271"/>
      <c r="D893" s="271"/>
      <c r="E893" s="271"/>
      <c r="F893" s="271"/>
      <c r="G893" s="271"/>
      <c r="H893" s="271"/>
      <c r="I893" s="271"/>
      <c r="J893" s="271"/>
      <c r="K893" s="271"/>
      <c r="M893" s="3" t="s">
        <v>233</v>
      </c>
      <c r="O893" s="3">
        <f t="shared" si="12"/>
        <v>893</v>
      </c>
    </row>
    <row r="894" spans="1:15" ht="13.15" customHeight="1">
      <c r="B894" s="271"/>
      <c r="C894" s="271"/>
      <c r="D894" s="271"/>
      <c r="E894" s="271"/>
      <c r="F894" s="271"/>
      <c r="G894" s="271"/>
      <c r="H894" s="271"/>
      <c r="I894" s="271"/>
      <c r="J894" s="271"/>
      <c r="K894" s="271"/>
      <c r="M894" s="3" t="s">
        <v>233</v>
      </c>
      <c r="O894" s="3">
        <f t="shared" si="12"/>
        <v>894</v>
      </c>
    </row>
    <row r="895" spans="1:15" ht="13.15" customHeight="1">
      <c r="B895" s="271"/>
      <c r="C895" s="271"/>
      <c r="D895" s="271"/>
      <c r="E895" s="271"/>
      <c r="F895" s="271"/>
      <c r="G895" s="271"/>
      <c r="H895" s="271"/>
      <c r="I895" s="271"/>
      <c r="J895" s="271"/>
      <c r="K895" s="271"/>
      <c r="M895" s="3" t="s">
        <v>233</v>
      </c>
      <c r="O895" s="3">
        <f t="shared" si="12"/>
        <v>895</v>
      </c>
    </row>
    <row r="896" spans="1:15" ht="13.15" customHeight="1">
      <c r="B896" s="170"/>
      <c r="C896" s="170"/>
      <c r="D896" s="170"/>
      <c r="E896" s="170"/>
      <c r="F896" s="170"/>
      <c r="G896" s="170"/>
      <c r="H896" s="170"/>
      <c r="I896" s="170"/>
      <c r="J896" s="170"/>
      <c r="K896" s="170"/>
      <c r="M896" s="3" t="s">
        <v>233</v>
      </c>
      <c r="O896" s="3">
        <f t="shared" si="12"/>
        <v>896</v>
      </c>
    </row>
    <row r="897" spans="1:15" ht="13.15" customHeight="1">
      <c r="B897" s="156" t="s">
        <v>379</v>
      </c>
      <c r="C897" s="271" t="s">
        <v>334</v>
      </c>
      <c r="D897" s="271"/>
      <c r="E897" s="271"/>
      <c r="F897" s="271"/>
      <c r="G897" s="271"/>
      <c r="H897" s="271"/>
      <c r="I897" s="271"/>
      <c r="J897" s="271"/>
      <c r="K897" s="271"/>
      <c r="M897" s="3" t="s">
        <v>233</v>
      </c>
      <c r="O897" s="3">
        <f t="shared" si="12"/>
        <v>897</v>
      </c>
    </row>
    <row r="898" spans="1:15" ht="13.15" customHeight="1">
      <c r="C898" s="271"/>
      <c r="D898" s="271"/>
      <c r="E898" s="271"/>
      <c r="F898" s="271"/>
      <c r="G898" s="271"/>
      <c r="H898" s="271"/>
      <c r="I898" s="271"/>
      <c r="J898" s="271"/>
      <c r="K898" s="271"/>
      <c r="M898" s="3" t="s">
        <v>233</v>
      </c>
      <c r="O898" s="3">
        <f t="shared" si="12"/>
        <v>898</v>
      </c>
    </row>
    <row r="899" spans="1:15" ht="13.15" customHeight="1">
      <c r="B899" s="93"/>
      <c r="C899" s="271"/>
      <c r="D899" s="271"/>
      <c r="E899" s="271"/>
      <c r="F899" s="271"/>
      <c r="G899" s="271"/>
      <c r="H899" s="271"/>
      <c r="I899" s="271"/>
      <c r="J899" s="271"/>
      <c r="K899" s="271"/>
      <c r="M899" s="3" t="s">
        <v>233</v>
      </c>
      <c r="O899" s="3">
        <f t="shared" si="12"/>
        <v>899</v>
      </c>
    </row>
    <row r="900" spans="1:15" ht="13.15" customHeight="1">
      <c r="B900" s="93"/>
      <c r="C900" s="170"/>
      <c r="D900" s="170"/>
      <c r="E900" s="170"/>
      <c r="F900" s="170"/>
      <c r="G900" s="170"/>
      <c r="H900" s="170"/>
      <c r="I900" s="170"/>
      <c r="J900" s="170"/>
      <c r="K900" s="170"/>
      <c r="M900" s="3" t="s">
        <v>233</v>
      </c>
      <c r="O900" s="3">
        <f t="shared" si="12"/>
        <v>900</v>
      </c>
    </row>
    <row r="901" spans="1:15" ht="13.15" customHeight="1">
      <c r="B901" s="156" t="s">
        <v>379</v>
      </c>
      <c r="C901" s="271" t="s">
        <v>218</v>
      </c>
      <c r="D901" s="271"/>
      <c r="E901" s="271"/>
      <c r="F901" s="271"/>
      <c r="G901" s="271"/>
      <c r="H901" s="271"/>
      <c r="I901" s="271"/>
      <c r="J901" s="271"/>
      <c r="K901" s="271"/>
      <c r="M901" s="3" t="s">
        <v>233</v>
      </c>
      <c r="O901" s="3">
        <f t="shared" si="12"/>
        <v>901</v>
      </c>
    </row>
    <row r="902" spans="1:15" ht="13.15" customHeight="1">
      <c r="C902" s="271"/>
      <c r="D902" s="271"/>
      <c r="E902" s="271"/>
      <c r="F902" s="271"/>
      <c r="G902" s="271"/>
      <c r="H902" s="271"/>
      <c r="I902" s="271"/>
      <c r="J902" s="271"/>
      <c r="K902" s="271"/>
      <c r="M902" s="3" t="s">
        <v>233</v>
      </c>
      <c r="O902" s="3">
        <f t="shared" si="12"/>
        <v>902</v>
      </c>
    </row>
    <row r="903" spans="1:15" ht="13.15" customHeight="1">
      <c r="C903" s="271"/>
      <c r="D903" s="271"/>
      <c r="E903" s="271"/>
      <c r="F903" s="271"/>
      <c r="G903" s="271"/>
      <c r="H903" s="271"/>
      <c r="I903" s="271"/>
      <c r="J903" s="271"/>
      <c r="K903" s="271"/>
      <c r="M903" s="3" t="s">
        <v>233</v>
      </c>
      <c r="O903" s="3">
        <f t="shared" si="12"/>
        <v>903</v>
      </c>
    </row>
    <row r="904" spans="1:15" ht="13.15" customHeight="1">
      <c r="C904" s="170"/>
      <c r="D904" s="170"/>
      <c r="E904" s="170"/>
      <c r="F904" s="170"/>
      <c r="G904" s="170"/>
      <c r="H904" s="170"/>
      <c r="I904" s="170"/>
      <c r="J904" s="170"/>
      <c r="K904" s="170"/>
      <c r="M904" s="3" t="s">
        <v>233</v>
      </c>
      <c r="O904" s="3">
        <f t="shared" si="12"/>
        <v>904</v>
      </c>
    </row>
    <row r="905" spans="1:15" ht="13.15" customHeight="1">
      <c r="A905" s="152" t="s">
        <v>437</v>
      </c>
      <c r="B905" s="271" t="s">
        <v>335</v>
      </c>
      <c r="C905" s="271"/>
      <c r="D905" s="271"/>
      <c r="E905" s="271"/>
      <c r="F905" s="271"/>
      <c r="G905" s="271"/>
      <c r="H905" s="271"/>
      <c r="I905" s="271"/>
      <c r="J905" s="271"/>
      <c r="K905" s="271"/>
      <c r="L905" s="3">
        <v>60</v>
      </c>
      <c r="M905" s="3">
        <v>9</v>
      </c>
      <c r="N905" s="3">
        <v>6</v>
      </c>
      <c r="O905" s="3">
        <f t="shared" si="12"/>
        <v>905</v>
      </c>
    </row>
    <row r="906" spans="1:15" ht="13.15" customHeight="1">
      <c r="B906" s="271"/>
      <c r="C906" s="271"/>
      <c r="D906" s="271"/>
      <c r="E906" s="271"/>
      <c r="F906" s="271"/>
      <c r="G906" s="271"/>
      <c r="H906" s="271"/>
      <c r="I906" s="271"/>
      <c r="J906" s="271"/>
      <c r="K906" s="271"/>
      <c r="M906" s="3" t="s">
        <v>233</v>
      </c>
      <c r="O906" s="3">
        <f t="shared" si="12"/>
        <v>906</v>
      </c>
    </row>
    <row r="907" spans="1:15" ht="13.15" customHeight="1">
      <c r="B907" s="271"/>
      <c r="C907" s="271"/>
      <c r="D907" s="271"/>
      <c r="E907" s="271"/>
      <c r="F907" s="271"/>
      <c r="G907" s="271"/>
      <c r="H907" s="271"/>
      <c r="I907" s="271"/>
      <c r="J907" s="271"/>
      <c r="K907" s="271"/>
      <c r="M907" s="3" t="s">
        <v>233</v>
      </c>
      <c r="O907" s="3">
        <f t="shared" si="12"/>
        <v>907</v>
      </c>
    </row>
    <row r="908" spans="1:15" ht="13.15" customHeight="1">
      <c r="B908" s="271"/>
      <c r="C908" s="271"/>
      <c r="D908" s="271"/>
      <c r="E908" s="271"/>
      <c r="F908" s="271"/>
      <c r="G908" s="271"/>
      <c r="H908" s="271"/>
      <c r="I908" s="271"/>
      <c r="J908" s="271"/>
      <c r="K908" s="271"/>
      <c r="M908" s="3" t="s">
        <v>233</v>
      </c>
      <c r="O908" s="3">
        <f t="shared" si="12"/>
        <v>908</v>
      </c>
    </row>
    <row r="909" spans="1:15" ht="13.15" customHeight="1">
      <c r="B909" s="271"/>
      <c r="C909" s="271"/>
      <c r="D909" s="271"/>
      <c r="E909" s="271"/>
      <c r="F909" s="271"/>
      <c r="G909" s="271"/>
      <c r="H909" s="271"/>
      <c r="I909" s="271"/>
      <c r="J909" s="271"/>
      <c r="K909" s="271"/>
      <c r="M909" s="3" t="s">
        <v>233</v>
      </c>
      <c r="O909" s="3">
        <f t="shared" si="12"/>
        <v>909</v>
      </c>
    </row>
    <row r="910" spans="1:15" ht="13.15" customHeight="1">
      <c r="B910" s="271"/>
      <c r="C910" s="271"/>
      <c r="D910" s="271"/>
      <c r="E910" s="271"/>
      <c r="F910" s="271"/>
      <c r="G910" s="271"/>
      <c r="H910" s="271"/>
      <c r="I910" s="271"/>
      <c r="J910" s="271"/>
      <c r="K910" s="271"/>
      <c r="M910" s="3" t="s">
        <v>233</v>
      </c>
      <c r="O910" s="3">
        <f t="shared" si="12"/>
        <v>910</v>
      </c>
    </row>
    <row r="911" spans="1:15" ht="13.15" customHeight="1">
      <c r="B911" s="177"/>
      <c r="C911" s="177"/>
      <c r="D911" s="177"/>
      <c r="E911" s="177"/>
      <c r="F911" s="177"/>
      <c r="G911" s="177"/>
      <c r="H911" s="177"/>
      <c r="I911" s="177"/>
      <c r="J911" s="177"/>
      <c r="K911" s="177"/>
      <c r="M911" s="3" t="s">
        <v>233</v>
      </c>
      <c r="O911" s="3">
        <f t="shared" si="12"/>
        <v>911</v>
      </c>
    </row>
    <row r="912" spans="1:15" ht="13.15" customHeight="1">
      <c r="B912" s="156" t="s">
        <v>379</v>
      </c>
      <c r="C912" s="286" t="s">
        <v>336</v>
      </c>
      <c r="D912" s="286"/>
      <c r="E912" s="286"/>
      <c r="F912" s="286"/>
      <c r="G912" s="286"/>
      <c r="H912" s="286"/>
      <c r="I912" s="286"/>
      <c r="J912" s="286"/>
      <c r="K912" s="286"/>
      <c r="M912" s="3" t="s">
        <v>233</v>
      </c>
      <c r="O912" s="3">
        <f t="shared" si="12"/>
        <v>912</v>
      </c>
    </row>
    <row r="913" spans="1:15" ht="13.15" customHeight="1">
      <c r="B913" s="123"/>
      <c r="C913" s="286"/>
      <c r="D913" s="286"/>
      <c r="E913" s="286"/>
      <c r="F913" s="286"/>
      <c r="G913" s="286"/>
      <c r="H913" s="286"/>
      <c r="I913" s="286"/>
      <c r="J913" s="286"/>
      <c r="K913" s="286"/>
      <c r="M913" s="3" t="s">
        <v>233</v>
      </c>
      <c r="O913" s="3">
        <f t="shared" ref="O913:O968" si="13">ROW(M913)</f>
        <v>913</v>
      </c>
    </row>
    <row r="914" spans="1:15" ht="13.15" customHeight="1">
      <c r="M914" s="3" t="s">
        <v>233</v>
      </c>
      <c r="O914" s="3">
        <f t="shared" si="13"/>
        <v>914</v>
      </c>
    </row>
    <row r="915" spans="1:15" ht="13.15" customHeight="1">
      <c r="A915" s="152" t="s">
        <v>438</v>
      </c>
      <c r="B915" s="271" t="s">
        <v>337</v>
      </c>
      <c r="C915" s="271"/>
      <c r="D915" s="271"/>
      <c r="E915" s="271"/>
      <c r="F915" s="271"/>
      <c r="G915" s="271"/>
      <c r="H915" s="271"/>
      <c r="I915" s="271"/>
      <c r="J915" s="271"/>
      <c r="K915" s="271"/>
      <c r="L915" s="3">
        <v>61</v>
      </c>
      <c r="M915" s="3">
        <v>13</v>
      </c>
      <c r="N915" s="3">
        <v>4</v>
      </c>
      <c r="O915" s="3">
        <f t="shared" si="13"/>
        <v>915</v>
      </c>
    </row>
    <row r="916" spans="1:15" ht="13.15" customHeight="1">
      <c r="B916" s="271"/>
      <c r="C916" s="271"/>
      <c r="D916" s="271"/>
      <c r="E916" s="271"/>
      <c r="F916" s="271"/>
      <c r="G916" s="271"/>
      <c r="H916" s="271"/>
      <c r="I916" s="271"/>
      <c r="J916" s="271"/>
      <c r="K916" s="271"/>
      <c r="M916" s="3" t="s">
        <v>233</v>
      </c>
      <c r="O916" s="3">
        <f t="shared" si="13"/>
        <v>916</v>
      </c>
    </row>
    <row r="917" spans="1:15" ht="13.15" customHeight="1">
      <c r="B917" s="271"/>
      <c r="C917" s="271"/>
      <c r="D917" s="271"/>
      <c r="E917" s="271"/>
      <c r="F917" s="271"/>
      <c r="G917" s="271"/>
      <c r="H917" s="271"/>
      <c r="I917" s="271"/>
      <c r="J917" s="271"/>
      <c r="K917" s="271"/>
      <c r="M917" s="3" t="s">
        <v>233</v>
      </c>
      <c r="O917" s="3">
        <f t="shared" si="13"/>
        <v>917</v>
      </c>
    </row>
    <row r="918" spans="1:15" ht="13.15" customHeight="1">
      <c r="B918" s="271"/>
      <c r="C918" s="271"/>
      <c r="D918" s="271"/>
      <c r="E918" s="271"/>
      <c r="F918" s="271"/>
      <c r="G918" s="271"/>
      <c r="H918" s="271"/>
      <c r="I918" s="271"/>
      <c r="J918" s="271"/>
      <c r="K918" s="271"/>
      <c r="M918" s="3" t="s">
        <v>233</v>
      </c>
      <c r="O918" s="3">
        <f t="shared" si="13"/>
        <v>918</v>
      </c>
    </row>
    <row r="919" spans="1:15" ht="13.15" customHeight="1">
      <c r="B919" s="170"/>
      <c r="C919" s="170"/>
      <c r="D919" s="170"/>
      <c r="E919" s="170"/>
      <c r="F919" s="170"/>
      <c r="G919" s="170"/>
      <c r="H919" s="170"/>
      <c r="I919" s="170"/>
      <c r="J919" s="170"/>
      <c r="K919" s="170"/>
      <c r="M919" s="3" t="s">
        <v>233</v>
      </c>
      <c r="O919" s="3">
        <f t="shared" si="13"/>
        <v>919</v>
      </c>
    </row>
    <row r="920" spans="1:15" ht="13.15" customHeight="1">
      <c r="B920" s="156" t="s">
        <v>379</v>
      </c>
      <c r="C920" s="271" t="s">
        <v>338</v>
      </c>
      <c r="D920" s="271"/>
      <c r="E920" s="271"/>
      <c r="F920" s="271"/>
      <c r="G920" s="271"/>
      <c r="H920" s="271"/>
      <c r="I920" s="271"/>
      <c r="J920" s="271"/>
      <c r="K920" s="271"/>
      <c r="M920" s="3" t="s">
        <v>233</v>
      </c>
      <c r="O920" s="3">
        <f t="shared" si="13"/>
        <v>920</v>
      </c>
    </row>
    <row r="921" spans="1:15" ht="13.15" customHeight="1">
      <c r="C921" s="271"/>
      <c r="D921" s="271"/>
      <c r="E921" s="271"/>
      <c r="F921" s="271"/>
      <c r="G921" s="271"/>
      <c r="H921" s="271"/>
      <c r="I921" s="271"/>
      <c r="J921" s="271"/>
      <c r="K921" s="271"/>
      <c r="M921" s="3" t="s">
        <v>233</v>
      </c>
      <c r="O921" s="3">
        <f t="shared" si="13"/>
        <v>921</v>
      </c>
    </row>
    <row r="922" spans="1:15" ht="13.15" customHeight="1">
      <c r="C922" s="271"/>
      <c r="D922" s="271"/>
      <c r="E922" s="271"/>
      <c r="F922" s="271"/>
      <c r="G922" s="271"/>
      <c r="H922" s="271"/>
      <c r="I922" s="271"/>
      <c r="J922" s="271"/>
      <c r="K922" s="271"/>
      <c r="M922" s="3" t="s">
        <v>233</v>
      </c>
      <c r="O922" s="3">
        <f t="shared" si="13"/>
        <v>922</v>
      </c>
    </row>
    <row r="923" spans="1:15" ht="13.15" customHeight="1">
      <c r="C923" s="271"/>
      <c r="D923" s="271"/>
      <c r="E923" s="271"/>
      <c r="F923" s="271"/>
      <c r="G923" s="271"/>
      <c r="H923" s="271"/>
      <c r="I923" s="271"/>
      <c r="J923" s="271"/>
      <c r="K923" s="271"/>
      <c r="M923" s="3" t="s">
        <v>233</v>
      </c>
      <c r="O923" s="3">
        <f t="shared" si="13"/>
        <v>923</v>
      </c>
    </row>
    <row r="924" spans="1:15" ht="13.15" customHeight="1">
      <c r="C924" s="271"/>
      <c r="D924" s="271"/>
      <c r="E924" s="271"/>
      <c r="F924" s="271"/>
      <c r="G924" s="271"/>
      <c r="H924" s="271"/>
      <c r="I924" s="271"/>
      <c r="J924" s="271"/>
      <c r="K924" s="271"/>
      <c r="M924" s="3" t="s">
        <v>233</v>
      </c>
      <c r="O924" s="3">
        <f t="shared" si="13"/>
        <v>924</v>
      </c>
    </row>
    <row r="925" spans="1:15" ht="13.15" customHeight="1">
      <c r="C925" s="271"/>
      <c r="D925" s="271"/>
      <c r="E925" s="271"/>
      <c r="F925" s="271"/>
      <c r="G925" s="271"/>
      <c r="H925" s="271"/>
      <c r="I925" s="271"/>
      <c r="J925" s="271"/>
      <c r="K925" s="271"/>
      <c r="O925" s="3">
        <f t="shared" si="13"/>
        <v>925</v>
      </c>
    </row>
    <row r="926" spans="1:15" ht="13.15" customHeight="1">
      <c r="C926" s="271"/>
      <c r="D926" s="271"/>
      <c r="E926" s="271"/>
      <c r="F926" s="271"/>
      <c r="G926" s="271"/>
      <c r="H926" s="271"/>
      <c r="I926" s="271"/>
      <c r="J926" s="271"/>
      <c r="K926" s="271"/>
      <c r="M926" s="3" t="s">
        <v>233</v>
      </c>
      <c r="O926" s="3">
        <f t="shared" si="13"/>
        <v>926</v>
      </c>
    </row>
    <row r="927" spans="1:15" ht="13.15" customHeight="1">
      <c r="A927" s="3"/>
      <c r="C927" s="271"/>
      <c r="D927" s="271"/>
      <c r="E927" s="271"/>
      <c r="F927" s="271"/>
      <c r="G927" s="271"/>
      <c r="H927" s="271"/>
      <c r="I927" s="271"/>
      <c r="J927" s="271"/>
      <c r="K927" s="271"/>
      <c r="M927" s="3" t="s">
        <v>233</v>
      </c>
      <c r="O927" s="3">
        <f t="shared" si="13"/>
        <v>927</v>
      </c>
    </row>
    <row r="928" spans="1:15" ht="13.15" customHeight="1">
      <c r="B928" s="3" t="s">
        <v>162</v>
      </c>
      <c r="M928" s="3" t="s">
        <v>233</v>
      </c>
      <c r="O928" s="3">
        <f t="shared" si="13"/>
        <v>928</v>
      </c>
    </row>
    <row r="929" spans="1:15" ht="13.15" customHeight="1">
      <c r="A929" s="152" t="s">
        <v>439</v>
      </c>
      <c r="B929" s="271" t="s">
        <v>339</v>
      </c>
      <c r="C929" s="271"/>
      <c r="D929" s="271"/>
      <c r="E929" s="271"/>
      <c r="F929" s="271"/>
      <c r="G929" s="271"/>
      <c r="H929" s="271"/>
      <c r="I929" s="271"/>
      <c r="J929" s="271"/>
      <c r="K929" s="271"/>
      <c r="L929" s="3">
        <v>62</v>
      </c>
      <c r="M929" s="3">
        <v>18</v>
      </c>
      <c r="N929" s="3">
        <v>6</v>
      </c>
      <c r="O929" s="3">
        <f t="shared" si="13"/>
        <v>929</v>
      </c>
    </row>
    <row r="930" spans="1:15" ht="13.15" customHeight="1">
      <c r="B930" s="271"/>
      <c r="C930" s="271"/>
      <c r="D930" s="271"/>
      <c r="E930" s="271"/>
      <c r="F930" s="271"/>
      <c r="G930" s="271"/>
      <c r="H930" s="271"/>
      <c r="I930" s="271"/>
      <c r="J930" s="271"/>
      <c r="K930" s="271"/>
      <c r="M930" s="3" t="s">
        <v>233</v>
      </c>
      <c r="O930" s="3">
        <f t="shared" si="13"/>
        <v>930</v>
      </c>
    </row>
    <row r="931" spans="1:15" ht="13.15" customHeight="1">
      <c r="B931" s="271"/>
      <c r="C931" s="271"/>
      <c r="D931" s="271"/>
      <c r="E931" s="271"/>
      <c r="F931" s="271"/>
      <c r="G931" s="271"/>
      <c r="H931" s="271"/>
      <c r="I931" s="271"/>
      <c r="J931" s="271"/>
      <c r="K931" s="271"/>
      <c r="M931" s="3" t="s">
        <v>233</v>
      </c>
      <c r="O931" s="3">
        <f t="shared" si="13"/>
        <v>931</v>
      </c>
    </row>
    <row r="932" spans="1:15" ht="13.15" customHeight="1">
      <c r="B932" s="271"/>
      <c r="C932" s="271"/>
      <c r="D932" s="271"/>
      <c r="E932" s="271"/>
      <c r="F932" s="271"/>
      <c r="G932" s="271"/>
      <c r="H932" s="271"/>
      <c r="I932" s="271"/>
      <c r="J932" s="271"/>
      <c r="K932" s="271"/>
      <c r="M932" s="3" t="s">
        <v>233</v>
      </c>
      <c r="O932" s="3">
        <f t="shared" si="13"/>
        <v>932</v>
      </c>
    </row>
    <row r="933" spans="1:15" ht="13.15" customHeight="1">
      <c r="B933" s="271"/>
      <c r="C933" s="271"/>
      <c r="D933" s="271"/>
      <c r="E933" s="271"/>
      <c r="F933" s="271"/>
      <c r="G933" s="271"/>
      <c r="H933" s="271"/>
      <c r="I933" s="271"/>
      <c r="J933" s="271"/>
      <c r="K933" s="271"/>
      <c r="M933" s="3" t="s">
        <v>233</v>
      </c>
      <c r="O933" s="3">
        <f t="shared" si="13"/>
        <v>933</v>
      </c>
    </row>
    <row r="934" spans="1:15" ht="13.15" customHeight="1">
      <c r="B934" s="271"/>
      <c r="C934" s="271"/>
      <c r="D934" s="271"/>
      <c r="E934" s="271"/>
      <c r="F934" s="271"/>
      <c r="G934" s="271"/>
      <c r="H934" s="271"/>
      <c r="I934" s="271"/>
      <c r="J934" s="271"/>
      <c r="K934" s="271"/>
      <c r="M934" s="3" t="s">
        <v>233</v>
      </c>
      <c r="O934" s="3">
        <f t="shared" si="13"/>
        <v>934</v>
      </c>
    </row>
    <row r="935" spans="1:15" ht="13.15" customHeight="1">
      <c r="B935" s="170"/>
      <c r="C935" s="170"/>
      <c r="D935" s="170"/>
      <c r="E935" s="170"/>
      <c r="F935" s="170"/>
      <c r="G935" s="170"/>
      <c r="H935" s="170"/>
      <c r="I935" s="170"/>
      <c r="J935" s="170"/>
      <c r="K935" s="170"/>
      <c r="M935" s="3" t="s">
        <v>233</v>
      </c>
      <c r="O935" s="3">
        <f t="shared" si="13"/>
        <v>935</v>
      </c>
    </row>
    <row r="936" spans="1:15" ht="13.15" customHeight="1">
      <c r="B936" s="156" t="s">
        <v>379</v>
      </c>
      <c r="C936" s="271" t="s">
        <v>340</v>
      </c>
      <c r="D936" s="271"/>
      <c r="E936" s="271"/>
      <c r="F936" s="271"/>
      <c r="G936" s="271"/>
      <c r="H936" s="271"/>
      <c r="I936" s="271"/>
      <c r="J936" s="271"/>
      <c r="K936" s="271"/>
      <c r="M936" s="3" t="s">
        <v>233</v>
      </c>
      <c r="O936" s="3">
        <f t="shared" si="13"/>
        <v>936</v>
      </c>
    </row>
    <row r="937" spans="1:15" ht="13.15" customHeight="1">
      <c r="B937" s="60"/>
      <c r="C937" s="271"/>
      <c r="D937" s="271"/>
      <c r="E937" s="271"/>
      <c r="F937" s="271"/>
      <c r="G937" s="271"/>
      <c r="H937" s="271"/>
      <c r="I937" s="271"/>
      <c r="J937" s="271"/>
      <c r="K937" s="271"/>
      <c r="M937" s="3" t="s">
        <v>233</v>
      </c>
      <c r="O937" s="3">
        <f t="shared" si="13"/>
        <v>937</v>
      </c>
    </row>
    <row r="938" spans="1:15" ht="13.15" customHeight="1">
      <c r="B938" s="60"/>
      <c r="C938" s="271"/>
      <c r="D938" s="271"/>
      <c r="E938" s="271"/>
      <c r="F938" s="271"/>
      <c r="G938" s="271"/>
      <c r="H938" s="271"/>
      <c r="I938" s="271"/>
      <c r="J938" s="271"/>
      <c r="K938" s="271"/>
      <c r="M938" s="3" t="s">
        <v>233</v>
      </c>
      <c r="O938" s="3">
        <f t="shared" si="13"/>
        <v>938</v>
      </c>
    </row>
    <row r="939" spans="1:15" ht="13.15" customHeight="1">
      <c r="B939" s="60"/>
      <c r="C939" s="271"/>
      <c r="D939" s="271"/>
      <c r="E939" s="271"/>
      <c r="F939" s="271"/>
      <c r="G939" s="271"/>
      <c r="H939" s="271"/>
      <c r="I939" s="271"/>
      <c r="J939" s="271"/>
      <c r="K939" s="271"/>
      <c r="M939" s="3" t="s">
        <v>233</v>
      </c>
      <c r="O939" s="3">
        <f t="shared" si="13"/>
        <v>939</v>
      </c>
    </row>
    <row r="940" spans="1:15" ht="13.15" customHeight="1">
      <c r="A940" s="3"/>
      <c r="B940" s="60"/>
      <c r="C940" s="271"/>
      <c r="D940" s="271"/>
      <c r="E940" s="271"/>
      <c r="F940" s="271"/>
      <c r="G940" s="271"/>
      <c r="H940" s="271"/>
      <c r="I940" s="271"/>
      <c r="J940" s="271"/>
      <c r="K940" s="271"/>
      <c r="M940" s="3" t="s">
        <v>233</v>
      </c>
      <c r="O940" s="3">
        <f t="shared" si="13"/>
        <v>940</v>
      </c>
    </row>
    <row r="941" spans="1:15" ht="13.15" customHeight="1">
      <c r="B941" s="60"/>
      <c r="C941" s="271"/>
      <c r="D941" s="271"/>
      <c r="E941" s="271"/>
      <c r="F941" s="271"/>
      <c r="G941" s="271"/>
      <c r="H941" s="271"/>
      <c r="I941" s="271"/>
      <c r="J941" s="271"/>
      <c r="K941" s="271"/>
      <c r="M941" s="3" t="s">
        <v>233</v>
      </c>
      <c r="O941" s="3">
        <f t="shared" si="13"/>
        <v>941</v>
      </c>
    </row>
    <row r="942" spans="1:15" ht="13.15" customHeight="1">
      <c r="C942" s="271"/>
      <c r="D942" s="271"/>
      <c r="E942" s="271"/>
      <c r="F942" s="271"/>
      <c r="G942" s="271"/>
      <c r="H942" s="271"/>
      <c r="I942" s="271"/>
      <c r="J942" s="271"/>
      <c r="K942" s="271"/>
      <c r="M942" s="3" t="s">
        <v>233</v>
      </c>
      <c r="O942" s="3">
        <f t="shared" si="13"/>
        <v>942</v>
      </c>
    </row>
    <row r="943" spans="1:15" ht="13.15" customHeight="1">
      <c r="C943" s="271"/>
      <c r="D943" s="271"/>
      <c r="E943" s="271"/>
      <c r="F943" s="271"/>
      <c r="G943" s="271"/>
      <c r="H943" s="271"/>
      <c r="I943" s="271"/>
      <c r="J943" s="271"/>
      <c r="K943" s="271"/>
      <c r="M943" s="3" t="s">
        <v>233</v>
      </c>
      <c r="O943" s="3">
        <f t="shared" si="13"/>
        <v>943</v>
      </c>
    </row>
    <row r="944" spans="1:15" ht="13.15" customHeight="1">
      <c r="C944" s="124"/>
      <c r="D944" s="124"/>
      <c r="E944" s="124"/>
      <c r="F944" s="124"/>
      <c r="G944" s="124"/>
      <c r="H944" s="124"/>
      <c r="I944" s="124"/>
      <c r="J944" s="124"/>
      <c r="K944" s="124"/>
      <c r="M944" s="3" t="s">
        <v>233</v>
      </c>
      <c r="O944" s="3">
        <f t="shared" si="13"/>
        <v>944</v>
      </c>
    </row>
    <row r="945" spans="1:15" ht="13.15" customHeight="1">
      <c r="B945" s="156" t="s">
        <v>379</v>
      </c>
      <c r="C945" s="271" t="s">
        <v>341</v>
      </c>
      <c r="D945" s="271"/>
      <c r="E945" s="271"/>
      <c r="F945" s="271"/>
      <c r="G945" s="271"/>
      <c r="H945" s="271"/>
      <c r="I945" s="271"/>
      <c r="J945" s="271"/>
      <c r="K945" s="271"/>
      <c r="M945" s="3" t="s">
        <v>233</v>
      </c>
      <c r="O945" s="3">
        <f t="shared" si="13"/>
        <v>945</v>
      </c>
    </row>
    <row r="946" spans="1:15" ht="13.15" customHeight="1">
      <c r="C946" s="271"/>
      <c r="D946" s="271"/>
      <c r="E946" s="271"/>
      <c r="F946" s="271"/>
      <c r="G946" s="271"/>
      <c r="H946" s="271"/>
      <c r="I946" s="271"/>
      <c r="J946" s="271"/>
      <c r="K946" s="271"/>
      <c r="M946" s="3" t="s">
        <v>233</v>
      </c>
      <c r="O946" s="3">
        <f t="shared" si="13"/>
        <v>946</v>
      </c>
    </row>
    <row r="947" spans="1:15" ht="13.15" customHeight="1">
      <c r="C947" s="170"/>
      <c r="D947" s="170"/>
      <c r="E947" s="170"/>
      <c r="F947" s="170"/>
      <c r="G947" s="170"/>
      <c r="H947" s="170"/>
      <c r="I947" s="170"/>
      <c r="J947" s="170"/>
      <c r="K947" s="170"/>
      <c r="M947" s="3" t="s">
        <v>233</v>
      </c>
      <c r="O947" s="3">
        <f t="shared" si="13"/>
        <v>947</v>
      </c>
    </row>
    <row r="948" spans="1:15" ht="13.15" customHeight="1">
      <c r="A948" s="152" t="s">
        <v>452</v>
      </c>
      <c r="B948" s="271" t="s">
        <v>342</v>
      </c>
      <c r="C948" s="271"/>
      <c r="D948" s="271"/>
      <c r="E948" s="271"/>
      <c r="F948" s="271"/>
      <c r="G948" s="271"/>
      <c r="H948" s="271"/>
      <c r="I948" s="271"/>
      <c r="J948" s="271"/>
      <c r="K948" s="271"/>
      <c r="L948" s="3">
        <v>63</v>
      </c>
      <c r="M948" s="3">
        <v>19</v>
      </c>
      <c r="N948" s="3">
        <v>10</v>
      </c>
      <c r="O948" s="3">
        <f t="shared" si="13"/>
        <v>948</v>
      </c>
    </row>
    <row r="949" spans="1:15" ht="13.15" customHeight="1">
      <c r="B949" s="271"/>
      <c r="C949" s="271"/>
      <c r="D949" s="271"/>
      <c r="E949" s="271"/>
      <c r="F949" s="271"/>
      <c r="G949" s="271"/>
      <c r="H949" s="271"/>
      <c r="I949" s="271"/>
      <c r="J949" s="271"/>
      <c r="K949" s="271"/>
      <c r="M949" s="3" t="s">
        <v>233</v>
      </c>
      <c r="O949" s="3">
        <f t="shared" si="13"/>
        <v>949</v>
      </c>
    </row>
    <row r="950" spans="1:15" ht="13.15" customHeight="1">
      <c r="B950" s="271"/>
      <c r="C950" s="271"/>
      <c r="D950" s="271"/>
      <c r="E950" s="271"/>
      <c r="F950" s="271"/>
      <c r="G950" s="271"/>
      <c r="H950" s="271"/>
      <c r="I950" s="271"/>
      <c r="J950" s="271"/>
      <c r="K950" s="271"/>
      <c r="M950" s="3" t="s">
        <v>233</v>
      </c>
      <c r="O950" s="3">
        <f t="shared" si="13"/>
        <v>950</v>
      </c>
    </row>
    <row r="951" spans="1:15" ht="13.15" customHeight="1">
      <c r="B951" s="271"/>
      <c r="C951" s="271"/>
      <c r="D951" s="271"/>
      <c r="E951" s="271"/>
      <c r="F951" s="271"/>
      <c r="G951" s="271"/>
      <c r="H951" s="271"/>
      <c r="I951" s="271"/>
      <c r="J951" s="271"/>
      <c r="K951" s="271"/>
      <c r="M951" s="3" t="s">
        <v>233</v>
      </c>
      <c r="O951" s="3">
        <f t="shared" si="13"/>
        <v>951</v>
      </c>
    </row>
    <row r="952" spans="1:15" ht="13.15" customHeight="1">
      <c r="B952" s="271"/>
      <c r="C952" s="271"/>
      <c r="D952" s="271"/>
      <c r="E952" s="271"/>
      <c r="F952" s="271"/>
      <c r="G952" s="271"/>
      <c r="H952" s="271"/>
      <c r="I952" s="271"/>
      <c r="J952" s="271"/>
      <c r="K952" s="271"/>
      <c r="M952" s="3" t="s">
        <v>233</v>
      </c>
      <c r="O952" s="3">
        <f t="shared" si="13"/>
        <v>952</v>
      </c>
    </row>
    <row r="953" spans="1:15" ht="13.15" customHeight="1">
      <c r="B953" s="271"/>
      <c r="C953" s="271"/>
      <c r="D953" s="271"/>
      <c r="E953" s="271"/>
      <c r="F953" s="271"/>
      <c r="G953" s="271"/>
      <c r="H953" s="271"/>
      <c r="I953" s="271"/>
      <c r="J953" s="271"/>
      <c r="K953" s="271"/>
      <c r="M953" s="3" t="s">
        <v>233</v>
      </c>
      <c r="O953" s="3">
        <f t="shared" si="13"/>
        <v>953</v>
      </c>
    </row>
    <row r="954" spans="1:15" ht="13.15" customHeight="1">
      <c r="B954" s="271"/>
      <c r="C954" s="271"/>
      <c r="D954" s="271"/>
      <c r="E954" s="271"/>
      <c r="F954" s="271"/>
      <c r="G954" s="271"/>
      <c r="H954" s="271"/>
      <c r="I954" s="271"/>
      <c r="J954" s="271"/>
      <c r="K954" s="271"/>
      <c r="M954" s="3" t="s">
        <v>233</v>
      </c>
      <c r="O954" s="3">
        <f t="shared" si="13"/>
        <v>954</v>
      </c>
    </row>
    <row r="955" spans="1:15" ht="13.15" customHeight="1">
      <c r="A955" s="3"/>
      <c r="B955" s="271"/>
      <c r="C955" s="271"/>
      <c r="D955" s="271"/>
      <c r="E955" s="271"/>
      <c r="F955" s="271"/>
      <c r="G955" s="271"/>
      <c r="H955" s="271"/>
      <c r="I955" s="271"/>
      <c r="J955" s="271"/>
      <c r="K955" s="271"/>
      <c r="M955" s="3" t="s">
        <v>233</v>
      </c>
      <c r="O955" s="3">
        <f t="shared" si="13"/>
        <v>955</v>
      </c>
    </row>
    <row r="956" spans="1:15" ht="13.15" customHeight="1">
      <c r="B956" s="271"/>
      <c r="C956" s="271"/>
      <c r="D956" s="271"/>
      <c r="E956" s="271"/>
      <c r="F956" s="271"/>
      <c r="G956" s="271"/>
      <c r="H956" s="271"/>
      <c r="I956" s="271"/>
      <c r="J956" s="271"/>
      <c r="K956" s="271"/>
      <c r="M956" s="3" t="s">
        <v>233</v>
      </c>
      <c r="O956" s="3">
        <f t="shared" si="13"/>
        <v>956</v>
      </c>
    </row>
    <row r="957" spans="1:15" ht="13.15" customHeight="1">
      <c r="B957" s="271"/>
      <c r="C957" s="271"/>
      <c r="D957" s="271"/>
      <c r="E957" s="271"/>
      <c r="F957" s="271"/>
      <c r="G957" s="271"/>
      <c r="H957" s="271"/>
      <c r="I957" s="271"/>
      <c r="J957" s="271"/>
      <c r="K957" s="271"/>
      <c r="M957" s="3" t="s">
        <v>233</v>
      </c>
      <c r="O957" s="3">
        <f t="shared" si="13"/>
        <v>957</v>
      </c>
    </row>
    <row r="958" spans="1:15" ht="13.15" customHeight="1">
      <c r="B958" s="170"/>
      <c r="C958" s="170"/>
      <c r="D958" s="170"/>
      <c r="E958" s="170"/>
      <c r="F958" s="170"/>
      <c r="G958" s="170"/>
      <c r="H958" s="170"/>
      <c r="I958" s="170"/>
      <c r="J958" s="170"/>
      <c r="K958" s="170"/>
      <c r="M958" s="3" t="s">
        <v>233</v>
      </c>
      <c r="O958" s="3">
        <f t="shared" si="13"/>
        <v>958</v>
      </c>
    </row>
    <row r="959" spans="1:15" ht="13.15" customHeight="1">
      <c r="B959" s="156" t="s">
        <v>379</v>
      </c>
      <c r="C959" s="267" t="s">
        <v>343</v>
      </c>
      <c r="D959" s="267"/>
      <c r="E959" s="267"/>
      <c r="F959" s="267"/>
      <c r="G959" s="267"/>
      <c r="H959" s="267"/>
      <c r="I959" s="267"/>
      <c r="J959" s="267"/>
      <c r="K959" s="267"/>
      <c r="M959" s="3" t="s">
        <v>233</v>
      </c>
      <c r="O959" s="3">
        <f t="shared" si="13"/>
        <v>959</v>
      </c>
    </row>
    <row r="960" spans="1:15" ht="13.15" customHeight="1">
      <c r="C960" s="267"/>
      <c r="D960" s="267"/>
      <c r="E960" s="267"/>
      <c r="F960" s="267"/>
      <c r="G960" s="267"/>
      <c r="H960" s="267"/>
      <c r="I960" s="267"/>
      <c r="J960" s="267"/>
      <c r="K960" s="267"/>
      <c r="M960" s="3" t="s">
        <v>233</v>
      </c>
      <c r="O960" s="3">
        <f t="shared" si="13"/>
        <v>960</v>
      </c>
    </row>
    <row r="961" spans="1:15" ht="13.15" customHeight="1">
      <c r="C961" s="267"/>
      <c r="D961" s="267"/>
      <c r="E961" s="267"/>
      <c r="F961" s="267"/>
      <c r="G961" s="267"/>
      <c r="H961" s="267"/>
      <c r="I961" s="267"/>
      <c r="J961" s="267"/>
      <c r="K961" s="267"/>
      <c r="M961" s="3" t="s">
        <v>233</v>
      </c>
      <c r="O961" s="3">
        <f t="shared" si="13"/>
        <v>961</v>
      </c>
    </row>
    <row r="962" spans="1:15" ht="13.15" customHeight="1">
      <c r="C962" s="267"/>
      <c r="D962" s="267"/>
      <c r="E962" s="267"/>
      <c r="F962" s="267"/>
      <c r="G962" s="267"/>
      <c r="H962" s="267"/>
      <c r="I962" s="267"/>
      <c r="J962" s="267"/>
      <c r="K962" s="267"/>
      <c r="M962" s="3" t="s">
        <v>233</v>
      </c>
      <c r="O962" s="3">
        <f t="shared" si="13"/>
        <v>962</v>
      </c>
    </row>
    <row r="963" spans="1:15" ht="13.15" customHeight="1">
      <c r="C963" s="267"/>
      <c r="D963" s="267"/>
      <c r="E963" s="267"/>
      <c r="F963" s="267"/>
      <c r="G963" s="267"/>
      <c r="H963" s="267"/>
      <c r="I963" s="267"/>
      <c r="J963" s="267"/>
      <c r="K963" s="267"/>
      <c r="M963" s="3" t="s">
        <v>233</v>
      </c>
      <c r="O963" s="3">
        <f t="shared" si="13"/>
        <v>963</v>
      </c>
    </row>
    <row r="964" spans="1:15" ht="13.15" customHeight="1">
      <c r="C964" s="267"/>
      <c r="D964" s="267"/>
      <c r="E964" s="267"/>
      <c r="F964" s="267"/>
      <c r="G964" s="267"/>
      <c r="H964" s="267"/>
      <c r="I964" s="267"/>
      <c r="J964" s="267"/>
      <c r="K964" s="267"/>
      <c r="M964" s="3" t="s">
        <v>233</v>
      </c>
      <c r="O964" s="3">
        <f t="shared" si="13"/>
        <v>964</v>
      </c>
    </row>
    <row r="965" spans="1:15" ht="13.15" customHeight="1">
      <c r="C965" s="267"/>
      <c r="D965" s="267"/>
      <c r="E965" s="267"/>
      <c r="F965" s="267"/>
      <c r="G965" s="267"/>
      <c r="H965" s="267"/>
      <c r="I965" s="267"/>
      <c r="J965" s="267"/>
      <c r="K965" s="267"/>
      <c r="M965" s="3" t="s">
        <v>233</v>
      </c>
      <c r="O965" s="3">
        <f t="shared" si="13"/>
        <v>965</v>
      </c>
    </row>
    <row r="966" spans="1:15" ht="13.15" customHeight="1">
      <c r="C966" s="267"/>
      <c r="D966" s="267"/>
      <c r="E966" s="267"/>
      <c r="F966" s="267"/>
      <c r="G966" s="267"/>
      <c r="H966" s="267"/>
      <c r="I966" s="267"/>
      <c r="J966" s="267"/>
      <c r="K966" s="267"/>
      <c r="M966" s="3" t="s">
        <v>233</v>
      </c>
      <c r="O966" s="3">
        <f t="shared" si="13"/>
        <v>966</v>
      </c>
    </row>
    <row r="967" spans="1:15" ht="13.15" customHeight="1" thickBot="1">
      <c r="C967" s="167"/>
      <c r="D967" s="167"/>
      <c r="E967" s="167"/>
      <c r="F967" s="167"/>
      <c r="G967" s="167"/>
      <c r="H967" s="167"/>
      <c r="I967" s="167"/>
      <c r="J967" s="167"/>
      <c r="K967" s="167"/>
      <c r="M967" s="3" t="s">
        <v>233</v>
      </c>
      <c r="O967" s="3">
        <f t="shared" si="13"/>
        <v>967</v>
      </c>
    </row>
    <row r="968" spans="1:15" ht="13.15" customHeight="1">
      <c r="A968" s="159" t="s">
        <v>459</v>
      </c>
      <c r="B968" s="160" t="s">
        <v>163</v>
      </c>
      <c r="C968" s="161"/>
      <c r="D968" s="161"/>
      <c r="E968" s="161"/>
      <c r="F968" s="161"/>
      <c r="G968" s="161"/>
      <c r="H968" s="161"/>
      <c r="I968" s="161"/>
      <c r="J968" s="161"/>
      <c r="K968" s="161"/>
      <c r="L968" s="3">
        <v>64</v>
      </c>
      <c r="M968" s="3">
        <v>10</v>
      </c>
      <c r="O968" s="3">
        <f t="shared" si="13"/>
        <v>968</v>
      </c>
    </row>
    <row r="969" spans="1:15" ht="13.15" customHeight="1">
      <c r="B969" s="271" t="s">
        <v>344</v>
      </c>
      <c r="C969" s="271"/>
      <c r="D969" s="271"/>
      <c r="E969" s="271"/>
      <c r="F969" s="271"/>
      <c r="G969" s="271"/>
      <c r="H969" s="271"/>
      <c r="I969" s="271"/>
      <c r="J969" s="271"/>
      <c r="K969" s="271"/>
      <c r="M969" s="3" t="s">
        <v>233</v>
      </c>
    </row>
    <row r="970" spans="1:15" ht="13.15" customHeight="1">
      <c r="B970" s="271"/>
      <c r="C970" s="271"/>
      <c r="D970" s="271"/>
      <c r="E970" s="271"/>
      <c r="F970" s="271"/>
      <c r="G970" s="271"/>
      <c r="H970" s="271"/>
      <c r="I970" s="271"/>
      <c r="J970" s="271"/>
      <c r="K970" s="271"/>
      <c r="M970" s="3" t="s">
        <v>233</v>
      </c>
    </row>
    <row r="971" spans="1:15" ht="13.15" customHeight="1">
      <c r="B971" s="271"/>
      <c r="C971" s="271"/>
      <c r="D971" s="271"/>
      <c r="E971" s="271"/>
      <c r="F971" s="271"/>
      <c r="G971" s="271"/>
      <c r="H971" s="271"/>
      <c r="I971" s="271"/>
      <c r="J971" s="271"/>
      <c r="K971" s="271"/>
    </row>
    <row r="972" spans="1:15" ht="13.15" customHeight="1">
      <c r="B972" s="271"/>
      <c r="C972" s="271"/>
      <c r="D972" s="271"/>
      <c r="E972" s="271"/>
      <c r="F972" s="271"/>
      <c r="G972" s="271"/>
      <c r="H972" s="271"/>
      <c r="I972" s="271"/>
      <c r="J972" s="271"/>
      <c r="K972" s="271"/>
    </row>
    <row r="973" spans="1:15" ht="13.15" customHeight="1">
      <c r="B973" s="177"/>
      <c r="C973" s="177"/>
      <c r="D973" s="177"/>
      <c r="E973" s="177"/>
      <c r="F973" s="177"/>
      <c r="G973" s="177"/>
      <c r="H973" s="177"/>
      <c r="I973" s="177"/>
      <c r="J973" s="177"/>
      <c r="K973" s="177"/>
    </row>
    <row r="974" spans="1:15" ht="13.15" customHeight="1">
      <c r="B974" s="125" t="s">
        <v>164</v>
      </c>
    </row>
    <row r="975" spans="1:15" ht="13.15" customHeight="1">
      <c r="B975" s="286" t="s">
        <v>345</v>
      </c>
      <c r="C975" s="286"/>
      <c r="D975" s="286"/>
      <c r="E975" s="286"/>
      <c r="F975" s="286"/>
      <c r="G975" s="286"/>
      <c r="H975" s="286"/>
      <c r="I975" s="286"/>
      <c r="J975" s="286"/>
      <c r="K975" s="286"/>
    </row>
    <row r="976" spans="1:15" ht="13.15" customHeight="1">
      <c r="B976" s="286"/>
      <c r="C976" s="286"/>
      <c r="D976" s="286"/>
      <c r="E976" s="286"/>
      <c r="F976" s="286"/>
      <c r="G976" s="286"/>
      <c r="H976" s="286"/>
      <c r="I976" s="286"/>
      <c r="J976" s="286"/>
      <c r="K976" s="286"/>
    </row>
    <row r="977" spans="2:15" ht="13.15" customHeight="1">
      <c r="B977" s="286"/>
      <c r="C977" s="286"/>
      <c r="D977" s="286"/>
      <c r="E977" s="286"/>
      <c r="F977" s="286"/>
      <c r="G977" s="286"/>
      <c r="H977" s="286"/>
      <c r="I977" s="286"/>
      <c r="J977" s="286"/>
      <c r="K977" s="286"/>
    </row>
    <row r="979" spans="2:15" ht="13.15" customHeight="1">
      <c r="B979" s="93"/>
      <c r="C979" s="93"/>
      <c r="D979" s="93"/>
      <c r="E979" s="93"/>
      <c r="F979" s="93"/>
      <c r="G979" s="93"/>
      <c r="H979" s="93"/>
      <c r="I979" s="93"/>
      <c r="J979" s="93"/>
      <c r="K979" s="93"/>
    </row>
    <row r="980" spans="2:15" ht="21">
      <c r="B980" s="146" t="s">
        <v>182</v>
      </c>
      <c r="L980" s="3">
        <v>1</v>
      </c>
      <c r="M980" s="3">
        <v>13</v>
      </c>
      <c r="N980" s="3">
        <f t="shared" ref="N980:N1052" si="14">ROW(M980)</f>
        <v>980</v>
      </c>
      <c r="O980" s="147" t="s">
        <v>348</v>
      </c>
    </row>
    <row r="981" spans="2:15" ht="13.15" customHeight="1">
      <c r="B981" s="287" t="s">
        <v>219</v>
      </c>
      <c r="C981" s="287"/>
      <c r="D981" s="287"/>
      <c r="E981" s="287"/>
      <c r="F981" s="287"/>
      <c r="G981" s="287"/>
      <c r="H981" s="287"/>
      <c r="I981" s="287"/>
      <c r="J981" s="287"/>
      <c r="K981" s="287"/>
      <c r="N981" s="3">
        <f t="shared" si="14"/>
        <v>981</v>
      </c>
    </row>
    <row r="982" spans="2:15" ht="13.15" customHeight="1">
      <c r="B982" s="287"/>
      <c r="C982" s="287"/>
      <c r="D982" s="287"/>
      <c r="E982" s="287"/>
      <c r="F982" s="287"/>
      <c r="G982" s="287"/>
      <c r="H982" s="287"/>
      <c r="I982" s="287"/>
      <c r="J982" s="287"/>
      <c r="K982" s="287"/>
      <c r="N982" s="3">
        <f t="shared" si="14"/>
        <v>982</v>
      </c>
    </row>
    <row r="983" spans="2:15" ht="13.15" customHeight="1">
      <c r="B983" s="287"/>
      <c r="C983" s="287"/>
      <c r="D983" s="287"/>
      <c r="E983" s="287"/>
      <c r="F983" s="287"/>
      <c r="G983" s="287"/>
      <c r="H983" s="287"/>
      <c r="I983" s="287"/>
      <c r="J983" s="287"/>
      <c r="K983" s="287"/>
      <c r="N983" s="3">
        <f t="shared" si="14"/>
        <v>983</v>
      </c>
    </row>
    <row r="984" spans="2:15" ht="13.15" customHeight="1">
      <c r="B984" s="287"/>
      <c r="C984" s="287"/>
      <c r="D984" s="287"/>
      <c r="E984" s="287"/>
      <c r="F984" s="287"/>
      <c r="G984" s="287"/>
      <c r="H984" s="287"/>
      <c r="I984" s="287"/>
      <c r="J984" s="287"/>
      <c r="K984" s="287"/>
      <c r="N984" s="3">
        <f t="shared" si="14"/>
        <v>984</v>
      </c>
    </row>
    <row r="985" spans="2:15" ht="13.15" customHeight="1">
      <c r="B985" s="287"/>
      <c r="C985" s="287"/>
      <c r="D985" s="287"/>
      <c r="E985" s="287"/>
      <c r="F985" s="287"/>
      <c r="G985" s="287"/>
      <c r="H985" s="287"/>
      <c r="I985" s="287"/>
      <c r="J985" s="287"/>
      <c r="K985" s="287"/>
      <c r="N985" s="3">
        <f t="shared" si="14"/>
        <v>985</v>
      </c>
    </row>
    <row r="986" spans="2:15" ht="13.15" customHeight="1">
      <c r="B986" s="287"/>
      <c r="C986" s="287"/>
      <c r="D986" s="287"/>
      <c r="E986" s="287"/>
      <c r="F986" s="287"/>
      <c r="G986" s="287"/>
      <c r="H986" s="287"/>
      <c r="I986" s="287"/>
      <c r="J986" s="287"/>
      <c r="K986" s="287"/>
      <c r="N986" s="3">
        <f t="shared" si="14"/>
        <v>986</v>
      </c>
    </row>
    <row r="987" spans="2:15" ht="13.15" customHeight="1">
      <c r="B987" s="287"/>
      <c r="C987" s="287"/>
      <c r="D987" s="287"/>
      <c r="E987" s="287"/>
      <c r="F987" s="287"/>
      <c r="G987" s="287"/>
      <c r="H987" s="287"/>
      <c r="I987" s="287"/>
      <c r="J987" s="287"/>
      <c r="K987" s="287"/>
      <c r="N987" s="3">
        <f t="shared" si="14"/>
        <v>987</v>
      </c>
    </row>
    <row r="988" spans="2:15" ht="13.15" customHeight="1">
      <c r="B988" s="287"/>
      <c r="C988" s="287"/>
      <c r="D988" s="287"/>
      <c r="E988" s="287"/>
      <c r="F988" s="287"/>
      <c r="G988" s="287"/>
      <c r="H988" s="287"/>
      <c r="I988" s="287"/>
      <c r="J988" s="287"/>
      <c r="K988" s="287"/>
      <c r="N988" s="3">
        <f t="shared" si="14"/>
        <v>988</v>
      </c>
    </row>
    <row r="989" spans="2:15" ht="13.15" customHeight="1">
      <c r="B989" s="287"/>
      <c r="C989" s="287"/>
      <c r="D989" s="287"/>
      <c r="E989" s="287"/>
      <c r="F989" s="287"/>
      <c r="G989" s="287"/>
      <c r="H989" s="287"/>
      <c r="I989" s="287"/>
      <c r="J989" s="287"/>
      <c r="K989" s="287"/>
    </row>
    <row r="990" spans="2:15" ht="13.15" customHeight="1">
      <c r="B990" s="287"/>
      <c r="C990" s="287"/>
      <c r="D990" s="287"/>
      <c r="E990" s="287"/>
      <c r="F990" s="287"/>
      <c r="G990" s="287"/>
      <c r="H990" s="287"/>
      <c r="I990" s="287"/>
      <c r="J990" s="287"/>
      <c r="K990" s="287"/>
    </row>
    <row r="991" spans="2:15" ht="13.15" customHeight="1">
      <c r="B991" s="287"/>
      <c r="C991" s="287"/>
      <c r="D991" s="287"/>
      <c r="E991" s="287"/>
      <c r="F991" s="287"/>
      <c r="G991" s="287"/>
      <c r="H991" s="287"/>
      <c r="I991" s="287"/>
      <c r="J991" s="287"/>
      <c r="K991" s="287"/>
    </row>
    <row r="992" spans="2:15" ht="13.15" customHeight="1">
      <c r="B992" s="287"/>
      <c r="C992" s="287"/>
      <c r="D992" s="287"/>
      <c r="E992" s="287"/>
      <c r="F992" s="287"/>
      <c r="G992" s="287"/>
      <c r="H992" s="287"/>
      <c r="I992" s="287"/>
      <c r="J992" s="287"/>
      <c r="K992" s="287"/>
      <c r="N992" s="3">
        <f t="shared" si="14"/>
        <v>992</v>
      </c>
    </row>
    <row r="993" spans="1:15" ht="13.15" customHeight="1">
      <c r="B993" s="178"/>
      <c r="C993" s="178"/>
      <c r="D993" s="178"/>
      <c r="E993" s="178"/>
      <c r="F993" s="178"/>
      <c r="G993" s="178"/>
      <c r="H993" s="178"/>
      <c r="I993" s="178"/>
      <c r="J993" s="178"/>
      <c r="K993" s="178"/>
      <c r="N993" s="3">
        <f t="shared" si="14"/>
        <v>993</v>
      </c>
    </row>
    <row r="994" spans="1:15" ht="21">
      <c r="B994" s="146" t="s">
        <v>183</v>
      </c>
      <c r="C994" s="148"/>
      <c r="D994" s="148"/>
      <c r="E994" s="148"/>
      <c r="F994" s="148"/>
      <c r="G994" s="148"/>
      <c r="H994" s="148"/>
      <c r="I994" s="148"/>
      <c r="J994" s="148"/>
      <c r="K994" s="148"/>
      <c r="L994" s="3">
        <v>2</v>
      </c>
      <c r="M994" s="3">
        <v>10</v>
      </c>
      <c r="N994" s="3">
        <f t="shared" si="14"/>
        <v>994</v>
      </c>
      <c r="O994" s="147" t="s">
        <v>349</v>
      </c>
    </row>
    <row r="995" spans="1:15" ht="13.15" customHeight="1">
      <c r="B995" s="288" t="s">
        <v>220</v>
      </c>
      <c r="C995" s="288"/>
      <c r="D995" s="288"/>
      <c r="E995" s="288"/>
      <c r="F995" s="288"/>
      <c r="G995" s="288"/>
      <c r="H995" s="288"/>
      <c r="I995" s="288"/>
      <c r="J995" s="288"/>
      <c r="K995" s="288"/>
      <c r="N995" s="3">
        <f t="shared" si="14"/>
        <v>995</v>
      </c>
    </row>
    <row r="996" spans="1:15" ht="13.15" customHeight="1">
      <c r="B996" s="288"/>
      <c r="C996" s="288"/>
      <c r="D996" s="288"/>
      <c r="E996" s="288"/>
      <c r="F996" s="288"/>
      <c r="G996" s="288"/>
      <c r="H996" s="288"/>
      <c r="I996" s="288"/>
      <c r="J996" s="288"/>
      <c r="K996" s="288"/>
      <c r="N996" s="3">
        <f t="shared" si="14"/>
        <v>996</v>
      </c>
    </row>
    <row r="997" spans="1:15" ht="13.15" customHeight="1">
      <c r="B997" s="288"/>
      <c r="C997" s="288"/>
      <c r="D997" s="288"/>
      <c r="E997" s="288"/>
      <c r="F997" s="288"/>
      <c r="G997" s="288"/>
      <c r="H997" s="288"/>
      <c r="I997" s="288"/>
      <c r="J997" s="288"/>
      <c r="K997" s="288"/>
      <c r="N997" s="3">
        <f t="shared" si="14"/>
        <v>997</v>
      </c>
    </row>
    <row r="998" spans="1:15" ht="13.15" customHeight="1">
      <c r="B998" s="287" t="s">
        <v>221</v>
      </c>
      <c r="C998" s="287"/>
      <c r="D998" s="287"/>
      <c r="E998" s="287"/>
      <c r="F998" s="287"/>
      <c r="G998" s="287"/>
      <c r="H998" s="287"/>
      <c r="I998" s="287"/>
      <c r="J998" s="287"/>
      <c r="K998" s="287"/>
      <c r="N998" s="3">
        <f t="shared" si="14"/>
        <v>998</v>
      </c>
    </row>
    <row r="999" spans="1:15" ht="13.15" customHeight="1">
      <c r="B999" s="287"/>
      <c r="C999" s="287"/>
      <c r="D999" s="287"/>
      <c r="E999" s="287"/>
      <c r="F999" s="287"/>
      <c r="G999" s="287"/>
      <c r="H999" s="287"/>
      <c r="I999" s="287"/>
      <c r="J999" s="287"/>
      <c r="K999" s="287"/>
      <c r="N999" s="3">
        <f t="shared" si="14"/>
        <v>999</v>
      </c>
    </row>
    <row r="1000" spans="1:15" ht="13.15" customHeight="1">
      <c r="B1000" s="287"/>
      <c r="C1000" s="287"/>
      <c r="D1000" s="287"/>
      <c r="E1000" s="287"/>
      <c r="F1000" s="287"/>
      <c r="G1000" s="287"/>
      <c r="H1000" s="287"/>
      <c r="I1000" s="287"/>
      <c r="J1000" s="287"/>
      <c r="K1000" s="287"/>
      <c r="N1000" s="3">
        <f t="shared" si="14"/>
        <v>1000</v>
      </c>
    </row>
    <row r="1001" spans="1:15" ht="13.15" customHeight="1">
      <c r="B1001" s="287"/>
      <c r="C1001" s="287"/>
      <c r="D1001" s="287"/>
      <c r="E1001" s="287"/>
      <c r="F1001" s="287"/>
      <c r="G1001" s="287"/>
      <c r="H1001" s="287"/>
      <c r="I1001" s="287"/>
      <c r="J1001" s="287"/>
      <c r="K1001" s="287"/>
      <c r="N1001" s="3">
        <f t="shared" si="14"/>
        <v>1001</v>
      </c>
    </row>
    <row r="1002" spans="1:15" ht="13.15" customHeight="1">
      <c r="B1002" s="287"/>
      <c r="C1002" s="287"/>
      <c r="D1002" s="287"/>
      <c r="E1002" s="287"/>
      <c r="F1002" s="287"/>
      <c r="G1002" s="287"/>
      <c r="H1002" s="287"/>
      <c r="I1002" s="287"/>
      <c r="J1002" s="287"/>
      <c r="K1002" s="287"/>
    </row>
    <row r="1003" spans="1:15" ht="13.15" customHeight="1">
      <c r="B1003" s="287"/>
      <c r="C1003" s="287"/>
      <c r="D1003" s="287"/>
      <c r="E1003" s="287"/>
      <c r="F1003" s="287"/>
      <c r="G1003" s="287"/>
      <c r="H1003" s="287"/>
      <c r="I1003" s="287"/>
      <c r="J1003" s="287"/>
      <c r="K1003" s="287"/>
      <c r="N1003" s="3">
        <f t="shared" si="14"/>
        <v>1003</v>
      </c>
    </row>
    <row r="1004" spans="1:15" ht="15">
      <c r="B1004" s="179"/>
      <c r="C1004" s="179"/>
      <c r="D1004" s="179"/>
      <c r="E1004" s="179"/>
      <c r="F1004" s="179"/>
      <c r="G1004" s="179"/>
      <c r="H1004" s="179"/>
      <c r="I1004" s="179"/>
      <c r="J1004" s="179"/>
      <c r="K1004" s="179"/>
      <c r="N1004" s="3">
        <f t="shared" si="14"/>
        <v>1004</v>
      </c>
    </row>
    <row r="1005" spans="1:15" ht="21">
      <c r="B1005" s="146" t="s">
        <v>184</v>
      </c>
      <c r="L1005" s="3">
        <v>3</v>
      </c>
      <c r="M1005" s="3">
        <v>5</v>
      </c>
      <c r="N1005" s="3">
        <f t="shared" si="14"/>
        <v>1005</v>
      </c>
      <c r="O1005" s="147" t="s">
        <v>350</v>
      </c>
    </row>
    <row r="1006" spans="1:15" ht="13.15" customHeight="1">
      <c r="A1006" s="153"/>
      <c r="B1006" s="287" t="s">
        <v>222</v>
      </c>
      <c r="C1006" s="287"/>
      <c r="D1006" s="287"/>
      <c r="E1006" s="287"/>
      <c r="F1006" s="287"/>
      <c r="G1006" s="287"/>
      <c r="H1006" s="287"/>
      <c r="I1006" s="287"/>
      <c r="J1006" s="287"/>
      <c r="K1006" s="287"/>
      <c r="N1006" s="3">
        <f t="shared" si="14"/>
        <v>1006</v>
      </c>
    </row>
    <row r="1007" spans="1:15" ht="13.15" customHeight="1">
      <c r="B1007" s="287"/>
      <c r="C1007" s="287"/>
      <c r="D1007" s="287"/>
      <c r="E1007" s="287"/>
      <c r="F1007" s="287"/>
      <c r="G1007" s="287"/>
      <c r="H1007" s="287"/>
      <c r="I1007" s="287"/>
      <c r="J1007" s="287"/>
      <c r="K1007" s="287"/>
      <c r="N1007" s="3">
        <f t="shared" si="14"/>
        <v>1007</v>
      </c>
    </row>
    <row r="1008" spans="1:15" ht="13.15" customHeight="1">
      <c r="B1008" s="287"/>
      <c r="C1008" s="287"/>
      <c r="D1008" s="287"/>
      <c r="E1008" s="287"/>
      <c r="F1008" s="287"/>
      <c r="G1008" s="287"/>
      <c r="H1008" s="287"/>
      <c r="I1008" s="287"/>
      <c r="J1008" s="287"/>
      <c r="K1008" s="287"/>
    </row>
    <row r="1009" spans="1:15" ht="13.15" customHeight="1">
      <c r="B1009" s="287"/>
      <c r="C1009" s="287"/>
      <c r="D1009" s="287"/>
      <c r="E1009" s="287"/>
      <c r="F1009" s="287"/>
      <c r="G1009" s="287"/>
      <c r="H1009" s="287"/>
      <c r="I1009" s="287"/>
      <c r="J1009" s="287"/>
      <c r="K1009" s="287"/>
      <c r="N1009" s="3">
        <f t="shared" si="14"/>
        <v>1009</v>
      </c>
    </row>
    <row r="1010" spans="1:15" ht="13.15" customHeight="1">
      <c r="B1010" s="178"/>
      <c r="C1010" s="178"/>
      <c r="D1010" s="178"/>
      <c r="E1010" s="178"/>
      <c r="F1010" s="178"/>
      <c r="G1010" s="178"/>
      <c r="H1010" s="178"/>
      <c r="I1010" s="178"/>
      <c r="J1010" s="178"/>
      <c r="K1010" s="178"/>
      <c r="N1010" s="3">
        <f t="shared" si="14"/>
        <v>1010</v>
      </c>
    </row>
    <row r="1011" spans="1:15" ht="21">
      <c r="B1011" s="146" t="s">
        <v>444</v>
      </c>
      <c r="C1011" s="148"/>
      <c r="D1011" s="148"/>
      <c r="E1011" s="148"/>
      <c r="F1011" s="148"/>
      <c r="G1011" s="148"/>
      <c r="H1011" s="148"/>
      <c r="I1011" s="148"/>
      <c r="J1011" s="148"/>
      <c r="K1011" s="148"/>
      <c r="L1011" s="3">
        <v>4</v>
      </c>
      <c r="M1011" s="3">
        <v>5</v>
      </c>
      <c r="N1011" s="3">
        <f t="shared" si="14"/>
        <v>1011</v>
      </c>
      <c r="O1011" s="147" t="s">
        <v>351</v>
      </c>
    </row>
    <row r="1012" spans="1:15" ht="13.15" customHeight="1">
      <c r="B1012" s="289" t="s">
        <v>223</v>
      </c>
      <c r="C1012" s="289"/>
      <c r="D1012" s="289"/>
      <c r="E1012" s="289"/>
      <c r="F1012" s="289"/>
      <c r="G1012" s="289"/>
      <c r="H1012" s="289"/>
      <c r="I1012" s="289"/>
      <c r="J1012" s="289"/>
      <c r="K1012" s="289"/>
      <c r="N1012" s="3">
        <f t="shared" si="14"/>
        <v>1012</v>
      </c>
    </row>
    <row r="1013" spans="1:15" ht="13.15" customHeight="1">
      <c r="B1013" s="289"/>
      <c r="C1013" s="289"/>
      <c r="D1013" s="289"/>
      <c r="E1013" s="289"/>
      <c r="F1013" s="289"/>
      <c r="G1013" s="289"/>
      <c r="H1013" s="289"/>
      <c r="I1013" s="289"/>
      <c r="J1013" s="289"/>
      <c r="K1013" s="289"/>
      <c r="N1013" s="3">
        <f t="shared" si="14"/>
        <v>1013</v>
      </c>
    </row>
    <row r="1014" spans="1:15" ht="13.15" customHeight="1">
      <c r="B1014" s="289"/>
      <c r="C1014" s="289"/>
      <c r="D1014" s="289"/>
      <c r="E1014" s="289"/>
      <c r="F1014" s="289"/>
      <c r="G1014" s="289"/>
      <c r="H1014" s="289"/>
      <c r="I1014" s="289"/>
      <c r="J1014" s="289"/>
      <c r="K1014" s="289"/>
    </row>
    <row r="1015" spans="1:15" ht="13.15" customHeight="1">
      <c r="A1015" s="153"/>
      <c r="B1015" s="289"/>
      <c r="C1015" s="289"/>
      <c r="D1015" s="289"/>
      <c r="E1015" s="289"/>
      <c r="F1015" s="289"/>
      <c r="G1015" s="289"/>
      <c r="H1015" s="289"/>
      <c r="I1015" s="289"/>
      <c r="J1015" s="289"/>
      <c r="K1015" s="289"/>
      <c r="N1015" s="3">
        <f t="shared" si="14"/>
        <v>1015</v>
      </c>
    </row>
    <row r="1016" spans="1:15" ht="12.75">
      <c r="N1016" s="3">
        <f t="shared" si="14"/>
        <v>1016</v>
      </c>
    </row>
    <row r="1017" spans="1:15" ht="21">
      <c r="B1017" s="146" t="s">
        <v>181</v>
      </c>
      <c r="L1017" s="3">
        <v>5</v>
      </c>
      <c r="M1017" s="3">
        <v>7</v>
      </c>
      <c r="N1017" s="3">
        <f t="shared" si="14"/>
        <v>1017</v>
      </c>
      <c r="O1017" s="147" t="s">
        <v>352</v>
      </c>
    </row>
    <row r="1018" spans="1:15" ht="13.15" customHeight="1">
      <c r="B1018" s="287" t="s">
        <v>445</v>
      </c>
      <c r="C1018" s="287"/>
      <c r="D1018" s="287"/>
      <c r="E1018" s="287"/>
      <c r="F1018" s="287"/>
      <c r="G1018" s="287"/>
      <c r="H1018" s="287"/>
      <c r="I1018" s="287"/>
      <c r="J1018" s="287"/>
      <c r="K1018" s="287"/>
      <c r="N1018" s="3">
        <f t="shared" si="14"/>
        <v>1018</v>
      </c>
      <c r="O1018" s="147"/>
    </row>
    <row r="1019" spans="1:15" ht="13.15" customHeight="1">
      <c r="B1019" s="287"/>
      <c r="C1019" s="287"/>
      <c r="D1019" s="287"/>
      <c r="E1019" s="287"/>
      <c r="F1019" s="287"/>
      <c r="G1019" s="287"/>
      <c r="H1019" s="287"/>
      <c r="I1019" s="287"/>
      <c r="J1019" s="287"/>
      <c r="K1019" s="287"/>
      <c r="N1019" s="3">
        <f t="shared" si="14"/>
        <v>1019</v>
      </c>
      <c r="O1019" s="147"/>
    </row>
    <row r="1020" spans="1:15" ht="13.15" customHeight="1">
      <c r="B1020" s="287"/>
      <c r="C1020" s="287"/>
      <c r="D1020" s="287"/>
      <c r="E1020" s="287"/>
      <c r="F1020" s="287"/>
      <c r="G1020" s="287"/>
      <c r="H1020" s="287"/>
      <c r="I1020" s="287"/>
      <c r="J1020" s="287"/>
      <c r="K1020" s="287"/>
      <c r="N1020" s="3">
        <f t="shared" si="14"/>
        <v>1020</v>
      </c>
      <c r="O1020" s="147"/>
    </row>
    <row r="1021" spans="1:15" ht="13.15" customHeight="1">
      <c r="B1021" s="287"/>
      <c r="C1021" s="287"/>
      <c r="D1021" s="287"/>
      <c r="E1021" s="287"/>
      <c r="F1021" s="287"/>
      <c r="G1021" s="287"/>
      <c r="H1021" s="287"/>
      <c r="I1021" s="287"/>
      <c r="J1021" s="287"/>
      <c r="K1021" s="287"/>
      <c r="O1021" s="147"/>
    </row>
    <row r="1022" spans="1:15" ht="13.15" customHeight="1">
      <c r="B1022" s="287"/>
      <c r="C1022" s="287"/>
      <c r="D1022" s="287"/>
      <c r="E1022" s="287"/>
      <c r="F1022" s="287"/>
      <c r="G1022" s="287"/>
      <c r="H1022" s="287"/>
      <c r="I1022" s="287"/>
      <c r="J1022" s="287"/>
      <c r="K1022" s="287"/>
      <c r="O1022" s="147"/>
    </row>
    <row r="1023" spans="1:15" ht="13.15" customHeight="1">
      <c r="B1023" s="287"/>
      <c r="C1023" s="287"/>
      <c r="D1023" s="287"/>
      <c r="E1023" s="287"/>
      <c r="F1023" s="287"/>
      <c r="G1023" s="287"/>
      <c r="H1023" s="287"/>
      <c r="I1023" s="287"/>
      <c r="J1023" s="287"/>
      <c r="K1023" s="287"/>
      <c r="N1023" s="3">
        <f t="shared" si="14"/>
        <v>1023</v>
      </c>
      <c r="O1023" s="147"/>
    </row>
    <row r="1024" spans="1:15" ht="13.15" customHeight="1">
      <c r="B1024" s="178"/>
      <c r="C1024" s="178"/>
      <c r="D1024" s="178"/>
      <c r="E1024" s="178"/>
      <c r="F1024" s="178"/>
      <c r="G1024" s="178"/>
      <c r="H1024" s="178"/>
      <c r="I1024" s="178"/>
      <c r="J1024" s="178"/>
      <c r="K1024" s="178"/>
      <c r="O1024" s="147"/>
    </row>
    <row r="1025" spans="2:16" ht="21">
      <c r="B1025" s="146" t="s">
        <v>185</v>
      </c>
      <c r="L1025" s="150" t="s">
        <v>224</v>
      </c>
      <c r="M1025" s="3">
        <v>9</v>
      </c>
      <c r="N1025" s="3">
        <f t="shared" si="14"/>
        <v>1025</v>
      </c>
      <c r="O1025" s="150" t="s">
        <v>353</v>
      </c>
    </row>
    <row r="1026" spans="2:16" ht="14.45" customHeight="1">
      <c r="B1026" s="287" t="s">
        <v>225</v>
      </c>
      <c r="C1026" s="287"/>
      <c r="D1026" s="287"/>
      <c r="E1026" s="287"/>
      <c r="F1026" s="287"/>
      <c r="G1026" s="287"/>
      <c r="H1026" s="287"/>
      <c r="I1026" s="287"/>
      <c r="J1026" s="287"/>
      <c r="K1026" s="287"/>
      <c r="L1026" s="150"/>
      <c r="N1026" s="3">
        <f t="shared" si="14"/>
        <v>1026</v>
      </c>
    </row>
    <row r="1027" spans="2:16" ht="13.15" customHeight="1">
      <c r="B1027" s="287"/>
      <c r="C1027" s="287"/>
      <c r="D1027" s="287"/>
      <c r="E1027" s="287"/>
      <c r="F1027" s="287"/>
      <c r="G1027" s="287"/>
      <c r="H1027" s="287"/>
      <c r="I1027" s="287"/>
      <c r="J1027" s="287"/>
      <c r="K1027" s="287"/>
      <c r="L1027" s="150"/>
      <c r="N1027" s="3">
        <f t="shared" si="14"/>
        <v>1027</v>
      </c>
    </row>
    <row r="1028" spans="2:16" ht="13.15" customHeight="1">
      <c r="B1028" s="287"/>
      <c r="C1028" s="287"/>
      <c r="D1028" s="287"/>
      <c r="E1028" s="287"/>
      <c r="F1028" s="287"/>
      <c r="G1028" s="287"/>
      <c r="H1028" s="287"/>
      <c r="I1028" s="287"/>
      <c r="J1028" s="287"/>
      <c r="K1028" s="287"/>
      <c r="L1028" s="150"/>
      <c r="N1028" s="3">
        <f t="shared" si="14"/>
        <v>1028</v>
      </c>
    </row>
    <row r="1029" spans="2:16" ht="13.15" customHeight="1">
      <c r="B1029" s="287"/>
      <c r="C1029" s="287"/>
      <c r="D1029" s="287"/>
      <c r="E1029" s="287"/>
      <c r="F1029" s="287"/>
      <c r="G1029" s="287"/>
      <c r="H1029" s="287"/>
      <c r="I1029" s="287"/>
      <c r="J1029" s="287"/>
      <c r="K1029" s="287"/>
      <c r="L1029" s="150"/>
      <c r="N1029" s="3">
        <f t="shared" si="14"/>
        <v>1029</v>
      </c>
    </row>
    <row r="1030" spans="2:16" ht="13.15" customHeight="1">
      <c r="B1030" s="287"/>
      <c r="C1030" s="287"/>
      <c r="D1030" s="287"/>
      <c r="E1030" s="287"/>
      <c r="F1030" s="287"/>
      <c r="G1030" s="287"/>
      <c r="H1030" s="287"/>
      <c r="I1030" s="287"/>
      <c r="J1030" s="287"/>
      <c r="K1030" s="287"/>
      <c r="L1030" s="150"/>
      <c r="N1030" s="3">
        <f t="shared" si="14"/>
        <v>1030</v>
      </c>
    </row>
    <row r="1031" spans="2:16" ht="12.75">
      <c r="B1031" s="287"/>
      <c r="C1031" s="287"/>
      <c r="D1031" s="287"/>
      <c r="E1031" s="287"/>
      <c r="F1031" s="287"/>
      <c r="G1031" s="287"/>
      <c r="H1031" s="287"/>
      <c r="I1031" s="287"/>
      <c r="J1031" s="287"/>
      <c r="K1031" s="287"/>
      <c r="L1031" s="150"/>
      <c r="N1031" s="3">
        <f t="shared" si="14"/>
        <v>1031</v>
      </c>
    </row>
    <row r="1032" spans="2:16" ht="12.75">
      <c r="L1032" s="150"/>
      <c r="N1032" s="3">
        <f t="shared" si="14"/>
        <v>1032</v>
      </c>
    </row>
    <row r="1033" spans="2:16" ht="17.25">
      <c r="B1033" s="149" t="s">
        <v>186</v>
      </c>
      <c r="L1033" s="150"/>
      <c r="N1033" s="3">
        <f t="shared" si="14"/>
        <v>1033</v>
      </c>
      <c r="P1033" s="3" t="s">
        <v>353</v>
      </c>
    </row>
    <row r="1034" spans="2:16" ht="15.6" customHeight="1">
      <c r="B1034" s="149"/>
      <c r="L1034" s="150"/>
      <c r="N1034" s="3">
        <f t="shared" si="14"/>
        <v>1034</v>
      </c>
    </row>
    <row r="1035" spans="2:16" ht="21">
      <c r="B1035" s="146" t="s">
        <v>185</v>
      </c>
      <c r="L1035" s="150" t="s">
        <v>226</v>
      </c>
      <c r="M1035" s="3">
        <v>9</v>
      </c>
      <c r="N1035" s="3">
        <f t="shared" si="14"/>
        <v>1035</v>
      </c>
      <c r="O1035" s="150" t="s">
        <v>354</v>
      </c>
    </row>
    <row r="1036" spans="2:16" ht="13.15" customHeight="1">
      <c r="B1036" s="287" t="s">
        <v>225</v>
      </c>
      <c r="C1036" s="287"/>
      <c r="D1036" s="287"/>
      <c r="E1036" s="287"/>
      <c r="F1036" s="287"/>
      <c r="G1036" s="287"/>
      <c r="H1036" s="287"/>
      <c r="I1036" s="287"/>
      <c r="J1036" s="287"/>
      <c r="K1036" s="287"/>
      <c r="L1036" s="150"/>
      <c r="N1036" s="3">
        <f t="shared" si="14"/>
        <v>1036</v>
      </c>
    </row>
    <row r="1037" spans="2:16" ht="13.15" customHeight="1">
      <c r="B1037" s="287"/>
      <c r="C1037" s="287"/>
      <c r="D1037" s="287"/>
      <c r="E1037" s="287"/>
      <c r="F1037" s="287"/>
      <c r="G1037" s="287"/>
      <c r="H1037" s="287"/>
      <c r="I1037" s="287"/>
      <c r="J1037" s="287"/>
      <c r="K1037" s="287"/>
      <c r="L1037" s="150"/>
      <c r="N1037" s="3">
        <f t="shared" si="14"/>
        <v>1037</v>
      </c>
    </row>
    <row r="1038" spans="2:16" ht="13.15" customHeight="1">
      <c r="B1038" s="287"/>
      <c r="C1038" s="287"/>
      <c r="D1038" s="287"/>
      <c r="E1038" s="287"/>
      <c r="F1038" s="287"/>
      <c r="G1038" s="287"/>
      <c r="H1038" s="287"/>
      <c r="I1038" s="287"/>
      <c r="J1038" s="287"/>
      <c r="K1038" s="287"/>
      <c r="L1038" s="150"/>
      <c r="N1038" s="3">
        <f t="shared" si="14"/>
        <v>1038</v>
      </c>
    </row>
    <row r="1039" spans="2:16" ht="12.75" customHeight="1">
      <c r="B1039" s="287"/>
      <c r="C1039" s="287"/>
      <c r="D1039" s="287"/>
      <c r="E1039" s="287"/>
      <c r="F1039" s="287"/>
      <c r="G1039" s="287"/>
      <c r="H1039" s="287"/>
      <c r="I1039" s="287"/>
      <c r="J1039" s="287"/>
      <c r="K1039" s="287"/>
      <c r="L1039" s="150"/>
      <c r="N1039" s="3">
        <f t="shared" si="14"/>
        <v>1039</v>
      </c>
    </row>
    <row r="1040" spans="2:16" ht="12.75" customHeight="1">
      <c r="B1040" s="287"/>
      <c r="C1040" s="287"/>
      <c r="D1040" s="287"/>
      <c r="E1040" s="287"/>
      <c r="F1040" s="287"/>
      <c r="G1040" s="287"/>
      <c r="H1040" s="287"/>
      <c r="I1040" s="287"/>
      <c r="J1040" s="287"/>
      <c r="K1040" s="287"/>
      <c r="L1040" s="150"/>
      <c r="N1040" s="3">
        <f t="shared" si="14"/>
        <v>1040</v>
      </c>
    </row>
    <row r="1041" spans="2:16" ht="12.75" customHeight="1">
      <c r="B1041" s="287"/>
      <c r="C1041" s="287"/>
      <c r="D1041" s="287"/>
      <c r="E1041" s="287"/>
      <c r="F1041" s="287"/>
      <c r="G1041" s="287"/>
      <c r="H1041" s="287"/>
      <c r="I1041" s="287"/>
      <c r="J1041" s="287"/>
      <c r="K1041" s="287"/>
      <c r="L1041" s="150"/>
      <c r="N1041" s="3">
        <f t="shared" si="14"/>
        <v>1041</v>
      </c>
    </row>
    <row r="1042" spans="2:16" ht="13.9" customHeight="1">
      <c r="B1042" s="149"/>
      <c r="L1042" s="150"/>
      <c r="N1042" s="3">
        <f t="shared" si="14"/>
        <v>1042</v>
      </c>
    </row>
    <row r="1043" spans="2:16" ht="17.25">
      <c r="B1043" s="149" t="s">
        <v>187</v>
      </c>
      <c r="L1043" s="150"/>
      <c r="N1043" s="3">
        <f t="shared" si="14"/>
        <v>1043</v>
      </c>
      <c r="P1043" s="3" t="s">
        <v>354</v>
      </c>
    </row>
    <row r="1044" spans="2:16" ht="17.25">
      <c r="B1044" s="149"/>
      <c r="L1044" s="150"/>
      <c r="N1044" s="3">
        <f t="shared" si="14"/>
        <v>1044</v>
      </c>
    </row>
    <row r="1045" spans="2:16" ht="21">
      <c r="B1045" s="146" t="s">
        <v>185</v>
      </c>
      <c r="L1045" s="150" t="s">
        <v>227</v>
      </c>
      <c r="M1045" s="3">
        <v>9</v>
      </c>
      <c r="N1045" s="3">
        <f t="shared" si="14"/>
        <v>1045</v>
      </c>
      <c r="O1045" s="150" t="s">
        <v>355</v>
      </c>
    </row>
    <row r="1046" spans="2:16" ht="12.75" customHeight="1">
      <c r="B1046" s="287" t="s">
        <v>225</v>
      </c>
      <c r="C1046" s="287"/>
      <c r="D1046" s="287"/>
      <c r="E1046" s="287"/>
      <c r="F1046" s="287"/>
      <c r="G1046" s="287"/>
      <c r="H1046" s="287"/>
      <c r="I1046" s="287"/>
      <c r="J1046" s="287"/>
      <c r="K1046" s="287"/>
      <c r="N1046" s="3">
        <f t="shared" si="14"/>
        <v>1046</v>
      </c>
    </row>
    <row r="1047" spans="2:16" ht="12.75" customHeight="1">
      <c r="B1047" s="287"/>
      <c r="C1047" s="287"/>
      <c r="D1047" s="287"/>
      <c r="E1047" s="287"/>
      <c r="F1047" s="287"/>
      <c r="G1047" s="287"/>
      <c r="H1047" s="287"/>
      <c r="I1047" s="287"/>
      <c r="J1047" s="287"/>
      <c r="K1047" s="287"/>
      <c r="N1047" s="3">
        <f t="shared" si="14"/>
        <v>1047</v>
      </c>
    </row>
    <row r="1048" spans="2:16" ht="12.75" customHeight="1">
      <c r="B1048" s="287"/>
      <c r="C1048" s="287"/>
      <c r="D1048" s="287"/>
      <c r="E1048" s="287"/>
      <c r="F1048" s="287"/>
      <c r="G1048" s="287"/>
      <c r="H1048" s="287"/>
      <c r="I1048" s="287"/>
      <c r="J1048" s="287"/>
      <c r="K1048" s="287"/>
      <c r="N1048" s="3">
        <f t="shared" si="14"/>
        <v>1048</v>
      </c>
    </row>
    <row r="1049" spans="2:16" ht="12.75" customHeight="1">
      <c r="B1049" s="287"/>
      <c r="C1049" s="287"/>
      <c r="D1049" s="287"/>
      <c r="E1049" s="287"/>
      <c r="F1049" s="287"/>
      <c r="G1049" s="287"/>
      <c r="H1049" s="287"/>
      <c r="I1049" s="287"/>
      <c r="J1049" s="287"/>
      <c r="K1049" s="287"/>
      <c r="N1049" s="3">
        <f t="shared" si="14"/>
        <v>1049</v>
      </c>
    </row>
    <row r="1050" spans="2:16" ht="12.75" customHeight="1">
      <c r="B1050" s="287"/>
      <c r="C1050" s="287"/>
      <c r="D1050" s="287"/>
      <c r="E1050" s="287"/>
      <c r="F1050" s="287"/>
      <c r="G1050" s="287"/>
      <c r="H1050" s="287"/>
      <c r="I1050" s="287"/>
      <c r="J1050" s="287"/>
      <c r="K1050" s="287"/>
      <c r="N1050" s="3">
        <f t="shared" si="14"/>
        <v>1050</v>
      </c>
    </row>
    <row r="1051" spans="2:16" ht="12.75" customHeight="1">
      <c r="B1051" s="287"/>
      <c r="C1051" s="287"/>
      <c r="D1051" s="287"/>
      <c r="E1051" s="287"/>
      <c r="F1051" s="287"/>
      <c r="G1051" s="287"/>
      <c r="H1051" s="287"/>
      <c r="I1051" s="287"/>
      <c r="J1051" s="287"/>
      <c r="K1051" s="287"/>
      <c r="N1051" s="3">
        <f t="shared" si="14"/>
        <v>1051</v>
      </c>
    </row>
    <row r="1052" spans="2:16" ht="12.75">
      <c r="N1052" s="3">
        <f t="shared" si="14"/>
        <v>1052</v>
      </c>
    </row>
    <row r="1053" spans="2:16" ht="17.25">
      <c r="B1053" s="149" t="s">
        <v>228</v>
      </c>
      <c r="N1053" s="3">
        <f t="shared" ref="N1053:N1079" si="15">ROW(M1053)</f>
        <v>1053</v>
      </c>
      <c r="P1053" s="3" t="s">
        <v>355</v>
      </c>
    </row>
    <row r="1054" spans="2:16" ht="17.25">
      <c r="B1054" s="149"/>
      <c r="N1054" s="3">
        <f t="shared" si="15"/>
        <v>1054</v>
      </c>
    </row>
    <row r="1055" spans="2:16" ht="21">
      <c r="B1055" s="146" t="s">
        <v>188</v>
      </c>
      <c r="L1055" s="3">
        <v>7</v>
      </c>
      <c r="M1055" s="3">
        <v>2</v>
      </c>
      <c r="N1055" s="3">
        <f t="shared" si="15"/>
        <v>1055</v>
      </c>
      <c r="O1055" s="147" t="s">
        <v>356</v>
      </c>
    </row>
    <row r="1056" spans="2:16" ht="18" customHeight="1">
      <c r="B1056" s="151" t="s">
        <v>189</v>
      </c>
      <c r="N1056" s="3">
        <f t="shared" si="15"/>
        <v>1056</v>
      </c>
    </row>
    <row r="1057" spans="2:15" ht="15.95" customHeight="1">
      <c r="N1057" s="3">
        <f t="shared" si="15"/>
        <v>1057</v>
      </c>
    </row>
    <row r="1058" spans="2:15" ht="21">
      <c r="B1058" s="146" t="s">
        <v>190</v>
      </c>
      <c r="L1058" s="3">
        <v>8</v>
      </c>
      <c r="M1058" s="3">
        <v>9</v>
      </c>
      <c r="N1058" s="3">
        <f t="shared" si="15"/>
        <v>1058</v>
      </c>
      <c r="O1058" s="147" t="s">
        <v>357</v>
      </c>
    </row>
    <row r="1059" spans="2:15" ht="13.15" customHeight="1">
      <c r="B1059" s="289" t="s">
        <v>229</v>
      </c>
      <c r="C1059" s="289"/>
      <c r="D1059" s="289"/>
      <c r="E1059" s="289"/>
      <c r="F1059" s="289"/>
      <c r="G1059" s="289"/>
      <c r="H1059" s="289"/>
      <c r="I1059" s="289"/>
      <c r="J1059" s="289"/>
      <c r="K1059" s="289"/>
      <c r="N1059" s="3">
        <f t="shared" si="15"/>
        <v>1059</v>
      </c>
    </row>
    <row r="1060" spans="2:15" ht="13.15" customHeight="1">
      <c r="B1060" s="289"/>
      <c r="C1060" s="289"/>
      <c r="D1060" s="289"/>
      <c r="E1060" s="289"/>
      <c r="F1060" s="289"/>
      <c r="G1060" s="289"/>
      <c r="H1060" s="289"/>
      <c r="I1060" s="289"/>
      <c r="J1060" s="289"/>
      <c r="K1060" s="289"/>
      <c r="N1060" s="3">
        <f t="shared" si="15"/>
        <v>1060</v>
      </c>
    </row>
    <row r="1061" spans="2:15" ht="13.15" customHeight="1">
      <c r="B1061" s="289"/>
      <c r="C1061" s="289"/>
      <c r="D1061" s="289"/>
      <c r="E1061" s="289"/>
      <c r="F1061" s="289"/>
      <c r="G1061" s="289"/>
      <c r="H1061" s="289"/>
      <c r="I1061" s="289"/>
      <c r="J1061" s="289"/>
      <c r="K1061" s="289"/>
      <c r="N1061" s="3">
        <f t="shared" si="15"/>
        <v>1061</v>
      </c>
    </row>
    <row r="1062" spans="2:15" ht="13.15" customHeight="1">
      <c r="B1062" s="289"/>
      <c r="C1062" s="289"/>
      <c r="D1062" s="289"/>
      <c r="E1062" s="289"/>
      <c r="F1062" s="289"/>
      <c r="G1062" s="289"/>
      <c r="H1062" s="289"/>
      <c r="I1062" s="289"/>
      <c r="J1062" s="289"/>
      <c r="K1062" s="289"/>
    </row>
    <row r="1063" spans="2:15" ht="13.15" customHeight="1">
      <c r="B1063" s="289"/>
      <c r="C1063" s="289"/>
      <c r="D1063" s="289"/>
      <c r="E1063" s="289"/>
      <c r="F1063" s="289"/>
      <c r="G1063" s="289"/>
      <c r="H1063" s="289"/>
      <c r="I1063" s="289"/>
      <c r="J1063" s="289"/>
      <c r="K1063" s="289"/>
      <c r="N1063" s="3">
        <f t="shared" si="15"/>
        <v>1063</v>
      </c>
    </row>
    <row r="1064" spans="2:15" ht="15" customHeight="1">
      <c r="B1064" s="290" t="s">
        <v>230</v>
      </c>
      <c r="C1064" s="290"/>
      <c r="D1064" s="290"/>
      <c r="E1064" s="290"/>
      <c r="F1064" s="290"/>
      <c r="G1064" s="290"/>
      <c r="H1064" s="290"/>
      <c r="I1064" s="290"/>
      <c r="J1064" s="290"/>
      <c r="K1064" s="290"/>
      <c r="N1064" s="3">
        <f t="shared" si="15"/>
        <v>1064</v>
      </c>
    </row>
    <row r="1065" spans="2:15" ht="15" customHeight="1">
      <c r="B1065" s="290"/>
      <c r="C1065" s="290"/>
      <c r="D1065" s="290"/>
      <c r="E1065" s="290"/>
      <c r="F1065" s="290"/>
      <c r="G1065" s="290"/>
      <c r="H1065" s="290"/>
      <c r="I1065" s="290"/>
      <c r="J1065" s="290"/>
      <c r="K1065" s="290"/>
      <c r="N1065" s="3">
        <f t="shared" si="15"/>
        <v>1065</v>
      </c>
    </row>
    <row r="1066" spans="2:15" ht="15" customHeight="1">
      <c r="B1066" s="290"/>
      <c r="C1066" s="290"/>
      <c r="D1066" s="290"/>
      <c r="E1066" s="290"/>
      <c r="F1066" s="290"/>
      <c r="G1066" s="290"/>
      <c r="H1066" s="290"/>
      <c r="I1066" s="290"/>
      <c r="J1066" s="290"/>
      <c r="K1066" s="290"/>
      <c r="N1066" s="3">
        <f t="shared" si="15"/>
        <v>1066</v>
      </c>
    </row>
    <row r="1067" spans="2:15" ht="12.75">
      <c r="N1067" s="3">
        <f t="shared" si="15"/>
        <v>1067</v>
      </c>
    </row>
    <row r="1068" spans="2:15" ht="15.95" customHeight="1">
      <c r="B1068" s="146" t="s">
        <v>191</v>
      </c>
      <c r="L1068" s="3">
        <v>9</v>
      </c>
      <c r="M1068" s="3">
        <v>5</v>
      </c>
      <c r="N1068" s="3">
        <f t="shared" si="15"/>
        <v>1068</v>
      </c>
      <c r="O1068" s="147" t="s">
        <v>359</v>
      </c>
    </row>
    <row r="1069" spans="2:15" ht="13.15" customHeight="1">
      <c r="B1069" s="287" t="s">
        <v>231</v>
      </c>
      <c r="C1069" s="287"/>
      <c r="D1069" s="287"/>
      <c r="E1069" s="287"/>
      <c r="F1069" s="287"/>
      <c r="G1069" s="287"/>
      <c r="H1069" s="287"/>
      <c r="I1069" s="287"/>
      <c r="J1069" s="287"/>
      <c r="K1069" s="287"/>
      <c r="N1069" s="3">
        <f t="shared" si="15"/>
        <v>1069</v>
      </c>
      <c r="O1069" s="150"/>
    </row>
    <row r="1070" spans="2:15" ht="13.15" customHeight="1">
      <c r="B1070" s="287"/>
      <c r="C1070" s="287"/>
      <c r="D1070" s="287"/>
      <c r="E1070" s="287"/>
      <c r="F1070" s="287"/>
      <c r="G1070" s="287"/>
      <c r="H1070" s="287"/>
      <c r="I1070" s="287"/>
      <c r="J1070" s="287"/>
      <c r="K1070" s="287"/>
      <c r="N1070" s="3">
        <f t="shared" si="15"/>
        <v>1070</v>
      </c>
      <c r="O1070" s="150"/>
    </row>
    <row r="1071" spans="2:15" ht="13.15" customHeight="1">
      <c r="B1071" s="287"/>
      <c r="C1071" s="287"/>
      <c r="D1071" s="287"/>
      <c r="E1071" s="287"/>
      <c r="F1071" s="287"/>
      <c r="G1071" s="287"/>
      <c r="H1071" s="287"/>
      <c r="I1071" s="287"/>
      <c r="J1071" s="287"/>
      <c r="K1071" s="287"/>
      <c r="O1071" s="150"/>
    </row>
    <row r="1072" spans="2:15" ht="13.15" customHeight="1">
      <c r="B1072" s="287"/>
      <c r="C1072" s="287"/>
      <c r="D1072" s="287"/>
      <c r="E1072" s="287"/>
      <c r="F1072" s="287"/>
      <c r="G1072" s="287"/>
      <c r="H1072" s="287"/>
      <c r="I1072" s="287"/>
      <c r="J1072" s="287"/>
      <c r="K1072" s="287"/>
      <c r="N1072" s="3">
        <f t="shared" si="15"/>
        <v>1072</v>
      </c>
      <c r="O1072" s="150"/>
    </row>
    <row r="1073" spans="2:15" ht="15">
      <c r="B1073" s="148"/>
      <c r="C1073" s="148"/>
      <c r="D1073" s="148"/>
      <c r="E1073" s="148"/>
      <c r="F1073" s="148"/>
      <c r="G1073" s="148"/>
      <c r="H1073" s="148"/>
      <c r="I1073" s="148"/>
      <c r="J1073" s="148"/>
      <c r="K1073" s="148"/>
      <c r="N1073" s="3">
        <f t="shared" si="15"/>
        <v>1073</v>
      </c>
      <c r="O1073" s="150"/>
    </row>
    <row r="1074" spans="2:15" ht="21">
      <c r="B1074" s="146" t="s">
        <v>192</v>
      </c>
      <c r="C1074" s="148"/>
      <c r="D1074" s="148"/>
      <c r="E1074" s="148"/>
      <c r="F1074" s="148"/>
      <c r="G1074" s="148"/>
      <c r="H1074" s="148"/>
      <c r="I1074" s="148"/>
      <c r="J1074" s="148"/>
      <c r="K1074" s="148"/>
      <c r="L1074" s="3">
        <v>10</v>
      </c>
      <c r="M1074" s="3">
        <v>6</v>
      </c>
      <c r="N1074" s="3">
        <f t="shared" si="15"/>
        <v>1074</v>
      </c>
      <c r="O1074" s="150" t="s">
        <v>358</v>
      </c>
    </row>
    <row r="1075" spans="2:15" ht="13.15" customHeight="1">
      <c r="B1075" s="287" t="s">
        <v>232</v>
      </c>
      <c r="C1075" s="287"/>
      <c r="D1075" s="287"/>
      <c r="E1075" s="287"/>
      <c r="F1075" s="287"/>
      <c r="G1075" s="287"/>
      <c r="H1075" s="287"/>
      <c r="I1075" s="287"/>
      <c r="J1075" s="287"/>
      <c r="K1075" s="287"/>
      <c r="N1075" s="3">
        <f t="shared" si="15"/>
        <v>1075</v>
      </c>
      <c r="O1075" s="150"/>
    </row>
    <row r="1076" spans="2:15" ht="13.15" customHeight="1">
      <c r="B1076" s="287"/>
      <c r="C1076" s="287"/>
      <c r="D1076" s="287"/>
      <c r="E1076" s="287"/>
      <c r="F1076" s="287"/>
      <c r="G1076" s="287"/>
      <c r="H1076" s="287"/>
      <c r="I1076" s="287"/>
      <c r="J1076" s="287"/>
      <c r="K1076" s="287"/>
      <c r="N1076" s="3">
        <f t="shared" si="15"/>
        <v>1076</v>
      </c>
    </row>
    <row r="1077" spans="2:15" ht="13.15" customHeight="1">
      <c r="B1077" s="287"/>
      <c r="C1077" s="287"/>
      <c r="D1077" s="287"/>
      <c r="E1077" s="287"/>
      <c r="F1077" s="287"/>
      <c r="G1077" s="287"/>
      <c r="H1077" s="287"/>
      <c r="I1077" s="287"/>
      <c r="J1077" s="287"/>
      <c r="K1077" s="287"/>
      <c r="N1077" s="3">
        <f t="shared" si="15"/>
        <v>1077</v>
      </c>
    </row>
    <row r="1078" spans="2:15" ht="13.15" customHeight="1">
      <c r="B1078" s="287"/>
      <c r="C1078" s="287"/>
      <c r="D1078" s="287"/>
      <c r="E1078" s="287"/>
      <c r="F1078" s="287"/>
      <c r="G1078" s="287"/>
      <c r="H1078" s="287"/>
      <c r="I1078" s="287"/>
      <c r="J1078" s="287"/>
      <c r="K1078" s="287"/>
      <c r="N1078" s="3">
        <f t="shared" si="15"/>
        <v>1078</v>
      </c>
    </row>
    <row r="1079" spans="2:15" ht="12.75" customHeight="1">
      <c r="B1079" s="287"/>
      <c r="C1079" s="287"/>
      <c r="D1079" s="287"/>
      <c r="E1079" s="287"/>
      <c r="F1079" s="287"/>
      <c r="G1079" s="287"/>
      <c r="H1079" s="287"/>
      <c r="I1079" s="287"/>
      <c r="J1079" s="287"/>
      <c r="K1079" s="287"/>
      <c r="N1079" s="3">
        <f t="shared" si="15"/>
        <v>1079</v>
      </c>
    </row>
    <row r="1080" spans="2:15" ht="13.15" customHeight="1">
      <c r="B1080" s="148"/>
      <c r="C1080" s="148"/>
      <c r="D1080" s="148"/>
      <c r="E1080" s="148"/>
      <c r="F1080" s="148"/>
      <c r="G1080" s="148"/>
      <c r="H1080" s="148"/>
      <c r="I1080" s="148"/>
      <c r="J1080" s="148"/>
      <c r="K1080" s="148"/>
    </row>
    <row r="1084" spans="2:15" ht="13.15" customHeight="1">
      <c r="B1084" s="149" t="s">
        <v>193</v>
      </c>
    </row>
    <row r="1085" spans="2:15" ht="13.15" customHeight="1">
      <c r="B1085" s="149" t="s">
        <v>194</v>
      </c>
    </row>
    <row r="1086" spans="2:15" ht="13.15" customHeight="1">
      <c r="B1086" s="149" t="s">
        <v>146</v>
      </c>
    </row>
    <row r="1087" spans="2:15" ht="13.35" customHeight="1"/>
    <row r="1088" spans="2:15" ht="13.35" customHeight="1"/>
    <row r="1089" ht="13.35" customHeight="1"/>
    <row r="1090" ht="13.35" customHeight="1"/>
    <row r="1091" ht="13.35" customHeight="1"/>
    <row r="1092" ht="13.35" customHeight="1"/>
    <row r="1093" ht="13.35" customHeight="1"/>
    <row r="1094" ht="13.35" customHeight="1"/>
    <row r="1095" ht="13.35" customHeight="1"/>
    <row r="1096" ht="13.35" customHeight="1"/>
    <row r="1097" ht="13.35" customHeight="1"/>
    <row r="1098" ht="13.35" customHeight="1"/>
    <row r="1099" ht="13.35" customHeight="1"/>
    <row r="1100" ht="13.35" customHeight="1"/>
    <row r="1101" ht="13.35" customHeight="1"/>
  </sheetData>
  <mergeCells count="160">
    <mergeCell ref="B1059:K1063"/>
    <mergeCell ref="B1064:K1066"/>
    <mergeCell ref="B1069:K1072"/>
    <mergeCell ref="B1075:K1079"/>
    <mergeCell ref="B1006:K1009"/>
    <mergeCell ref="B1012:K1015"/>
    <mergeCell ref="B1018:K1023"/>
    <mergeCell ref="B1026:K1031"/>
    <mergeCell ref="B1036:K1041"/>
    <mergeCell ref="B1046:K1051"/>
    <mergeCell ref="C959:K966"/>
    <mergeCell ref="B969:K972"/>
    <mergeCell ref="B975:K977"/>
    <mergeCell ref="B981:K992"/>
    <mergeCell ref="B995:K997"/>
    <mergeCell ref="B998:K1003"/>
    <mergeCell ref="B915:K918"/>
    <mergeCell ref="C920:K927"/>
    <mergeCell ref="B929:K934"/>
    <mergeCell ref="C936:K943"/>
    <mergeCell ref="C945:K946"/>
    <mergeCell ref="B948:K957"/>
    <mergeCell ref="C879:K881"/>
    <mergeCell ref="B883:K895"/>
    <mergeCell ref="C897:K899"/>
    <mergeCell ref="C901:K903"/>
    <mergeCell ref="B905:K910"/>
    <mergeCell ref="C912:K913"/>
    <mergeCell ref="B840:K843"/>
    <mergeCell ref="C845:K849"/>
    <mergeCell ref="B851:K855"/>
    <mergeCell ref="C857:K859"/>
    <mergeCell ref="B861:K873"/>
    <mergeCell ref="C875:K877"/>
    <mergeCell ref="B805:K805"/>
    <mergeCell ref="C807:K815"/>
    <mergeCell ref="B817:K818"/>
    <mergeCell ref="C819:K826"/>
    <mergeCell ref="B828:K830"/>
    <mergeCell ref="C831:K838"/>
    <mergeCell ref="B765:K771"/>
    <mergeCell ref="C773:K775"/>
    <mergeCell ref="B777:K779"/>
    <mergeCell ref="C781:K782"/>
    <mergeCell ref="B784:K796"/>
    <mergeCell ref="C798:K803"/>
    <mergeCell ref="B723:K731"/>
    <mergeCell ref="C733:K737"/>
    <mergeCell ref="B739:K743"/>
    <mergeCell ref="C745:K748"/>
    <mergeCell ref="B750:K757"/>
    <mergeCell ref="C759:K763"/>
    <mergeCell ref="C694:K700"/>
    <mergeCell ref="B702:K706"/>
    <mergeCell ref="C708:K713"/>
    <mergeCell ref="B715:K716"/>
    <mergeCell ref="C718:K721"/>
    <mergeCell ref="B722:K722"/>
    <mergeCell ref="B654:K661"/>
    <mergeCell ref="C663:K665"/>
    <mergeCell ref="C667:K668"/>
    <mergeCell ref="B670:K672"/>
    <mergeCell ref="C674:K675"/>
    <mergeCell ref="B677:K692"/>
    <mergeCell ref="B632:K633"/>
    <mergeCell ref="C635:K636"/>
    <mergeCell ref="B638:K640"/>
    <mergeCell ref="C642:K642"/>
    <mergeCell ref="B644:K645"/>
    <mergeCell ref="C647:K652"/>
    <mergeCell ref="B593:K598"/>
    <mergeCell ref="C600:K603"/>
    <mergeCell ref="B605:K611"/>
    <mergeCell ref="C613:K615"/>
    <mergeCell ref="B617:K626"/>
    <mergeCell ref="C628:K630"/>
    <mergeCell ref="B559:K567"/>
    <mergeCell ref="C569:K572"/>
    <mergeCell ref="B574:K575"/>
    <mergeCell ref="C577:K579"/>
    <mergeCell ref="B581:K585"/>
    <mergeCell ref="C587:K591"/>
    <mergeCell ref="B507:K510"/>
    <mergeCell ref="C512:K513"/>
    <mergeCell ref="B515:K525"/>
    <mergeCell ref="C527:K535"/>
    <mergeCell ref="B537:K547"/>
    <mergeCell ref="C549:K557"/>
    <mergeCell ref="B472:K484"/>
    <mergeCell ref="C486:K487"/>
    <mergeCell ref="B489:K494"/>
    <mergeCell ref="C496:K497"/>
    <mergeCell ref="B499:K502"/>
    <mergeCell ref="C504:K505"/>
    <mergeCell ref="B435:K438"/>
    <mergeCell ref="C440:K442"/>
    <mergeCell ref="B444:K453"/>
    <mergeCell ref="C455:K458"/>
    <mergeCell ref="B460:K464"/>
    <mergeCell ref="C466:K470"/>
    <mergeCell ref="C395:K395"/>
    <mergeCell ref="B397:K404"/>
    <mergeCell ref="C406:K410"/>
    <mergeCell ref="C412:K412"/>
    <mergeCell ref="B414:K429"/>
    <mergeCell ref="C431:K433"/>
    <mergeCell ref="B354:K361"/>
    <mergeCell ref="C363:K363"/>
    <mergeCell ref="B365:K375"/>
    <mergeCell ref="C377:K378"/>
    <mergeCell ref="B382:K390"/>
    <mergeCell ref="C392:K394"/>
    <mergeCell ref="C321:J323"/>
    <mergeCell ref="C325:K325"/>
    <mergeCell ref="B327:K331"/>
    <mergeCell ref="C333:K336"/>
    <mergeCell ref="B338:K343"/>
    <mergeCell ref="C345:K352"/>
    <mergeCell ref="B270:K278"/>
    <mergeCell ref="C280:K284"/>
    <mergeCell ref="C286:K295"/>
    <mergeCell ref="B297:K304"/>
    <mergeCell ref="C306:K312"/>
    <mergeCell ref="B314:K319"/>
    <mergeCell ref="B217:K227"/>
    <mergeCell ref="C229:K232"/>
    <mergeCell ref="C234:K240"/>
    <mergeCell ref="B242:K246"/>
    <mergeCell ref="C248:K257"/>
    <mergeCell ref="C259:K268"/>
    <mergeCell ref="C173:K180"/>
    <mergeCell ref="B182:K185"/>
    <mergeCell ref="C187:K194"/>
    <mergeCell ref="C196:K202"/>
    <mergeCell ref="B204:K206"/>
    <mergeCell ref="C208:K215"/>
    <mergeCell ref="C136:K139"/>
    <mergeCell ref="B141:K150"/>
    <mergeCell ref="S141:W141"/>
    <mergeCell ref="C152:K154"/>
    <mergeCell ref="B156:K164"/>
    <mergeCell ref="C166:K171"/>
    <mergeCell ref="B112:K118"/>
    <mergeCell ref="C120:K125"/>
    <mergeCell ref="B127:K134"/>
    <mergeCell ref="B49:K54"/>
    <mergeCell ref="C56:K59"/>
    <mergeCell ref="C61:K64"/>
    <mergeCell ref="B66:K70"/>
    <mergeCell ref="C72:K77"/>
    <mergeCell ref="C79:K83"/>
    <mergeCell ref="B2:K12"/>
    <mergeCell ref="C14:K20"/>
    <mergeCell ref="C22:K27"/>
    <mergeCell ref="B29:K35"/>
    <mergeCell ref="C37:K41"/>
    <mergeCell ref="C43:K47"/>
    <mergeCell ref="B85:K93"/>
    <mergeCell ref="C95:K103"/>
    <mergeCell ref="C105:K110"/>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CA9F-CBD4-4EBE-A1D9-7D4BCEC4BE43}">
  <dimension ref="A1"/>
  <sheetViews>
    <sheetView workbookViewId="0">
      <selection activeCell="F16" sqref="F16"/>
    </sheetView>
  </sheetViews>
  <sheetFormatPr defaultRowHeight="12.7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67A2E31681C4434EAE8B39D83691A76B" ma:contentTypeVersion="9" ma:contentTypeDescription="Creare un nuovo documento." ma:contentTypeScope="" ma:versionID="1947848a9ab235077a4daff6d6cca8fa">
  <xsd:schema xmlns:xsd="http://www.w3.org/2001/XMLSchema" xmlns:xs="http://www.w3.org/2001/XMLSchema" xmlns:p="http://schemas.microsoft.com/office/2006/metadata/properties" xmlns:ns3="f07c0e2a-de7f-454d-a64d-a8f945ecc089" targetNamespace="http://schemas.microsoft.com/office/2006/metadata/properties" ma:root="true" ma:fieldsID="676f0e6112eadb2e205b9922d686e24d" ns3:_="">
    <xsd:import namespace="f07c0e2a-de7f-454d-a64d-a8f945ecc089"/>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07c0e2a-de7f-454d-a64d-a8f945ecc08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6"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74AA4B6-F88F-495C-A21E-E4FEE0CA18ED}">
  <ds:schemaRefs>
    <ds:schemaRef ds:uri="http://schemas.microsoft.com/sharepoint/v3/contenttype/forms"/>
  </ds:schemaRefs>
</ds:datastoreItem>
</file>

<file path=customXml/itemProps2.xml><?xml version="1.0" encoding="utf-8"?>
<ds:datastoreItem xmlns:ds="http://schemas.openxmlformats.org/officeDocument/2006/customXml" ds:itemID="{4C3A3DA7-9A8D-43B5-A099-088389CA3F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07c0e2a-de7f-454d-a64d-a8f945ecc0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104D1DD-5D72-4007-AC12-22964161B4DD}">
  <ds:schemaRefs>
    <ds:schemaRef ds:uri="http://schemas.microsoft.com/office/2006/metadata/properties"/>
    <ds:schemaRef ds:uri="http://schemas.openxmlformats.org/package/2006/metadata/core-properties"/>
    <ds:schemaRef ds:uri="http://schemas.microsoft.com/office/infopath/2007/PartnerControls"/>
    <ds:schemaRef ds:uri="http://schemas.microsoft.com/office/2006/documentManagement/types"/>
    <ds:schemaRef ds:uri="http://purl.org/dc/terms/"/>
    <ds:schemaRef ds:uri="http://purl.org/dc/elements/1.1/"/>
    <ds:schemaRef ds:uri="http://www.w3.org/XML/1998/namespace"/>
    <ds:schemaRef ds:uri="f07c0e2a-de7f-454d-a64d-a8f945ecc089"/>
    <ds:schemaRef ds:uri="http://purl.org/dc/dcmitype/"/>
  </ds:schemaRefs>
</ds:datastoreItem>
</file>

<file path=docMetadata/LabelInfo.xml><?xml version="1.0" encoding="utf-8"?>
<clbl:labelList xmlns:clbl="http://schemas.microsoft.com/office/2020/mipLabelMetadata">
  <clbl:label id="{02378f6b-f1b0-4815-a8da-8a787c8cf5d3}" enabled="1" method="Privileged" siteId="{028226e0-99ea-4fab-9d1b-daa440c9e286}"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vt:i4>
      </vt:variant>
      <vt:variant>
        <vt:lpstr>Intervalli denominati</vt:lpstr>
      </vt:variant>
      <vt:variant>
        <vt:i4>6</vt:i4>
      </vt:variant>
    </vt:vector>
  </HeadingPairs>
  <TitlesOfParts>
    <vt:vector size="11" baseType="lpstr">
      <vt:lpstr>Base</vt:lpstr>
      <vt:lpstr>Riferimenti</vt:lpstr>
      <vt:lpstr>Spiegazioni</vt:lpstr>
      <vt:lpstr>Sorgente</vt:lpstr>
      <vt:lpstr>Foglio1</vt:lpstr>
      <vt:lpstr>Base!Area_stampa</vt:lpstr>
      <vt:lpstr>Spiegazioni!Area_stampa</vt:lpstr>
      <vt:lpstr>codfisc</vt:lpstr>
      <vt:lpstr>Base!dref</vt:lpstr>
      <vt:lpstr>nacc</vt:lpstr>
      <vt:lpstr>Base!nPaz</vt:lpstr>
    </vt:vector>
  </TitlesOfParts>
  <Company>Bonus.inc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The Bonus</dc:creator>
  <cp:lastModifiedBy>Tiozzo Mattia</cp:lastModifiedBy>
  <cp:lastPrinted>2023-04-27T11:16:08Z</cp:lastPrinted>
  <dcterms:created xsi:type="dcterms:W3CDTF">2004-01-18T19:58:30Z</dcterms:created>
  <dcterms:modified xsi:type="dcterms:W3CDTF">2025-12-17T23:18:35Z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0x01010067A2E31681C4434EAE8B39D83691A76B</vt:lpwstr>
  </property>
</Properties>
</file>