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Questa_cartella_di_lavoro" autoCompressPictures="0" defaultThemeVersion="124226"/>
  <mc:AlternateContent xmlns:mc="http://schemas.openxmlformats.org/markup-compatibility/2006">
    <mc:Choice Requires="x15">
      <x15ac:absPath xmlns:x15ac="http://schemas.microsoft.com/office/spreadsheetml/2010/11/ac" url="C:\Users\mattia.tiozzo\Desktop\Progetti\Metabolomics\"/>
    </mc:Choice>
  </mc:AlternateContent>
  <xr:revisionPtr revIDLastSave="0" documentId="13_ncr:1_{AFA9CBBC-0A43-45BB-AEC1-AF9EF194BD4B}" xr6:coauthVersionLast="47" xr6:coauthVersionMax="47" xr10:uidLastSave="{00000000-0000-0000-0000-000000000000}"/>
  <bookViews>
    <workbookView xWindow="-120" yWindow="-120" windowWidth="29040" windowHeight="15720" xr2:uid="{8FC3E680-A196-4E24-AAE1-4D3E04D8FCFD}"/>
  </bookViews>
  <sheets>
    <sheet name="Base" sheetId="79" r:id="rId1"/>
    <sheet name="Riferimenti" sheetId="42" r:id="rId2"/>
    <sheet name="Spiegazioni" sheetId="88" r:id="rId3"/>
    <sheet name="Sorgente" sheetId="92" r:id="rId4"/>
  </sheets>
  <definedNames>
    <definedName name="_xlnm.Print_Area" localSheetId="0">Base!$A$1:$AE$775</definedName>
    <definedName name="_xlnm.Print_Area" localSheetId="2">Spiegazioni!$A$1:$K$55</definedName>
    <definedName name="codfisc">Base!$E$7</definedName>
    <definedName name="dref" localSheetId="0">Base!$V$9</definedName>
    <definedName name="int">#REF!</definedName>
    <definedName name="max">#REF!</definedName>
    <definedName name="min">#REF!</definedName>
    <definedName name="nacc">Base!$T$7</definedName>
    <definedName name="nPaz" localSheetId="0">Base!$C$6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42" l="1"/>
  <c r="M3" i="42"/>
  <c r="M4" i="42"/>
  <c r="N16" i="42"/>
  <c r="V20" i="42"/>
  <c r="V25" i="42"/>
  <c r="V27" i="42"/>
  <c r="V28" i="42"/>
  <c r="M21" i="42"/>
  <c r="N21" i="42" s="1"/>
  <c r="M30" i="42"/>
  <c r="N30" i="42" s="1"/>
  <c r="M38" i="42"/>
  <c r="N38" i="42" s="1"/>
  <c r="M42" i="42"/>
  <c r="N42" i="42"/>
  <c r="M47" i="42"/>
  <c r="N47" i="42" s="1"/>
  <c r="M50" i="42"/>
  <c r="N50" i="42" s="1"/>
  <c r="M57" i="42"/>
  <c r="N57" i="42"/>
  <c r="M59" i="42"/>
  <c r="N59" i="42"/>
  <c r="M60" i="42"/>
  <c r="N60" i="42" s="1"/>
  <c r="M61" i="42"/>
  <c r="N61" i="42" s="1"/>
  <c r="M63" i="42"/>
  <c r="N63" i="42"/>
  <c r="M71" i="42"/>
  <c r="N71" i="42" s="1"/>
  <c r="M9" i="42"/>
  <c r="M16" i="42"/>
  <c r="M17" i="42"/>
  <c r="K6" i="42" l="1"/>
  <c r="K5" i="42"/>
  <c r="M5" i="42" s="1"/>
  <c r="C703" i="79"/>
  <c r="Q703" i="79"/>
  <c r="P703" i="79"/>
  <c r="O703" i="79"/>
  <c r="Q696" i="79"/>
  <c r="P696" i="79"/>
  <c r="O696" i="79"/>
  <c r="C696" i="79"/>
  <c r="Q691" i="79"/>
  <c r="P691" i="79"/>
  <c r="O691" i="79"/>
  <c r="C691" i="79"/>
  <c r="Q686" i="79"/>
  <c r="P686" i="79"/>
  <c r="O686" i="79"/>
  <c r="C686" i="79"/>
  <c r="Q681" i="79"/>
  <c r="P681" i="79"/>
  <c r="O681" i="79"/>
  <c r="C681" i="79"/>
  <c r="Q676" i="79"/>
  <c r="P676" i="79"/>
  <c r="O676" i="79"/>
  <c r="C676" i="79"/>
  <c r="Q671" i="79"/>
  <c r="P671" i="79"/>
  <c r="O671" i="79"/>
  <c r="C671" i="79"/>
  <c r="Q666" i="79"/>
  <c r="P666" i="79"/>
  <c r="O666" i="79"/>
  <c r="C666" i="79"/>
  <c r="Q661" i="79"/>
  <c r="P661" i="79"/>
  <c r="O661" i="79"/>
  <c r="C661" i="79"/>
  <c r="Q654" i="79"/>
  <c r="P654" i="79"/>
  <c r="O654" i="79"/>
  <c r="C654" i="79"/>
  <c r="Q649" i="79"/>
  <c r="P649" i="79"/>
  <c r="O649" i="79"/>
  <c r="C649" i="79"/>
  <c r="Q643" i="79"/>
  <c r="P643" i="79"/>
  <c r="O643" i="79"/>
  <c r="C643" i="79"/>
  <c r="Q637" i="79"/>
  <c r="P637" i="79"/>
  <c r="O637" i="79"/>
  <c r="C637" i="79"/>
  <c r="V71" i="42"/>
  <c r="S71" i="42"/>
  <c r="Y71" i="42" s="1"/>
  <c r="R71" i="42"/>
  <c r="X71" i="42" s="1"/>
  <c r="Q71" i="42"/>
  <c r="W71" i="42" s="1"/>
  <c r="Y70" i="42"/>
  <c r="V70" i="42"/>
  <c r="S70" i="42"/>
  <c r="R70" i="42"/>
  <c r="X70" i="42" s="1"/>
  <c r="Q70" i="42"/>
  <c r="W70" i="42" s="1"/>
  <c r="V69" i="42"/>
  <c r="S69" i="42"/>
  <c r="Y69" i="42" s="1"/>
  <c r="R69" i="42"/>
  <c r="X69" i="42" s="1"/>
  <c r="Q69" i="42"/>
  <c r="W69" i="42" s="1"/>
  <c r="V68" i="42"/>
  <c r="S68" i="42"/>
  <c r="Y68" i="42" s="1"/>
  <c r="R68" i="42"/>
  <c r="X68" i="42" s="1"/>
  <c r="Q68" i="42"/>
  <c r="W68" i="42" s="1"/>
  <c r="Y67" i="42"/>
  <c r="V67" i="42"/>
  <c r="S67" i="42"/>
  <c r="R67" i="42"/>
  <c r="X67" i="42" s="1"/>
  <c r="Q67" i="42"/>
  <c r="W67" i="42" s="1"/>
  <c r="V66" i="42"/>
  <c r="S66" i="42"/>
  <c r="Y66" i="42" s="1"/>
  <c r="R66" i="42"/>
  <c r="X66" i="42" s="1"/>
  <c r="Q66" i="42"/>
  <c r="W66" i="42" s="1"/>
  <c r="V65" i="42"/>
  <c r="S65" i="42"/>
  <c r="Y65" i="42" s="1"/>
  <c r="R65" i="42"/>
  <c r="X65" i="42" s="1"/>
  <c r="Q65" i="42"/>
  <c r="W65" i="42" s="1"/>
  <c r="V64" i="42"/>
  <c r="S64" i="42"/>
  <c r="Y64" i="42" s="1"/>
  <c r="R64" i="42"/>
  <c r="X64" i="42" s="1"/>
  <c r="Q64" i="42"/>
  <c r="W64" i="42" s="1"/>
  <c r="V63" i="42"/>
  <c r="S63" i="42"/>
  <c r="Y63" i="42" s="1"/>
  <c r="R63" i="42"/>
  <c r="X63" i="42" s="1"/>
  <c r="Q63" i="42"/>
  <c r="W63" i="42" s="1"/>
  <c r="V62" i="42"/>
  <c r="S62" i="42"/>
  <c r="Y62" i="42" s="1"/>
  <c r="R62" i="42"/>
  <c r="X62" i="42" s="1"/>
  <c r="Q62" i="42"/>
  <c r="W62" i="42" s="1"/>
  <c r="V61" i="42"/>
  <c r="S61" i="42"/>
  <c r="Y61" i="42" s="1"/>
  <c r="R61" i="42"/>
  <c r="X61" i="42" s="1"/>
  <c r="Q61" i="42"/>
  <c r="V60" i="42"/>
  <c r="S60" i="42"/>
  <c r="Y60" i="42" s="1"/>
  <c r="R60" i="42"/>
  <c r="X60" i="42" s="1"/>
  <c r="Q60" i="42"/>
  <c r="W60" i="42" s="1"/>
  <c r="Y59" i="42"/>
  <c r="X59" i="42"/>
  <c r="V59" i="42"/>
  <c r="S59" i="42"/>
  <c r="R59" i="42"/>
  <c r="Q59" i="42"/>
  <c r="W59" i="42" s="1"/>
  <c r="X58" i="42"/>
  <c r="V58" i="42"/>
  <c r="S58" i="42"/>
  <c r="Y58" i="42" s="1"/>
  <c r="R58" i="42"/>
  <c r="Q58" i="42"/>
  <c r="W58" i="42" s="1"/>
  <c r="Y57" i="42"/>
  <c r="V57" i="42"/>
  <c r="S57" i="42"/>
  <c r="R57" i="42"/>
  <c r="X57" i="42" s="1"/>
  <c r="Q57" i="42"/>
  <c r="W57" i="42" s="1"/>
  <c r="X56" i="42"/>
  <c r="W56" i="42"/>
  <c r="V56" i="42"/>
  <c r="S56" i="42"/>
  <c r="Y56" i="42" s="1"/>
  <c r="R56" i="42"/>
  <c r="Q56" i="42"/>
  <c r="V55" i="42"/>
  <c r="S55" i="42"/>
  <c r="Y55" i="42" s="1"/>
  <c r="R55" i="42"/>
  <c r="Q55" i="42"/>
  <c r="V54" i="42"/>
  <c r="S54" i="42"/>
  <c r="Y54" i="42" s="1"/>
  <c r="R54" i="42"/>
  <c r="X54" i="42" s="1"/>
  <c r="Q54" i="42"/>
  <c r="W54" i="42" s="1"/>
  <c r="V53" i="42"/>
  <c r="S53" i="42"/>
  <c r="Y53" i="42" s="1"/>
  <c r="R53" i="42"/>
  <c r="X53" i="42" s="1"/>
  <c r="Q53" i="42"/>
  <c r="W53" i="42" s="1"/>
  <c r="V52" i="42"/>
  <c r="S52" i="42"/>
  <c r="Y52" i="42" s="1"/>
  <c r="R52" i="42"/>
  <c r="X52" i="42" s="1"/>
  <c r="Q52" i="42"/>
  <c r="Y51" i="42"/>
  <c r="V51" i="42"/>
  <c r="S51" i="42"/>
  <c r="R51" i="42"/>
  <c r="X51" i="42" s="1"/>
  <c r="Q51" i="42"/>
  <c r="W51" i="42" s="1"/>
  <c r="Y50" i="42"/>
  <c r="V50" i="42"/>
  <c r="S50" i="42"/>
  <c r="R50" i="42"/>
  <c r="AH501" i="79" s="1"/>
  <c r="Q50" i="42"/>
  <c r="AG501" i="79" s="1"/>
  <c r="Y49" i="42"/>
  <c r="X49" i="42"/>
  <c r="W49" i="42"/>
  <c r="V49" i="42"/>
  <c r="S49" i="42"/>
  <c r="W48" i="42"/>
  <c r="V48" i="42"/>
  <c r="S48" i="42"/>
  <c r="Y48" i="42" s="1"/>
  <c r="R48" i="42"/>
  <c r="X48" i="42" s="1"/>
  <c r="Q48" i="42"/>
  <c r="V47" i="42"/>
  <c r="S47" i="42"/>
  <c r="Y47" i="42" s="1"/>
  <c r="R47" i="42"/>
  <c r="X47" i="42" s="1"/>
  <c r="Q47" i="42"/>
  <c r="W47" i="42" s="1"/>
  <c r="V46" i="42"/>
  <c r="S46" i="42"/>
  <c r="Y46" i="42" s="1"/>
  <c r="R46" i="42"/>
  <c r="Q46" i="42"/>
  <c r="W46" i="42" s="1"/>
  <c r="V45" i="42"/>
  <c r="S45" i="42"/>
  <c r="Y45" i="42" s="1"/>
  <c r="R45" i="42"/>
  <c r="Q45" i="42"/>
  <c r="V44" i="42"/>
  <c r="S44" i="42"/>
  <c r="Y44" i="42" s="1"/>
  <c r="R44" i="42"/>
  <c r="X44" i="42" s="1"/>
  <c r="Q44" i="42"/>
  <c r="W44" i="42" s="1"/>
  <c r="V43" i="42"/>
  <c r="S43" i="42"/>
  <c r="Y43" i="42" s="1"/>
  <c r="R43" i="42"/>
  <c r="X43" i="42" s="1"/>
  <c r="Q43" i="42"/>
  <c r="W43" i="42" s="1"/>
  <c r="X42" i="42"/>
  <c r="V42" i="42"/>
  <c r="S42" i="42"/>
  <c r="Y42" i="42" s="1"/>
  <c r="R42" i="42"/>
  <c r="Q42" i="42"/>
  <c r="W42" i="42" s="1"/>
  <c r="Y41" i="42"/>
  <c r="X41" i="42"/>
  <c r="W41" i="42"/>
  <c r="V41" i="42"/>
  <c r="S41" i="42"/>
  <c r="R41" i="42"/>
  <c r="Q41" i="42"/>
  <c r="X40" i="42"/>
  <c r="V40" i="42"/>
  <c r="S40" i="42"/>
  <c r="Y40" i="42" s="1"/>
  <c r="R40" i="42"/>
  <c r="Q40" i="42"/>
  <c r="AG372" i="79" s="1"/>
  <c r="W39" i="42"/>
  <c r="V39" i="42"/>
  <c r="S39" i="42"/>
  <c r="Y39" i="42" s="1"/>
  <c r="R39" i="42"/>
  <c r="X39" i="42" s="1"/>
  <c r="Q39" i="42"/>
  <c r="W38" i="42"/>
  <c r="V38" i="42"/>
  <c r="S38" i="42"/>
  <c r="Y38" i="42" s="1"/>
  <c r="R38" i="42"/>
  <c r="X38" i="42" s="1"/>
  <c r="Q38" i="42"/>
  <c r="V37" i="42"/>
  <c r="S37" i="42"/>
  <c r="Y37" i="42" s="1"/>
  <c r="R37" i="42"/>
  <c r="Q37" i="42"/>
  <c r="W37" i="42" s="1"/>
  <c r="V36" i="42"/>
  <c r="S36" i="42"/>
  <c r="Y36" i="42" s="1"/>
  <c r="R36" i="42"/>
  <c r="Q36" i="42"/>
  <c r="V35" i="42"/>
  <c r="S35" i="42"/>
  <c r="Y35" i="42" s="1"/>
  <c r="R35" i="42"/>
  <c r="X35" i="42" s="1"/>
  <c r="Q35" i="42"/>
  <c r="W35" i="42" s="1"/>
  <c r="V34" i="42"/>
  <c r="S34" i="42"/>
  <c r="Y34" i="42" s="1"/>
  <c r="R34" i="42"/>
  <c r="X34" i="42" s="1"/>
  <c r="Q34" i="42"/>
  <c r="W34" i="42" s="1"/>
  <c r="V33" i="42"/>
  <c r="S33" i="42"/>
  <c r="Y33" i="42" s="1"/>
  <c r="R33" i="42"/>
  <c r="X33" i="42" s="1"/>
  <c r="Q33" i="42"/>
  <c r="W33" i="42" s="1"/>
  <c r="V32" i="42"/>
  <c r="S32" i="42"/>
  <c r="Y32" i="42" s="1"/>
  <c r="R32" i="42"/>
  <c r="AH336" i="79" s="1"/>
  <c r="Q32" i="42"/>
  <c r="AG336" i="79" s="1"/>
  <c r="Y31" i="42"/>
  <c r="V31" i="42"/>
  <c r="S31" i="42"/>
  <c r="R31" i="42"/>
  <c r="AH331" i="79" s="1"/>
  <c r="Q31" i="42"/>
  <c r="W31" i="42" s="1"/>
  <c r="X30" i="42"/>
  <c r="W30" i="42"/>
  <c r="V30" i="42"/>
  <c r="S30" i="42"/>
  <c r="Y30" i="42" s="1"/>
  <c r="R30" i="42"/>
  <c r="Q30" i="42"/>
  <c r="S28" i="42"/>
  <c r="Y28" i="42" s="1"/>
  <c r="R28" i="42"/>
  <c r="Q28" i="42"/>
  <c r="W28" i="42" s="1"/>
  <c r="S27" i="42"/>
  <c r="Y27" i="42" s="1"/>
  <c r="R27" i="42"/>
  <c r="X27" i="42" s="1"/>
  <c r="S25" i="42"/>
  <c r="Y25" i="42" s="1"/>
  <c r="R25" i="42"/>
  <c r="X25" i="42" s="1"/>
  <c r="S20" i="42"/>
  <c r="Y20" i="42" s="1"/>
  <c r="R20" i="42"/>
  <c r="X20" i="42" s="1"/>
  <c r="Q20" i="42"/>
  <c r="W20" i="42" s="1"/>
  <c r="Y19" i="42"/>
  <c r="V19" i="42"/>
  <c r="S19" i="42"/>
  <c r="R19" i="42"/>
  <c r="AH190" i="79" s="1"/>
  <c r="Q19" i="42"/>
  <c r="AG190" i="79" s="1"/>
  <c r="V18" i="42"/>
  <c r="S18" i="42"/>
  <c r="Y18" i="42" s="1"/>
  <c r="R18" i="42"/>
  <c r="X18" i="42" s="1"/>
  <c r="Q18" i="42"/>
  <c r="W18" i="42" s="1"/>
  <c r="Y17" i="42"/>
  <c r="V17" i="42"/>
  <c r="S17" i="42"/>
  <c r="R17" i="42"/>
  <c r="X17" i="42" s="1"/>
  <c r="Q17" i="42"/>
  <c r="W17" i="42" s="1"/>
  <c r="N17" i="42"/>
  <c r="V16" i="42"/>
  <c r="S16" i="42"/>
  <c r="Y16" i="42" s="1"/>
  <c r="R16" i="42"/>
  <c r="X16" i="42" s="1"/>
  <c r="Q16" i="42"/>
  <c r="V15" i="42"/>
  <c r="S15" i="42"/>
  <c r="Y15" i="42" s="1"/>
  <c r="R15" i="42"/>
  <c r="X15" i="42" s="1"/>
  <c r="Q15" i="42"/>
  <c r="W15" i="42" s="1"/>
  <c r="V14" i="42"/>
  <c r="S14" i="42"/>
  <c r="Y14" i="42" s="1"/>
  <c r="R14" i="42"/>
  <c r="X14" i="42" s="1"/>
  <c r="Q14" i="42"/>
  <c r="W14" i="42" s="1"/>
  <c r="V13" i="42"/>
  <c r="S13" i="42"/>
  <c r="Y13" i="42" s="1"/>
  <c r="R13" i="42"/>
  <c r="X13" i="42" s="1"/>
  <c r="Q13" i="42"/>
  <c r="W13" i="42" s="1"/>
  <c r="V12" i="42"/>
  <c r="S12" i="42"/>
  <c r="Y12" i="42" s="1"/>
  <c r="R12" i="42"/>
  <c r="X12" i="42" s="1"/>
  <c r="Q12" i="42"/>
  <c r="W12" i="42" s="1"/>
  <c r="V11" i="42"/>
  <c r="S11" i="42"/>
  <c r="Y11" i="42" s="1"/>
  <c r="R11" i="42"/>
  <c r="X11" i="42" s="1"/>
  <c r="Q11" i="42"/>
  <c r="W11" i="42" s="1"/>
  <c r="Y10" i="42"/>
  <c r="X10" i="42"/>
  <c r="V10" i="42"/>
  <c r="S10" i="42"/>
  <c r="R10" i="42"/>
  <c r="Q10" i="42"/>
  <c r="W10" i="42" s="1"/>
  <c r="Y9" i="42"/>
  <c r="V9" i="42"/>
  <c r="S9" i="42"/>
  <c r="R9" i="42"/>
  <c r="X9" i="42" s="1"/>
  <c r="Q9" i="42"/>
  <c r="W9" i="42" s="1"/>
  <c r="N9" i="42"/>
  <c r="V8" i="42"/>
  <c r="S8" i="42"/>
  <c r="Y8" i="42" s="1"/>
  <c r="R8" i="42"/>
  <c r="X8" i="42" s="1"/>
  <c r="Q8" i="42"/>
  <c r="W8" i="42" s="1"/>
  <c r="V7" i="42"/>
  <c r="S7" i="42"/>
  <c r="Y7" i="42" s="1"/>
  <c r="R7" i="42"/>
  <c r="X7" i="42" s="1"/>
  <c r="Q7" i="42"/>
  <c r="W7" i="42" s="1"/>
  <c r="W6" i="42"/>
  <c r="V6" i="42"/>
  <c r="S6" i="42"/>
  <c r="Y6" i="42" s="1"/>
  <c r="R6" i="42"/>
  <c r="X6" i="42" s="1"/>
  <c r="Q6" i="42"/>
  <c r="V5" i="42"/>
  <c r="S5" i="42"/>
  <c r="Y5" i="42" s="1"/>
  <c r="R5" i="42"/>
  <c r="Q5" i="42"/>
  <c r="W5" i="42" s="1"/>
  <c r="N5" i="42"/>
  <c r="V4" i="42"/>
  <c r="S4" i="42"/>
  <c r="Y4" i="42" s="1"/>
  <c r="R4" i="42"/>
  <c r="X4" i="42" s="1"/>
  <c r="Q4" i="42"/>
  <c r="W4" i="42" s="1"/>
  <c r="N4" i="42"/>
  <c r="V3" i="42"/>
  <c r="S3" i="42"/>
  <c r="Y3" i="42" s="1"/>
  <c r="R3" i="42"/>
  <c r="X3" i="42" s="1"/>
  <c r="Q3" i="42"/>
  <c r="W3" i="42" s="1"/>
  <c r="N3" i="42"/>
  <c r="V2" i="42"/>
  <c r="S2" i="42"/>
  <c r="Y2" i="42" s="1"/>
  <c r="R2" i="42"/>
  <c r="X2" i="42" s="1"/>
  <c r="Q2" i="42"/>
  <c r="W2" i="42" s="1"/>
  <c r="N2" i="42"/>
  <c r="A484" i="79"/>
  <c r="R484" i="79"/>
  <c r="Y484" i="79"/>
  <c r="AB484" i="79"/>
  <c r="C491" i="79"/>
  <c r="O491" i="79"/>
  <c r="Q491" i="79"/>
  <c r="C496" i="79"/>
  <c r="O496" i="79"/>
  <c r="Q496" i="79"/>
  <c r="AG496" i="79"/>
  <c r="C501" i="79"/>
  <c r="O501" i="79"/>
  <c r="Q501" i="79"/>
  <c r="C509" i="79"/>
  <c r="O509" i="79"/>
  <c r="Q509" i="79"/>
  <c r="C514" i="79"/>
  <c r="O514" i="79"/>
  <c r="Q514" i="79"/>
  <c r="AH691" i="79"/>
  <c r="AG691" i="79"/>
  <c r="AH686" i="79"/>
  <c r="AG686" i="79"/>
  <c r="AH683" i="79"/>
  <c r="AG683" i="79"/>
  <c r="AH676" i="79"/>
  <c r="AG676" i="79"/>
  <c r="AH671" i="79"/>
  <c r="AG671" i="79"/>
  <c r="AH666" i="79"/>
  <c r="AG666" i="79"/>
  <c r="AG649" i="79"/>
  <c r="AH637" i="79"/>
  <c r="AG637" i="79"/>
  <c r="AB628" i="79"/>
  <c r="Y628" i="79"/>
  <c r="R628" i="79"/>
  <c r="A628" i="79"/>
  <c r="AH552" i="79"/>
  <c r="Q552" i="79"/>
  <c r="O552" i="79"/>
  <c r="C552" i="79"/>
  <c r="Q547" i="79"/>
  <c r="O547" i="79"/>
  <c r="C547" i="79"/>
  <c r="AH539" i="79"/>
  <c r="AG539" i="79"/>
  <c r="Q539" i="79"/>
  <c r="O539" i="79"/>
  <c r="C539" i="79"/>
  <c r="AH534" i="79"/>
  <c r="AG534" i="79"/>
  <c r="Q534" i="79"/>
  <c r="O534" i="79"/>
  <c r="C534" i="79"/>
  <c r="Q529" i="79"/>
  <c r="O529" i="79"/>
  <c r="C529" i="79"/>
  <c r="Q524" i="79"/>
  <c r="O524" i="79"/>
  <c r="C524" i="79"/>
  <c r="Q519" i="79"/>
  <c r="O519" i="79"/>
  <c r="C519" i="79"/>
  <c r="AH410" i="79"/>
  <c r="AG410" i="79"/>
  <c r="Q408" i="79"/>
  <c r="O408" i="79"/>
  <c r="C408" i="79"/>
  <c r="Q403" i="79"/>
  <c r="O403" i="79"/>
  <c r="C403" i="79"/>
  <c r="Q398" i="79"/>
  <c r="O398" i="79"/>
  <c r="C398" i="79"/>
  <c r="Q393" i="79"/>
  <c r="O393" i="79"/>
  <c r="C393" i="79"/>
  <c r="Q388" i="79"/>
  <c r="O388" i="79"/>
  <c r="C388" i="79"/>
  <c r="AH382" i="79"/>
  <c r="Q382" i="79"/>
  <c r="O382" i="79"/>
  <c r="C382" i="79"/>
  <c r="AH377" i="79"/>
  <c r="AG377" i="79"/>
  <c r="Q377" i="79"/>
  <c r="O377" i="79"/>
  <c r="C377" i="79"/>
  <c r="AH372" i="79"/>
  <c r="Q372" i="79"/>
  <c r="O372" i="79"/>
  <c r="C372" i="79"/>
  <c r="Q367" i="79"/>
  <c r="O367" i="79"/>
  <c r="C367" i="79"/>
  <c r="AH363" i="79"/>
  <c r="AG363" i="79"/>
  <c r="Q361" i="79"/>
  <c r="O361" i="79"/>
  <c r="C361" i="79"/>
  <c r="Q356" i="79"/>
  <c r="O356" i="79"/>
  <c r="C356" i="79"/>
  <c r="Q351" i="79"/>
  <c r="O351" i="79"/>
  <c r="C351" i="79"/>
  <c r="AH348" i="79"/>
  <c r="AG348" i="79"/>
  <c r="Q346" i="79"/>
  <c r="O346" i="79"/>
  <c r="C346" i="79"/>
  <c r="AH341" i="79"/>
  <c r="AG341" i="79"/>
  <c r="Q341" i="79"/>
  <c r="O341" i="79"/>
  <c r="C341" i="79"/>
  <c r="Q336" i="79"/>
  <c r="O336" i="79"/>
  <c r="C336" i="79"/>
  <c r="AG331" i="79"/>
  <c r="Q331" i="79"/>
  <c r="O331" i="79"/>
  <c r="C331" i="79"/>
  <c r="Q326" i="79"/>
  <c r="O326" i="79"/>
  <c r="C326" i="79"/>
  <c r="AB317" i="79"/>
  <c r="Y317" i="79"/>
  <c r="R317" i="79"/>
  <c r="A317" i="79"/>
  <c r="AH241" i="79"/>
  <c r="AG241" i="79"/>
  <c r="Q241" i="79"/>
  <c r="O241" i="79"/>
  <c r="C241" i="79"/>
  <c r="AH236" i="79"/>
  <c r="AG236" i="79"/>
  <c r="Q236" i="79"/>
  <c r="O236" i="79"/>
  <c r="C236" i="79"/>
  <c r="AH226" i="79"/>
  <c r="AG226" i="79"/>
  <c r="Q226" i="79"/>
  <c r="O226" i="79"/>
  <c r="C226" i="79"/>
  <c r="AG221" i="79"/>
  <c r="Q221" i="79"/>
  <c r="O221" i="79"/>
  <c r="C221" i="79"/>
  <c r="AH218" i="79"/>
  <c r="AG218" i="79"/>
  <c r="Q216" i="79"/>
  <c r="O216" i="79"/>
  <c r="C216" i="79"/>
  <c r="AH211" i="79"/>
  <c r="AG211" i="79"/>
  <c r="Q211" i="79"/>
  <c r="O211" i="79"/>
  <c r="C211" i="79"/>
  <c r="AH206" i="79"/>
  <c r="AG206" i="79"/>
  <c r="Q206" i="79"/>
  <c r="O206" i="79"/>
  <c r="C206" i="79"/>
  <c r="Q201" i="79"/>
  <c r="O201" i="79"/>
  <c r="C201" i="79"/>
  <c r="AH195" i="79"/>
  <c r="AG195" i="79"/>
  <c r="Q195" i="79"/>
  <c r="O195" i="79"/>
  <c r="C195" i="79"/>
  <c r="Q190" i="79"/>
  <c r="O190" i="79"/>
  <c r="C190" i="79"/>
  <c r="AH185" i="79"/>
  <c r="AG185" i="79"/>
  <c r="Q185" i="79"/>
  <c r="O185" i="79"/>
  <c r="C185" i="79"/>
  <c r="Q180" i="79"/>
  <c r="O180" i="79"/>
  <c r="C180" i="79"/>
  <c r="X31" i="42" l="1"/>
  <c r="AG552" i="79"/>
  <c r="W40" i="42"/>
  <c r="X32" i="42"/>
  <c r="AH356" i="79"/>
  <c r="AH649" i="79"/>
  <c r="AH403" i="79"/>
  <c r="AH496" i="79"/>
  <c r="X19" i="42"/>
  <c r="X50" i="42"/>
  <c r="AH529" i="79"/>
  <c r="K7" i="42"/>
  <c r="M6" i="42"/>
  <c r="N6" i="42" s="1"/>
  <c r="AG398" i="79"/>
  <c r="W45" i="42"/>
  <c r="AG351" i="79"/>
  <c r="W36" i="42"/>
  <c r="AH398" i="79"/>
  <c r="X45" i="42"/>
  <c r="AH351" i="79"/>
  <c r="X36" i="42"/>
  <c r="W61" i="42"/>
  <c r="AG643" i="79"/>
  <c r="AH221" i="79"/>
  <c r="AG514" i="79"/>
  <c r="W52" i="42"/>
  <c r="AH643" i="79"/>
  <c r="AG393" i="79"/>
  <c r="AG519" i="79"/>
  <c r="AH514" i="79"/>
  <c r="AH393" i="79"/>
  <c r="AH519" i="79"/>
  <c r="W19" i="42"/>
  <c r="W32" i="42"/>
  <c r="W50" i="42"/>
  <c r="AG529" i="79"/>
  <c r="X37" i="42"/>
  <c r="AG356" i="79"/>
  <c r="X46" i="42"/>
  <c r="AG403" i="79"/>
  <c r="AG382" i="79"/>
  <c r="O768" i="92"/>
  <c r="O676" i="92"/>
  <c r="O677" i="92"/>
  <c r="O678" i="92"/>
  <c r="O679" i="92"/>
  <c r="O680" i="92"/>
  <c r="O681" i="92"/>
  <c r="O682" i="92"/>
  <c r="O683" i="92"/>
  <c r="O684" i="92"/>
  <c r="O685" i="92"/>
  <c r="O686" i="92"/>
  <c r="O687" i="92"/>
  <c r="O688" i="92"/>
  <c r="O689" i="92"/>
  <c r="O690" i="92"/>
  <c r="O691" i="92"/>
  <c r="O692" i="92"/>
  <c r="O693" i="92"/>
  <c r="O694" i="92"/>
  <c r="O695" i="92"/>
  <c r="O696" i="92"/>
  <c r="O697" i="92"/>
  <c r="O698" i="92"/>
  <c r="O699" i="92"/>
  <c r="O700" i="92"/>
  <c r="O701" i="92"/>
  <c r="O702" i="92"/>
  <c r="K8" i="42" l="1"/>
  <c r="M7" i="42"/>
  <c r="N7" i="42" s="1"/>
  <c r="O968" i="92"/>
  <c r="O967" i="92"/>
  <c r="O966" i="92"/>
  <c r="O965" i="92"/>
  <c r="O964" i="92"/>
  <c r="O963" i="92"/>
  <c r="O962" i="92"/>
  <c r="O961" i="92"/>
  <c r="O960" i="92"/>
  <c r="O959" i="92"/>
  <c r="O958" i="92"/>
  <c r="O957" i="92"/>
  <c r="O956" i="92"/>
  <c r="O955" i="92"/>
  <c r="O954" i="92"/>
  <c r="O953" i="92"/>
  <c r="O952" i="92"/>
  <c r="O951" i="92"/>
  <c r="O950" i="92"/>
  <c r="O949" i="92"/>
  <c r="O948" i="92"/>
  <c r="O947" i="92"/>
  <c r="O946" i="92"/>
  <c r="O945" i="92"/>
  <c r="O944" i="92"/>
  <c r="O943" i="92"/>
  <c r="O942" i="92"/>
  <c r="O941" i="92"/>
  <c r="O940" i="92"/>
  <c r="O939" i="92"/>
  <c r="O938" i="92"/>
  <c r="O937" i="92"/>
  <c r="O936" i="92"/>
  <c r="O935" i="92"/>
  <c r="O934" i="92"/>
  <c r="O933" i="92"/>
  <c r="O932" i="92"/>
  <c r="O931" i="92"/>
  <c r="O930" i="92"/>
  <c r="O929" i="92"/>
  <c r="O928" i="92"/>
  <c r="O927" i="92"/>
  <c r="O926" i="92"/>
  <c r="O925" i="92"/>
  <c r="O924" i="92"/>
  <c r="O923" i="92"/>
  <c r="O922" i="92"/>
  <c r="O921" i="92"/>
  <c r="O920" i="92"/>
  <c r="O919" i="92"/>
  <c r="O918" i="92"/>
  <c r="O917" i="92"/>
  <c r="O916" i="92"/>
  <c r="O915" i="92"/>
  <c r="O914" i="92"/>
  <c r="O913" i="92"/>
  <c r="O912" i="92"/>
  <c r="O911" i="92"/>
  <c r="O910" i="92"/>
  <c r="O909" i="92"/>
  <c r="O908" i="92"/>
  <c r="O907" i="92"/>
  <c r="O906" i="92"/>
  <c r="O905" i="92"/>
  <c r="O904" i="92"/>
  <c r="O903" i="92"/>
  <c r="O902" i="92"/>
  <c r="O901" i="92"/>
  <c r="O900" i="92"/>
  <c r="O899" i="92"/>
  <c r="O898" i="92"/>
  <c r="O897" i="92"/>
  <c r="O896" i="92"/>
  <c r="O895" i="92"/>
  <c r="O894" i="92"/>
  <c r="O893" i="92"/>
  <c r="O892" i="92"/>
  <c r="O891" i="92"/>
  <c r="O890" i="92"/>
  <c r="O889" i="92"/>
  <c r="O888" i="92"/>
  <c r="O887" i="92"/>
  <c r="O886" i="92"/>
  <c r="O885" i="92"/>
  <c r="O884" i="92"/>
  <c r="O883" i="92"/>
  <c r="O882" i="92"/>
  <c r="O881" i="92"/>
  <c r="O880" i="92"/>
  <c r="O879" i="92"/>
  <c r="O878" i="92"/>
  <c r="O877" i="92"/>
  <c r="O876" i="92"/>
  <c r="O875" i="92"/>
  <c r="O874" i="92"/>
  <c r="O873" i="92"/>
  <c r="O872" i="92"/>
  <c r="O871" i="92"/>
  <c r="O870" i="92"/>
  <c r="O869" i="92"/>
  <c r="O868" i="92"/>
  <c r="O867" i="92"/>
  <c r="O866" i="92"/>
  <c r="O865" i="92"/>
  <c r="O864" i="92"/>
  <c r="O863" i="92"/>
  <c r="O862" i="92"/>
  <c r="O861" i="92"/>
  <c r="O860" i="92"/>
  <c r="O859" i="92"/>
  <c r="O858" i="92"/>
  <c r="O857" i="92"/>
  <c r="O856" i="92"/>
  <c r="O855" i="92"/>
  <c r="O854" i="92"/>
  <c r="O853" i="92"/>
  <c r="O852" i="92"/>
  <c r="O851" i="92"/>
  <c r="O850" i="92"/>
  <c r="O849" i="92"/>
  <c r="O848" i="92"/>
  <c r="O847" i="92"/>
  <c r="O846" i="92"/>
  <c r="O845" i="92"/>
  <c r="O844" i="92"/>
  <c r="O843" i="92"/>
  <c r="O842" i="92"/>
  <c r="O841" i="92"/>
  <c r="O840" i="92"/>
  <c r="O839" i="92"/>
  <c r="O838" i="92"/>
  <c r="O837" i="92"/>
  <c r="O836" i="92"/>
  <c r="O835" i="92"/>
  <c r="O834" i="92"/>
  <c r="O833" i="92"/>
  <c r="O832" i="92"/>
  <c r="O831" i="92"/>
  <c r="O830" i="92"/>
  <c r="O829" i="92"/>
  <c r="O828" i="92"/>
  <c r="O827" i="92"/>
  <c r="O826" i="92"/>
  <c r="O825" i="92"/>
  <c r="O824" i="92"/>
  <c r="O823" i="92"/>
  <c r="O822" i="92"/>
  <c r="O821" i="92"/>
  <c r="O820" i="92"/>
  <c r="O819" i="92"/>
  <c r="O818" i="92"/>
  <c r="O817" i="92"/>
  <c r="O816" i="92"/>
  <c r="O815" i="92"/>
  <c r="O814" i="92"/>
  <c r="O813" i="92"/>
  <c r="O812" i="92"/>
  <c r="O811" i="92"/>
  <c r="O810" i="92"/>
  <c r="O809" i="92"/>
  <c r="O808" i="92"/>
  <c r="O807" i="92"/>
  <c r="O806" i="92"/>
  <c r="O805" i="92"/>
  <c r="O804" i="92"/>
  <c r="O803" i="92"/>
  <c r="O802" i="92"/>
  <c r="O801" i="92"/>
  <c r="O800" i="92"/>
  <c r="O799" i="92"/>
  <c r="O798" i="92"/>
  <c r="O797" i="92"/>
  <c r="O796" i="92"/>
  <c r="O795" i="92"/>
  <c r="O794" i="92"/>
  <c r="O793" i="92"/>
  <c r="O792" i="92"/>
  <c r="O791" i="92"/>
  <c r="O790" i="92"/>
  <c r="O789" i="92"/>
  <c r="O788" i="92"/>
  <c r="O787" i="92"/>
  <c r="O786" i="92"/>
  <c r="O785" i="92"/>
  <c r="O784" i="92"/>
  <c r="K10" i="42" l="1"/>
  <c r="M8" i="42"/>
  <c r="N8" i="42" s="1"/>
  <c r="O84" i="79"/>
  <c r="K11" i="42" l="1"/>
  <c r="M10" i="42"/>
  <c r="N10" i="42" s="1"/>
  <c r="N1015" i="92"/>
  <c r="N1016" i="92"/>
  <c r="N1017" i="92"/>
  <c r="N1018" i="92"/>
  <c r="N1019" i="92"/>
  <c r="N1020" i="92"/>
  <c r="N1023" i="92"/>
  <c r="N1025" i="92"/>
  <c r="N1026" i="92"/>
  <c r="N1027" i="92"/>
  <c r="N1028" i="92"/>
  <c r="N1029" i="92"/>
  <c r="N1030" i="92"/>
  <c r="N1031" i="92"/>
  <c r="N1032" i="92"/>
  <c r="N1033" i="92"/>
  <c r="N1034" i="92"/>
  <c r="N1035" i="92"/>
  <c r="N1036" i="92"/>
  <c r="N1037" i="92"/>
  <c r="N1038" i="92"/>
  <c r="N1039" i="92"/>
  <c r="N1040" i="92"/>
  <c r="N1041" i="92"/>
  <c r="N1042" i="92"/>
  <c r="N1043" i="92"/>
  <c r="N1044" i="92"/>
  <c r="N1045" i="92"/>
  <c r="N1046" i="92"/>
  <c r="N1047" i="92"/>
  <c r="N1048" i="92"/>
  <c r="N1049" i="92"/>
  <c r="N1050" i="92"/>
  <c r="N1051" i="92"/>
  <c r="N1052" i="92"/>
  <c r="N1053" i="92"/>
  <c r="N1054" i="92"/>
  <c r="N1055" i="92"/>
  <c r="N1056" i="92"/>
  <c r="N1057" i="92"/>
  <c r="N1058" i="92"/>
  <c r="N1059" i="92"/>
  <c r="N1060" i="92"/>
  <c r="N1061" i="92"/>
  <c r="N1063" i="92"/>
  <c r="N1064" i="92"/>
  <c r="N1065" i="92"/>
  <c r="N1066" i="92"/>
  <c r="N1067" i="92"/>
  <c r="N1068" i="92"/>
  <c r="N1069" i="92"/>
  <c r="N1070" i="92"/>
  <c r="N1072" i="92"/>
  <c r="N1073" i="92"/>
  <c r="N1074" i="92"/>
  <c r="N1075" i="92"/>
  <c r="N1076" i="92"/>
  <c r="N1077" i="92"/>
  <c r="N1078" i="92"/>
  <c r="N1079" i="92"/>
  <c r="K12" i="42" l="1"/>
  <c r="M11" i="42"/>
  <c r="N11" i="42" s="1"/>
  <c r="O361" i="92"/>
  <c r="O362" i="92"/>
  <c r="K13" i="42" l="1"/>
  <c r="M12" i="42"/>
  <c r="N12" i="42" s="1"/>
  <c r="AB171" i="79"/>
  <c r="Y171" i="79"/>
  <c r="R171" i="79"/>
  <c r="K14" i="42" l="1"/>
  <c r="M13" i="42"/>
  <c r="N13" i="42" s="1"/>
  <c r="N981" i="92"/>
  <c r="N982" i="92"/>
  <c r="N983" i="92"/>
  <c r="N984" i="92"/>
  <c r="N985" i="92"/>
  <c r="N986" i="92"/>
  <c r="N987" i="92"/>
  <c r="N988" i="92"/>
  <c r="N992" i="92"/>
  <c r="N993" i="92"/>
  <c r="N994" i="92"/>
  <c r="N995" i="92"/>
  <c r="N996" i="92"/>
  <c r="N997" i="92"/>
  <c r="N998" i="92"/>
  <c r="N999" i="92"/>
  <c r="N1000" i="92"/>
  <c r="N1001" i="92"/>
  <c r="N1003" i="92"/>
  <c r="N1004" i="92"/>
  <c r="N1005" i="92"/>
  <c r="N1006" i="92"/>
  <c r="N1007" i="92"/>
  <c r="N1009" i="92"/>
  <c r="N1010" i="92"/>
  <c r="N1011" i="92"/>
  <c r="N1012" i="92"/>
  <c r="N1013" i="92"/>
  <c r="N980" i="92"/>
  <c r="O187" i="92"/>
  <c r="O188" i="92"/>
  <c r="O189" i="92"/>
  <c r="O190" i="92"/>
  <c r="O191" i="92"/>
  <c r="O192" i="92"/>
  <c r="O193" i="92"/>
  <c r="O194" i="92"/>
  <c r="O195" i="92"/>
  <c r="O196" i="92"/>
  <c r="O197" i="92"/>
  <c r="O198" i="92"/>
  <c r="O199" i="92"/>
  <c r="O200" i="92"/>
  <c r="O201" i="92"/>
  <c r="O202" i="92"/>
  <c r="O203" i="92"/>
  <c r="O204" i="92"/>
  <c r="O205" i="92"/>
  <c r="O206" i="92"/>
  <c r="O207" i="92"/>
  <c r="O208" i="92"/>
  <c r="O209" i="92"/>
  <c r="O210" i="92"/>
  <c r="O211" i="92"/>
  <c r="O212" i="92"/>
  <c r="O213" i="92"/>
  <c r="O214" i="92"/>
  <c r="O215" i="92"/>
  <c r="O216" i="92"/>
  <c r="O217" i="92"/>
  <c r="O218" i="92"/>
  <c r="O219" i="92"/>
  <c r="O220" i="92"/>
  <c r="O221" i="92"/>
  <c r="O222" i="92"/>
  <c r="O223" i="92"/>
  <c r="O224" i="92"/>
  <c r="O225" i="92"/>
  <c r="O226" i="92"/>
  <c r="O227" i="92"/>
  <c r="O228" i="92"/>
  <c r="O229" i="92"/>
  <c r="O230" i="92"/>
  <c r="O231" i="92"/>
  <c r="O232" i="92"/>
  <c r="O233" i="92"/>
  <c r="O234" i="92"/>
  <c r="O235" i="92"/>
  <c r="O236" i="92"/>
  <c r="O237" i="92"/>
  <c r="O238" i="92"/>
  <c r="O239" i="92"/>
  <c r="O240" i="92"/>
  <c r="O241" i="92"/>
  <c r="O242" i="92"/>
  <c r="O243" i="92"/>
  <c r="O244" i="92"/>
  <c r="O245" i="92"/>
  <c r="O246" i="92"/>
  <c r="O247" i="92"/>
  <c r="O248" i="92"/>
  <c r="O249" i="92"/>
  <c r="O250" i="92"/>
  <c r="O251" i="92"/>
  <c r="O252" i="92"/>
  <c r="O253" i="92"/>
  <c r="O254" i="92"/>
  <c r="O255" i="92"/>
  <c r="O256" i="92"/>
  <c r="O257" i="92"/>
  <c r="O258" i="92"/>
  <c r="O259" i="92"/>
  <c r="O260" i="92"/>
  <c r="O261" i="92"/>
  <c r="O262" i="92"/>
  <c r="O263" i="92"/>
  <c r="O264" i="92"/>
  <c r="O265" i="92"/>
  <c r="O266" i="92"/>
  <c r="O267" i="92"/>
  <c r="O268" i="92"/>
  <c r="O269" i="92"/>
  <c r="O270" i="92"/>
  <c r="O271" i="92"/>
  <c r="O272" i="92"/>
  <c r="O273" i="92"/>
  <c r="O274" i="92"/>
  <c r="O275" i="92"/>
  <c r="O276" i="92"/>
  <c r="O277" i="92"/>
  <c r="O278" i="92"/>
  <c r="O285" i="92"/>
  <c r="O286" i="92"/>
  <c r="O287" i="92"/>
  <c r="O288" i="92"/>
  <c r="O289" i="92"/>
  <c r="O290" i="92"/>
  <c r="O291" i="92"/>
  <c r="O292" i="92"/>
  <c r="O293" i="92"/>
  <c r="O294" i="92"/>
  <c r="O295" i="92"/>
  <c r="O296" i="92"/>
  <c r="O297" i="92"/>
  <c r="O298" i="92"/>
  <c r="O299" i="92"/>
  <c r="O300" i="92"/>
  <c r="O301" i="92"/>
  <c r="O302" i="92"/>
  <c r="O303" i="92"/>
  <c r="O304" i="92"/>
  <c r="O305" i="92"/>
  <c r="O306" i="92"/>
  <c r="O307" i="92"/>
  <c r="O308" i="92"/>
  <c r="O309" i="92"/>
  <c r="O310" i="92"/>
  <c r="O311" i="92"/>
  <c r="O312" i="92"/>
  <c r="O313" i="92"/>
  <c r="O314" i="92"/>
  <c r="O315" i="92"/>
  <c r="O316" i="92"/>
  <c r="O317" i="92"/>
  <c r="O318" i="92"/>
  <c r="O319" i="92"/>
  <c r="O320" i="92"/>
  <c r="O321" i="92"/>
  <c r="O322" i="92"/>
  <c r="O323" i="92"/>
  <c r="O324" i="92"/>
  <c r="O325" i="92"/>
  <c r="O326" i="92"/>
  <c r="O327" i="92"/>
  <c r="O328" i="92"/>
  <c r="O329" i="92"/>
  <c r="O330" i="92"/>
  <c r="O331" i="92"/>
  <c r="O332" i="92"/>
  <c r="O333" i="92"/>
  <c r="O334" i="92"/>
  <c r="O335" i="92"/>
  <c r="O336" i="92"/>
  <c r="O337" i="92"/>
  <c r="O338" i="92"/>
  <c r="O339" i="92"/>
  <c r="O340" i="92"/>
  <c r="O341" i="92"/>
  <c r="O342" i="92"/>
  <c r="O343" i="92"/>
  <c r="O344" i="92"/>
  <c r="O345" i="92"/>
  <c r="O346" i="92"/>
  <c r="O347" i="92"/>
  <c r="O348" i="92"/>
  <c r="O349" i="92"/>
  <c r="O350" i="92"/>
  <c r="O351" i="92"/>
  <c r="O352" i="92"/>
  <c r="O353" i="92"/>
  <c r="O354" i="92"/>
  <c r="O355" i="92"/>
  <c r="O356" i="92"/>
  <c r="O357" i="92"/>
  <c r="O358" i="92"/>
  <c r="O359" i="92"/>
  <c r="O360" i="92"/>
  <c r="O363" i="92"/>
  <c r="O364" i="92"/>
  <c r="O365" i="92"/>
  <c r="O366" i="92"/>
  <c r="O367" i="92"/>
  <c r="O368" i="92"/>
  <c r="O369" i="92"/>
  <c r="O370" i="92"/>
  <c r="O371" i="92"/>
  <c r="O372" i="92"/>
  <c r="O373" i="92"/>
  <c r="O374" i="92"/>
  <c r="O375" i="92"/>
  <c r="O376" i="92"/>
  <c r="O377" i="92"/>
  <c r="O378" i="92"/>
  <c r="O379" i="92"/>
  <c r="O380" i="92"/>
  <c r="O381" i="92"/>
  <c r="O382" i="92"/>
  <c r="O383" i="92"/>
  <c r="O384" i="92"/>
  <c r="O385" i="92"/>
  <c r="O386" i="92"/>
  <c r="O387" i="92"/>
  <c r="O388" i="92"/>
  <c r="O389" i="92"/>
  <c r="O390" i="92"/>
  <c r="O391" i="92"/>
  <c r="O392" i="92"/>
  <c r="O393" i="92"/>
  <c r="O394" i="92"/>
  <c r="O395" i="92"/>
  <c r="O396" i="92"/>
  <c r="O397" i="92"/>
  <c r="O398" i="92"/>
  <c r="O399" i="92"/>
  <c r="O400" i="92"/>
  <c r="O401" i="92"/>
  <c r="O402" i="92"/>
  <c r="O403" i="92"/>
  <c r="O404" i="92"/>
  <c r="O405" i="92"/>
  <c r="O406" i="92"/>
  <c r="O407" i="92"/>
  <c r="O408" i="92"/>
  <c r="O409" i="92"/>
  <c r="O410" i="92"/>
  <c r="O411" i="92"/>
  <c r="O412" i="92"/>
  <c r="O413" i="92"/>
  <c r="O414" i="92"/>
  <c r="O415" i="92"/>
  <c r="O416" i="92"/>
  <c r="O417" i="92"/>
  <c r="O418" i="92"/>
  <c r="O419" i="92"/>
  <c r="O420" i="92"/>
  <c r="O421" i="92"/>
  <c r="O422" i="92"/>
  <c r="O423" i="92"/>
  <c r="O424" i="92"/>
  <c r="O425" i="92"/>
  <c r="O426" i="92"/>
  <c r="O427" i="92"/>
  <c r="O428" i="92"/>
  <c r="O429" i="92"/>
  <c r="O430" i="92"/>
  <c r="O431" i="92"/>
  <c r="O432" i="92"/>
  <c r="O433" i="92"/>
  <c r="O434" i="92"/>
  <c r="O435" i="92"/>
  <c r="O436" i="92"/>
  <c r="O437" i="92"/>
  <c r="O438" i="92"/>
  <c r="O439" i="92"/>
  <c r="O440" i="92"/>
  <c r="O441" i="92"/>
  <c r="O442" i="92"/>
  <c r="O443" i="92"/>
  <c r="O444" i="92"/>
  <c r="O445" i="92"/>
  <c r="O446" i="92"/>
  <c r="O447" i="92"/>
  <c r="O448" i="92"/>
  <c r="O449" i="92"/>
  <c r="O450" i="92"/>
  <c r="O451" i="92"/>
  <c r="O452" i="92"/>
  <c r="O453" i="92"/>
  <c r="O454" i="92"/>
  <c r="O455" i="92"/>
  <c r="O456" i="92"/>
  <c r="O457" i="92"/>
  <c r="O458" i="92"/>
  <c r="O459" i="92"/>
  <c r="O460" i="92"/>
  <c r="O461" i="92"/>
  <c r="O462" i="92"/>
  <c r="O463" i="92"/>
  <c r="O464" i="92"/>
  <c r="O465" i="92"/>
  <c r="O466" i="92"/>
  <c r="O467" i="92"/>
  <c r="O468" i="92"/>
  <c r="O469" i="92"/>
  <c r="O470" i="92"/>
  <c r="O471" i="92"/>
  <c r="O472" i="92"/>
  <c r="O473" i="92"/>
  <c r="O474" i="92"/>
  <c r="O475" i="92"/>
  <c r="O476" i="92"/>
  <c r="O477" i="92"/>
  <c r="O478" i="92"/>
  <c r="O479" i="92"/>
  <c r="O480" i="92"/>
  <c r="O481" i="92"/>
  <c r="O482" i="92"/>
  <c r="O483" i="92"/>
  <c r="O484" i="92"/>
  <c r="O485" i="92"/>
  <c r="O486" i="92"/>
  <c r="O487" i="92"/>
  <c r="O488" i="92"/>
  <c r="O489" i="92"/>
  <c r="O490" i="92"/>
  <c r="O491" i="92"/>
  <c r="O492" i="92"/>
  <c r="O493" i="92"/>
  <c r="O494" i="92"/>
  <c r="O495" i="92"/>
  <c r="O496" i="92"/>
  <c r="O497" i="92"/>
  <c r="O498" i="92"/>
  <c r="O499" i="92"/>
  <c r="O500" i="92"/>
  <c r="O501" i="92"/>
  <c r="O502" i="92"/>
  <c r="O503" i="92"/>
  <c r="O504" i="92"/>
  <c r="O505" i="92"/>
  <c r="O506" i="92"/>
  <c r="O507" i="92"/>
  <c r="O508" i="92"/>
  <c r="O509" i="92"/>
  <c r="O510" i="92"/>
  <c r="O511" i="92"/>
  <c r="O512" i="92"/>
  <c r="O513" i="92"/>
  <c r="O514" i="92"/>
  <c r="O515" i="92"/>
  <c r="O516" i="92"/>
  <c r="O517" i="92"/>
  <c r="O518" i="92"/>
  <c r="O519" i="92"/>
  <c r="O520" i="92"/>
  <c r="O521" i="92"/>
  <c r="O522" i="92"/>
  <c r="O523" i="92"/>
  <c r="O524" i="92"/>
  <c r="O525" i="92"/>
  <c r="O526" i="92"/>
  <c r="O527" i="92"/>
  <c r="O528" i="92"/>
  <c r="O529" i="92"/>
  <c r="O530" i="92"/>
  <c r="O531" i="92"/>
  <c r="O532" i="92"/>
  <c r="O533" i="92"/>
  <c r="O534" i="92"/>
  <c r="O535" i="92"/>
  <c r="O536" i="92"/>
  <c r="O537" i="92"/>
  <c r="O538" i="92"/>
  <c r="O539" i="92"/>
  <c r="O540" i="92"/>
  <c r="O541" i="92"/>
  <c r="O542" i="92"/>
  <c r="O543" i="92"/>
  <c r="O544" i="92"/>
  <c r="O545" i="92"/>
  <c r="O546" i="92"/>
  <c r="O547" i="92"/>
  <c r="O548" i="92"/>
  <c r="O549" i="92"/>
  <c r="O550" i="92"/>
  <c r="O551" i="92"/>
  <c r="O552" i="92"/>
  <c r="O553" i="92"/>
  <c r="O554" i="92"/>
  <c r="O555" i="92"/>
  <c r="O556" i="92"/>
  <c r="O557" i="92"/>
  <c r="O558" i="92"/>
  <c r="O559" i="92"/>
  <c r="O560" i="92"/>
  <c r="O561" i="92"/>
  <c r="O562" i="92"/>
  <c r="O563" i="92"/>
  <c r="O564" i="92"/>
  <c r="O565" i="92"/>
  <c r="O566" i="92"/>
  <c r="O567" i="92"/>
  <c r="O568" i="92"/>
  <c r="O569" i="92"/>
  <c r="O570" i="92"/>
  <c r="O571" i="92"/>
  <c r="O572" i="92"/>
  <c r="O573" i="92"/>
  <c r="O574" i="92"/>
  <c r="O575" i="92"/>
  <c r="O576" i="92"/>
  <c r="O577" i="92"/>
  <c r="O578" i="92"/>
  <c r="O579" i="92"/>
  <c r="O580" i="92"/>
  <c r="O581" i="92"/>
  <c r="O582" i="92"/>
  <c r="O583" i="92"/>
  <c r="O584" i="92"/>
  <c r="O585" i="92"/>
  <c r="O586" i="92"/>
  <c r="O587" i="92"/>
  <c r="O588" i="92"/>
  <c r="O589" i="92"/>
  <c r="O590" i="92"/>
  <c r="O591" i="92"/>
  <c r="O592" i="92"/>
  <c r="O593" i="92"/>
  <c r="O594" i="92"/>
  <c r="O595" i="92"/>
  <c r="O596" i="92"/>
  <c r="O597" i="92"/>
  <c r="O598" i="92"/>
  <c r="O599" i="92"/>
  <c r="O600" i="92"/>
  <c r="O601" i="92"/>
  <c r="O602" i="92"/>
  <c r="O603" i="92"/>
  <c r="O604" i="92"/>
  <c r="O605" i="92"/>
  <c r="O606" i="92"/>
  <c r="O607" i="92"/>
  <c r="O608" i="92"/>
  <c r="O609" i="92"/>
  <c r="O610" i="92"/>
  <c r="O611" i="92"/>
  <c r="O612" i="92"/>
  <c r="O613" i="92"/>
  <c r="O614" i="92"/>
  <c r="O615" i="92"/>
  <c r="O616" i="92"/>
  <c r="O617" i="92"/>
  <c r="O618" i="92"/>
  <c r="O619" i="92"/>
  <c r="O620" i="92"/>
  <c r="O621" i="92"/>
  <c r="O622" i="92"/>
  <c r="O623" i="92"/>
  <c r="O624" i="92"/>
  <c r="O625" i="92"/>
  <c r="O626" i="92"/>
  <c r="O627" i="92"/>
  <c r="O628" i="92"/>
  <c r="O630" i="92"/>
  <c r="O631" i="92"/>
  <c r="O632" i="92"/>
  <c r="O633" i="92"/>
  <c r="O634" i="92"/>
  <c r="O635" i="92"/>
  <c r="O636" i="92"/>
  <c r="O637" i="92"/>
  <c r="O638" i="92"/>
  <c r="O639" i="92"/>
  <c r="O640" i="92"/>
  <c r="O641" i="92"/>
  <c r="O642" i="92"/>
  <c r="O643" i="92"/>
  <c r="O644" i="92"/>
  <c r="O645" i="92"/>
  <c r="O646" i="92"/>
  <c r="O647" i="92"/>
  <c r="O648" i="92"/>
  <c r="O649" i="92"/>
  <c r="O650" i="92"/>
  <c r="O651" i="92"/>
  <c r="O652" i="92"/>
  <c r="O653" i="92"/>
  <c r="O654" i="92"/>
  <c r="O655" i="92"/>
  <c r="O656" i="92"/>
  <c r="O657" i="92"/>
  <c r="O658" i="92"/>
  <c r="O659" i="92"/>
  <c r="O660" i="92"/>
  <c r="O661" i="92"/>
  <c r="O662" i="92"/>
  <c r="O663" i="92"/>
  <c r="O664" i="92"/>
  <c r="O665" i="92"/>
  <c r="O666" i="92"/>
  <c r="O667" i="92"/>
  <c r="O668" i="92"/>
  <c r="O669" i="92"/>
  <c r="O670" i="92"/>
  <c r="O671" i="92"/>
  <c r="O672" i="92"/>
  <c r="O673" i="92"/>
  <c r="O674" i="92"/>
  <c r="O675" i="92"/>
  <c r="O703" i="92"/>
  <c r="O704" i="92"/>
  <c r="O705" i="92"/>
  <c r="O706" i="92"/>
  <c r="O707" i="92"/>
  <c r="O708" i="92"/>
  <c r="O709" i="92"/>
  <c r="O710" i="92"/>
  <c r="O711" i="92"/>
  <c r="O712" i="92"/>
  <c r="O713" i="92"/>
  <c r="O714" i="92"/>
  <c r="O715" i="92"/>
  <c r="O716" i="92"/>
  <c r="O717" i="92"/>
  <c r="O718" i="92"/>
  <c r="O719" i="92"/>
  <c r="O720" i="92"/>
  <c r="O721" i="92"/>
  <c r="O722" i="92"/>
  <c r="O723" i="92"/>
  <c r="O724" i="92"/>
  <c r="O725" i="92"/>
  <c r="O726" i="92"/>
  <c r="O727" i="92"/>
  <c r="O728" i="92"/>
  <c r="O729" i="92"/>
  <c r="O730" i="92"/>
  <c r="O731" i="92"/>
  <c r="O732" i="92"/>
  <c r="O733" i="92"/>
  <c r="O734" i="92"/>
  <c r="O735" i="92"/>
  <c r="O736" i="92"/>
  <c r="O737" i="92"/>
  <c r="O738" i="92"/>
  <c r="O739" i="92"/>
  <c r="O740" i="92"/>
  <c r="O741" i="92"/>
  <c r="O742" i="92"/>
  <c r="O743" i="92"/>
  <c r="O744" i="92"/>
  <c r="O745" i="92"/>
  <c r="O746" i="92"/>
  <c r="O747" i="92"/>
  <c r="O748" i="92"/>
  <c r="O749" i="92"/>
  <c r="O750" i="92"/>
  <c r="O751" i="92"/>
  <c r="O752" i="92"/>
  <c r="O753" i="92"/>
  <c r="O754" i="92"/>
  <c r="O755" i="92"/>
  <c r="O756" i="92"/>
  <c r="O757" i="92"/>
  <c r="O758" i="92"/>
  <c r="O759" i="92"/>
  <c r="O760" i="92"/>
  <c r="O761" i="92"/>
  <c r="O762" i="92"/>
  <c r="O763" i="92"/>
  <c r="O764" i="92"/>
  <c r="O765" i="92"/>
  <c r="O766" i="92"/>
  <c r="O767" i="92"/>
  <c r="O769" i="92"/>
  <c r="O770" i="92"/>
  <c r="O771" i="92"/>
  <c r="O772" i="92"/>
  <c r="O773" i="92"/>
  <c r="O774" i="92"/>
  <c r="O775" i="92"/>
  <c r="O776" i="92"/>
  <c r="O777" i="92"/>
  <c r="O778" i="92"/>
  <c r="O779" i="92"/>
  <c r="O780" i="92"/>
  <c r="O781" i="92"/>
  <c r="O782" i="92"/>
  <c r="O783" i="92"/>
  <c r="O181" i="92"/>
  <c r="O182" i="92"/>
  <c r="O183" i="92"/>
  <c r="O184" i="92"/>
  <c r="O185" i="92"/>
  <c r="O186" i="92"/>
  <c r="O161" i="92"/>
  <c r="O162" i="92"/>
  <c r="O163" i="92"/>
  <c r="O164" i="92"/>
  <c r="O165" i="92"/>
  <c r="O166" i="92"/>
  <c r="O167" i="92"/>
  <c r="O168" i="92"/>
  <c r="O169" i="92"/>
  <c r="O170" i="92"/>
  <c r="O171" i="92"/>
  <c r="O172" i="92"/>
  <c r="O173" i="92"/>
  <c r="O174" i="92"/>
  <c r="O175" i="92"/>
  <c r="O176" i="92"/>
  <c r="O177" i="92"/>
  <c r="O178" i="92"/>
  <c r="O179" i="92"/>
  <c r="O180" i="92"/>
  <c r="O3" i="92"/>
  <c r="O4" i="92"/>
  <c r="O5" i="92"/>
  <c r="O6" i="92"/>
  <c r="O7" i="92"/>
  <c r="O8" i="92"/>
  <c r="O9" i="92"/>
  <c r="O10" i="92"/>
  <c r="O11" i="92"/>
  <c r="O12" i="92"/>
  <c r="O13" i="92"/>
  <c r="O14" i="92"/>
  <c r="O15" i="92"/>
  <c r="O16" i="92"/>
  <c r="O17" i="92"/>
  <c r="O18" i="92"/>
  <c r="O19" i="92"/>
  <c r="O20" i="92"/>
  <c r="O21" i="92"/>
  <c r="O22" i="92"/>
  <c r="O23" i="92"/>
  <c r="O24" i="92"/>
  <c r="O25" i="92"/>
  <c r="O26" i="92"/>
  <c r="O27" i="92"/>
  <c r="O28" i="92"/>
  <c r="O29" i="92"/>
  <c r="O30" i="92"/>
  <c r="O31" i="92"/>
  <c r="O32" i="92"/>
  <c r="O33" i="92"/>
  <c r="O34" i="92"/>
  <c r="O35" i="92"/>
  <c r="O36" i="92"/>
  <c r="O37" i="92"/>
  <c r="O38" i="92"/>
  <c r="O39" i="92"/>
  <c r="O40" i="92"/>
  <c r="O41" i="92"/>
  <c r="O42" i="92"/>
  <c r="O43" i="92"/>
  <c r="O44" i="92"/>
  <c r="O45" i="92"/>
  <c r="O46" i="92"/>
  <c r="O47" i="92"/>
  <c r="O48" i="92"/>
  <c r="O49" i="92"/>
  <c r="O50" i="92"/>
  <c r="O51" i="92"/>
  <c r="O52" i="92"/>
  <c r="O53" i="92"/>
  <c r="O54" i="92"/>
  <c r="O55" i="92"/>
  <c r="O56" i="92"/>
  <c r="O57" i="92"/>
  <c r="O58" i="92"/>
  <c r="O59" i="92"/>
  <c r="O60" i="92"/>
  <c r="O61" i="92"/>
  <c r="O62" i="92"/>
  <c r="O63" i="92"/>
  <c r="O64" i="92"/>
  <c r="O65" i="92"/>
  <c r="O66" i="92"/>
  <c r="O67" i="92"/>
  <c r="O68" i="92"/>
  <c r="O69" i="92"/>
  <c r="O70" i="92"/>
  <c r="O71" i="92"/>
  <c r="O72" i="92"/>
  <c r="O73" i="92"/>
  <c r="O74" i="92"/>
  <c r="O75" i="92"/>
  <c r="O76" i="92"/>
  <c r="O77" i="92"/>
  <c r="O78" i="92"/>
  <c r="O79" i="92"/>
  <c r="O80" i="92"/>
  <c r="O81" i="92"/>
  <c r="O82" i="92"/>
  <c r="O83" i="92"/>
  <c r="O84" i="92"/>
  <c r="O85" i="92"/>
  <c r="O86" i="92"/>
  <c r="O87" i="92"/>
  <c r="O88" i="92"/>
  <c r="O89" i="92"/>
  <c r="O90" i="92"/>
  <c r="O91" i="92"/>
  <c r="O92" i="92"/>
  <c r="O93" i="92"/>
  <c r="O94" i="92"/>
  <c r="O95" i="92"/>
  <c r="O96" i="92"/>
  <c r="O97" i="92"/>
  <c r="O98" i="92"/>
  <c r="O99" i="92"/>
  <c r="O100" i="92"/>
  <c r="O101" i="92"/>
  <c r="O102" i="92"/>
  <c r="O103" i="92"/>
  <c r="O104" i="92"/>
  <c r="O105" i="92"/>
  <c r="O106" i="92"/>
  <c r="O107" i="92"/>
  <c r="O108" i="92"/>
  <c r="O109" i="92"/>
  <c r="O110" i="92"/>
  <c r="O111" i="92"/>
  <c r="O112" i="92"/>
  <c r="O113" i="92"/>
  <c r="O114" i="92"/>
  <c r="O115" i="92"/>
  <c r="O116" i="92"/>
  <c r="O117" i="92"/>
  <c r="O118" i="92"/>
  <c r="O119" i="92"/>
  <c r="O120" i="92"/>
  <c r="O121" i="92"/>
  <c r="O122" i="92"/>
  <c r="O123" i="92"/>
  <c r="O124" i="92"/>
  <c r="O125" i="92"/>
  <c r="O126" i="92"/>
  <c r="O127" i="92"/>
  <c r="O128" i="92"/>
  <c r="O133" i="92"/>
  <c r="O134" i="92"/>
  <c r="O135" i="92"/>
  <c r="O136" i="92"/>
  <c r="O137" i="92"/>
  <c r="O138" i="92"/>
  <c r="O139" i="92"/>
  <c r="O140" i="92"/>
  <c r="O141" i="92"/>
  <c r="O142" i="92"/>
  <c r="O143" i="92"/>
  <c r="O144" i="92"/>
  <c r="O145" i="92"/>
  <c r="O146" i="92"/>
  <c r="O147" i="92"/>
  <c r="O148" i="92"/>
  <c r="O149" i="92"/>
  <c r="O150" i="92"/>
  <c r="O151" i="92"/>
  <c r="O152" i="92"/>
  <c r="O153" i="92"/>
  <c r="O154" i="92"/>
  <c r="O155" i="92"/>
  <c r="O156" i="92"/>
  <c r="O157" i="92"/>
  <c r="O158" i="92"/>
  <c r="O159" i="92"/>
  <c r="O160" i="92"/>
  <c r="O2" i="92"/>
  <c r="K15" i="42" l="1"/>
  <c r="M14" i="42"/>
  <c r="N14" i="42" s="1"/>
  <c r="O74" i="79"/>
  <c r="K18" i="42" l="1"/>
  <c r="M15" i="42"/>
  <c r="N15" i="42" s="1"/>
  <c r="F1" i="88"/>
  <c r="K19" i="42" l="1"/>
  <c r="M18" i="42"/>
  <c r="N18" i="42" s="1"/>
  <c r="Q59" i="79"/>
  <c r="P59" i="79"/>
  <c r="O59" i="79"/>
  <c r="Q48" i="79"/>
  <c r="P48" i="79"/>
  <c r="O48" i="79"/>
  <c r="K20" i="42" l="1"/>
  <c r="M19" i="42"/>
  <c r="N19" i="42" s="1"/>
  <c r="C59" i="79"/>
  <c r="K22" i="42" l="1"/>
  <c r="M20" i="42"/>
  <c r="N20" i="42" s="1"/>
  <c r="AG59" i="79"/>
  <c r="AH59" i="79"/>
  <c r="K23" i="42" l="1"/>
  <c r="M22" i="42"/>
  <c r="N22" i="42" s="1"/>
  <c r="Q79" i="79"/>
  <c r="C79" i="79"/>
  <c r="K24" i="42" l="1"/>
  <c r="M23" i="42"/>
  <c r="N23" i="42" s="1"/>
  <c r="Q84" i="79"/>
  <c r="AB26" i="42"/>
  <c r="K25" i="42" l="1"/>
  <c r="M24" i="42"/>
  <c r="N24" i="42" s="1"/>
  <c r="Q74" i="79"/>
  <c r="C74" i="79"/>
  <c r="P772" i="79"/>
  <c r="Q231" i="79"/>
  <c r="C231" i="79"/>
  <c r="A171" i="79"/>
  <c r="Q95" i="79"/>
  <c r="C95" i="79"/>
  <c r="Q89" i="79"/>
  <c r="O89" i="79"/>
  <c r="C89" i="79"/>
  <c r="C84" i="79"/>
  <c r="Q69" i="79"/>
  <c r="O69" i="79"/>
  <c r="C69" i="79"/>
  <c r="Q64" i="79"/>
  <c r="O64" i="79"/>
  <c r="C64" i="79"/>
  <c r="Q53" i="79"/>
  <c r="C53" i="79"/>
  <c r="C48" i="79"/>
  <c r="Q43" i="79"/>
  <c r="O43" i="79"/>
  <c r="C43" i="79"/>
  <c r="Q38" i="79"/>
  <c r="O38" i="79"/>
  <c r="C38" i="79"/>
  <c r="Q33" i="79"/>
  <c r="O33" i="79"/>
  <c r="C33" i="79"/>
  <c r="Q27" i="79"/>
  <c r="O27" i="79"/>
  <c r="C27" i="79"/>
  <c r="Q22" i="79"/>
  <c r="O22" i="79"/>
  <c r="C22" i="79"/>
  <c r="K26" i="42" l="1"/>
  <c r="M25" i="42"/>
  <c r="N25" i="42" s="1"/>
  <c r="AH79" i="79"/>
  <c r="AG79" i="79"/>
  <c r="K27" i="42" l="1"/>
  <c r="M26" i="42"/>
  <c r="N26" i="42" s="1"/>
  <c r="AH701" i="79"/>
  <c r="AG701" i="79"/>
  <c r="K28" i="42" l="1"/>
  <c r="M27" i="42"/>
  <c r="N27" i="42" s="1"/>
  <c r="AH203" i="79"/>
  <c r="AH234" i="79"/>
  <c r="K29" i="42" l="1"/>
  <c r="M28" i="42"/>
  <c r="N28" i="42" s="1"/>
  <c r="AG234" i="79"/>
  <c r="AG203" i="79"/>
  <c r="K31" i="42" l="1"/>
  <c r="M29" i="42"/>
  <c r="N29" i="42" s="1"/>
  <c r="AG74" i="79"/>
  <c r="AH74" i="79"/>
  <c r="AH89" i="79"/>
  <c r="AG89" i="79"/>
  <c r="AG64" i="79"/>
  <c r="AG84" i="79"/>
  <c r="AH53" i="79"/>
  <c r="AH38" i="79"/>
  <c r="AH64" i="79"/>
  <c r="AG38" i="79"/>
  <c r="AG95" i="79"/>
  <c r="AH43" i="79"/>
  <c r="AG43" i="79"/>
  <c r="AH84" i="79"/>
  <c r="AH69" i="79"/>
  <c r="AH48" i="79"/>
  <c r="AG53" i="79"/>
  <c r="AG48" i="79"/>
  <c r="AG69" i="79"/>
  <c r="AH95" i="79"/>
  <c r="K32" i="42" l="1"/>
  <c r="M31" i="42"/>
  <c r="N31" i="42" s="1"/>
  <c r="AH22" i="79"/>
  <c r="AH33" i="79"/>
  <c r="AG33" i="79"/>
  <c r="AG22" i="79"/>
  <c r="AH27" i="79"/>
  <c r="AG27" i="79"/>
  <c r="K33" i="42" l="1"/>
  <c r="M32" i="42"/>
  <c r="N32" i="42" s="1"/>
  <c r="AB23" i="42"/>
  <c r="K34" i="42" l="1"/>
  <c r="M33" i="42"/>
  <c r="N33" i="42" s="1"/>
  <c r="AB3" i="42"/>
  <c r="AB11" i="42"/>
  <c r="AB10" i="42"/>
  <c r="AB2" i="42"/>
  <c r="AB18" i="42"/>
  <c r="AB19" i="42"/>
  <c r="AB6" i="42"/>
  <c r="AB14" i="42"/>
  <c r="AB22" i="42"/>
  <c r="AB7" i="42"/>
  <c r="AB15" i="42"/>
  <c r="AA21" i="42"/>
  <c r="AA17" i="42"/>
  <c r="AA13" i="42"/>
  <c r="AA9" i="42"/>
  <c r="AA5" i="42"/>
  <c r="K35" i="42" l="1"/>
  <c r="M34" i="42"/>
  <c r="N34" i="42" s="1"/>
  <c r="K36" i="42" l="1"/>
  <c r="M35" i="42"/>
  <c r="N35" i="42" s="1"/>
  <c r="K37" i="42" l="1"/>
  <c r="M36" i="42"/>
  <c r="N36" i="42" s="1"/>
  <c r="K39" i="42" l="1"/>
  <c r="M37" i="42"/>
  <c r="N37" i="42" s="1"/>
  <c r="K40" i="42" l="1"/>
  <c r="M39" i="42"/>
  <c r="N39" i="42" s="1"/>
  <c r="K41" i="42" l="1"/>
  <c r="M40" i="42"/>
  <c r="N40" i="42" s="1"/>
  <c r="K43" i="42" l="1"/>
  <c r="M41" i="42"/>
  <c r="N41" i="42" s="1"/>
  <c r="K44" i="42" l="1"/>
  <c r="M43" i="42"/>
  <c r="N43" i="42" s="1"/>
  <c r="K45" i="42" l="1"/>
  <c r="M44" i="42"/>
  <c r="N44" i="42" s="1"/>
  <c r="K46" i="42" l="1"/>
  <c r="M45" i="42"/>
  <c r="N45" i="42" s="1"/>
  <c r="K48" i="42" l="1"/>
  <c r="M46" i="42"/>
  <c r="N46" i="42" s="1"/>
  <c r="K49" i="42" l="1"/>
  <c r="M48" i="42"/>
  <c r="N48" i="42" s="1"/>
  <c r="K51" i="42" l="1"/>
  <c r="M49" i="42"/>
  <c r="N49" i="42" s="1"/>
  <c r="K52" i="42" l="1"/>
  <c r="M51" i="42"/>
  <c r="N51" i="42" s="1"/>
  <c r="K53" i="42" l="1"/>
  <c r="M52" i="42"/>
  <c r="N52" i="42" s="1"/>
  <c r="K54" i="42" l="1"/>
  <c r="M53" i="42"/>
  <c r="N53" i="42" s="1"/>
  <c r="K55" i="42" l="1"/>
  <c r="M54" i="42"/>
  <c r="N54" i="42" s="1"/>
  <c r="K56" i="42" l="1"/>
  <c r="M55" i="42"/>
  <c r="N55" i="42" s="1"/>
  <c r="K58" i="42" l="1"/>
  <c r="M56" i="42"/>
  <c r="N56" i="42" s="1"/>
  <c r="K62" i="42" l="1"/>
  <c r="M58" i="42"/>
  <c r="N58" i="42" s="1"/>
  <c r="K64" i="42" l="1"/>
  <c r="M62" i="42"/>
  <c r="N62" i="42" s="1"/>
  <c r="K65" i="42" l="1"/>
  <c r="M64" i="42"/>
  <c r="N64" i="42" s="1"/>
  <c r="K66" i="42" l="1"/>
  <c r="M65" i="42"/>
  <c r="N65" i="42" s="1"/>
  <c r="K67" i="42" l="1"/>
  <c r="M66" i="42"/>
  <c r="N66" i="42" s="1"/>
  <c r="K68" i="42" l="1"/>
  <c r="M67" i="42"/>
  <c r="N67" i="42" s="1"/>
  <c r="K69" i="42" l="1"/>
  <c r="M68" i="42"/>
  <c r="N68" i="42" s="1"/>
  <c r="K70" i="42" l="1"/>
  <c r="M70" i="42" s="1"/>
  <c r="N70" i="42" s="1"/>
  <c r="M69" i="42"/>
  <c r="N69" i="42" s="1"/>
</calcChain>
</file>

<file path=xl/sharedStrings.xml><?xml version="1.0" encoding="utf-8"?>
<sst xmlns="http://schemas.openxmlformats.org/spreadsheetml/2006/main" count="1494" uniqueCount="473">
  <si>
    <t>Data</t>
  </si>
  <si>
    <t>Laboratorio Analisi Cliniche Val Sambro S.r.l.</t>
  </si>
  <si>
    <t>N° accettazione</t>
  </si>
  <si>
    <t>Codice ordine</t>
  </si>
  <si>
    <t>≤</t>
  </si>
  <si>
    <t>Range</t>
  </si>
  <si>
    <t>-</t>
  </si>
  <si>
    <t>METABOLOMIC PROFILE</t>
  </si>
  <si>
    <t>C.F.</t>
  </si>
  <si>
    <t>Creatinina (mg/dL)</t>
  </si>
  <si>
    <t>x</t>
  </si>
  <si>
    <t>y</t>
  </si>
  <si>
    <t>Riga Dati</t>
  </si>
  <si>
    <t>N°</t>
  </si>
  <si>
    <t>Descrizione</t>
  </si>
  <si>
    <t>VALORE</t>
  </si>
  <si>
    <t>Rilevato</t>
  </si>
  <si>
    <t>p1</t>
  </si>
  <si>
    <t>p2</t>
  </si>
  <si>
    <t>=</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</si>
  <si>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</si>
  <si>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</si>
  <si>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</si>
  <si>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</si>
  <si>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</si>
  <si>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</si>
  <si>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</si>
  <si>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</si>
  <si>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</si>
  <si>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</si>
  <si>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</si>
  <si>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</si>
  <si>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</si>
  <si>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</si>
  <si>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</si>
  <si>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</si>
  <si>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</si>
  <si>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</si>
  <si>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</si>
  <si>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</si>
  <si>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</si>
  <si>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</si>
  <si>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</si>
  <si>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</si>
  <si>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</si>
  <si>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</si>
  <si>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</si>
  <si>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</si>
  <si>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</si>
  <si>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</si>
  <si>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</si>
  <si>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</si>
  <si>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</si>
  <si>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</si>
  <si>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</si>
  <si>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</si>
  <si>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</si>
  <si>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</si>
  <si>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</si>
  <si>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</si>
  <si>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</si>
  <si>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</si>
  <si>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</si>
  <si>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</si>
  <si>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</si>
  <si>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</si>
  <si>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</si>
  <si>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</si>
  <si>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</si>
  <si>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</si>
  <si>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</si>
  <si>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</si>
  <si>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MEDIA</t>
  </si>
  <si>
    <t>s.DEV</t>
  </si>
  <si>
    <t>VERDE</t>
  </si>
  <si>
    <t>Verde -</t>
  </si>
  <si>
    <t>Verde +</t>
  </si>
  <si>
    <t>Citrico</t>
  </si>
  <si>
    <t>Aconitico</t>
  </si>
  <si>
    <t>Isocitrico</t>
  </si>
  <si>
    <t>Succinico</t>
  </si>
  <si>
    <t>Fumarico</t>
  </si>
  <si>
    <t>2-Ossoglutarico</t>
  </si>
  <si>
    <t>Malico</t>
  </si>
  <si>
    <t>Omovanillico (HVA)</t>
  </si>
  <si>
    <t>Vanilmandelico (VMA)</t>
  </si>
  <si>
    <t>Metaboliti del Triptofano</t>
  </si>
  <si>
    <t>Chinolinico</t>
  </si>
  <si>
    <t>Markers Metabolici nelle urine</t>
  </si>
  <si>
    <t xml:space="preserve">Range di </t>
  </si>
  <si>
    <t>Valore del</t>
  </si>
  <si>
    <t>Metodologia: LC/Spettrometria di Massa Tandem</t>
  </si>
  <si>
    <t>Riferimento</t>
  </si>
  <si>
    <t>Paziente</t>
  </si>
  <si>
    <t>Markers Mitocondriali</t>
  </si>
  <si>
    <t>Pantotenico (B5)</t>
  </si>
  <si>
    <t>N-Acetil-L-Cisteina (NAC)</t>
  </si>
  <si>
    <t>Ascorbico ( C )</t>
  </si>
  <si>
    <t>4-Piridossico (B6)</t>
  </si>
  <si>
    <t>Mandelico</t>
  </si>
  <si>
    <t>Omogentisico</t>
  </si>
  <si>
    <t>N-Acetilaspartico</t>
  </si>
  <si>
    <t>Malonico</t>
  </si>
  <si>
    <t>Sebacico</t>
  </si>
  <si>
    <t>Adipico</t>
  </si>
  <si>
    <t>Suberico</t>
  </si>
  <si>
    <t>Etilmalonico</t>
  </si>
  <si>
    <t>Markers di Lieviti e Funghi</t>
  </si>
  <si>
    <t>Citramalico</t>
  </si>
  <si>
    <t>5-Idrossimetil-2-Furancarbossilico</t>
  </si>
  <si>
    <t>Tartarico</t>
  </si>
  <si>
    <t>Furancarbonilglicina</t>
  </si>
  <si>
    <t>Tricarballilico</t>
  </si>
  <si>
    <t>Arabinosio</t>
  </si>
  <si>
    <t>Arabitolo</t>
  </si>
  <si>
    <t>Furan-2,5-Dicarbossilico</t>
  </si>
  <si>
    <t>2-Idrossiglutarico</t>
  </si>
  <si>
    <t>Markers dei Batteri</t>
  </si>
  <si>
    <t>Ippurico</t>
  </si>
  <si>
    <t>Benzoico</t>
  </si>
  <si>
    <t>Markers dei Clostridi</t>
  </si>
  <si>
    <t>3-Indolacetico</t>
  </si>
  <si>
    <t>P-Cresolo</t>
  </si>
  <si>
    <t>Glicolico</t>
  </si>
  <si>
    <t>Glicerico</t>
  </si>
  <si>
    <t>Ciclo Glicolitico</t>
  </si>
  <si>
    <t>Piruvico</t>
  </si>
  <si>
    <t>Lattico</t>
  </si>
  <si>
    <t xml:space="preserve">Salicilati di Aspartame o batteri Gl </t>
  </si>
  <si>
    <t>Eccesso di Ammonio</t>
  </si>
  <si>
    <t>Orotico</t>
  </si>
  <si>
    <t>Glutatione</t>
  </si>
  <si>
    <t>Piroglutammico</t>
  </si>
  <si>
    <t>Chinurenico</t>
  </si>
  <si>
    <t>Timina</t>
  </si>
  <si>
    <t>Uracile</t>
  </si>
  <si>
    <t>p55</t>
  </si>
  <si>
    <t>p56</t>
  </si>
  <si>
    <t>p57</t>
  </si>
  <si>
    <t>p58</t>
  </si>
  <si>
    <t>s1</t>
  </si>
  <si>
    <t>s2</t>
  </si>
  <si>
    <t>s3</t>
  </si>
  <si>
    <t>s4</t>
  </si>
  <si>
    <t>µmoli/mmoli di creatinina</t>
  </si>
  <si>
    <t>Il suo deficit è correlato spesso a inefficienza enzimatica per carenza di cisteina, ferro o agenti antiossidanti, soprattutto in caso ci sia anche eccesso di aconitato. Se unica alterazione, non desta preoccupazione.</t>
  </si>
  <si>
    <t> </t>
  </si>
  <si>
    <t>Creatinina superiore ai limiti</t>
  </si>
  <si>
    <t xml:space="preserve"> Creatinina inferiore ai limiti</t>
  </si>
  <si>
    <t>The problem solving of epigenetic effects</t>
  </si>
  <si>
    <r>
      <t>Introduzione sul METABOLOMIC PROFILE :</t>
    </r>
    <r>
      <rPr>
        <i/>
        <sz val="11"/>
        <rFont val="Calibri"/>
        <family val="2"/>
      </rPr>
      <t xml:space="preserve"> Il test analizza gli acidi organici presenti nei metaboliti urinari. Queste biomolecole sono considerate dei veri markers funzionali, in grado di rilevare alterazioni dovute a carenze nutrizionali e vitaminiche, esposizione a tossici, metabolismo dei neurotrasmetitori, disfunzioni mitocondriali (ciclo di krebs), stress ossidativo, sovracrescita di batteri e funghi, livello degli ossalati.</t>
    </r>
  </si>
  <si>
    <t>La presenza di questi markers funzionali è intimamente correlata a molte patologie cronico-degenerative e diviene il fulcro della loro diagnostica, consentendo di attuare una proposta terapeutica unica nella sua personalizzazione.</t>
  </si>
  <si>
    <t>Il profilo del paziente evidenzia degli squilibri:</t>
  </si>
  <si>
    <t>2-Idrossi-3-Metilbutirrico</t>
  </si>
  <si>
    <t>4-Idrossifenilacetico</t>
  </si>
  <si>
    <t>3-Idrossifenilacetico</t>
  </si>
  <si>
    <t>3-Idrossibutirrico</t>
  </si>
  <si>
    <t>Popolazione Statistica</t>
  </si>
  <si>
    <t>Referto sottoscritto con firma digitale ai sensi degli artt. 20,21 n.2, 23 e 24 del d.Lgs. N. 82 del 7 marzo 2005 e successive modifiche</t>
  </si>
  <si>
    <t>Firmato digitalmente dott Alberto Santini il:</t>
  </si>
  <si>
    <t xml:space="preserve">* Per questi metaboliti l’eccesso nelle urine individua una carenza della vitamina /molecola di riferimento </t>
  </si>
  <si>
    <t>Direttore sanitario: Alberto Santini  Via Cairoli, 2 40121 Bologna Tel: 051240218; E-mail: valsambro@valsambro.it</t>
  </si>
  <si>
    <t>Analisi degli Acidi Organici - Profilo Nutrizionale  e Metabolico</t>
  </si>
  <si>
    <t>Il referto degli acidi organici riportati, ha valore unicamente inserito nel quadro clinico del</t>
  </si>
  <si>
    <t>paziente e valutato dallo specialista.</t>
  </si>
  <si>
    <t>METABOLITI DELLA PIRIMIDINA associati al metabolismo dei folati</t>
  </si>
  <si>
    <t>MARCATORI MITOCONDRIALI TCA</t>
  </si>
  <si>
    <t>METABOLITI NEUROTRASMETTITORI</t>
  </si>
  <si>
    <t>MARKER NUTRIZIONALI</t>
  </si>
  <si>
    <t>SOVRACCRESCITA FLORA BATTERICA INTESTINALE</t>
  </si>
  <si>
    <t>Marcatori di lieviti e funghi</t>
  </si>
  <si>
    <t>Metaboliti batterici</t>
  </si>
  <si>
    <t>METABOLITI CORRELATI A OSSALATI</t>
  </si>
  <si>
    <t xml:space="preserve">Si tratta di metaboliti derivati da una iper produzione di ossalati, fonte primaria di calcoli renali. </t>
  </si>
  <si>
    <t>OSSIDAZIONE ACIDI GRASSI e CORPO CHETONICO</t>
  </si>
  <si>
    <t>CICLO GLICOLITICO</t>
  </si>
  <si>
    <t>INDICATORI DI DETOSSIFICAZIONE</t>
  </si>
  <si>
    <t>Batteri GI e salicilati di aspartame</t>
  </si>
  <si>
    <t>Eccesso di ammonio</t>
  </si>
  <si>
    <t>Ratio HVA/VMA</t>
  </si>
  <si>
    <t>p59</t>
  </si>
  <si>
    <t xml:space="preserve">Il deficit di acido aconitico potrebbe evidenziare inefficienza dell'enzima aconitasi per carenza dei cofattori (cisteina e ferro) oppure per presenza di metalli pesanti che alterano la funzionalità enzimatica.  La sua carenza potrebbe essere concomitante con la carenza del suo predecessore, per inefficiente glicolisi o ossidazione dei grassi. </t>
  </si>
  <si>
    <t xml:space="preserve">L'eccesso potrebbe essere associato a un valore basso del metabolita successivo ( acido 2-ossoglutarico); in tal caso valutare supplementazione con cofattori enzimatici come B3, Mg e/o Mn.  Se non è associato ad altre alterazioni metaboliche, è di probabile origine nutrizionale.  </t>
  </si>
  <si>
    <t xml:space="preserve">L’eccessiva presenza di HVA nelle urine può manifestarsi in caso di mancanza di cofattori enzimatici (rame e vit.C) per la produzione di norepinefrina a partire dalla dopamina. Anche la supplementazione di quercitina aumenta i livelli plasmatici di HVA e quindi l’eliminazione nelle urine.  Flavonoidi alimentari contenuti in pomodoro, cipolla e te possono contribuire all’aumento di HVA.  Come accade per l'acido vanilmandelico (VMA), anche in questo caso si associa un aumento nelle urine di HVA a condizioni tumorali neuronali. Disordini dell’umore, forte stress e autismo possono indurre aumento di dopamina e quindi di HVA nelle urine.       </t>
  </si>
  <si>
    <t>Il deficit di acido citrico potrebbe essere correlato alla degradazione della massa muscolare per attività sportiva intensa oppure per problematiche legate alla funzionalità renale (calcolosi renale -in tal caso valutare i livelli di ossalati- , problemi renali cronici, acidosi renale tubulare). Anche condizioni diabetiche o iperparatiroidismo possono alterare tale valore. Valutare anche condizioni nutrizionali come stati di malnutrizione o carenza di potassio o agrumi.</t>
  </si>
  <si>
    <t xml:space="preserve">Scarsi valori di acido pantotenico potrebbero riflettere carenza di vitamina B5, per il quale si consiglia di rivedere l'alimentazione abituale del paziente e valutare integrazione specifica . </t>
  </si>
  <si>
    <t>L' eccesso è associato a una supplementazione  in corso o passata di vit.B5.</t>
  </si>
  <si>
    <t xml:space="preserve">L’eccesso nelle urine è correlato principalmente alla supplementazione di vit. C. L'eccesso di acido ascorbico potrebbe associarsi anche a iperossalemia . </t>
  </si>
  <si>
    <t>Valori molto alti sono associati a integrazione passata o in corso di vitamine del gruppo B.</t>
  </si>
  <si>
    <t>L'eccesso di N-acetilcistina è dovuto a supplementazione in corso o passata.</t>
  </si>
  <si>
    <t xml:space="preserve">Valori al di sopra del range di riferimento possono essere riscontrati in pazienti che assumono statine e riso rosso fermentato, per il quale si consiglia integrazione di CoQ10. Deficit dell'enzima HMG-CoA liasi possono elevare i livelli di HMG, comportando carenza di CoQ10 e disordini nello sviluppo e cardiomiopatie. </t>
  </si>
  <si>
    <t>La carenza non vede associazioni cliniche rilevanti</t>
  </si>
  <si>
    <t xml:space="preserve">L’eccesso di acido mandelico è correlato spesso al metabolismo della fenilalanina oppure all'esposizione a elementi tossici. Inoltre può essere elevato in caso di malattie genetiche PKU e tirosinemia. </t>
  </si>
  <si>
    <t xml:space="preserve">L'eccesso dell'acido 4-metil-2-ossovalerico potrebbe evidenziare insufficienza di tiamina, vitamine del gruppo B in generale e acido lipoico, integrazioni da effettuare in questi casi. Inoltre sarebbe opportuno indagare le abitudini alimentari del paziente. </t>
  </si>
  <si>
    <t>L'eccesso dell'acido malonico potrebbe indicare l'assunzione importante di alcuni alimenti o collegato a malattie riportate precedentemente.</t>
  </si>
  <si>
    <t>Il forte eccesso è correlato a una malattia autosomica recessiva caratterizzata da elevati livelli di tirosina nel sangue e massiccia escrezione di derivati ​​della tirosina nelle urine. </t>
  </si>
  <si>
    <t xml:space="preserve">L'eccesso minimo evidenzia stati di acidosi lattica o chetoacidosi. Nel casi in cui i livelli siano di molto superiori al range di riferimento, si tratta di patologie congenite importanti. </t>
  </si>
  <si>
    <t>La presenza in eccesso di acido citramalico identifica la sovraccrescita di lieviti oppure un introito elevato di frutta. Inoltre è da ricordare che un utilizzo importante di zuccheri (anche quelli della frutta) stimola la crescita dei lieviti.</t>
  </si>
  <si>
    <t>L'eccesso di acido ippurico è causato principalmente dal metabolismo batterico dei composti fenolici introdotti nell'alimentazione abituale . Più raramente può essere associato a intossicazione da idrocarburi.</t>
  </si>
  <si>
    <t>Il suo eccesso può essere correlato anche a fibrosi cistica , enteriti , disordine celiaco , sindrome dell’intestino corto o massiccio introito di conservanti alimentari.</t>
  </si>
  <si>
    <t>L'eccesso di acido glicolico in associazione all'aumento di acido ossalico, definisce iperossaluria genetica di tipo I. Diversamente la sua presenza eccessiva può essere di origine alimentare o derivata da produzione batterica o di lieviti intestinali.</t>
  </si>
  <si>
    <t>L'eccesso marcato di acido glicerico può rivelare aciduria D-glicerica. Diversamente la sua presenza eccessiva può essere di origine alimentare o derivata da lieviti intestinali.</t>
  </si>
  <si>
    <t xml:space="preserve">L'eccesso di acido piruvico può essere ridotto tramite integrazione di vit. B1,B2,B3,B5, magnesio e acido lipoico. Valutare anche lo stato nutrizionale o eventuali integrazioni amminoacidiche in corso. </t>
  </si>
  <si>
    <t>I marcatori mitocondriali del ciclo di Krebs ( o TCA – degli acidi tricarbossilici), rappresentano quegli acidi organici che vengono generati dai mitocondri per la produzione di energia cellulare. Disfunzioni mitocondriali, patologie cognitive, diabete, tumore, patologie cardiovascolari, sindrome da fatica cronica, possono alterare il processo di produzione energetica. Lo studio dell’escrezione urinaria di acidi organici permette di individuare una finestra terapeutica per queste specifiche patologie in modo da correggere le disfunzioni mitocondriali individuate. Tali disfunzioni possono derivare da carenze nutrizionali, da tossine o polimorfismi genetici. Diversi sono gli enzimi che regolano le reazioni del ciclo di Krebs, catalizzate da cofattori quali ferro, niacina, magnesio, manganese, tiamina, riboflavina, acido pantotenico e acido lipoico. Esposizione ad agenti tossici o metalli possono interferire con la funzionalità mitocondriale.</t>
  </si>
  <si>
    <t xml:space="preserve">Questi acidi organici provengono dal metabolismo di sintesi e degradazione di neurotrasmettori. Alterazioni dei processi enzimatici regolati da cofattori nutrizionali , predisposizioni genetiche, tossine, malattie croniche e stress possono influenzare la loro presenza nelle urine. </t>
  </si>
  <si>
    <t xml:space="preserve">I neurotrasmettitori sono sintetizzati a partire da aminoacidi essenziali tramite vitamine e minerali. Tra i più importanti neurotrasmettitori vediamo la dopamina che viene convertita in norepinefrina da una beta-idrossilasi regolata positivamente da vitamina C. A sua volta la norepinefrina è convertita in epinefrina mediante una reazione di metilazione. La formazione dei metaboliti omovanillico e vanilmandelico è mediata da enzimi MAO e COMT, a partire rispettivamente da dopamina e norepinefrina/epinefrina. </t>
  </si>
  <si>
    <t xml:space="preserve">Metaboliti derivanti dal metabolismo diretto o indiretto di vitamine, per lo più delle vitamina B. Le vitamine sono il fondamentale motore di molti processi enzimatici e la loro carenza potrebbe comportare malfunzionamenti metabolici anche importanti. </t>
  </si>
  <si>
    <t xml:space="preserve">Misurazione di intermedi metabolici coinvolti del catabolismo proteico. Gli amminoacidi sono un importante mattone per la cellula e il corpo, la loro valutazione è importante per indagare deficienze alimentari o enzimatiche. </t>
  </si>
  <si>
    <t>6a</t>
  </si>
  <si>
    <t xml:space="preserve">Metaboliti derivanti da sovraccrescita della flora batterica intestinale autoctona o patogena, da funghi o lieviti che colonizzano il tratto gastrointestinale. Alcuni dei metaboliti derivano dalla fermentazione di fenoli alimentari e flavonoidi, quindi risultano derivati da un corretto e salutare introito di alimentari ricchi di antiossidanti (se non c’è associata disbiosi). Quando multipli marcatori sono elevati, questo riflette informazioni importanti riguardo la disbiosi o altre disfunzioni GI.  </t>
  </si>
  <si>
    <t>6b</t>
  </si>
  <si>
    <t>6c</t>
  </si>
  <si>
    <t>Marcatori clostridi batterici</t>
  </si>
  <si>
    <t xml:space="preserve">Gli acidi grassi sono metabolizzati per fornire energia dal processo di beta-ossidazione. Vengono quindi convertiti in Acetyl-CoA mediante l’azione della carnitina che permette l’entrata all’interno della membrana mitocondriale. Nel caso in cui la beta-ossidazione sia compromessa, i grassi vengono metabolizzati mediante un percorso alternativo chiamato omega-ossidazione.  </t>
  </si>
  <si>
    <t xml:space="preserve">I corpi chetonici sono prodotti dal fegato e sono una fonte di energia in caso di assenza di glucosio. Solo una parte minima viene rilasciata nelle urine, la maggior parte deve essere ossidata in tessuti extraepatici con il consumo di ossigeno. </t>
  </si>
  <si>
    <t xml:space="preserve">Processo nel quale i carboidrati vengono convertiti a prodotti fondamentali per la produzione energetica mediante il ciclo di Krebs. I carboidrati, che contengono glucosio, vengono scissi per formare piruvato e due molecole di ATP. A sua volta il piruvato viene convertito in lattato e Acetil-CoA per la produzione energetica. </t>
  </si>
  <si>
    <t xml:space="preserve">Sono metaboliti urinari che riflettono l’esposizione a tossine ambientali  oppure da una sovra-regolazione del processo di detossificazione in risposta a stimoli tossici. In caso di alti valori tra questi, si consiglia di individuare la provenienza della tossicità e agire con antiossidanti e supporto nutrizionale adeguato per detossificare il metabolismo. </t>
  </si>
  <si>
    <t/>
  </si>
  <si>
    <t>p60</t>
  </si>
  <si>
    <t>p61</t>
  </si>
  <si>
    <t>p62</t>
  </si>
  <si>
    <t xml:space="preserve">L'accumulo nelle urine potrebbe essere dato da un blocco del ciclo mitocondriale a livello dell'enzima aconitasi per eventuale carenza di glutatione o ferro oppure per presenza di metalli pesanti (alluminio, mercurio, arsenico e stagno). L'eccesso può essere dovuto anche a un introito importante di alimenti che lo contengono (agrumi o conservanti naturali). Il suo accumulo potrebbe essere dato anche da sovraccrescita microbica intestinale. Valutare integrazione con glutatione o ferro, se la natura dello squilibrio non è di natura alimentare o microbica.  </t>
  </si>
  <si>
    <r>
      <t>L’acido aconitico</t>
    </r>
    <r>
      <rPr>
        <sz val="10"/>
        <color rgb="FF000000"/>
        <rFont val="Calibri"/>
        <family val="2"/>
      </rPr>
      <t xml:space="preserve"> è il secondo metabolita del ciclo di produzione energetica. Il passaggio che porta alla sua formazione a partire dall'acido citrico dipende dall'enzima aconitasi, la quale funzione dipende dalla disponibilità di glutammina e agenti antiossidanti.</t>
    </r>
    <r>
      <rPr>
        <sz val="10"/>
        <color rgb="FF0D0D0D"/>
        <rFont val="Calibri"/>
        <family val="2"/>
      </rPr>
      <t xml:space="preserve"> La differenza con l'acido citrico dovrebbe essere entro il 20%. Se non viene mantenuto questo rapporto ci potrebbe essere un deficit dell’enzima aconitasi: in tal caso agire con i cofattori enzimatici relativi glutammina, magnesio, ferro e valutare la presenza di metalli pesanti che potrebbero alterare la funzionalità dell'enzima. </t>
    </r>
  </si>
  <si>
    <t>L’eccesso di acido aconitico, associato a deficit di acido isocitrico (il metabolita successivo del ciclo), indica problemi enzimatici dell'aconitasi da ripristinare con supplementazione di glutatione in caso di problemi ossidativi; diversamente si può agire con i cofattori enzimatici cisteina e ferro (soprattutto per pazienti  anemici).</t>
  </si>
  <si>
    <r>
      <t>L’acido isocitrico</t>
    </r>
    <r>
      <rPr>
        <sz val="10"/>
        <color rgb="FF000000"/>
        <rFont val="Calibri"/>
        <family val="2"/>
      </rPr>
      <t xml:space="preserve"> è il terzo metabolita del ciclo TCA, è presente in diversi alimenti, come ribes rosso, uva spina e mele. Ciò potrebbe rendere l'acido isocitrico un potenziale biomarcatore per il consumo di questi alimenti.  </t>
    </r>
    <r>
      <rPr>
        <b/>
        <sz val="10"/>
        <color rgb="FF000000"/>
        <rFont val="Calibri"/>
        <family val="2"/>
      </rPr>
      <t xml:space="preserve"> </t>
    </r>
    <r>
      <rPr>
        <sz val="10"/>
        <color rgb="FF000000"/>
        <rFont val="Calibri"/>
        <family val="2"/>
      </rPr>
      <t xml:space="preserve">La sua produzione avviene per opera dell'enzima aconitasi, quindi è sensibile alla presenza di metalli pesanti e all'assenza di cofattori cisteina e ferro. L'acido isocitrico viene poi convertito in acido 2-ossoglutarico dall'enzima isocitrato deidrogenasi, dipendente dalla presenza di vit.B3, magnesio e manganese. </t>
    </r>
  </si>
  <si>
    <r>
      <t>L’acido 2-ossoglutarico</t>
    </r>
    <r>
      <rPr>
        <sz val="10"/>
        <color rgb="FF000000"/>
        <rFont val="Calibri"/>
        <family val="2"/>
      </rPr>
      <t xml:space="preserve"> è una molecola chiave nel ciclo TCA, svolgendo un ruolo fondamentale nel determinare la velocità complessiva di questo importante processo metabolico.Fornisce un'importante fonte di glutammina e glutammato che stimola la sintesi proteica e la formazione del tessuto osseo, inibisce la degradazione delle proteine​​nel muscolo e costituisce un importante combustibile metabolico per le cellule del tratto gastrointestinale.</t>
    </r>
  </si>
  <si>
    <t xml:space="preserve">In caso di eccesso potrebbe essere necessaria integrazione di cofattori quali vitamine del gruppo B, zinco, magnesio e manganese per stimolare l'attività della deidrogenasi per la formazione del metabolita successivo (acido succinico). Livelli molto elevati possono avere anche provenienza amminoacidica ( glutammina, istidina, arginina, prolina, glutammato) e questo spiegherebbe l'effetto energetico dell'integrazione di amminoacidi liberi.  </t>
  </si>
  <si>
    <t xml:space="preserve">Bassi livelli di acido  2-ossoglutarico possono riflettere la mancanza dei suoi precursori oppure una disfunzione enzimatica dovuta alla mancanza di cofattori nutrizionali, difetti genetici o esposizioni a tossine. Si è anche riscontrata correlazione tra bassi livelli di acido 2-ossoglutarico e un'eccessiva sintesi di acidi grassi saturi e trigliceridi in casi di insulino-resistenza. </t>
  </si>
  <si>
    <r>
      <t>L’acido succinico</t>
    </r>
    <r>
      <rPr>
        <sz val="10"/>
        <color rgb="FF000000"/>
        <rFont val="Calibri"/>
        <family val="2"/>
      </rPr>
      <t xml:space="preserve"> è il metabolita intermedio del ciclo di produzione energetica, prodotto dal precedente (succinil-CoA) per azione dell’enzima succinil-CoA sintasi, con produzione di NADH che fornisce direttamente elettroni alla catena respiratoria mitocondriale. I cofattori enzimatici sono Mg, vit.B1,2 e 3.  L'attività della succinil-CoA sintasi potrebbe essere alterata dalla presenza di metalli pesanti o sostanze tossiche.  A sua volta l'acido succinico è metabolizzato dall'enzima succinato deidrogenasi per la formazione di fumarico, azione mediata da cofattori quali ferro e vitamina B2 , con rilascio di FADH2. L'enzima succinato deidrogenasi gioca un ruolo chiave nel metabolismo mitocondriale e disfunzioni della sua funzionalità sono associate a tumore e patologie neurodegenerative.  </t>
    </r>
    <r>
      <rPr>
        <sz val="10"/>
        <color rgb="FF0D0D0D"/>
        <rFont val="Calibri"/>
        <family val="2"/>
      </rPr>
      <t xml:space="preserve">L'acido succinico è anche un metabolita microbico di </t>
    </r>
    <r>
      <rPr>
        <i/>
        <sz val="10"/>
        <color rgb="FF0D0D0D"/>
        <rFont val="Calibri"/>
        <family val="2"/>
      </rPr>
      <t>Bacteroidetes</t>
    </r>
    <r>
      <rPr>
        <sz val="10"/>
        <color rgb="FF0D0D0D"/>
        <rFont val="Calibri"/>
        <family val="2"/>
      </rPr>
      <t>.</t>
    </r>
  </si>
  <si>
    <r>
      <t xml:space="preserve">L'eccesso di acido succinico può essere dovuto a carenza di cofattori per la sua conversione in fumarico, quindi deficienza di ferro e vitamina B2 oppure per presenza di metalli pesanti o sostanze tossiche che inibiscono l'azione enzimatica.  In tal caso valutare integrazione con CoQ10 e/o magnesio. Può essere elevato anche per sovracrescita microbica intestinale, in particolare da parte di </t>
    </r>
    <r>
      <rPr>
        <i/>
        <sz val="10"/>
        <color rgb="FF000000"/>
        <rFont val="Calibri"/>
        <family val="2"/>
      </rPr>
      <t>Bacteroidetes.</t>
    </r>
    <r>
      <rPr>
        <sz val="10"/>
        <color rgb="FF000000"/>
        <rFont val="Calibri"/>
        <family val="2"/>
      </rPr>
      <t xml:space="preserve"> Diversi studi hanno dimostrato che l'aumento contemporaneo di acido succinico e fumarico giocano un ruolo importante nel processo oncogenico causato dal danno al DNA e ipermetilazione. La sua azione oncogenica sembra essere dovuta alla sua capacità di inibire enzimi con domini prolil idrossilasi che regolano la risposta all'ipossia del fattore di trascrizione HIF.  </t>
    </r>
  </si>
  <si>
    <t xml:space="preserve">Livelli bassi di acido succinico possono essere correlati a un dieta povera o scarso assorbimento di aminoacidi ramificati. Gli aminoacidi ramificati sono catabolizzati in acetil-CoA o succinil-CoA per entrare nel ciclo di Krebs, inoltre la carenza di vit.B12 può causare difetti nella conversione di metilmalonic-CoA in succinil-Coa (via della valina e isoleucina), con diminuzione dei livelli di succinil-COA. Valutare integrazione di vit.B12 e lo stato nutrizionale del paziente. </t>
  </si>
  <si>
    <r>
      <t>L’acido fumarico</t>
    </r>
    <r>
      <rPr>
        <sz val="10"/>
        <color rgb="FF000000"/>
        <rFont val="Calibri"/>
        <family val="2"/>
      </rPr>
      <t xml:space="preserve"> è tra i metaboliti terminali del ciclo, la sua produzione dipende dalla presenza di acido succinico, dall'enzima succinato deidrogenasi e i suoi cofattori vitamina B2 e ferro. A sua volta viene poi convertito in acido malico dall'enzima fumarasi. La sua quantità dipende anche dal catabolismo di fenilalanina e tirosina che entrano nel ciclo di Krebs per la produzione di energia tramite questo intermedio. Da studi recenti è stato identificato come probabile oncometabolita insieme all'acido succinico per la loro capacità di inibire enzimi contenti domini prolil- idrossilasi che regolano la risposta all'ipossia del fattore di trascrizione HIF. </t>
    </r>
  </si>
  <si>
    <t xml:space="preserve">L'eccesso è spesso correlato a un difetto dell'enzima fumarasi che lo dovrebbe convertire nell'acido malico, il metabolita successivo, oppure da un'alterata funzionalità mitocondriale. Per ripristinare la funzionalità mitocondriale si consiglia la supplementazione di CoQ10, NAD+, L-carnitina e acetyl-L-carnitina, riboflavina, nicotinamide, biotina e vitamine E. Il suo eccesso può essere correlato anche a integrazione di amminoacidi ramificati </t>
  </si>
  <si>
    <r>
      <t>L’acido malico</t>
    </r>
    <r>
      <rPr>
        <sz val="10"/>
        <color rgb="FF0D0D0D"/>
        <rFont val="Calibri"/>
        <family val="2"/>
      </rPr>
      <t xml:space="preserve"> deriva dalla conversione dell'acido fumarico a opera dell'enzima fumarasi. A sua volta viene poi convertito dalla malato deidrogenasi in ossalacetato; la malato deidrogenasi è un enzima fondamentale attivo sia nel ciclo di krebs che nel sistema shuttle malato-aspartato (sistema che media il trasferimento di elettroni provenienti dalla glicolisi -nel citosol- alla matrice mitocondriale, centrale per la fosforilazione ossidativa e generazione di ATP). Il cofattore necessario per questo enzima è la niacina (vit.B3)  L'acido malico si trova solitamente in quantità prossime allo 0. La sua presenza può essere correlata all’utilizzo di frutta ( mele e pere) o verdura . E’ inoltre un additivo e conservante di bibite e sciroppi. </t>
    </r>
  </si>
  <si>
    <t xml:space="preserve">L'eccesso di acido malico potrebbe evidenziare la necessità di vit.B3 e CoQ10 oppure potrebbe essere considerato come biomarcatore dell'utilizzo di alimenti che lo contengono. Se appare elevato insieme agli altri componenti del ciclo, si parla di disfunzione mitocondriale da riequlibrare. </t>
  </si>
  <si>
    <r>
      <rPr>
        <b/>
        <sz val="10"/>
        <color rgb="FF212121"/>
        <rFont val="Calibri"/>
        <family val="2"/>
        <scheme val="minor"/>
      </rPr>
      <t xml:space="preserve">L'acido 2-idrossiglutarato </t>
    </r>
    <r>
      <rPr>
        <sz val="10"/>
        <color rgb="FF212121"/>
        <rFont val="Calibri"/>
        <family val="2"/>
        <scheme val="minor"/>
      </rPr>
      <t xml:space="preserve">(2-HG) è strutturalmente simile al α-chetoglutarato (α-KG),  un prodotto intermedio del ciclo dell'acido tricarbossilico ; può essere generato riducendo il gruppo chetonico di α-KG a un gruppo ossidrile. Il ruolo significativo che il 2-HG svolge è stato certificato nella fisiopatologia dell'aciduria 2-idrossiglutarica (2HGA),  disturbo neurometabolico che porta a neurodegenerazione progressiva. E' stato riscontrato un ruolo importante di questo metabolita anche in tumori che vedono isocitrato deidrogenasi mutante 1/2 (IDH1/2mt) e nel carcinoma a cellule renali a cellule chiare (ccRCC). È infatti considerato un oncometabolita, sollevando molta attenzione sul suo meccanismo oncogenico. Negli ultimi anni, è stato verificato che il 2-HG si accumula nel contesto dell'ipossia o del pH acido, e ci sono anche ricerche che confermano il ruolo vitale che il 2-HG svolge nella decisione del destino delle cellule immunitarie. </t>
    </r>
  </si>
  <si>
    <t xml:space="preserve">L'eccesso di acido 2-idrossiglutarico evidenzia disturbo neurometabolico oppure potrebbe essere correlato a situazioni oncologiche . </t>
  </si>
  <si>
    <r>
      <t>L’acido omovanillico</t>
    </r>
    <r>
      <rPr>
        <sz val="10"/>
        <color rgb="FF000000"/>
        <rFont val="Calibri"/>
        <family val="2"/>
      </rPr>
      <t xml:space="preserve"> (HVA) è il metabolita diretto della dopamina, neurotrasmettitore di fondamentale importanza in quanto precursore di altri ormoni della famiglia delle catecolamine.  Nella produzione di dopamina, fenilalanina e tirosina, sono i principali attori insieme a cofattori enzimatici come il ferro, la tetraidrobiopterina e fosfato piridossico. La dopamina può essere anche prodotta dal tratto gastrointestinale. Successivamente la dopamina può essere convertita a norepinefrina, usando come cofattori vit.C e rame. Diversamente può essere utilizzata per metabolizzare l'acido omovanillico, mediante due enzimi MAO (monoamina ossidasi) e COMT  ( catecol-o-metiltransferasi)  che utilizzano rispettivamente come cofattori vit.B2 uno e SAMe, magnesio e B6 l'altro enzima. </t>
    </r>
  </si>
  <si>
    <t xml:space="preserve">La carenza di HVA è spesso associata a deficienza degli aminoacidi precursori (tirosina e/o fenilalanina) o dei cofattori enzimatici (ferro, tetrabiopterina, vit. B6, vit. B2 o SAMe). Può riflettere anche difetti di metilazione o variazioni di polimorfismi genetici. I tassi possono essere bassi anche in pazienti che assumono inibitori MAO contro disturbi depressivi o ansiogeni. Valutare integrazione di tirosina, fenilalanina o cofattori enzimatici . </t>
  </si>
  <si>
    <r>
      <t>L’</t>
    </r>
    <r>
      <rPr>
        <b/>
        <sz val="10"/>
        <color rgb="FF2E74B5"/>
        <rFont val="Calibri"/>
        <family val="2"/>
      </rPr>
      <t xml:space="preserve"> </t>
    </r>
    <r>
      <rPr>
        <b/>
        <sz val="10"/>
        <color rgb="FF000000"/>
        <rFont val="Calibri"/>
        <family val="2"/>
      </rPr>
      <t>acido vanilmandelico</t>
    </r>
    <r>
      <rPr>
        <sz val="10"/>
        <color rgb="FF000000"/>
        <rFont val="Calibri"/>
        <family val="2"/>
      </rPr>
      <t xml:space="preserve"> (VMA) viene generato dal fegato per ossidazione enzimatica. Viene prodotto a partire da epinefrina e norepinefrina, a loro volta di derivazione dopaminica.  Essendo un metabolita derivato dalla tirosina e fenilalanina, i suoi livelli riflettono la sintesi e metabolismo di catecolamine e la disponibilità di questi amminoacidi.</t>
    </r>
  </si>
  <si>
    <t xml:space="preserve">La carenza di VMA è spesso associata a deficit degli aminoacidi precursori (fenilalanina e/o tirosina), a insufficienti cofattori nutrizionali (tetrabiopterina, vit B6, ferro) e malformazioni genetiche . Il processo di metilazione è necessario per la formazione dei neurotrasmettitori e quindi difetti di metilazione possono incidere sulla sua carenza. Anche la mancanza di cofattori importanti per la formazione di norepinefrina ed epinefrine , come il rame , la vit.C e il SAMe ,  comportano la riduzione dei livelli del metabolita.  I tassi di VMA possono essere bassi anche nei pazienti che assumono inibitori MAO contro disturbi depressivi e ansiogeni.  </t>
  </si>
  <si>
    <t xml:space="preserve">L'eccesso di VMA potrebbe essere correlato a terapie antidepressive o stimolanti per ADHD ( Il Disturbo da Deficit di Attenzione/Iperattività)  che agiscono entrambi elevando il livello delle catecolamine. Livelli elevati di questo metabolita possono associarsi anche a generali disordini derivati dalla terza età . Eccesso di VMA nelle urine è a volte correlato a feocromocitoma , tumori della cresta neuronale , ipertensione renovascolare e neuroblastoma. In generale un aumento di catecolamine può associarsi a forte stress fisiologico , esercizio fisico e stress post-traumatico.  </t>
  </si>
  <si>
    <r>
      <t xml:space="preserve">Un aumento del rapporto HVA/VMA potrebbe essere causato dalla diminuzione della conversione di dopamina in noradrenalina a opera dell’enzima dopamina beta-idrossilasi (DBH), dipendente dal rame e dalla vitamina C che in questo caso potrebbero essere quindi carenti.  Un altro motivo potrebbe essere l’inibizione di questo enzima da parte dei sottoprodotti di </t>
    </r>
    <r>
      <rPr>
        <i/>
        <sz val="10"/>
        <color theme="1"/>
        <rFont val="Calibri"/>
        <family val="2"/>
        <scheme val="minor"/>
      </rPr>
      <t>Clostridia</t>
    </r>
    <r>
      <rPr>
        <sz val="10"/>
        <color theme="1"/>
        <rFont val="Calibri"/>
        <family val="2"/>
        <scheme val="minor"/>
      </rPr>
      <t xml:space="preserve"> (HPHA,4-cresolo o acido 4-idrossifenilacetico).  L’enzima DBH può essere inibito anche dalla presenza di muffe (acido fusarico), da prodotti farmaceutici come disulfiram o aspartame. Anche polimorfismi genetici del DBH oppure disturbi neuropsichiatrici possono causare aumento del rapporto HVA/VMA.</t>
    </r>
  </si>
  <si>
    <r>
      <rPr>
        <b/>
        <sz val="10"/>
        <rFont val="Calibri"/>
        <family val="2"/>
        <scheme val="minor"/>
      </rPr>
      <t>L'acido DOPAC</t>
    </r>
    <r>
      <rPr>
        <sz val="10"/>
        <rFont val="Calibri"/>
        <family val="2"/>
        <scheme val="minor"/>
      </rPr>
      <t xml:space="preserve"> è un acido fenolico e un metabolita del neurotrasmettitore dopamina. La dopamina subisce deaminazione ossidativa a opera della monoamina ossidasi (MAO) diventando 3,4-diidrossifenilacetaldeide (DOPAL), che viene metabolizzato principalmente in DOPAC tramite aldeide deidrogenasi (ALDH2).  Noti inibitori dell'enzima ALDH2 , es il 4-idrossi-2-nonenale (4HNE) , inibiscono l'ossidazione di DOPAL. Nel morbo di Parkinson la produzione di DOPAC viene notevolmente ridotta. In studi clinici è interessante calcolare sia la quantità di dopamina che di DOPAC  per valutare l'attività dei neuroni dopaminergici. Infatti possiamo considerare il DOPAC extracellulare come la quantità di dopamina prodotta e immagazzinata nel neurone presinaptico, mentre i livelli di dopamina rappresentano quanto effettivamente ne è stata rilasciata attraverso la depolarizzazione dei neuroni. DOPAC è uno dei principali acidi fenolici formati durante la fermentazione microbica umana di tè, agrumi e integratori di flavonoidi di soia. DOPAC può essere trovato nei batteri Gram-positivi. </t>
    </r>
  </si>
  <si>
    <r>
      <t xml:space="preserve">Alti livelli di DOPAC possono essere rilevati a causa di fattori che inibiscono la dopamina beta idrossilasi (DBH) come elevati metaboliti di </t>
    </r>
    <r>
      <rPr>
        <i/>
        <sz val="10"/>
        <color theme="1"/>
        <rFont val="Calibri"/>
        <family val="2"/>
        <scheme val="minor"/>
      </rPr>
      <t>Clostridia</t>
    </r>
    <r>
      <rPr>
        <sz val="10"/>
        <color theme="1"/>
        <rFont val="Calibri"/>
        <family val="2"/>
        <scheme val="minor"/>
      </rPr>
      <t>, carenze di S-adenosil metione (SAM-e) o carenze dell'enzima che utilizza SAM-e, catecolo Ometiltransferasi (COMT).</t>
    </r>
  </si>
  <si>
    <t>I bassi livelli di DOPAC possono essere dovuti alla diminuzione dell'assunzione o dell'assorbimento degli aminoacidi precursori della dopamina come la fenilalanina e / o la tirosina o alla diminuzione delle quantità di cofattori necessari per la biosintesi della dopamina come la tetraidrobiopterina e il coenzima della vitamina B6. I livelli di DOPAC possono anche essere bassi a causa del trattamento con inibitori della monoamino ossidasi (MAO) o polimorfismi genetici (SNP) di MAO o aldeide deidrogenasi (ALDH) che causano una diminuzione dell'attività enzimatica.</t>
  </si>
  <si>
    <r>
      <t>L’ acido 5-idrossiindolacetico</t>
    </r>
    <r>
      <rPr>
        <sz val="10"/>
        <color rgb="FF000000"/>
        <rFont val="Calibri"/>
        <family val="2"/>
      </rPr>
      <t xml:space="preserve"> (5-HIAA) deriva dal metabolismo della serotonina, formato a partire dal triptofano per opera della monoaminaossidasi (MAO). Alcuni alimenti ricchi di triptofano possono aumentare i livelli di 5-idrossiindolacetato: burro </t>
    </r>
    <r>
      <rPr>
        <sz val="10"/>
        <rFont val="Calibri"/>
        <family val="2"/>
      </rPr>
      <t xml:space="preserve">d’arachidi, noci, pollo, carne rossa, semi, banane (alimenti da preferire in caso di carenza). Scarsa serotina induce una scarsa mobilità intestinale e quindi costipazione. </t>
    </r>
  </si>
  <si>
    <t xml:space="preserve">Il deficit dell'acido 5-HIAA potrebbe indicare una ridotta produzione o consumo del neurotrasmettitore serotonina del quale è diretto metabolita. Quindi è spesso associato a sintomatologie depressive. Inoltre la carenza di 5-HIAA può essere associata a scarso introito dell'aminoacido triptofano, precursore della serotonina, oppure dei cofattori enzimatici necessari per la conversione (tetrabiopterina e vit.B6) , integrazioni consigliate in questi casi.  Anche polimorfismi genetici o mutazioni, così come difetti nella metilazione, possono ridurre i livelli di questo metabolita. Anche in pazienti che assumono inibitori della monoamina ossidasi (MAO) si possono riscontrare livelli bassi di questo metabolita, così come un utilizzo importante di alimenti che contengono tiramina ( vino rosso o cibi fermentati ). </t>
  </si>
  <si>
    <t xml:space="preserve">Valori urinari elevati di 5-HIAA possono riflettere scarsa motilità intestinale: la serotonina produce enterocromaffina intestinale necessaria per la motilità del tratto gastrointestinale, quindi la sua carenza provoca costipazione. Spesso ,infatti, farmaci antidepressivi vengono utilizzati per trattare problemi intestinali, comportando aumento dei livelli di 5-HIAA. L'aumento di questo metabolita può riflettere anche l’introito di alimenti che contengono triptofano o integratori con 5-idrossitriptofano (5-HTP). Tumori carcinoidi possono indurre elevati livelli urinari di 5-HIAA. Alcuni farmaci come aspirina, sciroppi espettoranti e paracetamolo possono avere un forte impatto sulla produzione di 5-HIAA e sono quindi da tenere in considerazione nella valutazione complessiva. Difetti di metilazione o mancanza di cofattori per la metilazione possono comportare alterazione dei livelli di 5-HIAA. </t>
  </si>
  <si>
    <r>
      <t>L’acido chinurenico</t>
    </r>
    <r>
      <rPr>
        <sz val="10"/>
        <color rgb="FF000000"/>
        <rFont val="Calibri"/>
        <family val="2"/>
      </rPr>
      <t xml:space="preserve"> è un metabolita del triptofano, importante per il meccanismo di produzione di NAD+ e per le reazioni di ossidoriduzione mitocondriali. A partire dal triptofano possono diramarsi tre pathway: il primo per la produzione proteica, il secondo per la produzione di serotonina e il terzo per la produzione di NAD+.  La via della chinurenina è particolarmente sensibile alla carenza di vitamina B6, che può elevare l'acido chinurenico urinario. Insieme all’acido chinolinico, può riflettere il fabbisogno di vitamina B3. L'acido chinurenico ha mostrato alcune proprietà neuroprotettive nel cervello, poiché può stimolare i recettori NMDA. Tuttavia, la sua importanza alla periferia non è ancora del tutto chiarita. Alcuni studi ne delineano proprietà antinfiammatorie, analgesiche, antiaterogeniche, antiossidanti. </t>
    </r>
  </si>
  <si>
    <t xml:space="preserve">L'eccesso di acido chinurenico può essere dovuto a carenza di vit.B6 , ma può riflettere anche deficienza di B3, integrazioni da valutare in questi casi. Contraccettivi orali e la terapia estrogenica sono stati implicati nell'aumento dell'escrezione di acido chinurenico sia direttamente dal metabolismo alterato del triptofano, sia dall'insufficienza di vitamina B6. Nel caso di disordini alimentari la carenza di vit.B6 si può manifestare con fotosensibilità, dermatiti, diarrea e demenza. E' ancora da chiarire il suo coinvolgimento nella patogenesi di una serie di condizioni neurologiche e nel processo d'invecchiamento. Alcuni studi riscontrano elevati livelli di acido chinurenico in pazienti affetti da HIV e da neuroborelliosi di Lyme, ma anche in pazienti con Alzheimer, sindrome di Down e malattia di Huntington. </t>
  </si>
  <si>
    <r>
      <t>L’acido chinolinico</t>
    </r>
    <r>
      <rPr>
        <sz val="10"/>
        <color rgb="FF000000"/>
        <rFont val="Calibri"/>
        <family val="2"/>
      </rPr>
      <t xml:space="preserve"> è un metabolita dell'aminoacido triptofano prodotto dal pathway della chinurenina, il meccanismo per la produzione di NAD+ fondamentale per le reazioni di ossidoriduzione mitocondriali. A partire dal triptofano possono diramarsi tre pathway: il primo per la produzione proteica, il secondo per la produzione di serotonina e il terzo per quella di NAD+ (e ac.chinolinico). Se quest’ultimo pathway viene preferito, è in corso una risposta infiammatoria e stressogena, che porterà a un deficit di serotonina. L’acido chinolinico agisce come agonista del recettore NMDA e ha un possibile ruolo nelle malattie neurodegenerative, data la sua azione infiammatoria , neurotossica e pro-ossidante. </t>
    </r>
  </si>
  <si>
    <t xml:space="preserve">Livelli elevati di acido chinolinico sono correlati a deficienza di vitamine B6 e B3, integrazioni consigliate in questi casi. Anche l’utilizzo di contraccettivi orali e terapia estrogenica implicano un aumento del metabolita, così come deficit neuropsicologici nei pazienti affetti da AIDS, Alzheimer, ischemia cerebrale , morbo di Parkinson, infiammazione cronica dovuta da infezione microbica intestinale, sovraesposizione a ftalati. I livelli di acido chinolinico appaiono aumentati anche in bambini affetti da infezioni batteriche con coinvolgimento del SNC e in pazienti adulti con poliovirus o malattia di Lyme. </t>
  </si>
  <si>
    <r>
      <t>L’acido pantotenico</t>
    </r>
    <r>
      <rPr>
        <sz val="10"/>
        <color rgb="FF000000"/>
        <rFont val="Calibri"/>
        <family val="2"/>
      </rPr>
      <t xml:space="preserve"> si riferisce alla vit. B5, vitamina idrosolubile necessaria per formare il coenzima-A , fondamentale per il metabolismo e la sintesi di carboidrati, proteine e grassi. Ha un ruolo importante nella regolazione del colesterolo nel sangue, nel mantenimento del sistema nervoso e dei livelli ormonali. Fonti alimentari di acido pantotenico sono la carne, le uova, i prodotti integrali, legumi, latte, frutta e verdura. Solitamente viene rilasciata rapidamente nelle urine.</t>
    </r>
  </si>
  <si>
    <r>
      <t>L’acido glutarico</t>
    </r>
    <r>
      <rPr>
        <sz val="10"/>
        <color rgb="FF000000"/>
        <rFont val="Calibri"/>
        <family val="2"/>
      </rPr>
      <t xml:space="preserve"> è un prodotto intermedio del metabolismo di alcuni aminoacidi, tra cui lisina e triptofano. L'aumento indica carenza di riboflavina (vitamina B2) , cofattore necessario all'enzima glutaril-CoA deidrogenasi che dovrebbe convertire l'acido glutarico in Cotonil-CoA. Altri possibili fattori che aumentano i livelli di acido glutarico includono difetti di ossidazione degli acidi grassi ed effetti metabolici dell'acido valproico (Depakene) o celiachia.</t>
    </r>
  </si>
  <si>
    <t>L'eccesso di acido glutarico potrebbe rappresentare carenza di vit.B2 o difetti di ossidazione.  Valori molto elevati di acido glutarico evidenziano la malattia genetica acidemia glutarica tipo I, in cui l'enzima che dovrebbe mediare il catabolismo amminoacidico non funziona correttamente.</t>
  </si>
  <si>
    <r>
      <t>L’acido metilmalonico</t>
    </r>
    <r>
      <rPr>
        <sz val="10"/>
        <color rgb="FF000000"/>
        <rFont val="Calibri"/>
        <family val="2"/>
      </rPr>
      <t xml:space="preserve"> è un metabolita formato a partire dal propionil-CoA derivato da valina, isoleucina, metionina, treonina e acidi grassi a catena dispari poi convertito in metilmalonil-CoA. Il metilmalonil-CoA ha due destini: il primo è quello di entrare nel ciclo di Krebs come succinil-CoA, tramite l'azione della metilmalonil-CoA mutasi , enzima che utilizza vit.B12 come cofattore ,il secondo destino è invece quello di essere convertito in acido metilmalonico e quindi eliminato tramite le urine. </t>
    </r>
  </si>
  <si>
    <t>L'eccesso di acido metilmalonico riflette deficienza di vit.B12 principalmente, ma può anche individuare una rara deficienza enzimatica della metilmalonil-CoA mutasi. La deficienza di vit.B12 potrebbe essere causata da problemi di assorbimento intestinale , alcolismo e dieta strettamente vegana. Fonti alimentari di vitamina B12 sono principalmente di origine animale : fegato, latte e derivati, manzo e uova. Il livello di acido metilmalonico sembra essere un indicatore maggiormente sensibile alla carenza di vitamina B12 rispetto la quantificazione della vitamina B12 direttamente nel siero. E’ importante monitorare questo metabolita nella prevenzione del declino cognitivo e neuropatia.</t>
  </si>
  <si>
    <r>
      <t>L’N-acetilcisteina</t>
    </r>
    <r>
      <rPr>
        <sz val="10"/>
        <color rgb="FF000000"/>
        <rFont val="Calibri"/>
        <family val="2"/>
      </rPr>
      <t xml:space="preserve"> è un potente antiossidante che aumenta le riserve di glutatione nel corpo. Insieme al glutatione, di cui è precursore, l'N-acetilcisteina si lega direttamente ai metaboliti tossici svolgendo anche un' azione citoprotettiva per la cellula. Sebbene l'N-acetilcisteina possa essere utile in determinate condizioni , l'uso eccessivo del supplemento potrebbe essere dannoso. L'integrazione di NAC viene spesso utilizzata in casi di sovradosaggio di paracetamolo, nel quale l'N-acetilcisteina agisce per mantenere o reintegrare le riserve di glutatione impoverite nel fegato e migliorare il metabolismo non tossico del paracetamolo. NAC viene utilizzato anche come agente mucolitico o antivirale in pazienti con HIV .</t>
    </r>
  </si>
  <si>
    <r>
      <t>L’acido ascorbico</t>
    </r>
    <r>
      <rPr>
        <sz val="10"/>
        <color rgb="FF000000"/>
        <rFont val="Calibri"/>
        <family val="2"/>
      </rPr>
      <t xml:space="preserve"> si trova naturalmente in frutta e verdura ed è un nutriente essenziale nella dieta umana. La forma biologicamente attiva dell'acido ascorbico è la vitamina C. Il corpo umano non è in grado di sintetizzarlo in autonomia, quindi è essenziale introdurlo tramite l'alimentazione. Fonti alimentari di vitamina C sono kiwi, fragole, agrumi, ananas, verdure e ortaggi freschi.  La vit.C funziona come agente riducente e coenzima di diverse vie metaboliche ( biosintesi carnitina e noradrenalina, metabolismo tirosina, idrossilazione del collagene e amidazione degli ormoni peptidici) . La sua capacità di donare elettroni lo rende un potente antiossidante solubile in acqua che elimina prontamente i radicali liberi come ossigeno molecolare, superossido, radicale idrossile e acido ipocloroso. In questo contesto, diversi meccanismi potrebbero spiegare un legame tra vit.C e malattie cardiache, in primis la relazione tra l'ossidazione del colesterolo LDL e vit.C ed E, oltre che i meccanismi che sembrano migliorare la vasodilatazione e reattività vascolare . </t>
    </r>
  </si>
  <si>
    <t xml:space="preserve">Il suo deficit è associato a mancanza. E’ consigliabile supplementazione di vitamina C in questi casi. </t>
  </si>
  <si>
    <r>
      <t>L’acido 4-piridossico</t>
    </r>
    <r>
      <rPr>
        <sz val="10"/>
        <color rgb="FF000000"/>
        <rFont val="Calibri"/>
        <family val="2"/>
      </rPr>
      <t xml:space="preserve"> è un membro della classe di composti noti come metilpiridine ed è il prodotto catabolico della  vitamina B6. La vitamina B6 interviene nel processo di trasformazione di proteine, carboidrati e grassi e contribuisce alla formazione dell'emoglobina . E' inoltre importante per il normale sviluppo cerebrale e per il sistema immunitario . E' inoltre fondamentale per la sintesi della serotonina , che insieme ad altri neurotrasmettitori contibuisce a regolare l'umore, il sonno, l'appetito, la memoria e la capacità di concentrazione. Poiché alcuni individui possono richiedere dosi molto elevate di vitamina B6, valori elevati non indicano la necessità di ridurre l'assunzione di vitamina B6. Fonti alimentari di vitamina B6 sono carne, pesce, fegato, cereali integrali, uova , latte e formaggi , ma anche ceci , lenticchie e frutta secca .</t>
    </r>
  </si>
  <si>
    <t xml:space="preserve"> Il deficit di acido 4-piridossico nelle urine potrebbe essere correlato a scarsi livelli di vit.B6, alti ossalati, bassi neurotrasmettitori o problemi di malassorbimento. Valutare integrazione di vitamina B6.</t>
  </si>
  <si>
    <r>
      <t>L’acido 3-idrossi-3-metilglutarico (HMG)</t>
    </r>
    <r>
      <rPr>
        <sz val="10"/>
        <color rgb="FF000000"/>
        <rFont val="Calibri"/>
        <family val="2"/>
      </rPr>
      <t xml:space="preserve"> è un intermedio nel processo di degradazione della leucina, ma anche un precursore metabolico del colesterolo e del CoQ10. Il 3-idrossi-3-metilglutaril-CoA viene solitamente convertito in acetil-CoA e acetoacetato dall'enzima 3-idrossi-3-metiglutaril-CoA liasi ma in caso di inefficienza enzimatica non avviene tale conversione con accumulo di HMG che comporta tossicità mitocondriale.  L'enzima HMG-CoA liasi ha un ruolo importante anche nella formazione del corpo chetonico 3-idrossibutirrico. HMG è un metabolita con azione ipolipidemizzante e inibisce la sintesi di colesterolo.  Farmaci che interferiscono con l’enzima HMG-CoA liasi inducono elevati livelli di HMG e conseguenti bassi livelli di colesterolo e CoQ10. </t>
    </r>
  </si>
  <si>
    <r>
      <t>L’acido mandelico</t>
    </r>
    <r>
      <rPr>
        <sz val="10"/>
        <color rgb="FF000000"/>
        <rFont val="Calibri"/>
        <family val="2"/>
      </rPr>
      <t xml:space="preserve"> è un derivato della fenilalanina e del metabolismo di adrenalina e noradrenalina. L'acido mandelico può essere anche prodotto dall'esposizione allo stirene, un composto ambientale tossico. Ha anche proprietà antibatteriche e lenitive, per il quale viene utilizzato spesso nella cosmesi.</t>
    </r>
  </si>
  <si>
    <r>
      <rPr>
        <b/>
        <sz val="10"/>
        <color rgb="FF000000"/>
        <rFont val="Calibri"/>
        <family val="2"/>
      </rPr>
      <t>L'acido omogentisico</t>
    </r>
    <r>
      <rPr>
        <sz val="10"/>
        <color rgb="FF000000"/>
        <rFont val="Calibri"/>
        <family val="2"/>
      </rPr>
      <t xml:space="preserve">, noto anche come acido melanico, </t>
    </r>
    <r>
      <rPr>
        <b/>
        <sz val="10"/>
        <color rgb="FF000000"/>
        <rFont val="Calibri"/>
        <family val="2"/>
      </rPr>
      <t xml:space="preserve"> </t>
    </r>
    <r>
      <rPr>
        <sz val="10"/>
        <color rgb="FF000000"/>
        <rFont val="Calibri"/>
        <family val="2"/>
      </rPr>
      <t>è un</t>
    </r>
    <r>
      <rPr>
        <b/>
        <sz val="10"/>
        <color rgb="FF000000"/>
        <rFont val="Calibri"/>
        <family val="2"/>
      </rPr>
      <t xml:space="preserve"> </t>
    </r>
    <r>
      <rPr>
        <sz val="10"/>
        <color rgb="FF000000"/>
        <rFont val="Calibri"/>
        <family val="2"/>
      </rPr>
      <t>metabolita implicato nel processo di degradazione di tirosina e fenilalanina, mediato dall'enzima omogentisica ossidasi e dal cofattore ferro.  Se l'enzima è mutato,  avviene eccesso di acido omogentisico e manifestazione dei segni clinici di alcaptonuria, rara malattia metabolica: cambio di colore delle urine, artrite, nefrolitiasi, patologie della valvola cardiaca, ecc.. Può considerarsi un possibile marker di rischio coronarico per stress ossidativo, oltre che una osteotossina e tossina renale, provocando danni a ossa, articolazioni e/o reni. Difatti l'accumulo di acido omogentisico provoca danni alla cartilagine e alle valvole cardiache, oltre a precipitare come calcoli renali. La conversione dell'acido omogentisico ad acido acetico benzochinone, porta alla formazione di polimeri che si depositano nel collagene cartilagineo  provocando ocronosi e poi osteoartrite.</t>
    </r>
  </si>
  <si>
    <t xml:space="preserve">L'eccesso è raro e generalmente associato ad alcaptonuria . Se il valore è leggermente alterato, integrare il cofattore enzimatico ferro e l'antiossidante vit.C, quindi ricontrollare nel tempo indagando le funzionalità cardiache, renali e articolari. Valutare una dieta a basso contenuto proteico. </t>
  </si>
  <si>
    <r>
      <rPr>
        <b/>
        <sz val="10"/>
        <color rgb="FF000000"/>
        <rFont val="Calibri"/>
        <family val="2"/>
      </rPr>
      <t>L'acido 2-idrossiisocaproico</t>
    </r>
    <r>
      <rPr>
        <sz val="10"/>
        <color rgb="FF000000"/>
        <rFont val="Calibri"/>
        <family val="2"/>
      </rPr>
      <t xml:space="preserve"> è un prodotto finale del metabolismo della leucina . Viene ampiamente utilizzato dalla comunità del body building . Da studi recenti , sembra dimostrato che nei pazienti con la malattia dello sciroppo d'acero acceleri la perossidazione lipidica.  L'acido 2-idrossiisocaproico è anche prodotto da Lactobacilli e altre specie funginee. </t>
    </r>
  </si>
  <si>
    <t>L'eccesso moderato dell'acido 2-idrossiisocaproico si associa a integrazione di leucina oppure a sovracrescita funginea. Se in forte eccesso, indagare se si tratta di malattia di sciroppo d'acero (MSUD), una malattia metabolica ereditaria prevalentemente caratterizzata da disfunzione neurologica , psicomotoria e  ritardo mentale.</t>
  </si>
  <si>
    <r>
      <t>L’acido N-acetilaspartico</t>
    </r>
    <r>
      <rPr>
        <sz val="10"/>
        <color rgb="FF000000"/>
        <rFont val="Calibri"/>
        <family val="2"/>
      </rPr>
      <t xml:space="preserve"> è un derivato dell'acido aspartico, amminoacido presente in dolcificanti con aspartame , integratori con acido aspartico o sali derivati oppure in fonti vegetali e animali in minor misura . L'acido N-acetilaspartico è la seconda molecola più concentrata nel cervello dopo l'amminoacido glutammato. Le varie funzioni svolte dall'acido N-acetilaspartico sono ancora in fase di studio, ma le principali funzioni proposte includono (1) agire come osmolita neuronale coinvolto nell'equilibrio dei fluidi nel cervello, (2) servire come fonte di acetato per la sintesi di lipidi e mielina negli oligodendrociti , (3) servire come precursore per la sintesi dell'importante neurotrasmettitore dipeptide N-acetilaspartilglutammato (NAAG), e (4) svolgere un ruolo potenziale nella produzione di energia dall'aminoacido glutammato nei mitocondri neuronali. Alti livelli di acido N-acetilaspartico possono portare a segnali neurali anormali, sviluppo intellettuale ritardato o arrestato e difficoltà con le capacità motorie generali. Quando presente in livelli sufficientemente elevati, l'acido N-acetilaspartico può essere una neurotossina, un acidogeno e una metabotossina. Questa situazione si manifesta in caso di disturbi genetici , come la malattia di Canavan , provocando degenerazione cerebrale.</t>
    </r>
  </si>
  <si>
    <t xml:space="preserve">Il leggero eccesso di acido N-acetilaspartico potrebbe derivare da un forte uso di prodotti con aspartato (bevande o soia). Se molto superiore , seguire degli accertamenti a livello neuronale. </t>
  </si>
  <si>
    <r>
      <t>L’acido malonico</t>
    </r>
    <r>
      <rPr>
        <sz val="10"/>
        <color rgb="FF000000"/>
        <rFont val="Calibri"/>
        <family val="2"/>
      </rPr>
      <t xml:space="preserve"> è coinvolto nella biosintesi degli acidi grassi , unendosi con l'acido acetico per la conversione in acido acetoacetico. L'acido malonico è stato rilevato in diversi alimenti come barbabietole rosse, mais, fagioli e latte di vacca. Ciò potrebbe rendere l'acido malonico un potenziale biomarcatore per il consumo di questi alimenti. L'acido malonico è stato trovato associato a diverse malattie come l'esofagite eosinofila, l'aciduria malonica e metilmalonica combinata e la preeclampsia precoce.</t>
    </r>
  </si>
  <si>
    <r>
      <t xml:space="preserve"> L’acido 4-idrossifenilpiruvico</t>
    </r>
    <r>
      <rPr>
        <sz val="10"/>
        <color rgb="FF000000"/>
        <rFont val="Calibri"/>
        <family val="2"/>
      </rPr>
      <t xml:space="preserve"> è un chetoacido coinvolto nella via del catabolismo della tirosina, che viene poi convertito in acido omogentisico dall'enzima 4-idrossifenilpiruvico acido diossigenasi (HPD). Il deficit dell'enzima HPD provoca fenilchetonuria, un errore congenito metabolico. </t>
    </r>
  </si>
  <si>
    <r>
      <rPr>
        <b/>
        <sz val="10"/>
        <color rgb="FF000000"/>
        <rFont val="Calibri"/>
        <family val="2"/>
      </rPr>
      <t xml:space="preserve">L'acido 2-idrossi-3-metilbutirrico </t>
    </r>
    <r>
      <rPr>
        <sz val="10"/>
        <color rgb="FF000000"/>
        <rFont val="Calibri"/>
        <family val="2"/>
      </rPr>
      <t xml:space="preserve">ha origine principalmente dalla chetogenesi e dal metabolismo della valina, leucina e isoleucina . E' presente in pazienti con fenilchetonuria, acidemia, malattia dello sciroppo d'acero e altre patologie metaboliche congenite oppure in casi di chetoacidosi.  </t>
    </r>
  </si>
  <si>
    <r>
      <rPr>
        <b/>
        <sz val="10"/>
        <color rgb="FF202122"/>
        <rFont val="Calibri"/>
        <family val="2"/>
      </rPr>
      <t>Uracile e timina</t>
    </r>
    <r>
      <rPr>
        <sz val="10"/>
        <color rgb="FF202122"/>
        <rFont val="Calibri"/>
        <family val="2"/>
      </rPr>
      <t xml:space="preserve"> sono correlati al metabolismo dell'acido folico. L'acido folico è fondamentale per la replicazione del materiale genico in quanto ricopre un ruolo chiave nella biosintesi di purine e pirimidine (costituenti del DNA e dell'RNA) oltre che di aminoacidi : nell'uomo viene assimilato dalla dieta e non sintetizzato. La carenza di acido folico è implicata negativamente in questi processi di regolazione genomica o epigenetica. L'enzima 5,10-metiltetridrofolato reduttasi (5,10-MTHFR) è un enzima dipendente dall'acido folico che esiste in forma polimorfica. L'azione dell'enzima 5,10-MTHFR regola sia l'espressione fenotipica del DNA che il metabolismo dell'omocisteina. A fronte di un corretto apporto nutrizionale di acido folico la presenza ottimale di 5,10-MTHFR protegge dal rischio di un non corretto sviluppo embriogenetico così come dallo sviluppo di molte malattie degenerative. Uracile e timina vengono liberati dal RNA e DNA , con aumento di instabilità genomica ed effetti epigenetici, nel caso di deficienza di acido folico. </t>
    </r>
  </si>
  <si>
    <r>
      <t>L'eccesso di uno o entrambi i metaboliti uracile e timina, è correlato a disturbi del metabolismo dell'acido folico, deficienza di acido folico e disturbi genetici del metabolismo delle pirimidine. Uno scarso apporto di acido folico e la conseguente ridotta produzione dell'enzima 5,10-MTHFR che interviene nella corretta conversione dalla dUMP (deossiuridina monofosfato) a dTMP (deossitimidina monofosfato), determina un aumento della mis-incorporazione dell'uracile</t>
    </r>
    <r>
      <rPr>
        <b/>
        <sz val="10"/>
        <color rgb="FF202122"/>
        <rFont val="Calibri"/>
        <family val="2"/>
      </rPr>
      <t xml:space="preserve"> </t>
    </r>
    <r>
      <rPr>
        <sz val="10"/>
        <color rgb="FF202122"/>
        <rFont val="Calibri"/>
        <family val="2"/>
      </rPr>
      <t>nel DNA con un aumento dell'instabilità genomica. Ricerche dimostrano che i processi che intervengono nella morte cellulare programmata sono strettamente correlati con la presenza dell'acido folico circolante che è responsabile dell'integrità del genoma umano.</t>
    </r>
  </si>
  <si>
    <r>
      <t>L’acido citramalico</t>
    </r>
    <r>
      <rPr>
        <sz val="10"/>
        <color rgb="FF000000"/>
        <rFont val="Calibri"/>
        <family val="2"/>
      </rPr>
      <t xml:space="preserve"> è un analogo dell'acido malico. Si trova in quasi tutti gli organismi viventi,  ma è principalmente un metabolita sottoprodotto di alcune specie di lievito ( es. </t>
    </r>
    <r>
      <rPr>
        <i/>
        <sz val="10"/>
        <color rgb="FF000000"/>
        <rFont val="Calibri"/>
        <family val="2"/>
      </rPr>
      <t>Saccharomyces , Propionibacterium acnes</t>
    </r>
    <r>
      <rPr>
        <sz val="10"/>
        <color rgb="FF000000"/>
        <rFont val="Calibri"/>
        <family val="2"/>
      </rPr>
      <t xml:space="preserve"> e </t>
    </r>
    <r>
      <rPr>
        <i/>
        <sz val="10"/>
        <color rgb="FF000000"/>
        <rFont val="Calibri"/>
        <family val="2"/>
      </rPr>
      <t>Aspergillus niger</t>
    </r>
    <r>
      <rPr>
        <sz val="10"/>
        <color rgb="FF000000"/>
        <rFont val="Calibri"/>
        <family val="2"/>
      </rPr>
      <t xml:space="preserve">…). L'acido citramalico può essere scomposto dall'enzima citramalato liasi, che converte il citramalato in acetato e piruvato. In maniera opposta, la citramalato sintasi è un enzima presente nei batteri che sintetizza l'acido citramalico da acetil-CoA, piruvato e acqua. L'acido citramalico può avere un ruolo utile nelle diagnosi mediche: è  stato trovato nelle urine di due fratelli con caratteristiche autistiche. L'acido citramalico può anche essere usato come marcatore urinario per la disbiosi intestinale. La sua presenza urinaria può essere anche influenzata dal massiccio introito alimentare di frutta (mele, mirtilli rossi e barbabietola da zucchero). </t>
    </r>
  </si>
  <si>
    <r>
      <t xml:space="preserve">L’acido 5-idrossimetil-2-furancarbossilico, </t>
    </r>
    <r>
      <rPr>
        <sz val="10"/>
        <color rgb="FF000000"/>
        <rFont val="Calibri"/>
        <family val="2"/>
      </rPr>
      <t>anche detto acido Sumiki, è un metabolita umano naturale.</t>
    </r>
    <r>
      <rPr>
        <b/>
        <sz val="10"/>
        <color rgb="FF000000"/>
        <rFont val="Calibri"/>
        <family val="2"/>
      </rPr>
      <t xml:space="preserve"> </t>
    </r>
    <r>
      <rPr>
        <sz val="10"/>
        <color rgb="FF000000"/>
        <rFont val="Calibri"/>
        <family val="2"/>
      </rPr>
      <t>Viene anche prodotto da alcune specie di funghi e lieviti, es</t>
    </r>
    <r>
      <rPr>
        <i/>
        <sz val="10"/>
        <color rgb="FF000000"/>
        <rFont val="Calibri"/>
        <family val="2"/>
      </rPr>
      <t>.Aspergillus</t>
    </r>
    <r>
      <rPr>
        <sz val="10"/>
        <color rgb="FF000000"/>
        <rFont val="Calibri"/>
        <family val="2"/>
      </rPr>
      <t xml:space="preserve">. </t>
    </r>
  </si>
  <si>
    <r>
      <t xml:space="preserve">L'acido Sumiki può essere escreto in eccesso da soggetti normali dopo un carico di fenilalanina .L'acido Sumiki è un sottoprodotto del fungo </t>
    </r>
    <r>
      <rPr>
        <i/>
        <sz val="10"/>
        <color rgb="FF202122"/>
        <rFont val="Calibri"/>
        <family val="2"/>
      </rPr>
      <t>Aspergillus</t>
    </r>
    <r>
      <rPr>
        <sz val="10"/>
        <color rgb="FF202122"/>
        <rFont val="Calibri"/>
        <family val="2"/>
      </rPr>
      <t xml:space="preserve"> e probabilmente anche di altre specie di funghi e lieviti.</t>
    </r>
  </si>
  <si>
    <r>
      <t>L’acido tartarico</t>
    </r>
    <r>
      <rPr>
        <sz val="10"/>
        <color rgb="FF000000"/>
        <rFont val="Calibri"/>
        <family val="2"/>
      </rPr>
      <t xml:space="preserve"> è un metabolita aspecifico di infezioni da lieviti e batteri come da </t>
    </r>
    <r>
      <rPr>
        <i/>
        <sz val="10"/>
        <color rgb="FF000000"/>
        <rFont val="Calibri"/>
        <family val="2"/>
      </rPr>
      <t>Agrobacterium, Nocardia, Rhizobium, Saccharomyces</t>
    </r>
    <r>
      <rPr>
        <sz val="10"/>
        <color rgb="FF000000"/>
        <rFont val="Calibri"/>
        <family val="2"/>
      </rPr>
      <t xml:space="preserve">. Può derivare anche dall'utilizzo massiccio di vino , grappe, cioccolato o conservanti alimentari . Naturalmente presente nei prodotti derivati dalla spremitura dell'uva , viene invece aggiunto come conservante , antiossidante, emulsionante e acidificante dall'industria alimentare . Consumato ad alte dosi agisce come tossina muscolare con alterazioni gravi come paralisi e morte. </t>
    </r>
  </si>
  <si>
    <r>
      <t xml:space="preserve">I livelli elevati nelle urine possono essere dovuti alla presenza di lieviti (nell'intestino o nella vescica). Anche l’infezione da </t>
    </r>
    <r>
      <rPr>
        <i/>
        <sz val="10"/>
        <color rgb="FF202122"/>
        <rFont val="Calibri"/>
        <family val="2"/>
      </rPr>
      <t>Candida</t>
    </r>
    <r>
      <rPr>
        <sz val="10"/>
        <color rgb="FF202122"/>
        <rFont val="Calibri"/>
        <family val="2"/>
      </rPr>
      <t xml:space="preserve"> stimola  produzione di questo metabolita. Indagare inoltre le abitudini alimentari del paziente , essendo biomarcatore di alcuni alimenti prima elencati.  Alti livelli di acido tartarico sono stati trovati nei bambini autistici.</t>
    </r>
  </si>
  <si>
    <r>
      <t>Furan carbonil glicina</t>
    </r>
    <r>
      <rPr>
        <sz val="10"/>
        <color rgb="FF000000"/>
        <rFont val="Calibri"/>
        <family val="2"/>
      </rPr>
      <t xml:space="preserve"> è un metabolita aspecifico prodotto da </t>
    </r>
    <r>
      <rPr>
        <i/>
        <sz val="10"/>
        <color rgb="FF000000"/>
        <rFont val="Calibri"/>
        <family val="2"/>
      </rPr>
      <t>Aspergillus</t>
    </r>
    <r>
      <rPr>
        <sz val="10"/>
        <color rgb="FF000000"/>
        <rFont val="Calibri"/>
        <family val="2"/>
      </rPr>
      <t xml:space="preserve"> e altre specie funginee nel tratto gastrointestinale. L'</t>
    </r>
    <r>
      <rPr>
        <i/>
        <sz val="10"/>
        <color rgb="FF000000"/>
        <rFont val="Calibri"/>
        <family val="2"/>
      </rPr>
      <t>Aspergillus</t>
    </r>
    <r>
      <rPr>
        <sz val="10"/>
        <color rgb="FF000000"/>
        <rFont val="Calibri"/>
        <family val="2"/>
      </rPr>
      <t xml:space="preserve"> trasmette micosi opportunistiche: similmente a </t>
    </r>
    <r>
      <rPr>
        <i/>
        <sz val="10"/>
        <color rgb="FF000000"/>
        <rFont val="Calibri"/>
        <family val="2"/>
      </rPr>
      <t>Candida albicans</t>
    </r>
    <r>
      <rPr>
        <sz val="10"/>
        <color rgb="FF000000"/>
        <rFont val="Calibri"/>
        <family val="2"/>
      </rPr>
      <t xml:space="preserve">, </t>
    </r>
    <r>
      <rPr>
        <i/>
        <sz val="10"/>
        <color rgb="FF000000"/>
        <rFont val="Calibri"/>
        <family val="2"/>
      </rPr>
      <t>Aspergillus</t>
    </r>
    <r>
      <rPr>
        <sz val="10"/>
        <color rgb="FF000000"/>
        <rFont val="Calibri"/>
        <family val="2"/>
      </rPr>
      <t xml:space="preserve"> crea danno nell'ospite (uomo) esclusivamente in condizioni a esso favorevoli. Difatti, </t>
    </r>
    <r>
      <rPr>
        <i/>
        <sz val="10"/>
        <color rgb="FF000000"/>
        <rFont val="Calibri"/>
        <family val="2"/>
      </rPr>
      <t>Aspergillus</t>
    </r>
    <r>
      <rPr>
        <sz val="10"/>
        <color rgb="FF000000"/>
        <rFont val="Calibri"/>
        <family val="2"/>
      </rPr>
      <t xml:space="preserve"> rientra tra i microorganismi commensali che, solo in alcune precise circostanze, si trasformano in patogeni opportunisti. Il calo delle difese immunitarie dell'ospite, l'asma e le cisti bronchiali si rivelano importanti fattori predisponenti. La fonte di esposizione più comune è il cibo ammuffito oppure muffe ambientali casalinghe .</t>
    </r>
  </si>
  <si>
    <t>L'eccesso di furancarbonilglicina identifica sovracrescita funginea per cui si consiglia di indagare le abitudini alimentari e eventuali esposizioni ambientali. Valutare quindi una terapia anti-funginea ed eventualmente eseguire un test specifico per le infezioni funginee .</t>
  </si>
  <si>
    <r>
      <rPr>
        <b/>
        <sz val="10"/>
        <rFont val="Calibri"/>
        <family val="2"/>
        <scheme val="minor"/>
      </rPr>
      <t>L'acido tricarballilico</t>
    </r>
    <r>
      <rPr>
        <sz val="10"/>
        <rFont val="Calibri"/>
        <family val="2"/>
        <scheme val="minor"/>
      </rPr>
      <t xml:space="preserve"> è un sottoprodotto chimico rilasciato dalle fumonisine (contaminante di prodotti a base di mais ) durante il passaggio attraverso il tratto gastrointestinale. Le fumonisine sono tossine funginee prodotte principalmente dal fungo Fusarium verticillioides. L'acido tricarballilico è un inibitore dell'enzima aconitasi , chelante del magnesio, e quindi interferisce con il ciclo di Krebs. Inoltre, l'acido tricarballilico è un sottoprodotto della raffinazione dello zucchero di barbabietola e dello zucchero d'acero e potrebbe comparire dopo l'ingestione di questi zuccheri. </t>
    </r>
  </si>
  <si>
    <t>L'eccesso di acido tricarballilico potrebbe identificare sovracrescita funginea.  Le sindromi cliniche dovute alla micotossina intatta sono rare e caratterizzate da dolore addominale e diarrea. Può apparire anche dopo il consumo di barbabietola da zucchero o sciroppo d'acero.</t>
  </si>
  <si>
    <r>
      <rPr>
        <b/>
        <sz val="10"/>
        <rFont val="Calibri"/>
        <family val="2"/>
        <scheme val="minor"/>
      </rPr>
      <t>L' Arabinosio</t>
    </r>
    <r>
      <rPr>
        <sz val="10"/>
        <rFont val="Calibri"/>
        <family val="2"/>
        <scheme val="minor"/>
      </rPr>
      <t xml:space="preserve"> è uno zucchero pentoso  prodotto di degradazione dell'acido ialuronico, è possibile trovarlo anche in alcuni tipi di frutta ( mele, prugne, ciliegie e uva) . L'arabinosio si trova in tutti gli organismi, dai batteri alle piante agli animali. Esistono due diversi percorsi di utilizzo dell'arabinosio in natura: batterico e fungino. La via batterica converte l'arabinosio in xilulosio-5-P dopo di che entra nella via del pentoso fosfato per la produzione di etanolo. La via fungina converte l'arabinosio in L-arabinitolo e infine entra nella via del pentoso fosfato non ossidativo per un ulteriore metabolismo. La presenza di arabinosio nelle urine può indicare una crescita eccessiva di lievito intestinale come</t>
    </r>
    <r>
      <rPr>
        <i/>
        <sz val="10"/>
        <rFont val="Calibri"/>
        <family val="2"/>
        <scheme val="minor"/>
      </rPr>
      <t xml:space="preserve"> Candida albicans</t>
    </r>
    <r>
      <rPr>
        <sz val="10"/>
        <rFont val="Calibri"/>
        <family val="2"/>
        <scheme val="minor"/>
      </rPr>
      <t xml:space="preserve"> o altre specie di lieviti / funghi. L-arabinosio è anche un metabolita microbico trovato e prodotto da </t>
    </r>
    <r>
      <rPr>
        <i/>
        <sz val="10"/>
        <rFont val="Calibri"/>
        <family val="2"/>
        <scheme val="minor"/>
      </rPr>
      <t>Mycobacterium</t>
    </r>
    <r>
      <rPr>
        <sz val="10"/>
        <rFont val="Calibri"/>
        <family val="2"/>
        <scheme val="minor"/>
      </rPr>
      <t xml:space="preserve">. La candidosi è un'infezione opportunistica causata dal lievito e può portare a vari cambiamenti: disbiosi, allergie e intolleranze alimentari, stress ossidativo, ecc. </t>
    </r>
  </si>
  <si>
    <r>
      <t>L'eccesso di arabinosio potrebbe indicare infezione in corso di</t>
    </r>
    <r>
      <rPr>
        <i/>
        <sz val="10"/>
        <color rgb="FF000000"/>
        <rFont val="Calibri"/>
        <family val="2"/>
      </rPr>
      <t xml:space="preserve"> Candida</t>
    </r>
    <r>
      <rPr>
        <sz val="10"/>
        <color rgb="FF000000"/>
        <rFont val="Calibri"/>
        <family val="2"/>
      </rPr>
      <t xml:space="preserve"> o altri lieviti. Valutare anche lo stile alimentare del paziente in caso di presenza importante di questo metabolita, ridurre gli zuccheri. Potrebbe essere anche un marcatore di un utilizzo importante di frutta. </t>
    </r>
  </si>
  <si>
    <r>
      <rPr>
        <b/>
        <sz val="10"/>
        <rFont val="Calibri"/>
        <family val="2"/>
        <scheme val="minor"/>
      </rPr>
      <t>L'Arabitolo</t>
    </r>
    <r>
      <rPr>
        <sz val="10"/>
        <rFont val="Calibri"/>
        <family val="2"/>
        <scheme val="minor"/>
      </rPr>
      <t xml:space="preserve"> è poliolo (alcol dello zucchero) ottenuto dalla riduzione dell'arabinosio. E' considerato marcatore di candidosi invasiva o infezione da </t>
    </r>
    <r>
      <rPr>
        <i/>
        <sz val="10"/>
        <rFont val="Calibri"/>
        <family val="2"/>
        <scheme val="minor"/>
      </rPr>
      <t>Debaryomyces, Pichia</t>
    </r>
    <r>
      <rPr>
        <sz val="10"/>
        <rFont val="Calibri"/>
        <family val="2"/>
        <scheme val="minor"/>
      </rPr>
      <t xml:space="preserve"> e </t>
    </r>
    <r>
      <rPr>
        <i/>
        <sz val="10"/>
        <rFont val="Calibri"/>
        <family val="2"/>
        <scheme val="minor"/>
      </rPr>
      <t>Zygosaccharomyces</t>
    </r>
    <r>
      <rPr>
        <sz val="10"/>
        <rFont val="Calibri"/>
        <family val="2"/>
        <scheme val="minor"/>
      </rPr>
      <t>.</t>
    </r>
  </si>
  <si>
    <t xml:space="preserve">L'eccesso di arabitolo nelle urine identifica infezione funginea in corso. E' stato inoltre associato al morbo di Alzheimer. Errori congeniti metabolici possono causarne l'incremento nelle urine. </t>
  </si>
  <si>
    <r>
      <rPr>
        <b/>
        <sz val="10"/>
        <rFont val="Calibri"/>
        <family val="2"/>
        <scheme val="minor"/>
      </rPr>
      <t>L' acido 2,5-furandicarbossilico</t>
    </r>
    <r>
      <rPr>
        <sz val="10"/>
        <rFont val="Calibri"/>
        <family val="2"/>
        <scheme val="minor"/>
      </rPr>
      <t xml:space="preserve"> è un normale metabolita urinario nell'uomo, probabilmente derivante dall'utilizzo nella dieta di carne sottoposta a cottura. L'acido 2,5-furandicarbossilico è anche un metabolita microbico aspecifico e biomarcatore di forti quantità di fruttosio.</t>
    </r>
  </si>
  <si>
    <t xml:space="preserve">L'eccesso di acido 2,5-furandicarbossilico si associa a crescita funginea aspecifica o forte introito di frutta. </t>
  </si>
  <si>
    <r>
      <rPr>
        <b/>
        <sz val="10"/>
        <rFont val="Calibri"/>
        <family val="2"/>
        <scheme val="minor"/>
      </rPr>
      <t>L’acido 4-idrossiippurico</t>
    </r>
    <r>
      <rPr>
        <sz val="10"/>
        <rFont val="Calibri"/>
        <family val="2"/>
        <scheme val="minor"/>
      </rPr>
      <t xml:space="preserve"> è un prodotto finale microbico derivato dal metabolismo dei polifenoli da parte della microflora intestinale oppure di origine alimentare/farmacologica per assunzione di polifenoli o parabeni. </t>
    </r>
  </si>
  <si>
    <t>L'eccesso di 4-idrossiippurico può evidenziare l'esposizione dell'individuo a parabeni presenti in cibi,  cosmetici e in gran parte dei prodotti farmaceutici . Seppur in passato siano stati definiti sicuri per l'uomo, la loro bassa tossicità continua a essere discussa. L'eccesso di questo metabolita si può associare anche all'assunzione di frutti contenenti polifenoli ricchi di antociani, flavonoli e idrossicinnamati, oppure a un eccesso di batteri che metabolizzano polifenoli.</t>
  </si>
  <si>
    <r>
      <rPr>
        <b/>
        <sz val="10"/>
        <rFont val="Calibri"/>
        <family val="2"/>
        <scheme val="minor"/>
      </rPr>
      <t>L’acido ippurico</t>
    </r>
    <r>
      <rPr>
        <sz val="10"/>
        <rFont val="Calibri"/>
        <family val="2"/>
        <scheme val="minor"/>
      </rPr>
      <t xml:space="preserve"> deriva dall’acido benzoico coniugato con la glicina nel fegato ( Benzoato + Glicina -&gt; Ippurato). La maggior parte dell'acido ippurico nell'urina è derivato dalla degradazione microbica dell'acido clorogenico in acido benzoico. L'acido clorogenico è una sostanza comunemente trovata in bevande (te, caffè) e frutti (mele, pere, mirtilli, carote, pomodori, pesche) ma anche in semi di girasole , patate,melanzane e patate dolci. L'acido benzoico è presente in grande quantità nel succo di mirtillo ed è un conservante alimentare. L'acido ippurico può generarsi anche a causa dell'esposizione prolungata al solvente chimico toluene.  In generale è più rappresentativo come marcatore del metabolismo dei composti fenolici a opera batterica. </t>
    </r>
  </si>
  <si>
    <t>Livelli bassi di acido ippurico sono associati a disbiosi, eventualmente da indagare tramite test specifico.</t>
  </si>
  <si>
    <r>
      <rPr>
        <b/>
        <sz val="10"/>
        <rFont val="Calibri"/>
        <family val="2"/>
        <scheme val="minor"/>
      </rPr>
      <t xml:space="preserve">L’acido benzoico </t>
    </r>
    <r>
      <rPr>
        <sz val="10"/>
        <rFont val="Calibri"/>
        <family val="2"/>
        <scheme val="minor"/>
      </rPr>
      <t xml:space="preserve">è un sottoprodotto del metabolismo della fenilalanina nei batteri. Viene anche prodotto quando i batteri intestinali ( </t>
    </r>
    <r>
      <rPr>
        <i/>
        <sz val="10"/>
        <rFont val="Calibri"/>
        <family val="2"/>
        <scheme val="minor"/>
      </rPr>
      <t>E.Coli, Bifidi, Lactobacilli , Eubacterium, Bacteroidetes</t>
    </r>
    <r>
      <rPr>
        <sz val="10"/>
        <rFont val="Calibri"/>
        <family val="2"/>
        <scheme val="minor"/>
      </rPr>
      <t xml:space="preserve">) elaborano i polifenoli (da frutta, caffè, te o verdure ). Si può trovare nell’agente infettivo </t>
    </r>
    <r>
      <rPr>
        <i/>
        <sz val="10"/>
        <rFont val="Calibri"/>
        <family val="2"/>
        <scheme val="minor"/>
      </rPr>
      <t>Serratia</t>
    </r>
    <r>
      <rPr>
        <sz val="10"/>
        <rFont val="Calibri"/>
        <family val="2"/>
        <scheme val="minor"/>
      </rPr>
      <t>.</t>
    </r>
  </si>
  <si>
    <r>
      <rPr>
        <b/>
        <sz val="10"/>
        <rFont val="Calibri"/>
        <family val="2"/>
        <scheme val="minor"/>
      </rPr>
      <t>L’acido 4-idrossifenilacetico</t>
    </r>
    <r>
      <rPr>
        <sz val="10"/>
        <rFont val="Calibri"/>
        <family val="2"/>
        <scheme val="minor"/>
      </rPr>
      <t xml:space="preserve"> è un metabolita microbico prodotto da </t>
    </r>
    <r>
      <rPr>
        <i/>
        <sz val="10"/>
        <rFont val="Calibri"/>
        <family val="2"/>
        <scheme val="minor"/>
      </rPr>
      <t>Acinetobacter, Clostridium, Klebsiella, Pseudomonas e Proteus</t>
    </r>
    <r>
      <rPr>
        <sz val="10"/>
        <rFont val="Calibri"/>
        <family val="2"/>
        <scheme val="minor"/>
      </rPr>
      <t>. Questo metabolita viene prodotto a partire dalla Tirosina e può essere convertito in Cresolo. Fonti importanti alimentari come soia, tacchino, pollo, mandorle, semi di zucca rendono questo metabolita biomarcatore dell'utilizzo di questi alimenti.</t>
    </r>
  </si>
  <si>
    <r>
      <t xml:space="preserve">L'eccesso di questo metabolita è associato alla crescita eccessiva di piccoli batteri intestinali da specie </t>
    </r>
    <r>
      <rPr>
        <i/>
        <sz val="10"/>
        <rFont val="Calibri"/>
        <family val="2"/>
        <scheme val="minor"/>
      </rPr>
      <t>Clostridia</t>
    </r>
    <r>
      <rPr>
        <sz val="10"/>
        <rFont val="Calibri"/>
        <family val="2"/>
        <scheme val="minor"/>
      </rPr>
      <t xml:space="preserve"> tra cui C. </t>
    </r>
    <r>
      <rPr>
        <i/>
        <sz val="10"/>
        <rFont val="Calibri"/>
        <family val="2"/>
        <scheme val="minor"/>
      </rPr>
      <t>difficile, C. stricklandii, C. lituseburense, C. subterminale, C. putrefaciens e C. propionicum</t>
    </r>
    <r>
      <rPr>
        <sz val="10"/>
        <rFont val="Calibri"/>
        <family val="2"/>
        <scheme val="minor"/>
      </rPr>
      <t xml:space="preserve">. Anche l'infezione da </t>
    </r>
    <r>
      <rPr>
        <i/>
        <sz val="10"/>
        <rFont val="Calibri"/>
        <family val="2"/>
        <scheme val="minor"/>
      </rPr>
      <t>Giardia Lamblia</t>
    </r>
    <r>
      <rPr>
        <sz val="10"/>
        <rFont val="Calibri"/>
        <family val="2"/>
        <scheme val="minor"/>
      </rPr>
      <t>, patologie del piccolo intestino, utilizzo di antibiotici contro batteri aerobici, fibrosi cistica, intolleranza transitoria al lattosio possono indurre aumento di questo metabolita.</t>
    </r>
  </si>
  <si>
    <r>
      <rPr>
        <b/>
        <sz val="10"/>
        <rFont val="Calibri"/>
        <family val="2"/>
        <scheme val="minor"/>
      </rPr>
      <t>L’acido 3-indolo acetico</t>
    </r>
    <r>
      <rPr>
        <sz val="10"/>
        <rFont val="Calibri"/>
        <family val="2"/>
        <scheme val="minor"/>
      </rPr>
      <t xml:space="preserve"> è un metabolita derivante dal triptofano mediante putrefazione intestinale . La sua produzione deriva principalmente da </t>
    </r>
    <r>
      <rPr>
        <i/>
        <sz val="10"/>
        <rFont val="Calibri"/>
        <family val="2"/>
        <scheme val="minor"/>
      </rPr>
      <t>E.Coli, P.vulgaris, A.faciens</t>
    </r>
    <r>
      <rPr>
        <sz val="10"/>
        <rFont val="Calibri"/>
        <family val="2"/>
        <scheme val="minor"/>
      </rPr>
      <t xml:space="preserve"> e </t>
    </r>
    <r>
      <rPr>
        <i/>
        <sz val="10"/>
        <rFont val="Calibri"/>
        <family val="2"/>
        <scheme val="minor"/>
      </rPr>
      <t>M.aerogenes</t>
    </r>
    <r>
      <rPr>
        <sz val="10"/>
        <rFont val="Calibri"/>
        <family val="2"/>
        <scheme val="minor"/>
      </rPr>
      <t xml:space="preserve">, in alcuni casi anche da </t>
    </r>
    <r>
      <rPr>
        <i/>
        <sz val="10"/>
        <rFont val="Calibri"/>
        <family val="2"/>
        <scheme val="minor"/>
      </rPr>
      <t>Clostridia</t>
    </r>
    <r>
      <rPr>
        <sz val="10"/>
        <rFont val="Calibri"/>
        <family val="2"/>
        <scheme val="minor"/>
      </rPr>
      <t>.</t>
    </r>
  </si>
  <si>
    <t>L'eccesso di 3-indolacetico ( e del suo intermedio scatolo) potrebbe essere indotto da una dieta ricca di carne. Un’eccessiva produzione è segno di tossicità dell’organismo causata da disbiosi o da una dieta sbilanciata . Quantità molto elevate di questo metabolita derivato dal triptofano potrebbero indicare un esaurimento del triptofano necessario per altre funzioni fisiologiche.</t>
  </si>
  <si>
    <r>
      <rPr>
        <b/>
        <sz val="10"/>
        <rFont val="Calibri"/>
        <family val="2"/>
        <scheme val="minor"/>
      </rPr>
      <t xml:space="preserve">Il P-cresolo </t>
    </r>
    <r>
      <rPr>
        <sz val="10"/>
        <rFont val="Calibri"/>
        <family val="2"/>
        <scheme val="minor"/>
      </rPr>
      <t xml:space="preserve">è un metabolita degli aminoacidi aromatici prodotto dalla microflora intestinale. Tirosina e fenilalanina vengono convertiti prima in acido 4-idrossifenilacetico, poi questa viene decarbossilata in p-cresolo (putrefazione).  Tale ruolo è svolto sia da batteri aerobi (principalmente gli enterobatteri), ma anche da anaerobi  (principalmente il </t>
    </r>
    <r>
      <rPr>
        <i/>
        <sz val="10"/>
        <rFont val="Calibri"/>
        <family val="2"/>
        <scheme val="minor"/>
      </rPr>
      <t>Clostridium</t>
    </r>
    <r>
      <rPr>
        <sz val="10"/>
        <rFont val="Calibri"/>
        <family val="2"/>
        <scheme val="minor"/>
      </rPr>
      <t>). Il</t>
    </r>
    <r>
      <rPr>
        <i/>
        <sz val="10"/>
        <rFont val="Calibri"/>
        <family val="2"/>
        <scheme val="minor"/>
      </rPr>
      <t xml:space="preserve"> Clostrium difficile</t>
    </r>
    <r>
      <rPr>
        <sz val="10"/>
        <rFont val="Calibri"/>
        <family val="2"/>
        <scheme val="minor"/>
      </rPr>
      <t xml:space="preserve"> è un batterio spesso diffuso negli ospedali,  capace di provocare aumenti della produzione di cresolo nei soggetti affetti .I ceppi di </t>
    </r>
    <r>
      <rPr>
        <i/>
        <sz val="10"/>
        <rFont val="Calibri"/>
        <family val="2"/>
        <scheme val="minor"/>
      </rPr>
      <t>C.difficile</t>
    </r>
    <r>
      <rPr>
        <sz val="10"/>
        <rFont val="Calibri"/>
        <family val="2"/>
        <scheme val="minor"/>
      </rPr>
      <t xml:space="preserve"> producono tossine che scatenano diarrea, colite e complicazioni di queste fino alla morte nei soggetti più debilitati. Eccessive quantità di p-cresolo possono inibire l'enzima dopamina-beta-idrossilasi , portando a squilibri dei neurotrasmettitori. Elevate quantità di p-cresolo sono state riscontrate in soggetti autistici . </t>
    </r>
  </si>
  <si>
    <t xml:space="preserve"> Nell'uremia, le modificazioni della flora intestinale determinano la crescita eccessiva specifica dei batteri che sono specifici produttori di p-cresolo. Eccesso di proteine nell'alimentazione si traduce nell'aumento di secrezione di questo metabolita.  Anche patologie legate ai reni evidenziano aumento di p-cresolo. </t>
  </si>
  <si>
    <r>
      <rPr>
        <b/>
        <sz val="10"/>
        <rFont val="Calibri"/>
        <family val="2"/>
        <scheme val="minor"/>
      </rPr>
      <t>L’acido 3-idrossifenilacetico</t>
    </r>
    <r>
      <rPr>
        <sz val="10"/>
        <rFont val="Calibri"/>
        <family val="2"/>
        <scheme val="minor"/>
      </rPr>
      <t xml:space="preserve"> viene prodotto per fermentazione aminoacidica (prettamente tirosina) causata da cattiva digestione e assorbimento. Spesso viene utilizzato come marcatore per malassorbimento proteico . Anche l’introito di polifenoli alimentari ( vino, te verde, uva) provoca la comparsa di questo metabolita nelle urine. La sua presenza nelle urine dipende anche da infezione causata da </t>
    </r>
    <r>
      <rPr>
        <i/>
        <sz val="10"/>
        <rFont val="Calibri"/>
        <family val="2"/>
        <scheme val="minor"/>
      </rPr>
      <t>Clostridi</t>
    </r>
    <r>
      <rPr>
        <sz val="10"/>
        <rFont val="Calibri"/>
        <family val="2"/>
        <scheme val="minor"/>
      </rPr>
      <t xml:space="preserve"> oppure da </t>
    </r>
    <r>
      <rPr>
        <i/>
        <sz val="10"/>
        <rFont val="Calibri"/>
        <family val="2"/>
        <scheme val="minor"/>
      </rPr>
      <t xml:space="preserve">Klebsiella. </t>
    </r>
  </si>
  <si>
    <r>
      <t xml:space="preserve">Mentre in soggetti sani questi residui sono limitati, possono essere numerosi in caso di fenilchetonuria, rara patologia metabolica. Può essere anche un marcatore dell’utilizzo di alimenti con polifenoli , del malassorbimento proteico e forte disbiosi causata da </t>
    </r>
    <r>
      <rPr>
        <i/>
        <sz val="10"/>
        <rFont val="Calibri"/>
        <family val="2"/>
        <scheme val="minor"/>
      </rPr>
      <t>Clostridi</t>
    </r>
    <r>
      <rPr>
        <sz val="10"/>
        <rFont val="Calibri"/>
        <family val="2"/>
        <scheme val="minor"/>
      </rPr>
      <t xml:space="preserve"> o </t>
    </r>
    <r>
      <rPr>
        <i/>
        <sz val="10"/>
        <rFont val="Calibri"/>
        <family val="2"/>
        <scheme val="minor"/>
      </rPr>
      <t xml:space="preserve">Klebsiella. </t>
    </r>
  </si>
  <si>
    <r>
      <rPr>
        <b/>
        <sz val="10"/>
        <color theme="1"/>
        <rFont val="Calibri"/>
        <family val="2"/>
        <scheme val="minor"/>
      </rPr>
      <t xml:space="preserve">HPHPA </t>
    </r>
    <r>
      <rPr>
        <sz val="10"/>
        <color theme="1"/>
        <rFont val="Calibri"/>
        <family val="2"/>
        <scheme val="minor"/>
      </rPr>
      <t xml:space="preserve">è l'acronimo di acido 3-(3-idrossifenil)-3-idrossipropionico. E' relativamente abbondante nelle urine umane adulte ed è benigno in quantità ridotte. La fonte di questo composto sembra essere per lo più proveniente da batteri anaerobici del genere </t>
    </r>
    <r>
      <rPr>
        <i/>
        <sz val="10"/>
        <color theme="1"/>
        <rFont val="Calibri"/>
        <family val="2"/>
        <scheme val="minor"/>
      </rPr>
      <t>Clostridium</t>
    </r>
    <r>
      <rPr>
        <sz val="10"/>
        <color theme="1"/>
        <rFont val="Calibri"/>
        <family val="2"/>
        <scheme val="minor"/>
      </rPr>
      <t xml:space="preserve">.  I </t>
    </r>
    <r>
      <rPr>
        <i/>
        <sz val="10"/>
        <color theme="1"/>
        <rFont val="Calibri"/>
        <family val="2"/>
        <scheme val="minor"/>
      </rPr>
      <t xml:space="preserve">Clostridi </t>
    </r>
    <r>
      <rPr>
        <sz val="10"/>
        <color theme="1"/>
        <rFont val="Calibri"/>
        <family val="2"/>
        <scheme val="minor"/>
      </rPr>
      <t xml:space="preserve">possono alterare in maniera importante i neurotrasmettitori cerebrali, inattivando la dopamina beta-idrossilasi portando in questo modo a un'eccessiva produzione di dopamina e ridotta di noradrenalina. L'eccesso di dopamina è associato a forme di disturbo psicotico. Nel caso questo marcatore sia elevato, è utile rapportarlo con il principale metabolita della dopamina (ac.omovanillico) e con quello della noradrenalina (ac.vanilmandelico).  </t>
    </r>
  </si>
  <si>
    <r>
      <t xml:space="preserve">L'eccesso di HPHPA indica un'eccessiva crescita di batteri </t>
    </r>
    <r>
      <rPr>
        <i/>
        <sz val="10"/>
        <color theme="1"/>
        <rFont val="Calibri"/>
        <family val="2"/>
        <scheme val="minor"/>
      </rPr>
      <t>Clostridi</t>
    </r>
    <r>
      <rPr>
        <sz val="10"/>
        <color theme="1"/>
        <rFont val="Calibri"/>
        <family val="2"/>
        <scheme val="minor"/>
      </rPr>
      <t xml:space="preserve"> nel tratto gastrointestinale. Quando cronicamente elevato, l'impatto che si riscontra nell'uomo è correlato spesso a schizofrenia e spettro autistico, infatti questo metabolita è conunemente elevato nei casi GAPS ( Sindrome dell'intestino e della psicologia).</t>
    </r>
  </si>
  <si>
    <r>
      <rPr>
        <b/>
        <sz val="10"/>
        <rFont val="Calibri"/>
        <family val="2"/>
        <scheme val="minor"/>
      </rPr>
      <t xml:space="preserve">L’acido glicolico </t>
    </r>
    <r>
      <rPr>
        <sz val="10"/>
        <rFont val="Calibri"/>
        <family val="2"/>
        <scheme val="minor"/>
      </rPr>
      <t>è il più piccolo alfa-idrossiacido. Risulta essere molto elevato in casi di iperossaluria genetica di tipo I. I valori normali dell'acido glicolico escludono la causa genetica di aumento significativo dell'acido ossalico nelle urine.  La tossicità renale dell'acido glicolico è dovuta al suo metabolismo con l'acido ossalico. Questi due acidi, insieme al lattico , sono responsabili di acidosi metabolica del gap anionico. L'acido glicolico è presente anche a livello alimentare (glicerolo o glicerina), ma più spesso viene prodotto da lieviti  (</t>
    </r>
    <r>
      <rPr>
        <i/>
        <sz val="10"/>
        <rFont val="Calibri"/>
        <family val="2"/>
        <scheme val="minor"/>
      </rPr>
      <t xml:space="preserve">Aspergillo, Penicillo </t>
    </r>
    <r>
      <rPr>
        <sz val="10"/>
        <rFont val="Calibri"/>
        <family val="2"/>
        <scheme val="minor"/>
      </rPr>
      <t xml:space="preserve">o </t>
    </r>
    <r>
      <rPr>
        <i/>
        <sz val="10"/>
        <rFont val="Calibri"/>
        <family val="2"/>
        <scheme val="minor"/>
      </rPr>
      <t>Candida</t>
    </r>
    <r>
      <rPr>
        <sz val="10"/>
        <rFont val="Calibri"/>
        <family val="2"/>
        <scheme val="minor"/>
      </rPr>
      <t xml:space="preserve">) o batteri gastrointestinali ( </t>
    </r>
    <r>
      <rPr>
        <i/>
        <sz val="10"/>
        <rFont val="Calibri"/>
        <family val="2"/>
        <scheme val="minor"/>
      </rPr>
      <t>Acetobatteri, Corinebatteri, Escherichia</t>
    </r>
    <r>
      <rPr>
        <sz val="10"/>
        <rFont val="Calibri"/>
        <family val="2"/>
        <scheme val="minor"/>
      </rPr>
      <t>..).</t>
    </r>
  </si>
  <si>
    <r>
      <rPr>
        <b/>
        <sz val="10"/>
        <rFont val="Calibri"/>
        <family val="2"/>
        <scheme val="minor"/>
      </rPr>
      <t>L’acido glicerico</t>
    </r>
    <r>
      <rPr>
        <sz val="10"/>
        <rFont val="Calibri"/>
        <family val="2"/>
        <scheme val="minor"/>
      </rPr>
      <t xml:space="preserve"> può essere un marcatore della patologia genetica aciduria D-glicerica , agendo come metabotossina e acidogeno. Altrimenti l'acido glicerico può derivare da fonti microbiche come lieviti (</t>
    </r>
    <r>
      <rPr>
        <i/>
        <sz val="10"/>
        <rFont val="Calibri"/>
        <family val="2"/>
        <scheme val="minor"/>
      </rPr>
      <t>Aspergillo, Penicillo</t>
    </r>
    <r>
      <rPr>
        <sz val="10"/>
        <rFont val="Calibri"/>
        <family val="2"/>
        <scheme val="minor"/>
      </rPr>
      <t xml:space="preserve"> o </t>
    </r>
    <r>
      <rPr>
        <i/>
        <sz val="10"/>
        <rFont val="Calibri"/>
        <family val="2"/>
        <scheme val="minor"/>
      </rPr>
      <t>Candida</t>
    </r>
    <r>
      <rPr>
        <sz val="10"/>
        <rFont val="Calibri"/>
        <family val="2"/>
        <scheme val="minor"/>
      </rPr>
      <t xml:space="preserve">) oppure da fonti alimentari di glicerolo o glicerina. </t>
    </r>
  </si>
  <si>
    <r>
      <rPr>
        <b/>
        <sz val="10"/>
        <rFont val="Calibri"/>
        <family val="2"/>
        <scheme val="minor"/>
      </rPr>
      <t>L’acido</t>
    </r>
    <r>
      <rPr>
        <sz val="10"/>
        <rFont val="Calibri"/>
        <family val="2"/>
        <scheme val="minor"/>
      </rPr>
      <t xml:space="preserve"> </t>
    </r>
    <r>
      <rPr>
        <b/>
        <sz val="10"/>
        <rFont val="Calibri"/>
        <family val="2"/>
        <scheme val="minor"/>
      </rPr>
      <t xml:space="preserve">sebacico </t>
    </r>
    <r>
      <rPr>
        <sz val="10"/>
        <rFont val="Calibri"/>
        <family val="2"/>
        <scheme val="minor"/>
      </rPr>
      <t xml:space="preserve"> è un normale acido urinario derivato dal metabolismo degli acidi grassi . </t>
    </r>
  </si>
  <si>
    <t>L'eccesso di acido sebacico è correlato a chetosi oppure a digiuno-digiuno intermittente. Si può associare anche a carenza di carnitina, dedita al trasporto di grassi, oppure a polimorfismi genetici che alterano la formazione e metabolismo di quest'ultima;  anche in casi di difetti di ossidazione degli acidi grassi, in associazioni a sintomi come ipoglicemia,ipotonia, vomito, letargia, ecc.., i valori di acido sebacico possono essere superiori ai limiti.  L'eccessiva assunzione di trigliceridi (come l'olio di cocco) o alimenti contenenti acido adipico , ne aumentano l'escrezione urinaria. Tenere in considerazione che questo metabolita può comportare affaticamento mitocondriale con danno di membrana e produzione di radicali liberi. Valutare integrazione con carnitina.</t>
  </si>
  <si>
    <r>
      <rPr>
        <b/>
        <sz val="10"/>
        <rFont val="Calibri"/>
        <family val="2"/>
        <scheme val="minor"/>
      </rPr>
      <t xml:space="preserve">L’acido adipico </t>
    </r>
    <r>
      <rPr>
        <sz val="10"/>
        <rFont val="Calibri"/>
        <family val="2"/>
        <scheme val="minor"/>
      </rPr>
      <t xml:space="preserve">è un metabolita degli acidi grassi prodotto dalla beta-ossidazione perossisomale. </t>
    </r>
  </si>
  <si>
    <t xml:space="preserve">L'eccesso di acido adipico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</si>
  <si>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L’acido</t>
    </r>
    <r>
      <rPr>
        <sz val="10"/>
        <rFont val="Calibri"/>
        <family val="2"/>
        <scheme val="minor"/>
      </rPr>
      <t xml:space="preserve"> </t>
    </r>
    <r>
      <rPr>
        <b/>
        <sz val="10"/>
        <rFont val="Calibri"/>
        <family val="2"/>
        <scheme val="minor"/>
      </rPr>
      <t>suberico</t>
    </r>
    <r>
      <rPr>
        <sz val="10"/>
        <rFont val="Calibri"/>
        <family val="2"/>
        <scheme val="minor"/>
      </rPr>
      <t xml:space="preserve"> è un metabolita degli acidi grassi prodotto dalla beta-ossidazione perossisomale. E' un prodotto di degradazione metabolica derivato dall'acido oleico. </t>
    </r>
  </si>
  <si>
    <t xml:space="preserve">L'eccesso di acido suberico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</si>
  <si>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 xml:space="preserve">L’acido etilmalonico </t>
    </r>
    <r>
      <rPr>
        <sz val="10"/>
        <rFont val="Calibri"/>
        <family val="2"/>
        <scheme val="minor"/>
      </rPr>
      <t xml:space="preserve">è un acido grasso ramificato sintetizzato prettamente a partire dall'acido malonico. Livelli cronicamente elevati sono associati a due errori congeniti del metabolismo: deficit acil-CoA deidrogenasi a catena corta (SCAD) ed encefalopatia etilmalonica . Se è particolarmente elevato agisce come acidogeno e metabotossina.  </t>
    </r>
  </si>
  <si>
    <t xml:space="preserve">L'eccesso di acido etilmalonico può indicare polimorfismi genetici che alterano la formazione e il metabolismo della carnitina oppure carenza di cofattori come vit.B2 e magnesio. In caso di difetti di ossidazione degli acidi grassi sono associati sintomi come ipoglicemia,ipotonia, vomito, letargia, ecc.. Valutare integrazione con carnitina , lisina e vitamina B2. </t>
  </si>
  <si>
    <r>
      <rPr>
        <b/>
        <sz val="10"/>
        <rFont val="Calibri"/>
        <family val="2"/>
        <scheme val="minor"/>
      </rPr>
      <t>L’acido 3-idrossibutirrico</t>
    </r>
    <r>
      <rPr>
        <sz val="10"/>
        <rFont val="Calibri"/>
        <family val="2"/>
        <scheme val="minor"/>
      </rPr>
      <t xml:space="preserve"> è un corpo chetonico prodotto dal fegato in caso di mancanza di energia da parte dei carboidrati o prodotto da acidosi metabolica data dal fallimento del processo di glicolisi (in caso di pazienti diabetici).  Difetti nella citocromo ossidasi ne comportano l'eccesso , come la dieta restrittiva nei confronti di carboidrati e ricca di grassi e proteine (chetogenica).</t>
    </r>
  </si>
  <si>
    <t xml:space="preserve">L'eccesso di acido 3-idrossibutirrico si riscontra spesso in pazienti che seguono una dieta chetogenica o digiuno-digiuno intermittente. Inoltre è possibile una sua eccessiva produzione in caso di diabete mellito o malattie genetiche che intaccano la glicolisi. </t>
  </si>
  <si>
    <t xml:space="preserve">L'eccesso di acido lattico può essere ridotto tramite l'integrazione con i cofattori enzimatici del PDC (Vit.B2,B3,B5 e acido lipoico) o con CoQ10. Da valutare le condizioni patologiche e sportive del paziente. </t>
  </si>
  <si>
    <r>
      <rPr>
        <b/>
        <sz val="10"/>
        <rFont val="Calibri"/>
        <family val="2"/>
        <scheme val="minor"/>
      </rPr>
      <t>L'acido 2-idrossiippurico</t>
    </r>
    <r>
      <rPr>
        <sz val="10"/>
        <rFont val="Calibri"/>
        <family val="2"/>
        <scheme val="minor"/>
      </rPr>
      <t xml:space="preserve"> (acido salicilurico) è un coniugato dell'aminoacido glicina e dell'acido benzoico. Viene formato dall'organismo per eliminare i salicilati in eccesso derivanti dall'utilizzo di aspirina o dal consumo di dolcificanti a base di aspartame. L'acido 2-idrossiippurico può derivare anche dalla conversione di tirosina e fenilalanina a opera dei batteri gastrointestinali. Tassi molto elevati inibiscono la dopamina beta-idrossilasi con elevazione di HVA (acido omovanillico) e riduzione di VMA (acido vanilmandelico). </t>
    </r>
  </si>
  <si>
    <t>L'aumento nelle urine può essere correlato anche alla crescita di batteri gastrointestinali, all'utilizzo di dolcificanti artificiali contenenti aspartame o eccessivo utilizzo di aspirina.</t>
  </si>
  <si>
    <r>
      <rPr>
        <b/>
        <sz val="10"/>
        <rFont val="Calibri"/>
        <family val="2"/>
        <scheme val="minor"/>
      </rPr>
      <t>L’acido orotico</t>
    </r>
    <r>
      <rPr>
        <sz val="10"/>
        <rFont val="Calibri"/>
        <family val="2"/>
        <scheme val="minor"/>
      </rPr>
      <t xml:space="preserve"> è un prodotto intermedio nella sintesi di nucleotidi ed è collegato al metabolismo dell’arginina come marcatore del bilanciamento di ammonio nel ciclo dell’urea. Nel caso in cui ci sia un'insufficiente capacità di detossificazione dell'ammonio mediante ciclo dell’urea, avviene la sintesi di orotato.</t>
    </r>
  </si>
  <si>
    <t xml:space="preserve">L’aumento nelle urine di questo metabolita è rappresentativo di una deficienza di arginina e in contemporanea di una diminuzione dell’efficienza di detossificare l' ammoniaca e una ridotta formazione di ossido nitrico. Errori innati del metabolismo possono aumentare i livelli di orotato e ammoniaca, oppure può derivare da eccessiva crescita batterica intestinale. Anche un forte utilizzo di latticini e latte di mucca induce innalzamento di orotato nelle urine, eccessivo utilizzo di proteine nella dieta o abuso di alcol. Farmaci come allopurinolo e 6-azauridina sembrano essere correlati con la sintesi di pirimidine e quindi di orotato. Valutare integrazione con arginina e magnesio. </t>
  </si>
  <si>
    <r>
      <rPr>
        <b/>
        <sz val="10"/>
        <rFont val="Calibri"/>
        <family val="2"/>
        <scheme val="minor"/>
      </rPr>
      <t>L’acido piroglutammico</t>
    </r>
    <r>
      <rPr>
        <sz val="10"/>
        <rFont val="Calibri"/>
        <family val="2"/>
        <scheme val="minor"/>
      </rPr>
      <t xml:space="preserve"> , anche chiamato 5-oxoprolina , è prodotto e utilizzato da GGT (gamma-glutamil transferasi) per la produzione e riciclo di glutatione , fondamentale antiossidante. Il glutatione è un tripeptide formato da glutammina, glicina e cisteina. Il piroglutammato è un precursore del glutatione tramite il quale riesce ad avvenire l’unione dei tre amminoacidi . Questa azione è mediata da cofattori quali magnesio e ATP.  In condizioni fisiologiche, è presente una modesta quantità di piroglutammato nelle urine .</t>
    </r>
  </si>
  <si>
    <t>Le condizioni patologiche nel quale avviene aumento di piroglutammato nelle urine sono dovute all’alterazione di uno o più enzimi che collaborano nel ciclo per la sua sintesi o una disfunzione mitocondriale per stress ossidativo oppure per cause alimentari (restrizione glicina, cisteina, glutammina e magnesio o integrazione di taurina) o farmacologiche ( farmaci che richiedono coniugazione con glutatione). Anche condizioni di deficienza di glutatione, a es. a causa di tossicità da acetomifene, conducono a elevati livelli di piroglutammato. Valutare integrazione con glutatione, NAC e amminoacidi (metionina e glicina).</t>
  </si>
  <si>
    <t>Il deficit evidenzia carenza di glutatione o dei cofattori necessari per la sua sintesi ( glutammina , glicina e cisteina).</t>
  </si>
  <si>
    <r>
      <t>L</t>
    </r>
    <r>
      <rPr>
        <b/>
        <sz val="10"/>
        <rFont val="Calibri"/>
        <family val="2"/>
        <scheme val="minor"/>
      </rPr>
      <t>'acido 2-idrossibutirrico</t>
    </r>
    <r>
      <rPr>
        <sz val="10"/>
        <rFont val="Calibri"/>
        <family val="2"/>
        <scheme val="minor"/>
      </rPr>
      <t xml:space="preserve"> è un prodotto dei tessuti mammiferi (soprattutto epatici) che catabolizzano la L-treonina o sintetizzano il glutatione, pertanto viene considerato un marcatore dello stress ossidativo. L'acido 2-idrossibutirrico è un acido organico prodotto da alfa-chetobutirrato ( sottoprodotto nella via di sintesi del glutatione) attraverso gli enzimi lattato deidrogenasi (LDH) o alfa-idrossibutirrato deidrogenasi (HBDH), enzimi catalizzati dal NADH. In caso di stress metabolico, è fondamentale avere forniture importanti di L-cisteina per la sintesi di glutatione, quindi l'omocisteina viene deviata alla via di transolforazione formando cistationina. Dalla scissione di cistationina in cisteina, si viene a formare  alfa-chetobutirrato e poi l'acido 2-idrossibutirrico.  Anche lo stress ossidativo indotto da insulino-resistenza aumenta il tasso di sintesi epatica del glutatione, pertanto potrebbe essere utilizzato come biomarcatore di stadi prediabetici. </t>
    </r>
  </si>
  <si>
    <t xml:space="preserve">Elevati livelli di 2-idrossibutirrico sono associati a condizioni nel quale la sintesi epatica di glutatione a partire dalla metionina sono aumentati per cause di stress ossidativo o funzioni di disintossicazione. Condizioni di cattiva alimentazione, fumo, mancanza di esercizio inibiscono l'azione dell' alfa-idrossibutirrato deidrogenasi (HBDH) che catalizza la conversione del 2-idrossibutirrato in acetato, causandone quindi un aumento a livello urinario.  Si può associare a stadi prediabetici oppure si trova elevato in malattie infettive come il morbillo. In caso di asfissia alla nascita o malattie metaboliche ereditarie, potrebbe apparire elevato. </t>
  </si>
  <si>
    <t>La creatinina viene comunemente calcolata per la valutazione degli analiti urinari. La sua escrezione è influenzata dal muscolo scheletrico e stato corporeo. L’introito di proteine alimentari contenenti arginina e glicina ( precursori della creatinina) e supplementazione di creatinina stessa possono aumentarne i livelli. Anche lo stato di idratazione gioca un ruolo importante. L’eccesso di creatinina può evidenziare anche una disfunzione renale.</t>
  </si>
  <si>
    <t>La creatinina viene comunemente calcolata per la valutazione degli analiti urinari. La sua escrezione è influenzata dal muscolo scheletrico e stato corporeo. Il suo deficit viene solitamente correlato a una massa muscolare troppo scarsa. Un valore basso potrebbe anche indicare un aumento della velocità di filtrazione glomerulare (eGFR).</t>
  </si>
  <si>
    <r>
      <rPr>
        <b/>
        <sz val="10"/>
        <rFont val="Calibri"/>
        <family val="2"/>
        <scheme val="minor"/>
      </rPr>
      <t>L'acido piruvico e lattico</t>
    </r>
    <r>
      <rPr>
        <sz val="10"/>
        <rFont val="Calibri"/>
        <family val="2"/>
        <scheme val="minor"/>
      </rPr>
      <t xml:space="preserve"> sono prodotti dell'operazione centrale per la produzione di energia, la glicolisi, il processo catabolico del glucosio. Tale processo è regolato dalla presenza di zinco e vitamine del gruppo B . Il lattato viene processato a partire dal piruvato per ossidazione, entrando poi nel ciclo di produzione energetica in TCA in condizioni aerobiche. Il lattato può accumularsi se i cofattori PDC (Complesso Piruvato Deidrogenasi) sono insufficienti, se sono presenti polimorfismi strutturali o in caso di deficienza di CoQ10 creando un blocco nella fosforilazione ossidativa. La mancanza di ATP mitocondriale può indurre un forte aumento di lattato con contemporanea diminuzione di piruvato. Anche condizioni di anaerobiosi dovute a eccessivo sforzo fisico, resistenza insulinica, patologie polmonari o anemia possono indurre aumento lattato. Il piruvato può essere prodotto anche dal catabolismo amminoacidico ( alanina, serina, cistina, glicina, triptofano e treonina). Elevate concentrazioni di piruvato possono essere correlate a mancanza di cofattori nutrizionali (come vitamina B1,B2,B3,B7, magnesio e acido lipoico) per la sua conversione in Acetil-CoA e ossalacetato. Altre cause possono provenire da eccessivo introito di carboidrati.</t>
    </r>
  </si>
  <si>
    <t>Metaboliti legati ai difetti genetici del ciclo mitocondriale</t>
  </si>
  <si>
    <t>1-8</t>
  </si>
  <si>
    <t>9-15</t>
  </si>
  <si>
    <t>16-22</t>
  </si>
  <si>
    <t>23-30</t>
  </si>
  <si>
    <t>31-32</t>
  </si>
  <si>
    <t>33-40</t>
  </si>
  <si>
    <t>41-43</t>
  </si>
  <si>
    <t>44-48</t>
  </si>
  <si>
    <t>49-50</t>
  </si>
  <si>
    <t>51-55</t>
  </si>
  <si>
    <t>58-61</t>
  </si>
  <si>
    <t>56-57</t>
  </si>
  <si>
    <t>5-Idrossiindolacetico </t>
  </si>
  <si>
    <t>Glutarico*</t>
  </si>
  <si>
    <t>Metilmalonico*</t>
  </si>
  <si>
    <t>3-Idrossi-3-Metilglutarico*</t>
  </si>
  <si>
    <t>4-Metil-2-Ossovalerico</t>
  </si>
  <si>
    <t>2-Idrossiisocaproico</t>
  </si>
  <si>
    <t>2-Idrossiippurico</t>
  </si>
  <si>
    <t>2-Idrossibutirrico</t>
  </si>
  <si>
    <t>N°.</t>
  </si>
  <si>
    <t>Data:</t>
  </si>
  <si>
    <t>1.</t>
  </si>
  <si>
    <r>
      <t>L’acido citrico</t>
    </r>
    <r>
      <rPr>
        <sz val="10"/>
        <color rgb="FF000000"/>
        <rFont val="Calibri"/>
        <family val="2"/>
      </rPr>
      <t xml:space="preserve"> è il primo metabolita del ciclo TCA ( ciclo degli acidi tricarbossilici o ciclo dell'acido citrico ), via metabolica centrale per tutti gli animali, piante e batteri.  L'acido citrico deriva dalla condensazione dell'ossalacetato (ultimo metabolita del ciclo TCA) con acetil-CoA proveniente dal catabolismo di carboidrati, grassi e proteine. Le reazioni chimiche del ciclo TCA generano fino ai 2/3  dell'energia derivata dal cibo per gli organismi superiori. E' inoltre possibile che tale via venga percorsa a ritroso, quindi a partire dall'acido citrico avviene la sua scomposizione in acetil-CoA per la sintesi di acidi grassi e ossalacetato. Dall'acido citrico, per opera dell'enzima aconitasi, si genera l'acido aconitico. Per la funzionalità dell'enzima aconitasi è importante la presenza del cofattore ferro e l'azione antiossidante mediata dal glutatione.  L'acido citrico può essere introdotto anche con la dieta specialmente tramite limoni e lime oppure in alimenti nel quale viene utilizzato come conservante naturale.  Può essere anche prodotto da lieviti o batteri intestinali.</t>
    </r>
  </si>
  <si>
    <t>→</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</si>
  <si>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</si>
  <si>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</si>
  <si>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</si>
  <si>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</si>
  <si>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</si>
  <si>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</si>
  <si>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</si>
  <si>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</si>
  <si>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</si>
  <si>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</si>
  <si>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</si>
  <si>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</si>
  <si>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</si>
  <si>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</si>
  <si>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</si>
  <si>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</si>
  <si>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</si>
  <si>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</si>
  <si>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</si>
  <si>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</si>
  <si>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</si>
  <si>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</si>
  <si>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</si>
  <si>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</si>
  <si>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</si>
  <si>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</si>
  <si>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</si>
  <si>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</si>
  <si>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</si>
  <si>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</si>
  <si>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</si>
  <si>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32.</t>
  </si>
  <si>
    <t>34.</t>
  </si>
  <si>
    <t>35.</t>
  </si>
  <si>
    <t>36.</t>
  </si>
  <si>
    <t>37.</t>
  </si>
  <si>
    <t>38.</t>
  </si>
  <si>
    <t>40.</t>
  </si>
  <si>
    <t>39.</t>
  </si>
  <si>
    <t>41.</t>
  </si>
  <si>
    <t>42.</t>
  </si>
  <si>
    <t>43.</t>
  </si>
  <si>
    <t>44.</t>
  </si>
  <si>
    <t>45.</t>
  </si>
  <si>
    <t>46.</t>
  </si>
  <si>
    <t>47.</t>
  </si>
  <si>
    <t>48.</t>
  </si>
  <si>
    <t>49.</t>
  </si>
  <si>
    <t>50.</t>
  </si>
  <si>
    <t>51.</t>
  </si>
  <si>
    <t>52.</t>
  </si>
  <si>
    <t>53.</t>
  </si>
  <si>
    <t>54.</t>
  </si>
  <si>
    <t>55.</t>
  </si>
  <si>
    <t>56.</t>
  </si>
  <si>
    <t>58.</t>
  </si>
  <si>
    <t>59.</t>
  </si>
  <si>
    <t>60.</t>
  </si>
  <si>
    <t>61.</t>
  </si>
  <si>
    <t>62.</t>
  </si>
  <si>
    <r>
      <rPr>
        <b/>
        <sz val="10"/>
        <color theme="1"/>
        <rFont val="Calibri"/>
        <family val="2"/>
        <scheme val="minor"/>
      </rPr>
      <t>HVA/VMA</t>
    </r>
    <r>
      <rPr>
        <sz val="10"/>
        <color theme="1"/>
        <rFont val="Calibri"/>
        <family val="2"/>
        <scheme val="minor"/>
      </rPr>
      <t xml:space="preserve"> può essere utile per definire l’equilibrio tra la produzione dei neurotrasmettitori dopamina ed epinefrina/noradrenalina, che condividono il pathway oppure potrebbe evidenziare infezione da</t>
    </r>
    <r>
      <rPr>
        <i/>
        <sz val="10"/>
        <color theme="1"/>
        <rFont val="Calibri"/>
        <family val="2"/>
        <scheme val="minor"/>
      </rPr>
      <t xml:space="preserve"> Clostridia</t>
    </r>
    <r>
      <rPr>
        <sz val="10"/>
        <color theme="1"/>
        <rFont val="Calibri"/>
        <family val="2"/>
        <scheme val="minor"/>
      </rPr>
      <t xml:space="preserve"> o muffe.</t>
    </r>
  </si>
  <si>
    <t>DONNA</t>
  </si>
  <si>
    <t>DONNA &gt; 13 anni</t>
  </si>
  <si>
    <t>METABOLITI DI AMMINOACIDI</t>
  </si>
  <si>
    <t>HPHPA</t>
  </si>
  <si>
    <t xml:space="preserve">Nel Dna e nell’Rna tre basi azotate (timina, uracile e citosina) sono definite pirimidine. Nel processo di replicazione del materiale genetico , l’acido folico ricopre un ruolo fondamentale nella biosintesi delle pirimidine ( e anche purine) . La presenza di uracile e timina nelle urine potrebbe quindi rappresentare un’indagine interessante per la ricerca di instabilità genomica causata da mancanza di acido folico o mutazioni genetiche. </t>
  </si>
  <si>
    <t>METABOLITI IN ECCESSO</t>
  </si>
  <si>
    <t>METABOLITI IN DIFETTO</t>
  </si>
  <si>
    <t>Il decifit di acido chinurenico è raro e spesso non viene considerato patologico. In questi casi è utile valutare questo valore insieme all'acido 5-idrossindolacetico : se entrambi risultano bassi, allora c'è una probabile inefficienza del triptofano a intraprendere questa via metabolica perchè potrebbe essere utilizzato per scopi di sintesi proteica (sportivi,bambini in fase di sviluppo..) oppure potrebbe esserre necessaria un'integrazione .</t>
  </si>
  <si>
    <t>Ossalico</t>
  </si>
  <si>
    <t>p63</t>
  </si>
  <si>
    <t>L’eccesso di acido ossalico potrebbe essere associato a integrazione importante di vitamina C o infezione funginea e disbiosi. Se anche gli altri metaboliti degli ossalati (acido glicolico e acido glicerico) sono elevati è probabile che si tratti di una predisposizione genetica a iperossaluria; diversamente si può agire trattando in maniera specifica la flora batterica intestinale e limitare l’assunzione di ossalati e vit.C. Valutare integrazione di magnesio e citrato per favorire l’espulsione di calcoli renali.</t>
  </si>
  <si>
    <t>63.</t>
  </si>
  <si>
    <t>p64</t>
  </si>
  <si>
    <t>4-Idrossiippurico</t>
  </si>
  <si>
    <t>Indacano   (mg/dL)</t>
  </si>
  <si>
    <r>
      <rPr>
        <b/>
        <sz val="11"/>
        <rFont val="Calibri"/>
        <family val="2"/>
      </rPr>
      <t>L’indacano</t>
    </r>
    <r>
      <rPr>
        <sz val="11"/>
        <rFont val="Calibri"/>
        <family val="2"/>
      </rPr>
      <t xml:space="preserve"> è  un composto organico incolore costituito da un anello indolo coniugato al glucosio. E’ un sostanza presente naturalmente nelle urine di umani e mammiferi in generale, in quanto metabolita del triptofano. Il triptofano viene convertito in indolo dai batteri intestinali , in particolare da ( es. </t>
    </r>
    <r>
      <rPr>
        <i/>
        <sz val="11"/>
        <rFont val="Calibri"/>
        <family val="2"/>
      </rPr>
      <t xml:space="preserve">Peptostreptococcus indolicus, Bacteroides putredinis e Clostridium sporogenes) </t>
    </r>
    <r>
      <rPr>
        <sz val="11"/>
        <rFont val="Calibri"/>
        <family val="2"/>
      </rPr>
      <t xml:space="preserve"> che lo metabolizzano permettendo la perdita della catena laterale; l’indolo prodotto viene quindi assorbito dalla mucosa intestinale entrando nel circolo entero-epatico. Nel fegato subisce un processo enzimatico di detossificazione bifasica : nel primo step viene trasformato in 3-idrossiindolo e successivamente coniugato con acido solforico o acido glucoronico  per la sua escrezione tramite i reni e le urine sotto forma di indacano . La concentrazione urinaria di indacano riflette la presenza di fenomeni putrefattivi a carico delle proteine e dei composti azotati , processo mediato da alcune specie batteriche come Proteus e Klebsiella. L’azione fondamentale di questi batteri permette di compiere il primo step di detossificazione dei composti  con formazione di sostante endotossiche ( ammoniaca, scatolo, indolo, fenoli) che successivamente raggiungono il fegato compromettendone la funzionalità. L’indolo, insieme allo scatolo, è responsabile di gran parte dell’odore delle feci . </t>
    </r>
  </si>
  <si>
    <r>
      <t xml:space="preserve">L’eccessiva presenza di indacano è correlato a disbiosi che può essere lieve (intorno di 20 mg/l)  , media ( se indacano è tra i 20 e 40 mg/l) o grave (se superiore a 40 mg/l).  Valutare anche lo stato nutrizionale in quanto una dieta ricca di proteine induce un aumento di questo metabolita. Una carenza di batteri </t>
    </r>
    <r>
      <rPr>
        <i/>
        <sz val="11"/>
        <rFont val="Calibri"/>
        <family val="2"/>
      </rPr>
      <t xml:space="preserve">Lactobacilli </t>
    </r>
    <r>
      <rPr>
        <sz val="11"/>
        <rFont val="Calibri"/>
        <family val="2"/>
      </rPr>
      <t>contribuisce alla mancata eubiosi del paziente, causando sintomi come gonfiore, difficoltà digestive , stanchezza e debolezza immunitaria.</t>
    </r>
    <r>
      <rPr>
        <i/>
        <sz val="11"/>
        <rFont val="Calibri"/>
        <family val="2"/>
      </rPr>
      <t xml:space="preserve"> </t>
    </r>
    <r>
      <rPr>
        <sz val="11"/>
        <rFont val="Calibri"/>
        <family val="2"/>
      </rPr>
      <t>Altre cause potrebbero essere malattie metaboliche come la “sindrome del pannolino blu” oppure la malattia di Hartnup.</t>
    </r>
  </si>
  <si>
    <t>57.</t>
  </si>
  <si>
    <t>64.</t>
  </si>
  <si>
    <r>
      <rPr>
        <b/>
        <sz val="10"/>
        <color rgb="FF000000"/>
        <rFont val="Calibri"/>
        <family val="2"/>
      </rPr>
      <t>L’acido 4-metil-2-ossovalerico</t>
    </r>
    <r>
      <rPr>
        <sz val="10"/>
        <color rgb="FF000000"/>
        <rFont val="Calibri"/>
        <family val="2"/>
      </rPr>
      <t xml:space="preserve">, anche detto chetoleucina, è un metabolita anomalo che deriva dalla scomposizione incompleta degli aminoacidi a catena ramificata. Isoleucina, leucina e valina sono tre aminoacidi essenziali a catena ramificata (BCAA) che vengono assunti tramite l'uso di proteine o integratori sportivi, fornendo energia pronta all'utilizzo. Il muscolo scheletrico catabolizza questi aminoacidi BCAA tramite enzimi aminotransferasi per formare chetoacidi nel sangue in modo che poi vengono metabolizzati successivamente dal fegato. I BCAA sono substrati per la sintesi proteica, la produzione di energia , produzione di neurotrasmettitori e altri processi metabolici. I chetoacidi richiedono un complesso enzimatico chiamato alfa-chetoacido deidrogenasi a catena ramificata (BCKD) per essere metabolizzati, complesso enzimatico che richiede cofattori vitaminici quali vit. B1,B2,B3,B5 e acido lipoico.  I chetoacidi se non vengono metabolizzati si accumulano diventando nerutossiche e metabotossiche. Una neurotossina provoca danni alle cellule nervose e ai tessuti nervosi. Una metabotossina è un metabolita endogeno che provoca effetti negativi sulla salute a livelli cronicamente elevati. Livelli cronicamente elevati di chetoleucina sono associati alla malattia delle urine a sciroppo d'acero , malattia metabolica causata da una carenza del complesso alfa-chetoacido deidrogenasi a catena ramificata (BCKD) che porta all'accumulo degli aminoacidi a catena ramificata (leucina, isoleucina e valina) e dei loro sottoprodotti tossici ( chetoacidi) nel sangue e nelle urine. </t>
    </r>
  </si>
  <si>
    <r>
      <rPr>
        <b/>
        <sz val="10"/>
        <rFont val="Calibri"/>
        <family val="2"/>
      </rPr>
      <t>L’acido ossalico</t>
    </r>
    <r>
      <rPr>
        <sz val="10"/>
        <rFont val="Calibri"/>
        <family val="2"/>
      </rPr>
      <t xml:space="preserve"> è un forte acido dicarbossilico prodotto dal corpo umano dal metabolismo dell’acido gliossico o dall’acido ascorbico. E’ conosciuto primariamente per il suo ruolo nella formazione dei calcoli renali in associazione con il calcio.  Per quanto il contributo alimentare da parte di verdure a foglia verde, frutta fresca e frutta secca possa influire sulla formazione di ossalati di calcio, questi risultano avere anche un effetto protettivo quindi è bene farne un uso seppur limitato. Anche l’integrazione di acido ascorbico, precursore dell’ossalico, potrebbe favorire la formazione di calcoli renali per cui se ne consiglia un’integrazione minima per i soggetti predisposti a calcolosi. I maggiori produttori di acido ossalico sono alcune specie di </t>
    </r>
    <r>
      <rPr>
        <i/>
        <sz val="10"/>
        <rFont val="Calibri"/>
        <family val="2"/>
      </rPr>
      <t xml:space="preserve">Aspergillus, Peniciullim </t>
    </r>
    <r>
      <rPr>
        <sz val="10"/>
        <rFont val="Calibri"/>
        <family val="2"/>
      </rPr>
      <t>e</t>
    </r>
    <r>
      <rPr>
        <i/>
        <sz val="10"/>
        <rFont val="Calibri"/>
        <family val="2"/>
      </rPr>
      <t xml:space="preserve"> Candida</t>
    </r>
    <r>
      <rPr>
        <sz val="10"/>
        <rFont val="Calibri"/>
        <family val="2"/>
      </rPr>
      <t>, per cui è consigliabile una terapia antifunginea ad hoc, somministrazione di batteri lattici e agenti probiotici. Predisposizioni genetiche per deficit dell’enzima fumarasi e iperossaluria primaria I o deficit dei perossisomi possono causare un aumento importante di ossalati con conseguenti danni a pelle, vasi sanguigni e tessuti ossei. In questi casi mantenendo elevati i livelli di magnesio e citrato urinario, si può aiutare l’espulsione dei calcoli e limitare le patologie da deposito di ossalati.</t>
    </r>
  </si>
  <si>
    <t>METABO</t>
  </si>
  <si>
    <t>\\DS_VALSAMBRO\Rete\Referti\PDF2024\</t>
  </si>
  <si>
    <t>ENERGIA CELLULARE  E MARKER MITOCONDRIALI</t>
  </si>
  <si>
    <t>Pagina per i grafici</t>
  </si>
  <si>
    <t>Fine pagina per i grafici</t>
  </si>
  <si>
    <t>NEUROTRASMETTITORI</t>
  </si>
  <si>
    <t>CRESCITA MICROBICA INTESTINALE</t>
  </si>
  <si>
    <t>METABOLITI DEGLI OSSALATI</t>
  </si>
  <si>
    <t>Chetoni ed Ossidazione degli Acidi Grassi</t>
  </si>
  <si>
    <t>Metaboliti della fenilalanina e della Tirosina</t>
  </si>
  <si>
    <t>METABOLITI DEGLI AMMINOACIDI</t>
  </si>
  <si>
    <t>PAGINA 10</t>
  </si>
  <si>
    <t>PAGINA 6</t>
  </si>
  <si>
    <t>PAGINA 8</t>
  </si>
  <si>
    <t xml:space="preserve">PAGINA 4 </t>
  </si>
  <si>
    <t>PAGINA 2</t>
  </si>
  <si>
    <t>3,4-Diidrossifenilacetico</t>
  </si>
  <si>
    <t>Triptofano</t>
  </si>
  <si>
    <t>N-Acetil-5-idrossi-triptamina</t>
  </si>
  <si>
    <t>Serotonina</t>
  </si>
  <si>
    <t>Melatonina</t>
  </si>
  <si>
    <t>Kinurenina</t>
  </si>
  <si>
    <t>Triptamina</t>
  </si>
  <si>
    <t>p65</t>
  </si>
  <si>
    <t>p66</t>
  </si>
  <si>
    <t>p67</t>
  </si>
  <si>
    <t>4-Idrossifenilpiruvico</t>
  </si>
  <si>
    <t>p68</t>
  </si>
  <si>
    <t>p69</t>
  </si>
  <si>
    <t>p70</t>
  </si>
  <si>
    <t>GIOVANNI BUI</t>
  </si>
  <si>
    <t>QWERTYUIO</t>
  </si>
  <si>
    <t>VFSDRT68R23O944K</t>
  </si>
  <si>
    <t>C:\Da500Gb\Referti2017\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</si>
</sst>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13">
    <font>
      <sz val="10"/>
      <name val="Arial"/>
    </font>
    <font>
      <sz val="11"/>
      <color theme="1"/>
      <name val="Calibri"/>
      <family val="2"/>
      <scheme val="minor"/>
    </font>
    <font>
      <sz val="8"/>
      <name val="Arial"/>
      <family val="2"/>
    </font>
    <font>
      <sz val="12"/>
      <name val="Tms Rmn"/>
    </font>
    <font>
      <sz val="10"/>
      <name val="Verdana"/>
      <family val="2"/>
    </font>
    <font>
      <b/>
      <sz val="16"/>
      <name val="Arial"/>
      <family val="2"/>
    </font>
    <font>
      <b/>
      <i/>
      <sz val="12"/>
      <name val="Arial"/>
      <family val="2"/>
    </font>
    <font>
      <sz val="8"/>
      <name val="Verdana"/>
      <family val="2"/>
    </font>
    <font>
      <b/>
      <sz val="20"/>
      <color rgb="FF0000FF"/>
      <name val="Calibri"/>
      <family val="2"/>
    </font>
    <font>
      <sz val="14"/>
      <name val="Calibri"/>
      <family val="2"/>
      <scheme val="minor"/>
    </font>
    <font>
      <b/>
      <sz val="8"/>
      <color rgb="FFFF0000"/>
      <name val="Verdana"/>
      <family val="2"/>
    </font>
    <font>
      <sz val="10"/>
      <name val="Arial"/>
      <family val="2"/>
    </font>
    <font>
      <sz val="9"/>
      <name val="Malgun Gothic"/>
      <family val="2"/>
    </font>
    <font>
      <i/>
      <sz val="8"/>
      <color rgb="FFFF0000"/>
      <name val="Tahoma"/>
      <family val="2"/>
    </font>
    <font>
      <sz val="8"/>
      <name val="Tahoma"/>
      <family val="2"/>
    </font>
    <font>
      <b/>
      <sz val="12"/>
      <name val="Calibri"/>
      <family val="2"/>
      <scheme val="minor"/>
    </font>
    <font>
      <b/>
      <sz val="12"/>
      <name val="Arial"/>
      <family val="2"/>
    </font>
    <font>
      <b/>
      <sz val="10"/>
      <name val="Arial"/>
      <family val="2"/>
    </font>
    <font>
      <i/>
      <sz val="9"/>
      <name val="Arial"/>
      <family val="2"/>
    </font>
    <font>
      <b/>
      <sz val="22"/>
      <color rgb="FF0000FF"/>
      <name val="Calibri"/>
      <family val="2"/>
      <scheme val="minor"/>
    </font>
    <font>
      <sz val="10"/>
      <color rgb="FF000000"/>
      <name val="Arial"/>
      <family val="2"/>
    </font>
    <font>
      <sz val="9"/>
      <name val="Arial"/>
      <family val="2"/>
    </font>
    <font>
      <sz val="8"/>
      <name val="Calibri"/>
      <family val="2"/>
      <scheme val="minor"/>
    </font>
    <font>
      <b/>
      <sz val="11"/>
      <name val="Calibri"/>
      <family val="2"/>
      <scheme val="minor"/>
    </font>
    <font>
      <sz val="9"/>
      <name val="Verdana"/>
      <family val="2"/>
    </font>
    <font>
      <sz val="9"/>
      <name val="Tahoma"/>
      <family val="2"/>
    </font>
    <font>
      <b/>
      <sz val="9"/>
      <color rgb="FFFF0000"/>
      <name val="Verdana"/>
      <family val="2"/>
    </font>
    <font>
      <sz val="10"/>
      <name val="Tahoma"/>
      <family val="2"/>
    </font>
    <font>
      <b/>
      <sz val="10"/>
      <color rgb="FFFF0000"/>
      <name val="Verdana"/>
      <family val="2"/>
    </font>
    <font>
      <sz val="11"/>
      <name val="Calibri"/>
      <family val="2"/>
    </font>
    <font>
      <b/>
      <sz val="11"/>
      <color rgb="FF000000"/>
      <name val="Calibri"/>
      <family val="2"/>
    </font>
    <font>
      <sz val="11"/>
      <color rgb="FF000000"/>
      <name val="Calibri"/>
      <family val="2"/>
    </font>
    <font>
      <i/>
      <sz val="11"/>
      <color rgb="FF000000"/>
      <name val="Calibri"/>
      <family val="2"/>
    </font>
    <font>
      <sz val="13"/>
      <color rgb="FF2E74B5"/>
      <name val="Calibri Light"/>
      <family val="2"/>
    </font>
    <font>
      <sz val="11"/>
      <color rgb="FF202122"/>
      <name val="Calibri"/>
      <family val="2"/>
    </font>
    <font>
      <sz val="11"/>
      <name val="Calibri"/>
      <family val="2"/>
      <scheme val="minor"/>
    </font>
    <font>
      <i/>
      <sz val="11"/>
      <name val="Calibri"/>
      <family val="2"/>
      <scheme val="minor"/>
    </font>
    <font>
      <b/>
      <i/>
      <sz val="13"/>
      <color rgb="FF2F5496"/>
      <name val="Calibri Light"/>
      <family val="2"/>
    </font>
    <font>
      <i/>
      <sz val="11"/>
      <name val="Calibri"/>
      <family val="2"/>
    </font>
    <font>
      <i/>
      <u/>
      <sz val="11"/>
      <name val="Calibri"/>
      <family val="2"/>
    </font>
    <font>
      <b/>
      <sz val="14"/>
      <color rgb="FF000000"/>
      <name val="Calibri"/>
      <family val="2"/>
    </font>
    <font>
      <b/>
      <sz val="18"/>
      <color rgb="FF2F5496"/>
      <name val="Calibri Light"/>
      <family val="2"/>
    </font>
    <font>
      <b/>
      <sz val="11"/>
      <name val="Calibri"/>
      <family val="2"/>
    </font>
    <font>
      <b/>
      <sz val="14"/>
      <name val="Calibri"/>
      <family val="2"/>
    </font>
    <font>
      <sz val="8"/>
      <color rgb="FF0000FF"/>
      <name val="Verdana"/>
      <family val="2"/>
    </font>
    <font>
      <sz val="8"/>
      <color rgb="FF0000FF"/>
      <name val="Arial"/>
      <family val="2"/>
    </font>
    <font>
      <sz val="12"/>
      <color rgb="FF0000FF"/>
      <name val="Calibri"/>
      <family val="2"/>
      <scheme val="minor"/>
    </font>
    <font>
      <sz val="9"/>
      <color rgb="FF0000FF"/>
      <name val="Malgun Gothic"/>
      <family val="2"/>
    </font>
    <font>
      <sz val="10"/>
      <color rgb="FF0000FF"/>
      <name val="Arial"/>
      <family val="2"/>
    </font>
    <font>
      <sz val="10"/>
      <color rgb="FF0000FF"/>
      <name val="Verdana"/>
      <family val="2"/>
    </font>
    <font>
      <i/>
      <sz val="8"/>
      <color rgb="FF0000FF"/>
      <name val="Tahoma"/>
      <family val="2"/>
    </font>
    <font>
      <b/>
      <sz val="20"/>
      <color theme="0"/>
      <name val="Calibri"/>
      <family val="2"/>
      <scheme val="minor"/>
    </font>
    <font>
      <b/>
      <i/>
      <sz val="10"/>
      <name val="Calibri"/>
      <family val="2"/>
      <scheme val="minor"/>
    </font>
    <font>
      <sz val="10"/>
      <name val="Calibri"/>
      <family val="2"/>
      <scheme val="minor"/>
    </font>
    <font>
      <b/>
      <sz val="12"/>
      <color rgb="FF0000FF"/>
      <name val="Calibri"/>
      <family val="2"/>
      <scheme val="minor"/>
    </font>
    <font>
      <sz val="12"/>
      <name val="Verdana"/>
      <family val="2"/>
    </font>
    <font>
      <sz val="12"/>
      <name val="Arial"/>
      <family val="2"/>
    </font>
    <font>
      <b/>
      <sz val="11"/>
      <color rgb="FF0000FF"/>
      <name val="Calibri"/>
      <family val="2"/>
      <scheme val="minor"/>
    </font>
    <font>
      <sz val="11"/>
      <name val="Verdana"/>
      <family val="2"/>
    </font>
    <font>
      <b/>
      <sz val="11"/>
      <name val="Arial"/>
      <family val="2"/>
    </font>
    <font>
      <b/>
      <u/>
      <sz val="10"/>
      <name val="Arial"/>
      <family val="2"/>
    </font>
    <font>
      <sz val="16"/>
      <color rgb="FF0070C0"/>
      <name val="Calibri"/>
      <family val="2"/>
    </font>
    <font>
      <b/>
      <sz val="10"/>
      <color rgb="FF000000"/>
      <name val="Calibri"/>
      <family val="2"/>
    </font>
    <font>
      <sz val="10"/>
      <color rgb="FF000000"/>
      <name val="Calibri"/>
      <family val="2"/>
    </font>
    <font>
      <sz val="10"/>
      <color theme="1"/>
      <name val="Calibri"/>
      <family val="2"/>
      <scheme val="minor"/>
    </font>
    <font>
      <sz val="10"/>
      <color rgb="FF6A6A6B"/>
      <name val="Calibri "/>
    </font>
    <font>
      <sz val="10"/>
      <color rgb="FF202122"/>
      <name val="Calibri"/>
      <family val="2"/>
    </font>
    <font>
      <b/>
      <sz val="10"/>
      <color theme="3" tint="0.39997558519241921"/>
      <name val="Calibri"/>
      <family val="2"/>
      <scheme val="minor"/>
    </font>
    <font>
      <sz val="10"/>
      <color rgb="FF0D0D0D"/>
      <name val="Calibri"/>
      <family val="2"/>
    </font>
    <font>
      <i/>
      <sz val="10"/>
      <color rgb="FF0D0D0D"/>
      <name val="Calibri"/>
      <family val="2"/>
    </font>
    <font>
      <i/>
      <sz val="10"/>
      <color rgb="FF000000"/>
      <name val="Calibri"/>
      <family val="2"/>
    </font>
    <font>
      <b/>
      <sz val="10"/>
      <color rgb="FF0D0D0D"/>
      <name val="Calibri"/>
      <family val="2"/>
    </font>
    <font>
      <sz val="10"/>
      <color rgb="FF212121"/>
      <name val="Calibri"/>
      <family val="2"/>
      <scheme val="minor"/>
    </font>
    <font>
      <b/>
      <sz val="10"/>
      <color rgb="FF212121"/>
      <name val="Calibri"/>
      <family val="2"/>
      <scheme val="minor"/>
    </font>
    <font>
      <sz val="10"/>
      <color rgb="FFFF0000"/>
      <name val="Arial"/>
      <family val="2"/>
    </font>
    <font>
      <b/>
      <sz val="10"/>
      <color rgb="FF2E74B5"/>
      <name val="Calibri"/>
      <family val="2"/>
    </font>
    <font>
      <i/>
      <sz val="10"/>
      <color theme="1"/>
      <name val="Calibri"/>
      <family val="2"/>
      <scheme val="minor"/>
    </font>
    <font>
      <b/>
      <sz val="10"/>
      <name val="Calibri"/>
      <family val="2"/>
      <scheme val="minor"/>
    </font>
    <font>
      <sz val="10"/>
      <name val="Calibri"/>
      <family val="2"/>
    </font>
    <font>
      <b/>
      <sz val="10"/>
      <color rgb="FFFF0000"/>
      <name val="Arial"/>
      <family val="2"/>
    </font>
    <font>
      <sz val="13"/>
      <color rgb="FF000000"/>
      <name val="Wingdings"/>
      <charset val="2"/>
    </font>
    <font>
      <u/>
      <sz val="10"/>
      <color rgb="FF000000"/>
      <name val="Calibri"/>
      <family val="2"/>
    </font>
    <font>
      <u/>
      <sz val="11"/>
      <color rgb="FF000000"/>
      <name val="Calibri"/>
      <family val="2"/>
    </font>
    <font>
      <b/>
      <sz val="10"/>
      <color rgb="FF202122"/>
      <name val="Calibri"/>
      <family val="2"/>
    </font>
    <font>
      <i/>
      <sz val="10"/>
      <color rgb="FF202122"/>
      <name val="Calibri"/>
      <family val="2"/>
    </font>
    <font>
      <i/>
      <sz val="10"/>
      <name val="Calibri"/>
      <family val="2"/>
      <scheme val="minor"/>
    </font>
    <font>
      <b/>
      <sz val="10"/>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i/>
      <sz val="10"/>
      <name val="Arial"/>
      <family val="2"/>
    </font>
    <font>
      <b/>
      <sz val="9"/>
      <name val="Arial"/>
      <family val="2"/>
    </font>
    <font>
      <sz val="11"/>
      <color rgb="FF2E74B5"/>
      <name val="Calibri Light"/>
      <family val="2"/>
    </font>
    <font>
      <b/>
      <sz val="10"/>
      <name val="Calibri"/>
      <family val="2"/>
    </font>
    <font>
      <sz val="10"/>
      <color rgb="FF000000"/>
      <name val="Calibri"/>
      <family val="2"/>
      <scheme val="minor"/>
    </font>
    <font>
      <sz val="11"/>
      <color rgb="FF000000"/>
      <name val="Calibri"/>
      <family val="2"/>
      <scheme val="minor"/>
    </font>
    <font>
      <i/>
      <sz val="10"/>
      <name val="Calibri"/>
      <family val="2"/>
    </font>
    <font>
      <b/>
      <sz val="14"/>
      <name val="Verdana"/>
      <family val="2"/>
    </font>
    <font>
      <b/>
      <sz val="8"/>
      <color theme="1"/>
      <name val="Tahoma"/>
      <family val="2"/>
    </font>
    <font>
      <u/>
      <sz val="10"/>
      <color theme="10"/>
      <name val="Arial"/>
      <family val="2"/>
    </font>
  </fonts>
  <fills count="38">
    <fill>
      <patternFill patternType="none"/>
    </fill>
    <fill>
      <patternFill patternType="gray125"/>
    </fill>
    <fill>
      <patternFill patternType="solid">
        <fgColor rgb="FFBCD3EE"/>
        <bgColor indexed="64"/>
      </patternFill>
    </fill>
    <fill>
      <patternFill patternType="solid">
        <fgColor rgb="FFCADCF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s>
  <borders count="25">
    <border>
      <left/>
      <right/>
      <top/>
      <bottom/>
      <diagonal/>
    </border>
    <border>
      <left/>
      <right/>
      <top/>
      <bottom style="double">
        <color indexed="64"/>
      </bottom>
      <diagonal/>
    </border>
    <border>
      <left/>
      <right/>
      <top/>
      <bottom style="thick">
        <color rgb="FF0000FF"/>
      </bottom>
      <diagonal/>
    </border>
    <border>
      <left/>
      <right/>
      <top/>
      <bottom style="thin">
        <color indexed="64"/>
      </bottom>
      <diagonal/>
    </border>
    <border>
      <left/>
      <right/>
      <top style="thick">
        <color rgb="FF0000FF"/>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ck">
        <color rgb="FF0000FF"/>
      </top>
      <bottom style="thin">
        <color indexed="64"/>
      </bottom>
      <diagonal/>
    </border>
    <border>
      <left/>
      <right/>
      <top style="thin">
        <color indexed="64"/>
      </top>
      <bottom/>
      <diagonal/>
    </border>
    <border>
      <left/>
      <right/>
      <top style="medium">
        <color auto="1"/>
      </top>
      <bottom/>
      <diagonal/>
    </border>
  </borders>
  <cellStyleXfs count="46">
    <xf numFmtId="0" fontId="0" fillId="0" borderId="0"/>
    <xf numFmtId="0" fontId="3" fillId="0" borderId="0"/>
    <xf numFmtId="0" fontId="11" fillId="0" borderId="0"/>
    <xf numFmtId="0" fontId="87" fillId="0" borderId="0" applyNumberFormat="0" applyFill="0" applyBorder="0" applyAlignment="0" applyProtection="0"/>
    <xf numFmtId="0" fontId="88" fillId="0" borderId="13" applyNumberFormat="0" applyFill="0" applyAlignment="0" applyProtection="0"/>
    <xf numFmtId="0" fontId="89" fillId="0" borderId="14" applyNumberFormat="0" applyFill="0" applyAlignment="0" applyProtection="0"/>
    <xf numFmtId="0" fontId="90" fillId="0" borderId="15" applyNumberFormat="0" applyFill="0" applyAlignment="0" applyProtection="0"/>
    <xf numFmtId="0" fontId="90" fillId="0" borderId="0" applyNumberFormat="0" applyFill="0" applyBorder="0" applyAlignment="0" applyProtection="0"/>
    <xf numFmtId="0" fontId="91" fillId="6" borderId="0" applyNumberFormat="0" applyBorder="0" applyAlignment="0" applyProtection="0"/>
    <xf numFmtId="0" fontId="92" fillId="7" borderId="0" applyNumberFormat="0" applyBorder="0" applyAlignment="0" applyProtection="0"/>
    <xf numFmtId="0" fontId="93" fillId="9" borderId="16" applyNumberFormat="0" applyAlignment="0" applyProtection="0"/>
    <xf numFmtId="0" fontId="94" fillId="10" borderId="17" applyNumberFormat="0" applyAlignment="0" applyProtection="0"/>
    <xf numFmtId="0" fontId="95" fillId="10" borderId="16" applyNumberFormat="0" applyAlignment="0" applyProtection="0"/>
    <xf numFmtId="0" fontId="96" fillId="0" borderId="18" applyNumberFormat="0" applyFill="0" applyAlignment="0" applyProtection="0"/>
    <xf numFmtId="0" fontId="97" fillId="11" borderId="19" applyNumberFormat="0" applyAlignment="0" applyProtection="0"/>
    <xf numFmtId="0" fontId="98" fillId="0" borderId="0" applyNumberFormat="0" applyFill="0" applyBorder="0" applyAlignment="0" applyProtection="0"/>
    <xf numFmtId="0" fontId="99" fillId="0" borderId="0" applyNumberFormat="0" applyFill="0" applyBorder="0" applyAlignment="0" applyProtection="0"/>
    <xf numFmtId="0" fontId="100" fillId="0" borderId="21" applyNumberFormat="0" applyFill="0" applyAlignment="0" applyProtection="0"/>
    <xf numFmtId="0" fontId="10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0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0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0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0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0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02" fillId="8" borderId="0" applyNumberFormat="0" applyBorder="0" applyAlignment="0" applyProtection="0"/>
    <xf numFmtId="0" fontId="1" fillId="12" borderId="20" applyNumberFormat="0" applyFont="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12" fillId="0" borderId="0" applyNumberFormat="0" applyFill="0" applyBorder="0" applyAlignment="0" applyProtection="0"/>
  </cellStyleXfs>
  <cellXfs count="284">
    <xf numFmtId="0" fontId="0" fillId="0" borderId="0" xfId="0"/>
    <xf numFmtId="0" fontId="9" fillId="0" borderId="0" xfId="1" applyFont="1"/>
    <xf numFmtId="0" fontId="4" fillId="0" borderId="0" xfId="2" applyFont="1"/>
    <xf numFmtId="0" fontId="11" fillId="0" borderId="0" xfId="2"/>
    <xf numFmtId="0" fontId="4" fillId="0" borderId="2" xfId="2" applyFont="1" applyBorder="1"/>
    <xf numFmtId="0" fontId="11" fillId="0" borderId="2" xfId="2" applyBorder="1"/>
    <xf numFmtId="0" fontId="5" fillId="0" borderId="0" xfId="2" applyFont="1"/>
    <xf numFmtId="0" fontId="4" fillId="0" borderId="1" xfId="2" applyFont="1" applyBorder="1"/>
    <xf numFmtId="0" fontId="11" fillId="0" borderId="1" xfId="2" applyBorder="1"/>
    <xf numFmtId="0" fontId="6" fillId="0" borderId="0" xfId="2" applyFont="1"/>
    <xf numFmtId="0" fontId="17" fillId="0" borderId="0" xfId="2" applyFont="1"/>
    <xf numFmtId="0" fontId="16" fillId="0" borderId="0" xfId="2" applyFont="1"/>
    <xf numFmtId="0" fontId="4" fillId="2" borderId="0" xfId="2" applyFont="1" applyFill="1"/>
    <xf numFmtId="0" fontId="11" fillId="2" borderId="0" xfId="2" applyFill="1"/>
    <xf numFmtId="0" fontId="17" fillId="2" borderId="0" xfId="2" applyFont="1" applyFill="1" applyAlignment="1">
      <alignment horizontal="center"/>
    </xf>
    <xf numFmtId="0" fontId="16" fillId="2" borderId="0" xfId="2" applyFont="1" applyFill="1"/>
    <xf numFmtId="0" fontId="15" fillId="0" borderId="0" xfId="2" applyFont="1"/>
    <xf numFmtId="0" fontId="15" fillId="0" borderId="3" xfId="1" applyFont="1" applyBorder="1"/>
    <xf numFmtId="0" fontId="15" fillId="0" borderId="0" xfId="1" applyFont="1" applyAlignment="1">
      <alignment vertical="top"/>
    </xf>
    <xf numFmtId="0" fontId="4" fillId="0" borderId="0" xfId="2" applyFont="1" applyAlignment="1">
      <alignment vertical="center"/>
    </xf>
    <xf numFmtId="0" fontId="0" fillId="0" borderId="0" xfId="0" quotePrefix="1" applyAlignment="1">
      <alignment horizontal="right"/>
    </xf>
    <xf numFmtId="0" fontId="15" fillId="0" borderId="3" xfId="2" applyFont="1" applyBorder="1"/>
    <xf numFmtId="0" fontId="7" fillId="0" borderId="0" xfId="2" applyFont="1"/>
    <xf numFmtId="0" fontId="14" fillId="0" borderId="0" xfId="2" applyFont="1" applyAlignment="1">
      <alignment horizontal="left"/>
    </xf>
    <xf numFmtId="0" fontId="22" fillId="0" borderId="0" xfId="0" applyFont="1" applyAlignment="1">
      <alignment horizontal="center"/>
    </xf>
    <xf numFmtId="0" fontId="12" fillId="0" borderId="0" xfId="2" applyFont="1" applyAlignment="1">
      <alignment horizontal="left" vertical="center"/>
    </xf>
    <xf numFmtId="0" fontId="0" fillId="0" borderId="0" xfId="0"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21" fillId="0" borderId="0" xfId="0" applyFont="1"/>
    <xf numFmtId="0" fontId="7" fillId="0" borderId="0" xfId="2" applyFont="1" applyAlignment="1">
      <alignment horizontal="left"/>
    </xf>
    <xf numFmtId="0" fontId="14" fillId="0" borderId="0" xfId="2" applyFont="1" applyAlignment="1">
      <alignment horizontal="center"/>
    </xf>
    <xf numFmtId="0" fontId="25" fillId="0" borderId="0" xfId="2" applyFont="1" applyAlignment="1">
      <alignment horizontal="center"/>
    </xf>
    <xf numFmtId="0" fontId="24" fillId="0" borderId="0" xfId="2" applyFont="1"/>
    <xf numFmtId="0" fontId="21" fillId="0" borderId="0" xfId="2" applyFont="1"/>
    <xf numFmtId="0" fontId="27" fillId="0" borderId="0" xfId="2" applyFont="1" applyAlignment="1">
      <alignment horizontal="center"/>
    </xf>
    <xf numFmtId="0" fontId="10" fillId="0" borderId="0" xfId="2" applyFont="1" applyAlignment="1">
      <alignment horizontal="center"/>
    </xf>
    <xf numFmtId="0" fontId="0" fillId="0" borderId="0" xfId="0" quotePrefix="1"/>
    <xf numFmtId="0" fontId="17" fillId="0" borderId="0" xfId="2" applyFont="1" applyAlignment="1">
      <alignment horizontal="center"/>
    </xf>
    <xf numFmtId="0" fontId="0" fillId="0" borderId="3" xfId="0" applyBorder="1"/>
    <xf numFmtId="0" fontId="11" fillId="0" borderId="0" xfId="2" applyAlignment="1">
      <alignment horizontal="left"/>
    </xf>
    <xf numFmtId="0" fontId="35" fillId="0" borderId="0" xfId="0" applyFont="1"/>
    <xf numFmtId="0" fontId="29" fillId="0" borderId="0" xfId="0" applyFont="1" applyAlignment="1">
      <alignment wrapText="1"/>
    </xf>
    <xf numFmtId="0" fontId="35" fillId="0" borderId="3" xfId="0" applyFont="1" applyBorder="1" applyAlignment="1">
      <alignment vertical="center"/>
    </xf>
    <xf numFmtId="0" fontId="35" fillId="0" borderId="3" xfId="0" applyFont="1" applyBorder="1"/>
    <xf numFmtId="0" fontId="2" fillId="0" borderId="1" xfId="2" applyFont="1" applyBorder="1"/>
    <xf numFmtId="0" fontId="18" fillId="0" borderId="1" xfId="2" applyFont="1" applyBorder="1" applyAlignment="1">
      <alignment horizontal="center"/>
    </xf>
    <xf numFmtId="0" fontId="45" fillId="0" borderId="0" xfId="2" applyFont="1"/>
    <xf numFmtId="0" fontId="47" fillId="0" borderId="0" xfId="2" applyFont="1" applyAlignment="1">
      <alignment horizontal="left" vertical="center"/>
    </xf>
    <xf numFmtId="0" fontId="48" fillId="0" borderId="0" xfId="2" applyFont="1"/>
    <xf numFmtId="0" fontId="49" fillId="0" borderId="0" xfId="2" applyFont="1"/>
    <xf numFmtId="0" fontId="53" fillId="0" borderId="0" xfId="2" applyFont="1"/>
    <xf numFmtId="0" fontId="53" fillId="0" borderId="0" xfId="2" applyFont="1" applyAlignment="1">
      <alignment horizontal="center"/>
    </xf>
    <xf numFmtId="0" fontId="36" fillId="0" borderId="0" xfId="2" applyFont="1"/>
    <xf numFmtId="0" fontId="35" fillId="0" borderId="0" xfId="2" applyFont="1"/>
    <xf numFmtId="0" fontId="23" fillId="0" borderId="0" xfId="2" applyFont="1"/>
    <xf numFmtId="0" fontId="54" fillId="0" borderId="0" xfId="1" applyFont="1" applyAlignment="1">
      <alignment horizontal="left"/>
    </xf>
    <xf numFmtId="0" fontId="55" fillId="0" borderId="0" xfId="2" applyFont="1"/>
    <xf numFmtId="0" fontId="56" fillId="0" borderId="0" xfId="2" applyFont="1"/>
    <xf numFmtId="0" fontId="55" fillId="0" borderId="3" xfId="2" applyFont="1" applyBorder="1"/>
    <xf numFmtId="0" fontId="11" fillId="0" borderId="0" xfId="2" applyAlignment="1">
      <alignment horizontal="center"/>
    </xf>
    <xf numFmtId="0" fontId="53" fillId="0" borderId="0" xfId="0" applyFont="1"/>
    <xf numFmtId="0" fontId="53" fillId="0" borderId="0" xfId="0" applyFont="1" applyProtection="1">
      <protection hidden="1"/>
    </xf>
    <xf numFmtId="0" fontId="58" fillId="0" borderId="0" xfId="2" applyFont="1"/>
    <xf numFmtId="0" fontId="35" fillId="0" borderId="0" xfId="1" applyFont="1" applyAlignment="1">
      <alignment vertical="center"/>
    </xf>
    <xf numFmtId="0" fontId="59" fillId="0" borderId="0" xfId="2" applyFont="1"/>
    <xf numFmtId="0" fontId="60" fillId="0" borderId="0" xfId="0" applyFont="1"/>
    <xf numFmtId="0" fontId="4" fillId="0" borderId="0" xfId="2" applyFont="1" applyAlignment="1">
      <alignment horizontal="left"/>
    </xf>
    <xf numFmtId="0" fontId="24" fillId="0" borderId="0" xfId="2" applyFont="1" applyAlignment="1">
      <alignment horizontal="left"/>
    </xf>
    <xf numFmtId="0" fontId="24" fillId="0" borderId="0" xfId="2" applyFont="1" applyAlignment="1">
      <alignment horizontal="center"/>
    </xf>
    <xf numFmtId="0" fontId="13" fillId="0" borderId="0" xfId="2" applyFont="1" applyAlignment="1">
      <alignment horizontal="left"/>
    </xf>
    <xf numFmtId="0" fontId="26" fillId="0" borderId="0" xfId="2" applyFont="1" applyAlignment="1">
      <alignment horizontal="center"/>
    </xf>
    <xf numFmtId="0" fontId="50" fillId="0" borderId="0" xfId="2" applyFont="1" applyAlignment="1">
      <alignment horizontal="left"/>
    </xf>
    <xf numFmtId="0" fontId="7" fillId="0" borderId="0" xfId="2" applyFont="1" applyAlignment="1">
      <alignment horizontal="center"/>
    </xf>
    <xf numFmtId="0" fontId="28" fillId="0" borderId="0" xfId="2" applyFont="1" applyAlignment="1">
      <alignment horizontal="center"/>
    </xf>
    <xf numFmtId="0" fontId="4" fillId="0" borderId="0" xfId="2" applyFont="1" applyAlignment="1">
      <alignment horizontal="center"/>
    </xf>
    <xf numFmtId="0" fontId="7" fillId="0" borderId="0" xfId="2" applyFont="1" applyAlignment="1">
      <alignment horizontal="center" vertical="center"/>
    </xf>
    <xf numFmtId="0" fontId="0" fillId="0" borderId="3" xfId="0" applyBorder="1" applyAlignment="1">
      <alignment horizontal="center"/>
    </xf>
    <xf numFmtId="0" fontId="11" fillId="0" borderId="0" xfId="2" applyAlignment="1">
      <alignment vertical="center"/>
    </xf>
    <xf numFmtId="0" fontId="30" fillId="0" borderId="0" xfId="2" applyFont="1" applyAlignment="1">
      <alignment vertical="top" wrapText="1"/>
    </xf>
    <xf numFmtId="0" fontId="31" fillId="0" borderId="0" xfId="2" applyFont="1" applyAlignment="1">
      <alignment vertical="top" wrapText="1"/>
    </xf>
    <xf numFmtId="0" fontId="35" fillId="0" borderId="0" xfId="2" applyFont="1" applyAlignment="1">
      <alignment wrapText="1"/>
    </xf>
    <xf numFmtId="0" fontId="63" fillId="0" borderId="0" xfId="2" applyFont="1" applyAlignment="1">
      <alignment vertical="center" wrapText="1"/>
    </xf>
    <xf numFmtId="0" fontId="35" fillId="0" borderId="0" xfId="2" applyFont="1" applyAlignment="1">
      <alignment horizontal="left" vertical="top" wrapText="1"/>
    </xf>
    <xf numFmtId="0" fontId="31" fillId="0" borderId="0" xfId="2" applyFont="1" applyAlignment="1">
      <alignment horizontal="left" vertical="top" wrapText="1"/>
    </xf>
    <xf numFmtId="0" fontId="30" fillId="0" borderId="0" xfId="2" applyFont="1" applyAlignment="1">
      <alignment horizontal="left" vertical="center" wrapText="1"/>
    </xf>
    <xf numFmtId="0" fontId="62" fillId="0" borderId="0" xfId="2" applyFont="1" applyAlignment="1">
      <alignment horizontal="center" vertical="top" wrapText="1"/>
    </xf>
    <xf numFmtId="0" fontId="35" fillId="0" borderId="0" xfId="0" applyFont="1" applyAlignment="1">
      <alignment vertical="center"/>
    </xf>
    <xf numFmtId="0" fontId="62" fillId="0" borderId="0" xfId="2" applyFont="1" applyAlignment="1">
      <alignment vertical="top" wrapText="1"/>
    </xf>
    <xf numFmtId="0" fontId="72" fillId="0" borderId="0" xfId="2" applyFont="1" applyAlignment="1">
      <alignment wrapText="1"/>
    </xf>
    <xf numFmtId="0" fontId="72" fillId="0" borderId="0" xfId="2" applyFont="1" applyAlignment="1">
      <alignment horizontal="left" wrapText="1"/>
    </xf>
    <xf numFmtId="0" fontId="11" fillId="0" borderId="0" xfId="2" applyAlignment="1">
      <alignment horizontal="center" wrapText="1"/>
    </xf>
    <xf numFmtId="0" fontId="65" fillId="0" borderId="0" xfId="2" applyFont="1" applyAlignment="1">
      <alignment vertical="center" wrapText="1"/>
    </xf>
    <xf numFmtId="0" fontId="64" fillId="0" borderId="0" xfId="2" applyFont="1" applyAlignment="1">
      <alignment vertical="center" wrapText="1"/>
    </xf>
    <xf numFmtId="0" fontId="53" fillId="0" borderId="0" xfId="2" applyFont="1" applyAlignment="1">
      <alignment wrapText="1"/>
    </xf>
    <xf numFmtId="0" fontId="64" fillId="0" borderId="0" xfId="2" applyFont="1" applyAlignment="1">
      <alignment vertical="top" wrapText="1"/>
    </xf>
    <xf numFmtId="0" fontId="79" fillId="0" borderId="0" xfId="2" applyFont="1" applyAlignment="1">
      <alignment horizontal="center" wrapText="1"/>
    </xf>
    <xf numFmtId="0" fontId="31" fillId="0" borderId="0" xfId="2" applyFont="1" applyAlignment="1">
      <alignment vertical="center" wrapText="1"/>
    </xf>
    <xf numFmtId="0" fontId="31" fillId="0" borderId="0" xfId="2" applyFont="1" applyAlignment="1">
      <alignment horizontal="left" vertical="center" indent="4"/>
    </xf>
    <xf numFmtId="0" fontId="80" fillId="0" borderId="0" xfId="2" applyFont="1" applyAlignment="1">
      <alignment vertical="top" wrapText="1"/>
    </xf>
    <xf numFmtId="0" fontId="30" fillId="0" borderId="0" xfId="2" applyFont="1" applyAlignment="1">
      <alignment vertical="center" wrapText="1"/>
    </xf>
    <xf numFmtId="0" fontId="81" fillId="0" borderId="0" xfId="2" applyFont="1" applyAlignment="1">
      <alignment vertical="center" wrapText="1"/>
    </xf>
    <xf numFmtId="0" fontId="31" fillId="0" borderId="0" xfId="2" applyFont="1" applyAlignment="1">
      <alignment vertical="center"/>
    </xf>
    <xf numFmtId="0" fontId="31" fillId="0" borderId="0" xfId="2" applyFont="1" applyAlignment="1">
      <alignment horizontal="left" vertical="center" indent="2"/>
    </xf>
    <xf numFmtId="0" fontId="66" fillId="0" borderId="0" xfId="2" applyFont="1" applyAlignment="1">
      <alignment vertical="center" wrapText="1"/>
    </xf>
    <xf numFmtId="0" fontId="34" fillId="0" borderId="0" xfId="2" applyFont="1" applyAlignment="1">
      <alignment vertical="center" wrapText="1"/>
    </xf>
    <xf numFmtId="0" fontId="53" fillId="0" borderId="0" xfId="2" applyFont="1" applyAlignment="1">
      <alignment vertical="center" wrapText="1"/>
    </xf>
    <xf numFmtId="0" fontId="11" fillId="0" borderId="0" xfId="2" applyAlignment="1">
      <alignment wrapText="1"/>
    </xf>
    <xf numFmtId="0" fontId="35" fillId="0" borderId="0" xfId="2" applyFont="1" applyAlignment="1">
      <alignment horizontal="left" vertical="center" wrapText="1"/>
    </xf>
    <xf numFmtId="0" fontId="35" fillId="0" borderId="0" xfId="2" applyFont="1" applyAlignment="1">
      <alignment vertical="center" wrapText="1"/>
    </xf>
    <xf numFmtId="0" fontId="35" fillId="0" borderId="0" xfId="2" applyFont="1" applyAlignment="1">
      <alignment horizontal="left" wrapText="1"/>
    </xf>
    <xf numFmtId="0" fontId="35" fillId="0" borderId="0" xfId="2" applyFont="1" applyAlignment="1">
      <alignment horizontal="center" wrapText="1"/>
    </xf>
    <xf numFmtId="0" fontId="67" fillId="0" borderId="0" xfId="2" quotePrefix="1" applyFont="1" applyAlignment="1">
      <alignment horizontal="right"/>
    </xf>
    <xf numFmtId="0" fontId="53" fillId="0" borderId="0" xfId="2" applyFont="1" applyAlignment="1">
      <alignment horizontal="center" wrapText="1"/>
    </xf>
    <xf numFmtId="0" fontId="77" fillId="0" borderId="0" xfId="2" applyFont="1"/>
    <xf numFmtId="0" fontId="63" fillId="0" borderId="0" xfId="2" applyFont="1" applyAlignment="1">
      <alignment vertical="center"/>
    </xf>
    <xf numFmtId="0" fontId="53" fillId="0" borderId="0" xfId="2" applyFont="1" applyAlignment="1">
      <alignment horizontal="left" vertical="top"/>
    </xf>
    <xf numFmtId="0" fontId="35" fillId="0" borderId="12" xfId="0" applyFont="1" applyBorder="1"/>
    <xf numFmtId="0" fontId="15" fillId="0" borderId="0" xfId="1" applyFont="1" applyAlignment="1">
      <alignment horizontal="center"/>
    </xf>
    <xf numFmtId="0" fontId="103" fillId="0" borderId="0" xfId="2" applyFont="1"/>
    <xf numFmtId="0" fontId="77" fillId="0" borderId="0" xfId="2" applyFont="1" applyAlignment="1">
      <alignment vertical="center"/>
    </xf>
    <xf numFmtId="0" fontId="35" fillId="0" borderId="22" xfId="2" applyFont="1" applyBorder="1"/>
    <xf numFmtId="0" fontId="23" fillId="0" borderId="22" xfId="1" applyFont="1" applyBorder="1"/>
    <xf numFmtId="0" fontId="23" fillId="0" borderId="22" xfId="1" applyFont="1" applyBorder="1" applyAlignment="1">
      <alignment horizontal="right"/>
    </xf>
    <xf numFmtId="0" fontId="100" fillId="0" borderId="22" xfId="1" applyFont="1" applyBorder="1"/>
    <xf numFmtId="0" fontId="57" fillId="0" borderId="22" xfId="1" applyFont="1" applyBorder="1"/>
    <xf numFmtId="0" fontId="35" fillId="0" borderId="22" xfId="2" applyFont="1" applyBorder="1" applyAlignment="1">
      <alignment horizontal="right"/>
    </xf>
    <xf numFmtId="14" fontId="23" fillId="0" borderId="22" xfId="1" applyNumberFormat="1" applyFont="1" applyBorder="1"/>
    <xf numFmtId="0" fontId="4" fillId="0" borderId="22" xfId="2" applyFont="1" applyBorder="1"/>
    <xf numFmtId="0" fontId="61" fillId="0" borderId="0" xfId="2" applyFont="1"/>
    <xf numFmtId="0" fontId="11" fillId="0" borderId="0" xfId="2" quotePrefix="1" applyAlignment="1">
      <alignment horizontal="right"/>
    </xf>
    <xf numFmtId="0" fontId="32" fillId="0" borderId="0" xfId="2" applyFont="1" applyAlignment="1">
      <alignment vertical="top" wrapText="1"/>
    </xf>
    <xf numFmtId="0" fontId="33" fillId="0" borderId="0" xfId="2" applyFont="1" applyAlignment="1">
      <alignment vertical="center"/>
    </xf>
    <xf numFmtId="0" fontId="11" fillId="0" borderId="0" xfId="2" applyAlignment="1">
      <alignment horizontal="right"/>
    </xf>
    <xf numFmtId="0" fontId="38" fillId="0" borderId="0" xfId="2" applyFont="1" applyAlignment="1">
      <alignment vertical="center"/>
    </xf>
    <xf numFmtId="0" fontId="104" fillId="0" borderId="0" xfId="2" applyFont="1" applyAlignment="1">
      <alignment horizontal="right" vertical="center"/>
    </xf>
    <xf numFmtId="0" fontId="105" fillId="0" borderId="0" xfId="2" applyFont="1" applyAlignment="1">
      <alignment vertical="center"/>
    </xf>
    <xf numFmtId="0" fontId="32" fillId="0" borderId="0" xfId="2" applyFont="1" applyAlignment="1">
      <alignment horizontal="left" vertical="top" wrapText="1"/>
    </xf>
    <xf numFmtId="0" fontId="53" fillId="0" borderId="0" xfId="2" applyFont="1" applyAlignment="1">
      <alignment horizontal="left" vertical="top" wrapText="1"/>
    </xf>
    <xf numFmtId="0" fontId="64" fillId="0" borderId="0" xfId="2" applyFont="1" applyAlignment="1">
      <alignment horizontal="left" vertical="top" wrapText="1"/>
    </xf>
    <xf numFmtId="0" fontId="32" fillId="0" borderId="0" xfId="2" applyFont="1" applyAlignment="1">
      <alignment horizontal="left" vertical="center" wrapText="1"/>
    </xf>
    <xf numFmtId="0" fontId="63" fillId="0" borderId="0" xfId="2" applyFont="1" applyAlignment="1">
      <alignment horizontal="left" vertical="top" wrapText="1"/>
    </xf>
    <xf numFmtId="0" fontId="62" fillId="0" borderId="0" xfId="2" applyFont="1" applyAlignment="1">
      <alignment horizontal="left" vertical="top" wrapText="1"/>
    </xf>
    <xf numFmtId="0" fontId="74" fillId="0" borderId="0" xfId="2" applyFont="1" applyAlignment="1">
      <alignment horizontal="center" vertical="center" wrapText="1"/>
    </xf>
    <xf numFmtId="0" fontId="72" fillId="0" borderId="0" xfId="2" applyFont="1" applyAlignment="1">
      <alignment horizontal="left" vertical="top" wrapText="1"/>
    </xf>
    <xf numFmtId="0" fontId="63" fillId="0" borderId="0" xfId="2" applyFont="1" applyAlignment="1">
      <alignment horizontal="left" vertical="center" wrapText="1"/>
    </xf>
    <xf numFmtId="0" fontId="66" fillId="0" borderId="0" xfId="2" applyFont="1" applyAlignment="1">
      <alignment horizontal="left" vertical="top" wrapText="1"/>
    </xf>
    <xf numFmtId="0" fontId="62" fillId="0" borderId="0" xfId="2" applyFont="1" applyAlignment="1">
      <alignment horizontal="left" vertical="center" wrapText="1"/>
    </xf>
    <xf numFmtId="0" fontId="68" fillId="0" borderId="0" xfId="2" applyFont="1" applyAlignment="1">
      <alignment horizontal="left" vertical="top" wrapText="1"/>
    </xf>
    <xf numFmtId="0" fontId="63" fillId="0" borderId="0" xfId="2" applyFont="1" applyAlignment="1">
      <alignment horizontal="center" vertical="top" wrapText="1"/>
    </xf>
    <xf numFmtId="0" fontId="53" fillId="0" borderId="0" xfId="2" applyFont="1" applyAlignment="1">
      <alignment horizontal="left" vertical="center" wrapText="1"/>
    </xf>
    <xf numFmtId="0" fontId="53" fillId="0" borderId="0" xfId="2" applyFont="1" applyAlignment="1">
      <alignment horizontal="left" wrapText="1"/>
    </xf>
    <xf numFmtId="0" fontId="104" fillId="0" borderId="0" xfId="2" applyFont="1" applyAlignment="1">
      <alignment horizontal="right" vertical="top"/>
    </xf>
    <xf numFmtId="0" fontId="43" fillId="0" borderId="0" xfId="2" applyFont="1" applyAlignment="1">
      <alignment horizontal="right" vertical="center"/>
    </xf>
    <xf numFmtId="165" fontId="11" fillId="0" borderId="0" xfId="2" applyNumberFormat="1"/>
    <xf numFmtId="0" fontId="32" fillId="0" borderId="0" xfId="0" applyFont="1" applyAlignment="1">
      <alignment horizontal="left" vertical="top" wrapText="1"/>
    </xf>
    <xf numFmtId="0" fontId="104" fillId="0" borderId="24" xfId="2" applyFont="1" applyBorder="1" applyAlignment="1">
      <alignment horizontal="right" vertical="center"/>
    </xf>
    <xf numFmtId="0" fontId="77" fillId="0" borderId="24" xfId="2" applyFont="1" applyBorder="1"/>
    <xf numFmtId="0" fontId="11" fillId="0" borderId="24" xfId="2" applyBorder="1"/>
    <xf numFmtId="0" fontId="0" fillId="0" borderId="0" xfId="0" applyAlignment="1">
      <alignment vertical="top"/>
    </xf>
    <xf numFmtId="165" fontId="24" fillId="0" borderId="0" xfId="2" applyNumberFormat="1" applyFont="1"/>
    <xf numFmtId="0" fontId="108" fillId="0" borderId="0" xfId="0" applyFont="1" applyAlignment="1">
      <alignment vertical="center"/>
    </xf>
    <xf numFmtId="165" fontId="24" fillId="0" borderId="0" xfId="2" applyNumberFormat="1" applyFont="1" applyAlignment="1">
      <alignment horizontal="left"/>
    </xf>
    <xf numFmtId="165" fontId="10" fillId="0" borderId="0" xfId="2" applyNumberFormat="1" applyFont="1" applyAlignment="1">
      <alignment horizontal="center"/>
    </xf>
    <xf numFmtId="165" fontId="4" fillId="0" borderId="0" xfId="2" applyNumberFormat="1" applyFont="1"/>
    <xf numFmtId="165" fontId="21" fillId="0" borderId="0" xfId="2" applyNumberFormat="1" applyFont="1"/>
    <xf numFmtId="165" fontId="17" fillId="2" borderId="0" xfId="2" applyNumberFormat="1" applyFont="1" applyFill="1" applyAlignment="1">
      <alignment horizontal="center"/>
    </xf>
    <xf numFmtId="165" fontId="11" fillId="2" borderId="0" xfId="2" applyNumberFormat="1" applyFill="1"/>
    <xf numFmtId="0" fontId="4" fillId="0" borderId="5" xfId="2" applyFont="1" applyBorder="1"/>
    <xf numFmtId="0" fontId="44" fillId="0" borderId="0" xfId="2" applyFont="1" applyAlignment="1">
      <alignment horizontal="center" vertical="center"/>
    </xf>
    <xf numFmtId="0" fontId="2" fillId="0" borderId="0" xfId="2" applyFont="1"/>
    <xf numFmtId="0" fontId="18" fillId="0" borderId="0" xfId="2" applyFont="1" applyAlignment="1">
      <alignment horizontal="center"/>
    </xf>
    <xf numFmtId="0" fontId="52" fillId="4" borderId="0" xfId="2" applyFont="1" applyFill="1"/>
    <xf numFmtId="0" fontId="110" fillId="0" borderId="0" xfId="2" applyFont="1"/>
    <xf numFmtId="165" fontId="35" fillId="0" borderId="0" xfId="2" applyNumberFormat="1" applyFont="1"/>
    <xf numFmtId="0" fontId="35" fillId="0" borderId="0" xfId="0" quotePrefix="1" applyFont="1"/>
    <xf numFmtId="2" fontId="35" fillId="0" borderId="0" xfId="2" applyNumberFormat="1" applyFont="1"/>
    <xf numFmtId="164" fontId="35" fillId="0" borderId="0" xfId="2" applyNumberFormat="1" applyFont="1"/>
    <xf numFmtId="164" fontId="35" fillId="0" borderId="0" xfId="0" applyNumberFormat="1" applyFont="1"/>
    <xf numFmtId="2" fontId="35" fillId="0" borderId="0" xfId="0" applyNumberFormat="1" applyFont="1"/>
    <xf numFmtId="165" fontId="35" fillId="0" borderId="3" xfId="2" applyNumberFormat="1" applyFont="1" applyBorder="1"/>
    <xf numFmtId="0" fontId="35" fillId="0" borderId="3" xfId="2" applyFont="1" applyBorder="1"/>
    <xf numFmtId="0" fontId="35" fillId="0" borderId="3" xfId="0" quotePrefix="1" applyFont="1" applyBorder="1"/>
    <xf numFmtId="0" fontId="35" fillId="0" borderId="0" xfId="0" applyFont="1" applyAlignment="1">
      <alignment horizontal="right"/>
    </xf>
    <xf numFmtId="165" fontId="35" fillId="0" borderId="12" xfId="2" applyNumberFormat="1" applyFont="1" applyBorder="1"/>
    <xf numFmtId="0" fontId="35" fillId="0" borderId="12" xfId="2" applyFont="1" applyBorder="1"/>
    <xf numFmtId="0" fontId="35" fillId="0" borderId="12" xfId="0" quotePrefix="1" applyFont="1" applyBorder="1"/>
    <xf numFmtId="165" fontId="35" fillId="0" borderId="0" xfId="0" applyNumberFormat="1" applyFont="1"/>
    <xf numFmtId="165" fontId="35" fillId="0" borderId="3" xfId="0" applyNumberFormat="1" applyFont="1" applyBorder="1"/>
    <xf numFmtId="0" fontId="112" fillId="0" borderId="0" xfId="45"/>
    <xf numFmtId="0" fontId="44" fillId="0" borderId="0" xfId="2" applyFont="1" applyAlignment="1">
      <alignment horizontal="center" vertical="center"/>
    </xf>
    <xf numFmtId="0" fontId="24" fillId="0" borderId="0" xfId="2" applyFont="1" applyAlignment="1">
      <alignment horizontal="center"/>
    </xf>
    <xf numFmtId="0" fontId="24" fillId="0" borderId="0" xfId="2" applyFont="1" applyAlignment="1">
      <alignment horizontal="left"/>
    </xf>
    <xf numFmtId="0" fontId="22" fillId="0" borderId="0" xfId="2" applyFont="1" applyAlignment="1">
      <alignment horizontal="center"/>
    </xf>
    <xf numFmtId="0" fontId="44" fillId="0" borderId="0" xfId="2" applyFont="1"/>
    <xf numFmtId="0" fontId="46" fillId="0" borderId="0" xfId="2" applyFont="1" applyAlignment="1">
      <alignment horizontal="left" vertical="center"/>
    </xf>
    <xf numFmtId="0" fontId="25" fillId="0" borderId="0" xfId="2" quotePrefix="1" applyFont="1" applyAlignment="1">
      <alignment horizontal="center"/>
    </xf>
    <xf numFmtId="0" fontId="28" fillId="0" borderId="0" xfId="2" applyFont="1" applyAlignment="1">
      <alignment horizontal="center"/>
    </xf>
    <xf numFmtId="165" fontId="24" fillId="0" borderId="0" xfId="2" applyNumberFormat="1" applyFont="1" applyAlignment="1">
      <alignment horizontal="center"/>
    </xf>
    <xf numFmtId="0" fontId="23" fillId="0" borderId="23" xfId="2" applyFont="1" applyBorder="1" applyAlignment="1">
      <alignment horizontal="center" vertical="center"/>
    </xf>
    <xf numFmtId="0" fontId="77" fillId="0" borderId="23" xfId="2" applyFont="1" applyBorder="1" applyAlignment="1">
      <alignment horizontal="center" vertical="center"/>
    </xf>
    <xf numFmtId="0" fontId="23" fillId="0" borderId="0" xfId="2" applyFont="1" applyAlignment="1">
      <alignment horizontal="center"/>
    </xf>
    <xf numFmtId="0" fontId="77" fillId="0" borderId="0" xfId="2" applyFont="1" applyAlignment="1">
      <alignment horizontal="center"/>
    </xf>
    <xf numFmtId="0" fontId="111" fillId="0" borderId="0" xfId="2" applyFont="1" applyAlignment="1">
      <alignment horizontal="center"/>
    </xf>
    <xf numFmtId="0" fontId="15" fillId="2" borderId="0" xfId="2" applyFont="1" applyFill="1" applyAlignment="1">
      <alignment horizontal="left"/>
    </xf>
    <xf numFmtId="0" fontId="22" fillId="0" borderId="0" xfId="2" applyFont="1" applyAlignment="1">
      <alignment horizontal="left"/>
    </xf>
    <xf numFmtId="0" fontId="53" fillId="0" borderId="0" xfId="2" applyFont="1" applyAlignment="1">
      <alignment horizontal="left"/>
    </xf>
    <xf numFmtId="14" fontId="53" fillId="0" borderId="0" xfId="2" applyNumberFormat="1" applyFont="1" applyAlignment="1">
      <alignment horizontal="left"/>
    </xf>
    <xf numFmtId="0" fontId="50" fillId="0" borderId="0" xfId="2" applyFont="1" applyAlignment="1">
      <alignment horizontal="left"/>
    </xf>
    <xf numFmtId="0" fontId="26" fillId="0" borderId="0" xfId="2" applyFont="1" applyAlignment="1">
      <alignment horizontal="center"/>
    </xf>
    <xf numFmtId="0" fontId="15" fillId="3" borderId="0" xfId="2" applyFont="1" applyFill="1" applyAlignment="1">
      <alignment horizontal="left"/>
    </xf>
    <xf numFmtId="0" fontId="52" fillId="4" borderId="0" xfId="2" applyFont="1" applyFill="1" applyAlignment="1">
      <alignment horizontal="left"/>
    </xf>
    <xf numFmtId="0" fontId="13" fillId="0" borderId="0" xfId="2" applyFont="1" applyAlignment="1">
      <alignment horizontal="left"/>
    </xf>
    <xf numFmtId="0" fontId="23" fillId="0" borderId="0" xfId="2" applyFont="1" applyAlignment="1">
      <alignment horizontal="center" vertical="center"/>
    </xf>
    <xf numFmtId="0" fontId="77" fillId="0" borderId="0" xfId="2" applyFont="1" applyAlignment="1">
      <alignment horizontal="center" vertical="center"/>
    </xf>
    <xf numFmtId="0" fontId="77" fillId="0" borderId="0" xfId="2" applyFont="1" applyAlignment="1">
      <alignment horizontal="center" vertical="center" wrapText="1"/>
    </xf>
    <xf numFmtId="0" fontId="59" fillId="37" borderId="0" xfId="2" applyFont="1" applyFill="1" applyAlignment="1">
      <alignment horizontal="center" vertical="center"/>
    </xf>
    <xf numFmtId="0" fontId="44" fillId="0" borderId="0" xfId="2" applyFont="1" applyAlignment="1">
      <alignment vertical="center"/>
    </xf>
    <xf numFmtId="0" fontId="4" fillId="0" borderId="0" xfId="2" applyFont="1" applyAlignment="1">
      <alignment horizontal="center"/>
    </xf>
    <xf numFmtId="0" fontId="27" fillId="0" borderId="0" xfId="2" quotePrefix="1" applyFont="1" applyAlignment="1">
      <alignment horizontal="center"/>
    </xf>
    <xf numFmtId="165" fontId="24" fillId="0" borderId="0" xfId="2" applyNumberFormat="1" applyFont="1" applyAlignment="1">
      <alignment horizontal="left"/>
    </xf>
    <xf numFmtId="0" fontId="7" fillId="0" borderId="0" xfId="2" applyFont="1" applyAlignment="1">
      <alignment horizontal="center"/>
    </xf>
    <xf numFmtId="0" fontId="7" fillId="0" borderId="0" xfId="2" applyFont="1" applyAlignment="1">
      <alignment horizontal="center" vertical="center"/>
    </xf>
    <xf numFmtId="0" fontId="15" fillId="0" borderId="0" xfId="1" applyFont="1" applyAlignment="1">
      <alignment horizontal="center"/>
    </xf>
    <xf numFmtId="0" fontId="35" fillId="0" borderId="4" xfId="1" applyFont="1" applyBorder="1" applyAlignment="1">
      <alignment horizontal="left" vertical="center"/>
    </xf>
    <xf numFmtId="0" fontId="8" fillId="0" borderId="0" xfId="2" applyFont="1" applyAlignment="1">
      <alignment horizontal="left" vertical="center"/>
    </xf>
    <xf numFmtId="0" fontId="15" fillId="0" borderId="0" xfId="1" applyFont="1" applyAlignment="1">
      <alignment horizontal="left"/>
    </xf>
    <xf numFmtId="0" fontId="15" fillId="0" borderId="0" xfId="2" applyFont="1" applyAlignment="1">
      <alignment horizontal="left"/>
    </xf>
    <xf numFmtId="14" fontId="15" fillId="0" borderId="3" xfId="2" applyNumberFormat="1" applyFont="1" applyBorder="1" applyAlignment="1">
      <alignment horizontal="right"/>
    </xf>
    <xf numFmtId="0" fontId="15" fillId="0" borderId="3" xfId="2" applyFont="1" applyBorder="1" applyAlignment="1">
      <alignment horizontal="right"/>
    </xf>
    <xf numFmtId="0" fontId="51" fillId="5" borderId="0" xfId="2" applyFont="1" applyFill="1" applyAlignment="1">
      <alignment horizontal="center" vertical="center"/>
    </xf>
    <xf numFmtId="0" fontId="19" fillId="0" borderId="0" xfId="1" applyFont="1" applyAlignment="1">
      <alignment horizontal="left"/>
    </xf>
    <xf numFmtId="0" fontId="15" fillId="0" borderId="3" xfId="1" applyFont="1" applyBorder="1" applyAlignment="1">
      <alignment horizontal="center"/>
    </xf>
    <xf numFmtId="0" fontId="11" fillId="0" borderId="0" xfId="2" applyAlignment="1">
      <alignment horizontal="center"/>
    </xf>
    <xf numFmtId="0" fontId="23" fillId="0" borderId="22" xfId="2" applyFont="1" applyBorder="1" applyAlignment="1">
      <alignment horizontal="left"/>
    </xf>
    <xf numFmtId="14" fontId="23" fillId="0" borderId="22" xfId="1" applyNumberFormat="1" applyFont="1" applyBorder="1" applyAlignment="1">
      <alignment horizontal="left"/>
    </xf>
    <xf numFmtId="0" fontId="23" fillId="0" borderId="22" xfId="1" applyFont="1" applyBorder="1" applyAlignment="1">
      <alignment horizontal="left"/>
    </xf>
    <xf numFmtId="0" fontId="77" fillId="0" borderId="23" xfId="2" applyFont="1" applyBorder="1" applyAlignment="1">
      <alignment horizontal="center" vertical="center" wrapText="1"/>
    </xf>
    <xf numFmtId="0" fontId="0" fillId="0" borderId="3" xfId="0" applyBorder="1" applyAlignment="1">
      <alignment horizontal="center"/>
    </xf>
    <xf numFmtId="0" fontId="42" fillId="0" borderId="0" xfId="0" applyFont="1" applyAlignment="1">
      <alignment horizontal="center" wrapText="1"/>
    </xf>
    <xf numFmtId="0" fontId="42" fillId="0" borderId="9" xfId="0" applyFont="1" applyBorder="1" applyAlignment="1">
      <alignment horizontal="center" wrapText="1"/>
    </xf>
    <xf numFmtId="0" fontId="42" fillId="0" borderId="8" xfId="0" applyFont="1" applyBorder="1" applyAlignment="1">
      <alignment horizontal="center" wrapText="1"/>
    </xf>
    <xf numFmtId="0" fontId="39" fillId="0" borderId="0" xfId="0" applyFont="1" applyAlignment="1">
      <alignment horizontal="left" wrapText="1"/>
    </xf>
    <xf numFmtId="0" fontId="43" fillId="0" borderId="0" xfId="0" applyFont="1" applyAlignment="1">
      <alignment horizontal="right" vertical="center"/>
    </xf>
    <xf numFmtId="0" fontId="40" fillId="0" borderId="0" xfId="0" applyFont="1" applyAlignment="1">
      <alignment horizontal="left" vertical="top" wrapText="1"/>
    </xf>
    <xf numFmtId="0" fontId="41" fillId="0" borderId="0" xfId="0" applyFont="1" applyAlignment="1">
      <alignment horizontal="center" wrapText="1"/>
    </xf>
    <xf numFmtId="0" fontId="37" fillId="0" borderId="0" xfId="0" applyFont="1" applyAlignment="1">
      <alignment horizontal="center" wrapText="1"/>
    </xf>
    <xf numFmtId="0" fontId="38" fillId="0" borderId="0" xfId="0" applyFont="1" applyAlignment="1">
      <alignment horizontal="left" vertical="top" wrapText="1"/>
    </xf>
    <xf numFmtId="0" fontId="106" fillId="0" borderId="0" xfId="0" applyFont="1" applyAlignment="1">
      <alignment horizontal="left" wrapText="1"/>
    </xf>
    <xf numFmtId="0" fontId="106" fillId="0" borderId="9" xfId="0" applyFont="1" applyBorder="1" applyAlignment="1">
      <alignment horizontal="left" wrapText="1"/>
    </xf>
    <xf numFmtId="0" fontId="53" fillId="0" borderId="0" xfId="2" applyFont="1" applyAlignment="1">
      <alignment horizontal="left" vertical="top" wrapText="1"/>
    </xf>
    <xf numFmtId="0" fontId="62" fillId="0" borderId="0" xfId="2" applyFont="1" applyAlignment="1">
      <alignment horizontal="left" vertical="top" wrapText="1"/>
    </xf>
    <xf numFmtId="0" fontId="63" fillId="0" borderId="0" xfId="2" applyFont="1" applyAlignment="1">
      <alignment horizontal="left" vertical="top" wrapText="1"/>
    </xf>
    <xf numFmtId="0" fontId="72" fillId="0" borderId="0" xfId="2" applyFont="1" applyAlignment="1">
      <alignment horizontal="left" vertical="top" wrapText="1"/>
    </xf>
    <xf numFmtId="0" fontId="64" fillId="0" borderId="0" xfId="2" applyFont="1" applyAlignment="1">
      <alignment horizontal="left" vertical="top" wrapText="1"/>
    </xf>
    <xf numFmtId="0" fontId="68" fillId="0" borderId="0" xfId="2" applyFont="1" applyAlignment="1">
      <alignment horizontal="left" vertical="top" wrapText="1"/>
    </xf>
    <xf numFmtId="0" fontId="74" fillId="0" borderId="0" xfId="2" applyFont="1" applyAlignment="1">
      <alignment horizontal="center" vertical="center" wrapText="1"/>
    </xf>
    <xf numFmtId="0" fontId="71" fillId="0" borderId="0" xfId="2" applyFont="1" applyAlignment="1">
      <alignment horizontal="left" vertical="top" wrapText="1"/>
    </xf>
    <xf numFmtId="0" fontId="63" fillId="0" borderId="0" xfId="2" applyFont="1" applyAlignment="1">
      <alignment horizontal="left" vertical="center"/>
    </xf>
    <xf numFmtId="0" fontId="107" fillId="0" borderId="0" xfId="0" applyFont="1" applyAlignment="1">
      <alignment horizontal="left" vertical="top" wrapText="1"/>
    </xf>
    <xf numFmtId="0" fontId="63" fillId="0" borderId="0" xfId="2" applyFont="1" applyAlignment="1">
      <alignment vertical="top" wrapText="1"/>
    </xf>
    <xf numFmtId="0" fontId="81" fillId="0" borderId="0" xfId="2" applyFont="1" applyAlignment="1">
      <alignment horizontal="left" vertical="top" wrapText="1"/>
    </xf>
    <xf numFmtId="0" fontId="63" fillId="0" borderId="0" xfId="2" applyFont="1" applyAlignment="1">
      <alignment horizontal="left" vertical="center" wrapText="1"/>
    </xf>
    <xf numFmtId="0" fontId="31" fillId="0" borderId="0" xfId="2" applyFont="1" applyAlignment="1">
      <alignment horizontal="left" vertical="center" wrapText="1"/>
    </xf>
    <xf numFmtId="0" fontId="31" fillId="0" borderId="0" xfId="2" applyFont="1" applyAlignment="1">
      <alignment horizontal="left" vertical="top" wrapText="1"/>
    </xf>
    <xf numFmtId="0" fontId="62" fillId="0" borderId="0" xfId="2" applyFont="1" applyAlignment="1">
      <alignment horizontal="left" vertical="center" wrapText="1"/>
    </xf>
    <xf numFmtId="0" fontId="66" fillId="0" borderId="0" xfId="2" applyFont="1" applyAlignment="1">
      <alignment horizontal="left" vertical="top" wrapText="1"/>
    </xf>
    <xf numFmtId="0" fontId="82" fillId="0" borderId="0" xfId="2" applyFont="1" applyAlignment="1">
      <alignment horizontal="left" vertical="center" wrapText="1"/>
    </xf>
    <xf numFmtId="0" fontId="53" fillId="0" borderId="0" xfId="2" applyFont="1" applyAlignment="1">
      <alignment horizontal="left" vertical="center" wrapText="1"/>
    </xf>
    <xf numFmtId="0" fontId="34" fillId="0" borderId="0" xfId="2" applyFont="1" applyAlignment="1">
      <alignment horizontal="left" vertical="top" wrapText="1"/>
    </xf>
    <xf numFmtId="0" fontId="36" fillId="0" borderId="0" xfId="2" applyFont="1" applyAlignment="1">
      <alignment horizontal="center" vertical="center" wrapText="1"/>
    </xf>
    <xf numFmtId="0" fontId="29" fillId="0" borderId="0" xfId="0" applyFont="1" applyAlignment="1">
      <alignment horizontal="left" vertical="top" wrapText="1"/>
    </xf>
    <xf numFmtId="0" fontId="78" fillId="0" borderId="0" xfId="0" applyFont="1" applyAlignment="1">
      <alignment horizontal="left" vertical="top" wrapText="1"/>
    </xf>
    <xf numFmtId="0" fontId="53" fillId="0" borderId="0" xfId="0" applyFont="1" applyAlignment="1">
      <alignment horizontal="left" vertical="top" wrapText="1"/>
    </xf>
    <xf numFmtId="0" fontId="32" fillId="0" borderId="0" xfId="2" applyFont="1" applyAlignment="1">
      <alignment horizontal="left" vertical="top" wrapText="1"/>
    </xf>
    <xf numFmtId="0" fontId="53" fillId="0" borderId="0" xfId="2" applyFont="1" applyAlignment="1">
      <alignment horizontal="left" wrapText="1"/>
    </xf>
    <xf numFmtId="0" fontId="38" fillId="0" borderId="0" xfId="2" applyFont="1" applyAlignment="1">
      <alignment horizontal="left" vertical="top" wrapText="1"/>
    </xf>
    <xf numFmtId="0" fontId="38" fillId="0" borderId="0" xfId="2" applyFont="1" applyAlignment="1">
      <alignment horizontal="left" vertical="center" wrapText="1"/>
    </xf>
    <xf numFmtId="0" fontId="32" fillId="0" borderId="0" xfId="2" applyFont="1" applyAlignment="1">
      <alignment horizontal="left" vertical="center" wrapText="1"/>
    </xf>
    <xf numFmtId="0" fontId="32" fillId="0" borderId="0" xfId="0" applyFont="1" applyAlignment="1">
      <alignment horizontal="left" vertical="top" wrapText="1"/>
    </xf>
  </cellXfs>
  <cellStyles count="46">
    <cellStyle name="20% - Colore 1" xfId="19" builtinId="30" customBuiltin="1"/>
    <cellStyle name="20% - Colore 2" xfId="22" builtinId="34" customBuiltin="1"/>
    <cellStyle name="20% - Colore 3" xfId="25" builtinId="38" customBuiltin="1"/>
    <cellStyle name="20% - Colore 4" xfId="28" builtinId="42" customBuiltin="1"/>
    <cellStyle name="20% - Colore 5" xfId="31" builtinId="46" customBuiltin="1"/>
    <cellStyle name="20% - Colore 6" xfId="34" builtinId="50" customBuiltin="1"/>
    <cellStyle name="40% - Colore 1" xfId="20" builtinId="31" customBuiltin="1"/>
    <cellStyle name="40% - Colore 2" xfId="23" builtinId="35" customBuiltin="1"/>
    <cellStyle name="40% - Colore 3" xfId="26" builtinId="39" customBuiltin="1"/>
    <cellStyle name="40% - Colore 4" xfId="29" builtinId="43" customBuiltin="1"/>
    <cellStyle name="40% - Colore 5" xfId="32" builtinId="47" customBuiltin="1"/>
    <cellStyle name="40% - Colore 6" xfId="35" builtinId="51" customBuiltin="1"/>
    <cellStyle name="60% - Colore 1 2" xfId="39" xr:uid="{00000000-0005-0000-0000-00000C000000}"/>
    <cellStyle name="60% - Colore 2 2" xfId="40" xr:uid="{00000000-0005-0000-0000-00000D000000}"/>
    <cellStyle name="60% - Colore 3 2" xfId="41" xr:uid="{00000000-0005-0000-0000-00000E000000}"/>
    <cellStyle name="60% - Colore 4 2" xfId="42" xr:uid="{00000000-0005-0000-0000-00000F000000}"/>
    <cellStyle name="60% - Colore 5 2" xfId="43" xr:uid="{00000000-0005-0000-0000-000010000000}"/>
    <cellStyle name="60% - Colore 6 2" xfId="44" xr:uid="{00000000-0005-0000-0000-000011000000}"/>
    <cellStyle name="Calcolo" xfId="12" builtinId="22" customBuiltin="1"/>
    <cellStyle name="Cella collegata" xfId="13" builtinId="24" customBuiltin="1"/>
    <cellStyle name="Cella da controllare" xfId="14" builtinId="23" customBuiltin="1"/>
    <cellStyle name="Collegamento ipertestuale" xfId="45" builtinId="8"/>
    <cellStyle name="Colore 1" xfId="18" builtinId="29" customBuiltin="1"/>
    <cellStyle name="Colore 2" xfId="21" builtinId="33" customBuiltin="1"/>
    <cellStyle name="Colore 3" xfId="24" builtinId="37" customBuiltin="1"/>
    <cellStyle name="Colore 4" xfId="27" builtinId="41" customBuiltin="1"/>
    <cellStyle name="Colore 5" xfId="30" builtinId="45" customBuiltin="1"/>
    <cellStyle name="Colore 6" xfId="33" builtinId="49" customBuiltin="1"/>
    <cellStyle name="Input" xfId="10" builtinId="20" customBuiltin="1"/>
    <cellStyle name="Neutrale 2" xfId="37" xr:uid="{00000000-0005-0000-0000-00001C000000}"/>
    <cellStyle name="Normale" xfId="0" builtinId="0"/>
    <cellStyle name="Normale 2" xfId="2" xr:uid="{00000000-0005-0000-0000-00001E000000}"/>
    <cellStyle name="Normale 3" xfId="36" xr:uid="{00000000-0005-0000-0000-00001F000000}"/>
    <cellStyle name="Normale_Montebello (20.10.03)" xfId="1" xr:uid="{00000000-0005-0000-0000-000020000000}"/>
    <cellStyle name="Nota 2" xfId="38" xr:uid="{00000000-0005-0000-0000-000021000000}"/>
    <cellStyle name="Output" xfId="11" builtinId="21" customBuiltin="1"/>
    <cellStyle name="Testo avviso" xfId="15" builtinId="11" customBuiltin="1"/>
    <cellStyle name="Testo descrittivo" xfId="16" builtinId="53" customBuiltin="1"/>
    <cellStyle name="Titolo" xfId="3" builtinId="15" customBuiltin="1"/>
    <cellStyle name="Titolo 1" xfId="4" builtinId="16" customBuiltin="1"/>
    <cellStyle name="Titolo 2" xfId="5" builtinId="17" customBuiltin="1"/>
    <cellStyle name="Titolo 3" xfId="6" builtinId="18" customBuiltin="1"/>
    <cellStyle name="Titolo 4" xfId="7" builtinId="19" customBuiltin="1"/>
    <cellStyle name="Totale" xfId="17" builtinId="25" customBuiltin="1"/>
    <cellStyle name="Valore non valido" xfId="9" builtinId="27" customBuiltin="1"/>
    <cellStyle name="Valore valido" xfId="8" builtinId="26" customBuiltin="1"/>
  </cellStyles>
  <dxfs count="0"/>
  <tableStyles count="0" defaultTableStyle="TableStyleMedium2" defaultPivotStyle="PivotStyleLight16"/>
  <colors>
    <mruColors>
      <color rgb="FFBCD3EE"/>
      <color rgb="FF00FF00"/>
      <color rgb="FFFF9B9B"/>
      <color rgb="FFBEECE5"/>
      <color rgb="FF0000FF"/>
      <color rgb="FFFF6699"/>
      <color rgb="FFFFFF4B"/>
      <color rgb="FFFFFF47"/>
      <color rgb="FFACEC98"/>
      <color rgb="FFE0F8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2B6-4773-B2C6-3E8FDB63257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83D36EC-1C75-4B9F-88B0-39816A17B020}"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2B6-4773-B2C6-3E8FDB6325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Base!$S$38</c15:f>
                <c15:dlblRangeCache>
                  <c:ptCount val="1"/>
                </c15:dlblRangeCache>
              </c15:datalabelsRange>
            </c:ext>
            <c:ext xmlns:c16="http://schemas.microsoft.com/office/drawing/2014/chart" uri="{C3380CC4-5D6E-409C-BE32-E72D297353CC}">
              <c16:uniqueId val="{00000001-D2B6-4773-B2C6-3E8FDB632578}"/>
            </c:ext>
          </c:extLst>
        </c:ser>
        <c:dLbls>
          <c:showLegendKey val="0"/>
          <c:showVal val="0"/>
          <c:showCatName val="0"/>
          <c:showSerName val="0"/>
          <c:showPercent val="0"/>
          <c:showBubbleSize val="0"/>
        </c:dLbls>
        <c:axId val="-640146528"/>
        <c:axId val="-640134560"/>
      </c:scatterChart>
      <c:valAx>
        <c:axId val="-64014652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640134560"/>
        <c:crosses val="autoZero"/>
        <c:crossBetween val="midCat"/>
        <c:majorUnit val="3.4"/>
      </c:valAx>
      <c:valAx>
        <c:axId val="-640134560"/>
        <c:scaling>
          <c:orientation val="minMax"/>
          <c:max val="1"/>
          <c:min val="-1"/>
        </c:scaling>
        <c:delete val="1"/>
        <c:axPos val="l"/>
        <c:numFmt formatCode="General" sourceLinked="1"/>
        <c:majorTickMark val="none"/>
        <c:minorTickMark val="none"/>
        <c:tickLblPos val="nextTo"/>
        <c:crossAx val="-64014652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E83-4E5D-A72D-E277F321FDE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12A039F-4011-4BC8-9307-7A8F8B5C3720}"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E83-4E5D-A72D-E277F321FD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Base!$S$43</c15:f>
                <c15:dlblRangeCache>
                  <c:ptCount val="1"/>
                </c15:dlblRangeCache>
              </c15:datalabelsRange>
            </c:ext>
            <c:ext xmlns:c16="http://schemas.microsoft.com/office/drawing/2014/chart" uri="{C3380CC4-5D6E-409C-BE32-E72D297353CC}">
              <c16:uniqueId val="{00000001-1E83-4E5D-A72D-E277F321FDE1}"/>
            </c:ext>
          </c:extLst>
        </c:ser>
        <c:dLbls>
          <c:showLegendKey val="0"/>
          <c:showVal val="0"/>
          <c:showCatName val="0"/>
          <c:showSerName val="0"/>
          <c:showPercent val="0"/>
          <c:showBubbleSize val="0"/>
        </c:dLbls>
        <c:axId val="-640145984"/>
        <c:axId val="-640727536"/>
      </c:scatterChart>
      <c:valAx>
        <c:axId val="-6401459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640727536"/>
        <c:crosses val="autoZero"/>
        <c:crossBetween val="midCat"/>
        <c:majorUnit val="3.4"/>
      </c:valAx>
      <c:valAx>
        <c:axId val="-640727536"/>
        <c:scaling>
          <c:orientation val="minMax"/>
          <c:max val="1"/>
          <c:min val="-1"/>
        </c:scaling>
        <c:delete val="1"/>
        <c:axPos val="l"/>
        <c:numFmt formatCode="General" sourceLinked="1"/>
        <c:majorTickMark val="none"/>
        <c:minorTickMark val="none"/>
        <c:tickLblPos val="nextTo"/>
        <c:crossAx val="-6401459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6C3-4E38-AE82-E38A4A22141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0405BD3-82DA-4BD0-8E7C-ED5D564EE59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6C3-4E38-AE82-E38A4A2214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Base!$S$48</c15:f>
                <c15:dlblRangeCache>
                  <c:ptCount val="1"/>
                </c15:dlblRangeCache>
              </c15:datalabelsRange>
            </c:ext>
            <c:ext xmlns:c16="http://schemas.microsoft.com/office/drawing/2014/chart" uri="{C3380CC4-5D6E-409C-BE32-E72D297353CC}">
              <c16:uniqueId val="{00000001-36C3-4E38-AE82-E38A4A221418}"/>
            </c:ext>
          </c:extLst>
        </c:ser>
        <c:dLbls>
          <c:showLegendKey val="0"/>
          <c:showVal val="0"/>
          <c:showCatName val="0"/>
          <c:showSerName val="0"/>
          <c:showPercent val="0"/>
          <c:showBubbleSize val="0"/>
        </c:dLbls>
        <c:axId val="-640729168"/>
        <c:axId val="-435684784"/>
      </c:scatterChart>
      <c:valAx>
        <c:axId val="-6407291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4784"/>
        <c:crosses val="autoZero"/>
        <c:crossBetween val="midCat"/>
        <c:majorUnit val="3.4"/>
      </c:valAx>
      <c:valAx>
        <c:axId val="-435684784"/>
        <c:scaling>
          <c:orientation val="minMax"/>
          <c:max val="1"/>
          <c:min val="-1"/>
        </c:scaling>
        <c:delete val="1"/>
        <c:axPos val="l"/>
        <c:numFmt formatCode="General" sourceLinked="1"/>
        <c:majorTickMark val="none"/>
        <c:minorTickMark val="none"/>
        <c:tickLblPos val="nextTo"/>
        <c:crossAx val="-6407291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7AF-4656-B972-F5B3BB28362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C9715BD-D85A-458E-B28B-07070F3DAC7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7AF-4656-B972-F5B3BB2836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Riferimenti!$N$8</c:f>
              <c:numCache>
                <c:formatCode>0.00</c:formatCode>
                <c:ptCount val="1"/>
                <c:pt idx="0">
                  <c:v>6.4333333333333336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Base!$S$53</c15:f>
                <c15:dlblRangeCache>
                  <c:ptCount val="1"/>
                  <c:pt idx="0">
                    <c:v>2.0</c:v>
                  </c:pt>
                </c15:dlblRangeCache>
              </c15:datalabelsRange>
            </c:ext>
            <c:ext xmlns:c16="http://schemas.microsoft.com/office/drawing/2014/chart" uri="{C3380CC4-5D6E-409C-BE32-E72D297353CC}">
              <c16:uniqueId val="{00000001-E7AF-4656-B972-F5B3BB283621}"/>
            </c:ext>
          </c:extLst>
        </c:ser>
        <c:dLbls>
          <c:showLegendKey val="0"/>
          <c:showVal val="0"/>
          <c:showCatName val="0"/>
          <c:showSerName val="0"/>
          <c:showPercent val="0"/>
          <c:showBubbleSize val="0"/>
        </c:dLbls>
        <c:axId val="-435679344"/>
        <c:axId val="-435687504"/>
      </c:scatterChart>
      <c:valAx>
        <c:axId val="-4356793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7504"/>
        <c:crosses val="autoZero"/>
        <c:crossBetween val="midCat"/>
        <c:majorUnit val="3.4"/>
      </c:valAx>
      <c:valAx>
        <c:axId val="-435687504"/>
        <c:scaling>
          <c:orientation val="minMax"/>
          <c:max val="1"/>
          <c:min val="-1"/>
        </c:scaling>
        <c:delete val="1"/>
        <c:axPos val="l"/>
        <c:numFmt formatCode="General" sourceLinked="1"/>
        <c:majorTickMark val="none"/>
        <c:minorTickMark val="none"/>
        <c:tickLblPos val="nextTo"/>
        <c:crossAx val="-4356793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169-4612-AE72-B52E28DA02F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5EFE019-3D47-46B8-8195-98563B353C9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169-4612-AE72-B52E28DA02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Base!$S$59</c15:f>
                <c15:dlblRangeCache>
                  <c:ptCount val="1"/>
                </c15:dlblRangeCache>
              </c15:datalabelsRange>
            </c:ext>
            <c:ext xmlns:c16="http://schemas.microsoft.com/office/drawing/2014/chart" uri="{C3380CC4-5D6E-409C-BE32-E72D297353CC}">
              <c16:uniqueId val="{00000001-5169-4612-AE72-B52E28DA02F2}"/>
            </c:ext>
          </c:extLst>
        </c:ser>
        <c:dLbls>
          <c:showLegendKey val="0"/>
          <c:showVal val="0"/>
          <c:showCatName val="0"/>
          <c:showSerName val="0"/>
          <c:showPercent val="0"/>
          <c:showBubbleSize val="0"/>
        </c:dLbls>
        <c:axId val="-435693488"/>
        <c:axId val="-435681520"/>
      </c:scatterChart>
      <c:valAx>
        <c:axId val="-4356934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1520"/>
        <c:crosses val="autoZero"/>
        <c:crossBetween val="midCat"/>
        <c:majorUnit val="3.4"/>
      </c:valAx>
      <c:valAx>
        <c:axId val="-435681520"/>
        <c:scaling>
          <c:orientation val="minMax"/>
          <c:max val="1"/>
          <c:min val="-1"/>
        </c:scaling>
        <c:delete val="1"/>
        <c:axPos val="l"/>
        <c:numFmt formatCode="General" sourceLinked="1"/>
        <c:majorTickMark val="none"/>
        <c:minorTickMark val="none"/>
        <c:tickLblPos val="nextTo"/>
        <c:crossAx val="-4356934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94E-4B4D-9280-1F7B03E13AE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8A03158-6E98-44F2-92B8-C07458BCA3E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94E-4B4D-9280-1F7B03E13A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Base!$S$64</c15:f>
                <c15:dlblRangeCache>
                  <c:ptCount val="1"/>
                </c15:dlblRangeCache>
              </c15:datalabelsRange>
            </c:ext>
            <c:ext xmlns:c16="http://schemas.microsoft.com/office/drawing/2014/chart" uri="{C3380CC4-5D6E-409C-BE32-E72D297353CC}">
              <c16:uniqueId val="{00000001-F94E-4B4D-9280-1F7B03E13AE9}"/>
            </c:ext>
          </c:extLst>
        </c:ser>
        <c:dLbls>
          <c:showLegendKey val="0"/>
          <c:showVal val="0"/>
          <c:showCatName val="0"/>
          <c:showSerName val="0"/>
          <c:showPercent val="0"/>
          <c:showBubbleSize val="0"/>
        </c:dLbls>
        <c:axId val="-435692944"/>
        <c:axId val="-435688048"/>
      </c:scatterChart>
      <c:valAx>
        <c:axId val="-4356929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8048"/>
        <c:crosses val="autoZero"/>
        <c:crossBetween val="midCat"/>
        <c:majorUnit val="3.4"/>
      </c:valAx>
      <c:valAx>
        <c:axId val="-435688048"/>
        <c:scaling>
          <c:orientation val="minMax"/>
          <c:max val="1"/>
          <c:min val="-1"/>
        </c:scaling>
        <c:delete val="1"/>
        <c:axPos val="l"/>
        <c:numFmt formatCode="General" sourceLinked="1"/>
        <c:majorTickMark val="none"/>
        <c:minorTickMark val="none"/>
        <c:tickLblPos val="nextTo"/>
        <c:crossAx val="-4356929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B43-486F-9353-48A6BAA8F3D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0454633-E747-433B-A4E1-35BC7CB051A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B43-486F-9353-48A6BAA8F3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Base!$S$69</c15:f>
                <c15:dlblRangeCache>
                  <c:ptCount val="1"/>
                </c15:dlblRangeCache>
              </c15:datalabelsRange>
            </c:ext>
            <c:ext xmlns:c16="http://schemas.microsoft.com/office/drawing/2014/chart" uri="{C3380CC4-5D6E-409C-BE32-E72D297353CC}">
              <c16:uniqueId val="{00000001-AB43-486F-9353-48A6BAA8F3D0}"/>
            </c:ext>
          </c:extLst>
        </c:ser>
        <c:dLbls>
          <c:showLegendKey val="0"/>
          <c:showVal val="0"/>
          <c:showCatName val="0"/>
          <c:showSerName val="0"/>
          <c:showPercent val="0"/>
          <c:showBubbleSize val="0"/>
        </c:dLbls>
        <c:axId val="-435689680"/>
        <c:axId val="-435694032"/>
      </c:scatterChart>
      <c:valAx>
        <c:axId val="-4356896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94032"/>
        <c:crosses val="autoZero"/>
        <c:crossBetween val="midCat"/>
        <c:majorUnit val="3.4"/>
      </c:valAx>
      <c:valAx>
        <c:axId val="-435694032"/>
        <c:scaling>
          <c:orientation val="minMax"/>
          <c:max val="1"/>
          <c:min val="-1"/>
        </c:scaling>
        <c:delete val="1"/>
        <c:axPos val="l"/>
        <c:numFmt formatCode="General" sourceLinked="1"/>
        <c:majorTickMark val="none"/>
        <c:minorTickMark val="none"/>
        <c:tickLblPos val="nextTo"/>
        <c:crossAx val="-4356896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965-4156-AF65-868F9A9566B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B49AA0B-F8C9-4288-8D1B-5294B59ABEE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965-4156-AF65-868F9A9566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Base!$S$79</c15:f>
                <c15:dlblRangeCache>
                  <c:ptCount val="1"/>
                </c15:dlblRangeCache>
              </c15:datalabelsRange>
            </c:ext>
            <c:ext xmlns:c16="http://schemas.microsoft.com/office/drawing/2014/chart" uri="{C3380CC4-5D6E-409C-BE32-E72D297353CC}">
              <c16:uniqueId val="{00000001-6965-4156-AF65-868F9A9566B2}"/>
            </c:ext>
          </c:extLst>
        </c:ser>
        <c:dLbls>
          <c:showLegendKey val="0"/>
          <c:showVal val="0"/>
          <c:showCatName val="0"/>
          <c:showSerName val="0"/>
          <c:showPercent val="0"/>
          <c:showBubbleSize val="0"/>
        </c:dLbls>
        <c:axId val="-435691312"/>
        <c:axId val="-435692400"/>
      </c:scatterChart>
      <c:valAx>
        <c:axId val="-4356913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92400"/>
        <c:crosses val="autoZero"/>
        <c:crossBetween val="midCat"/>
        <c:majorUnit val="3.4"/>
      </c:valAx>
      <c:valAx>
        <c:axId val="-435692400"/>
        <c:scaling>
          <c:orientation val="minMax"/>
          <c:max val="1"/>
          <c:min val="-1"/>
        </c:scaling>
        <c:delete val="1"/>
        <c:axPos val="l"/>
        <c:numFmt formatCode="General" sourceLinked="1"/>
        <c:majorTickMark val="none"/>
        <c:minorTickMark val="none"/>
        <c:tickLblPos val="nextTo"/>
        <c:crossAx val="-4356913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0E1-4253-9DC1-7F381DAB920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7A511F4-93E3-413D-A35F-92106CE898A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0E1-4253-9DC1-7F381DAB92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Base!$S$84</c15:f>
                <c15:dlblRangeCache>
                  <c:ptCount val="1"/>
                </c15:dlblRangeCache>
              </c15:datalabelsRange>
            </c:ext>
            <c:ext xmlns:c16="http://schemas.microsoft.com/office/drawing/2014/chart" uri="{C3380CC4-5D6E-409C-BE32-E72D297353CC}">
              <c16:uniqueId val="{00000001-C0E1-4253-9DC1-7F381DAB920D}"/>
            </c:ext>
          </c:extLst>
        </c:ser>
        <c:dLbls>
          <c:showLegendKey val="0"/>
          <c:showVal val="0"/>
          <c:showCatName val="0"/>
          <c:showSerName val="0"/>
          <c:showPercent val="0"/>
          <c:showBubbleSize val="0"/>
        </c:dLbls>
        <c:axId val="-435694576"/>
        <c:axId val="-435689136"/>
      </c:scatterChart>
      <c:valAx>
        <c:axId val="-4356945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9136"/>
        <c:crosses val="autoZero"/>
        <c:crossBetween val="midCat"/>
        <c:majorUnit val="3.4"/>
      </c:valAx>
      <c:valAx>
        <c:axId val="-435689136"/>
        <c:scaling>
          <c:orientation val="minMax"/>
          <c:max val="1"/>
          <c:min val="-1"/>
        </c:scaling>
        <c:delete val="1"/>
        <c:axPos val="l"/>
        <c:numFmt formatCode="General" sourceLinked="1"/>
        <c:majorTickMark val="none"/>
        <c:minorTickMark val="none"/>
        <c:tickLblPos val="nextTo"/>
        <c:crossAx val="-4356945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C31-4E79-86B2-FFFB6BDDF7E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1EC52A1-BEFE-4F98-8ABE-890D03DE12B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C31-4E79-86B2-FFFB6BDDF7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Base!$S$89</c15:f>
                <c15:dlblRangeCache>
                  <c:ptCount val="1"/>
                </c15:dlblRangeCache>
              </c15:datalabelsRange>
            </c:ext>
            <c:ext xmlns:c16="http://schemas.microsoft.com/office/drawing/2014/chart" uri="{C3380CC4-5D6E-409C-BE32-E72D297353CC}">
              <c16:uniqueId val="{00000001-4C31-4E79-86B2-FFFB6BDDF7E0}"/>
            </c:ext>
          </c:extLst>
        </c:ser>
        <c:dLbls>
          <c:showLegendKey val="0"/>
          <c:showVal val="0"/>
          <c:showCatName val="0"/>
          <c:showSerName val="0"/>
          <c:showPercent val="0"/>
          <c:showBubbleSize val="0"/>
        </c:dLbls>
        <c:axId val="-435680432"/>
        <c:axId val="-435686960"/>
      </c:scatterChart>
      <c:valAx>
        <c:axId val="-43568043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86960"/>
        <c:crosses val="autoZero"/>
        <c:crossBetween val="midCat"/>
        <c:majorUnit val="3.4"/>
      </c:valAx>
      <c:valAx>
        <c:axId val="-435686960"/>
        <c:scaling>
          <c:orientation val="minMax"/>
          <c:max val="1"/>
          <c:min val="-1"/>
        </c:scaling>
        <c:delete val="1"/>
        <c:axPos val="l"/>
        <c:numFmt formatCode="General" sourceLinked="1"/>
        <c:majorTickMark val="none"/>
        <c:minorTickMark val="none"/>
        <c:tickLblPos val="nextTo"/>
        <c:crossAx val="-43568043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52-44AC-94AD-10EAC2838B6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974FC81-C783-4EDD-802B-FFF2B584B66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52-44AC-94AD-10EAC2838B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Base!$S$95</c15:f>
                <c15:dlblRangeCache>
                  <c:ptCount val="1"/>
                </c15:dlblRangeCache>
              </c15:datalabelsRange>
            </c:ext>
            <c:ext xmlns:c16="http://schemas.microsoft.com/office/drawing/2014/chart" uri="{C3380CC4-5D6E-409C-BE32-E72D297353CC}">
              <c16:uniqueId val="{00000001-0552-44AC-94AD-10EAC2838B6A}"/>
            </c:ext>
          </c:extLst>
        </c:ser>
        <c:dLbls>
          <c:showLegendKey val="0"/>
          <c:showVal val="0"/>
          <c:showCatName val="0"/>
          <c:showSerName val="0"/>
          <c:showPercent val="0"/>
          <c:showBubbleSize val="0"/>
        </c:dLbls>
        <c:axId val="-435691856"/>
        <c:axId val="-435690768"/>
      </c:scatterChart>
      <c:valAx>
        <c:axId val="-4356918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5690768"/>
        <c:crosses val="autoZero"/>
        <c:crossBetween val="midCat"/>
        <c:majorUnit val="3.4"/>
      </c:valAx>
      <c:valAx>
        <c:axId val="-435690768"/>
        <c:scaling>
          <c:orientation val="minMax"/>
          <c:max val="1"/>
          <c:min val="-1"/>
        </c:scaling>
        <c:delete val="1"/>
        <c:axPos val="l"/>
        <c:numFmt formatCode="General" sourceLinked="1"/>
        <c:majorTickMark val="none"/>
        <c:minorTickMark val="none"/>
        <c:tickLblPos val="nextTo"/>
        <c:crossAx val="-4356918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872-4641-905A-D545EBEC3F7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E796851-8AAF-4DCF-AFCC-BFC7C7C34E7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872-4641-905A-D545EBEC3F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Base!$S$33</c15:f>
                <c15:dlblRangeCache>
                  <c:ptCount val="1"/>
                </c15:dlblRangeCache>
              </c15:datalabelsRange>
            </c:ext>
            <c:ext xmlns:c16="http://schemas.microsoft.com/office/drawing/2014/chart" uri="{C3380CC4-5D6E-409C-BE32-E72D297353CC}">
              <c16:uniqueId val="{00000001-2872-4641-905A-D545EBEC3F70}"/>
            </c:ext>
          </c:extLst>
        </c:ser>
        <c:dLbls>
          <c:showLegendKey val="0"/>
          <c:showVal val="0"/>
          <c:showCatName val="0"/>
          <c:showSerName val="0"/>
          <c:showPercent val="0"/>
          <c:showBubbleSize val="0"/>
        </c:dLbls>
        <c:axId val="-431439744"/>
        <c:axId val="-431447904"/>
      </c:scatterChart>
      <c:valAx>
        <c:axId val="-4314397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47904"/>
        <c:crosses val="autoZero"/>
        <c:crossBetween val="midCat"/>
        <c:majorUnit val="3.4"/>
      </c:valAx>
      <c:valAx>
        <c:axId val="-431447904"/>
        <c:scaling>
          <c:orientation val="minMax"/>
          <c:max val="1"/>
          <c:min val="-1"/>
        </c:scaling>
        <c:delete val="1"/>
        <c:axPos val="l"/>
        <c:numFmt formatCode="General" sourceLinked="1"/>
        <c:majorTickMark val="none"/>
        <c:minorTickMark val="none"/>
        <c:tickLblPos val="nextTo"/>
        <c:crossAx val="-4314397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7E3-4CF8-8D45-E2503AC7B97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AC90887-C9C7-4132-858E-D8942136209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7E3-4CF8-8D45-E2503AC7B9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c:f>
              <c:numCache>
                <c:formatCode>0.00</c:formatCode>
                <c:ptCount val="1"/>
                <c:pt idx="0">
                  <c:v>4.9009216589861744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Base!$S$27</c15:f>
                <c15:dlblRangeCache>
                  <c:ptCount val="1"/>
                  <c:pt idx="0">
                    <c:v>12.0</c:v>
                  </c:pt>
                </c15:dlblRangeCache>
              </c15:datalabelsRange>
            </c:ext>
            <c:ext xmlns:c16="http://schemas.microsoft.com/office/drawing/2014/chart" uri="{C3380CC4-5D6E-409C-BE32-E72D297353CC}">
              <c16:uniqueId val="{00000001-47E3-4CF8-8D45-E2503AC7B972}"/>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D45-481B-BF46-C4E9E4F704E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C4F9056-9CA1-4753-B7A9-7936A67C561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D45-481B-BF46-C4E9E4F704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Base!$S$74</c15:f>
                <c15:dlblRangeCache>
                  <c:ptCount val="1"/>
                </c15:dlblRangeCache>
              </c15:datalabelsRange>
            </c:ext>
            <c:ext xmlns:c16="http://schemas.microsoft.com/office/drawing/2014/chart" uri="{C3380CC4-5D6E-409C-BE32-E72D297353CC}">
              <c16:uniqueId val="{00000001-2D45-481B-BF46-C4E9E4F704E9}"/>
            </c:ext>
          </c:extLst>
        </c:ser>
        <c:dLbls>
          <c:showLegendKey val="0"/>
          <c:showVal val="0"/>
          <c:showCatName val="0"/>
          <c:showSerName val="0"/>
          <c:showPercent val="0"/>
          <c:showBubbleSize val="0"/>
        </c:dLbls>
        <c:axId val="-431432672"/>
        <c:axId val="-431447360"/>
      </c:scatterChart>
      <c:valAx>
        <c:axId val="-43143267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47360"/>
        <c:crosses val="autoZero"/>
        <c:crossBetween val="midCat"/>
        <c:majorUnit val="3.4"/>
      </c:valAx>
      <c:valAx>
        <c:axId val="-431447360"/>
        <c:scaling>
          <c:orientation val="minMax"/>
          <c:max val="1"/>
          <c:min val="-1"/>
        </c:scaling>
        <c:delete val="1"/>
        <c:axPos val="l"/>
        <c:numFmt formatCode="General" sourceLinked="1"/>
        <c:majorTickMark val="none"/>
        <c:minorTickMark val="none"/>
        <c:tickLblPos val="nextTo"/>
        <c:crossAx val="-43143267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607-4E7E-93B0-17B3889A64A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8A7D1C1-12EC-428D-AC86-21E99F1695B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607-4E7E-93B0-17B3889A64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Base!$S$180</c15:f>
                <c15:dlblRangeCache>
                  <c:ptCount val="1"/>
                </c15:dlblRangeCache>
              </c15:datalabelsRange>
            </c:ext>
            <c:ext xmlns:c16="http://schemas.microsoft.com/office/drawing/2014/chart" uri="{C3380CC4-5D6E-409C-BE32-E72D297353CC}">
              <c16:uniqueId val="{00000001-0607-4E7E-93B0-17B3889A64AB}"/>
            </c:ext>
          </c:extLst>
        </c:ser>
        <c:dLbls>
          <c:showLegendKey val="0"/>
          <c:showVal val="0"/>
          <c:showCatName val="0"/>
          <c:showSerName val="0"/>
          <c:showPercent val="0"/>
          <c:showBubbleSize val="0"/>
        </c:dLbls>
        <c:axId val="-431433760"/>
        <c:axId val="-431436480"/>
      </c:scatterChart>
      <c:valAx>
        <c:axId val="-4314337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6480"/>
        <c:crosses val="autoZero"/>
        <c:crossBetween val="midCat"/>
        <c:majorUnit val="3.4"/>
      </c:valAx>
      <c:valAx>
        <c:axId val="-431436480"/>
        <c:scaling>
          <c:orientation val="minMax"/>
          <c:max val="1"/>
          <c:min val="-1"/>
        </c:scaling>
        <c:delete val="1"/>
        <c:axPos val="l"/>
        <c:numFmt formatCode="General" sourceLinked="1"/>
        <c:majorTickMark val="none"/>
        <c:minorTickMark val="none"/>
        <c:tickLblPos val="nextTo"/>
        <c:crossAx val="-4314337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90E-4A0E-913C-5EEB6B4DD1C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08DF9C6-E8C8-4F7A-A2C0-0061D580606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90E-4A0E-913C-5EEB6B4DD1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Base!$S$185</c15:f>
                <c15:dlblRangeCache>
                  <c:ptCount val="1"/>
                </c15:dlblRangeCache>
              </c15:datalabelsRange>
            </c:ext>
            <c:ext xmlns:c16="http://schemas.microsoft.com/office/drawing/2014/chart" uri="{C3380CC4-5D6E-409C-BE32-E72D297353CC}">
              <c16:uniqueId val="{00000001-D90E-4A0E-913C-5EEB6B4DD1C4}"/>
            </c:ext>
          </c:extLst>
        </c:ser>
        <c:dLbls>
          <c:showLegendKey val="0"/>
          <c:showVal val="0"/>
          <c:showCatName val="0"/>
          <c:showSerName val="0"/>
          <c:showPercent val="0"/>
          <c:showBubbleSize val="0"/>
        </c:dLbls>
        <c:axId val="-431433760"/>
        <c:axId val="-431436480"/>
      </c:scatterChart>
      <c:valAx>
        <c:axId val="-4314337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6480"/>
        <c:crosses val="autoZero"/>
        <c:crossBetween val="midCat"/>
        <c:majorUnit val="3.4"/>
      </c:valAx>
      <c:valAx>
        <c:axId val="-431436480"/>
        <c:scaling>
          <c:orientation val="minMax"/>
          <c:max val="1"/>
          <c:min val="-1"/>
        </c:scaling>
        <c:delete val="1"/>
        <c:axPos val="l"/>
        <c:numFmt formatCode="General" sourceLinked="1"/>
        <c:majorTickMark val="none"/>
        <c:minorTickMark val="none"/>
        <c:tickLblPos val="nextTo"/>
        <c:crossAx val="-4314337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C9D-42BC-9217-DF30FBCB5DA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D8C9292-BC72-45D2-8CE0-952DA479E55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C9D-42BC-9217-DF30FBCB5D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Base!$S$190</c15:f>
                <c15:dlblRangeCache>
                  <c:ptCount val="1"/>
                </c15:dlblRangeCache>
              </c15:datalabelsRange>
            </c:ext>
            <c:ext xmlns:c16="http://schemas.microsoft.com/office/drawing/2014/chart" uri="{C3380CC4-5D6E-409C-BE32-E72D297353CC}">
              <c16:uniqueId val="{00000001-5C9D-42BC-9217-DF30FBCB5DAF}"/>
            </c:ext>
          </c:extLst>
        </c:ser>
        <c:dLbls>
          <c:showLegendKey val="0"/>
          <c:showVal val="0"/>
          <c:showCatName val="0"/>
          <c:showSerName val="0"/>
          <c:showPercent val="0"/>
          <c:showBubbleSize val="0"/>
        </c:dLbls>
        <c:axId val="-431433760"/>
        <c:axId val="-431436480"/>
      </c:scatterChart>
      <c:valAx>
        <c:axId val="-4314337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6480"/>
        <c:crosses val="autoZero"/>
        <c:crossBetween val="midCat"/>
        <c:majorUnit val="3.4"/>
      </c:valAx>
      <c:valAx>
        <c:axId val="-431436480"/>
        <c:scaling>
          <c:orientation val="minMax"/>
          <c:max val="1"/>
          <c:min val="-1"/>
        </c:scaling>
        <c:delete val="1"/>
        <c:axPos val="l"/>
        <c:numFmt formatCode="General" sourceLinked="1"/>
        <c:majorTickMark val="none"/>
        <c:minorTickMark val="none"/>
        <c:tickLblPos val="nextTo"/>
        <c:crossAx val="-4314337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EAE-456F-8EB3-0C2FD270FD9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A4476B4-4A44-4B81-840D-F7344596298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EAE-456F-8EB3-0C2FD270F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Base!$S$195</c15:f>
                <c15:dlblRangeCache>
                  <c:ptCount val="1"/>
                </c15:dlblRangeCache>
              </c15:datalabelsRange>
            </c:ext>
            <c:ext xmlns:c16="http://schemas.microsoft.com/office/drawing/2014/chart" uri="{C3380CC4-5D6E-409C-BE32-E72D297353CC}">
              <c16:uniqueId val="{00000001-FEAE-456F-8EB3-0C2FD270FD94}"/>
            </c:ext>
          </c:extLst>
        </c:ser>
        <c:dLbls>
          <c:showLegendKey val="0"/>
          <c:showVal val="0"/>
          <c:showCatName val="0"/>
          <c:showSerName val="0"/>
          <c:showPercent val="0"/>
          <c:showBubbleSize val="0"/>
        </c:dLbls>
        <c:axId val="-431433760"/>
        <c:axId val="-431436480"/>
      </c:scatterChart>
      <c:valAx>
        <c:axId val="-4314337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6480"/>
        <c:crosses val="autoZero"/>
        <c:crossBetween val="midCat"/>
        <c:majorUnit val="3.4"/>
      </c:valAx>
      <c:valAx>
        <c:axId val="-431436480"/>
        <c:scaling>
          <c:orientation val="minMax"/>
          <c:max val="1"/>
          <c:min val="-1"/>
        </c:scaling>
        <c:delete val="1"/>
        <c:axPos val="l"/>
        <c:numFmt formatCode="General" sourceLinked="1"/>
        <c:majorTickMark val="none"/>
        <c:minorTickMark val="none"/>
        <c:tickLblPos val="nextTo"/>
        <c:crossAx val="-4314337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04D-4020-B46F-F408B530D39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1BD7C2F-9FCB-463C-9519-4DC6FC3C533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04D-4020-B46F-F408B530D3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Base!$S$211</c15:f>
                <c15:dlblRangeCache>
                  <c:ptCount val="1"/>
                </c15:dlblRangeCache>
              </c15:datalabelsRange>
            </c:ext>
            <c:ext xmlns:c16="http://schemas.microsoft.com/office/drawing/2014/chart" uri="{C3380CC4-5D6E-409C-BE32-E72D297353CC}">
              <c16:uniqueId val="{00000001-D04D-4020-B46F-F408B530D397}"/>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CFE-44BE-BAA0-1CE0B0DBDED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D0B44A3-DA06-40C2-A335-B9456A6DED3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CFE-44BE-BAA0-1CE0B0DBDE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Base!$S$216</c15:f>
                <c15:dlblRangeCache>
                  <c:ptCount val="1"/>
                </c15:dlblRangeCache>
              </c15:datalabelsRange>
            </c:ext>
            <c:ext xmlns:c16="http://schemas.microsoft.com/office/drawing/2014/chart" uri="{C3380CC4-5D6E-409C-BE32-E72D297353CC}">
              <c16:uniqueId val="{00000001-7CFE-44BE-BAA0-1CE0B0DBDED3}"/>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BC7-4A30-9102-092D6EED2B9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BA2A6B8-D35D-4926-B16D-036C9CD553B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BC7-4A30-9102-092D6EED2B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Base!$S$221</c15:f>
                <c15:dlblRangeCache>
                  <c:ptCount val="1"/>
                </c15:dlblRangeCache>
              </c15:datalabelsRange>
            </c:ext>
            <c:ext xmlns:c16="http://schemas.microsoft.com/office/drawing/2014/chart" uri="{C3380CC4-5D6E-409C-BE32-E72D297353CC}">
              <c16:uniqueId val="{00000001-4BC7-4A30-9102-092D6EED2B9D}"/>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BB0E-499C-AD5B-C623EA350D8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50DA3F0-D81D-48E7-9491-B77C321A847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BB0E-499C-AD5B-C623EA350D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Base!$S$226</c15:f>
                <c15:dlblRangeCache>
                  <c:ptCount val="1"/>
                </c15:dlblRangeCache>
              </c15:datalabelsRange>
            </c:ext>
            <c:ext xmlns:c16="http://schemas.microsoft.com/office/drawing/2014/chart" uri="{C3380CC4-5D6E-409C-BE32-E72D297353CC}">
              <c16:uniqueId val="{00000001-BB0E-499C-AD5B-C623EA350D81}"/>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EB5-4F6A-952E-8636F610D61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21B631A-01BC-44C6-BBE7-72C769DBD1F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EB5-4F6A-952E-8636F610D6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Base!$S$231</c15:f>
                <c15:dlblRangeCache>
                  <c:ptCount val="1"/>
                </c15:dlblRangeCache>
              </c15:datalabelsRange>
            </c:ext>
            <c:ext xmlns:c16="http://schemas.microsoft.com/office/drawing/2014/chart" uri="{C3380CC4-5D6E-409C-BE32-E72D297353CC}">
              <c16:uniqueId val="{00000001-9EB5-4F6A-952E-8636F610D612}"/>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8C4-4F79-976A-067975F157A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F8EC29B-4E24-4FE6-92A0-764BA1613A2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8C4-4F79-976A-067975F157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Base!$S$236</c15:f>
                <c15:dlblRangeCache>
                  <c:ptCount val="1"/>
                </c15:dlblRangeCache>
              </c15:datalabelsRange>
            </c:ext>
            <c:ext xmlns:c16="http://schemas.microsoft.com/office/drawing/2014/chart" uri="{C3380CC4-5D6E-409C-BE32-E72D297353CC}">
              <c16:uniqueId val="{00000001-F8C4-4F79-976A-067975F157A9}"/>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054-4CDB-B0A6-B54E0B7AA9A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76CCF60-C69E-4B8F-97AB-E42CCA98FCF6}"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054-4CDB-B0A6-B54E0B7AA9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Base!$S$241</c15:f>
                <c15:dlblRangeCache>
                  <c:ptCount val="1"/>
                </c15:dlblRangeCache>
              </c15:datalabelsRange>
            </c:ext>
            <c:ext xmlns:c16="http://schemas.microsoft.com/office/drawing/2014/chart" uri="{C3380CC4-5D6E-409C-BE32-E72D297353CC}">
              <c16:uniqueId val="{00000001-6054-4CDB-B0A6-B54E0B7AA9A4}"/>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1AD-4192-9D61-9AD1BCAC34B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F3853A7-1A3E-457C-B7ED-95DF0A1B45F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1AD-4192-9D61-9AD1BCAC34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Base!$S$326</c15:f>
                <c15:dlblRangeCache>
                  <c:ptCount val="1"/>
                </c15:dlblRangeCache>
              </c15:datalabelsRange>
            </c:ext>
            <c:ext xmlns:c16="http://schemas.microsoft.com/office/drawing/2014/chart" uri="{C3380CC4-5D6E-409C-BE32-E72D297353CC}">
              <c16:uniqueId val="{00000001-31AD-4192-9D61-9AD1BCAC34BF}"/>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D41-41C9-9BC0-A44B0ED4E5A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AAB7AFF-B739-4DBE-A2E4-CC62E17BCBD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D41-41C9-9BC0-A44B0ED4E5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Base!$S$331</c15:f>
                <c15:dlblRangeCache>
                  <c:ptCount val="1"/>
                </c15:dlblRangeCache>
              </c15:datalabelsRange>
            </c:ext>
            <c:ext xmlns:c16="http://schemas.microsoft.com/office/drawing/2014/chart" uri="{C3380CC4-5D6E-409C-BE32-E72D297353CC}">
              <c16:uniqueId val="{00000001-6D41-41C9-9BC0-A44B0ED4E5A6}"/>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95C-4C1B-8A15-7AA9C05273A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3F02AF2-E378-472D-90C8-8CD8358AA5F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95C-4C1B-8A15-7AA9C05273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Base!$S$336</c15:f>
                <c15:dlblRangeCache>
                  <c:ptCount val="1"/>
                </c15:dlblRangeCache>
              </c15:datalabelsRange>
            </c:ext>
            <c:ext xmlns:c16="http://schemas.microsoft.com/office/drawing/2014/chart" uri="{C3380CC4-5D6E-409C-BE32-E72D297353CC}">
              <c16:uniqueId val="{00000001-D95C-4C1B-8A15-7AA9C05273AC}"/>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A1E-4C1A-B30F-ADD4DD8422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2FD47C7-7F14-472C-8224-A6F532B7E4E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A1E-4C1A-B30F-ADD4DD8422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Base!$S$341</c15:f>
                <c15:dlblRangeCache>
                  <c:ptCount val="1"/>
                </c15:dlblRangeCache>
              </c15:datalabelsRange>
            </c:ext>
            <c:ext xmlns:c16="http://schemas.microsoft.com/office/drawing/2014/chart" uri="{C3380CC4-5D6E-409C-BE32-E72D297353CC}">
              <c16:uniqueId val="{00000001-DA1E-4C1A-B30F-ADD4DD8422B0}"/>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9A7-45B4-98FA-3E86F0D4ED7E}"/>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2C64555-FBF1-49EF-BDD9-8BD4B050D78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9A7-45B4-98FA-3E86F0D4ED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Base!$S$346</c15:f>
                <c15:dlblRangeCache>
                  <c:ptCount val="1"/>
                </c15:dlblRangeCache>
              </c15:datalabelsRange>
            </c:ext>
            <c:ext xmlns:c16="http://schemas.microsoft.com/office/drawing/2014/chart" uri="{C3380CC4-5D6E-409C-BE32-E72D297353CC}">
              <c16:uniqueId val="{00000001-79A7-45B4-98FA-3E86F0D4ED7E}"/>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218-4152-98A3-7697F6C1390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2C2C54C-53AB-4EF1-AF03-FE8C956186E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218-4152-98A3-7697F6C139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Base!$S$351</c15:f>
                <c15:dlblRangeCache>
                  <c:ptCount val="1"/>
                </c15:dlblRangeCache>
              </c15:datalabelsRange>
            </c:ext>
            <c:ext xmlns:c16="http://schemas.microsoft.com/office/drawing/2014/chart" uri="{C3380CC4-5D6E-409C-BE32-E72D297353CC}">
              <c16:uniqueId val="{00000001-C218-4152-98A3-7697F6C1390D}"/>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DE5-4124-9D53-16574B8157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56BAA02-B768-4429-B954-8E5B66BB6BE5}"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DE5-4124-9D53-16574B8157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Base!$S$356</c15:f>
                <c15:dlblRangeCache>
                  <c:ptCount val="1"/>
                </c15:dlblRangeCache>
              </c15:datalabelsRange>
            </c:ext>
            <c:ext xmlns:c16="http://schemas.microsoft.com/office/drawing/2014/chart" uri="{C3380CC4-5D6E-409C-BE32-E72D297353CC}">
              <c16:uniqueId val="{00000001-4DE5-4124-9D53-16574B8157B0}"/>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1B1-437A-B7B3-3F4D898DFAB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320BC27-67C5-40DF-89DB-A0713D76CB6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1B1-437A-B7B3-3F4D898DFAB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Base!$S$361</c15:f>
                <c15:dlblRangeCache>
                  <c:ptCount val="1"/>
                </c15:dlblRangeCache>
              </c15:datalabelsRange>
            </c:ext>
            <c:ext xmlns:c16="http://schemas.microsoft.com/office/drawing/2014/chart" uri="{C3380CC4-5D6E-409C-BE32-E72D297353CC}">
              <c16:uniqueId val="{00000001-31B1-437A-B7B3-3F4D898DFABC}"/>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5F6-4E8B-B912-E5473BB5B45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A3F53E8-6065-4B1C-8A48-E4D498AB5BC6}"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5F6-4E8B-B912-E5473BB5B4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Base!$S$367</c15:f>
                <c15:dlblRangeCache>
                  <c:ptCount val="1"/>
                </c15:dlblRangeCache>
              </c15:datalabelsRange>
            </c:ext>
            <c:ext xmlns:c16="http://schemas.microsoft.com/office/drawing/2014/chart" uri="{C3380CC4-5D6E-409C-BE32-E72D297353CC}">
              <c16:uniqueId val="{00000001-C5F6-4E8B-B912-E5473BB5B45A}"/>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E82-4FDF-8108-71A8FAF9EAE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3407E9E-A50D-459D-AF61-36C92B8C8AB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E82-4FDF-8108-71A8FAF9EA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Base!$S$372</c15:f>
                <c15:dlblRangeCache>
                  <c:ptCount val="1"/>
                </c15:dlblRangeCache>
              </c15:datalabelsRange>
            </c:ext>
            <c:ext xmlns:c16="http://schemas.microsoft.com/office/drawing/2014/chart" uri="{C3380CC4-5D6E-409C-BE32-E72D297353CC}">
              <c16:uniqueId val="{00000001-0E82-4FDF-8108-71A8FAF9EAE0}"/>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29A-4F0A-8788-809809A8AEE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7A83EAD-E5B2-4966-8DB7-E1491330040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29A-4F0A-8788-809809A8AE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Base!$S$377</c15:f>
                <c15:dlblRangeCache>
                  <c:ptCount val="1"/>
                </c15:dlblRangeCache>
              </c15:datalabelsRange>
            </c:ext>
            <c:ext xmlns:c16="http://schemas.microsoft.com/office/drawing/2014/chart" uri="{C3380CC4-5D6E-409C-BE32-E72D297353CC}">
              <c16:uniqueId val="{00000001-F29A-4F0A-8788-809809A8AEEB}"/>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425-4848-B782-6967251FCD3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0986647-D152-49C1-881E-14E53E05B2F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425-4848-B782-6967251FCD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Base!$S$382</c15:f>
                <c15:dlblRangeCache>
                  <c:ptCount val="1"/>
                </c15:dlblRangeCache>
              </c15:datalabelsRange>
            </c:ext>
            <c:ext xmlns:c16="http://schemas.microsoft.com/office/drawing/2014/chart" uri="{C3380CC4-5D6E-409C-BE32-E72D297353CC}">
              <c16:uniqueId val="{00000001-4425-4848-B782-6967251FCD3A}"/>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B17-4F84-BFA8-E6CE271233F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1EDDC5E-B521-411D-B303-C2953BEE1C9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B17-4F84-BFA8-E6CE271233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Base!$S$388</c15:f>
                <c15:dlblRangeCache>
                  <c:ptCount val="1"/>
                </c15:dlblRangeCache>
              </c15:datalabelsRange>
            </c:ext>
            <c:ext xmlns:c16="http://schemas.microsoft.com/office/drawing/2014/chart" uri="{C3380CC4-5D6E-409C-BE32-E72D297353CC}">
              <c16:uniqueId val="{00000001-2B17-4F84-BFA8-E6CE271233F4}"/>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8EA-4FD8-BE23-63CE72AB0FB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360F405-380F-4B75-B927-327178B1813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8EA-4FD8-BE23-63CE72AB0F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Base!$S$393</c15:f>
                <c15:dlblRangeCache>
                  <c:ptCount val="1"/>
                </c15:dlblRangeCache>
              </c15:datalabelsRange>
            </c:ext>
            <c:ext xmlns:c16="http://schemas.microsoft.com/office/drawing/2014/chart" uri="{C3380CC4-5D6E-409C-BE32-E72D297353CC}">
              <c16:uniqueId val="{00000001-48EA-4FD8-BE23-63CE72AB0FB7}"/>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91F-4E54-89CB-5E06CF92C00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90267F8-F866-4010-8D9E-30F66400070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91F-4E54-89CB-5E06CF92C0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Base!$S$398</c15:f>
                <c15:dlblRangeCache>
                  <c:ptCount val="1"/>
                </c15:dlblRangeCache>
              </c15:datalabelsRange>
            </c:ext>
            <c:ext xmlns:c16="http://schemas.microsoft.com/office/drawing/2014/chart" uri="{C3380CC4-5D6E-409C-BE32-E72D297353CC}">
              <c16:uniqueId val="{00000001-F91F-4E54-89CB-5E06CF92C007}"/>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759-4E43-818B-4E730ECCAD8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09FDD82-DFE3-42EE-A657-C486BA8E68A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759-4E43-818B-4E730ECCAD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Base!$S$403</c15:f>
                <c15:dlblRangeCache>
                  <c:ptCount val="1"/>
                </c15:dlblRangeCache>
              </c15:datalabelsRange>
            </c:ext>
            <c:ext xmlns:c16="http://schemas.microsoft.com/office/drawing/2014/chart" uri="{C3380CC4-5D6E-409C-BE32-E72D297353CC}">
              <c16:uniqueId val="{00000001-5759-4E43-818B-4E730ECCAD85}"/>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22A-4C4F-B0BE-E8E7455FCA2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A2429A8-44DB-4D07-B60C-8EF5F3DA446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22A-4C4F-B0BE-E8E7455FCA2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Base!$S$408</c15:f>
                <c15:dlblRangeCache>
                  <c:ptCount val="1"/>
                </c15:dlblRangeCache>
              </c15:datalabelsRange>
            </c:ext>
            <c:ext xmlns:c16="http://schemas.microsoft.com/office/drawing/2014/chart" uri="{C3380CC4-5D6E-409C-BE32-E72D297353CC}">
              <c16:uniqueId val="{00000001-D22A-4C4F-B0BE-E8E7455FCA23}"/>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ABC-4121-920D-4D23D8D6C36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9A24AC1-422D-44A7-87F5-62C7FA239A8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ABC-4121-920D-4D23D8D6C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Base!$S$491</c15:f>
                <c15:dlblRangeCache>
                  <c:ptCount val="1"/>
                </c15:dlblRangeCache>
              </c15:datalabelsRange>
            </c:ext>
            <c:ext xmlns:c16="http://schemas.microsoft.com/office/drawing/2014/chart" uri="{C3380CC4-5D6E-409C-BE32-E72D297353CC}">
              <c16:uniqueId val="{00000001-7ABC-4121-920D-4D23D8D6C36A}"/>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9A3-4EDC-AB73-0A3C87BB8CF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ECCB687-37CE-4B31-8FB9-24F5658FC06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9A3-4EDC-AB73-0A3C87BB8C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Base!$S$496</c15:f>
                <c15:dlblRangeCache>
                  <c:ptCount val="1"/>
                </c15:dlblRangeCache>
              </c15:datalabelsRange>
            </c:ext>
            <c:ext xmlns:c16="http://schemas.microsoft.com/office/drawing/2014/chart" uri="{C3380CC4-5D6E-409C-BE32-E72D297353CC}">
              <c16:uniqueId val="{00000001-E9A3-4EDC-AB73-0A3C87BB8CFC}"/>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8D4-43B7-BF7C-BA8A60A8D57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61DB493-8C2A-47E9-832C-E15B51EA595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8D4-43B7-BF7C-BA8A60A8D57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Base!$S$501</c15:f>
                <c15:dlblRangeCache>
                  <c:ptCount val="1"/>
                </c15:dlblRangeCache>
              </c15:datalabelsRange>
            </c:ext>
            <c:ext xmlns:c16="http://schemas.microsoft.com/office/drawing/2014/chart" uri="{C3380CC4-5D6E-409C-BE32-E72D297353CC}">
              <c16:uniqueId val="{00000001-48D4-43B7-BF7C-BA8A60A8D576}"/>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91B-46C9-9CF8-C25EF79ED79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3643857-3B99-4A49-8DFE-623A8F6AB576}"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91B-46C9-9CF8-C25EF79ED7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Base!$S$509</c15:f>
                <c15:dlblRangeCache>
                  <c:ptCount val="1"/>
                </c15:dlblRangeCache>
              </c15:datalabelsRange>
            </c:ext>
            <c:ext xmlns:c16="http://schemas.microsoft.com/office/drawing/2014/chart" uri="{C3380CC4-5D6E-409C-BE32-E72D297353CC}">
              <c16:uniqueId val="{00000001-291B-46C9-9CF8-C25EF79ED79C}"/>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3E9-4ADA-BCC1-D137F5E2D34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56743AA-E5A0-401F-B6F3-A37158C4AE6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3E9-4ADA-BCC1-D137F5E2D3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Base!$S$514</c15:f>
                <c15:dlblRangeCache>
                  <c:ptCount val="1"/>
                </c15:dlblRangeCache>
              </c15:datalabelsRange>
            </c:ext>
            <c:ext xmlns:c16="http://schemas.microsoft.com/office/drawing/2014/chart" uri="{C3380CC4-5D6E-409C-BE32-E72D297353CC}">
              <c16:uniqueId val="{00000001-E3E9-4ADA-BCC1-D137F5E2D344}"/>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383-484E-AE52-0A2399A73CF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D6D5927-42B6-4EBD-AC9E-2B5E407DB0C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383-484E-AE52-0A2399A73C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Base!$S$519</c15:f>
                <c15:dlblRangeCache>
                  <c:ptCount val="1"/>
                </c15:dlblRangeCache>
              </c15:datalabelsRange>
            </c:ext>
            <c:ext xmlns:c16="http://schemas.microsoft.com/office/drawing/2014/chart" uri="{C3380CC4-5D6E-409C-BE32-E72D297353CC}">
              <c16:uniqueId val="{00000001-D383-484E-AE52-0A2399A73CF1}"/>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8B1-473F-8A8A-3B49D47AF47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417F963-D3AC-474C-9C94-9614D30699E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8B1-473F-8A8A-3B49D47AF4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Base!$S$524</c15:f>
                <c15:dlblRangeCache>
                  <c:ptCount val="1"/>
                </c15:dlblRangeCache>
              </c15:datalabelsRange>
            </c:ext>
            <c:ext xmlns:c16="http://schemas.microsoft.com/office/drawing/2014/chart" uri="{C3380CC4-5D6E-409C-BE32-E72D297353CC}">
              <c16:uniqueId val="{00000001-58B1-473F-8A8A-3B49D47AF47B}"/>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B04B-4F43-BC45-35B6CF1098C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6EF48C5-217B-4699-A625-9DF3A641EEB0}"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B04B-4F43-BC45-35B6CF1098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Base!$S$529</c15:f>
                <c15:dlblRangeCache>
                  <c:ptCount val="1"/>
                </c15:dlblRangeCache>
              </c15:datalabelsRange>
            </c:ext>
            <c:ext xmlns:c16="http://schemas.microsoft.com/office/drawing/2014/chart" uri="{C3380CC4-5D6E-409C-BE32-E72D297353CC}">
              <c16:uniqueId val="{00000001-B04B-4F43-BC45-35B6CF1098C0}"/>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B41-4D4F-9602-5EF21B0A261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2FBA076-F612-4D0C-B59D-AAD60509648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B41-4D4F-9602-5EF21B0A26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Base!$S$534</c15:f>
                <c15:dlblRangeCache>
                  <c:ptCount val="1"/>
                </c15:dlblRangeCache>
              </c15:datalabelsRange>
            </c:ext>
            <c:ext xmlns:c16="http://schemas.microsoft.com/office/drawing/2014/chart" uri="{C3380CC4-5D6E-409C-BE32-E72D297353CC}">
              <c16:uniqueId val="{00000001-5B41-4D4F-9602-5EF21B0A261A}"/>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58A-4D2F-B98F-2B98A794AC4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4F76356-57C7-4750-BC5F-79607040585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58A-4D2F-B98F-2B98A794AC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Base!$S$539</c15:f>
                <c15:dlblRangeCache>
                  <c:ptCount val="1"/>
                </c15:dlblRangeCache>
              </c15:datalabelsRange>
            </c:ext>
            <c:ext xmlns:c16="http://schemas.microsoft.com/office/drawing/2014/chart" uri="{C3380CC4-5D6E-409C-BE32-E72D297353CC}">
              <c16:uniqueId val="{00000001-658A-4D2F-B98F-2B98A794AC4D}"/>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11B-4F1B-AAFF-EA08F609724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5DA6A6D-133F-4D9B-8888-C9F070964C3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11B-4F1B-AAFF-EA08F60972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Base!$S$547</c15:f>
                <c15:dlblRangeCache>
                  <c:ptCount val="1"/>
                </c15:dlblRangeCache>
              </c15:datalabelsRange>
            </c:ext>
            <c:ext xmlns:c16="http://schemas.microsoft.com/office/drawing/2014/chart" uri="{C3380CC4-5D6E-409C-BE32-E72D297353CC}">
              <c16:uniqueId val="{00000001-C11B-4F1B-AAFF-EA08F6097244}"/>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B89-4613-831A-0F00D83E43C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4875F39-38DB-4BA6-999E-D6748836F39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B89-4613-831A-0F00D83E43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Base!$S$552</c15:f>
                <c15:dlblRangeCache>
                  <c:ptCount val="1"/>
                </c15:dlblRangeCache>
              </c15:datalabelsRange>
            </c:ext>
            <c:ext xmlns:c16="http://schemas.microsoft.com/office/drawing/2014/chart" uri="{C3380CC4-5D6E-409C-BE32-E72D297353CC}">
              <c16:uniqueId val="{00000001-1B89-4613-831A-0F00D83E43CB}"/>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8A5-45C6-91DA-DC3637928D7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8DA27B2-B7E3-431E-9FDF-AB72BA637A5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8A5-45C6-91DA-DC3637928D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Base!$S$637</c15:f>
                <c15:dlblRangeCache>
                  <c:ptCount val="1"/>
                </c15:dlblRangeCache>
              </c15:datalabelsRange>
            </c:ext>
            <c:ext xmlns:c16="http://schemas.microsoft.com/office/drawing/2014/chart" uri="{C3380CC4-5D6E-409C-BE32-E72D297353CC}">
              <c16:uniqueId val="{00000001-F8A5-45C6-91DA-DC3637928D77}"/>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2A7-425D-B877-A2697785EBC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20871B3-5F6A-4884-A5F8-D7440AE69D22}"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2A7-425D-B877-A2697785EB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Base!$S$643</c15:f>
                <c15:dlblRangeCache>
                  <c:ptCount val="1"/>
                </c15:dlblRangeCache>
              </c15:datalabelsRange>
            </c:ext>
            <c:ext xmlns:c16="http://schemas.microsoft.com/office/drawing/2014/chart" uri="{C3380CC4-5D6E-409C-BE32-E72D297353CC}">
              <c16:uniqueId val="{00000001-02A7-425D-B877-A2697785EBCF}"/>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3E8-4521-86B0-107DA446071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F6E39B3-21CE-4073-BC69-C6F9E47966E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3E8-4521-86B0-107DA44607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Base!$S$649</c15:f>
                <c15:dlblRangeCache>
                  <c:ptCount val="1"/>
                </c15:dlblRangeCache>
              </c15:datalabelsRange>
            </c:ext>
            <c:ext xmlns:c16="http://schemas.microsoft.com/office/drawing/2014/chart" uri="{C3380CC4-5D6E-409C-BE32-E72D297353CC}">
              <c16:uniqueId val="{00000001-C3E8-4521-86B0-107DA4460718}"/>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48C-4FF8-95FB-829F90A5BE7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23D83EB-B283-4245-B629-7F5CD9F6215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48C-4FF8-95FB-829F90A5BE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Base!$S$654</c15:f>
                <c15:dlblRangeCache>
                  <c:ptCount val="1"/>
                </c15:dlblRangeCache>
              </c15:datalabelsRange>
            </c:ext>
            <c:ext xmlns:c16="http://schemas.microsoft.com/office/drawing/2014/chart" uri="{C3380CC4-5D6E-409C-BE32-E72D297353CC}">
              <c16:uniqueId val="{00000001-F48C-4FF8-95FB-829F90A5BE7C}"/>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0D9-4068-B39A-DF89842E241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25B5C08-20BF-46FF-87EA-7B76E16F345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0D9-4068-B39A-DF89842E24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Base!$S$661</c15:f>
                <c15:dlblRangeCache>
                  <c:ptCount val="1"/>
                </c15:dlblRangeCache>
              </c15:datalabelsRange>
            </c:ext>
            <c:ext xmlns:c16="http://schemas.microsoft.com/office/drawing/2014/chart" uri="{C3380CC4-5D6E-409C-BE32-E72D297353CC}">
              <c16:uniqueId val="{00000001-E0D9-4068-B39A-DF89842E2418}"/>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E58-46A6-9FD2-88DDEF5D72B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D31CE20-6EAA-4BE6-BFB0-97A5B7B1131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E58-46A6-9FD2-88DDEF5D72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Base!$S$666</c15:f>
                <c15:dlblRangeCache>
                  <c:ptCount val="1"/>
                </c15:dlblRangeCache>
              </c15:datalabelsRange>
            </c:ext>
            <c:ext xmlns:c16="http://schemas.microsoft.com/office/drawing/2014/chart" uri="{C3380CC4-5D6E-409C-BE32-E72D297353CC}">
              <c16:uniqueId val="{00000001-7E58-46A6-9FD2-88DDEF5D72B5}"/>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82A-4721-91E2-3E8ABCE6DB4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684ADA4-BAB0-4B17-9E93-C05321BBB5B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82A-4721-91E2-3E8ABCE6DB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Base!$S$671</c15:f>
                <c15:dlblRangeCache>
                  <c:ptCount val="1"/>
                </c15:dlblRangeCache>
              </c15:datalabelsRange>
            </c:ext>
            <c:ext xmlns:c16="http://schemas.microsoft.com/office/drawing/2014/chart" uri="{C3380CC4-5D6E-409C-BE32-E72D297353CC}">
              <c16:uniqueId val="{00000001-982A-4721-91E2-3E8ABCE6DB45}"/>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0F9-4A5E-B35F-D845BA6CC0B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849A213-1C96-45E9-99D3-F5EB4A72297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0F9-4A5E-B35F-D845BA6CC0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Base!$S$676</c15:f>
                <c15:dlblRangeCache>
                  <c:ptCount val="1"/>
                </c15:dlblRangeCache>
              </c15:datalabelsRange>
            </c:ext>
            <c:ext xmlns:c16="http://schemas.microsoft.com/office/drawing/2014/chart" uri="{C3380CC4-5D6E-409C-BE32-E72D297353CC}">
              <c16:uniqueId val="{00000001-30F9-4A5E-B35F-D845BA6CC0B5}"/>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738-413B-A6C9-810684F878C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7BA40B8-ABB1-4D07-ADA0-7B8B1630C2F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738-413B-A6C9-810684F878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Base!$S$681</c15:f>
                <c15:dlblRangeCache>
                  <c:ptCount val="1"/>
                </c15:dlblRangeCache>
              </c15:datalabelsRange>
            </c:ext>
            <c:ext xmlns:c16="http://schemas.microsoft.com/office/drawing/2014/chart" uri="{C3380CC4-5D6E-409C-BE32-E72D297353CC}">
              <c16:uniqueId val="{00000001-7738-413B-A6C9-810684F878C3}"/>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3B2-471E-BB3D-C7B249C69AD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EEB748D-71F0-4BCE-8EDE-E21090C020C5}"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3B2-471E-BB3D-C7B249C69A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Base!$S$686</c15:f>
                <c15:dlblRangeCache>
                  <c:ptCount val="1"/>
                </c15:dlblRangeCache>
              </c15:datalabelsRange>
            </c:ext>
            <c:ext xmlns:c16="http://schemas.microsoft.com/office/drawing/2014/chart" uri="{C3380CC4-5D6E-409C-BE32-E72D297353CC}">
              <c16:uniqueId val="{00000001-E3B2-471E-BB3D-C7B249C69AD6}"/>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D1-422F-A987-6E729DDCD3B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9233E6F-07CC-481F-B92D-1E38931E50E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D1-422F-A987-6E729DDCD3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Base!$S$691</c15:f>
                <c15:dlblRangeCache>
                  <c:ptCount val="1"/>
                </c15:dlblRangeCache>
              </c15:datalabelsRange>
            </c:ext>
            <c:ext xmlns:c16="http://schemas.microsoft.com/office/drawing/2014/chart" uri="{C3380CC4-5D6E-409C-BE32-E72D297353CC}">
              <c16:uniqueId val="{00000001-05D1-422F-A987-6E729DDCD3BB}"/>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290-4629-BA0E-F3DF29E31DB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94CCBC0-A291-4A1D-8F76-1210BB266C0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290-4629-BA0E-F3DF29E31D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Riferimenti!$N$70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Base!$S$696</c15:f>
                <c15:dlblRangeCache>
                  <c:ptCount val="1"/>
                </c15:dlblRangeCache>
              </c15:datalabelsRange>
            </c:ext>
            <c:ext xmlns:c16="http://schemas.microsoft.com/office/drawing/2014/chart" uri="{C3380CC4-5D6E-409C-BE32-E72D297353CC}">
              <c16:uniqueId val="{00000001-2290-4629-BA0E-F3DF29E31DB8}"/>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AC6-49AA-ADFB-4E547932451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778FADF-0BB9-4D11-AA64-33FD279A1D22}"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AC6-49AA-ADFB-4E547932451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Riferimenti!$N$71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Base!$S$703</c15:f>
                <c15:dlblRangeCache>
                  <c:ptCount val="1"/>
                </c15:dlblRangeCache>
              </c15:datalabelsRange>
            </c:ext>
            <c:ext xmlns:c16="http://schemas.microsoft.com/office/drawing/2014/chart" uri="{C3380CC4-5D6E-409C-BE32-E72D297353CC}">
              <c16:uniqueId val="{00000001-DAC6-49AA-ADFB-4E5479324513}"/>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E70-4A29-BD34-0DCAE491254E}"/>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E3C59A9-7740-4A44-B4A5-C97DD7D6059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E70-4A29-BD34-0DCAE49125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c:f>
              <c:numCache>
                <c:formatCode>0.00</c:formatCode>
                <c:ptCount val="1"/>
                <c:pt idx="0">
                  <c:v>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c15:f>
                <c15:dlblRangeCache>
                  <c:ptCount val="1"/>
                  <c:pt idx="0">
                    <c:v>3.0</c:v>
                  </c:pt>
                </c15:dlblRangeCache>
              </c15:datalabelsRange>
            </c:ext>
            <c:ext xmlns:c16="http://schemas.microsoft.com/office/drawing/2014/chart" uri="{C3380CC4-5D6E-409C-BE32-E72D297353CC}">
              <c16:uniqueId val="{00000001-8E70-4A29-BD34-0DCAE491254E}"/>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447-483E-8351-CD280CC8BD5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0E706A5-01E0-42F4-ABD0-C046988E928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447-483E-8351-CD280CC8BD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Base!$S$201</c15:f>
                <c15:dlblRangeCache>
                  <c:ptCount val="1"/>
                </c15:dlblRangeCache>
              </c15:datalabelsRange>
            </c:ext>
            <c:ext xmlns:c16="http://schemas.microsoft.com/office/drawing/2014/chart" uri="{C3380CC4-5D6E-409C-BE32-E72D297353CC}">
              <c16:uniqueId val="{00000001-E447-483E-8351-CD280CC8BD5F}"/>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9E2-45D3-8DDA-58B2C5545CE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A6C8F57-E19E-4410-A229-201E20EE126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9E2-45D3-8DDA-58B2C5545C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Base!$S$206</c15:f>
                <c15:dlblRangeCache>
                  <c:ptCount val="1"/>
                </c15:dlblRangeCache>
              </c15:datalabelsRange>
            </c:ext>
            <c:ext xmlns:c16="http://schemas.microsoft.com/office/drawing/2014/chart" uri="{C3380CC4-5D6E-409C-BE32-E72D297353CC}">
              <c16:uniqueId val="{00000001-99E2-45D3-8DDA-58B2C5545CEB}"/>
            </c:ext>
          </c:extLst>
        </c:ser>
        <c:dLbls>
          <c:showLegendKey val="0"/>
          <c:showVal val="0"/>
          <c:showCatName val="0"/>
          <c:showSerName val="0"/>
          <c:showPercent val="0"/>
          <c:showBubbleSize val="0"/>
        </c:dLbls>
        <c:axId val="-431434304"/>
        <c:axId val="-431433216"/>
      </c:scatterChart>
      <c:valAx>
        <c:axId val="-431434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431433216"/>
        <c:crosses val="autoZero"/>
        <c:crossBetween val="midCat"/>
        <c:majorUnit val="3.4"/>
      </c:valAx>
      <c:valAx>
        <c:axId val="-431433216"/>
        <c:scaling>
          <c:orientation val="minMax"/>
          <c:max val="1"/>
          <c:min val="-1"/>
        </c:scaling>
        <c:delete val="1"/>
        <c:axPos val="l"/>
        <c:numFmt formatCode="General" sourceLinked="1"/>
        <c:majorTickMark val="none"/>
        <c:minorTickMark val="none"/>
        <c:tickLblPos val="nextTo"/>
        <c:crossAx val="-431434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hart" Target="../charts/chart25.xml"/><Relationship Id="rId21" Type="http://schemas.openxmlformats.org/officeDocument/2006/relationships/chart" Target="../charts/chart20.xml"/><Relationship Id="rId42" Type="http://schemas.openxmlformats.org/officeDocument/2006/relationships/chart" Target="../charts/chart41.xml"/><Relationship Id="rId47" Type="http://schemas.openxmlformats.org/officeDocument/2006/relationships/chart" Target="../charts/chart46.xml"/><Relationship Id="rId63" Type="http://schemas.openxmlformats.org/officeDocument/2006/relationships/chart" Target="../charts/chart62.xml"/><Relationship Id="rId68" Type="http://schemas.openxmlformats.org/officeDocument/2006/relationships/chart" Target="../charts/chart67.xml"/><Relationship Id="rId7" Type="http://schemas.openxmlformats.org/officeDocument/2006/relationships/chart" Target="../charts/chart6.xml"/><Relationship Id="rId71" Type="http://schemas.openxmlformats.org/officeDocument/2006/relationships/chart" Target="../charts/chart70.xml"/><Relationship Id="rId2" Type="http://schemas.openxmlformats.org/officeDocument/2006/relationships/chart" Target="../charts/chart1.xml"/><Relationship Id="rId16" Type="http://schemas.openxmlformats.org/officeDocument/2006/relationships/chart" Target="../charts/chart15.xml"/><Relationship Id="rId29" Type="http://schemas.openxmlformats.org/officeDocument/2006/relationships/chart" Target="../charts/chart28.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37" Type="http://schemas.openxmlformats.org/officeDocument/2006/relationships/chart" Target="../charts/chart36.xml"/><Relationship Id="rId40" Type="http://schemas.openxmlformats.org/officeDocument/2006/relationships/chart" Target="../charts/chart39.xml"/><Relationship Id="rId45" Type="http://schemas.openxmlformats.org/officeDocument/2006/relationships/chart" Target="../charts/chart44.xml"/><Relationship Id="rId53" Type="http://schemas.openxmlformats.org/officeDocument/2006/relationships/chart" Target="../charts/chart52.xml"/><Relationship Id="rId58" Type="http://schemas.openxmlformats.org/officeDocument/2006/relationships/chart" Target="../charts/chart57.xml"/><Relationship Id="rId66" Type="http://schemas.openxmlformats.org/officeDocument/2006/relationships/chart" Target="../charts/chart65.xml"/><Relationship Id="rId5" Type="http://schemas.openxmlformats.org/officeDocument/2006/relationships/chart" Target="../charts/chart4.xml"/><Relationship Id="rId61" Type="http://schemas.openxmlformats.org/officeDocument/2006/relationships/chart" Target="../charts/chart60.xml"/><Relationship Id="rId19" Type="http://schemas.openxmlformats.org/officeDocument/2006/relationships/chart" Target="../charts/chart1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43" Type="http://schemas.openxmlformats.org/officeDocument/2006/relationships/chart" Target="../charts/chart42.xml"/><Relationship Id="rId48" Type="http://schemas.openxmlformats.org/officeDocument/2006/relationships/chart" Target="../charts/chart47.xml"/><Relationship Id="rId56" Type="http://schemas.openxmlformats.org/officeDocument/2006/relationships/chart" Target="../charts/chart55.xml"/><Relationship Id="rId64" Type="http://schemas.openxmlformats.org/officeDocument/2006/relationships/chart" Target="../charts/chart63.xml"/><Relationship Id="rId69" Type="http://schemas.openxmlformats.org/officeDocument/2006/relationships/chart" Target="../charts/chart68.xml"/><Relationship Id="rId8" Type="http://schemas.openxmlformats.org/officeDocument/2006/relationships/chart" Target="../charts/chart7.xml"/><Relationship Id="rId51" Type="http://schemas.openxmlformats.org/officeDocument/2006/relationships/chart" Target="../charts/chart50.xml"/><Relationship Id="rId3" Type="http://schemas.openxmlformats.org/officeDocument/2006/relationships/chart" Target="../charts/chart2.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38" Type="http://schemas.openxmlformats.org/officeDocument/2006/relationships/chart" Target="../charts/chart37.xml"/><Relationship Id="rId46" Type="http://schemas.openxmlformats.org/officeDocument/2006/relationships/chart" Target="../charts/chart45.xml"/><Relationship Id="rId59" Type="http://schemas.openxmlformats.org/officeDocument/2006/relationships/chart" Target="../charts/chart58.xml"/><Relationship Id="rId67" Type="http://schemas.openxmlformats.org/officeDocument/2006/relationships/chart" Target="../charts/chart66.xml"/><Relationship Id="rId20" Type="http://schemas.openxmlformats.org/officeDocument/2006/relationships/chart" Target="../charts/chart19.xml"/><Relationship Id="rId41" Type="http://schemas.openxmlformats.org/officeDocument/2006/relationships/chart" Target="../charts/chart40.xml"/><Relationship Id="rId54" Type="http://schemas.openxmlformats.org/officeDocument/2006/relationships/chart" Target="../charts/chart53.xml"/><Relationship Id="rId62" Type="http://schemas.openxmlformats.org/officeDocument/2006/relationships/chart" Target="../charts/chart61.xml"/><Relationship Id="rId70" Type="http://schemas.openxmlformats.org/officeDocument/2006/relationships/chart" Target="../charts/chart69.xml"/><Relationship Id="rId1" Type="http://schemas.openxmlformats.org/officeDocument/2006/relationships/image" Target="../media/image1.jpg"/><Relationship Id="rId6"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49" Type="http://schemas.openxmlformats.org/officeDocument/2006/relationships/chart" Target="../charts/chart48.xml"/><Relationship Id="rId57" Type="http://schemas.openxmlformats.org/officeDocument/2006/relationships/chart" Target="../charts/chart56.xml"/><Relationship Id="rId10" Type="http://schemas.openxmlformats.org/officeDocument/2006/relationships/chart" Target="../charts/chart9.xml"/><Relationship Id="rId31" Type="http://schemas.openxmlformats.org/officeDocument/2006/relationships/chart" Target="../charts/chart30.xml"/><Relationship Id="rId44" Type="http://schemas.openxmlformats.org/officeDocument/2006/relationships/chart" Target="../charts/chart43.xml"/><Relationship Id="rId52" Type="http://schemas.openxmlformats.org/officeDocument/2006/relationships/chart" Target="../charts/chart51.xml"/><Relationship Id="rId60" Type="http://schemas.openxmlformats.org/officeDocument/2006/relationships/chart" Target="../charts/chart59.xml"/><Relationship Id="rId65" Type="http://schemas.openxmlformats.org/officeDocument/2006/relationships/chart" Target="../charts/chart64.xml"/><Relationship Id="rId4" Type="http://schemas.openxmlformats.org/officeDocument/2006/relationships/chart" Target="../charts/chart3.xml"/><Relationship Id="rId9" Type="http://schemas.openxmlformats.org/officeDocument/2006/relationships/chart" Target="../charts/chart8.xml"/><Relationship Id="rId13" Type="http://schemas.openxmlformats.org/officeDocument/2006/relationships/chart" Target="../charts/chart12.xml"/><Relationship Id="rId18" Type="http://schemas.openxmlformats.org/officeDocument/2006/relationships/chart" Target="../charts/chart17.xml"/><Relationship Id="rId39" Type="http://schemas.openxmlformats.org/officeDocument/2006/relationships/chart" Target="../charts/chart38.xml"/><Relationship Id="rId34" Type="http://schemas.openxmlformats.org/officeDocument/2006/relationships/chart" Target="../charts/chart33.xml"/><Relationship Id="rId50" Type="http://schemas.openxmlformats.org/officeDocument/2006/relationships/chart" Target="../charts/chart49.xml"/><Relationship Id="rId55" Type="http://schemas.openxmlformats.org/officeDocument/2006/relationships/chart" Target="../charts/chart5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9525</xdr:colOff>
          <xdr:row>10</xdr:row>
          <xdr:rowOff>161925</xdr:rowOff>
        </xdr:from>
        <xdr:to>
          <xdr:col>33</xdr:col>
          <xdr:colOff>219075</xdr:colOff>
          <xdr:row>12</xdr:row>
          <xdr:rowOff>19050</xdr:rowOff>
        </xdr:to>
        <xdr:sp macro="" textlink="">
          <xdr:nvSpPr>
            <xdr:cNvPr id="39937" name="Button 3" hidden="1">
              <a:extLst>
                <a:ext uri="{63B3BB69-23CF-44E3-9099-C40C66FF867C}">
                  <a14:compatExt spid="_x0000_s39937"/>
                </a:ext>
                <a:ext uri="{FF2B5EF4-FFF2-40B4-BE49-F238E27FC236}">
                  <a16:creationId xmlns:a16="http://schemas.microsoft.com/office/drawing/2014/main" id="{00000000-0008-0000-00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Formatta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12</xdr:row>
          <xdr:rowOff>142875</xdr:rowOff>
        </xdr:from>
        <xdr:to>
          <xdr:col>33</xdr:col>
          <xdr:colOff>209550</xdr:colOff>
          <xdr:row>13</xdr:row>
          <xdr:rowOff>171450</xdr:rowOff>
        </xdr:to>
        <xdr:sp macro="" textlink="">
          <xdr:nvSpPr>
            <xdr:cNvPr id="39938" name="Button 4" hidden="1">
              <a:extLst>
                <a:ext uri="{63B3BB69-23CF-44E3-9099-C40C66FF867C}">
                  <a14:compatExt spid="_x0000_s39938"/>
                </a:ext>
                <a:ext uri="{FF2B5EF4-FFF2-40B4-BE49-F238E27FC236}">
                  <a16:creationId xmlns:a16="http://schemas.microsoft.com/office/drawing/2014/main" id="{00000000-0008-0000-00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Referto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xdr:colOff>
          <xdr:row>8</xdr:row>
          <xdr:rowOff>38100</xdr:rowOff>
        </xdr:from>
        <xdr:to>
          <xdr:col>33</xdr:col>
          <xdr:colOff>238125</xdr:colOff>
          <xdr:row>10</xdr:row>
          <xdr:rowOff>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000-000003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Spiegazioni</a:t>
              </a:r>
            </a:p>
          </xdr:txBody>
        </xdr:sp>
        <xdr:clientData fPrintsWithSheet="0"/>
      </xdr:twoCellAnchor>
    </mc:Choice>
    <mc:Fallback/>
  </mc:AlternateContent>
  <xdr:oneCellAnchor>
    <xdr:from>
      <xdr:col>0</xdr:col>
      <xdr:colOff>90054</xdr:colOff>
      <xdr:row>0</xdr:row>
      <xdr:rowOff>90053</xdr:rowOff>
    </xdr:from>
    <xdr:ext cx="1313033" cy="928256"/>
    <xdr:pic>
      <xdr:nvPicPr>
        <xdr:cNvPr id="136" name="Immagin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1381508"/>
          <a:ext cx="1313033" cy="928256"/>
        </a:xfrm>
        <a:prstGeom prst="rect">
          <a:avLst/>
        </a:prstGeom>
      </xdr:spPr>
    </xdr:pic>
    <xdr:clientData/>
  </xdr:oneCellAnchor>
  <xdr:twoCellAnchor>
    <xdr:from>
      <xdr:col>21</xdr:col>
      <xdr:colOff>0</xdr:colOff>
      <xdr:row>26</xdr:row>
      <xdr:rowOff>0</xdr:rowOff>
    </xdr:from>
    <xdr:to>
      <xdr:col>30</xdr:col>
      <xdr:colOff>21264</xdr:colOff>
      <xdr:row>27</xdr:row>
      <xdr:rowOff>53788</xdr:rowOff>
    </xdr:to>
    <xdr:sp macro="" textlink="">
      <xdr:nvSpPr>
        <xdr:cNvPr id="179" name="rect 2">
          <a:extLst>
            <a:ext uri="{FF2B5EF4-FFF2-40B4-BE49-F238E27FC236}">
              <a16:creationId xmlns:a16="http://schemas.microsoft.com/office/drawing/2014/main" id="{00000000-0008-0000-0000-0000B3000000}"/>
            </a:ext>
          </a:extLst>
        </xdr:cNvPr>
        <xdr:cNvSpPr/>
      </xdr:nvSpPr>
      <xdr:spPr>
        <a:xfrm>
          <a:off x="4160520" y="442722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14085">
              <a:srgbClr val="FFFF62"/>
            </a:gs>
            <a:gs pos="14085">
              <a:srgbClr val="00FF00"/>
            </a:gs>
            <a:gs pos="53493">
              <a:srgbClr val="00FF00"/>
            </a:gs>
            <a:gs pos="5349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32</xdr:row>
      <xdr:rowOff>0</xdr:rowOff>
    </xdr:from>
    <xdr:to>
      <xdr:col>30</xdr:col>
      <xdr:colOff>21264</xdr:colOff>
      <xdr:row>33</xdr:row>
      <xdr:rowOff>53788</xdr:rowOff>
    </xdr:to>
    <xdr:sp macro="" textlink="">
      <xdr:nvSpPr>
        <xdr:cNvPr id="183" name="rect 3">
          <a:extLst>
            <a:ext uri="{FF2B5EF4-FFF2-40B4-BE49-F238E27FC236}">
              <a16:creationId xmlns:a16="http://schemas.microsoft.com/office/drawing/2014/main" id="{00000000-0008-0000-0000-0000B7000000}"/>
            </a:ext>
          </a:extLst>
        </xdr:cNvPr>
        <xdr:cNvSpPr/>
      </xdr:nvSpPr>
      <xdr:spPr>
        <a:xfrm>
          <a:off x="4160520" y="4861560"/>
          <a:ext cx="3038784" cy="129988"/>
        </a:xfrm>
        <a:prstGeom prst="roundRect">
          <a:avLst>
            <a:gd name="adj" fmla="val 50000"/>
          </a:avLst>
        </a:prstGeom>
        <a:gradFill flip="none" rotWithShape="1">
          <a:gsLst>
            <a:gs pos="0">
              <a:srgbClr val="FFFF62"/>
            </a:gs>
            <a:gs pos="100000">
              <a:srgbClr val="FF0000"/>
            </a:gs>
            <a:gs pos="11390">
              <a:srgbClr val="FFFF62"/>
            </a:gs>
            <a:gs pos="11390">
              <a:srgbClr val="00FF00"/>
            </a:gs>
            <a:gs pos="54210">
              <a:srgbClr val="00FF00"/>
            </a:gs>
            <a:gs pos="5421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37</xdr:row>
      <xdr:rowOff>0</xdr:rowOff>
    </xdr:from>
    <xdr:to>
      <xdr:col>30</xdr:col>
      <xdr:colOff>21264</xdr:colOff>
      <xdr:row>38</xdr:row>
      <xdr:rowOff>53788</xdr:rowOff>
    </xdr:to>
    <xdr:sp macro="" textlink="">
      <xdr:nvSpPr>
        <xdr:cNvPr id="187" name="rect 4">
          <a:extLst>
            <a:ext uri="{FF2B5EF4-FFF2-40B4-BE49-F238E27FC236}">
              <a16:creationId xmlns:a16="http://schemas.microsoft.com/office/drawing/2014/main" id="{00000000-0008-0000-0000-0000BB000000}"/>
            </a:ext>
          </a:extLst>
        </xdr:cNvPr>
        <xdr:cNvSpPr/>
      </xdr:nvSpPr>
      <xdr:spPr>
        <a:xfrm>
          <a:off x="4160520" y="5295900"/>
          <a:ext cx="3038784" cy="129988"/>
        </a:xfrm>
        <a:prstGeom prst="roundRect">
          <a:avLst>
            <a:gd name="adj" fmla="val 50000"/>
          </a:avLst>
        </a:prstGeom>
        <a:gradFill flip="none" rotWithShape="1">
          <a:gsLst>
            <a:gs pos="0">
              <a:srgbClr val="FFFF62"/>
            </a:gs>
            <a:gs pos="100000">
              <a:srgbClr val="FF0000"/>
            </a:gs>
            <a:gs pos="39703">
              <a:srgbClr val="FFFF62"/>
            </a:gs>
            <a:gs pos="39703">
              <a:srgbClr val="00FF00"/>
            </a:gs>
            <a:gs pos="87000">
              <a:srgbClr val="00FF00"/>
            </a:gs>
            <a:gs pos="87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36</xdr:row>
      <xdr:rowOff>0</xdr:rowOff>
    </xdr:from>
    <xdr:to>
      <xdr:col>31</xdr:col>
      <xdr:colOff>7302</xdr:colOff>
      <xdr:row>40</xdr:row>
      <xdr:rowOff>4483</xdr:rowOff>
    </xdr:to>
    <xdr:graphicFrame macro="">
      <xdr:nvGraphicFramePr>
        <xdr:cNvPr id="189" name="Grafico 4">
          <a:extLst>
            <a:ext uri="{FF2B5EF4-FFF2-40B4-BE49-F238E27FC236}">
              <a16:creationId xmlns:a16="http://schemas.microsoft.com/office/drawing/2014/main" id="{00000000-0008-0000-00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42</xdr:row>
      <xdr:rowOff>0</xdr:rowOff>
    </xdr:from>
    <xdr:to>
      <xdr:col>30</xdr:col>
      <xdr:colOff>21264</xdr:colOff>
      <xdr:row>43</xdr:row>
      <xdr:rowOff>53788</xdr:rowOff>
    </xdr:to>
    <xdr:sp macro="" textlink="">
      <xdr:nvSpPr>
        <xdr:cNvPr id="191" name="rect 5">
          <a:extLst>
            <a:ext uri="{FF2B5EF4-FFF2-40B4-BE49-F238E27FC236}">
              <a16:creationId xmlns:a16="http://schemas.microsoft.com/office/drawing/2014/main" id="{00000000-0008-0000-0000-0000BF000000}"/>
            </a:ext>
          </a:extLst>
        </xdr:cNvPr>
        <xdr:cNvSpPr/>
      </xdr:nvSpPr>
      <xdr:spPr>
        <a:xfrm>
          <a:off x="4160520" y="5730240"/>
          <a:ext cx="3038784" cy="129988"/>
        </a:xfrm>
        <a:prstGeom prst="roundRect">
          <a:avLst>
            <a:gd name="adj" fmla="val 50000"/>
          </a:avLst>
        </a:prstGeom>
        <a:gradFill flip="none" rotWithShape="1">
          <a:gsLst>
            <a:gs pos="0">
              <a:srgbClr val="FFFF62"/>
            </a:gs>
            <a:gs pos="100000">
              <a:srgbClr val="FF0000"/>
            </a:gs>
            <a:gs pos="21263">
              <a:srgbClr val="FFFF62"/>
            </a:gs>
            <a:gs pos="21263">
              <a:srgbClr val="00FF00"/>
            </a:gs>
            <a:gs pos="56057">
              <a:srgbClr val="00FF00"/>
            </a:gs>
            <a:gs pos="5605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41</xdr:row>
      <xdr:rowOff>0</xdr:rowOff>
    </xdr:from>
    <xdr:to>
      <xdr:col>31</xdr:col>
      <xdr:colOff>7302</xdr:colOff>
      <xdr:row>45</xdr:row>
      <xdr:rowOff>4483</xdr:rowOff>
    </xdr:to>
    <xdr:graphicFrame macro="">
      <xdr:nvGraphicFramePr>
        <xdr:cNvPr id="193" name="Grafico 5">
          <a:extLst>
            <a:ext uri="{FF2B5EF4-FFF2-40B4-BE49-F238E27FC236}">
              <a16:creationId xmlns:a16="http://schemas.microsoft.com/office/drawing/2014/main" id="{00000000-0008-0000-0000-0000C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47</xdr:row>
      <xdr:rowOff>0</xdr:rowOff>
    </xdr:from>
    <xdr:to>
      <xdr:col>30</xdr:col>
      <xdr:colOff>21264</xdr:colOff>
      <xdr:row>48</xdr:row>
      <xdr:rowOff>53788</xdr:rowOff>
    </xdr:to>
    <xdr:sp macro="" textlink="">
      <xdr:nvSpPr>
        <xdr:cNvPr id="195" name="rect 6">
          <a:extLst>
            <a:ext uri="{FF2B5EF4-FFF2-40B4-BE49-F238E27FC236}">
              <a16:creationId xmlns:a16="http://schemas.microsoft.com/office/drawing/2014/main" id="{00000000-0008-0000-0000-0000C3000000}"/>
            </a:ext>
          </a:extLst>
        </xdr:cNvPr>
        <xdr:cNvSpPr/>
      </xdr:nvSpPr>
      <xdr:spPr>
        <a:xfrm>
          <a:off x="4160520" y="6164580"/>
          <a:ext cx="3038784" cy="129988"/>
        </a:xfrm>
        <a:prstGeom prst="roundRect">
          <a:avLst>
            <a:gd name="adj" fmla="val 50000"/>
          </a:avLst>
        </a:prstGeom>
        <a:gradFill flip="none" rotWithShape="1">
          <a:gsLst>
            <a:gs pos="0">
              <a:srgbClr val="FFFF62"/>
            </a:gs>
            <a:gs pos="100000">
              <a:srgbClr val="FF0000"/>
            </a:gs>
            <a:gs pos="34528">
              <a:srgbClr val="FFFF62"/>
            </a:gs>
            <a:gs pos="34528">
              <a:srgbClr val="00FF00"/>
            </a:gs>
            <a:gs pos="73921">
              <a:srgbClr val="00FF00"/>
            </a:gs>
            <a:gs pos="7392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46</xdr:row>
      <xdr:rowOff>0</xdr:rowOff>
    </xdr:from>
    <xdr:to>
      <xdr:col>31</xdr:col>
      <xdr:colOff>7302</xdr:colOff>
      <xdr:row>50</xdr:row>
      <xdr:rowOff>4483</xdr:rowOff>
    </xdr:to>
    <xdr:graphicFrame macro="">
      <xdr:nvGraphicFramePr>
        <xdr:cNvPr id="197" name="Grafico 6">
          <a:extLst>
            <a:ext uri="{FF2B5EF4-FFF2-40B4-BE49-F238E27FC236}">
              <a16:creationId xmlns:a16="http://schemas.microsoft.com/office/drawing/2014/main" id="{00000000-0008-0000-00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52</xdr:row>
      <xdr:rowOff>0</xdr:rowOff>
    </xdr:from>
    <xdr:to>
      <xdr:col>30</xdr:col>
      <xdr:colOff>21264</xdr:colOff>
      <xdr:row>53</xdr:row>
      <xdr:rowOff>53788</xdr:rowOff>
    </xdr:to>
    <xdr:sp macro="" textlink="">
      <xdr:nvSpPr>
        <xdr:cNvPr id="199" name="rect 7">
          <a:extLst>
            <a:ext uri="{FF2B5EF4-FFF2-40B4-BE49-F238E27FC236}">
              <a16:creationId xmlns:a16="http://schemas.microsoft.com/office/drawing/2014/main" id="{00000000-0008-0000-0000-0000C7000000}"/>
            </a:ext>
          </a:extLst>
        </xdr:cNvPr>
        <xdr:cNvSpPr/>
      </xdr:nvSpPr>
      <xdr:spPr>
        <a:xfrm>
          <a:off x="4160520" y="6598920"/>
          <a:ext cx="3038784" cy="129988"/>
        </a:xfrm>
        <a:prstGeom prst="roundRect">
          <a:avLst>
            <a:gd name="adj" fmla="val 50000"/>
          </a:avLst>
        </a:prstGeom>
        <a:gradFill flip="none" rotWithShape="1">
          <a:gsLst>
            <a:gs pos="0">
              <a:srgbClr val="FFFF62"/>
            </a:gs>
            <a:gs pos="100000">
              <a:srgbClr val="FF0000"/>
            </a:gs>
            <a:gs pos="10588">
              <a:srgbClr val="FFFF62"/>
            </a:gs>
            <a:gs pos="10588">
              <a:srgbClr val="00FF00"/>
            </a:gs>
            <a:gs pos="51385">
              <a:srgbClr val="00FF00"/>
            </a:gs>
            <a:gs pos="5138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51</xdr:row>
      <xdr:rowOff>0</xdr:rowOff>
    </xdr:from>
    <xdr:to>
      <xdr:col>31</xdr:col>
      <xdr:colOff>7302</xdr:colOff>
      <xdr:row>55</xdr:row>
      <xdr:rowOff>4483</xdr:rowOff>
    </xdr:to>
    <xdr:graphicFrame macro="">
      <xdr:nvGraphicFramePr>
        <xdr:cNvPr id="201" name="Grafico 7">
          <a:extLst>
            <a:ext uri="{FF2B5EF4-FFF2-40B4-BE49-F238E27FC236}">
              <a16:creationId xmlns:a16="http://schemas.microsoft.com/office/drawing/2014/main" id="{00000000-0008-0000-00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58</xdr:row>
      <xdr:rowOff>0</xdr:rowOff>
    </xdr:from>
    <xdr:to>
      <xdr:col>30</xdr:col>
      <xdr:colOff>25619</xdr:colOff>
      <xdr:row>59</xdr:row>
      <xdr:rowOff>53788</xdr:rowOff>
    </xdr:to>
    <xdr:sp macro="" textlink="">
      <xdr:nvSpPr>
        <xdr:cNvPr id="204" name="rect 8">
          <a:extLst>
            <a:ext uri="{FF2B5EF4-FFF2-40B4-BE49-F238E27FC236}">
              <a16:creationId xmlns:a16="http://schemas.microsoft.com/office/drawing/2014/main" id="{00000000-0008-0000-0000-0000CC000000}"/>
            </a:ext>
          </a:extLst>
        </xdr:cNvPr>
        <xdr:cNvSpPr/>
      </xdr:nvSpPr>
      <xdr:spPr>
        <a:xfrm>
          <a:off x="4201886" y="7445829"/>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28505">
              <a:srgbClr val="FFFF62"/>
            </a:gs>
            <a:gs pos="28505">
              <a:srgbClr val="00FF00"/>
            </a:gs>
            <a:gs pos="71506">
              <a:srgbClr val="00FF00"/>
            </a:gs>
            <a:gs pos="7150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57</xdr:row>
      <xdr:rowOff>0</xdr:rowOff>
    </xdr:from>
    <xdr:to>
      <xdr:col>31</xdr:col>
      <xdr:colOff>7302</xdr:colOff>
      <xdr:row>61</xdr:row>
      <xdr:rowOff>4483</xdr:rowOff>
    </xdr:to>
    <xdr:graphicFrame macro="">
      <xdr:nvGraphicFramePr>
        <xdr:cNvPr id="206" name="Grafico 8">
          <a:extLst>
            <a:ext uri="{FF2B5EF4-FFF2-40B4-BE49-F238E27FC236}">
              <a16:creationId xmlns:a16="http://schemas.microsoft.com/office/drawing/2014/main" id="{00000000-0008-0000-00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63</xdr:row>
      <xdr:rowOff>0</xdr:rowOff>
    </xdr:from>
    <xdr:to>
      <xdr:col>30</xdr:col>
      <xdr:colOff>25619</xdr:colOff>
      <xdr:row>64</xdr:row>
      <xdr:rowOff>53788</xdr:rowOff>
    </xdr:to>
    <xdr:sp macro="" textlink="">
      <xdr:nvSpPr>
        <xdr:cNvPr id="208" name="rect 9">
          <a:extLst>
            <a:ext uri="{FF2B5EF4-FFF2-40B4-BE49-F238E27FC236}">
              <a16:creationId xmlns:a16="http://schemas.microsoft.com/office/drawing/2014/main" id="{00000000-0008-0000-0000-0000D0000000}"/>
            </a:ext>
          </a:extLst>
        </xdr:cNvPr>
        <xdr:cNvSpPr/>
      </xdr:nvSpPr>
      <xdr:spPr>
        <a:xfrm>
          <a:off x="4201886" y="8458200"/>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20078">
              <a:srgbClr val="FFFF62"/>
            </a:gs>
            <a:gs pos="20078">
              <a:srgbClr val="00FF00"/>
            </a:gs>
            <a:gs pos="68680">
              <a:srgbClr val="00FF00"/>
            </a:gs>
            <a:gs pos="6868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62</xdr:row>
      <xdr:rowOff>0</xdr:rowOff>
    </xdr:from>
    <xdr:to>
      <xdr:col>31</xdr:col>
      <xdr:colOff>7302</xdr:colOff>
      <xdr:row>66</xdr:row>
      <xdr:rowOff>4484</xdr:rowOff>
    </xdr:to>
    <xdr:graphicFrame macro="">
      <xdr:nvGraphicFramePr>
        <xdr:cNvPr id="210" name="Grafico 9">
          <a:extLst>
            <a:ext uri="{FF2B5EF4-FFF2-40B4-BE49-F238E27FC236}">
              <a16:creationId xmlns:a16="http://schemas.microsoft.com/office/drawing/2014/main" id="{00000000-0008-0000-0000-0000D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68</xdr:row>
      <xdr:rowOff>0</xdr:rowOff>
    </xdr:from>
    <xdr:to>
      <xdr:col>30</xdr:col>
      <xdr:colOff>25619</xdr:colOff>
      <xdr:row>69</xdr:row>
      <xdr:rowOff>53788</xdr:rowOff>
    </xdr:to>
    <xdr:sp macro="" textlink="">
      <xdr:nvSpPr>
        <xdr:cNvPr id="212" name="rect 10">
          <a:extLst>
            <a:ext uri="{FF2B5EF4-FFF2-40B4-BE49-F238E27FC236}">
              <a16:creationId xmlns:a16="http://schemas.microsoft.com/office/drawing/2014/main" id="{00000000-0008-0000-0000-0000D4000000}"/>
            </a:ext>
          </a:extLst>
        </xdr:cNvPr>
        <xdr:cNvSpPr/>
      </xdr:nvSpPr>
      <xdr:spPr>
        <a:xfrm>
          <a:off x="4201886" y="8893629"/>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14608">
              <a:srgbClr val="FFFF62"/>
            </a:gs>
            <a:gs pos="14608">
              <a:srgbClr val="00FF00"/>
            </a:gs>
            <a:gs pos="66888">
              <a:srgbClr val="00FF00"/>
            </a:gs>
            <a:gs pos="6688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67</xdr:row>
      <xdr:rowOff>0</xdr:rowOff>
    </xdr:from>
    <xdr:to>
      <xdr:col>31</xdr:col>
      <xdr:colOff>7302</xdr:colOff>
      <xdr:row>71</xdr:row>
      <xdr:rowOff>4483</xdr:rowOff>
    </xdr:to>
    <xdr:graphicFrame macro="">
      <xdr:nvGraphicFramePr>
        <xdr:cNvPr id="214" name="Grafico 10">
          <a:extLst>
            <a:ext uri="{FF2B5EF4-FFF2-40B4-BE49-F238E27FC236}">
              <a16:creationId xmlns:a16="http://schemas.microsoft.com/office/drawing/2014/main" id="{00000000-0008-0000-0000-0000D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0</xdr:colOff>
      <xdr:row>73</xdr:row>
      <xdr:rowOff>0</xdr:rowOff>
    </xdr:from>
    <xdr:to>
      <xdr:col>30</xdr:col>
      <xdr:colOff>25619</xdr:colOff>
      <xdr:row>74</xdr:row>
      <xdr:rowOff>53788</xdr:rowOff>
    </xdr:to>
    <xdr:sp macro="" textlink="">
      <xdr:nvSpPr>
        <xdr:cNvPr id="216" name="rect 11">
          <a:extLst>
            <a:ext uri="{FF2B5EF4-FFF2-40B4-BE49-F238E27FC236}">
              <a16:creationId xmlns:a16="http://schemas.microsoft.com/office/drawing/2014/main" id="{00000000-0008-0000-0000-0000D8000000}"/>
            </a:ext>
          </a:extLst>
        </xdr:cNvPr>
        <xdr:cNvSpPr/>
      </xdr:nvSpPr>
      <xdr:spPr>
        <a:xfrm>
          <a:off x="4201886" y="9329057"/>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28543">
              <a:srgbClr val="FFFF62"/>
            </a:gs>
            <a:gs pos="28543">
              <a:srgbClr val="00FF00"/>
            </a:gs>
            <a:gs pos="71531">
              <a:srgbClr val="00FF00"/>
            </a:gs>
            <a:gs pos="7153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78</xdr:row>
      <xdr:rowOff>0</xdr:rowOff>
    </xdr:from>
    <xdr:to>
      <xdr:col>30</xdr:col>
      <xdr:colOff>25619</xdr:colOff>
      <xdr:row>79</xdr:row>
      <xdr:rowOff>53788</xdr:rowOff>
    </xdr:to>
    <xdr:sp macro="" textlink="">
      <xdr:nvSpPr>
        <xdr:cNvPr id="220" name="rect 12">
          <a:extLst>
            <a:ext uri="{FF2B5EF4-FFF2-40B4-BE49-F238E27FC236}">
              <a16:creationId xmlns:a16="http://schemas.microsoft.com/office/drawing/2014/main" id="{00000000-0008-0000-0000-0000DC000000}"/>
            </a:ext>
          </a:extLst>
        </xdr:cNvPr>
        <xdr:cNvSpPr/>
      </xdr:nvSpPr>
      <xdr:spPr>
        <a:xfrm>
          <a:off x="4201886" y="9764486"/>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15773">
              <a:srgbClr val="FFFF62"/>
            </a:gs>
            <a:gs pos="15773">
              <a:srgbClr val="00FF00"/>
            </a:gs>
            <a:gs pos="67040">
              <a:srgbClr val="00FF00"/>
            </a:gs>
            <a:gs pos="6704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77</xdr:row>
      <xdr:rowOff>0</xdr:rowOff>
    </xdr:from>
    <xdr:to>
      <xdr:col>31</xdr:col>
      <xdr:colOff>7302</xdr:colOff>
      <xdr:row>81</xdr:row>
      <xdr:rowOff>4483</xdr:rowOff>
    </xdr:to>
    <xdr:graphicFrame macro="">
      <xdr:nvGraphicFramePr>
        <xdr:cNvPr id="222" name="Grafico 12">
          <a:extLst>
            <a:ext uri="{FF2B5EF4-FFF2-40B4-BE49-F238E27FC236}">
              <a16:creationId xmlns:a16="http://schemas.microsoft.com/office/drawing/2014/main" id="{00000000-0008-0000-00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83</xdr:row>
      <xdr:rowOff>0</xdr:rowOff>
    </xdr:from>
    <xdr:to>
      <xdr:col>30</xdr:col>
      <xdr:colOff>25619</xdr:colOff>
      <xdr:row>84</xdr:row>
      <xdr:rowOff>53788</xdr:rowOff>
    </xdr:to>
    <xdr:sp macro="" textlink="">
      <xdr:nvSpPr>
        <xdr:cNvPr id="224" name="rect 13">
          <a:extLst>
            <a:ext uri="{FF2B5EF4-FFF2-40B4-BE49-F238E27FC236}">
              <a16:creationId xmlns:a16="http://schemas.microsoft.com/office/drawing/2014/main" id="{00000000-0008-0000-0000-0000E0000000}"/>
            </a:ext>
          </a:extLst>
        </xdr:cNvPr>
        <xdr:cNvSpPr/>
      </xdr:nvSpPr>
      <xdr:spPr>
        <a:xfrm>
          <a:off x="4201886" y="10580914"/>
          <a:ext cx="3062733" cy="129988"/>
        </a:xfrm>
        <a:prstGeom prst="roundRect">
          <a:avLst>
            <a:gd name="adj" fmla="val 50000"/>
          </a:avLst>
        </a:prstGeom>
        <a:gradFill flip="none" rotWithShape="1">
          <a:gsLst>
            <a:gs pos="0">
              <a:srgbClr val="FFFF62"/>
            </a:gs>
            <a:gs pos="100000">
              <a:srgbClr val="FF0000"/>
            </a:gs>
            <a:gs pos="24260">
              <a:srgbClr val="FFFF62"/>
            </a:gs>
            <a:gs pos="24260">
              <a:srgbClr val="00FF00"/>
            </a:gs>
            <a:gs pos="69834">
              <a:srgbClr val="00FF00"/>
            </a:gs>
            <a:gs pos="6983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19</xdr:col>
      <xdr:colOff>247650</xdr:colOff>
      <xdr:row>82</xdr:row>
      <xdr:rowOff>0</xdr:rowOff>
    </xdr:from>
    <xdr:to>
      <xdr:col>30</xdr:col>
      <xdr:colOff>131127</xdr:colOff>
      <xdr:row>85</xdr:row>
      <xdr:rowOff>66675</xdr:rowOff>
    </xdr:to>
    <xdr:graphicFrame macro="">
      <xdr:nvGraphicFramePr>
        <xdr:cNvPr id="226" name="Grafico 13">
          <a:extLst>
            <a:ext uri="{FF2B5EF4-FFF2-40B4-BE49-F238E27FC236}">
              <a16:creationId xmlns:a16="http://schemas.microsoft.com/office/drawing/2014/main" id="{00000000-0008-0000-0000-0000E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0</xdr:colOff>
      <xdr:row>88</xdr:row>
      <xdr:rowOff>0</xdr:rowOff>
    </xdr:from>
    <xdr:to>
      <xdr:col>30</xdr:col>
      <xdr:colOff>25619</xdr:colOff>
      <xdr:row>89</xdr:row>
      <xdr:rowOff>53788</xdr:rowOff>
    </xdr:to>
    <xdr:sp macro="" textlink="">
      <xdr:nvSpPr>
        <xdr:cNvPr id="228" name="rect 14">
          <a:extLst>
            <a:ext uri="{FF2B5EF4-FFF2-40B4-BE49-F238E27FC236}">
              <a16:creationId xmlns:a16="http://schemas.microsoft.com/office/drawing/2014/main" id="{00000000-0008-0000-0000-0000E4000000}"/>
            </a:ext>
          </a:extLst>
        </xdr:cNvPr>
        <xdr:cNvSpPr/>
      </xdr:nvSpPr>
      <xdr:spPr>
        <a:xfrm>
          <a:off x="4201886" y="11016343"/>
          <a:ext cx="3062733" cy="129988"/>
        </a:xfrm>
        <a:prstGeom prst="roundRect">
          <a:avLst>
            <a:gd name="adj" fmla="val 50000"/>
          </a:avLst>
        </a:prstGeom>
        <a:gradFill flip="none" rotWithShape="1">
          <a:gsLst>
            <a:gs pos="0">
              <a:srgbClr val="FFFF62"/>
            </a:gs>
            <a:gs pos="100000">
              <a:srgbClr val="FF0000"/>
            </a:gs>
            <a:gs pos="27204">
              <a:srgbClr val="FFFF62"/>
            </a:gs>
            <a:gs pos="27204">
              <a:srgbClr val="00FF00"/>
            </a:gs>
            <a:gs pos="71646">
              <a:srgbClr val="00FF00"/>
            </a:gs>
            <a:gs pos="7164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87</xdr:row>
      <xdr:rowOff>0</xdr:rowOff>
    </xdr:from>
    <xdr:to>
      <xdr:col>31</xdr:col>
      <xdr:colOff>7302</xdr:colOff>
      <xdr:row>91</xdr:row>
      <xdr:rowOff>4484</xdr:rowOff>
    </xdr:to>
    <xdr:graphicFrame macro="">
      <xdr:nvGraphicFramePr>
        <xdr:cNvPr id="230" name="Grafico 14">
          <a:extLst>
            <a:ext uri="{FF2B5EF4-FFF2-40B4-BE49-F238E27FC236}">
              <a16:creationId xmlns:a16="http://schemas.microsoft.com/office/drawing/2014/main" id="{00000000-0008-0000-0000-0000E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0</xdr:colOff>
      <xdr:row>94</xdr:row>
      <xdr:rowOff>0</xdr:rowOff>
    </xdr:from>
    <xdr:to>
      <xdr:col>30</xdr:col>
      <xdr:colOff>25619</xdr:colOff>
      <xdr:row>95</xdr:row>
      <xdr:rowOff>53788</xdr:rowOff>
    </xdr:to>
    <xdr:sp macro="" textlink="">
      <xdr:nvSpPr>
        <xdr:cNvPr id="232" name="rect 15">
          <a:extLst>
            <a:ext uri="{FF2B5EF4-FFF2-40B4-BE49-F238E27FC236}">
              <a16:creationId xmlns:a16="http://schemas.microsoft.com/office/drawing/2014/main" id="{00000000-0008-0000-0000-0000E8000000}"/>
            </a:ext>
          </a:extLst>
        </xdr:cNvPr>
        <xdr:cNvSpPr/>
      </xdr:nvSpPr>
      <xdr:spPr>
        <a:xfrm>
          <a:off x="4201886" y="11451771"/>
          <a:ext cx="3062733" cy="129988"/>
        </a:xfrm>
        <a:prstGeom prst="roundRect">
          <a:avLst>
            <a:gd name="adj" fmla="val 50000"/>
          </a:avLst>
        </a:prstGeom>
        <a:gradFill flip="none" rotWithShape="1">
          <a:gsLst>
            <a:gs pos="0">
              <a:srgbClr val="FFFF62"/>
            </a:gs>
            <a:gs pos="100000">
              <a:srgbClr val="FF0000"/>
            </a:gs>
            <a:gs pos="12000">
              <a:srgbClr val="FFFF62"/>
            </a:gs>
            <a:gs pos="12000">
              <a:srgbClr val="00FF00"/>
            </a:gs>
            <a:gs pos="40229">
              <a:srgbClr val="00FF00"/>
            </a:gs>
            <a:gs pos="4022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93</xdr:row>
      <xdr:rowOff>0</xdr:rowOff>
    </xdr:from>
    <xdr:to>
      <xdr:col>31</xdr:col>
      <xdr:colOff>7302</xdr:colOff>
      <xdr:row>97</xdr:row>
      <xdr:rowOff>4483</xdr:rowOff>
    </xdr:to>
    <xdr:graphicFrame macro="">
      <xdr:nvGraphicFramePr>
        <xdr:cNvPr id="234" name="Grafico 15">
          <a:extLst>
            <a:ext uri="{FF2B5EF4-FFF2-40B4-BE49-F238E27FC236}">
              <a16:creationId xmlns:a16="http://schemas.microsoft.com/office/drawing/2014/main" id="{00000000-0008-0000-0000-0000E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0</xdr:colOff>
      <xdr:row>20</xdr:row>
      <xdr:rowOff>130968</xdr:rowOff>
    </xdr:from>
    <xdr:to>
      <xdr:col>30</xdr:col>
      <xdr:colOff>21264</xdr:colOff>
      <xdr:row>22</xdr:row>
      <xdr:rowOff>53788</xdr:rowOff>
    </xdr:to>
    <xdr:sp macro="" textlink="">
      <xdr:nvSpPr>
        <xdr:cNvPr id="132" name="rect 1">
          <a:extLst>
            <a:ext uri="{FF2B5EF4-FFF2-40B4-BE49-F238E27FC236}">
              <a16:creationId xmlns:a16="http://schemas.microsoft.com/office/drawing/2014/main" id="{00000000-0008-0000-0000-000084000000}"/>
            </a:ext>
          </a:extLst>
        </xdr:cNvPr>
        <xdr:cNvSpPr/>
      </xdr:nvSpPr>
      <xdr:spPr>
        <a:xfrm>
          <a:off x="4030266" y="3923109"/>
          <a:ext cx="2914482" cy="131179"/>
        </a:xfrm>
        <a:prstGeom prst="roundRect">
          <a:avLst>
            <a:gd name="adj" fmla="val 50000"/>
          </a:avLst>
        </a:prstGeom>
        <a:gradFill flip="none" rotWithShape="1">
          <a:gsLst>
            <a:gs pos="0">
              <a:srgbClr val="FFFF62"/>
            </a:gs>
            <a:gs pos="100000">
              <a:srgbClr val="FF0000"/>
            </a:gs>
            <a:gs pos="14714">
              <a:srgbClr val="FFFF62"/>
            </a:gs>
            <a:gs pos="14714">
              <a:srgbClr val="00FF00"/>
            </a:gs>
            <a:gs pos="54427">
              <a:srgbClr val="00FF00"/>
            </a:gs>
            <a:gs pos="5442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31</xdr:row>
      <xdr:rowOff>0</xdr:rowOff>
    </xdr:from>
    <xdr:to>
      <xdr:col>31</xdr:col>
      <xdr:colOff>7302</xdr:colOff>
      <xdr:row>35</xdr:row>
      <xdr:rowOff>4483</xdr:rowOff>
    </xdr:to>
    <xdr:graphicFrame macro="">
      <xdr:nvGraphicFramePr>
        <xdr:cNvPr id="135" name="Grafico 3">
          <a:extLst>
            <a:ext uri="{FF2B5EF4-FFF2-40B4-BE49-F238E27FC236}">
              <a16:creationId xmlns:a16="http://schemas.microsoft.com/office/drawing/2014/main" id="{00000000-0008-0000-00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0</xdr:colOff>
      <xdr:row>25</xdr:row>
      <xdr:rowOff>0</xdr:rowOff>
    </xdr:from>
    <xdr:to>
      <xdr:col>31</xdr:col>
      <xdr:colOff>7302</xdr:colOff>
      <xdr:row>29</xdr:row>
      <xdr:rowOff>4483</xdr:rowOff>
    </xdr:to>
    <xdr:graphicFrame macro="">
      <xdr:nvGraphicFramePr>
        <xdr:cNvPr id="140" name="Grafico 2">
          <a:extLst>
            <a:ext uri="{FF2B5EF4-FFF2-40B4-BE49-F238E27FC236}">
              <a16:creationId xmlns:a16="http://schemas.microsoft.com/office/drawing/2014/main" id="{00000000-0008-0000-0000-00008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xdr:col>
      <xdr:colOff>0</xdr:colOff>
      <xdr:row>72</xdr:row>
      <xdr:rowOff>0</xdr:rowOff>
    </xdr:from>
    <xdr:to>
      <xdr:col>31</xdr:col>
      <xdr:colOff>7302</xdr:colOff>
      <xdr:row>76</xdr:row>
      <xdr:rowOff>4484</xdr:rowOff>
    </xdr:to>
    <xdr:graphicFrame macro="">
      <xdr:nvGraphicFramePr>
        <xdr:cNvPr id="144" name="Grafico 11">
          <a:extLst>
            <a:ext uri="{FF2B5EF4-FFF2-40B4-BE49-F238E27FC236}">
              <a16:creationId xmlns:a16="http://schemas.microsoft.com/office/drawing/2014/main" id="{00000000-0008-0000-0000-00009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0</xdr:col>
      <xdr:colOff>90054</xdr:colOff>
      <xdr:row>166</xdr:row>
      <xdr:rowOff>90053</xdr:rowOff>
    </xdr:from>
    <xdr:ext cx="1313033" cy="928256"/>
    <xdr:pic>
      <xdr:nvPicPr>
        <xdr:cNvPr id="130" name="Immagine 129">
          <a:extLst>
            <a:ext uri="{FF2B5EF4-FFF2-40B4-BE49-F238E27FC236}">
              <a16:creationId xmlns:a16="http://schemas.microsoft.com/office/drawing/2014/main" id="{00000000-0008-0000-0000-00008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90053"/>
          <a:ext cx="1313033" cy="928256"/>
        </a:xfrm>
        <a:prstGeom prst="rect">
          <a:avLst/>
        </a:prstGeom>
      </xdr:spPr>
    </xdr:pic>
    <xdr:clientData/>
  </xdr:oneCellAnchor>
  <xdr:oneCellAnchor>
    <xdr:from>
      <xdr:col>0</xdr:col>
      <xdr:colOff>90054</xdr:colOff>
      <xdr:row>312</xdr:row>
      <xdr:rowOff>90053</xdr:rowOff>
    </xdr:from>
    <xdr:ext cx="1313033" cy="928256"/>
    <xdr:pic>
      <xdr:nvPicPr>
        <xdr:cNvPr id="12" name="Immagine 11">
          <a:extLst>
            <a:ext uri="{FF2B5EF4-FFF2-40B4-BE49-F238E27FC236}">
              <a16:creationId xmlns:a16="http://schemas.microsoft.com/office/drawing/2014/main" id="{24CE4B92-CB3E-4169-9997-13190C0157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2758303"/>
          <a:ext cx="1313033" cy="928256"/>
        </a:xfrm>
        <a:prstGeom prst="rect">
          <a:avLst/>
        </a:prstGeom>
      </xdr:spPr>
    </xdr:pic>
    <xdr:clientData/>
  </xdr:oneCellAnchor>
  <xdr:oneCellAnchor>
    <xdr:from>
      <xdr:col>0</xdr:col>
      <xdr:colOff>90054</xdr:colOff>
      <xdr:row>479</xdr:row>
      <xdr:rowOff>90053</xdr:rowOff>
    </xdr:from>
    <xdr:ext cx="1313033" cy="928256"/>
    <xdr:pic>
      <xdr:nvPicPr>
        <xdr:cNvPr id="13" name="Immagine 12">
          <a:extLst>
            <a:ext uri="{FF2B5EF4-FFF2-40B4-BE49-F238E27FC236}">
              <a16:creationId xmlns:a16="http://schemas.microsoft.com/office/drawing/2014/main" id="{CF27CBF8-4031-41C8-8121-987E07CD67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24616928"/>
          <a:ext cx="1313033" cy="928256"/>
        </a:xfrm>
        <a:prstGeom prst="rect">
          <a:avLst/>
        </a:prstGeom>
      </xdr:spPr>
    </xdr:pic>
    <xdr:clientData/>
  </xdr:oneCellAnchor>
  <xdr:oneCellAnchor>
    <xdr:from>
      <xdr:col>0</xdr:col>
      <xdr:colOff>90054</xdr:colOff>
      <xdr:row>623</xdr:row>
      <xdr:rowOff>90053</xdr:rowOff>
    </xdr:from>
    <xdr:ext cx="1313033" cy="928256"/>
    <xdr:pic>
      <xdr:nvPicPr>
        <xdr:cNvPr id="14" name="Immagine 13">
          <a:extLst>
            <a:ext uri="{FF2B5EF4-FFF2-40B4-BE49-F238E27FC236}">
              <a16:creationId xmlns:a16="http://schemas.microsoft.com/office/drawing/2014/main" id="{2A1FE449-67F5-47F0-9208-B30FD85900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42790628"/>
          <a:ext cx="1313033" cy="928256"/>
        </a:xfrm>
        <a:prstGeom prst="rect">
          <a:avLst/>
        </a:prstGeom>
      </xdr:spPr>
    </xdr:pic>
    <xdr:clientData/>
  </xdr:oneCellAnchor>
  <xdr:twoCellAnchor>
    <xdr:from>
      <xdr:col>21</xdr:col>
      <xdr:colOff>0</xdr:colOff>
      <xdr:row>179</xdr:row>
      <xdr:rowOff>0</xdr:rowOff>
    </xdr:from>
    <xdr:to>
      <xdr:col>30</xdr:col>
      <xdr:colOff>21264</xdr:colOff>
      <xdr:row>180</xdr:row>
      <xdr:rowOff>56170</xdr:rowOff>
    </xdr:to>
    <xdr:sp macro="" textlink="">
      <xdr:nvSpPr>
        <xdr:cNvPr id="19" name="rect 16">
          <a:extLst>
            <a:ext uri="{FF2B5EF4-FFF2-40B4-BE49-F238E27FC236}">
              <a16:creationId xmlns:a16="http://schemas.microsoft.com/office/drawing/2014/main" id="{B482DDCB-01A2-48DA-8EC7-40FDD823E6C5}"/>
            </a:ext>
          </a:extLst>
        </xdr:cNvPr>
        <xdr:cNvSpPr/>
      </xdr:nvSpPr>
      <xdr:spPr>
        <a:xfrm>
          <a:off x="4048125" y="2472690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13189">
              <a:srgbClr val="FFFF62"/>
            </a:gs>
            <a:gs pos="13189">
              <a:srgbClr val="00FF00"/>
            </a:gs>
            <a:gs pos="52565">
              <a:srgbClr val="00FF00"/>
            </a:gs>
            <a:gs pos="5256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178</xdr:row>
      <xdr:rowOff>0</xdr:rowOff>
    </xdr:from>
    <xdr:to>
      <xdr:col>31</xdr:col>
      <xdr:colOff>7302</xdr:colOff>
      <xdr:row>182</xdr:row>
      <xdr:rowOff>4483</xdr:rowOff>
    </xdr:to>
    <xdr:graphicFrame macro="">
      <xdr:nvGraphicFramePr>
        <xdr:cNvPr id="21" name="Grafico 16">
          <a:extLst>
            <a:ext uri="{FF2B5EF4-FFF2-40B4-BE49-F238E27FC236}">
              <a16:creationId xmlns:a16="http://schemas.microsoft.com/office/drawing/2014/main" id="{6A1C1D97-CB3B-4DA4-B159-DEC6CBCB9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184</xdr:row>
      <xdr:rowOff>0</xdr:rowOff>
    </xdr:from>
    <xdr:to>
      <xdr:col>30</xdr:col>
      <xdr:colOff>21264</xdr:colOff>
      <xdr:row>185</xdr:row>
      <xdr:rowOff>56170</xdr:rowOff>
    </xdr:to>
    <xdr:sp macro="" textlink="">
      <xdr:nvSpPr>
        <xdr:cNvPr id="23" name="rect 17">
          <a:extLst>
            <a:ext uri="{FF2B5EF4-FFF2-40B4-BE49-F238E27FC236}">
              <a16:creationId xmlns:a16="http://schemas.microsoft.com/office/drawing/2014/main" id="{C6C530E0-A6F3-406F-9F19-1B5F5C574D3B}"/>
            </a:ext>
          </a:extLst>
        </xdr:cNvPr>
        <xdr:cNvSpPr/>
      </xdr:nvSpPr>
      <xdr:spPr>
        <a:xfrm>
          <a:off x="4048125" y="2515552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24593">
              <a:srgbClr val="FFFF62"/>
            </a:gs>
            <a:gs pos="24593">
              <a:srgbClr val="00FF00"/>
            </a:gs>
            <a:gs pos="69552">
              <a:srgbClr val="00FF00"/>
            </a:gs>
            <a:gs pos="6955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183</xdr:row>
      <xdr:rowOff>0</xdr:rowOff>
    </xdr:from>
    <xdr:to>
      <xdr:col>31</xdr:col>
      <xdr:colOff>7302</xdr:colOff>
      <xdr:row>187</xdr:row>
      <xdr:rowOff>4483</xdr:rowOff>
    </xdr:to>
    <xdr:graphicFrame macro="">
      <xdr:nvGraphicFramePr>
        <xdr:cNvPr id="25" name="Grafico 17">
          <a:extLst>
            <a:ext uri="{FF2B5EF4-FFF2-40B4-BE49-F238E27FC236}">
              <a16:creationId xmlns:a16="http://schemas.microsoft.com/office/drawing/2014/main" id="{71BE80CB-8439-496D-A550-7198E0AE3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189</xdr:row>
      <xdr:rowOff>0</xdr:rowOff>
    </xdr:from>
    <xdr:to>
      <xdr:col>30</xdr:col>
      <xdr:colOff>21264</xdr:colOff>
      <xdr:row>190</xdr:row>
      <xdr:rowOff>56170</xdr:rowOff>
    </xdr:to>
    <xdr:sp macro="" textlink="">
      <xdr:nvSpPr>
        <xdr:cNvPr id="27" name="rect 18">
          <a:extLst>
            <a:ext uri="{FF2B5EF4-FFF2-40B4-BE49-F238E27FC236}">
              <a16:creationId xmlns:a16="http://schemas.microsoft.com/office/drawing/2014/main" id="{AC45126C-9A66-45DE-808D-A960E88C7AA2}"/>
            </a:ext>
          </a:extLst>
        </xdr:cNvPr>
        <xdr:cNvSpPr/>
      </xdr:nvSpPr>
      <xdr:spPr>
        <a:xfrm>
          <a:off x="4048125" y="2558415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28844">
              <a:srgbClr val="FFFF62"/>
            </a:gs>
            <a:gs pos="28844">
              <a:srgbClr val="00FF00"/>
            </a:gs>
            <a:gs pos="70310">
              <a:srgbClr val="00FF00"/>
            </a:gs>
            <a:gs pos="7031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188</xdr:row>
      <xdr:rowOff>0</xdr:rowOff>
    </xdr:from>
    <xdr:to>
      <xdr:col>31</xdr:col>
      <xdr:colOff>7302</xdr:colOff>
      <xdr:row>192</xdr:row>
      <xdr:rowOff>4483</xdr:rowOff>
    </xdr:to>
    <xdr:graphicFrame macro="">
      <xdr:nvGraphicFramePr>
        <xdr:cNvPr id="29" name="Grafico 18">
          <a:extLst>
            <a:ext uri="{FF2B5EF4-FFF2-40B4-BE49-F238E27FC236}">
              <a16:creationId xmlns:a16="http://schemas.microsoft.com/office/drawing/2014/main" id="{0B0682F8-ED27-4518-9189-FD419A8AA5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21</xdr:col>
      <xdr:colOff>0</xdr:colOff>
      <xdr:row>194</xdr:row>
      <xdr:rowOff>0</xdr:rowOff>
    </xdr:from>
    <xdr:to>
      <xdr:col>30</xdr:col>
      <xdr:colOff>21264</xdr:colOff>
      <xdr:row>195</xdr:row>
      <xdr:rowOff>56170</xdr:rowOff>
    </xdr:to>
    <xdr:sp macro="" textlink="">
      <xdr:nvSpPr>
        <xdr:cNvPr id="31" name="rect 19">
          <a:extLst>
            <a:ext uri="{FF2B5EF4-FFF2-40B4-BE49-F238E27FC236}">
              <a16:creationId xmlns:a16="http://schemas.microsoft.com/office/drawing/2014/main" id="{A4C4D93B-802C-4F61-BF38-F10261275D57}"/>
            </a:ext>
          </a:extLst>
        </xdr:cNvPr>
        <xdr:cNvSpPr/>
      </xdr:nvSpPr>
      <xdr:spPr>
        <a:xfrm>
          <a:off x="4048125" y="26012775"/>
          <a:ext cx="2935914" cy="132370"/>
        </a:xfrm>
        <a:prstGeom prst="roundRect">
          <a:avLst>
            <a:gd name="adj" fmla="val 50000"/>
          </a:avLst>
        </a:prstGeom>
        <a:gradFill flip="none" rotWithShape="1">
          <a:gsLst>
            <a:gs pos="0">
              <a:srgbClr val="FFFF62"/>
            </a:gs>
            <a:gs pos="100000">
              <a:srgbClr val="FF0000"/>
            </a:gs>
            <a:gs pos="19638">
              <a:srgbClr val="FFFF62"/>
            </a:gs>
            <a:gs pos="19638">
              <a:srgbClr val="00FF00"/>
            </a:gs>
            <a:gs pos="56132">
              <a:srgbClr val="00FF00"/>
            </a:gs>
            <a:gs pos="5613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193</xdr:row>
      <xdr:rowOff>0</xdr:rowOff>
    </xdr:from>
    <xdr:to>
      <xdr:col>31</xdr:col>
      <xdr:colOff>7302</xdr:colOff>
      <xdr:row>197</xdr:row>
      <xdr:rowOff>4483</xdr:rowOff>
    </xdr:to>
    <xdr:graphicFrame macro="">
      <xdr:nvGraphicFramePr>
        <xdr:cNvPr id="33" name="Grafico 19">
          <a:extLst>
            <a:ext uri="{FF2B5EF4-FFF2-40B4-BE49-F238E27FC236}">
              <a16:creationId xmlns:a16="http://schemas.microsoft.com/office/drawing/2014/main" id="{8456E807-5AE5-47AB-BC7C-E17D4FA5E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0</xdr:colOff>
      <xdr:row>200</xdr:row>
      <xdr:rowOff>0</xdr:rowOff>
    </xdr:from>
    <xdr:to>
      <xdr:col>30</xdr:col>
      <xdr:colOff>21264</xdr:colOff>
      <xdr:row>201</xdr:row>
      <xdr:rowOff>56170</xdr:rowOff>
    </xdr:to>
    <xdr:sp macro="" textlink="">
      <xdr:nvSpPr>
        <xdr:cNvPr id="35" name="rect 20">
          <a:extLst>
            <a:ext uri="{FF2B5EF4-FFF2-40B4-BE49-F238E27FC236}">
              <a16:creationId xmlns:a16="http://schemas.microsoft.com/office/drawing/2014/main" id="{E4270E55-1D4C-498E-8318-18F2D0B267CF}"/>
            </a:ext>
          </a:extLst>
        </xdr:cNvPr>
        <xdr:cNvSpPr/>
      </xdr:nvSpPr>
      <xdr:spPr>
        <a:xfrm>
          <a:off x="4048125" y="2663190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20078">
              <a:srgbClr val="FFFF62"/>
            </a:gs>
            <a:gs pos="20078">
              <a:srgbClr val="00FF00"/>
            </a:gs>
            <a:gs pos="68680">
              <a:srgbClr val="00FF00"/>
            </a:gs>
            <a:gs pos="6868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205</xdr:row>
      <xdr:rowOff>0</xdr:rowOff>
    </xdr:from>
    <xdr:to>
      <xdr:col>30</xdr:col>
      <xdr:colOff>21264</xdr:colOff>
      <xdr:row>206</xdr:row>
      <xdr:rowOff>56170</xdr:rowOff>
    </xdr:to>
    <xdr:sp macro="" textlink="">
      <xdr:nvSpPr>
        <xdr:cNvPr id="42" name="rect 21">
          <a:extLst>
            <a:ext uri="{FF2B5EF4-FFF2-40B4-BE49-F238E27FC236}">
              <a16:creationId xmlns:a16="http://schemas.microsoft.com/office/drawing/2014/main" id="{C71A1C7B-40D4-4553-A30D-84CF4B373B67}"/>
            </a:ext>
          </a:extLst>
        </xdr:cNvPr>
        <xdr:cNvSpPr/>
      </xdr:nvSpPr>
      <xdr:spPr>
        <a:xfrm>
          <a:off x="4048125" y="2706052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13189">
              <a:srgbClr val="FFFF62"/>
            </a:gs>
            <a:gs pos="13189">
              <a:srgbClr val="00FF00"/>
            </a:gs>
            <a:gs pos="52565">
              <a:srgbClr val="00FF00"/>
            </a:gs>
            <a:gs pos="5256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210</xdr:row>
      <xdr:rowOff>0</xdr:rowOff>
    </xdr:from>
    <xdr:to>
      <xdr:col>30</xdr:col>
      <xdr:colOff>21264</xdr:colOff>
      <xdr:row>211</xdr:row>
      <xdr:rowOff>56170</xdr:rowOff>
    </xdr:to>
    <xdr:sp macro="" textlink="">
      <xdr:nvSpPr>
        <xdr:cNvPr id="46" name="rect 22">
          <a:extLst>
            <a:ext uri="{FF2B5EF4-FFF2-40B4-BE49-F238E27FC236}">
              <a16:creationId xmlns:a16="http://schemas.microsoft.com/office/drawing/2014/main" id="{B77295C8-023D-43E9-B58B-CE4BFD678951}"/>
            </a:ext>
          </a:extLst>
        </xdr:cNvPr>
        <xdr:cNvSpPr/>
      </xdr:nvSpPr>
      <xdr:spPr>
        <a:xfrm>
          <a:off x="4048125" y="27489150"/>
          <a:ext cx="2935914" cy="132370"/>
        </a:xfrm>
        <a:prstGeom prst="roundRect">
          <a:avLst>
            <a:gd name="adj" fmla="val 50000"/>
          </a:avLst>
        </a:prstGeom>
        <a:gradFill flip="none" rotWithShape="1">
          <a:gsLst>
            <a:gs pos="0">
              <a:srgbClr val="FFFF62"/>
            </a:gs>
            <a:gs pos="100000">
              <a:srgbClr val="FF0000"/>
            </a:gs>
            <a:gs pos="46346">
              <a:srgbClr val="FFFF62"/>
            </a:gs>
            <a:gs pos="46346">
              <a:srgbClr val="00FF00"/>
            </a:gs>
            <a:gs pos="92896">
              <a:srgbClr val="00FF00"/>
            </a:gs>
            <a:gs pos="9289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209</xdr:row>
      <xdr:rowOff>0</xdr:rowOff>
    </xdr:from>
    <xdr:to>
      <xdr:col>31</xdr:col>
      <xdr:colOff>7302</xdr:colOff>
      <xdr:row>213</xdr:row>
      <xdr:rowOff>4483</xdr:rowOff>
    </xdr:to>
    <xdr:graphicFrame macro="">
      <xdr:nvGraphicFramePr>
        <xdr:cNvPr id="48" name="Grafico 22">
          <a:extLst>
            <a:ext uri="{FF2B5EF4-FFF2-40B4-BE49-F238E27FC236}">
              <a16:creationId xmlns:a16="http://schemas.microsoft.com/office/drawing/2014/main" id="{148883FE-05EA-4F76-A513-16E2EA4537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0</xdr:colOff>
      <xdr:row>215</xdr:row>
      <xdr:rowOff>0</xdr:rowOff>
    </xdr:from>
    <xdr:to>
      <xdr:col>30</xdr:col>
      <xdr:colOff>21264</xdr:colOff>
      <xdr:row>216</xdr:row>
      <xdr:rowOff>56170</xdr:rowOff>
    </xdr:to>
    <xdr:sp macro="" textlink="">
      <xdr:nvSpPr>
        <xdr:cNvPr id="50" name="rect 23">
          <a:extLst>
            <a:ext uri="{FF2B5EF4-FFF2-40B4-BE49-F238E27FC236}">
              <a16:creationId xmlns:a16="http://schemas.microsoft.com/office/drawing/2014/main" id="{CC2D38AC-308D-45EF-8061-EA75C8FACC08}"/>
            </a:ext>
          </a:extLst>
        </xdr:cNvPr>
        <xdr:cNvSpPr/>
      </xdr:nvSpPr>
      <xdr:spPr>
        <a:xfrm>
          <a:off x="4048125" y="27917775"/>
          <a:ext cx="2935914" cy="132370"/>
        </a:xfrm>
        <a:prstGeom prst="roundRect">
          <a:avLst>
            <a:gd name="adj" fmla="val 50000"/>
          </a:avLst>
        </a:prstGeom>
        <a:gradFill flip="none" rotWithShape="1">
          <a:gsLst>
            <a:gs pos="0">
              <a:srgbClr val="FFFF62"/>
            </a:gs>
            <a:gs pos="100000">
              <a:srgbClr val="FF0000"/>
            </a:gs>
            <a:gs pos="12843">
              <a:srgbClr val="FFFF62"/>
            </a:gs>
            <a:gs pos="12843">
              <a:srgbClr val="00FF00"/>
            </a:gs>
            <a:gs pos="52871">
              <a:srgbClr val="00FF00"/>
            </a:gs>
            <a:gs pos="5287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214</xdr:row>
      <xdr:rowOff>0</xdr:rowOff>
    </xdr:from>
    <xdr:to>
      <xdr:col>31</xdr:col>
      <xdr:colOff>7302</xdr:colOff>
      <xdr:row>218</xdr:row>
      <xdr:rowOff>4483</xdr:rowOff>
    </xdr:to>
    <xdr:graphicFrame macro="">
      <xdr:nvGraphicFramePr>
        <xdr:cNvPr id="52" name="Grafico 23">
          <a:extLst>
            <a:ext uri="{FF2B5EF4-FFF2-40B4-BE49-F238E27FC236}">
              <a16:creationId xmlns:a16="http://schemas.microsoft.com/office/drawing/2014/main" id="{B96D324D-91D4-488A-909F-A08D546BA2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0</xdr:colOff>
      <xdr:row>220</xdr:row>
      <xdr:rowOff>0</xdr:rowOff>
    </xdr:from>
    <xdr:to>
      <xdr:col>30</xdr:col>
      <xdr:colOff>21264</xdr:colOff>
      <xdr:row>221</xdr:row>
      <xdr:rowOff>56170</xdr:rowOff>
    </xdr:to>
    <xdr:sp macro="" textlink="">
      <xdr:nvSpPr>
        <xdr:cNvPr id="54" name="rect 24">
          <a:extLst>
            <a:ext uri="{FF2B5EF4-FFF2-40B4-BE49-F238E27FC236}">
              <a16:creationId xmlns:a16="http://schemas.microsoft.com/office/drawing/2014/main" id="{D0CAB475-C789-4293-BE7B-8579AD6B6FE6}"/>
            </a:ext>
          </a:extLst>
        </xdr:cNvPr>
        <xdr:cNvSpPr/>
      </xdr:nvSpPr>
      <xdr:spPr>
        <a:xfrm>
          <a:off x="4048125" y="2834640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32000">
              <a:srgbClr val="FFFF62"/>
            </a:gs>
            <a:gs pos="32000">
              <a:srgbClr val="00FF00"/>
            </a:gs>
            <a:gs pos="50100">
              <a:srgbClr val="00FF00"/>
            </a:gs>
            <a:gs pos="501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219</xdr:row>
      <xdr:rowOff>0</xdr:rowOff>
    </xdr:from>
    <xdr:to>
      <xdr:col>31</xdr:col>
      <xdr:colOff>7302</xdr:colOff>
      <xdr:row>223</xdr:row>
      <xdr:rowOff>4483</xdr:rowOff>
    </xdr:to>
    <xdr:graphicFrame macro="">
      <xdr:nvGraphicFramePr>
        <xdr:cNvPr id="56" name="Grafico 24">
          <a:extLst>
            <a:ext uri="{FF2B5EF4-FFF2-40B4-BE49-F238E27FC236}">
              <a16:creationId xmlns:a16="http://schemas.microsoft.com/office/drawing/2014/main" id="{F7B1F81E-B83A-4FBA-BC30-DA1957DF33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0</xdr:colOff>
      <xdr:row>225</xdr:row>
      <xdr:rowOff>0</xdr:rowOff>
    </xdr:from>
    <xdr:to>
      <xdr:col>30</xdr:col>
      <xdr:colOff>21264</xdr:colOff>
      <xdr:row>226</xdr:row>
      <xdr:rowOff>56170</xdr:rowOff>
    </xdr:to>
    <xdr:sp macro="" textlink="">
      <xdr:nvSpPr>
        <xdr:cNvPr id="58" name="rect 25">
          <a:extLst>
            <a:ext uri="{FF2B5EF4-FFF2-40B4-BE49-F238E27FC236}">
              <a16:creationId xmlns:a16="http://schemas.microsoft.com/office/drawing/2014/main" id="{3AE69EC1-1198-467E-9A4D-469741706075}"/>
            </a:ext>
          </a:extLst>
        </xdr:cNvPr>
        <xdr:cNvSpPr/>
      </xdr:nvSpPr>
      <xdr:spPr>
        <a:xfrm>
          <a:off x="4048125" y="2877502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13189">
              <a:srgbClr val="FFFF62"/>
            </a:gs>
            <a:gs pos="13189">
              <a:srgbClr val="00FF00"/>
            </a:gs>
            <a:gs pos="52565">
              <a:srgbClr val="00FF00"/>
            </a:gs>
            <a:gs pos="5256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224</xdr:row>
      <xdr:rowOff>0</xdr:rowOff>
    </xdr:from>
    <xdr:to>
      <xdr:col>31</xdr:col>
      <xdr:colOff>7302</xdr:colOff>
      <xdr:row>228</xdr:row>
      <xdr:rowOff>4483</xdr:rowOff>
    </xdr:to>
    <xdr:graphicFrame macro="">
      <xdr:nvGraphicFramePr>
        <xdr:cNvPr id="60" name="Grafico 25">
          <a:extLst>
            <a:ext uri="{FF2B5EF4-FFF2-40B4-BE49-F238E27FC236}">
              <a16:creationId xmlns:a16="http://schemas.microsoft.com/office/drawing/2014/main" id="{DB14B29B-3314-454E-8325-AF8249829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230</xdr:row>
      <xdr:rowOff>0</xdr:rowOff>
    </xdr:from>
    <xdr:to>
      <xdr:col>30</xdr:col>
      <xdr:colOff>21264</xdr:colOff>
      <xdr:row>231</xdr:row>
      <xdr:rowOff>56170</xdr:rowOff>
    </xdr:to>
    <xdr:sp macro="" textlink="">
      <xdr:nvSpPr>
        <xdr:cNvPr id="62" name="rect 26">
          <a:extLst>
            <a:ext uri="{FF2B5EF4-FFF2-40B4-BE49-F238E27FC236}">
              <a16:creationId xmlns:a16="http://schemas.microsoft.com/office/drawing/2014/main" id="{C797C88C-C1A1-4718-8AF2-63439E4D7EDC}"/>
            </a:ext>
          </a:extLst>
        </xdr:cNvPr>
        <xdr:cNvSpPr/>
      </xdr:nvSpPr>
      <xdr:spPr>
        <a:xfrm>
          <a:off x="4048125" y="2920365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21000">
              <a:srgbClr val="FFFF62"/>
            </a:gs>
            <a:gs pos="21000">
              <a:srgbClr val="00FF00"/>
            </a:gs>
            <a:gs pos="48011">
              <a:srgbClr val="00FF00"/>
            </a:gs>
            <a:gs pos="4801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229</xdr:row>
      <xdr:rowOff>0</xdr:rowOff>
    </xdr:from>
    <xdr:to>
      <xdr:col>31</xdr:col>
      <xdr:colOff>7302</xdr:colOff>
      <xdr:row>232</xdr:row>
      <xdr:rowOff>71158</xdr:rowOff>
    </xdr:to>
    <xdr:graphicFrame macro="">
      <xdr:nvGraphicFramePr>
        <xdr:cNvPr id="449" name="Grafico 26">
          <a:extLst>
            <a:ext uri="{FF2B5EF4-FFF2-40B4-BE49-F238E27FC236}">
              <a16:creationId xmlns:a16="http://schemas.microsoft.com/office/drawing/2014/main" id="{25541DCF-4AB2-41EC-ABBE-772B010F61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21</xdr:col>
      <xdr:colOff>0</xdr:colOff>
      <xdr:row>235</xdr:row>
      <xdr:rowOff>0</xdr:rowOff>
    </xdr:from>
    <xdr:to>
      <xdr:col>30</xdr:col>
      <xdr:colOff>21264</xdr:colOff>
      <xdr:row>236</xdr:row>
      <xdr:rowOff>56170</xdr:rowOff>
    </xdr:to>
    <xdr:sp macro="" textlink="">
      <xdr:nvSpPr>
        <xdr:cNvPr id="453" name="rect 27">
          <a:extLst>
            <a:ext uri="{FF2B5EF4-FFF2-40B4-BE49-F238E27FC236}">
              <a16:creationId xmlns:a16="http://schemas.microsoft.com/office/drawing/2014/main" id="{D14EC22F-9C0E-405D-8AD5-DE253BD626A7}"/>
            </a:ext>
          </a:extLst>
        </xdr:cNvPr>
        <xdr:cNvSpPr/>
      </xdr:nvSpPr>
      <xdr:spPr>
        <a:xfrm>
          <a:off x="4048125" y="29641800"/>
          <a:ext cx="2935914" cy="132370"/>
        </a:xfrm>
        <a:prstGeom prst="roundRect">
          <a:avLst>
            <a:gd name="adj" fmla="val 50000"/>
          </a:avLst>
        </a:prstGeom>
        <a:gradFill flip="none" rotWithShape="1">
          <a:gsLst>
            <a:gs pos="0">
              <a:srgbClr val="FFFF62"/>
            </a:gs>
            <a:gs pos="100000">
              <a:srgbClr val="FF0000"/>
            </a:gs>
            <a:gs pos="11002">
              <a:srgbClr val="FFFF62"/>
            </a:gs>
            <a:gs pos="11002">
              <a:srgbClr val="00FF00"/>
            </a:gs>
            <a:gs pos="67000">
              <a:srgbClr val="00FF00"/>
            </a:gs>
            <a:gs pos="67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234</xdr:row>
      <xdr:rowOff>0</xdr:rowOff>
    </xdr:from>
    <xdr:to>
      <xdr:col>31</xdr:col>
      <xdr:colOff>7302</xdr:colOff>
      <xdr:row>238</xdr:row>
      <xdr:rowOff>4483</xdr:rowOff>
    </xdr:to>
    <xdr:graphicFrame macro="">
      <xdr:nvGraphicFramePr>
        <xdr:cNvPr id="455" name="Grafico 27">
          <a:extLst>
            <a:ext uri="{FF2B5EF4-FFF2-40B4-BE49-F238E27FC236}">
              <a16:creationId xmlns:a16="http://schemas.microsoft.com/office/drawing/2014/main" id="{9A49F4A3-6543-48FE-95BC-AB47E50D5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0</xdr:colOff>
      <xdr:row>240</xdr:row>
      <xdr:rowOff>0</xdr:rowOff>
    </xdr:from>
    <xdr:to>
      <xdr:col>30</xdr:col>
      <xdr:colOff>21264</xdr:colOff>
      <xdr:row>241</xdr:row>
      <xdr:rowOff>56170</xdr:rowOff>
    </xdr:to>
    <xdr:sp macro="" textlink="">
      <xdr:nvSpPr>
        <xdr:cNvPr id="459" name="rect 28">
          <a:extLst>
            <a:ext uri="{FF2B5EF4-FFF2-40B4-BE49-F238E27FC236}">
              <a16:creationId xmlns:a16="http://schemas.microsoft.com/office/drawing/2014/main" id="{85A23EF7-E789-42D4-8340-3E2A7AB0DC7A}"/>
            </a:ext>
          </a:extLst>
        </xdr:cNvPr>
        <xdr:cNvSpPr/>
      </xdr:nvSpPr>
      <xdr:spPr>
        <a:xfrm>
          <a:off x="4048125" y="3007042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20078">
              <a:srgbClr val="FFFF62"/>
            </a:gs>
            <a:gs pos="20078">
              <a:srgbClr val="00FF00"/>
            </a:gs>
            <a:gs pos="68680">
              <a:srgbClr val="00FF00"/>
            </a:gs>
            <a:gs pos="6868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239</xdr:row>
      <xdr:rowOff>0</xdr:rowOff>
    </xdr:from>
    <xdr:to>
      <xdr:col>31</xdr:col>
      <xdr:colOff>7302</xdr:colOff>
      <xdr:row>243</xdr:row>
      <xdr:rowOff>4483</xdr:rowOff>
    </xdr:to>
    <xdr:graphicFrame macro="">
      <xdr:nvGraphicFramePr>
        <xdr:cNvPr id="463" name="Grafico 28">
          <a:extLst>
            <a:ext uri="{FF2B5EF4-FFF2-40B4-BE49-F238E27FC236}">
              <a16:creationId xmlns:a16="http://schemas.microsoft.com/office/drawing/2014/main" id="{8C73B97F-C660-4789-89BD-D9C72AEEE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0</xdr:colOff>
      <xdr:row>325</xdr:row>
      <xdr:rowOff>0</xdr:rowOff>
    </xdr:from>
    <xdr:to>
      <xdr:col>30</xdr:col>
      <xdr:colOff>21264</xdr:colOff>
      <xdr:row>326</xdr:row>
      <xdr:rowOff>56170</xdr:rowOff>
    </xdr:to>
    <xdr:sp macro="" textlink="">
      <xdr:nvSpPr>
        <xdr:cNvPr id="467" name="rect 29">
          <a:extLst>
            <a:ext uri="{FF2B5EF4-FFF2-40B4-BE49-F238E27FC236}">
              <a16:creationId xmlns:a16="http://schemas.microsoft.com/office/drawing/2014/main" id="{24E594E9-90B1-465E-8F60-A2C069CE2A83}"/>
            </a:ext>
          </a:extLst>
        </xdr:cNvPr>
        <xdr:cNvSpPr/>
      </xdr:nvSpPr>
      <xdr:spPr>
        <a:xfrm>
          <a:off x="4048125" y="44081700"/>
          <a:ext cx="2935914" cy="132370"/>
        </a:xfrm>
        <a:prstGeom prst="roundRect">
          <a:avLst>
            <a:gd name="adj" fmla="val 50000"/>
          </a:avLst>
        </a:prstGeom>
        <a:gradFill flip="none" rotWithShape="1">
          <a:gsLst>
            <a:gs pos="0">
              <a:srgbClr val="FFFF62"/>
            </a:gs>
            <a:gs pos="100000">
              <a:srgbClr val="FF0000"/>
            </a:gs>
            <a:gs pos="26397">
              <a:srgbClr val="FFFF62"/>
            </a:gs>
            <a:gs pos="26397">
              <a:srgbClr val="00FF00"/>
            </a:gs>
            <a:gs pos="59568">
              <a:srgbClr val="00FF00"/>
            </a:gs>
            <a:gs pos="5956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324</xdr:row>
      <xdr:rowOff>0</xdr:rowOff>
    </xdr:from>
    <xdr:to>
      <xdr:col>31</xdr:col>
      <xdr:colOff>7302</xdr:colOff>
      <xdr:row>328</xdr:row>
      <xdr:rowOff>4483</xdr:rowOff>
    </xdr:to>
    <xdr:graphicFrame macro="">
      <xdr:nvGraphicFramePr>
        <xdr:cNvPr id="471" name="Grafico 29">
          <a:extLst>
            <a:ext uri="{FF2B5EF4-FFF2-40B4-BE49-F238E27FC236}">
              <a16:creationId xmlns:a16="http://schemas.microsoft.com/office/drawing/2014/main" id="{1FBCCD50-1134-4829-8B0D-6D926D424E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21</xdr:col>
      <xdr:colOff>0</xdr:colOff>
      <xdr:row>330</xdr:row>
      <xdr:rowOff>0</xdr:rowOff>
    </xdr:from>
    <xdr:to>
      <xdr:col>30</xdr:col>
      <xdr:colOff>21264</xdr:colOff>
      <xdr:row>331</xdr:row>
      <xdr:rowOff>56170</xdr:rowOff>
    </xdr:to>
    <xdr:sp macro="" textlink="">
      <xdr:nvSpPr>
        <xdr:cNvPr id="475" name="rect 30">
          <a:extLst>
            <a:ext uri="{FF2B5EF4-FFF2-40B4-BE49-F238E27FC236}">
              <a16:creationId xmlns:a16="http://schemas.microsoft.com/office/drawing/2014/main" id="{AB8A47AE-4EB8-4AF8-A909-479BDBA9F339}"/>
            </a:ext>
          </a:extLst>
        </xdr:cNvPr>
        <xdr:cNvSpPr/>
      </xdr:nvSpPr>
      <xdr:spPr>
        <a:xfrm>
          <a:off x="4048125" y="44510325"/>
          <a:ext cx="2935914" cy="132370"/>
        </a:xfrm>
        <a:prstGeom prst="roundRect">
          <a:avLst>
            <a:gd name="adj" fmla="val 50000"/>
          </a:avLst>
        </a:prstGeom>
        <a:gradFill flip="none" rotWithShape="1">
          <a:gsLst>
            <a:gs pos="0">
              <a:srgbClr val="FFFF62"/>
            </a:gs>
            <a:gs pos="100000">
              <a:srgbClr val="FF0000"/>
            </a:gs>
            <a:gs pos="9757">
              <a:srgbClr val="FFFF62"/>
            </a:gs>
            <a:gs pos="9757">
              <a:srgbClr val="00FF00"/>
            </a:gs>
            <a:gs pos="52338">
              <a:srgbClr val="00FF00"/>
            </a:gs>
            <a:gs pos="5233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329</xdr:row>
      <xdr:rowOff>0</xdr:rowOff>
    </xdr:from>
    <xdr:to>
      <xdr:col>31</xdr:col>
      <xdr:colOff>7302</xdr:colOff>
      <xdr:row>333</xdr:row>
      <xdr:rowOff>4483</xdr:rowOff>
    </xdr:to>
    <xdr:graphicFrame macro="">
      <xdr:nvGraphicFramePr>
        <xdr:cNvPr id="479" name="Grafico 30">
          <a:extLst>
            <a:ext uri="{FF2B5EF4-FFF2-40B4-BE49-F238E27FC236}">
              <a16:creationId xmlns:a16="http://schemas.microsoft.com/office/drawing/2014/main" id="{1A3EA56E-E73C-46D9-A8C0-74F587271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21</xdr:col>
      <xdr:colOff>0</xdr:colOff>
      <xdr:row>335</xdr:row>
      <xdr:rowOff>0</xdr:rowOff>
    </xdr:from>
    <xdr:to>
      <xdr:col>30</xdr:col>
      <xdr:colOff>21264</xdr:colOff>
      <xdr:row>336</xdr:row>
      <xdr:rowOff>56170</xdr:rowOff>
    </xdr:to>
    <xdr:sp macro="" textlink="">
      <xdr:nvSpPr>
        <xdr:cNvPr id="482" name="rect 31">
          <a:extLst>
            <a:ext uri="{FF2B5EF4-FFF2-40B4-BE49-F238E27FC236}">
              <a16:creationId xmlns:a16="http://schemas.microsoft.com/office/drawing/2014/main" id="{A9940D0C-DC8F-4569-AF20-8CFB1E6BFFF3}"/>
            </a:ext>
          </a:extLst>
        </xdr:cNvPr>
        <xdr:cNvSpPr/>
      </xdr:nvSpPr>
      <xdr:spPr>
        <a:xfrm>
          <a:off x="4048125" y="44938950"/>
          <a:ext cx="2935914" cy="132370"/>
        </a:xfrm>
        <a:prstGeom prst="roundRect">
          <a:avLst>
            <a:gd name="adj" fmla="val 50000"/>
          </a:avLst>
        </a:prstGeom>
        <a:gradFill flip="none" rotWithShape="1">
          <a:gsLst>
            <a:gs pos="0">
              <a:srgbClr val="FFFF62"/>
            </a:gs>
            <a:gs pos="100000">
              <a:srgbClr val="FF0000"/>
            </a:gs>
            <a:gs pos="14018">
              <a:srgbClr val="FFFF62"/>
            </a:gs>
            <a:gs pos="14018">
              <a:srgbClr val="00FF00"/>
            </a:gs>
            <a:gs pos="55714">
              <a:srgbClr val="00FF00"/>
            </a:gs>
            <a:gs pos="5571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334</xdr:row>
      <xdr:rowOff>0</xdr:rowOff>
    </xdr:from>
    <xdr:to>
      <xdr:col>31</xdr:col>
      <xdr:colOff>7302</xdr:colOff>
      <xdr:row>338</xdr:row>
      <xdr:rowOff>4483</xdr:rowOff>
    </xdr:to>
    <xdr:graphicFrame macro="">
      <xdr:nvGraphicFramePr>
        <xdr:cNvPr id="485" name="Grafico 31">
          <a:extLst>
            <a:ext uri="{FF2B5EF4-FFF2-40B4-BE49-F238E27FC236}">
              <a16:creationId xmlns:a16="http://schemas.microsoft.com/office/drawing/2014/main" id="{6FFBE848-5990-475F-9BC0-2641F1830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21</xdr:col>
      <xdr:colOff>0</xdr:colOff>
      <xdr:row>340</xdr:row>
      <xdr:rowOff>0</xdr:rowOff>
    </xdr:from>
    <xdr:to>
      <xdr:col>30</xdr:col>
      <xdr:colOff>21264</xdr:colOff>
      <xdr:row>341</xdr:row>
      <xdr:rowOff>56170</xdr:rowOff>
    </xdr:to>
    <xdr:sp macro="" textlink="">
      <xdr:nvSpPr>
        <xdr:cNvPr id="489" name="rect 32">
          <a:extLst>
            <a:ext uri="{FF2B5EF4-FFF2-40B4-BE49-F238E27FC236}">
              <a16:creationId xmlns:a16="http://schemas.microsoft.com/office/drawing/2014/main" id="{681DD135-A26C-432A-93CB-CEA608D4AA6F}"/>
            </a:ext>
          </a:extLst>
        </xdr:cNvPr>
        <xdr:cNvSpPr/>
      </xdr:nvSpPr>
      <xdr:spPr>
        <a:xfrm>
          <a:off x="4048125" y="45367575"/>
          <a:ext cx="2935914" cy="132370"/>
        </a:xfrm>
        <a:prstGeom prst="roundRect">
          <a:avLst>
            <a:gd name="adj" fmla="val 50000"/>
          </a:avLst>
        </a:prstGeom>
        <a:gradFill flip="none" rotWithShape="1">
          <a:gsLst>
            <a:gs pos="0">
              <a:srgbClr val="FFFF62"/>
            </a:gs>
            <a:gs pos="100000">
              <a:srgbClr val="FF0000"/>
            </a:gs>
            <a:gs pos="26013">
              <a:srgbClr val="FFFF62"/>
            </a:gs>
            <a:gs pos="26013">
              <a:srgbClr val="00FF00"/>
            </a:gs>
            <a:gs pos="70533">
              <a:srgbClr val="00FF00"/>
            </a:gs>
            <a:gs pos="705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339</xdr:row>
      <xdr:rowOff>0</xdr:rowOff>
    </xdr:from>
    <xdr:to>
      <xdr:col>31</xdr:col>
      <xdr:colOff>7302</xdr:colOff>
      <xdr:row>343</xdr:row>
      <xdr:rowOff>4483</xdr:rowOff>
    </xdr:to>
    <xdr:graphicFrame macro="">
      <xdr:nvGraphicFramePr>
        <xdr:cNvPr id="493" name="Grafico 32">
          <a:extLst>
            <a:ext uri="{FF2B5EF4-FFF2-40B4-BE49-F238E27FC236}">
              <a16:creationId xmlns:a16="http://schemas.microsoft.com/office/drawing/2014/main" id="{DE28EDCA-1C71-48F9-90AA-9EB8A3537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21</xdr:col>
      <xdr:colOff>0</xdr:colOff>
      <xdr:row>345</xdr:row>
      <xdr:rowOff>0</xdr:rowOff>
    </xdr:from>
    <xdr:to>
      <xdr:col>30</xdr:col>
      <xdr:colOff>21264</xdr:colOff>
      <xdr:row>346</xdr:row>
      <xdr:rowOff>56170</xdr:rowOff>
    </xdr:to>
    <xdr:sp macro="" textlink="">
      <xdr:nvSpPr>
        <xdr:cNvPr id="497" name="rect 33">
          <a:extLst>
            <a:ext uri="{FF2B5EF4-FFF2-40B4-BE49-F238E27FC236}">
              <a16:creationId xmlns:a16="http://schemas.microsoft.com/office/drawing/2014/main" id="{73F3A491-E7D8-4330-94DB-21A34690491A}"/>
            </a:ext>
          </a:extLst>
        </xdr:cNvPr>
        <xdr:cNvSpPr/>
      </xdr:nvSpPr>
      <xdr:spPr>
        <a:xfrm>
          <a:off x="4048125" y="45796200"/>
          <a:ext cx="2935914" cy="132370"/>
        </a:xfrm>
        <a:prstGeom prst="roundRect">
          <a:avLst>
            <a:gd name="adj" fmla="val 50000"/>
          </a:avLst>
        </a:prstGeom>
        <a:gradFill flip="none" rotWithShape="1">
          <a:gsLst>
            <a:gs pos="0">
              <a:srgbClr val="FFFF62"/>
            </a:gs>
            <a:gs pos="100000">
              <a:srgbClr val="FF0000"/>
            </a:gs>
            <a:gs pos="23404">
              <a:srgbClr val="FFFF62"/>
            </a:gs>
            <a:gs pos="23404">
              <a:srgbClr val="00FF00"/>
            </a:gs>
            <a:gs pos="59454">
              <a:srgbClr val="00FF00"/>
            </a:gs>
            <a:gs pos="5945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344</xdr:row>
      <xdr:rowOff>0</xdr:rowOff>
    </xdr:from>
    <xdr:to>
      <xdr:col>31</xdr:col>
      <xdr:colOff>7302</xdr:colOff>
      <xdr:row>348</xdr:row>
      <xdr:rowOff>4483</xdr:rowOff>
    </xdr:to>
    <xdr:graphicFrame macro="">
      <xdr:nvGraphicFramePr>
        <xdr:cNvPr id="501" name="Grafico 33">
          <a:extLst>
            <a:ext uri="{FF2B5EF4-FFF2-40B4-BE49-F238E27FC236}">
              <a16:creationId xmlns:a16="http://schemas.microsoft.com/office/drawing/2014/main" id="{F71068DD-6E46-4814-9684-9D9DAABD57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21</xdr:col>
      <xdr:colOff>0</xdr:colOff>
      <xdr:row>350</xdr:row>
      <xdr:rowOff>0</xdr:rowOff>
    </xdr:from>
    <xdr:to>
      <xdr:col>30</xdr:col>
      <xdr:colOff>21264</xdr:colOff>
      <xdr:row>351</xdr:row>
      <xdr:rowOff>56170</xdr:rowOff>
    </xdr:to>
    <xdr:sp macro="" textlink="">
      <xdr:nvSpPr>
        <xdr:cNvPr id="505" name="rect 34">
          <a:extLst>
            <a:ext uri="{FF2B5EF4-FFF2-40B4-BE49-F238E27FC236}">
              <a16:creationId xmlns:a16="http://schemas.microsoft.com/office/drawing/2014/main" id="{1B709125-6724-4446-BD73-C999E719AF36}"/>
            </a:ext>
          </a:extLst>
        </xdr:cNvPr>
        <xdr:cNvSpPr/>
      </xdr:nvSpPr>
      <xdr:spPr>
        <a:xfrm>
          <a:off x="4048125" y="46224825"/>
          <a:ext cx="2935914" cy="132370"/>
        </a:xfrm>
        <a:prstGeom prst="roundRect">
          <a:avLst>
            <a:gd name="adj" fmla="val 50000"/>
          </a:avLst>
        </a:prstGeom>
        <a:gradFill flip="none" rotWithShape="1">
          <a:gsLst>
            <a:gs pos="0">
              <a:srgbClr val="FFFF62"/>
            </a:gs>
            <a:gs pos="100000">
              <a:srgbClr val="FF0000"/>
            </a:gs>
            <a:gs pos="46346">
              <a:srgbClr val="FFFF62"/>
            </a:gs>
            <a:gs pos="46346">
              <a:srgbClr val="00FF00"/>
            </a:gs>
            <a:gs pos="92896">
              <a:srgbClr val="00FF00"/>
            </a:gs>
            <a:gs pos="9289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349</xdr:row>
      <xdr:rowOff>0</xdr:rowOff>
    </xdr:from>
    <xdr:to>
      <xdr:col>31</xdr:col>
      <xdr:colOff>7302</xdr:colOff>
      <xdr:row>353</xdr:row>
      <xdr:rowOff>4483</xdr:rowOff>
    </xdr:to>
    <xdr:graphicFrame macro="">
      <xdr:nvGraphicFramePr>
        <xdr:cNvPr id="509" name="Grafico 34">
          <a:extLst>
            <a:ext uri="{FF2B5EF4-FFF2-40B4-BE49-F238E27FC236}">
              <a16:creationId xmlns:a16="http://schemas.microsoft.com/office/drawing/2014/main" id="{A1E7432D-6AAC-403E-B725-03397B9CB1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21</xdr:col>
      <xdr:colOff>0</xdr:colOff>
      <xdr:row>355</xdr:row>
      <xdr:rowOff>0</xdr:rowOff>
    </xdr:from>
    <xdr:to>
      <xdr:col>30</xdr:col>
      <xdr:colOff>21264</xdr:colOff>
      <xdr:row>356</xdr:row>
      <xdr:rowOff>56170</xdr:rowOff>
    </xdr:to>
    <xdr:sp macro="" textlink="">
      <xdr:nvSpPr>
        <xdr:cNvPr id="39936" name="rect 35">
          <a:extLst>
            <a:ext uri="{FF2B5EF4-FFF2-40B4-BE49-F238E27FC236}">
              <a16:creationId xmlns:a16="http://schemas.microsoft.com/office/drawing/2014/main" id="{E91C2EEA-E18B-464D-8DFE-B8AEB1ACACB6}"/>
            </a:ext>
          </a:extLst>
        </xdr:cNvPr>
        <xdr:cNvSpPr/>
      </xdr:nvSpPr>
      <xdr:spPr>
        <a:xfrm>
          <a:off x="4048125" y="46653450"/>
          <a:ext cx="2935914" cy="132370"/>
        </a:xfrm>
        <a:prstGeom prst="roundRect">
          <a:avLst>
            <a:gd name="adj" fmla="val 50000"/>
          </a:avLst>
        </a:prstGeom>
        <a:gradFill flip="none" rotWithShape="1">
          <a:gsLst>
            <a:gs pos="0">
              <a:srgbClr val="FFFF62"/>
            </a:gs>
            <a:gs pos="100000">
              <a:srgbClr val="FF0000"/>
            </a:gs>
            <a:gs pos="12843">
              <a:srgbClr val="FFFF62"/>
            </a:gs>
            <a:gs pos="12843">
              <a:srgbClr val="00FF00"/>
            </a:gs>
            <a:gs pos="52871">
              <a:srgbClr val="00FF00"/>
            </a:gs>
            <a:gs pos="5287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354</xdr:row>
      <xdr:rowOff>0</xdr:rowOff>
    </xdr:from>
    <xdr:to>
      <xdr:col>31</xdr:col>
      <xdr:colOff>7302</xdr:colOff>
      <xdr:row>358</xdr:row>
      <xdr:rowOff>4483</xdr:rowOff>
    </xdr:to>
    <xdr:graphicFrame macro="">
      <xdr:nvGraphicFramePr>
        <xdr:cNvPr id="39941" name="Grafico 35">
          <a:extLst>
            <a:ext uri="{FF2B5EF4-FFF2-40B4-BE49-F238E27FC236}">
              <a16:creationId xmlns:a16="http://schemas.microsoft.com/office/drawing/2014/main" id="{390C1116-EDAD-46E7-BE70-842FC9277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21</xdr:col>
      <xdr:colOff>0</xdr:colOff>
      <xdr:row>360</xdr:row>
      <xdr:rowOff>0</xdr:rowOff>
    </xdr:from>
    <xdr:to>
      <xdr:col>30</xdr:col>
      <xdr:colOff>21264</xdr:colOff>
      <xdr:row>361</xdr:row>
      <xdr:rowOff>56170</xdr:rowOff>
    </xdr:to>
    <xdr:sp macro="" textlink="">
      <xdr:nvSpPr>
        <xdr:cNvPr id="39943" name="rect 36">
          <a:extLst>
            <a:ext uri="{FF2B5EF4-FFF2-40B4-BE49-F238E27FC236}">
              <a16:creationId xmlns:a16="http://schemas.microsoft.com/office/drawing/2014/main" id="{F0553CD2-00D2-4566-92FE-80014FCA9E93}"/>
            </a:ext>
          </a:extLst>
        </xdr:cNvPr>
        <xdr:cNvSpPr/>
      </xdr:nvSpPr>
      <xdr:spPr>
        <a:xfrm>
          <a:off x="4048125" y="47082075"/>
          <a:ext cx="2935914" cy="132370"/>
        </a:xfrm>
        <a:prstGeom prst="roundRect">
          <a:avLst>
            <a:gd name="adj" fmla="val 50000"/>
          </a:avLst>
        </a:prstGeom>
        <a:gradFill flip="none" rotWithShape="1">
          <a:gsLst>
            <a:gs pos="0">
              <a:srgbClr val="FFFF62"/>
            </a:gs>
            <a:gs pos="100000">
              <a:srgbClr val="FF0000"/>
            </a:gs>
            <a:gs pos="5085">
              <a:srgbClr val="FFFF62"/>
            </a:gs>
            <a:gs pos="5085">
              <a:srgbClr val="00FF00"/>
            </a:gs>
            <a:gs pos="48893">
              <a:srgbClr val="00FF00"/>
            </a:gs>
            <a:gs pos="4889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359</xdr:row>
      <xdr:rowOff>0</xdr:rowOff>
    </xdr:from>
    <xdr:to>
      <xdr:col>31</xdr:col>
      <xdr:colOff>7302</xdr:colOff>
      <xdr:row>363</xdr:row>
      <xdr:rowOff>4483</xdr:rowOff>
    </xdr:to>
    <xdr:graphicFrame macro="">
      <xdr:nvGraphicFramePr>
        <xdr:cNvPr id="39945" name="Grafico 36">
          <a:extLst>
            <a:ext uri="{FF2B5EF4-FFF2-40B4-BE49-F238E27FC236}">
              <a16:creationId xmlns:a16="http://schemas.microsoft.com/office/drawing/2014/main" id="{D5B657A6-D36C-4B6B-A895-B490330D1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0</xdr:colOff>
      <xdr:row>366</xdr:row>
      <xdr:rowOff>0</xdr:rowOff>
    </xdr:from>
    <xdr:to>
      <xdr:col>30</xdr:col>
      <xdr:colOff>21264</xdr:colOff>
      <xdr:row>367</xdr:row>
      <xdr:rowOff>56170</xdr:rowOff>
    </xdr:to>
    <xdr:sp macro="" textlink="">
      <xdr:nvSpPr>
        <xdr:cNvPr id="39947" name="rect 37">
          <a:extLst>
            <a:ext uri="{FF2B5EF4-FFF2-40B4-BE49-F238E27FC236}">
              <a16:creationId xmlns:a16="http://schemas.microsoft.com/office/drawing/2014/main" id="{48DDF25B-EE4E-4FB8-8D10-6E68019C3E22}"/>
            </a:ext>
          </a:extLst>
        </xdr:cNvPr>
        <xdr:cNvSpPr/>
      </xdr:nvSpPr>
      <xdr:spPr>
        <a:xfrm>
          <a:off x="4048125" y="47701200"/>
          <a:ext cx="2935914" cy="132370"/>
        </a:xfrm>
        <a:prstGeom prst="roundRect">
          <a:avLst>
            <a:gd name="adj" fmla="val 50000"/>
          </a:avLst>
        </a:prstGeom>
        <a:gradFill flip="none" rotWithShape="1">
          <a:gsLst>
            <a:gs pos="0">
              <a:srgbClr val="FFFF62"/>
            </a:gs>
            <a:gs pos="100000">
              <a:srgbClr val="FF0000"/>
            </a:gs>
            <a:gs pos="38799">
              <a:srgbClr val="FFFF62"/>
            </a:gs>
            <a:gs pos="38799">
              <a:srgbClr val="00FF00"/>
            </a:gs>
            <a:gs pos="75133">
              <a:srgbClr val="00FF00"/>
            </a:gs>
            <a:gs pos="751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365</xdr:row>
      <xdr:rowOff>0</xdr:rowOff>
    </xdr:from>
    <xdr:to>
      <xdr:col>31</xdr:col>
      <xdr:colOff>7302</xdr:colOff>
      <xdr:row>369</xdr:row>
      <xdr:rowOff>4483</xdr:rowOff>
    </xdr:to>
    <xdr:graphicFrame macro="">
      <xdr:nvGraphicFramePr>
        <xdr:cNvPr id="39949" name="Grafico 37">
          <a:extLst>
            <a:ext uri="{FF2B5EF4-FFF2-40B4-BE49-F238E27FC236}">
              <a16:creationId xmlns:a16="http://schemas.microsoft.com/office/drawing/2014/main" id="{716794D2-E3C9-46BD-8012-29DF540D5C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21</xdr:col>
      <xdr:colOff>0</xdr:colOff>
      <xdr:row>371</xdr:row>
      <xdr:rowOff>0</xdr:rowOff>
    </xdr:from>
    <xdr:to>
      <xdr:col>30</xdr:col>
      <xdr:colOff>21264</xdr:colOff>
      <xdr:row>372</xdr:row>
      <xdr:rowOff>56170</xdr:rowOff>
    </xdr:to>
    <xdr:sp macro="" textlink="">
      <xdr:nvSpPr>
        <xdr:cNvPr id="39951" name="rect 38">
          <a:extLst>
            <a:ext uri="{FF2B5EF4-FFF2-40B4-BE49-F238E27FC236}">
              <a16:creationId xmlns:a16="http://schemas.microsoft.com/office/drawing/2014/main" id="{5214D9C0-625E-43C9-8FA2-27BAC87FDABC}"/>
            </a:ext>
          </a:extLst>
        </xdr:cNvPr>
        <xdr:cNvSpPr/>
      </xdr:nvSpPr>
      <xdr:spPr>
        <a:xfrm>
          <a:off x="4048125" y="48129825"/>
          <a:ext cx="2935914" cy="132370"/>
        </a:xfrm>
        <a:prstGeom prst="roundRect">
          <a:avLst>
            <a:gd name="adj" fmla="val 50000"/>
          </a:avLst>
        </a:prstGeom>
        <a:gradFill flip="none" rotWithShape="1">
          <a:gsLst>
            <a:gs pos="0">
              <a:srgbClr val="FFFF62"/>
            </a:gs>
            <a:gs pos="100000">
              <a:srgbClr val="FF0000"/>
            </a:gs>
            <a:gs pos="13136">
              <a:srgbClr val="FFFF62"/>
            </a:gs>
            <a:gs pos="13136">
              <a:srgbClr val="00FF00"/>
            </a:gs>
            <a:gs pos="53065">
              <a:srgbClr val="00FF00"/>
            </a:gs>
            <a:gs pos="5306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370</xdr:row>
      <xdr:rowOff>0</xdr:rowOff>
    </xdr:from>
    <xdr:to>
      <xdr:col>31</xdr:col>
      <xdr:colOff>7302</xdr:colOff>
      <xdr:row>374</xdr:row>
      <xdr:rowOff>4483</xdr:rowOff>
    </xdr:to>
    <xdr:graphicFrame macro="">
      <xdr:nvGraphicFramePr>
        <xdr:cNvPr id="39953" name="Grafico 38">
          <a:extLst>
            <a:ext uri="{FF2B5EF4-FFF2-40B4-BE49-F238E27FC236}">
              <a16:creationId xmlns:a16="http://schemas.microsoft.com/office/drawing/2014/main" id="{2D64A81A-A291-4F55-94C7-50D124C93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21</xdr:col>
      <xdr:colOff>0</xdr:colOff>
      <xdr:row>376</xdr:row>
      <xdr:rowOff>0</xdr:rowOff>
    </xdr:from>
    <xdr:to>
      <xdr:col>30</xdr:col>
      <xdr:colOff>21264</xdr:colOff>
      <xdr:row>377</xdr:row>
      <xdr:rowOff>56170</xdr:rowOff>
    </xdr:to>
    <xdr:sp macro="" textlink="">
      <xdr:nvSpPr>
        <xdr:cNvPr id="39955" name="rect 39">
          <a:extLst>
            <a:ext uri="{FF2B5EF4-FFF2-40B4-BE49-F238E27FC236}">
              <a16:creationId xmlns:a16="http://schemas.microsoft.com/office/drawing/2014/main" id="{46C07779-4B67-4177-B34A-CB59540DD880}"/>
            </a:ext>
          </a:extLst>
        </xdr:cNvPr>
        <xdr:cNvSpPr/>
      </xdr:nvSpPr>
      <xdr:spPr>
        <a:xfrm>
          <a:off x="4048125" y="48558450"/>
          <a:ext cx="2935914" cy="132370"/>
        </a:xfrm>
        <a:prstGeom prst="roundRect">
          <a:avLst>
            <a:gd name="adj" fmla="val 50000"/>
          </a:avLst>
        </a:prstGeom>
        <a:gradFill flip="none" rotWithShape="1">
          <a:gsLst>
            <a:gs pos="0">
              <a:srgbClr val="FFFF62"/>
            </a:gs>
            <a:gs pos="100000">
              <a:srgbClr val="FF0000"/>
            </a:gs>
            <a:gs pos="8608">
              <a:srgbClr val="FFFF62"/>
            </a:gs>
            <a:gs pos="8608">
              <a:srgbClr val="00FF00"/>
            </a:gs>
            <a:gs pos="50761">
              <a:srgbClr val="00FF00"/>
            </a:gs>
            <a:gs pos="5076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375</xdr:row>
      <xdr:rowOff>0</xdr:rowOff>
    </xdr:from>
    <xdr:to>
      <xdr:col>31</xdr:col>
      <xdr:colOff>7302</xdr:colOff>
      <xdr:row>379</xdr:row>
      <xdr:rowOff>4483</xdr:rowOff>
    </xdr:to>
    <xdr:graphicFrame macro="">
      <xdr:nvGraphicFramePr>
        <xdr:cNvPr id="39957" name="Grafico 39">
          <a:extLst>
            <a:ext uri="{FF2B5EF4-FFF2-40B4-BE49-F238E27FC236}">
              <a16:creationId xmlns:a16="http://schemas.microsoft.com/office/drawing/2014/main" id="{5CAEAC2E-EC84-44CD-A07E-AE5700CB46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21</xdr:col>
      <xdr:colOff>0</xdr:colOff>
      <xdr:row>381</xdr:row>
      <xdr:rowOff>0</xdr:rowOff>
    </xdr:from>
    <xdr:to>
      <xdr:col>30</xdr:col>
      <xdr:colOff>21264</xdr:colOff>
      <xdr:row>382</xdr:row>
      <xdr:rowOff>56170</xdr:rowOff>
    </xdr:to>
    <xdr:sp macro="" textlink="">
      <xdr:nvSpPr>
        <xdr:cNvPr id="39959" name="rect 40">
          <a:extLst>
            <a:ext uri="{FF2B5EF4-FFF2-40B4-BE49-F238E27FC236}">
              <a16:creationId xmlns:a16="http://schemas.microsoft.com/office/drawing/2014/main" id="{51651044-196F-4B34-99A2-D0B764EBED22}"/>
            </a:ext>
          </a:extLst>
        </xdr:cNvPr>
        <xdr:cNvSpPr/>
      </xdr:nvSpPr>
      <xdr:spPr>
        <a:xfrm>
          <a:off x="4048125" y="48987075"/>
          <a:ext cx="2935914" cy="132370"/>
        </a:xfrm>
        <a:prstGeom prst="roundRect">
          <a:avLst>
            <a:gd name="adj" fmla="val 50000"/>
          </a:avLst>
        </a:prstGeom>
        <a:gradFill flip="none" rotWithShape="1">
          <a:gsLst>
            <a:gs pos="0">
              <a:srgbClr val="FFFF62"/>
            </a:gs>
            <a:gs pos="100000">
              <a:srgbClr val="FF0000"/>
            </a:gs>
            <a:gs pos="41400">
              <a:srgbClr val="FFFF62"/>
            </a:gs>
            <a:gs pos="41400">
              <a:srgbClr val="00FF00"/>
            </a:gs>
            <a:gs pos="58600">
              <a:srgbClr val="00FF00"/>
            </a:gs>
            <a:gs pos="586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380</xdr:row>
      <xdr:rowOff>0</xdr:rowOff>
    </xdr:from>
    <xdr:to>
      <xdr:col>31</xdr:col>
      <xdr:colOff>7302</xdr:colOff>
      <xdr:row>384</xdr:row>
      <xdr:rowOff>4483</xdr:rowOff>
    </xdr:to>
    <xdr:graphicFrame macro="">
      <xdr:nvGraphicFramePr>
        <xdr:cNvPr id="39961" name="Grafico 40">
          <a:extLst>
            <a:ext uri="{FF2B5EF4-FFF2-40B4-BE49-F238E27FC236}">
              <a16:creationId xmlns:a16="http://schemas.microsoft.com/office/drawing/2014/main" id="{EC1373C5-118A-4F2A-B946-FE2739428F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21</xdr:col>
      <xdr:colOff>0</xdr:colOff>
      <xdr:row>387</xdr:row>
      <xdr:rowOff>0</xdr:rowOff>
    </xdr:from>
    <xdr:to>
      <xdr:col>30</xdr:col>
      <xdr:colOff>21264</xdr:colOff>
      <xdr:row>388</xdr:row>
      <xdr:rowOff>56170</xdr:rowOff>
    </xdr:to>
    <xdr:sp macro="" textlink="">
      <xdr:nvSpPr>
        <xdr:cNvPr id="39963" name="rect 41">
          <a:extLst>
            <a:ext uri="{FF2B5EF4-FFF2-40B4-BE49-F238E27FC236}">
              <a16:creationId xmlns:a16="http://schemas.microsoft.com/office/drawing/2014/main" id="{F881C498-4B90-4B6A-A49E-7D822F584D72}"/>
            </a:ext>
          </a:extLst>
        </xdr:cNvPr>
        <xdr:cNvSpPr/>
      </xdr:nvSpPr>
      <xdr:spPr>
        <a:xfrm>
          <a:off x="4048125" y="49606200"/>
          <a:ext cx="2935914" cy="132370"/>
        </a:xfrm>
        <a:prstGeom prst="roundRect">
          <a:avLst>
            <a:gd name="adj" fmla="val 50000"/>
          </a:avLst>
        </a:prstGeom>
        <a:gradFill flip="none" rotWithShape="1">
          <a:gsLst>
            <a:gs pos="0">
              <a:srgbClr val="FFFF62"/>
            </a:gs>
            <a:gs pos="100000">
              <a:srgbClr val="FF0000"/>
            </a:gs>
            <a:gs pos="20005">
              <a:srgbClr val="FFFF62"/>
            </a:gs>
            <a:gs pos="20005">
              <a:srgbClr val="00FF00"/>
            </a:gs>
            <a:gs pos="56393">
              <a:srgbClr val="00FF00"/>
            </a:gs>
            <a:gs pos="5639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386</xdr:row>
      <xdr:rowOff>0</xdr:rowOff>
    </xdr:from>
    <xdr:to>
      <xdr:col>31</xdr:col>
      <xdr:colOff>7302</xdr:colOff>
      <xdr:row>390</xdr:row>
      <xdr:rowOff>4483</xdr:rowOff>
    </xdr:to>
    <xdr:graphicFrame macro="">
      <xdr:nvGraphicFramePr>
        <xdr:cNvPr id="39965" name="Grafico 41">
          <a:extLst>
            <a:ext uri="{FF2B5EF4-FFF2-40B4-BE49-F238E27FC236}">
              <a16:creationId xmlns:a16="http://schemas.microsoft.com/office/drawing/2014/main" id="{72A549C0-2DDD-44DA-BC92-74CC0EB163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21</xdr:col>
      <xdr:colOff>0</xdr:colOff>
      <xdr:row>392</xdr:row>
      <xdr:rowOff>0</xdr:rowOff>
    </xdr:from>
    <xdr:to>
      <xdr:col>30</xdr:col>
      <xdr:colOff>21264</xdr:colOff>
      <xdr:row>393</xdr:row>
      <xdr:rowOff>56170</xdr:rowOff>
    </xdr:to>
    <xdr:sp macro="" textlink="">
      <xdr:nvSpPr>
        <xdr:cNvPr id="39967" name="rect 42">
          <a:extLst>
            <a:ext uri="{FF2B5EF4-FFF2-40B4-BE49-F238E27FC236}">
              <a16:creationId xmlns:a16="http://schemas.microsoft.com/office/drawing/2014/main" id="{8833AC23-48D0-4616-AA72-8D9B5A068320}"/>
            </a:ext>
          </a:extLst>
        </xdr:cNvPr>
        <xdr:cNvSpPr/>
      </xdr:nvSpPr>
      <xdr:spPr>
        <a:xfrm>
          <a:off x="4048125" y="50034825"/>
          <a:ext cx="2935914" cy="132370"/>
        </a:xfrm>
        <a:prstGeom prst="roundRect">
          <a:avLst>
            <a:gd name="adj" fmla="val 50000"/>
          </a:avLst>
        </a:prstGeom>
        <a:gradFill flip="none" rotWithShape="1">
          <a:gsLst>
            <a:gs pos="0">
              <a:srgbClr val="FFFF62"/>
            </a:gs>
            <a:gs pos="100000">
              <a:srgbClr val="FF0000"/>
            </a:gs>
            <a:gs pos="19478">
              <a:srgbClr val="FFFF62"/>
            </a:gs>
            <a:gs pos="19478">
              <a:srgbClr val="00FF00"/>
            </a:gs>
            <a:gs pos="50072">
              <a:srgbClr val="00FF00"/>
            </a:gs>
            <a:gs pos="5007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391</xdr:row>
      <xdr:rowOff>0</xdr:rowOff>
    </xdr:from>
    <xdr:to>
      <xdr:col>31</xdr:col>
      <xdr:colOff>7302</xdr:colOff>
      <xdr:row>395</xdr:row>
      <xdr:rowOff>4483</xdr:rowOff>
    </xdr:to>
    <xdr:graphicFrame macro="">
      <xdr:nvGraphicFramePr>
        <xdr:cNvPr id="39969" name="Grafico 42">
          <a:extLst>
            <a:ext uri="{FF2B5EF4-FFF2-40B4-BE49-F238E27FC236}">
              <a16:creationId xmlns:a16="http://schemas.microsoft.com/office/drawing/2014/main" id="{04AF7C3B-5034-4106-B464-827EAD906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21</xdr:col>
      <xdr:colOff>0</xdr:colOff>
      <xdr:row>397</xdr:row>
      <xdr:rowOff>0</xdr:rowOff>
    </xdr:from>
    <xdr:to>
      <xdr:col>30</xdr:col>
      <xdr:colOff>21264</xdr:colOff>
      <xdr:row>398</xdr:row>
      <xdr:rowOff>56170</xdr:rowOff>
    </xdr:to>
    <xdr:sp macro="" textlink="">
      <xdr:nvSpPr>
        <xdr:cNvPr id="39971" name="rect 43">
          <a:extLst>
            <a:ext uri="{FF2B5EF4-FFF2-40B4-BE49-F238E27FC236}">
              <a16:creationId xmlns:a16="http://schemas.microsoft.com/office/drawing/2014/main" id="{6FA821F6-EE79-4BD7-AE5A-754467F48832}"/>
            </a:ext>
          </a:extLst>
        </xdr:cNvPr>
        <xdr:cNvSpPr/>
      </xdr:nvSpPr>
      <xdr:spPr>
        <a:xfrm>
          <a:off x="4048125" y="50463450"/>
          <a:ext cx="2935914" cy="132370"/>
        </a:xfrm>
        <a:prstGeom prst="roundRect">
          <a:avLst>
            <a:gd name="adj" fmla="val 50000"/>
          </a:avLst>
        </a:prstGeom>
        <a:gradFill flip="none" rotWithShape="1">
          <a:gsLst>
            <a:gs pos="0">
              <a:srgbClr val="FFFF62"/>
            </a:gs>
            <a:gs pos="100000">
              <a:srgbClr val="FF0000"/>
            </a:gs>
            <a:gs pos="36129">
              <a:srgbClr val="FFFF62"/>
            </a:gs>
            <a:gs pos="36129">
              <a:srgbClr val="00FF00"/>
            </a:gs>
            <a:gs pos="63871">
              <a:srgbClr val="00FF00"/>
            </a:gs>
            <a:gs pos="6387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396</xdr:row>
      <xdr:rowOff>0</xdr:rowOff>
    </xdr:from>
    <xdr:to>
      <xdr:col>31</xdr:col>
      <xdr:colOff>7302</xdr:colOff>
      <xdr:row>400</xdr:row>
      <xdr:rowOff>4483</xdr:rowOff>
    </xdr:to>
    <xdr:graphicFrame macro="">
      <xdr:nvGraphicFramePr>
        <xdr:cNvPr id="39973" name="Grafico 43">
          <a:extLst>
            <a:ext uri="{FF2B5EF4-FFF2-40B4-BE49-F238E27FC236}">
              <a16:creationId xmlns:a16="http://schemas.microsoft.com/office/drawing/2014/main" id="{C54052CF-89DD-400F-BD13-E50E3E822D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21</xdr:col>
      <xdr:colOff>0</xdr:colOff>
      <xdr:row>402</xdr:row>
      <xdr:rowOff>0</xdr:rowOff>
    </xdr:from>
    <xdr:to>
      <xdr:col>30</xdr:col>
      <xdr:colOff>21264</xdr:colOff>
      <xdr:row>403</xdr:row>
      <xdr:rowOff>56170</xdr:rowOff>
    </xdr:to>
    <xdr:sp macro="" textlink="">
      <xdr:nvSpPr>
        <xdr:cNvPr id="39975" name="rect 44">
          <a:extLst>
            <a:ext uri="{FF2B5EF4-FFF2-40B4-BE49-F238E27FC236}">
              <a16:creationId xmlns:a16="http://schemas.microsoft.com/office/drawing/2014/main" id="{DD5A11DB-22B6-47C8-8F7E-74FB6E93FCB3}"/>
            </a:ext>
          </a:extLst>
        </xdr:cNvPr>
        <xdr:cNvSpPr/>
      </xdr:nvSpPr>
      <xdr:spPr>
        <a:xfrm>
          <a:off x="4048125" y="50892075"/>
          <a:ext cx="2935914" cy="132370"/>
        </a:xfrm>
        <a:prstGeom prst="roundRect">
          <a:avLst>
            <a:gd name="adj" fmla="val 50000"/>
          </a:avLst>
        </a:prstGeom>
        <a:gradFill flip="none" rotWithShape="1">
          <a:gsLst>
            <a:gs pos="0">
              <a:srgbClr val="FFFF62"/>
            </a:gs>
            <a:gs pos="100000">
              <a:srgbClr val="FF0000"/>
            </a:gs>
            <a:gs pos="13653">
              <a:srgbClr val="FFFF62"/>
            </a:gs>
            <a:gs pos="13653">
              <a:srgbClr val="00FF00"/>
            </a:gs>
            <a:gs pos="53400">
              <a:srgbClr val="00FF00"/>
            </a:gs>
            <a:gs pos="534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401</xdr:row>
      <xdr:rowOff>0</xdr:rowOff>
    </xdr:from>
    <xdr:to>
      <xdr:col>31</xdr:col>
      <xdr:colOff>7302</xdr:colOff>
      <xdr:row>405</xdr:row>
      <xdr:rowOff>4483</xdr:rowOff>
    </xdr:to>
    <xdr:graphicFrame macro="">
      <xdr:nvGraphicFramePr>
        <xdr:cNvPr id="39977" name="Grafico 44">
          <a:extLst>
            <a:ext uri="{FF2B5EF4-FFF2-40B4-BE49-F238E27FC236}">
              <a16:creationId xmlns:a16="http://schemas.microsoft.com/office/drawing/2014/main" id="{AA2532AF-DEBD-480B-A806-F2AB986179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21</xdr:col>
      <xdr:colOff>0</xdr:colOff>
      <xdr:row>407</xdr:row>
      <xdr:rowOff>0</xdr:rowOff>
    </xdr:from>
    <xdr:to>
      <xdr:col>30</xdr:col>
      <xdr:colOff>21264</xdr:colOff>
      <xdr:row>408</xdr:row>
      <xdr:rowOff>56170</xdr:rowOff>
    </xdr:to>
    <xdr:sp macro="" textlink="">
      <xdr:nvSpPr>
        <xdr:cNvPr id="39979" name="rect 45">
          <a:extLst>
            <a:ext uri="{FF2B5EF4-FFF2-40B4-BE49-F238E27FC236}">
              <a16:creationId xmlns:a16="http://schemas.microsoft.com/office/drawing/2014/main" id="{3524D412-81F9-4F68-AF7A-0F173023FBAE}"/>
            </a:ext>
          </a:extLst>
        </xdr:cNvPr>
        <xdr:cNvSpPr/>
      </xdr:nvSpPr>
      <xdr:spPr>
        <a:xfrm>
          <a:off x="4048125" y="51320700"/>
          <a:ext cx="2935914" cy="132370"/>
        </a:xfrm>
        <a:prstGeom prst="roundRect">
          <a:avLst>
            <a:gd name="adj" fmla="val 50000"/>
          </a:avLst>
        </a:prstGeom>
        <a:gradFill flip="none" rotWithShape="1">
          <a:gsLst>
            <a:gs pos="0">
              <a:srgbClr val="FFFF62"/>
            </a:gs>
            <a:gs pos="100000">
              <a:srgbClr val="FF0000"/>
            </a:gs>
            <a:gs pos="9500">
              <a:srgbClr val="FFFF62"/>
            </a:gs>
            <a:gs pos="9500">
              <a:srgbClr val="00FF00"/>
            </a:gs>
            <a:gs pos="51185">
              <a:srgbClr val="00FF00"/>
            </a:gs>
            <a:gs pos="5118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406</xdr:row>
      <xdr:rowOff>0</xdr:rowOff>
    </xdr:from>
    <xdr:to>
      <xdr:col>31</xdr:col>
      <xdr:colOff>7302</xdr:colOff>
      <xdr:row>410</xdr:row>
      <xdr:rowOff>4483</xdr:rowOff>
    </xdr:to>
    <xdr:graphicFrame macro="">
      <xdr:nvGraphicFramePr>
        <xdr:cNvPr id="39981" name="Grafico 45">
          <a:extLst>
            <a:ext uri="{FF2B5EF4-FFF2-40B4-BE49-F238E27FC236}">
              <a16:creationId xmlns:a16="http://schemas.microsoft.com/office/drawing/2014/main" id="{4A147140-FF2F-445D-A187-F62BD46F04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21</xdr:col>
      <xdr:colOff>0</xdr:colOff>
      <xdr:row>490</xdr:row>
      <xdr:rowOff>0</xdr:rowOff>
    </xdr:from>
    <xdr:to>
      <xdr:col>30</xdr:col>
      <xdr:colOff>21264</xdr:colOff>
      <xdr:row>491</xdr:row>
      <xdr:rowOff>56170</xdr:rowOff>
    </xdr:to>
    <xdr:sp macro="" textlink="">
      <xdr:nvSpPr>
        <xdr:cNvPr id="39983" name="rect 46">
          <a:extLst>
            <a:ext uri="{FF2B5EF4-FFF2-40B4-BE49-F238E27FC236}">
              <a16:creationId xmlns:a16="http://schemas.microsoft.com/office/drawing/2014/main" id="{3FDE1115-C8F6-41C8-865D-D62331E1DF9B}"/>
            </a:ext>
          </a:extLst>
        </xdr:cNvPr>
        <xdr:cNvSpPr/>
      </xdr:nvSpPr>
      <xdr:spPr>
        <a:xfrm>
          <a:off x="4048125" y="64979550"/>
          <a:ext cx="2935914" cy="132370"/>
        </a:xfrm>
        <a:prstGeom prst="roundRect">
          <a:avLst>
            <a:gd name="adj" fmla="val 50000"/>
          </a:avLst>
        </a:prstGeom>
        <a:gradFill flip="none" rotWithShape="1">
          <a:gsLst>
            <a:gs pos="0">
              <a:srgbClr val="FFFF62"/>
            </a:gs>
            <a:gs pos="100000">
              <a:srgbClr val="FF0000"/>
            </a:gs>
            <a:gs pos="16652">
              <a:srgbClr val="FFFF62"/>
            </a:gs>
            <a:gs pos="16652">
              <a:srgbClr val="00FF00"/>
            </a:gs>
            <a:gs pos="54797">
              <a:srgbClr val="00FF00"/>
            </a:gs>
            <a:gs pos="5479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489</xdr:row>
      <xdr:rowOff>0</xdr:rowOff>
    </xdr:from>
    <xdr:to>
      <xdr:col>31</xdr:col>
      <xdr:colOff>7302</xdr:colOff>
      <xdr:row>493</xdr:row>
      <xdr:rowOff>14008</xdr:rowOff>
    </xdr:to>
    <xdr:graphicFrame macro="">
      <xdr:nvGraphicFramePr>
        <xdr:cNvPr id="39985" name="Grafico 46">
          <a:extLst>
            <a:ext uri="{FF2B5EF4-FFF2-40B4-BE49-F238E27FC236}">
              <a16:creationId xmlns:a16="http://schemas.microsoft.com/office/drawing/2014/main" id="{9FCAB7FB-4A51-4C99-9B5A-B5A024AA6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21</xdr:col>
      <xdr:colOff>0</xdr:colOff>
      <xdr:row>495</xdr:row>
      <xdr:rowOff>0</xdr:rowOff>
    </xdr:from>
    <xdr:to>
      <xdr:col>30</xdr:col>
      <xdr:colOff>21264</xdr:colOff>
      <xdr:row>496</xdr:row>
      <xdr:rowOff>56170</xdr:rowOff>
    </xdr:to>
    <xdr:sp macro="" textlink="">
      <xdr:nvSpPr>
        <xdr:cNvPr id="39987" name="rect 47">
          <a:extLst>
            <a:ext uri="{FF2B5EF4-FFF2-40B4-BE49-F238E27FC236}">
              <a16:creationId xmlns:a16="http://schemas.microsoft.com/office/drawing/2014/main" id="{0987318A-1357-43E3-B3B3-F16DD5280133}"/>
            </a:ext>
          </a:extLst>
        </xdr:cNvPr>
        <xdr:cNvSpPr/>
      </xdr:nvSpPr>
      <xdr:spPr>
        <a:xfrm>
          <a:off x="4048125" y="65408175"/>
          <a:ext cx="2935914" cy="132370"/>
        </a:xfrm>
        <a:prstGeom prst="roundRect">
          <a:avLst>
            <a:gd name="adj" fmla="val 50000"/>
          </a:avLst>
        </a:prstGeom>
        <a:gradFill flip="none" rotWithShape="1">
          <a:gsLst>
            <a:gs pos="0">
              <a:srgbClr val="FFFF62"/>
            </a:gs>
            <a:gs pos="100000">
              <a:srgbClr val="FF0000"/>
            </a:gs>
            <a:gs pos="18046">
              <a:srgbClr val="FFFF62"/>
            </a:gs>
            <a:gs pos="18046">
              <a:srgbClr val="00FF00"/>
            </a:gs>
            <a:gs pos="54921">
              <a:srgbClr val="00FF00"/>
            </a:gs>
            <a:gs pos="5492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494</xdr:row>
      <xdr:rowOff>0</xdr:rowOff>
    </xdr:from>
    <xdr:to>
      <xdr:col>31</xdr:col>
      <xdr:colOff>7302</xdr:colOff>
      <xdr:row>498</xdr:row>
      <xdr:rowOff>4483</xdr:rowOff>
    </xdr:to>
    <xdr:graphicFrame macro="">
      <xdr:nvGraphicFramePr>
        <xdr:cNvPr id="39989" name="Grafico 47">
          <a:extLst>
            <a:ext uri="{FF2B5EF4-FFF2-40B4-BE49-F238E27FC236}">
              <a16:creationId xmlns:a16="http://schemas.microsoft.com/office/drawing/2014/main" id="{790211E9-E7AB-463D-B375-9DA8FBD998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21</xdr:col>
      <xdr:colOff>0</xdr:colOff>
      <xdr:row>500</xdr:row>
      <xdr:rowOff>0</xdr:rowOff>
    </xdr:from>
    <xdr:to>
      <xdr:col>30</xdr:col>
      <xdr:colOff>21264</xdr:colOff>
      <xdr:row>501</xdr:row>
      <xdr:rowOff>56170</xdr:rowOff>
    </xdr:to>
    <xdr:sp macro="" textlink="">
      <xdr:nvSpPr>
        <xdr:cNvPr id="39991" name="rect 48">
          <a:extLst>
            <a:ext uri="{FF2B5EF4-FFF2-40B4-BE49-F238E27FC236}">
              <a16:creationId xmlns:a16="http://schemas.microsoft.com/office/drawing/2014/main" id="{3BDB0105-5616-45D7-8A66-539F3F75E855}"/>
            </a:ext>
          </a:extLst>
        </xdr:cNvPr>
        <xdr:cNvSpPr/>
      </xdr:nvSpPr>
      <xdr:spPr>
        <a:xfrm>
          <a:off x="4048125" y="65836800"/>
          <a:ext cx="2935914" cy="132370"/>
        </a:xfrm>
        <a:prstGeom prst="roundRect">
          <a:avLst>
            <a:gd name="adj" fmla="val 50000"/>
          </a:avLst>
        </a:prstGeom>
        <a:gradFill flip="none" rotWithShape="1">
          <a:gsLst>
            <a:gs pos="0">
              <a:srgbClr val="FFFF62"/>
            </a:gs>
            <a:gs pos="100000">
              <a:srgbClr val="FF0000"/>
            </a:gs>
            <a:gs pos="63598">
              <a:srgbClr val="FFFF62"/>
            </a:gs>
            <a:gs pos="63598">
              <a:srgbClr val="00FF00"/>
            </a:gs>
            <a:gs pos="90305">
              <a:srgbClr val="00FF00"/>
            </a:gs>
            <a:gs pos="9030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499</xdr:row>
      <xdr:rowOff>0</xdr:rowOff>
    </xdr:from>
    <xdr:to>
      <xdr:col>31</xdr:col>
      <xdr:colOff>7302</xdr:colOff>
      <xdr:row>503</xdr:row>
      <xdr:rowOff>4483</xdr:rowOff>
    </xdr:to>
    <xdr:graphicFrame macro="">
      <xdr:nvGraphicFramePr>
        <xdr:cNvPr id="39993" name="Grafico 48">
          <a:extLst>
            <a:ext uri="{FF2B5EF4-FFF2-40B4-BE49-F238E27FC236}">
              <a16:creationId xmlns:a16="http://schemas.microsoft.com/office/drawing/2014/main" id="{90F87B3D-D9CF-4860-8A29-DD2EC7B67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21</xdr:col>
      <xdr:colOff>0</xdr:colOff>
      <xdr:row>508</xdr:row>
      <xdr:rowOff>0</xdr:rowOff>
    </xdr:from>
    <xdr:to>
      <xdr:col>30</xdr:col>
      <xdr:colOff>21264</xdr:colOff>
      <xdr:row>509</xdr:row>
      <xdr:rowOff>56170</xdr:rowOff>
    </xdr:to>
    <xdr:sp macro="" textlink="">
      <xdr:nvSpPr>
        <xdr:cNvPr id="39995" name="rect 49">
          <a:extLst>
            <a:ext uri="{FF2B5EF4-FFF2-40B4-BE49-F238E27FC236}">
              <a16:creationId xmlns:a16="http://schemas.microsoft.com/office/drawing/2014/main" id="{169A7673-F9C3-4229-8D20-6D84E27B073E}"/>
            </a:ext>
          </a:extLst>
        </xdr:cNvPr>
        <xdr:cNvSpPr/>
      </xdr:nvSpPr>
      <xdr:spPr>
        <a:xfrm>
          <a:off x="4048125" y="66598800"/>
          <a:ext cx="2935914" cy="132370"/>
        </a:xfrm>
        <a:prstGeom prst="roundRect">
          <a:avLst>
            <a:gd name="adj" fmla="val 50000"/>
          </a:avLst>
        </a:prstGeom>
        <a:gradFill flip="none" rotWithShape="1">
          <a:gsLst>
            <a:gs pos="0">
              <a:srgbClr val="FFFF62"/>
            </a:gs>
            <a:gs pos="100000">
              <a:srgbClr val="FF0000"/>
            </a:gs>
            <a:gs pos="15252">
              <a:srgbClr val="FFFF62"/>
            </a:gs>
            <a:gs pos="15252">
              <a:srgbClr val="00FF00"/>
            </a:gs>
            <a:gs pos="54568">
              <a:srgbClr val="00FF00"/>
            </a:gs>
            <a:gs pos="5456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507</xdr:row>
      <xdr:rowOff>0</xdr:rowOff>
    </xdr:from>
    <xdr:to>
      <xdr:col>31</xdr:col>
      <xdr:colOff>7302</xdr:colOff>
      <xdr:row>511</xdr:row>
      <xdr:rowOff>14008</xdr:rowOff>
    </xdr:to>
    <xdr:graphicFrame macro="">
      <xdr:nvGraphicFramePr>
        <xdr:cNvPr id="39997" name="Grafico 49">
          <a:extLst>
            <a:ext uri="{FF2B5EF4-FFF2-40B4-BE49-F238E27FC236}">
              <a16:creationId xmlns:a16="http://schemas.microsoft.com/office/drawing/2014/main" id="{A8D4C348-F734-4544-BFE3-DB960A64E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21</xdr:col>
      <xdr:colOff>0</xdr:colOff>
      <xdr:row>513</xdr:row>
      <xdr:rowOff>0</xdr:rowOff>
    </xdr:from>
    <xdr:to>
      <xdr:col>30</xdr:col>
      <xdr:colOff>21264</xdr:colOff>
      <xdr:row>514</xdr:row>
      <xdr:rowOff>56170</xdr:rowOff>
    </xdr:to>
    <xdr:sp macro="" textlink="">
      <xdr:nvSpPr>
        <xdr:cNvPr id="39999" name="rect 50">
          <a:extLst>
            <a:ext uri="{FF2B5EF4-FFF2-40B4-BE49-F238E27FC236}">
              <a16:creationId xmlns:a16="http://schemas.microsoft.com/office/drawing/2014/main" id="{D6F04804-C153-46EC-8C31-5F02539DC558}"/>
            </a:ext>
          </a:extLst>
        </xdr:cNvPr>
        <xdr:cNvSpPr/>
      </xdr:nvSpPr>
      <xdr:spPr>
        <a:xfrm>
          <a:off x="4048125" y="67027425"/>
          <a:ext cx="2935914" cy="132370"/>
        </a:xfrm>
        <a:prstGeom prst="roundRect">
          <a:avLst>
            <a:gd name="adj" fmla="val 50000"/>
          </a:avLst>
        </a:prstGeom>
        <a:gradFill flip="none" rotWithShape="1">
          <a:gsLst>
            <a:gs pos="0">
              <a:srgbClr val="FFFF62"/>
            </a:gs>
            <a:gs pos="100000">
              <a:srgbClr val="FF0000"/>
            </a:gs>
            <a:gs pos="20653">
              <a:srgbClr val="FFFF62"/>
            </a:gs>
            <a:gs pos="20653">
              <a:srgbClr val="00FF00"/>
            </a:gs>
            <a:gs pos="55293">
              <a:srgbClr val="00FF00"/>
            </a:gs>
            <a:gs pos="5529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512</xdr:row>
      <xdr:rowOff>0</xdr:rowOff>
    </xdr:from>
    <xdr:to>
      <xdr:col>31</xdr:col>
      <xdr:colOff>7302</xdr:colOff>
      <xdr:row>516</xdr:row>
      <xdr:rowOff>4483</xdr:rowOff>
    </xdr:to>
    <xdr:graphicFrame macro="">
      <xdr:nvGraphicFramePr>
        <xdr:cNvPr id="515" name="Grafico 50">
          <a:extLst>
            <a:ext uri="{FF2B5EF4-FFF2-40B4-BE49-F238E27FC236}">
              <a16:creationId xmlns:a16="http://schemas.microsoft.com/office/drawing/2014/main" id="{A20DE6FF-942A-477C-A990-9A62111A24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21</xdr:col>
      <xdr:colOff>0</xdr:colOff>
      <xdr:row>518</xdr:row>
      <xdr:rowOff>0</xdr:rowOff>
    </xdr:from>
    <xdr:to>
      <xdr:col>30</xdr:col>
      <xdr:colOff>21264</xdr:colOff>
      <xdr:row>519</xdr:row>
      <xdr:rowOff>56170</xdr:rowOff>
    </xdr:to>
    <xdr:sp macro="" textlink="">
      <xdr:nvSpPr>
        <xdr:cNvPr id="519" name="rect 51">
          <a:extLst>
            <a:ext uri="{FF2B5EF4-FFF2-40B4-BE49-F238E27FC236}">
              <a16:creationId xmlns:a16="http://schemas.microsoft.com/office/drawing/2014/main" id="{B1C61EAE-3195-4226-8600-733B1F971A90}"/>
            </a:ext>
          </a:extLst>
        </xdr:cNvPr>
        <xdr:cNvSpPr/>
      </xdr:nvSpPr>
      <xdr:spPr>
        <a:xfrm>
          <a:off x="4048125" y="67456050"/>
          <a:ext cx="2935914" cy="132370"/>
        </a:xfrm>
        <a:prstGeom prst="roundRect">
          <a:avLst>
            <a:gd name="adj" fmla="val 50000"/>
          </a:avLst>
        </a:prstGeom>
        <a:gradFill flip="none" rotWithShape="1">
          <a:gsLst>
            <a:gs pos="0">
              <a:srgbClr val="FFFF62"/>
            </a:gs>
            <a:gs pos="100000">
              <a:srgbClr val="FF0000"/>
            </a:gs>
            <a:gs pos="35917">
              <a:srgbClr val="FFFF62"/>
            </a:gs>
            <a:gs pos="35917">
              <a:srgbClr val="00FF00"/>
            </a:gs>
            <a:gs pos="73933">
              <a:srgbClr val="00FF00"/>
            </a:gs>
            <a:gs pos="739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517</xdr:row>
      <xdr:rowOff>0</xdr:rowOff>
    </xdr:from>
    <xdr:to>
      <xdr:col>31</xdr:col>
      <xdr:colOff>7302</xdr:colOff>
      <xdr:row>521</xdr:row>
      <xdr:rowOff>4483</xdr:rowOff>
    </xdr:to>
    <xdr:graphicFrame macro="">
      <xdr:nvGraphicFramePr>
        <xdr:cNvPr id="523" name="Grafico 51">
          <a:extLst>
            <a:ext uri="{FF2B5EF4-FFF2-40B4-BE49-F238E27FC236}">
              <a16:creationId xmlns:a16="http://schemas.microsoft.com/office/drawing/2014/main" id="{724B0BE6-DF1D-4957-90E5-72E99BFAE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21</xdr:col>
      <xdr:colOff>0</xdr:colOff>
      <xdr:row>523</xdr:row>
      <xdr:rowOff>0</xdr:rowOff>
    </xdr:from>
    <xdr:to>
      <xdr:col>30</xdr:col>
      <xdr:colOff>21264</xdr:colOff>
      <xdr:row>524</xdr:row>
      <xdr:rowOff>56170</xdr:rowOff>
    </xdr:to>
    <xdr:sp macro="" textlink="">
      <xdr:nvSpPr>
        <xdr:cNvPr id="527" name="rect 52">
          <a:extLst>
            <a:ext uri="{FF2B5EF4-FFF2-40B4-BE49-F238E27FC236}">
              <a16:creationId xmlns:a16="http://schemas.microsoft.com/office/drawing/2014/main" id="{AB54650D-47C3-4DC4-A4E5-BB7CB1D15559}"/>
            </a:ext>
          </a:extLst>
        </xdr:cNvPr>
        <xdr:cNvSpPr/>
      </xdr:nvSpPr>
      <xdr:spPr>
        <a:xfrm>
          <a:off x="4048125" y="67884675"/>
          <a:ext cx="2935914" cy="132370"/>
        </a:xfrm>
        <a:prstGeom prst="roundRect">
          <a:avLst>
            <a:gd name="adj" fmla="val 50000"/>
          </a:avLst>
        </a:prstGeom>
        <a:gradFill flip="none" rotWithShape="1">
          <a:gsLst>
            <a:gs pos="0">
              <a:srgbClr val="FFFF62"/>
            </a:gs>
            <a:gs pos="100000">
              <a:srgbClr val="FF0000"/>
            </a:gs>
            <a:gs pos="29469">
              <a:srgbClr val="FFFF62"/>
            </a:gs>
            <a:gs pos="29469">
              <a:srgbClr val="00FF00"/>
            </a:gs>
            <a:gs pos="68686">
              <a:srgbClr val="00FF00"/>
            </a:gs>
            <a:gs pos="6868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522</xdr:row>
      <xdr:rowOff>0</xdr:rowOff>
    </xdr:from>
    <xdr:to>
      <xdr:col>31</xdr:col>
      <xdr:colOff>7302</xdr:colOff>
      <xdr:row>526</xdr:row>
      <xdr:rowOff>4483</xdr:rowOff>
    </xdr:to>
    <xdr:graphicFrame macro="">
      <xdr:nvGraphicFramePr>
        <xdr:cNvPr id="531" name="Grafico 52">
          <a:extLst>
            <a:ext uri="{FF2B5EF4-FFF2-40B4-BE49-F238E27FC236}">
              <a16:creationId xmlns:a16="http://schemas.microsoft.com/office/drawing/2014/main" id="{B0FE7C0B-83BB-4025-A173-0F92076B0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21</xdr:col>
      <xdr:colOff>0</xdr:colOff>
      <xdr:row>528</xdr:row>
      <xdr:rowOff>0</xdr:rowOff>
    </xdr:from>
    <xdr:to>
      <xdr:col>30</xdr:col>
      <xdr:colOff>21264</xdr:colOff>
      <xdr:row>529</xdr:row>
      <xdr:rowOff>56170</xdr:rowOff>
    </xdr:to>
    <xdr:sp macro="" textlink="">
      <xdr:nvSpPr>
        <xdr:cNvPr id="533" name="rect 53">
          <a:extLst>
            <a:ext uri="{FF2B5EF4-FFF2-40B4-BE49-F238E27FC236}">
              <a16:creationId xmlns:a16="http://schemas.microsoft.com/office/drawing/2014/main" id="{18F31A78-AA84-4BC9-801D-6BF1C0AB653F}"/>
            </a:ext>
          </a:extLst>
        </xdr:cNvPr>
        <xdr:cNvSpPr/>
      </xdr:nvSpPr>
      <xdr:spPr>
        <a:xfrm>
          <a:off x="4048125" y="6831330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7640">
              <a:srgbClr val="FFFF62"/>
            </a:gs>
            <a:gs pos="7640">
              <a:srgbClr val="00FF00"/>
            </a:gs>
            <a:gs pos="50301">
              <a:srgbClr val="00FF00"/>
            </a:gs>
            <a:gs pos="5030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527</xdr:row>
      <xdr:rowOff>0</xdr:rowOff>
    </xdr:from>
    <xdr:to>
      <xdr:col>31</xdr:col>
      <xdr:colOff>7302</xdr:colOff>
      <xdr:row>531</xdr:row>
      <xdr:rowOff>4483</xdr:rowOff>
    </xdr:to>
    <xdr:graphicFrame macro="">
      <xdr:nvGraphicFramePr>
        <xdr:cNvPr id="535" name="Grafico 53">
          <a:extLst>
            <a:ext uri="{FF2B5EF4-FFF2-40B4-BE49-F238E27FC236}">
              <a16:creationId xmlns:a16="http://schemas.microsoft.com/office/drawing/2014/main" id="{9779FDAF-FCA1-4C50-8711-272661C4D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21</xdr:col>
      <xdr:colOff>0</xdr:colOff>
      <xdr:row>533</xdr:row>
      <xdr:rowOff>0</xdr:rowOff>
    </xdr:from>
    <xdr:to>
      <xdr:col>30</xdr:col>
      <xdr:colOff>21264</xdr:colOff>
      <xdr:row>534</xdr:row>
      <xdr:rowOff>56170</xdr:rowOff>
    </xdr:to>
    <xdr:sp macro="" textlink="">
      <xdr:nvSpPr>
        <xdr:cNvPr id="537" name="rect 54">
          <a:extLst>
            <a:ext uri="{FF2B5EF4-FFF2-40B4-BE49-F238E27FC236}">
              <a16:creationId xmlns:a16="http://schemas.microsoft.com/office/drawing/2014/main" id="{4D320C74-FD3B-4EE2-AFEA-F160D9148386}"/>
            </a:ext>
          </a:extLst>
        </xdr:cNvPr>
        <xdr:cNvSpPr/>
      </xdr:nvSpPr>
      <xdr:spPr>
        <a:xfrm>
          <a:off x="4048125" y="68741925"/>
          <a:ext cx="2935914" cy="132370"/>
        </a:xfrm>
        <a:prstGeom prst="roundRect">
          <a:avLst>
            <a:gd name="adj" fmla="val 50000"/>
          </a:avLst>
        </a:prstGeom>
        <a:gradFill flip="none" rotWithShape="1">
          <a:gsLst>
            <a:gs pos="0">
              <a:srgbClr val="FF0000"/>
            </a:gs>
            <a:gs pos="100000">
              <a:srgbClr val="FFFF62"/>
            </a:gs>
            <a:gs pos="7000">
              <a:srgbClr val="FF0000"/>
            </a:gs>
            <a:gs pos="7000">
              <a:srgbClr val="FFFF62"/>
            </a:gs>
            <a:gs pos="32000">
              <a:srgbClr val="FFFF62"/>
            </a:gs>
            <a:gs pos="32000">
              <a:srgbClr val="00FF00"/>
            </a:gs>
            <a:gs pos="75000">
              <a:srgbClr val="00FF00"/>
            </a:gs>
            <a:gs pos="75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532</xdr:row>
      <xdr:rowOff>0</xdr:rowOff>
    </xdr:from>
    <xdr:to>
      <xdr:col>31</xdr:col>
      <xdr:colOff>7302</xdr:colOff>
      <xdr:row>536</xdr:row>
      <xdr:rowOff>4483</xdr:rowOff>
    </xdr:to>
    <xdr:graphicFrame macro="">
      <xdr:nvGraphicFramePr>
        <xdr:cNvPr id="539" name="Grafico 54">
          <a:extLst>
            <a:ext uri="{FF2B5EF4-FFF2-40B4-BE49-F238E27FC236}">
              <a16:creationId xmlns:a16="http://schemas.microsoft.com/office/drawing/2014/main" id="{946CDA9B-A778-4595-84B2-8A4123F7A7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21</xdr:col>
      <xdr:colOff>0</xdr:colOff>
      <xdr:row>538</xdr:row>
      <xdr:rowOff>0</xdr:rowOff>
    </xdr:from>
    <xdr:to>
      <xdr:col>30</xdr:col>
      <xdr:colOff>21264</xdr:colOff>
      <xdr:row>539</xdr:row>
      <xdr:rowOff>56170</xdr:rowOff>
    </xdr:to>
    <xdr:sp macro="" textlink="">
      <xdr:nvSpPr>
        <xdr:cNvPr id="541" name="rect 55">
          <a:extLst>
            <a:ext uri="{FF2B5EF4-FFF2-40B4-BE49-F238E27FC236}">
              <a16:creationId xmlns:a16="http://schemas.microsoft.com/office/drawing/2014/main" id="{9C9722D2-D858-42EE-AB42-A36A4F1DC6F3}"/>
            </a:ext>
          </a:extLst>
        </xdr:cNvPr>
        <xdr:cNvSpPr/>
      </xdr:nvSpPr>
      <xdr:spPr>
        <a:xfrm>
          <a:off x="4048125" y="69170550"/>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6709">
              <a:srgbClr val="FFFF62"/>
            </a:gs>
            <a:gs pos="6709">
              <a:srgbClr val="00FF00"/>
            </a:gs>
            <a:gs pos="50145">
              <a:srgbClr val="00FF00"/>
            </a:gs>
            <a:gs pos="5014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537</xdr:row>
      <xdr:rowOff>0</xdr:rowOff>
    </xdr:from>
    <xdr:to>
      <xdr:col>31</xdr:col>
      <xdr:colOff>7302</xdr:colOff>
      <xdr:row>541</xdr:row>
      <xdr:rowOff>4483</xdr:rowOff>
    </xdr:to>
    <xdr:graphicFrame macro="">
      <xdr:nvGraphicFramePr>
        <xdr:cNvPr id="543" name="Grafico 55">
          <a:extLst>
            <a:ext uri="{FF2B5EF4-FFF2-40B4-BE49-F238E27FC236}">
              <a16:creationId xmlns:a16="http://schemas.microsoft.com/office/drawing/2014/main" id="{6460B1B4-062A-4E3A-8715-B420A33BB1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21</xdr:col>
      <xdr:colOff>0</xdr:colOff>
      <xdr:row>546</xdr:row>
      <xdr:rowOff>0</xdr:rowOff>
    </xdr:from>
    <xdr:to>
      <xdr:col>30</xdr:col>
      <xdr:colOff>21264</xdr:colOff>
      <xdr:row>547</xdr:row>
      <xdr:rowOff>56170</xdr:rowOff>
    </xdr:to>
    <xdr:sp macro="" textlink="">
      <xdr:nvSpPr>
        <xdr:cNvPr id="545" name="rect 56">
          <a:extLst>
            <a:ext uri="{FF2B5EF4-FFF2-40B4-BE49-F238E27FC236}">
              <a16:creationId xmlns:a16="http://schemas.microsoft.com/office/drawing/2014/main" id="{0D393E6D-C03C-4760-A9C8-E78981456E7B}"/>
            </a:ext>
          </a:extLst>
        </xdr:cNvPr>
        <xdr:cNvSpPr/>
      </xdr:nvSpPr>
      <xdr:spPr>
        <a:xfrm>
          <a:off x="4048125" y="69923025"/>
          <a:ext cx="2935914" cy="132370"/>
        </a:xfrm>
        <a:prstGeom prst="roundRect">
          <a:avLst>
            <a:gd name="adj" fmla="val 50000"/>
          </a:avLst>
        </a:prstGeom>
        <a:gradFill flip="none" rotWithShape="1">
          <a:gsLst>
            <a:gs pos="0">
              <a:srgbClr val="FFFF62"/>
            </a:gs>
            <a:gs pos="100000">
              <a:srgbClr val="FF0000"/>
            </a:gs>
            <a:gs pos="14954">
              <a:srgbClr val="FFFF62"/>
            </a:gs>
            <a:gs pos="14954">
              <a:srgbClr val="00FF00"/>
            </a:gs>
            <a:gs pos="54561">
              <a:srgbClr val="00FF00"/>
            </a:gs>
            <a:gs pos="5456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545</xdr:row>
      <xdr:rowOff>0</xdr:rowOff>
    </xdr:from>
    <xdr:to>
      <xdr:col>31</xdr:col>
      <xdr:colOff>7302</xdr:colOff>
      <xdr:row>549</xdr:row>
      <xdr:rowOff>14008</xdr:rowOff>
    </xdr:to>
    <xdr:graphicFrame macro="">
      <xdr:nvGraphicFramePr>
        <xdr:cNvPr id="547" name="Grafico 56">
          <a:extLst>
            <a:ext uri="{FF2B5EF4-FFF2-40B4-BE49-F238E27FC236}">
              <a16:creationId xmlns:a16="http://schemas.microsoft.com/office/drawing/2014/main" id="{865249F8-F956-4599-9ECC-60059298B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21</xdr:col>
      <xdr:colOff>0</xdr:colOff>
      <xdr:row>551</xdr:row>
      <xdr:rowOff>0</xdr:rowOff>
    </xdr:from>
    <xdr:to>
      <xdr:col>30</xdr:col>
      <xdr:colOff>21264</xdr:colOff>
      <xdr:row>552</xdr:row>
      <xdr:rowOff>56170</xdr:rowOff>
    </xdr:to>
    <xdr:sp macro="" textlink="">
      <xdr:nvSpPr>
        <xdr:cNvPr id="549" name="rect 57">
          <a:extLst>
            <a:ext uri="{FF2B5EF4-FFF2-40B4-BE49-F238E27FC236}">
              <a16:creationId xmlns:a16="http://schemas.microsoft.com/office/drawing/2014/main" id="{CB081462-2FDB-47B4-8332-28C8907640E2}"/>
            </a:ext>
          </a:extLst>
        </xdr:cNvPr>
        <xdr:cNvSpPr/>
      </xdr:nvSpPr>
      <xdr:spPr>
        <a:xfrm>
          <a:off x="4048125" y="70351650"/>
          <a:ext cx="2935914" cy="132370"/>
        </a:xfrm>
        <a:prstGeom prst="roundRect">
          <a:avLst>
            <a:gd name="adj" fmla="val 50000"/>
          </a:avLst>
        </a:prstGeom>
        <a:gradFill flip="none" rotWithShape="1">
          <a:gsLst>
            <a:gs pos="0">
              <a:srgbClr val="FFFF62"/>
            </a:gs>
            <a:gs pos="100000">
              <a:srgbClr val="FF0000"/>
            </a:gs>
            <a:gs pos="39255">
              <a:srgbClr val="FFFF62"/>
            </a:gs>
            <a:gs pos="39255">
              <a:srgbClr val="00FF00"/>
            </a:gs>
            <a:gs pos="73749">
              <a:srgbClr val="00FF00"/>
            </a:gs>
            <a:gs pos="7374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550</xdr:row>
      <xdr:rowOff>0</xdr:rowOff>
    </xdr:from>
    <xdr:to>
      <xdr:col>31</xdr:col>
      <xdr:colOff>7302</xdr:colOff>
      <xdr:row>554</xdr:row>
      <xdr:rowOff>4483</xdr:rowOff>
    </xdr:to>
    <xdr:graphicFrame macro="">
      <xdr:nvGraphicFramePr>
        <xdr:cNvPr id="551" name="Grafico 57">
          <a:extLst>
            <a:ext uri="{FF2B5EF4-FFF2-40B4-BE49-F238E27FC236}">
              <a16:creationId xmlns:a16="http://schemas.microsoft.com/office/drawing/2014/main" id="{E7BCBD29-4DE0-480D-BC04-7E966C2E06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21</xdr:col>
      <xdr:colOff>0</xdr:colOff>
      <xdr:row>636</xdr:row>
      <xdr:rowOff>0</xdr:rowOff>
    </xdr:from>
    <xdr:to>
      <xdr:col>30</xdr:col>
      <xdr:colOff>21264</xdr:colOff>
      <xdr:row>637</xdr:row>
      <xdr:rowOff>56170</xdr:rowOff>
    </xdr:to>
    <xdr:sp macro="" textlink="">
      <xdr:nvSpPr>
        <xdr:cNvPr id="553" name="rect 58">
          <a:extLst>
            <a:ext uri="{FF2B5EF4-FFF2-40B4-BE49-F238E27FC236}">
              <a16:creationId xmlns:a16="http://schemas.microsoft.com/office/drawing/2014/main" id="{5302F410-904C-483B-9AD5-BF3E2C913424}"/>
            </a:ext>
          </a:extLst>
        </xdr:cNvPr>
        <xdr:cNvSpPr/>
      </xdr:nvSpPr>
      <xdr:spPr>
        <a:xfrm>
          <a:off x="4048125" y="84267675"/>
          <a:ext cx="2935914" cy="132370"/>
        </a:xfrm>
        <a:prstGeom prst="roundRect">
          <a:avLst>
            <a:gd name="adj" fmla="val 50000"/>
          </a:avLst>
        </a:prstGeom>
        <a:gradFill flip="none" rotWithShape="1">
          <a:gsLst>
            <a:gs pos="0">
              <a:srgbClr val="FFFF62"/>
            </a:gs>
            <a:gs pos="100000">
              <a:srgbClr val="FF0000"/>
            </a:gs>
            <a:gs pos="9243">
              <a:srgbClr val="FFFF62"/>
            </a:gs>
            <a:gs pos="9243">
              <a:srgbClr val="00FF00"/>
            </a:gs>
            <a:gs pos="50647">
              <a:srgbClr val="00FF00"/>
            </a:gs>
            <a:gs pos="5064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635</xdr:row>
      <xdr:rowOff>0</xdr:rowOff>
    </xdr:from>
    <xdr:to>
      <xdr:col>31</xdr:col>
      <xdr:colOff>7302</xdr:colOff>
      <xdr:row>639</xdr:row>
      <xdr:rowOff>4483</xdr:rowOff>
    </xdr:to>
    <xdr:graphicFrame macro="">
      <xdr:nvGraphicFramePr>
        <xdr:cNvPr id="555" name="Grafico 58">
          <a:extLst>
            <a:ext uri="{FF2B5EF4-FFF2-40B4-BE49-F238E27FC236}">
              <a16:creationId xmlns:a16="http://schemas.microsoft.com/office/drawing/2014/main" id="{90BC036C-755A-4155-BCE6-45568A2E7B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21</xdr:col>
      <xdr:colOff>0</xdr:colOff>
      <xdr:row>642</xdr:row>
      <xdr:rowOff>0</xdr:rowOff>
    </xdr:from>
    <xdr:to>
      <xdr:col>30</xdr:col>
      <xdr:colOff>21264</xdr:colOff>
      <xdr:row>643</xdr:row>
      <xdr:rowOff>56170</xdr:rowOff>
    </xdr:to>
    <xdr:sp macro="" textlink="">
      <xdr:nvSpPr>
        <xdr:cNvPr id="557" name="rect 59">
          <a:extLst>
            <a:ext uri="{FF2B5EF4-FFF2-40B4-BE49-F238E27FC236}">
              <a16:creationId xmlns:a16="http://schemas.microsoft.com/office/drawing/2014/main" id="{D96381BB-7BFF-470D-8ABA-AE058FB6A0DD}"/>
            </a:ext>
          </a:extLst>
        </xdr:cNvPr>
        <xdr:cNvSpPr/>
      </xdr:nvSpPr>
      <xdr:spPr>
        <a:xfrm>
          <a:off x="4048125" y="84858225"/>
          <a:ext cx="2935914" cy="132370"/>
        </a:xfrm>
        <a:prstGeom prst="roundRect">
          <a:avLst>
            <a:gd name="adj" fmla="val 50000"/>
          </a:avLst>
        </a:prstGeom>
        <a:gradFill flip="none" rotWithShape="1">
          <a:gsLst>
            <a:gs pos="0">
              <a:srgbClr val="FFFF62"/>
            </a:gs>
            <a:gs pos="100000">
              <a:srgbClr val="FF0000"/>
            </a:gs>
            <a:gs pos="18519">
              <a:srgbClr val="FFFF62"/>
            </a:gs>
            <a:gs pos="18519">
              <a:srgbClr val="00FF00"/>
            </a:gs>
            <a:gs pos="52476">
              <a:srgbClr val="00FF00"/>
            </a:gs>
            <a:gs pos="5247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641</xdr:row>
      <xdr:rowOff>0</xdr:rowOff>
    </xdr:from>
    <xdr:to>
      <xdr:col>31</xdr:col>
      <xdr:colOff>7302</xdr:colOff>
      <xdr:row>645</xdr:row>
      <xdr:rowOff>4483</xdr:rowOff>
    </xdr:to>
    <xdr:graphicFrame macro="">
      <xdr:nvGraphicFramePr>
        <xdr:cNvPr id="559" name="Grafico 59">
          <a:extLst>
            <a:ext uri="{FF2B5EF4-FFF2-40B4-BE49-F238E27FC236}">
              <a16:creationId xmlns:a16="http://schemas.microsoft.com/office/drawing/2014/main" id="{55350502-E342-4AAB-98FD-5E67E9A714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21</xdr:col>
      <xdr:colOff>0</xdr:colOff>
      <xdr:row>648</xdr:row>
      <xdr:rowOff>0</xdr:rowOff>
    </xdr:from>
    <xdr:to>
      <xdr:col>30</xdr:col>
      <xdr:colOff>21264</xdr:colOff>
      <xdr:row>649</xdr:row>
      <xdr:rowOff>56170</xdr:rowOff>
    </xdr:to>
    <xdr:sp macro="" textlink="">
      <xdr:nvSpPr>
        <xdr:cNvPr id="561" name="rect 60">
          <a:extLst>
            <a:ext uri="{FF2B5EF4-FFF2-40B4-BE49-F238E27FC236}">
              <a16:creationId xmlns:a16="http://schemas.microsoft.com/office/drawing/2014/main" id="{1AD5738A-09B1-4E34-AF9F-14E8D311A6BE}"/>
            </a:ext>
          </a:extLst>
        </xdr:cNvPr>
        <xdr:cNvSpPr/>
      </xdr:nvSpPr>
      <xdr:spPr>
        <a:xfrm>
          <a:off x="4048125" y="8544877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14010">
              <a:srgbClr val="FFFF62"/>
            </a:gs>
            <a:gs pos="14010">
              <a:srgbClr val="00FF00"/>
            </a:gs>
            <a:gs pos="52671">
              <a:srgbClr val="00FF00"/>
            </a:gs>
            <a:gs pos="5267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647</xdr:row>
      <xdr:rowOff>0</xdr:rowOff>
    </xdr:from>
    <xdr:to>
      <xdr:col>31</xdr:col>
      <xdr:colOff>7302</xdr:colOff>
      <xdr:row>651</xdr:row>
      <xdr:rowOff>4483</xdr:rowOff>
    </xdr:to>
    <xdr:graphicFrame macro="">
      <xdr:nvGraphicFramePr>
        <xdr:cNvPr id="563" name="Grafico 60">
          <a:extLst>
            <a:ext uri="{FF2B5EF4-FFF2-40B4-BE49-F238E27FC236}">
              <a16:creationId xmlns:a16="http://schemas.microsoft.com/office/drawing/2014/main" id="{FA10A4FC-3221-4B38-9AC5-32FCA4925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21</xdr:col>
      <xdr:colOff>0</xdr:colOff>
      <xdr:row>653</xdr:row>
      <xdr:rowOff>0</xdr:rowOff>
    </xdr:from>
    <xdr:to>
      <xdr:col>30</xdr:col>
      <xdr:colOff>21264</xdr:colOff>
      <xdr:row>654</xdr:row>
      <xdr:rowOff>56170</xdr:rowOff>
    </xdr:to>
    <xdr:sp macro="" textlink="">
      <xdr:nvSpPr>
        <xdr:cNvPr id="565" name="rect 61">
          <a:extLst>
            <a:ext uri="{FF2B5EF4-FFF2-40B4-BE49-F238E27FC236}">
              <a16:creationId xmlns:a16="http://schemas.microsoft.com/office/drawing/2014/main" id="{2814428A-76FC-4DF4-B3AF-4ECF3744CA89}"/>
            </a:ext>
          </a:extLst>
        </xdr:cNvPr>
        <xdr:cNvSpPr/>
      </xdr:nvSpPr>
      <xdr:spPr>
        <a:xfrm>
          <a:off x="4048125" y="85877400"/>
          <a:ext cx="2935914" cy="132370"/>
        </a:xfrm>
        <a:prstGeom prst="roundRect">
          <a:avLst>
            <a:gd name="adj" fmla="val 50000"/>
          </a:avLst>
        </a:prstGeom>
        <a:gradFill flip="none" rotWithShape="1">
          <a:gsLst>
            <a:gs pos="0">
              <a:srgbClr val="FFFF62"/>
            </a:gs>
            <a:gs pos="100000">
              <a:srgbClr val="FF0000"/>
            </a:gs>
            <a:gs pos="6893">
              <a:srgbClr val="FFFF62"/>
            </a:gs>
            <a:gs pos="6893">
              <a:srgbClr val="00FF00"/>
            </a:gs>
            <a:gs pos="49463">
              <a:srgbClr val="00FF00"/>
            </a:gs>
            <a:gs pos="4946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652</xdr:row>
      <xdr:rowOff>0</xdr:rowOff>
    </xdr:from>
    <xdr:to>
      <xdr:col>31</xdr:col>
      <xdr:colOff>7302</xdr:colOff>
      <xdr:row>655</xdr:row>
      <xdr:rowOff>71158</xdr:rowOff>
    </xdr:to>
    <xdr:graphicFrame macro="">
      <xdr:nvGraphicFramePr>
        <xdr:cNvPr id="567" name="Grafico 61">
          <a:extLst>
            <a:ext uri="{FF2B5EF4-FFF2-40B4-BE49-F238E27FC236}">
              <a16:creationId xmlns:a16="http://schemas.microsoft.com/office/drawing/2014/main" id="{420F6CD3-2F99-4840-BA77-047854AA5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21</xdr:col>
      <xdr:colOff>0</xdr:colOff>
      <xdr:row>660</xdr:row>
      <xdr:rowOff>0</xdr:rowOff>
    </xdr:from>
    <xdr:to>
      <xdr:col>30</xdr:col>
      <xdr:colOff>21264</xdr:colOff>
      <xdr:row>661</xdr:row>
      <xdr:rowOff>56170</xdr:rowOff>
    </xdr:to>
    <xdr:sp macro="" textlink="">
      <xdr:nvSpPr>
        <xdr:cNvPr id="569" name="rect 62">
          <a:extLst>
            <a:ext uri="{FF2B5EF4-FFF2-40B4-BE49-F238E27FC236}">
              <a16:creationId xmlns:a16="http://schemas.microsoft.com/office/drawing/2014/main" id="{42577BA4-8EA7-4919-8D59-A5224AFF2FAE}"/>
            </a:ext>
          </a:extLst>
        </xdr:cNvPr>
        <xdr:cNvSpPr/>
      </xdr:nvSpPr>
      <xdr:spPr>
        <a:xfrm>
          <a:off x="4048125" y="86639400"/>
          <a:ext cx="2935914" cy="132370"/>
        </a:xfrm>
        <a:prstGeom prst="roundRect">
          <a:avLst>
            <a:gd name="adj" fmla="val 50000"/>
          </a:avLst>
        </a:prstGeom>
        <a:gradFill flip="none" rotWithShape="1">
          <a:gsLst>
            <a:gs pos="0">
              <a:srgbClr val="FFFF62"/>
            </a:gs>
            <a:gs pos="100000">
              <a:srgbClr val="FF0000"/>
            </a:gs>
            <a:gs pos="16791">
              <a:srgbClr val="FFFF62"/>
            </a:gs>
            <a:gs pos="16791">
              <a:srgbClr val="00FF00"/>
            </a:gs>
            <a:gs pos="50147">
              <a:srgbClr val="00FF00"/>
            </a:gs>
            <a:gs pos="5014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659</xdr:row>
      <xdr:rowOff>0</xdr:rowOff>
    </xdr:from>
    <xdr:to>
      <xdr:col>31</xdr:col>
      <xdr:colOff>7302</xdr:colOff>
      <xdr:row>663</xdr:row>
      <xdr:rowOff>4483</xdr:rowOff>
    </xdr:to>
    <xdr:graphicFrame macro="">
      <xdr:nvGraphicFramePr>
        <xdr:cNvPr id="571" name="Grafico 62">
          <a:extLst>
            <a:ext uri="{FF2B5EF4-FFF2-40B4-BE49-F238E27FC236}">
              <a16:creationId xmlns:a16="http://schemas.microsoft.com/office/drawing/2014/main" id="{AD405D9C-A0FD-402A-BE09-60234CA1E8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21</xdr:col>
      <xdr:colOff>0</xdr:colOff>
      <xdr:row>665</xdr:row>
      <xdr:rowOff>0</xdr:rowOff>
    </xdr:from>
    <xdr:to>
      <xdr:col>30</xdr:col>
      <xdr:colOff>21264</xdr:colOff>
      <xdr:row>666</xdr:row>
      <xdr:rowOff>56170</xdr:rowOff>
    </xdr:to>
    <xdr:sp macro="" textlink="">
      <xdr:nvSpPr>
        <xdr:cNvPr id="573" name="rect 63">
          <a:extLst>
            <a:ext uri="{FF2B5EF4-FFF2-40B4-BE49-F238E27FC236}">
              <a16:creationId xmlns:a16="http://schemas.microsoft.com/office/drawing/2014/main" id="{C3EC2F9A-E749-4975-97D1-8492055A2A80}"/>
            </a:ext>
          </a:extLst>
        </xdr:cNvPr>
        <xdr:cNvSpPr/>
      </xdr:nvSpPr>
      <xdr:spPr>
        <a:xfrm>
          <a:off x="4048125" y="87068025"/>
          <a:ext cx="2935914" cy="132370"/>
        </a:xfrm>
        <a:prstGeom prst="roundRect">
          <a:avLst>
            <a:gd name="adj" fmla="val 50000"/>
          </a:avLst>
        </a:prstGeom>
        <a:gradFill flip="none" rotWithShape="1">
          <a:gsLst>
            <a:gs pos="0">
              <a:srgbClr val="FFFF62"/>
            </a:gs>
            <a:gs pos="100000">
              <a:srgbClr val="FF0000"/>
            </a:gs>
            <a:gs pos="19128">
              <a:srgbClr val="FFFF62"/>
            </a:gs>
            <a:gs pos="19128">
              <a:srgbClr val="00FF00"/>
            </a:gs>
            <a:gs pos="54904">
              <a:srgbClr val="00FF00"/>
            </a:gs>
            <a:gs pos="5490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664</xdr:row>
      <xdr:rowOff>0</xdr:rowOff>
    </xdr:from>
    <xdr:to>
      <xdr:col>31</xdr:col>
      <xdr:colOff>7302</xdr:colOff>
      <xdr:row>668</xdr:row>
      <xdr:rowOff>4483</xdr:rowOff>
    </xdr:to>
    <xdr:graphicFrame macro="">
      <xdr:nvGraphicFramePr>
        <xdr:cNvPr id="575" name="Grafico 63">
          <a:extLst>
            <a:ext uri="{FF2B5EF4-FFF2-40B4-BE49-F238E27FC236}">
              <a16:creationId xmlns:a16="http://schemas.microsoft.com/office/drawing/2014/main" id="{9C90B6FF-8FFC-4EA6-AD62-DDD9BDC62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21</xdr:col>
      <xdr:colOff>0</xdr:colOff>
      <xdr:row>670</xdr:row>
      <xdr:rowOff>0</xdr:rowOff>
    </xdr:from>
    <xdr:to>
      <xdr:col>30</xdr:col>
      <xdr:colOff>21264</xdr:colOff>
      <xdr:row>671</xdr:row>
      <xdr:rowOff>56170</xdr:rowOff>
    </xdr:to>
    <xdr:sp macro="" textlink="">
      <xdr:nvSpPr>
        <xdr:cNvPr id="129" name="rect 64">
          <a:extLst>
            <a:ext uri="{FF2B5EF4-FFF2-40B4-BE49-F238E27FC236}">
              <a16:creationId xmlns:a16="http://schemas.microsoft.com/office/drawing/2014/main" id="{60013B85-D9C8-4D0B-A2ED-C0D32DC962F8}"/>
            </a:ext>
          </a:extLst>
        </xdr:cNvPr>
        <xdr:cNvSpPr/>
      </xdr:nvSpPr>
      <xdr:spPr>
        <a:xfrm>
          <a:off x="4048125" y="87496650"/>
          <a:ext cx="2935914" cy="132370"/>
        </a:xfrm>
        <a:prstGeom prst="roundRect">
          <a:avLst>
            <a:gd name="adj" fmla="val 50000"/>
          </a:avLst>
        </a:prstGeom>
        <a:gradFill flip="none" rotWithShape="1">
          <a:gsLst>
            <a:gs pos="0">
              <a:srgbClr val="FFFF62"/>
            </a:gs>
            <a:gs pos="100000">
              <a:srgbClr val="FF0000"/>
            </a:gs>
            <a:gs pos="8668">
              <a:srgbClr val="FFFF62"/>
            </a:gs>
            <a:gs pos="8668">
              <a:srgbClr val="00FF00"/>
            </a:gs>
            <a:gs pos="49076">
              <a:srgbClr val="00FF00"/>
            </a:gs>
            <a:gs pos="4907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669</xdr:row>
      <xdr:rowOff>0</xdr:rowOff>
    </xdr:from>
    <xdr:to>
      <xdr:col>31</xdr:col>
      <xdr:colOff>7302</xdr:colOff>
      <xdr:row>673</xdr:row>
      <xdr:rowOff>4483</xdr:rowOff>
    </xdr:to>
    <xdr:graphicFrame macro="">
      <xdr:nvGraphicFramePr>
        <xdr:cNvPr id="137" name="Grafico 64">
          <a:extLst>
            <a:ext uri="{FF2B5EF4-FFF2-40B4-BE49-F238E27FC236}">
              <a16:creationId xmlns:a16="http://schemas.microsoft.com/office/drawing/2014/main" id="{FA118575-984E-40A7-8E6A-314EA0211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21</xdr:col>
      <xdr:colOff>0</xdr:colOff>
      <xdr:row>675</xdr:row>
      <xdr:rowOff>0</xdr:rowOff>
    </xdr:from>
    <xdr:to>
      <xdr:col>30</xdr:col>
      <xdr:colOff>21264</xdr:colOff>
      <xdr:row>676</xdr:row>
      <xdr:rowOff>56170</xdr:rowOff>
    </xdr:to>
    <xdr:sp macro="" textlink="">
      <xdr:nvSpPr>
        <xdr:cNvPr id="141" name="rect 65">
          <a:extLst>
            <a:ext uri="{FF2B5EF4-FFF2-40B4-BE49-F238E27FC236}">
              <a16:creationId xmlns:a16="http://schemas.microsoft.com/office/drawing/2014/main" id="{E428A0A9-022B-4A08-BA06-960B20C438C1}"/>
            </a:ext>
          </a:extLst>
        </xdr:cNvPr>
        <xdr:cNvSpPr/>
      </xdr:nvSpPr>
      <xdr:spPr>
        <a:xfrm>
          <a:off x="4048125" y="87925275"/>
          <a:ext cx="2935914" cy="132370"/>
        </a:xfrm>
        <a:prstGeom prst="roundRect">
          <a:avLst>
            <a:gd name="adj" fmla="val 50000"/>
          </a:avLst>
        </a:prstGeom>
        <a:gradFill flip="none" rotWithShape="1">
          <a:gsLst>
            <a:gs pos="0">
              <a:srgbClr val="FFFF62"/>
            </a:gs>
            <a:gs pos="100000">
              <a:srgbClr val="FF0000"/>
            </a:gs>
            <a:gs pos="6855">
              <a:srgbClr val="FFFF62"/>
            </a:gs>
            <a:gs pos="6855">
              <a:srgbClr val="00FF00"/>
            </a:gs>
            <a:gs pos="46738">
              <a:srgbClr val="00FF00"/>
            </a:gs>
            <a:gs pos="4673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674</xdr:row>
      <xdr:rowOff>0</xdr:rowOff>
    </xdr:from>
    <xdr:to>
      <xdr:col>31</xdr:col>
      <xdr:colOff>7302</xdr:colOff>
      <xdr:row>678</xdr:row>
      <xdr:rowOff>4483</xdr:rowOff>
    </xdr:to>
    <xdr:graphicFrame macro="">
      <xdr:nvGraphicFramePr>
        <xdr:cNvPr id="147" name="Grafico 65">
          <a:extLst>
            <a:ext uri="{FF2B5EF4-FFF2-40B4-BE49-F238E27FC236}">
              <a16:creationId xmlns:a16="http://schemas.microsoft.com/office/drawing/2014/main" id="{4CA4E577-57CD-40A1-AAE8-56C3C4C4A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21</xdr:col>
      <xdr:colOff>0</xdr:colOff>
      <xdr:row>680</xdr:row>
      <xdr:rowOff>0</xdr:rowOff>
    </xdr:from>
    <xdr:to>
      <xdr:col>30</xdr:col>
      <xdr:colOff>21264</xdr:colOff>
      <xdr:row>681</xdr:row>
      <xdr:rowOff>56170</xdr:rowOff>
    </xdr:to>
    <xdr:sp macro="" textlink="">
      <xdr:nvSpPr>
        <xdr:cNvPr id="149" name="rect 66">
          <a:extLst>
            <a:ext uri="{FF2B5EF4-FFF2-40B4-BE49-F238E27FC236}">
              <a16:creationId xmlns:a16="http://schemas.microsoft.com/office/drawing/2014/main" id="{8407E143-D9A7-41BD-A4E1-56C6E0C3F4CF}"/>
            </a:ext>
          </a:extLst>
        </xdr:cNvPr>
        <xdr:cNvSpPr/>
      </xdr:nvSpPr>
      <xdr:spPr>
        <a:xfrm>
          <a:off x="4048125" y="88353900"/>
          <a:ext cx="2935914" cy="132370"/>
        </a:xfrm>
        <a:prstGeom prst="roundRect">
          <a:avLst>
            <a:gd name="adj" fmla="val 50000"/>
          </a:avLst>
        </a:prstGeom>
        <a:gradFill flip="none" rotWithShape="1">
          <a:gsLst>
            <a:gs pos="0">
              <a:srgbClr val="FFFF62"/>
            </a:gs>
            <a:gs pos="100000">
              <a:srgbClr val="FF0000"/>
            </a:gs>
            <a:gs pos="29401">
              <a:srgbClr val="FFFF62"/>
            </a:gs>
            <a:gs pos="29401">
              <a:srgbClr val="00FF00"/>
            </a:gs>
            <a:gs pos="60696">
              <a:srgbClr val="00FF00"/>
            </a:gs>
            <a:gs pos="6069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679</xdr:row>
      <xdr:rowOff>0</xdr:rowOff>
    </xdr:from>
    <xdr:to>
      <xdr:col>31</xdr:col>
      <xdr:colOff>7302</xdr:colOff>
      <xdr:row>683</xdr:row>
      <xdr:rowOff>4483</xdr:rowOff>
    </xdr:to>
    <xdr:graphicFrame macro="">
      <xdr:nvGraphicFramePr>
        <xdr:cNvPr id="152" name="Grafico 66">
          <a:extLst>
            <a:ext uri="{FF2B5EF4-FFF2-40B4-BE49-F238E27FC236}">
              <a16:creationId xmlns:a16="http://schemas.microsoft.com/office/drawing/2014/main" id="{D08D828B-DF19-4588-AAF2-D33246AAC9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21</xdr:col>
      <xdr:colOff>0</xdr:colOff>
      <xdr:row>685</xdr:row>
      <xdr:rowOff>0</xdr:rowOff>
    </xdr:from>
    <xdr:to>
      <xdr:col>30</xdr:col>
      <xdr:colOff>21264</xdr:colOff>
      <xdr:row>686</xdr:row>
      <xdr:rowOff>56170</xdr:rowOff>
    </xdr:to>
    <xdr:sp macro="" textlink="">
      <xdr:nvSpPr>
        <xdr:cNvPr id="154" name="rect 67">
          <a:extLst>
            <a:ext uri="{FF2B5EF4-FFF2-40B4-BE49-F238E27FC236}">
              <a16:creationId xmlns:a16="http://schemas.microsoft.com/office/drawing/2014/main" id="{5C110916-E0EA-4440-A7A5-8AD1E1EED876}"/>
            </a:ext>
          </a:extLst>
        </xdr:cNvPr>
        <xdr:cNvSpPr/>
      </xdr:nvSpPr>
      <xdr:spPr>
        <a:xfrm>
          <a:off x="4048125" y="88782525"/>
          <a:ext cx="2935914" cy="132370"/>
        </a:xfrm>
        <a:prstGeom prst="roundRect">
          <a:avLst>
            <a:gd name="adj" fmla="val 50000"/>
          </a:avLst>
        </a:prstGeom>
        <a:gradFill flip="none" rotWithShape="1">
          <a:gsLst>
            <a:gs pos="0">
              <a:srgbClr val="FFFF62"/>
            </a:gs>
            <a:gs pos="100000">
              <a:srgbClr val="FF0000"/>
            </a:gs>
            <a:gs pos="22205">
              <a:srgbClr val="FFFF62"/>
            </a:gs>
            <a:gs pos="22205">
              <a:srgbClr val="00FF00"/>
            </a:gs>
            <a:gs pos="57585">
              <a:srgbClr val="00FF00"/>
            </a:gs>
            <a:gs pos="5758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684</xdr:row>
      <xdr:rowOff>0</xdr:rowOff>
    </xdr:from>
    <xdr:to>
      <xdr:col>31</xdr:col>
      <xdr:colOff>7302</xdr:colOff>
      <xdr:row>688</xdr:row>
      <xdr:rowOff>4483</xdr:rowOff>
    </xdr:to>
    <xdr:graphicFrame macro="">
      <xdr:nvGraphicFramePr>
        <xdr:cNvPr id="156" name="Grafico 67">
          <a:extLst>
            <a:ext uri="{FF2B5EF4-FFF2-40B4-BE49-F238E27FC236}">
              <a16:creationId xmlns:a16="http://schemas.microsoft.com/office/drawing/2014/main" id="{07367C32-811A-4605-AD78-9AAE831A2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21</xdr:col>
      <xdr:colOff>0</xdr:colOff>
      <xdr:row>690</xdr:row>
      <xdr:rowOff>0</xdr:rowOff>
    </xdr:from>
    <xdr:to>
      <xdr:col>30</xdr:col>
      <xdr:colOff>21264</xdr:colOff>
      <xdr:row>691</xdr:row>
      <xdr:rowOff>56170</xdr:rowOff>
    </xdr:to>
    <xdr:sp macro="" textlink="">
      <xdr:nvSpPr>
        <xdr:cNvPr id="158" name="rect 68">
          <a:extLst>
            <a:ext uri="{FF2B5EF4-FFF2-40B4-BE49-F238E27FC236}">
              <a16:creationId xmlns:a16="http://schemas.microsoft.com/office/drawing/2014/main" id="{45945EC6-7E65-4BD1-B9F1-F07B64BEAE95}"/>
            </a:ext>
          </a:extLst>
        </xdr:cNvPr>
        <xdr:cNvSpPr/>
      </xdr:nvSpPr>
      <xdr:spPr>
        <a:xfrm>
          <a:off x="4048125" y="89211150"/>
          <a:ext cx="2935914" cy="132370"/>
        </a:xfrm>
        <a:prstGeom prst="roundRect">
          <a:avLst>
            <a:gd name="adj" fmla="val 50000"/>
          </a:avLst>
        </a:prstGeom>
        <a:gradFill flip="none" rotWithShape="1">
          <a:gsLst>
            <a:gs pos="0">
              <a:srgbClr val="FFFF62"/>
            </a:gs>
            <a:gs pos="100000">
              <a:srgbClr val="FF0000"/>
            </a:gs>
            <a:gs pos="6006">
              <a:srgbClr val="FFFF62"/>
            </a:gs>
            <a:gs pos="6006">
              <a:srgbClr val="00FF00"/>
            </a:gs>
            <a:gs pos="49368">
              <a:srgbClr val="00FF00"/>
            </a:gs>
            <a:gs pos="4936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689</xdr:row>
      <xdr:rowOff>0</xdr:rowOff>
    </xdr:from>
    <xdr:to>
      <xdr:col>31</xdr:col>
      <xdr:colOff>7302</xdr:colOff>
      <xdr:row>693</xdr:row>
      <xdr:rowOff>4483</xdr:rowOff>
    </xdr:to>
    <xdr:graphicFrame macro="">
      <xdr:nvGraphicFramePr>
        <xdr:cNvPr id="160" name="Grafico 68">
          <a:extLst>
            <a:ext uri="{FF2B5EF4-FFF2-40B4-BE49-F238E27FC236}">
              <a16:creationId xmlns:a16="http://schemas.microsoft.com/office/drawing/2014/main" id="{51AB14F7-58C7-4B39-AA4B-311BF8972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21</xdr:col>
      <xdr:colOff>0</xdr:colOff>
      <xdr:row>695</xdr:row>
      <xdr:rowOff>0</xdr:rowOff>
    </xdr:from>
    <xdr:to>
      <xdr:col>30</xdr:col>
      <xdr:colOff>21264</xdr:colOff>
      <xdr:row>696</xdr:row>
      <xdr:rowOff>56170</xdr:rowOff>
    </xdr:to>
    <xdr:sp macro="" textlink="">
      <xdr:nvSpPr>
        <xdr:cNvPr id="162" name="rect 69">
          <a:extLst>
            <a:ext uri="{FF2B5EF4-FFF2-40B4-BE49-F238E27FC236}">
              <a16:creationId xmlns:a16="http://schemas.microsoft.com/office/drawing/2014/main" id="{F289155C-7445-4EC6-9D2C-7403870CF633}"/>
            </a:ext>
          </a:extLst>
        </xdr:cNvPr>
        <xdr:cNvSpPr/>
      </xdr:nvSpPr>
      <xdr:spPr>
        <a:xfrm>
          <a:off x="4048125" y="89639775"/>
          <a:ext cx="2935914" cy="132370"/>
        </a:xfrm>
        <a:prstGeom prst="roundRect">
          <a:avLst>
            <a:gd name="adj" fmla="val 50000"/>
          </a:avLst>
        </a:prstGeom>
        <a:gradFill flip="none" rotWithShape="1">
          <a:gsLst>
            <a:gs pos="0">
              <a:srgbClr val="FFFF62"/>
            </a:gs>
            <a:gs pos="100000">
              <a:srgbClr val="FF0000"/>
            </a:gs>
            <a:gs pos="20719">
              <a:srgbClr val="FFFF62"/>
            </a:gs>
            <a:gs pos="20719">
              <a:srgbClr val="00FF00"/>
            </a:gs>
            <a:gs pos="56961">
              <a:srgbClr val="00FF00"/>
            </a:gs>
            <a:gs pos="5696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694</xdr:row>
      <xdr:rowOff>0</xdr:rowOff>
    </xdr:from>
    <xdr:to>
      <xdr:col>31</xdr:col>
      <xdr:colOff>7302</xdr:colOff>
      <xdr:row>698</xdr:row>
      <xdr:rowOff>4483</xdr:rowOff>
    </xdr:to>
    <xdr:graphicFrame macro="">
      <xdr:nvGraphicFramePr>
        <xdr:cNvPr id="164" name="Grafico 69">
          <a:extLst>
            <a:ext uri="{FF2B5EF4-FFF2-40B4-BE49-F238E27FC236}">
              <a16:creationId xmlns:a16="http://schemas.microsoft.com/office/drawing/2014/main" id="{729D6FCA-71DE-4C56-97B6-7A421E8F7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21</xdr:col>
      <xdr:colOff>0</xdr:colOff>
      <xdr:row>702</xdr:row>
      <xdr:rowOff>0</xdr:rowOff>
    </xdr:from>
    <xdr:to>
      <xdr:col>30</xdr:col>
      <xdr:colOff>21264</xdr:colOff>
      <xdr:row>703</xdr:row>
      <xdr:rowOff>56170</xdr:rowOff>
    </xdr:to>
    <xdr:sp macro="" textlink="">
      <xdr:nvSpPr>
        <xdr:cNvPr id="166" name="rect 70">
          <a:extLst>
            <a:ext uri="{FF2B5EF4-FFF2-40B4-BE49-F238E27FC236}">
              <a16:creationId xmlns:a16="http://schemas.microsoft.com/office/drawing/2014/main" id="{26893ED3-EC5F-40B4-80A5-B7C927A4BCE4}"/>
            </a:ext>
          </a:extLst>
        </xdr:cNvPr>
        <xdr:cNvSpPr/>
      </xdr:nvSpPr>
      <xdr:spPr>
        <a:xfrm>
          <a:off x="4048125" y="90268425"/>
          <a:ext cx="2935914" cy="132370"/>
        </a:xfrm>
        <a:prstGeom prst="roundRect">
          <a:avLst>
            <a:gd name="adj" fmla="val 50000"/>
          </a:avLst>
        </a:prstGeom>
        <a:gradFill flip="none" rotWithShape="1">
          <a:gsLst>
            <a:gs pos="0">
              <a:srgbClr val="FF0000"/>
            </a:gs>
            <a:gs pos="100000">
              <a:srgbClr val="FF0000"/>
            </a:gs>
            <a:gs pos="7000">
              <a:srgbClr val="FF0000"/>
            </a:gs>
            <a:gs pos="7000">
              <a:srgbClr val="FFFF62"/>
            </a:gs>
            <a:gs pos="35376">
              <a:srgbClr val="FFFF62"/>
            </a:gs>
            <a:gs pos="35376">
              <a:srgbClr val="00FF00"/>
            </a:gs>
            <a:gs pos="64188">
              <a:srgbClr val="00FF00"/>
            </a:gs>
            <a:gs pos="6418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700</xdr:row>
      <xdr:rowOff>104775</xdr:rowOff>
    </xdr:from>
    <xdr:to>
      <xdr:col>31</xdr:col>
      <xdr:colOff>7302</xdr:colOff>
      <xdr:row>705</xdr:row>
      <xdr:rowOff>33058</xdr:rowOff>
    </xdr:to>
    <xdr:graphicFrame macro="">
      <xdr:nvGraphicFramePr>
        <xdr:cNvPr id="168" name="Grafico 70">
          <a:extLst>
            <a:ext uri="{FF2B5EF4-FFF2-40B4-BE49-F238E27FC236}">
              <a16:creationId xmlns:a16="http://schemas.microsoft.com/office/drawing/2014/main" id="{1783FD2C-12E3-4FB9-9AEC-BD1B19D09E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20</xdr:col>
      <xdr:colOff>0</xdr:colOff>
      <xdr:row>20</xdr:row>
      <xdr:rowOff>0</xdr:rowOff>
    </xdr:from>
    <xdr:to>
      <xdr:col>31</xdr:col>
      <xdr:colOff>7302</xdr:colOff>
      <xdr:row>24</xdr:row>
      <xdr:rowOff>4483</xdr:rowOff>
    </xdr:to>
    <xdr:graphicFrame macro="">
      <xdr:nvGraphicFramePr>
        <xdr:cNvPr id="169" name="Grafico 1">
          <a:extLst>
            <a:ext uri="{FF2B5EF4-FFF2-40B4-BE49-F238E27FC236}">
              <a16:creationId xmlns:a16="http://schemas.microsoft.com/office/drawing/2014/main" id="{2094E549-00ED-4EDD-8EF4-DA63B4D0B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20</xdr:col>
      <xdr:colOff>0</xdr:colOff>
      <xdr:row>199</xdr:row>
      <xdr:rowOff>0</xdr:rowOff>
    </xdr:from>
    <xdr:to>
      <xdr:col>31</xdr:col>
      <xdr:colOff>7302</xdr:colOff>
      <xdr:row>203</xdr:row>
      <xdr:rowOff>4483</xdr:rowOff>
    </xdr:to>
    <xdr:graphicFrame macro="">
      <xdr:nvGraphicFramePr>
        <xdr:cNvPr id="2" name="Grafico 20">
          <a:extLst>
            <a:ext uri="{FF2B5EF4-FFF2-40B4-BE49-F238E27FC236}">
              <a16:creationId xmlns:a16="http://schemas.microsoft.com/office/drawing/2014/main" id="{51957826-C070-4633-A908-3F14AE73EA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20</xdr:col>
      <xdr:colOff>0</xdr:colOff>
      <xdr:row>204</xdr:row>
      <xdr:rowOff>0</xdr:rowOff>
    </xdr:from>
    <xdr:to>
      <xdr:col>31</xdr:col>
      <xdr:colOff>7302</xdr:colOff>
      <xdr:row>208</xdr:row>
      <xdr:rowOff>4483</xdr:rowOff>
    </xdr:to>
    <xdr:graphicFrame macro="">
      <xdr:nvGraphicFramePr>
        <xdr:cNvPr id="3" name="Grafico 21">
          <a:extLst>
            <a:ext uri="{FF2B5EF4-FFF2-40B4-BE49-F238E27FC236}">
              <a16:creationId xmlns:a16="http://schemas.microsoft.com/office/drawing/2014/main" id="{7A63397C-9D2C-437F-ACF9-960EC35CD6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171450</xdr:rowOff>
        </xdr:from>
        <xdr:to>
          <xdr:col>15</xdr:col>
          <xdr:colOff>304800</xdr:colOff>
          <xdr:row>6</xdr:row>
          <xdr:rowOff>114300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2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Interruzioni</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8"/>
  <dimension ref="A1:BJ979"/>
  <sheetViews>
    <sheetView tabSelected="1" topLeftCell="A161" zoomScale="90" zoomScaleNormal="90" zoomScaleSheetLayoutView="90" workbookViewId="0">
      <selection activeCell="AI5" sqref="AI5"/>
    </sheetView>
  </sheetViews>
  <sheetFormatPr defaultColWidth="8.85546875" defaultRowHeight="12.75"/>
  <cols>
    <col min="1" max="1" width="4" style="2" bestFit="1" customWidth="1"/>
    <col min="2" max="2" width="0.7109375" style="3" customWidth="1"/>
    <col min="3" max="3" width="2.28515625" style="2" customWidth="1"/>
    <col min="4" max="4" width="2.7109375" style="2" bestFit="1" customWidth="1"/>
    <col min="5" max="6" width="2.28515625" style="2" customWidth="1"/>
    <col min="7" max="8" width="2.28515625" style="3" customWidth="1"/>
    <col min="9" max="14" width="2.28515625" style="2" customWidth="1"/>
    <col min="15" max="15" width="5.7109375" style="2" customWidth="1"/>
    <col min="16" max="16" width="3.28515625" style="2" customWidth="1"/>
    <col min="17" max="17" width="6" style="2" customWidth="1"/>
    <col min="18" max="18" width="2.85546875" style="2" customWidth="1"/>
    <col min="19" max="19" width="4.28515625" style="2" customWidth="1"/>
    <col min="20" max="20" width="4" style="2" customWidth="1"/>
    <col min="21" max="21" width="2" style="2" customWidth="1"/>
    <col min="22" max="22" width="4.85546875" style="64" customWidth="1"/>
    <col min="23" max="30" width="4.85546875" style="2" customWidth="1"/>
    <col min="31" max="31" width="2.140625" style="2" customWidth="1"/>
    <col min="32" max="35" width="8.7109375" style="2" customWidth="1"/>
    <col min="36" max="36" width="10" style="2" customWidth="1"/>
    <col min="37" max="37" width="11.5703125" style="2" bestFit="1" customWidth="1"/>
    <col min="38" max="38" width="8.7109375" style="2" customWidth="1"/>
    <col min="39" max="40" width="2.140625" style="2" customWidth="1"/>
    <col min="41" max="41" width="4" style="2" bestFit="1" customWidth="1"/>
    <col min="42" max="47" width="2.140625" style="2" customWidth="1"/>
    <col min="48" max="48" width="3.28515625" style="2" customWidth="1"/>
    <col min="49" max="49" width="4.7109375" style="2" customWidth="1"/>
    <col min="50" max="66" width="2.140625" style="2" customWidth="1"/>
    <col min="67" max="72" width="2.28515625" style="2" customWidth="1"/>
    <col min="73" max="73" width="10.5703125" style="2" customWidth="1"/>
    <col min="74" max="16384" width="8.85546875" style="2"/>
  </cols>
  <sheetData>
    <row r="1" spans="1:61" ht="13.9" customHeight="1">
      <c r="B1" s="2"/>
      <c r="G1" s="2"/>
      <c r="H1" s="2"/>
      <c r="Q1" s="3"/>
      <c r="T1" s="3"/>
      <c r="U1" s="3"/>
      <c r="V1" s="2"/>
      <c r="W1" s="3"/>
      <c r="Z1" s="3"/>
      <c r="AB1" s="3"/>
      <c r="AK1" s="3"/>
      <c r="AL1" s="3"/>
      <c r="AM1" s="3"/>
      <c r="AN1" s="3"/>
    </row>
    <row r="2" spans="1:61" ht="40.9" customHeight="1">
      <c r="B2" s="2"/>
      <c r="F2" s="3"/>
      <c r="H2" s="2"/>
      <c r="I2" s="3"/>
      <c r="J2" s="235" t="s">
        <v>1</v>
      </c>
      <c r="K2" s="235"/>
      <c r="L2" s="235"/>
      <c r="M2" s="235"/>
      <c r="N2" s="235"/>
      <c r="O2" s="235"/>
      <c r="P2" s="235"/>
      <c r="Q2" s="235"/>
      <c r="R2" s="235"/>
      <c r="S2" s="235"/>
      <c r="T2" s="235"/>
      <c r="U2" s="235"/>
      <c r="V2" s="235"/>
      <c r="W2" s="235"/>
      <c r="X2" s="235"/>
      <c r="Y2" s="235"/>
      <c r="Z2" s="235"/>
      <c r="AA2" s="235"/>
      <c r="AB2" s="235"/>
      <c r="AC2" s="235"/>
      <c r="AD2" s="235"/>
      <c r="AK2" s="227"/>
      <c r="AL2" s="227"/>
      <c r="AM2" s="227"/>
      <c r="AN2" s="227"/>
      <c r="AO2" s="227"/>
      <c r="AP2" s="227"/>
      <c r="AQ2" s="227"/>
      <c r="AR2" s="227"/>
      <c r="AS2" s="227"/>
      <c r="AT2" s="227"/>
      <c r="AU2" s="227"/>
    </row>
    <row r="3" spans="1:61" ht="12.6" customHeight="1">
      <c r="B3" s="2"/>
      <c r="G3" s="2"/>
      <c r="H3" s="2"/>
      <c r="J3" s="235"/>
      <c r="K3" s="235"/>
      <c r="L3" s="235"/>
      <c r="M3" s="235"/>
      <c r="N3" s="235"/>
      <c r="O3" s="235"/>
      <c r="P3" s="235"/>
      <c r="Q3" s="235"/>
      <c r="R3" s="235"/>
      <c r="S3" s="235"/>
      <c r="T3" s="235"/>
      <c r="U3" s="235"/>
      <c r="V3" s="235"/>
      <c r="W3" s="235"/>
      <c r="X3" s="235"/>
      <c r="Y3" s="235"/>
      <c r="Z3" s="235"/>
      <c r="AA3" s="235"/>
      <c r="AB3" s="235"/>
      <c r="AC3" s="235"/>
      <c r="AD3" s="235"/>
      <c r="AK3" s="3"/>
      <c r="AL3" s="3"/>
      <c r="AM3" s="3"/>
      <c r="AN3" s="3"/>
    </row>
    <row r="4" spans="1:61" ht="21" customHeight="1" thickBot="1">
      <c r="A4" s="4"/>
      <c r="B4" s="5"/>
      <c r="C4" s="5"/>
      <c r="D4" s="5"/>
      <c r="E4" s="5"/>
      <c r="F4" s="5"/>
      <c r="G4" s="5"/>
      <c r="H4" s="5"/>
      <c r="I4" s="5"/>
      <c r="J4" s="5"/>
      <c r="K4" s="5"/>
      <c r="L4" s="5"/>
      <c r="M4" s="5"/>
      <c r="N4" s="5"/>
      <c r="O4" s="5"/>
      <c r="P4" s="5"/>
      <c r="Q4" s="5"/>
      <c r="R4" s="5"/>
      <c r="S4" s="5"/>
      <c r="T4" s="5"/>
      <c r="U4" s="5"/>
      <c r="V4" s="5"/>
      <c r="W4" s="5"/>
      <c r="X4" s="5"/>
      <c r="Y4" s="5"/>
      <c r="Z4" s="5"/>
      <c r="AA4" s="5"/>
      <c r="AB4" s="5"/>
      <c r="AC4" s="5"/>
      <c r="AD4" s="5"/>
      <c r="AK4" s="3"/>
      <c r="AL4" s="3"/>
      <c r="AM4" s="3"/>
      <c r="AN4" s="3"/>
    </row>
    <row r="5" spans="1:61" ht="15.6" customHeight="1" thickTop="1">
      <c r="B5" s="68"/>
      <c r="C5" s="228" t="s">
        <v>161</v>
      </c>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68"/>
      <c r="AG5" s="78" t="s">
        <v>418</v>
      </c>
      <c r="AK5" s="3"/>
      <c r="AL5" s="3"/>
      <c r="AM5" s="3"/>
      <c r="AO5" s="3"/>
      <c r="AP5" s="3"/>
      <c r="AQ5" s="3"/>
      <c r="AR5" s="3"/>
    </row>
    <row r="6" spans="1:61" ht="21" customHeight="1">
      <c r="B6" s="229"/>
      <c r="C6" s="230" t="s">
        <v>469</v>
      </c>
      <c r="D6" s="230"/>
      <c r="E6" s="230"/>
      <c r="F6" s="230"/>
      <c r="G6" s="230"/>
      <c r="H6" s="230"/>
      <c r="I6" s="230"/>
      <c r="J6" s="230"/>
      <c r="K6" s="230"/>
      <c r="L6" s="230"/>
      <c r="M6" s="230"/>
      <c r="N6" s="230"/>
      <c r="O6" s="230"/>
      <c r="P6" s="230"/>
      <c r="Q6" s="230"/>
      <c r="R6" s="60"/>
      <c r="S6" s="60"/>
      <c r="T6" s="231" t="s">
        <v>2</v>
      </c>
      <c r="U6" s="231"/>
      <c r="V6" s="231"/>
      <c r="W6" s="231"/>
      <c r="X6" s="61"/>
      <c r="Y6" s="16"/>
      <c r="Z6" s="16" t="s">
        <v>3</v>
      </c>
      <c r="AA6" s="16"/>
      <c r="AB6" s="16"/>
      <c r="AC6" s="16"/>
      <c r="AD6" s="62"/>
      <c r="AK6" s="3"/>
      <c r="AL6" s="3"/>
      <c r="AM6" s="3"/>
      <c r="AN6" s="16"/>
      <c r="AP6" s="3"/>
      <c r="AQ6" s="3"/>
      <c r="AR6" s="3"/>
    </row>
    <row r="7" spans="1:61" ht="18" customHeight="1">
      <c r="B7" s="229"/>
      <c r="C7" s="16" t="s">
        <v>8</v>
      </c>
      <c r="D7" s="18"/>
      <c r="E7" s="21" t="s">
        <v>471</v>
      </c>
      <c r="F7" s="122"/>
      <c r="G7" s="122"/>
      <c r="H7" s="122"/>
      <c r="I7" s="122"/>
      <c r="J7" s="122"/>
      <c r="K7" s="122"/>
      <c r="L7" s="122"/>
      <c r="M7" s="122"/>
      <c r="N7" s="122"/>
      <c r="O7" s="122"/>
      <c r="P7" s="62"/>
      <c r="Q7" s="62"/>
      <c r="R7" s="62"/>
      <c r="S7" s="62"/>
      <c r="T7" s="236">
        <v>6543</v>
      </c>
      <c r="U7" s="236"/>
      <c r="V7" s="236"/>
      <c r="W7" s="236"/>
      <c r="X7" s="17"/>
      <c r="Y7" s="16"/>
      <c r="Z7" s="17" t="s">
        <v>470</v>
      </c>
      <c r="AA7" s="17"/>
      <c r="AB7" s="17"/>
      <c r="AC7" s="17"/>
      <c r="AD7" s="62"/>
      <c r="AK7" s="3"/>
      <c r="AP7" s="3"/>
      <c r="AQ7" s="3"/>
      <c r="AR7" s="3"/>
    </row>
    <row r="8" spans="1:61" ht="10.15" customHeight="1">
      <c r="B8" s="2"/>
      <c r="C8" s="62"/>
      <c r="D8" s="62"/>
      <c r="E8" s="62"/>
      <c r="F8" s="62"/>
      <c r="G8" s="62"/>
      <c r="H8" s="62"/>
      <c r="I8" s="62"/>
      <c r="J8" s="62"/>
      <c r="K8" s="62"/>
      <c r="L8" s="62"/>
      <c r="M8" s="62"/>
      <c r="N8" s="62"/>
      <c r="O8" s="62"/>
      <c r="P8" s="62"/>
      <c r="Q8" s="62"/>
      <c r="R8" s="62"/>
      <c r="S8" s="62"/>
      <c r="T8" s="62"/>
      <c r="U8" s="61"/>
      <c r="V8" s="61"/>
      <c r="W8" s="61"/>
      <c r="X8" s="61"/>
      <c r="Y8" s="16"/>
      <c r="Z8" s="61"/>
      <c r="AA8" s="61"/>
      <c r="AB8" s="61"/>
      <c r="AC8" s="61"/>
      <c r="AD8" s="62"/>
      <c r="AK8" s="3"/>
      <c r="AL8" s="3"/>
      <c r="AM8" s="3"/>
      <c r="AP8" s="3"/>
      <c r="AQ8" s="3"/>
      <c r="AR8" s="3"/>
    </row>
    <row r="9" spans="1:61" ht="15.75">
      <c r="B9" s="21"/>
      <c r="C9" s="21"/>
      <c r="D9" s="21"/>
      <c r="E9" s="21"/>
      <c r="F9" s="21"/>
      <c r="G9" s="21"/>
      <c r="H9" s="21"/>
      <c r="I9" s="21"/>
      <c r="J9" s="21"/>
      <c r="K9" s="21"/>
      <c r="L9" s="21"/>
      <c r="M9" s="21"/>
      <c r="N9" s="21"/>
      <c r="O9" s="61"/>
      <c r="P9" s="61"/>
      <c r="Q9" s="61"/>
      <c r="R9" s="61"/>
      <c r="S9" s="61"/>
      <c r="T9" s="21" t="s">
        <v>0</v>
      </c>
      <c r="U9" s="63"/>
      <c r="V9" s="232">
        <v>46003</v>
      </c>
      <c r="W9" s="233"/>
      <c r="X9" s="233"/>
      <c r="Y9" s="61"/>
      <c r="Z9" s="16"/>
      <c r="AA9" s="16"/>
      <c r="AB9" s="16"/>
      <c r="AC9" s="16"/>
      <c r="AD9" s="16"/>
      <c r="AG9" s="33"/>
      <c r="AK9" s="3"/>
      <c r="AL9" s="3"/>
      <c r="AM9" s="3"/>
      <c r="AP9" s="3"/>
      <c r="AQ9" s="3"/>
      <c r="AR9" s="3"/>
    </row>
    <row r="10" spans="1:61" ht="8.4499999999999993"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K10" s="3"/>
      <c r="AL10" s="3"/>
      <c r="AM10" s="3"/>
      <c r="AP10" s="3"/>
      <c r="AQ10" s="3"/>
      <c r="AR10" s="3"/>
      <c r="AU10" s="3"/>
      <c r="AV10" s="3"/>
      <c r="AW10" s="3"/>
    </row>
    <row r="11" spans="1:61" ht="12.6" customHeight="1" thickTop="1">
      <c r="B11" s="1"/>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K11" s="3"/>
      <c r="AL11" s="3"/>
      <c r="AM11" s="3"/>
      <c r="AQ11" s="3"/>
      <c r="AR11" s="3"/>
    </row>
    <row r="12" spans="1:61" ht="19.149999999999999" customHeight="1">
      <c r="A12" s="234" t="s">
        <v>162</v>
      </c>
      <c r="B12" s="234"/>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I12" s="172"/>
      <c r="AK12" s="3"/>
      <c r="AL12" s="3"/>
      <c r="AM12" s="3"/>
      <c r="AP12" s="33"/>
      <c r="AQ12" s="3"/>
      <c r="AR12" s="3"/>
      <c r="BD12" s="3"/>
    </row>
    <row r="13" spans="1:61" ht="19.149999999999999" customHeight="1">
      <c r="A13" s="234"/>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6"/>
      <c r="AF13" s="6"/>
      <c r="AG13" s="6"/>
      <c r="AH13" s="6"/>
      <c r="AK13" s="3"/>
      <c r="AL13" s="6"/>
      <c r="AM13" s="3"/>
      <c r="AO13" s="33"/>
      <c r="AP13" s="33"/>
      <c r="AQ13" s="3"/>
      <c r="AR13" s="3"/>
    </row>
    <row r="14" spans="1:61" ht="13.9" customHeight="1">
      <c r="A14" s="218" t="s">
        <v>88</v>
      </c>
      <c r="B14" s="218"/>
      <c r="C14" s="218"/>
      <c r="D14" s="218"/>
      <c r="E14" s="218"/>
      <c r="F14" s="218"/>
      <c r="G14" s="218"/>
      <c r="H14" s="218"/>
      <c r="I14" s="218"/>
      <c r="J14" s="218"/>
      <c r="K14" s="218"/>
      <c r="L14" s="218"/>
      <c r="M14" s="10"/>
      <c r="N14" s="10"/>
      <c r="O14" s="218" t="s">
        <v>89</v>
      </c>
      <c r="P14" s="218"/>
      <c r="Q14" s="218"/>
      <c r="R14" s="123"/>
      <c r="S14" s="218" t="s">
        <v>90</v>
      </c>
      <c r="T14" s="218"/>
      <c r="W14" s="219" t="s">
        <v>157</v>
      </c>
      <c r="X14" s="219"/>
      <c r="Y14" s="219"/>
      <c r="Z14" s="219"/>
      <c r="AA14" s="219"/>
      <c r="AB14" s="219"/>
      <c r="AC14" s="219"/>
      <c r="AD14" s="219"/>
      <c r="AE14" s="6"/>
      <c r="AF14" s="6"/>
      <c r="AG14" s="6"/>
      <c r="AH14" s="6"/>
      <c r="AI14" s="6"/>
      <c r="AK14" s="3"/>
      <c r="AL14" s="6"/>
      <c r="AM14" s="3"/>
      <c r="AQ14" s="3"/>
      <c r="AR14" s="3"/>
    </row>
    <row r="15" spans="1:61" ht="13.9" customHeight="1">
      <c r="A15" s="218"/>
      <c r="B15" s="218"/>
      <c r="C15" s="218"/>
      <c r="D15" s="218"/>
      <c r="E15" s="218"/>
      <c r="F15" s="218"/>
      <c r="G15" s="218"/>
      <c r="H15" s="218"/>
      <c r="I15" s="218"/>
      <c r="J15" s="218"/>
      <c r="K15" s="218"/>
      <c r="L15" s="218"/>
      <c r="M15" s="10"/>
      <c r="N15" s="10"/>
      <c r="O15" s="206" t="s">
        <v>92</v>
      </c>
      <c r="P15" s="206"/>
      <c r="Q15" s="206"/>
      <c r="S15" s="206" t="s">
        <v>93</v>
      </c>
      <c r="T15" s="206"/>
      <c r="V15" s="124"/>
      <c r="W15" s="219" t="s">
        <v>419</v>
      </c>
      <c r="X15" s="219"/>
      <c r="Y15" s="219"/>
      <c r="Z15" s="219"/>
      <c r="AA15" s="219"/>
      <c r="AB15" s="219"/>
      <c r="AC15" s="219"/>
      <c r="AD15" s="219"/>
      <c r="AK15" s="3"/>
      <c r="AL15" s="3"/>
      <c r="AM15" s="3"/>
      <c r="AQ15" s="3"/>
      <c r="AR15" s="3"/>
      <c r="AS15" s="3"/>
      <c r="AT15" s="3"/>
      <c r="AU15" s="3"/>
      <c r="AV15" s="3"/>
      <c r="AW15" s="3"/>
      <c r="AX15" s="3"/>
      <c r="AY15" s="19"/>
      <c r="AZ15" s="19"/>
      <c r="BA15" s="19"/>
    </row>
    <row r="16" spans="1:61" ht="13.9" customHeight="1" thickBot="1">
      <c r="A16" s="49"/>
      <c r="B16" s="49"/>
      <c r="C16" s="49"/>
      <c r="D16" s="49"/>
      <c r="E16" s="49"/>
      <c r="F16" s="49"/>
      <c r="G16" s="49"/>
      <c r="H16" s="49"/>
      <c r="I16" s="49"/>
      <c r="J16" s="49"/>
      <c r="K16" s="49"/>
      <c r="L16" s="49"/>
      <c r="M16" s="49"/>
      <c r="N16" s="49"/>
      <c r="O16" s="8"/>
      <c r="P16" s="50" t="s">
        <v>144</v>
      </c>
      <c r="Q16" s="8"/>
      <c r="R16" s="8"/>
      <c r="S16" s="8"/>
      <c r="T16" s="8"/>
      <c r="U16" s="8"/>
      <c r="V16" s="8"/>
      <c r="W16" s="8"/>
      <c r="X16" s="8"/>
      <c r="Y16" s="8"/>
      <c r="Z16" s="8"/>
      <c r="AA16" s="8"/>
      <c r="AB16" s="8"/>
      <c r="AC16" s="8"/>
      <c r="AD16" s="7"/>
      <c r="AI16" s="3"/>
      <c r="AJ16" s="3"/>
      <c r="AK16" s="3"/>
      <c r="AL16" s="3"/>
      <c r="AM16" s="3"/>
      <c r="AN16" s="3"/>
      <c r="AV16"/>
      <c r="AW16"/>
      <c r="AX16"/>
      <c r="AY16"/>
      <c r="AZ16"/>
      <c r="BA16"/>
      <c r="BB16"/>
      <c r="BC16"/>
      <c r="BD16"/>
      <c r="BE16"/>
      <c r="BF16"/>
      <c r="BG16"/>
      <c r="BH16"/>
      <c r="BI16"/>
    </row>
    <row r="17" spans="1:62" ht="13.9" customHeight="1" thickTop="1">
      <c r="A17" s="220" t="s">
        <v>441</v>
      </c>
      <c r="B17" s="220"/>
      <c r="C17" s="220"/>
      <c r="D17" s="220"/>
      <c r="E17" s="220"/>
      <c r="F17" s="220"/>
      <c r="G17" s="220"/>
      <c r="H17" s="220"/>
      <c r="I17" s="220"/>
      <c r="J17" s="220"/>
      <c r="K17" s="220"/>
      <c r="L17" s="220"/>
      <c r="M17" s="220"/>
      <c r="N17" s="220"/>
      <c r="O17" s="220"/>
      <c r="P17" s="220"/>
      <c r="Q17" s="220"/>
      <c r="R17" s="220"/>
      <c r="S17" s="220"/>
      <c r="T17" s="220"/>
      <c r="U17" s="220"/>
      <c r="V17" s="220"/>
      <c r="W17" s="220"/>
      <c r="X17" s="220"/>
      <c r="Y17" s="220"/>
      <c r="Z17" s="220"/>
      <c r="AA17" s="220"/>
      <c r="AB17" s="220"/>
      <c r="AC17" s="220"/>
      <c r="AD17" s="220"/>
      <c r="AE17" s="220"/>
      <c r="AI17" s="3"/>
      <c r="AJ17" s="3"/>
      <c r="AK17" s="3"/>
      <c r="AL17" s="3"/>
      <c r="AM17" s="3"/>
      <c r="AN17" s="3"/>
      <c r="AV17"/>
      <c r="AW17"/>
      <c r="AX17"/>
      <c r="AY17"/>
      <c r="AZ17"/>
      <c r="BA17"/>
      <c r="BB17"/>
      <c r="BC17"/>
      <c r="BD17"/>
      <c r="BE17"/>
      <c r="BF17"/>
      <c r="BG17"/>
      <c r="BH17"/>
      <c r="BI17"/>
    </row>
    <row r="18" spans="1:62" ht="13.9" customHeight="1">
      <c r="A18" s="220"/>
      <c r="B18" s="220"/>
      <c r="C18" s="220"/>
      <c r="D18" s="220"/>
      <c r="E18" s="220"/>
      <c r="F18" s="220"/>
      <c r="G18" s="220"/>
      <c r="H18" s="220"/>
      <c r="I18" s="220"/>
      <c r="J18" s="220"/>
      <c r="K18" s="220"/>
      <c r="L18" s="220"/>
      <c r="M18" s="220"/>
      <c r="N18" s="220"/>
      <c r="O18" s="220"/>
      <c r="P18" s="220"/>
      <c r="Q18" s="220"/>
      <c r="R18" s="220"/>
      <c r="S18" s="220"/>
      <c r="T18" s="220"/>
      <c r="U18" s="220"/>
      <c r="V18" s="220"/>
      <c r="W18" s="220"/>
      <c r="X18" s="220"/>
      <c r="Y18" s="220"/>
      <c r="Z18" s="220"/>
      <c r="AA18" s="220"/>
      <c r="AB18" s="220"/>
      <c r="AC18" s="220"/>
      <c r="AD18" s="220"/>
      <c r="AE18" s="220"/>
      <c r="AI18" s="3"/>
      <c r="AJ18" s="3"/>
      <c r="AK18" s="3"/>
      <c r="AL18" s="3"/>
      <c r="AM18" s="3"/>
      <c r="AN18" s="3"/>
      <c r="AV18"/>
      <c r="AW18"/>
      <c r="AX18"/>
      <c r="AY18"/>
      <c r="AZ18"/>
      <c r="BA18"/>
      <c r="BB18"/>
      <c r="BC18"/>
      <c r="BD18"/>
      <c r="BE18"/>
      <c r="BF18"/>
      <c r="BG18"/>
      <c r="BH18"/>
      <c r="BI18"/>
    </row>
    <row r="19" spans="1:62" customFormat="1" ht="9.9499999999999993" customHeight="1"/>
    <row r="20" spans="1:62" ht="15" customHeight="1">
      <c r="A20" s="208" t="s">
        <v>125</v>
      </c>
      <c r="B20" s="208"/>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c r="AA20" s="208"/>
      <c r="AB20" s="208"/>
      <c r="AC20" s="208"/>
      <c r="AD20" s="208"/>
      <c r="AE20" s="208"/>
      <c r="AF20" s="2">
        <v>0</v>
      </c>
      <c r="AG20" s="237" t="s">
        <v>74</v>
      </c>
      <c r="AH20" s="237"/>
      <c r="AN20" s="3"/>
      <c r="AV20"/>
      <c r="AW20"/>
      <c r="AX20"/>
      <c r="AY20"/>
      <c r="AZ20"/>
      <c r="BA20"/>
      <c r="BB20"/>
      <c r="BC20"/>
      <c r="BD20"/>
      <c r="BE20"/>
      <c r="BF20"/>
      <c r="BG20"/>
      <c r="BH20"/>
      <c r="BI20"/>
    </row>
    <row r="21" spans="1:62" ht="10.9" customHeight="1">
      <c r="A21" s="3"/>
      <c r="C21" s="3"/>
      <c r="P21" s="3"/>
      <c r="Q21" s="3"/>
      <c r="R21" s="3"/>
      <c r="S21" s="3"/>
      <c r="T21" s="3"/>
      <c r="U21" s="209"/>
      <c r="V21" s="209"/>
      <c r="W21" s="3"/>
      <c r="X21" s="3"/>
      <c r="Y21" s="3"/>
      <c r="Z21" s="3"/>
      <c r="AA21" s="3"/>
      <c r="AB21" s="3"/>
      <c r="AC21" s="197"/>
      <c r="AD21" s="197"/>
      <c r="AE21" s="3"/>
      <c r="AF21" s="3"/>
      <c r="AN21" s="3"/>
      <c r="AO21" s="3"/>
      <c r="AP21" s="3"/>
      <c r="AQ21" s="3"/>
      <c r="AR21" s="3"/>
      <c r="AS21" s="3"/>
      <c r="AT21" s="3"/>
      <c r="AU21" s="3"/>
      <c r="AV21"/>
      <c r="AW21"/>
      <c r="AX21"/>
      <c r="AY21"/>
      <c r="AZ21"/>
      <c r="BA21"/>
      <c r="BB21"/>
      <c r="BC21"/>
      <c r="BD21"/>
      <c r="BE21"/>
      <c r="BF21"/>
      <c r="BG21"/>
      <c r="BH21"/>
      <c r="BI21"/>
      <c r="BJ21" s="3"/>
    </row>
    <row r="22" spans="1:62" ht="6" customHeight="1">
      <c r="A22" s="198">
        <v>1</v>
      </c>
      <c r="B22" s="51"/>
      <c r="C22" s="199" t="str">
        <f>INDEX(Riferimenti!$B$2:$B$60,A22)</f>
        <v>Piruvico</v>
      </c>
      <c r="D22" s="199"/>
      <c r="E22" s="199"/>
      <c r="F22" s="199"/>
      <c r="G22" s="199"/>
      <c r="H22" s="199"/>
      <c r="I22" s="199"/>
      <c r="J22" s="199"/>
      <c r="K22" s="199"/>
      <c r="L22" s="199"/>
      <c r="M22" s="199"/>
      <c r="N22" s="199"/>
      <c r="O22" s="195">
        <f>INDEX(Riferimenti!$C$2:$C$65,A22)</f>
        <v>0</v>
      </c>
      <c r="P22" s="200" t="s">
        <v>6</v>
      </c>
      <c r="Q22" s="196">
        <f>INDEX(Riferimenti!$E$2:$E$65,A22)</f>
        <v>6</v>
      </c>
      <c r="R22" s="201"/>
      <c r="S22" s="202">
        <v>3</v>
      </c>
      <c r="T22" s="202"/>
      <c r="V22" s="2"/>
      <c r="AG22" s="195">
        <f>INDEX(Riferimenti!$Q$2:$Q$61,A22)</f>
        <v>0.53818863624970081</v>
      </c>
      <c r="AH22" s="195">
        <f>INDEX(Riferimenti!$R$2:$R$61,A22)</f>
        <v>3.3088262891234361</v>
      </c>
      <c r="AV22"/>
      <c r="AW22"/>
      <c r="AX22"/>
      <c r="AY22"/>
      <c r="AZ22"/>
      <c r="BA22"/>
      <c r="BB22"/>
      <c r="BC22"/>
      <c r="BD22"/>
      <c r="BE22"/>
      <c r="BF22"/>
      <c r="BG22"/>
      <c r="BH22"/>
      <c r="BI22"/>
      <c r="BJ22" s="3"/>
    </row>
    <row r="23" spans="1:62" ht="5.45" customHeight="1">
      <c r="A23" s="198"/>
      <c r="B23" s="51"/>
      <c r="C23" s="199"/>
      <c r="D23" s="199"/>
      <c r="E23" s="199"/>
      <c r="F23" s="199"/>
      <c r="G23" s="199"/>
      <c r="H23" s="199"/>
      <c r="I23" s="199"/>
      <c r="J23" s="199"/>
      <c r="K23" s="199"/>
      <c r="L23" s="199"/>
      <c r="M23" s="199"/>
      <c r="N23" s="199"/>
      <c r="O23" s="195"/>
      <c r="P23" s="200"/>
      <c r="Q23" s="196"/>
      <c r="R23" s="201"/>
      <c r="S23" s="202"/>
      <c r="T23" s="202"/>
      <c r="U23"/>
      <c r="V23"/>
      <c r="W23"/>
      <c r="X23"/>
      <c r="Y23"/>
      <c r="Z23"/>
      <c r="AA23"/>
      <c r="AB23"/>
      <c r="AC23"/>
      <c r="AD23"/>
      <c r="AE23"/>
      <c r="AF23"/>
      <c r="AG23" s="195"/>
      <c r="AH23" s="195"/>
      <c r="AN23" s="3"/>
      <c r="AV23"/>
      <c r="AW23"/>
      <c r="AX23"/>
      <c r="AY23"/>
      <c r="AZ23"/>
      <c r="BA23"/>
      <c r="BB23"/>
      <c r="BC23"/>
      <c r="BD23"/>
      <c r="BE23"/>
      <c r="BF23"/>
      <c r="BG23"/>
      <c r="BH23"/>
      <c r="BI23"/>
      <c r="BJ23" s="3"/>
    </row>
    <row r="24" spans="1:62" ht="6" customHeight="1">
      <c r="A24" s="194"/>
      <c r="B24" s="194"/>
      <c r="C24" s="194"/>
      <c r="D24" s="194"/>
      <c r="E24" s="194"/>
      <c r="F24" s="194"/>
      <c r="G24" s="194"/>
      <c r="H24" s="194"/>
      <c r="I24" s="194"/>
      <c r="J24" s="194"/>
      <c r="K24" s="194"/>
      <c r="L24" s="194"/>
      <c r="M24" s="194"/>
      <c r="N24" s="52"/>
      <c r="O24" s="73"/>
      <c r="P24" s="36"/>
      <c r="Q24" s="72"/>
      <c r="R24" s="75"/>
      <c r="S24" s="166"/>
      <c r="T24" s="167"/>
      <c r="U24" s="24"/>
      <c r="V24" s="40"/>
      <c r="W24" s="40"/>
      <c r="X24" s="40"/>
      <c r="Y24" s="40"/>
      <c r="Z24" s="40"/>
      <c r="AA24" s="40"/>
      <c r="AB24" s="40"/>
      <c r="AC24" s="40"/>
      <c r="AD24" s="40"/>
      <c r="AE24" s="40"/>
      <c r="AF24" s="40"/>
      <c r="AG24"/>
      <c r="AH24"/>
      <c r="AI24"/>
      <c r="AJ24"/>
      <c r="AK24"/>
      <c r="AL24"/>
      <c r="AM24"/>
      <c r="AN24" s="40"/>
      <c r="AO24"/>
      <c r="AP24"/>
      <c r="AQ24"/>
      <c r="AR24"/>
      <c r="AS24"/>
      <c r="AT24"/>
      <c r="AU24"/>
      <c r="AV24"/>
      <c r="AW24"/>
      <c r="AX24"/>
      <c r="AY24"/>
      <c r="AZ24"/>
      <c r="BA24"/>
      <c r="BB24"/>
      <c r="BC24"/>
      <c r="BD24"/>
      <c r="BE24"/>
      <c r="BF24"/>
      <c r="BG24"/>
      <c r="BH24"/>
      <c r="BI24"/>
      <c r="BJ24" s="3"/>
    </row>
    <row r="25" spans="1:62" ht="6" customHeight="1">
      <c r="A25" s="194"/>
      <c r="B25" s="194"/>
      <c r="C25" s="194"/>
      <c r="D25" s="194"/>
      <c r="E25" s="194"/>
      <c r="F25" s="194"/>
      <c r="G25" s="194"/>
      <c r="H25" s="194"/>
      <c r="I25" s="194"/>
      <c r="J25" s="194"/>
      <c r="K25" s="194"/>
      <c r="L25" s="194"/>
      <c r="M25" s="194"/>
      <c r="N25" s="52"/>
      <c r="O25" s="73"/>
      <c r="P25" s="36"/>
      <c r="Q25" s="72"/>
      <c r="R25" s="75"/>
      <c r="S25" s="166"/>
      <c r="T25" s="168"/>
      <c r="V25" s="2"/>
      <c r="AG25"/>
      <c r="AH25"/>
      <c r="AI25"/>
      <c r="AJ25"/>
      <c r="AL25"/>
      <c r="AM25"/>
      <c r="AN25" s="3"/>
      <c r="AO25"/>
      <c r="AP25"/>
      <c r="AQ25"/>
      <c r="AR25"/>
      <c r="AS25"/>
      <c r="AT25"/>
      <c r="AU25"/>
      <c r="AV25"/>
      <c r="AW25"/>
      <c r="AX25"/>
      <c r="AY25"/>
      <c r="AZ25"/>
      <c r="BA25"/>
      <c r="BB25"/>
      <c r="BC25"/>
      <c r="BD25"/>
      <c r="BE25"/>
      <c r="BF25"/>
      <c r="BG25"/>
      <c r="BH25"/>
      <c r="BI25"/>
      <c r="BJ25" s="3"/>
    </row>
    <row r="26" spans="1:62" ht="10.9" customHeight="1">
      <c r="A26" s="53"/>
      <c r="B26" s="53"/>
      <c r="C26" s="53"/>
      <c r="D26" s="54"/>
      <c r="E26" s="54"/>
      <c r="F26" s="54"/>
      <c r="G26" s="53"/>
      <c r="H26" s="53"/>
      <c r="I26" s="54"/>
      <c r="J26" s="54"/>
      <c r="K26" s="54"/>
      <c r="L26" s="54"/>
      <c r="M26" s="54"/>
      <c r="N26" s="54"/>
      <c r="O26" s="37"/>
      <c r="P26" s="38"/>
      <c r="Q26" s="44"/>
      <c r="R26" s="3"/>
      <c r="S26" s="158"/>
      <c r="T26" s="158"/>
      <c r="U26" s="197"/>
      <c r="V26" s="197"/>
      <c r="W26" s="3"/>
      <c r="X26" s="3"/>
      <c r="Y26" s="3"/>
      <c r="Z26" s="3"/>
      <c r="AA26" s="3"/>
      <c r="AB26" s="3"/>
      <c r="AC26" s="197"/>
      <c r="AD26" s="197"/>
      <c r="AE26" s="3"/>
      <c r="AF26" s="3"/>
      <c r="AG26"/>
      <c r="AH26"/>
      <c r="AI26"/>
      <c r="AJ26"/>
      <c r="AL26" s="3"/>
      <c r="AM26" s="3"/>
      <c r="AN26" s="3"/>
      <c r="AO26"/>
      <c r="AP26"/>
      <c r="AQ26"/>
      <c r="AR26"/>
      <c r="AS26"/>
      <c r="AT26"/>
      <c r="AU26"/>
      <c r="AV26"/>
      <c r="AW26"/>
      <c r="AX26"/>
      <c r="AY26"/>
      <c r="AZ26"/>
      <c r="BA26"/>
      <c r="BB26"/>
      <c r="BC26"/>
      <c r="BD26"/>
      <c r="BE26"/>
      <c r="BF26"/>
      <c r="BG26"/>
      <c r="BH26"/>
      <c r="BI26"/>
      <c r="BJ26" s="3"/>
    </row>
    <row r="27" spans="1:62" ht="6" customHeight="1">
      <c r="A27" s="198">
        <v>2</v>
      </c>
      <c r="B27" s="51"/>
      <c r="C27" s="199" t="str">
        <f>INDEX(Riferimenti!$B$2:$B$60,A27)</f>
        <v>Lattico</v>
      </c>
      <c r="D27" s="199"/>
      <c r="E27" s="199"/>
      <c r="F27" s="199"/>
      <c r="G27" s="199"/>
      <c r="H27" s="199"/>
      <c r="I27" s="199"/>
      <c r="J27" s="199"/>
      <c r="K27" s="199"/>
      <c r="L27" s="199"/>
      <c r="M27" s="199"/>
      <c r="N27" s="199"/>
      <c r="O27" s="195">
        <f>INDEX(Riferimenti!$C$2:$C$65,A27)</f>
        <v>1.4</v>
      </c>
      <c r="P27" s="200" t="s">
        <v>6</v>
      </c>
      <c r="Q27" s="196">
        <f>INDEX(Riferimenti!$E$2:$E$65,A27)</f>
        <v>23.1</v>
      </c>
      <c r="R27" s="201"/>
      <c r="S27" s="202">
        <v>12</v>
      </c>
      <c r="T27" s="202"/>
      <c r="V27" s="2"/>
      <c r="AG27" s="195">
        <f>INDEX(Riferimenti!$Q$2:$Q$61,A27)</f>
        <v>3.1877445060715646</v>
      </c>
      <c r="AH27" s="195">
        <f>INDEX(Riferimenti!$R$2:$R$61,A27)</f>
        <v>13.131471180202944</v>
      </c>
      <c r="AI27"/>
      <c r="AJ27"/>
      <c r="AK27" s="222"/>
      <c r="AL27" s="222"/>
      <c r="AM27" s="222"/>
      <c r="AO27"/>
      <c r="AP27"/>
      <c r="AQ27"/>
      <c r="AR27"/>
      <c r="AS27"/>
      <c r="AT27"/>
      <c r="AU27"/>
      <c r="AV27"/>
      <c r="AW27"/>
      <c r="AX27"/>
      <c r="AY27"/>
      <c r="AZ27"/>
      <c r="BA27"/>
      <c r="BB27"/>
      <c r="BC27"/>
      <c r="BD27"/>
      <c r="BE27"/>
      <c r="BF27"/>
      <c r="BG27"/>
      <c r="BH27"/>
      <c r="BI27"/>
      <c r="BJ27" s="3"/>
    </row>
    <row r="28" spans="1:62" ht="5.45" customHeight="1">
      <c r="A28" s="198"/>
      <c r="B28" s="51"/>
      <c r="C28" s="199"/>
      <c r="D28" s="199"/>
      <c r="E28" s="199"/>
      <c r="F28" s="199"/>
      <c r="G28" s="199"/>
      <c r="H28" s="199"/>
      <c r="I28" s="199"/>
      <c r="J28" s="199"/>
      <c r="K28" s="199"/>
      <c r="L28" s="199"/>
      <c r="M28" s="199"/>
      <c r="N28" s="199"/>
      <c r="O28" s="195"/>
      <c r="P28" s="200"/>
      <c r="Q28" s="196"/>
      <c r="R28" s="201"/>
      <c r="S28" s="202"/>
      <c r="T28" s="202"/>
      <c r="U28"/>
      <c r="V28"/>
      <c r="W28"/>
      <c r="X28"/>
      <c r="Y28"/>
      <c r="Z28"/>
      <c r="AA28"/>
      <c r="AB28"/>
      <c r="AC28"/>
      <c r="AD28"/>
      <c r="AE28"/>
      <c r="AF28"/>
      <c r="AG28" s="195"/>
      <c r="AH28" s="195"/>
      <c r="AI28"/>
      <c r="AJ28"/>
      <c r="AK28" s="222"/>
      <c r="AL28" s="222"/>
      <c r="AM28" s="222"/>
      <c r="AN28" s="3"/>
      <c r="AO28"/>
      <c r="AP28"/>
      <c r="AQ28"/>
      <c r="AR28"/>
      <c r="AS28"/>
      <c r="AT28"/>
      <c r="AU28"/>
      <c r="AV28"/>
      <c r="AW28"/>
      <c r="AX28"/>
      <c r="AY28"/>
      <c r="AZ28"/>
      <c r="BA28"/>
      <c r="BB28"/>
      <c r="BC28"/>
      <c r="BD28"/>
      <c r="BE28"/>
      <c r="BF28"/>
      <c r="BG28"/>
      <c r="BH28"/>
      <c r="BI28"/>
      <c r="BJ28" s="3"/>
    </row>
    <row r="29" spans="1:62" ht="6" customHeight="1">
      <c r="A29" s="194"/>
      <c r="B29" s="194"/>
      <c r="C29" s="194"/>
      <c r="D29" s="194"/>
      <c r="E29" s="194"/>
      <c r="F29" s="194"/>
      <c r="G29" s="194"/>
      <c r="H29" s="194"/>
      <c r="I29" s="194"/>
      <c r="J29" s="194"/>
      <c r="K29" s="194"/>
      <c r="L29" s="194"/>
      <c r="M29" s="194"/>
      <c r="N29" s="52"/>
      <c r="O29" s="73"/>
      <c r="P29" s="36"/>
      <c r="Q29" s="72"/>
      <c r="R29" s="75"/>
      <c r="S29" s="166"/>
      <c r="T29" s="167"/>
      <c r="U29" s="24"/>
      <c r="V29" s="40"/>
      <c r="W29" s="40"/>
      <c r="X29" s="40"/>
      <c r="Y29" s="40"/>
      <c r="Z29" s="40"/>
      <c r="AA29" s="40"/>
      <c r="AB29" s="40"/>
      <c r="AC29" s="40"/>
      <c r="AD29" s="40"/>
      <c r="AE29" s="40"/>
      <c r="AF29" s="40"/>
      <c r="AG29"/>
      <c r="AH29"/>
      <c r="AI29"/>
      <c r="AJ29"/>
      <c r="AK29" s="3"/>
      <c r="AL29" s="3"/>
      <c r="AM29" s="3"/>
      <c r="AN29" s="40"/>
      <c r="AO29"/>
      <c r="AP29"/>
      <c r="AQ29"/>
      <c r="AR29"/>
      <c r="AS29"/>
      <c r="AT29"/>
      <c r="AU29"/>
      <c r="AV29"/>
      <c r="AW29"/>
      <c r="AX29"/>
      <c r="AY29"/>
      <c r="AZ29"/>
      <c r="BA29"/>
      <c r="BB29"/>
      <c r="BC29"/>
      <c r="BD29"/>
      <c r="BE29"/>
      <c r="BF29"/>
      <c r="BG29"/>
      <c r="BH29"/>
      <c r="BI29"/>
      <c r="BJ29" s="3"/>
    </row>
    <row r="30" spans="1:62" ht="6" customHeight="1">
      <c r="A30" s="194"/>
      <c r="B30" s="194"/>
      <c r="C30" s="194"/>
      <c r="D30" s="194"/>
      <c r="E30" s="194"/>
      <c r="F30" s="194"/>
      <c r="G30" s="194"/>
      <c r="H30" s="194"/>
      <c r="I30" s="194"/>
      <c r="J30" s="194"/>
      <c r="K30" s="194"/>
      <c r="L30" s="194"/>
      <c r="M30" s="194"/>
      <c r="N30" s="52"/>
      <c r="O30" s="73"/>
      <c r="P30" s="36"/>
      <c r="Q30" s="72"/>
      <c r="R30" s="75"/>
      <c r="S30" s="166"/>
      <c r="T30" s="168"/>
      <c r="V30" s="2"/>
      <c r="AG30"/>
      <c r="AH30"/>
      <c r="AI30"/>
      <c r="AJ30"/>
      <c r="AK30" s="3"/>
      <c r="AL30" s="3"/>
      <c r="AM30" s="3"/>
      <c r="AN30" s="3"/>
      <c r="AO30"/>
      <c r="AP30"/>
      <c r="AQ30"/>
      <c r="AR30"/>
      <c r="AS30"/>
      <c r="AT30"/>
      <c r="AU30"/>
      <c r="AV30"/>
      <c r="AW30"/>
      <c r="AX30"/>
      <c r="AY30"/>
      <c r="AZ30"/>
      <c r="BA30"/>
      <c r="BB30"/>
      <c r="BC30"/>
      <c r="BD30"/>
      <c r="BE30"/>
      <c r="BF30"/>
      <c r="BG30"/>
      <c r="BH30"/>
      <c r="BI30"/>
      <c r="BJ30" s="3"/>
    </row>
    <row r="31" spans="1:62" ht="16.5" customHeight="1">
      <c r="A31" s="208" t="s">
        <v>447</v>
      </c>
      <c r="B31" s="208"/>
      <c r="C31" s="208"/>
      <c r="D31" s="208"/>
      <c r="E31" s="208"/>
      <c r="F31" s="208"/>
      <c r="G31" s="208"/>
      <c r="H31" s="208"/>
      <c r="I31" s="208"/>
      <c r="J31" s="208"/>
      <c r="K31" s="208"/>
      <c r="L31" s="208"/>
      <c r="M31" s="208"/>
      <c r="N31" s="208"/>
      <c r="O31" s="208"/>
      <c r="P31" s="208"/>
      <c r="Q31" s="208"/>
      <c r="R31" s="208"/>
      <c r="S31" s="208"/>
      <c r="T31" s="208"/>
      <c r="U31" s="208"/>
      <c r="V31" s="208"/>
      <c r="W31" s="208"/>
      <c r="X31" s="208"/>
      <c r="Y31" s="208"/>
      <c r="Z31" s="208"/>
      <c r="AA31" s="208"/>
      <c r="AB31" s="208"/>
      <c r="AC31" s="208"/>
      <c r="AD31" s="208"/>
      <c r="AE31" s="208"/>
      <c r="AG31"/>
      <c r="AH31"/>
      <c r="AI31"/>
      <c r="AJ31"/>
      <c r="AK31" s="3"/>
      <c r="AL31" s="3"/>
      <c r="AM31" s="3"/>
      <c r="AN31" s="3"/>
      <c r="AO31"/>
      <c r="AP31"/>
      <c r="AQ31"/>
      <c r="AR31"/>
      <c r="AS31"/>
      <c r="AT31"/>
      <c r="AU31"/>
      <c r="AV31"/>
      <c r="AW31"/>
      <c r="AX31"/>
      <c r="AY31"/>
      <c r="AZ31"/>
      <c r="BA31"/>
      <c r="BB31"/>
      <c r="BC31"/>
      <c r="BD31"/>
      <c r="BE31"/>
      <c r="BF31"/>
      <c r="BG31"/>
      <c r="BH31"/>
      <c r="BI31"/>
      <c r="BJ31" s="3"/>
    </row>
    <row r="32" spans="1:62" ht="10.9" customHeight="1">
      <c r="A32" s="53"/>
      <c r="B32" s="53"/>
      <c r="C32" s="53"/>
      <c r="D32" s="54"/>
      <c r="E32" s="54"/>
      <c r="F32" s="54"/>
      <c r="G32" s="53"/>
      <c r="H32" s="53"/>
      <c r="I32" s="54"/>
      <c r="J32" s="54"/>
      <c r="K32" s="54"/>
      <c r="L32" s="54"/>
      <c r="M32" s="54"/>
      <c r="N32" s="54"/>
      <c r="P32" s="3"/>
      <c r="Q32" s="44"/>
      <c r="R32" s="3"/>
      <c r="S32" s="158"/>
      <c r="T32" s="158"/>
      <c r="U32" s="197"/>
      <c r="V32" s="197"/>
      <c r="W32" s="3"/>
      <c r="X32" s="3"/>
      <c r="Y32" s="3"/>
      <c r="Z32" s="3"/>
      <c r="AA32" s="3"/>
      <c r="AB32" s="3"/>
      <c r="AC32" s="197"/>
      <c r="AD32" s="197"/>
      <c r="AE32" s="3"/>
      <c r="AF32" s="3"/>
      <c r="AG32"/>
      <c r="AH32"/>
      <c r="AI32"/>
      <c r="AJ32"/>
      <c r="AK32" s="3"/>
      <c r="AL32" s="3"/>
      <c r="AM32" s="3"/>
      <c r="AN32" s="3"/>
      <c r="AO32"/>
      <c r="AP32"/>
      <c r="AQ32"/>
      <c r="AR32"/>
      <c r="AS32"/>
      <c r="AT32"/>
      <c r="AU32"/>
      <c r="AV32"/>
      <c r="AW32"/>
      <c r="AX32"/>
      <c r="AY32"/>
      <c r="AZ32"/>
      <c r="BA32"/>
      <c r="BB32"/>
      <c r="BC32"/>
      <c r="BD32"/>
      <c r="BE32"/>
      <c r="BF32"/>
      <c r="BG32"/>
      <c r="BH32"/>
      <c r="BI32"/>
      <c r="BJ32" s="3"/>
    </row>
    <row r="33" spans="1:62" ht="6" customHeight="1">
      <c r="A33" s="198">
        <v>3</v>
      </c>
      <c r="B33" s="51"/>
      <c r="C33" s="199" t="str">
        <f>INDEX(Riferimenti!$B$2:$B$60,A33)</f>
        <v>Sebacico</v>
      </c>
      <c r="D33" s="199"/>
      <c r="E33" s="199"/>
      <c r="F33" s="199"/>
      <c r="G33" s="199"/>
      <c r="H33" s="199"/>
      <c r="I33" s="199"/>
      <c r="J33" s="199"/>
      <c r="K33" s="199"/>
      <c r="L33" s="199"/>
      <c r="M33" s="199"/>
      <c r="N33" s="199"/>
      <c r="O33" s="195">
        <f>INDEX(Riferimenti!$C$2:$C$65,A33)</f>
        <v>0</v>
      </c>
      <c r="P33" s="200" t="s">
        <v>6</v>
      </c>
      <c r="Q33" s="196">
        <f>INDEX(Riferimenti!$E$2:$E$65,A33)</f>
        <v>1</v>
      </c>
      <c r="R33" s="201"/>
      <c r="S33" s="202"/>
      <c r="T33" s="202"/>
      <c r="V33" s="2"/>
      <c r="AG33" s="195">
        <f>INDEX(Riferimenti!$Q$2:$Q$61,A33)</f>
        <v>5.1046144882186339E-2</v>
      </c>
      <c r="AH33" s="195">
        <f>INDEX(Riferimenti!$R$2:$R$61,A33)</f>
        <v>0.5489538551178148</v>
      </c>
      <c r="AI33"/>
      <c r="AJ33"/>
      <c r="AK33" s="222"/>
      <c r="AL33" s="222"/>
      <c r="AM33" s="222"/>
      <c r="AO33"/>
      <c r="AP33"/>
      <c r="AQ33"/>
      <c r="AR33"/>
      <c r="AS33"/>
      <c r="AT33"/>
      <c r="AU33"/>
      <c r="AV33"/>
      <c r="AW33"/>
      <c r="AX33"/>
      <c r="AY33"/>
      <c r="AZ33"/>
      <c r="BA33"/>
      <c r="BB33"/>
      <c r="BC33"/>
      <c r="BD33"/>
      <c r="BE33"/>
      <c r="BF33"/>
      <c r="BG33"/>
      <c r="BH33"/>
      <c r="BI33"/>
      <c r="BJ33" s="3"/>
    </row>
    <row r="34" spans="1:62" ht="5.45" customHeight="1">
      <c r="A34" s="198"/>
      <c r="B34" s="51"/>
      <c r="C34" s="199"/>
      <c r="D34" s="199"/>
      <c r="E34" s="199"/>
      <c r="F34" s="199"/>
      <c r="G34" s="199"/>
      <c r="H34" s="199"/>
      <c r="I34" s="199"/>
      <c r="J34" s="199"/>
      <c r="K34" s="199"/>
      <c r="L34" s="199"/>
      <c r="M34" s="199"/>
      <c r="N34" s="199"/>
      <c r="O34" s="195"/>
      <c r="P34" s="200"/>
      <c r="Q34" s="196"/>
      <c r="R34" s="201"/>
      <c r="S34" s="202"/>
      <c r="T34" s="202"/>
      <c r="U34"/>
      <c r="V34"/>
      <c r="W34"/>
      <c r="X34"/>
      <c r="Y34"/>
      <c r="Z34"/>
      <c r="AA34"/>
      <c r="AB34"/>
      <c r="AC34"/>
      <c r="AD34"/>
      <c r="AE34"/>
      <c r="AF34"/>
      <c r="AG34" s="195"/>
      <c r="AH34" s="195"/>
      <c r="AI34"/>
      <c r="AJ34"/>
      <c r="AK34" s="222"/>
      <c r="AL34" s="222"/>
      <c r="AM34" s="222"/>
      <c r="AN34" s="3"/>
      <c r="AO34"/>
      <c r="AP34"/>
      <c r="AQ34"/>
      <c r="AR34"/>
      <c r="AS34"/>
      <c r="AT34"/>
      <c r="AU34"/>
      <c r="AV34"/>
      <c r="AW34"/>
      <c r="AX34"/>
      <c r="AY34"/>
      <c r="AZ34"/>
      <c r="BA34"/>
      <c r="BB34"/>
      <c r="BC34"/>
      <c r="BD34"/>
      <c r="BE34"/>
      <c r="BF34"/>
      <c r="BG34"/>
      <c r="BH34"/>
      <c r="BI34"/>
      <c r="BJ34" s="3"/>
    </row>
    <row r="35" spans="1:62" ht="6" customHeight="1">
      <c r="A35" s="194"/>
      <c r="B35" s="194"/>
      <c r="C35" s="194"/>
      <c r="D35" s="194"/>
      <c r="E35" s="194"/>
      <c r="F35" s="194"/>
      <c r="G35" s="194"/>
      <c r="H35" s="194"/>
      <c r="I35" s="194"/>
      <c r="J35" s="194"/>
      <c r="K35" s="194"/>
      <c r="L35" s="194"/>
      <c r="M35" s="194"/>
      <c r="N35" s="52"/>
      <c r="O35" s="73"/>
      <c r="P35" s="36"/>
      <c r="Q35" s="72"/>
      <c r="R35" s="75"/>
      <c r="S35" s="166"/>
      <c r="T35" s="167"/>
      <c r="U35" s="24"/>
      <c r="V35" s="40"/>
      <c r="W35" s="40"/>
      <c r="X35" s="40"/>
      <c r="Y35" s="40"/>
      <c r="Z35" s="40"/>
      <c r="AA35" s="40"/>
      <c r="AB35" s="40"/>
      <c r="AC35" s="40"/>
      <c r="AD35" s="40"/>
      <c r="AE35" s="40"/>
      <c r="AF35" s="40"/>
      <c r="AG35"/>
      <c r="AH35"/>
      <c r="AI35"/>
      <c r="AJ35"/>
      <c r="AN35" s="40"/>
      <c r="AO35"/>
      <c r="AP35"/>
      <c r="AQ35"/>
      <c r="AR35"/>
      <c r="AS35"/>
      <c r="AT35"/>
      <c r="AU35"/>
      <c r="AV35"/>
      <c r="AW35"/>
      <c r="AX35"/>
      <c r="AY35"/>
      <c r="AZ35"/>
      <c r="BA35"/>
      <c r="BB35"/>
      <c r="BC35"/>
      <c r="BD35"/>
      <c r="BE35"/>
      <c r="BF35"/>
      <c r="BG35"/>
      <c r="BH35"/>
      <c r="BI35"/>
      <c r="BJ35" s="3"/>
    </row>
    <row r="36" spans="1:62" ht="6" customHeight="1">
      <c r="A36" s="194"/>
      <c r="B36" s="194"/>
      <c r="C36" s="194"/>
      <c r="D36" s="194"/>
      <c r="E36" s="194"/>
      <c r="F36" s="194"/>
      <c r="G36" s="194"/>
      <c r="H36" s="194"/>
      <c r="I36" s="194"/>
      <c r="J36" s="194"/>
      <c r="K36" s="194"/>
      <c r="L36" s="194"/>
      <c r="M36" s="194"/>
      <c r="N36" s="52"/>
      <c r="O36" s="73"/>
      <c r="P36" s="36"/>
      <c r="Q36" s="72"/>
      <c r="R36" s="75"/>
      <c r="S36" s="166"/>
      <c r="T36" s="168"/>
      <c r="V36" s="2"/>
      <c r="AG36"/>
      <c r="AH36"/>
      <c r="AI36"/>
      <c r="AJ36"/>
      <c r="AN36" s="3"/>
      <c r="AO36"/>
      <c r="AP36"/>
      <c r="AQ36"/>
      <c r="AR36"/>
      <c r="AS36"/>
      <c r="AT36"/>
      <c r="AU36"/>
      <c r="AV36"/>
      <c r="AW36"/>
      <c r="AX36"/>
      <c r="AY36"/>
      <c r="AZ36"/>
      <c r="BA36"/>
      <c r="BB36"/>
      <c r="BC36"/>
      <c r="BD36"/>
      <c r="BE36"/>
      <c r="BF36"/>
      <c r="BG36"/>
      <c r="BH36"/>
      <c r="BI36"/>
      <c r="BJ36" s="3"/>
    </row>
    <row r="37" spans="1:62" ht="10.9" customHeight="1">
      <c r="A37" s="53"/>
      <c r="B37" s="53"/>
      <c r="C37" s="53"/>
      <c r="D37" s="54"/>
      <c r="E37" s="54"/>
      <c r="F37" s="54"/>
      <c r="G37" s="53"/>
      <c r="H37" s="53"/>
      <c r="I37" s="54"/>
      <c r="J37" s="54"/>
      <c r="K37" s="54"/>
      <c r="L37" s="54"/>
      <c r="M37" s="54"/>
      <c r="N37" s="54"/>
      <c r="P37" s="3"/>
      <c r="Q37" s="44"/>
      <c r="R37" s="3"/>
      <c r="S37" s="158"/>
      <c r="T37" s="158"/>
      <c r="U37" s="197"/>
      <c r="V37" s="197"/>
      <c r="W37" s="3"/>
      <c r="X37" s="3"/>
      <c r="Y37" s="3"/>
      <c r="Z37" s="3"/>
      <c r="AA37" s="3"/>
      <c r="AB37" s="3"/>
      <c r="AC37" s="197"/>
      <c r="AD37" s="197"/>
      <c r="AE37" s="3"/>
      <c r="AF37" s="3"/>
      <c r="AG37"/>
      <c r="AH37"/>
      <c r="AI37"/>
      <c r="AJ37"/>
      <c r="AN37" s="3"/>
      <c r="AO37"/>
      <c r="AP37"/>
      <c r="AQ37"/>
      <c r="AR37"/>
      <c r="AS37"/>
      <c r="AT37"/>
      <c r="AU37"/>
      <c r="AV37"/>
      <c r="AW37"/>
      <c r="AX37"/>
      <c r="AY37"/>
      <c r="AZ37"/>
      <c r="BA37"/>
      <c r="BB37"/>
      <c r="BC37"/>
      <c r="BD37"/>
      <c r="BE37"/>
      <c r="BF37"/>
      <c r="BG37"/>
      <c r="BH37"/>
      <c r="BI37"/>
      <c r="BJ37" s="3"/>
    </row>
    <row r="38" spans="1:62" ht="6" customHeight="1">
      <c r="A38" s="198">
        <v>4</v>
      </c>
      <c r="B38" s="51"/>
      <c r="C38" s="199" t="str">
        <f>INDEX(Riferimenti!$B$2:$B$60,A38)</f>
        <v>Adipico</v>
      </c>
      <c r="D38" s="199"/>
      <c r="E38" s="199"/>
      <c r="F38" s="199"/>
      <c r="G38" s="199"/>
      <c r="H38" s="199"/>
      <c r="I38" s="199"/>
      <c r="J38" s="199"/>
      <c r="K38" s="199"/>
      <c r="L38" s="199"/>
      <c r="M38" s="199"/>
      <c r="N38" s="199"/>
      <c r="O38" s="202">
        <f>INDEX(Riferimenti!$C$2:$C$65,A38)</f>
        <v>0</v>
      </c>
      <c r="P38" s="200" t="s">
        <v>6</v>
      </c>
      <c r="Q38" s="196">
        <f>INDEX(Riferimenti!$E$2:$E$65,A38)</f>
        <v>2.4</v>
      </c>
      <c r="R38" s="201"/>
      <c r="S38" s="202"/>
      <c r="T38" s="202"/>
      <c r="V38" s="2"/>
      <c r="AG38" s="195">
        <f>INDEX(Riferimenti!$Q$2:$Q$61,A38)</f>
        <v>0.91263278171997353</v>
      </c>
      <c r="AH38" s="195">
        <f>INDEX(Riferimenti!$R$2:$R$61,A38)</f>
        <v>2.4430428939557021</v>
      </c>
      <c r="AI38"/>
      <c r="AJ38"/>
      <c r="AK38" s="222"/>
      <c r="AL38" s="222"/>
      <c r="AM38" s="222"/>
      <c r="AO38"/>
      <c r="AP38"/>
      <c r="AQ38"/>
      <c r="AR38"/>
      <c r="AS38"/>
      <c r="AT38"/>
      <c r="AU38"/>
      <c r="AV38"/>
      <c r="AW38"/>
      <c r="AX38"/>
      <c r="AY38"/>
      <c r="AZ38"/>
      <c r="BA38"/>
      <c r="BB38"/>
      <c r="BC38"/>
      <c r="BD38"/>
      <c r="BE38"/>
      <c r="BF38"/>
      <c r="BG38"/>
      <c r="BH38"/>
      <c r="BI38"/>
      <c r="BJ38" s="3"/>
    </row>
    <row r="39" spans="1:62" ht="5.45" customHeight="1">
      <c r="A39" s="198"/>
      <c r="B39" s="51"/>
      <c r="C39" s="199"/>
      <c r="D39" s="199"/>
      <c r="E39" s="199"/>
      <c r="F39" s="199"/>
      <c r="G39" s="199"/>
      <c r="H39" s="199"/>
      <c r="I39" s="199"/>
      <c r="J39" s="199"/>
      <c r="K39" s="199"/>
      <c r="L39" s="199"/>
      <c r="M39" s="199"/>
      <c r="N39" s="199"/>
      <c r="O39" s="202"/>
      <c r="P39" s="200"/>
      <c r="Q39" s="196"/>
      <c r="R39" s="201"/>
      <c r="S39" s="202"/>
      <c r="T39" s="202"/>
      <c r="U39"/>
      <c r="V39"/>
      <c r="W39"/>
      <c r="X39"/>
      <c r="Y39"/>
      <c r="Z39"/>
      <c r="AA39"/>
      <c r="AB39"/>
      <c r="AC39"/>
      <c r="AD39"/>
      <c r="AE39"/>
      <c r="AF39"/>
      <c r="AG39" s="195"/>
      <c r="AH39" s="195"/>
      <c r="AI39"/>
      <c r="AJ39"/>
      <c r="AK39" s="222"/>
      <c r="AL39" s="222"/>
      <c r="AM39" s="222"/>
      <c r="AN39" s="3"/>
      <c r="AO39"/>
      <c r="AP39"/>
      <c r="AQ39"/>
      <c r="AR39"/>
      <c r="AS39"/>
      <c r="AT39"/>
      <c r="AU39"/>
      <c r="AV39"/>
      <c r="AW39"/>
      <c r="AX39"/>
      <c r="AY39"/>
      <c r="AZ39"/>
      <c r="BA39"/>
      <c r="BB39"/>
      <c r="BC39"/>
      <c r="BD39"/>
      <c r="BE39"/>
      <c r="BF39"/>
      <c r="BG39"/>
      <c r="BH39"/>
      <c r="BI39"/>
      <c r="BJ39" s="3"/>
    </row>
    <row r="40" spans="1:62" ht="6" customHeight="1">
      <c r="A40" s="194"/>
      <c r="B40" s="194"/>
      <c r="C40" s="194"/>
      <c r="D40" s="194"/>
      <c r="E40" s="194"/>
      <c r="F40" s="194"/>
      <c r="G40" s="194"/>
      <c r="H40" s="194"/>
      <c r="I40" s="194"/>
      <c r="J40" s="194"/>
      <c r="K40" s="194"/>
      <c r="L40" s="194"/>
      <c r="M40" s="194"/>
      <c r="N40" s="52"/>
      <c r="O40" s="73"/>
      <c r="P40" s="36"/>
      <c r="Q40" s="72"/>
      <c r="R40" s="75"/>
      <c r="S40" s="166"/>
      <c r="T40" s="167"/>
      <c r="U40" s="24"/>
      <c r="V40" s="40"/>
      <c r="W40" s="40"/>
      <c r="X40" s="40"/>
      <c r="Y40" s="40"/>
      <c r="Z40" s="40"/>
      <c r="AA40" s="40"/>
      <c r="AB40" s="40"/>
      <c r="AC40" s="40"/>
      <c r="AD40" s="40"/>
      <c r="AE40" s="40"/>
      <c r="AF40" s="40"/>
      <c r="AG40"/>
      <c r="AH40"/>
      <c r="AI40"/>
      <c r="AJ40"/>
      <c r="AN40" s="40"/>
      <c r="AO40"/>
      <c r="AP40"/>
      <c r="AQ40"/>
      <c r="AR40"/>
      <c r="AS40"/>
      <c r="AT40"/>
      <c r="AU40"/>
      <c r="AV40"/>
      <c r="AW40"/>
      <c r="AX40"/>
      <c r="AY40"/>
      <c r="AZ40"/>
      <c r="BA40"/>
      <c r="BB40"/>
      <c r="BC40"/>
      <c r="BD40"/>
      <c r="BE40"/>
      <c r="BF40"/>
      <c r="BG40"/>
      <c r="BH40"/>
      <c r="BI40"/>
      <c r="BJ40" s="3"/>
    </row>
    <row r="41" spans="1:62" ht="6" customHeight="1">
      <c r="A41" s="194"/>
      <c r="B41" s="194"/>
      <c r="C41" s="194"/>
      <c r="D41" s="194"/>
      <c r="E41" s="194"/>
      <c r="F41" s="194"/>
      <c r="G41" s="194"/>
      <c r="H41" s="194"/>
      <c r="I41" s="194"/>
      <c r="J41" s="194"/>
      <c r="K41" s="194"/>
      <c r="L41" s="194"/>
      <c r="M41" s="194"/>
      <c r="N41" s="52"/>
      <c r="O41" s="73"/>
      <c r="P41" s="36"/>
      <c r="Q41" s="72"/>
      <c r="R41" s="75"/>
      <c r="S41" s="166"/>
      <c r="T41" s="168"/>
      <c r="V41" s="2"/>
      <c r="AG41"/>
      <c r="AH41"/>
      <c r="AI41"/>
      <c r="AJ41"/>
      <c r="AN41" s="3"/>
      <c r="AO41"/>
      <c r="AP41"/>
      <c r="AQ41"/>
      <c r="AR41"/>
      <c r="AS41"/>
      <c r="AT41"/>
      <c r="AU41"/>
      <c r="AV41"/>
      <c r="AW41"/>
      <c r="AX41"/>
      <c r="AY41"/>
      <c r="AZ41"/>
      <c r="BA41"/>
      <c r="BB41"/>
      <c r="BC41"/>
      <c r="BD41"/>
      <c r="BE41"/>
      <c r="BF41"/>
      <c r="BG41"/>
      <c r="BH41"/>
      <c r="BI41"/>
      <c r="BJ41" s="3"/>
    </row>
    <row r="42" spans="1:62" ht="10.9" customHeight="1">
      <c r="A42" s="53"/>
      <c r="B42" s="53"/>
      <c r="C42" s="53"/>
      <c r="D42" s="54"/>
      <c r="E42" s="54"/>
      <c r="F42" s="54"/>
      <c r="G42" s="53"/>
      <c r="H42" s="53"/>
      <c r="I42" s="54"/>
      <c r="J42" s="54"/>
      <c r="K42" s="54"/>
      <c r="L42" s="54"/>
      <c r="M42" s="54"/>
      <c r="N42" s="54"/>
      <c r="P42" s="3"/>
      <c r="Q42" s="44"/>
      <c r="R42" s="3"/>
      <c r="S42" s="158"/>
      <c r="T42" s="158"/>
      <c r="U42" s="197"/>
      <c r="V42" s="197"/>
      <c r="W42" s="3"/>
      <c r="X42" s="3"/>
      <c r="Y42" s="3"/>
      <c r="Z42" s="3"/>
      <c r="AA42" s="3"/>
      <c r="AB42" s="3"/>
      <c r="AC42" s="197"/>
      <c r="AD42" s="197"/>
      <c r="AE42" s="3"/>
      <c r="AF42" s="3"/>
      <c r="AG42"/>
      <c r="AH42"/>
      <c r="AI42"/>
      <c r="AJ42"/>
      <c r="AN42" s="3"/>
      <c r="AO42"/>
      <c r="AP42"/>
      <c r="AQ42"/>
      <c r="AR42"/>
      <c r="AS42"/>
      <c r="AT42"/>
      <c r="AU42"/>
      <c r="AV42"/>
      <c r="AW42"/>
      <c r="AX42"/>
      <c r="AY42"/>
      <c r="AZ42"/>
      <c r="BA42"/>
      <c r="BB42"/>
      <c r="BC42"/>
      <c r="BD42"/>
      <c r="BE42"/>
      <c r="BF42"/>
      <c r="BG42"/>
      <c r="BH42"/>
      <c r="BI42"/>
      <c r="BJ42" s="3"/>
    </row>
    <row r="43" spans="1:62" ht="6" customHeight="1">
      <c r="A43" s="198">
        <v>5</v>
      </c>
      <c r="B43" s="51"/>
      <c r="C43" s="199" t="str">
        <f>INDEX(Riferimenti!$B$2:$B$60,A43)</f>
        <v>Suberico</v>
      </c>
      <c r="D43" s="199"/>
      <c r="E43" s="199"/>
      <c r="F43" s="199"/>
      <c r="G43" s="199"/>
      <c r="H43" s="199"/>
      <c r="I43" s="199"/>
      <c r="J43" s="199"/>
      <c r="K43" s="199"/>
      <c r="L43" s="199"/>
      <c r="M43" s="199"/>
      <c r="N43" s="199"/>
      <c r="O43" s="195">
        <f>INDEX(Riferimenti!$C$2:$C$65,A43)</f>
        <v>0</v>
      </c>
      <c r="P43" s="200" t="s">
        <v>6</v>
      </c>
      <c r="Q43" s="196">
        <f>INDEX(Riferimenti!$E$2:$E$65,A43)</f>
        <v>1.8</v>
      </c>
      <c r="R43" s="201"/>
      <c r="S43" s="202"/>
      <c r="T43" s="202"/>
      <c r="V43" s="2"/>
      <c r="AG43" s="195">
        <f>INDEX(Riferimenti!$Q$2:$Q$61,A43)</f>
        <v>0.29852560901708236</v>
      </c>
      <c r="AH43" s="195">
        <f>INDEX(Riferimenti!$R$2:$R$61,A43)</f>
        <v>1.0267662197766927</v>
      </c>
      <c r="AI43"/>
      <c r="AJ43"/>
      <c r="AK43" s="222"/>
      <c r="AL43" s="222"/>
      <c r="AM43" s="222"/>
      <c r="AO43"/>
      <c r="AP43"/>
      <c r="AQ43"/>
      <c r="AR43"/>
      <c r="AS43"/>
      <c r="AT43"/>
      <c r="AU43"/>
      <c r="AV43"/>
      <c r="AW43"/>
      <c r="AX43"/>
      <c r="AY43"/>
      <c r="AZ43"/>
      <c r="BA43"/>
      <c r="BB43"/>
      <c r="BC43"/>
      <c r="BD43"/>
      <c r="BE43"/>
      <c r="BF43"/>
      <c r="BG43"/>
      <c r="BH43"/>
      <c r="BI43"/>
      <c r="BJ43" s="3"/>
    </row>
    <row r="44" spans="1:62" ht="5.45" customHeight="1">
      <c r="A44" s="198"/>
      <c r="B44" s="51"/>
      <c r="C44" s="199"/>
      <c r="D44" s="199"/>
      <c r="E44" s="199"/>
      <c r="F44" s="199"/>
      <c r="G44" s="199"/>
      <c r="H44" s="199"/>
      <c r="I44" s="199"/>
      <c r="J44" s="199"/>
      <c r="K44" s="199"/>
      <c r="L44" s="199"/>
      <c r="M44" s="199"/>
      <c r="N44" s="199"/>
      <c r="O44" s="195"/>
      <c r="P44" s="200"/>
      <c r="Q44" s="196"/>
      <c r="R44" s="201"/>
      <c r="S44" s="202"/>
      <c r="T44" s="202"/>
      <c r="U44"/>
      <c r="V44"/>
      <c r="W44"/>
      <c r="X44"/>
      <c r="Y44"/>
      <c r="Z44"/>
      <c r="AA44"/>
      <c r="AB44"/>
      <c r="AC44"/>
      <c r="AD44"/>
      <c r="AE44"/>
      <c r="AF44"/>
      <c r="AG44" s="195"/>
      <c r="AH44" s="195"/>
      <c r="AI44"/>
      <c r="AJ44"/>
      <c r="AK44" s="222"/>
      <c r="AL44" s="222"/>
      <c r="AM44" s="222"/>
      <c r="AN44" s="3"/>
      <c r="AO44"/>
      <c r="AP44"/>
      <c r="AQ44"/>
      <c r="AR44"/>
      <c r="AS44"/>
      <c r="AT44"/>
      <c r="AU44"/>
      <c r="AV44"/>
      <c r="AW44"/>
      <c r="AX44"/>
      <c r="AY44"/>
      <c r="AZ44"/>
      <c r="BA44"/>
      <c r="BB44"/>
      <c r="BC44"/>
      <c r="BD44"/>
      <c r="BE44"/>
      <c r="BF44"/>
      <c r="BG44"/>
      <c r="BH44"/>
      <c r="BI44"/>
      <c r="BJ44" s="3"/>
    </row>
    <row r="45" spans="1:62" ht="6" customHeight="1">
      <c r="A45" s="194"/>
      <c r="B45" s="194"/>
      <c r="C45" s="194"/>
      <c r="D45" s="194"/>
      <c r="E45" s="194"/>
      <c r="F45" s="194"/>
      <c r="G45" s="194"/>
      <c r="H45" s="194"/>
      <c r="I45" s="194"/>
      <c r="J45" s="194"/>
      <c r="K45" s="194"/>
      <c r="L45" s="194"/>
      <c r="M45" s="194"/>
      <c r="N45" s="52"/>
      <c r="O45" s="73"/>
      <c r="P45" s="36"/>
      <c r="Q45" s="72"/>
      <c r="R45" s="75"/>
      <c r="S45" s="166"/>
      <c r="T45" s="167"/>
      <c r="U45" s="24"/>
      <c r="V45" s="40"/>
      <c r="W45" s="40"/>
      <c r="X45" s="40"/>
      <c r="Y45" s="40"/>
      <c r="Z45" s="40"/>
      <c r="AA45" s="40"/>
      <c r="AB45" s="40"/>
      <c r="AC45" s="40"/>
      <c r="AD45" s="40"/>
      <c r="AE45" s="40"/>
      <c r="AF45" s="40"/>
      <c r="AG45"/>
      <c r="AH45"/>
      <c r="AI45"/>
      <c r="AJ45"/>
      <c r="AN45" s="40"/>
      <c r="AO45"/>
      <c r="AP45"/>
      <c r="AQ45"/>
      <c r="AR45"/>
      <c r="AS45"/>
      <c r="AT45"/>
      <c r="AU45"/>
      <c r="AV45"/>
      <c r="AW45"/>
      <c r="AX45"/>
      <c r="AY45"/>
      <c r="AZ45"/>
      <c r="BA45"/>
      <c r="BB45"/>
      <c r="BC45"/>
      <c r="BD45"/>
      <c r="BE45"/>
      <c r="BF45"/>
      <c r="BG45"/>
      <c r="BH45"/>
      <c r="BI45"/>
      <c r="BJ45" s="3"/>
    </row>
    <row r="46" spans="1:62" ht="6" customHeight="1">
      <c r="A46" s="194"/>
      <c r="B46" s="194"/>
      <c r="C46" s="194"/>
      <c r="D46" s="194"/>
      <c r="E46" s="194"/>
      <c r="F46" s="194"/>
      <c r="G46" s="194"/>
      <c r="H46" s="194"/>
      <c r="I46" s="194"/>
      <c r="J46" s="194"/>
      <c r="K46" s="194"/>
      <c r="L46" s="194"/>
      <c r="M46" s="194"/>
      <c r="N46" s="52"/>
      <c r="O46" s="73"/>
      <c r="P46" s="36"/>
      <c r="Q46" s="72"/>
      <c r="R46" s="75"/>
      <c r="S46" s="166"/>
      <c r="T46" s="168"/>
      <c r="V46" s="2"/>
      <c r="AG46"/>
      <c r="AH46"/>
      <c r="AI46"/>
      <c r="AJ46"/>
      <c r="AN46" s="3"/>
      <c r="AO46"/>
      <c r="AP46"/>
      <c r="AQ46"/>
      <c r="AR46"/>
      <c r="AS46"/>
      <c r="AT46"/>
      <c r="AU46"/>
      <c r="AV46"/>
      <c r="AW46"/>
      <c r="AX46"/>
      <c r="AY46"/>
      <c r="AZ46"/>
      <c r="BA46"/>
      <c r="BB46"/>
      <c r="BC46"/>
      <c r="BD46"/>
      <c r="BE46"/>
      <c r="BF46"/>
      <c r="BG46"/>
      <c r="BH46"/>
      <c r="BI46"/>
      <c r="BJ46" s="3"/>
    </row>
    <row r="47" spans="1:62" ht="10.9" customHeight="1">
      <c r="A47" s="53"/>
      <c r="B47" s="53"/>
      <c r="C47" s="53"/>
      <c r="D47" s="54"/>
      <c r="E47" s="54"/>
      <c r="F47" s="54"/>
      <c r="G47" s="53"/>
      <c r="H47" s="53"/>
      <c r="I47" s="54"/>
      <c r="J47" s="54"/>
      <c r="K47" s="54"/>
      <c r="L47" s="54"/>
      <c r="M47" s="54"/>
      <c r="N47" s="54"/>
      <c r="P47" s="3"/>
      <c r="Q47" s="44"/>
      <c r="R47" s="3"/>
      <c r="S47" s="158"/>
      <c r="T47" s="158"/>
      <c r="U47" s="197"/>
      <c r="V47" s="197"/>
      <c r="W47" s="3"/>
      <c r="X47" s="3"/>
      <c r="Y47" s="3"/>
      <c r="Z47" s="3"/>
      <c r="AA47" s="3"/>
      <c r="AB47" s="3"/>
      <c r="AC47" s="197"/>
      <c r="AD47" s="197"/>
      <c r="AE47" s="3"/>
      <c r="AF47" s="3"/>
      <c r="AG47"/>
      <c r="AH47"/>
      <c r="AI47"/>
      <c r="AJ47"/>
      <c r="AN47" s="3"/>
      <c r="AO47"/>
      <c r="AP47"/>
      <c r="AQ47"/>
      <c r="AR47"/>
      <c r="AS47"/>
      <c r="AT47"/>
      <c r="AU47"/>
      <c r="AV47"/>
      <c r="AW47"/>
      <c r="AX47"/>
      <c r="AY47"/>
      <c r="AZ47"/>
      <c r="BA47"/>
      <c r="BB47"/>
      <c r="BC47"/>
      <c r="BD47"/>
      <c r="BE47"/>
      <c r="BF47"/>
      <c r="BG47"/>
      <c r="BH47"/>
      <c r="BI47"/>
      <c r="BJ47" s="3"/>
    </row>
    <row r="48" spans="1:62" ht="6" customHeight="1">
      <c r="A48" s="198">
        <v>6</v>
      </c>
      <c r="B48" s="51"/>
      <c r="C48" s="199" t="str">
        <f>INDEX(Riferimenti!$B$2:$B$60,A48)</f>
        <v>Etilmalonico</v>
      </c>
      <c r="D48" s="199"/>
      <c r="E48" s="199"/>
      <c r="F48" s="199"/>
      <c r="G48" s="199"/>
      <c r="H48" s="199"/>
      <c r="I48" s="199"/>
      <c r="J48" s="199"/>
      <c r="K48" s="199"/>
      <c r="L48" s="199"/>
      <c r="M48" s="199"/>
      <c r="N48" s="199"/>
      <c r="O48" s="195" t="str">
        <f>IF(INDEX(Riferimenti!$C$2:$C$66,A48)&gt;0,INDEX(Riferimenti!$C$2:$C$66,A48),"")</f>
        <v/>
      </c>
      <c r="P48" s="195" t="str">
        <f>INDEX(Riferimenti!$D$2:$D$66,A48)</f>
        <v>≤</v>
      </c>
      <c r="Q48" s="224">
        <f>INDEX(Riferimenti!$E$2:$E$66,A48)</f>
        <v>5</v>
      </c>
      <c r="R48" s="201"/>
      <c r="S48" s="202"/>
      <c r="T48" s="202"/>
      <c r="V48" s="2"/>
      <c r="AG48" s="195">
        <f>INDEX(Riferimenti!$Q$2:$Q$61,A48)</f>
        <v>1.6004802162258183</v>
      </c>
      <c r="AH48" s="195">
        <f>INDEX(Riferimenti!$R$2:$R$61,A48)</f>
        <v>3.890733172895517</v>
      </c>
      <c r="AI48"/>
      <c r="AJ48"/>
      <c r="AK48" s="222"/>
      <c r="AL48" s="222"/>
      <c r="AM48" s="222"/>
      <c r="AO48"/>
      <c r="AP48"/>
      <c r="AQ48"/>
      <c r="AR48"/>
      <c r="AS48"/>
      <c r="AT48"/>
      <c r="AU48"/>
      <c r="AV48"/>
      <c r="AW48"/>
      <c r="AX48"/>
      <c r="AY48"/>
      <c r="AZ48"/>
      <c r="BA48"/>
      <c r="BB48"/>
      <c r="BC48"/>
      <c r="BD48"/>
      <c r="BE48"/>
      <c r="BF48"/>
      <c r="BG48"/>
      <c r="BH48"/>
      <c r="BI48"/>
      <c r="BJ48" s="3"/>
    </row>
    <row r="49" spans="1:62" ht="5.45" customHeight="1">
      <c r="A49" s="198"/>
      <c r="B49" s="51"/>
      <c r="C49" s="199"/>
      <c r="D49" s="199"/>
      <c r="E49" s="199"/>
      <c r="F49" s="199"/>
      <c r="G49" s="199"/>
      <c r="H49" s="199"/>
      <c r="I49" s="199"/>
      <c r="J49" s="199"/>
      <c r="K49" s="199"/>
      <c r="L49" s="199"/>
      <c r="M49" s="199"/>
      <c r="N49" s="199"/>
      <c r="O49" s="195"/>
      <c r="P49" s="195"/>
      <c r="Q49" s="224"/>
      <c r="R49" s="201"/>
      <c r="S49" s="202"/>
      <c r="T49" s="202"/>
      <c r="U49"/>
      <c r="V49"/>
      <c r="W49"/>
      <c r="X49"/>
      <c r="Y49"/>
      <c r="Z49"/>
      <c r="AA49"/>
      <c r="AB49"/>
      <c r="AC49"/>
      <c r="AD49"/>
      <c r="AE49"/>
      <c r="AF49"/>
      <c r="AG49" s="195"/>
      <c r="AH49" s="195"/>
      <c r="AI49"/>
      <c r="AJ49"/>
      <c r="AK49" s="222"/>
      <c r="AL49" s="222"/>
      <c r="AM49" s="222"/>
      <c r="AN49" s="3"/>
      <c r="AO49"/>
      <c r="AP49"/>
      <c r="AQ49"/>
      <c r="AR49"/>
      <c r="AS49"/>
      <c r="AT49"/>
      <c r="AU49"/>
      <c r="AV49"/>
      <c r="AW49"/>
      <c r="AX49"/>
      <c r="AY49"/>
      <c r="AZ49"/>
      <c r="BA49"/>
      <c r="BB49"/>
      <c r="BC49"/>
      <c r="BD49"/>
      <c r="BE49"/>
      <c r="BF49"/>
      <c r="BG49"/>
      <c r="BH49"/>
      <c r="BI49"/>
      <c r="BJ49" s="3"/>
    </row>
    <row r="50" spans="1:62" ht="6" customHeight="1">
      <c r="A50" s="194"/>
      <c r="B50" s="194"/>
      <c r="C50" s="194"/>
      <c r="D50" s="194"/>
      <c r="E50" s="194"/>
      <c r="F50" s="194"/>
      <c r="G50" s="194"/>
      <c r="H50" s="194"/>
      <c r="I50" s="194"/>
      <c r="J50" s="194"/>
      <c r="K50" s="194"/>
      <c r="L50" s="194"/>
      <c r="M50" s="194"/>
      <c r="N50" s="52"/>
      <c r="O50" s="73"/>
      <c r="P50" s="36"/>
      <c r="Q50" s="72"/>
      <c r="R50" s="75"/>
      <c r="S50" s="166"/>
      <c r="T50" s="167"/>
      <c r="U50" s="24"/>
      <c r="V50" s="40"/>
      <c r="W50" s="40"/>
      <c r="X50" s="40"/>
      <c r="Y50" s="40"/>
      <c r="Z50" s="40"/>
      <c r="AA50" s="40"/>
      <c r="AB50" s="40"/>
      <c r="AC50" s="40"/>
      <c r="AD50" s="40"/>
      <c r="AE50" s="40"/>
      <c r="AF50" s="40"/>
      <c r="AG50"/>
      <c r="AH50"/>
      <c r="AI50"/>
      <c r="AJ50"/>
      <c r="AN50" s="40"/>
      <c r="AO50"/>
      <c r="AP50"/>
      <c r="AQ50"/>
      <c r="AR50"/>
      <c r="AS50"/>
      <c r="AT50"/>
      <c r="AU50"/>
      <c r="AV50"/>
      <c r="AW50"/>
      <c r="AX50"/>
      <c r="AY50"/>
      <c r="AZ50"/>
      <c r="BA50"/>
      <c r="BB50"/>
      <c r="BC50"/>
      <c r="BD50"/>
      <c r="BE50"/>
      <c r="BF50"/>
      <c r="BG50"/>
      <c r="BH50"/>
      <c r="BI50"/>
      <c r="BJ50" s="3"/>
    </row>
    <row r="51" spans="1:62" ht="6" customHeight="1">
      <c r="A51" s="194"/>
      <c r="B51" s="194"/>
      <c r="C51" s="194"/>
      <c r="D51" s="194"/>
      <c r="E51" s="194"/>
      <c r="F51" s="194"/>
      <c r="G51" s="194"/>
      <c r="H51" s="194"/>
      <c r="I51" s="194"/>
      <c r="J51" s="194"/>
      <c r="K51" s="194"/>
      <c r="L51" s="194"/>
      <c r="M51" s="194"/>
      <c r="N51" s="52"/>
      <c r="O51" s="73"/>
      <c r="P51" s="36"/>
      <c r="Q51" s="72"/>
      <c r="R51" s="75"/>
      <c r="S51" s="166"/>
      <c r="T51" s="168"/>
      <c r="V51" s="2"/>
      <c r="AG51"/>
      <c r="AH51"/>
      <c r="AI51"/>
      <c r="AJ51"/>
      <c r="AN51" s="3"/>
      <c r="AO51"/>
      <c r="AP51"/>
      <c r="AQ51"/>
      <c r="AR51"/>
      <c r="AS51"/>
      <c r="AT51"/>
      <c r="AU51"/>
      <c r="AV51"/>
      <c r="AW51"/>
      <c r="AX51"/>
      <c r="AY51"/>
      <c r="AZ51"/>
      <c r="BA51"/>
      <c r="BB51"/>
      <c r="BC51"/>
      <c r="BD51"/>
      <c r="BE51"/>
      <c r="BF51"/>
      <c r="BG51"/>
      <c r="BH51"/>
      <c r="BI51"/>
      <c r="BJ51" s="3"/>
    </row>
    <row r="52" spans="1:62" ht="10.9" customHeight="1">
      <c r="A52" s="53"/>
      <c r="B52" s="53"/>
      <c r="C52" s="53"/>
      <c r="D52" s="54"/>
      <c r="E52" s="54"/>
      <c r="F52" s="54"/>
      <c r="G52" s="53"/>
      <c r="H52" s="53"/>
      <c r="I52" s="54"/>
      <c r="J52" s="54"/>
      <c r="K52" s="54"/>
      <c r="L52" s="54"/>
      <c r="M52" s="54"/>
      <c r="N52" s="54"/>
      <c r="P52" s="3"/>
      <c r="Q52" s="44"/>
      <c r="R52" s="3"/>
      <c r="S52" s="158"/>
      <c r="T52" s="158"/>
      <c r="U52" s="197"/>
      <c r="V52" s="197"/>
      <c r="W52" s="3"/>
      <c r="X52" s="3"/>
      <c r="Y52" s="3"/>
      <c r="Z52" s="3"/>
      <c r="AA52" s="3"/>
      <c r="AB52" s="3"/>
      <c r="AC52" s="197"/>
      <c r="AD52" s="197"/>
      <c r="AE52" s="3"/>
      <c r="AF52" s="3"/>
      <c r="AG52"/>
      <c r="AH52"/>
      <c r="AI52"/>
      <c r="AJ52"/>
      <c r="AN52" s="3"/>
      <c r="AO52"/>
      <c r="AP52"/>
      <c r="AQ52"/>
      <c r="AR52"/>
      <c r="AS52"/>
      <c r="AT52"/>
      <c r="AU52"/>
      <c r="AV52"/>
      <c r="AW52"/>
      <c r="AX52"/>
      <c r="AY52"/>
      <c r="AZ52"/>
      <c r="BA52"/>
      <c r="BB52"/>
      <c r="BC52"/>
      <c r="BD52"/>
      <c r="BE52"/>
      <c r="BF52"/>
      <c r="BG52"/>
      <c r="BH52"/>
      <c r="BI52"/>
      <c r="BJ52" s="3"/>
    </row>
    <row r="53" spans="1:62" ht="6" customHeight="1">
      <c r="A53" s="198">
        <v>7</v>
      </c>
      <c r="B53" s="51"/>
      <c r="C53" s="199" t="str">
        <f>INDEX(Riferimenti!$B$2:$B$60,A53)</f>
        <v>3-Idrossibutirrico</v>
      </c>
      <c r="D53" s="199"/>
      <c r="E53" s="199"/>
      <c r="F53" s="199"/>
      <c r="G53" s="199"/>
      <c r="H53" s="199"/>
      <c r="I53" s="199"/>
      <c r="J53" s="199"/>
      <c r="K53" s="199"/>
      <c r="L53" s="199"/>
      <c r="M53" s="199"/>
      <c r="N53" s="199"/>
      <c r="O53" s="195"/>
      <c r="P53" s="200" t="s">
        <v>4</v>
      </c>
      <c r="Q53" s="224">
        <f>INDEX(Riferimenti!$E$2:$E$65,A53)</f>
        <v>3</v>
      </c>
      <c r="R53" s="201"/>
      <c r="S53" s="202">
        <v>2</v>
      </c>
      <c r="T53" s="202"/>
      <c r="V53" s="2"/>
      <c r="AG53" s="195">
        <f>INDEX(Riferimenti!$Q$2:$Q$61,A53)</f>
        <v>0.12515198623493884</v>
      </c>
      <c r="AH53" s="195">
        <f>INDEX(Riferimenti!$R$2:$R$61,A53)</f>
        <v>1.5483174015201639</v>
      </c>
      <c r="AI53"/>
      <c r="AJ53"/>
      <c r="AK53" s="222"/>
      <c r="AL53" s="222"/>
      <c r="AM53" s="222"/>
      <c r="AO53"/>
      <c r="AP53"/>
      <c r="AQ53"/>
      <c r="AR53"/>
      <c r="AS53"/>
      <c r="AT53"/>
      <c r="AU53"/>
      <c r="AV53"/>
      <c r="AW53"/>
      <c r="AX53"/>
      <c r="AY53"/>
      <c r="AZ53"/>
      <c r="BA53"/>
      <c r="BB53"/>
      <c r="BC53"/>
      <c r="BD53"/>
      <c r="BE53"/>
      <c r="BF53"/>
      <c r="BG53"/>
      <c r="BH53"/>
      <c r="BI53"/>
      <c r="BJ53" s="3"/>
    </row>
    <row r="54" spans="1:62" ht="5.45" customHeight="1">
      <c r="A54" s="198"/>
      <c r="B54" s="51"/>
      <c r="C54" s="199"/>
      <c r="D54" s="199"/>
      <c r="E54" s="199"/>
      <c r="F54" s="199"/>
      <c r="G54" s="199"/>
      <c r="H54" s="199"/>
      <c r="I54" s="199"/>
      <c r="J54" s="199"/>
      <c r="K54" s="199"/>
      <c r="L54" s="199"/>
      <c r="M54" s="199"/>
      <c r="N54" s="199"/>
      <c r="O54" s="195"/>
      <c r="P54" s="200"/>
      <c r="Q54" s="224"/>
      <c r="R54" s="201"/>
      <c r="S54" s="202"/>
      <c r="T54" s="202"/>
      <c r="U54"/>
      <c r="V54"/>
      <c r="W54"/>
      <c r="X54"/>
      <c r="Y54"/>
      <c r="Z54"/>
      <c r="AA54"/>
      <c r="AB54"/>
      <c r="AC54"/>
      <c r="AD54"/>
      <c r="AE54"/>
      <c r="AF54"/>
      <c r="AG54" s="195"/>
      <c r="AH54" s="195"/>
      <c r="AI54"/>
      <c r="AJ54"/>
      <c r="AK54" s="222"/>
      <c r="AL54" s="222"/>
      <c r="AM54" s="222"/>
      <c r="AN54" s="3"/>
      <c r="AO54"/>
      <c r="AP54"/>
      <c r="AQ54"/>
      <c r="AR54"/>
      <c r="AS54"/>
      <c r="AT54"/>
      <c r="AU54"/>
      <c r="AV54"/>
      <c r="AW54"/>
      <c r="AX54"/>
      <c r="AY54"/>
      <c r="AZ54"/>
      <c r="BA54"/>
      <c r="BB54"/>
      <c r="BC54"/>
      <c r="BD54"/>
      <c r="BE54"/>
      <c r="BF54"/>
      <c r="BG54"/>
      <c r="BH54"/>
      <c r="BI54"/>
      <c r="BJ54" s="3"/>
    </row>
    <row r="55" spans="1:62" ht="6" customHeight="1">
      <c r="A55" s="226"/>
      <c r="B55" s="226"/>
      <c r="C55" s="226"/>
      <c r="D55" s="226"/>
      <c r="E55" s="226"/>
      <c r="F55" s="226"/>
      <c r="G55" s="226"/>
      <c r="H55" s="226"/>
      <c r="I55" s="226"/>
      <c r="J55" s="226"/>
      <c r="K55" s="226"/>
      <c r="L55" s="226"/>
      <c r="M55" s="226"/>
      <c r="N55" s="25"/>
      <c r="O55" s="73"/>
      <c r="P55" s="36"/>
      <c r="Q55" s="72"/>
      <c r="R55" s="75"/>
      <c r="S55" s="166"/>
      <c r="T55" s="167"/>
      <c r="U55" s="24"/>
      <c r="V55" s="40"/>
      <c r="W55" s="40"/>
      <c r="X55" s="40"/>
      <c r="Y55" s="40"/>
      <c r="Z55" s="40"/>
      <c r="AA55" s="40"/>
      <c r="AB55" s="40"/>
      <c r="AC55" s="40"/>
      <c r="AD55" s="40"/>
      <c r="AE55" s="40"/>
      <c r="AF55" s="40"/>
      <c r="AG55"/>
      <c r="AH55"/>
      <c r="AI55"/>
      <c r="AJ55"/>
      <c r="AK55"/>
      <c r="AL55"/>
      <c r="AM55"/>
      <c r="AN55"/>
      <c r="AO55"/>
      <c r="AP55"/>
      <c r="AQ55"/>
      <c r="AR55"/>
      <c r="AS55"/>
      <c r="AT55"/>
      <c r="AU55"/>
      <c r="AV55"/>
      <c r="AW55"/>
      <c r="AX55"/>
      <c r="AY55"/>
      <c r="AZ55"/>
      <c r="BA55"/>
      <c r="BB55"/>
      <c r="BC55"/>
      <c r="BD55"/>
      <c r="BE55"/>
      <c r="BF55"/>
      <c r="BG55"/>
      <c r="BH55"/>
      <c r="BI55"/>
      <c r="BJ55" s="3"/>
    </row>
    <row r="56" spans="1:62" ht="6" customHeight="1">
      <c r="A56" s="226"/>
      <c r="B56" s="226"/>
      <c r="C56" s="226"/>
      <c r="D56" s="226"/>
      <c r="E56" s="226"/>
      <c r="F56" s="226"/>
      <c r="G56" s="226"/>
      <c r="H56" s="226"/>
      <c r="I56" s="226"/>
      <c r="J56" s="226"/>
      <c r="K56" s="226"/>
      <c r="L56" s="226"/>
      <c r="M56" s="226"/>
      <c r="N56" s="25"/>
      <c r="O56" s="77"/>
      <c r="P56" s="35"/>
      <c r="Q56" s="34"/>
      <c r="R56" s="40"/>
      <c r="S56" s="166"/>
      <c r="T56" s="168"/>
      <c r="V56" s="2"/>
      <c r="AG56"/>
      <c r="AH56"/>
      <c r="AI56"/>
      <c r="AJ56"/>
      <c r="AK56"/>
      <c r="AL56"/>
      <c r="AM56"/>
      <c r="AN56"/>
      <c r="AO56"/>
      <c r="AP56"/>
      <c r="AQ56"/>
      <c r="AR56"/>
      <c r="AS56"/>
      <c r="AT56"/>
      <c r="AU56"/>
      <c r="AV56"/>
      <c r="AW56"/>
      <c r="AX56"/>
      <c r="AY56"/>
      <c r="AZ56"/>
      <c r="BA56"/>
      <c r="BB56"/>
      <c r="BC56"/>
      <c r="BD56"/>
      <c r="BE56"/>
      <c r="BF56"/>
      <c r="BG56"/>
      <c r="BH56"/>
      <c r="BI56"/>
      <c r="BJ56" s="3"/>
    </row>
    <row r="57" spans="1:62" ht="15.75">
      <c r="A57" s="208" t="s">
        <v>94</v>
      </c>
      <c r="B57" s="208"/>
      <c r="C57" s="208"/>
      <c r="D57" s="208"/>
      <c r="E57" s="208"/>
      <c r="F57" s="208"/>
      <c r="G57" s="208"/>
      <c r="H57" s="208"/>
      <c r="I57" s="208"/>
      <c r="J57" s="208"/>
      <c r="K57" s="208"/>
      <c r="L57" s="208"/>
      <c r="M57" s="208"/>
      <c r="N57" s="208"/>
      <c r="O57" s="208"/>
      <c r="P57" s="208"/>
      <c r="Q57" s="208"/>
      <c r="R57" s="208"/>
      <c r="S57" s="208"/>
      <c r="T57" s="208"/>
      <c r="U57" s="208"/>
      <c r="V57" s="208"/>
      <c r="W57" s="208"/>
      <c r="X57" s="208"/>
      <c r="Y57" s="208"/>
      <c r="Z57" s="208"/>
      <c r="AA57" s="208"/>
      <c r="AB57" s="208"/>
      <c r="AC57" s="208"/>
      <c r="AD57" s="208"/>
      <c r="AE57" s="208"/>
      <c r="AF57" s="3"/>
      <c r="AG57" s="3"/>
      <c r="AH57" s="3"/>
      <c r="AI57" s="3"/>
      <c r="AJ57" s="3"/>
      <c r="AK57" s="3"/>
      <c r="AL57" s="3"/>
      <c r="AM57" s="3"/>
      <c r="AN57" s="3"/>
      <c r="AO57" s="3"/>
      <c r="AP57" s="3"/>
      <c r="AQ57" s="3"/>
      <c r="AR57" s="3"/>
    </row>
    <row r="58" spans="1:62" ht="10.9" customHeight="1">
      <c r="A58" s="3"/>
      <c r="C58" s="3"/>
      <c r="P58" s="3"/>
      <c r="Q58" s="3"/>
      <c r="R58" s="3"/>
      <c r="S58" s="158"/>
      <c r="T58" s="158"/>
      <c r="U58" s="197"/>
      <c r="V58" s="197"/>
      <c r="W58" s="3"/>
      <c r="X58" s="3"/>
      <c r="Y58" s="3"/>
      <c r="Z58" s="3"/>
      <c r="AA58" s="3"/>
      <c r="AB58" s="3"/>
      <c r="AC58" s="197"/>
      <c r="AD58" s="197"/>
      <c r="AE58" s="3"/>
      <c r="AF58" s="3"/>
      <c r="AG58" s="3"/>
      <c r="AH58" s="3"/>
      <c r="AI58" s="22"/>
      <c r="AJ58" s="22"/>
      <c r="AK58" s="22"/>
      <c r="AL58" s="22"/>
      <c r="AN58" s="3"/>
      <c r="AP58" s="3"/>
      <c r="AQ58" s="3"/>
      <c r="AR58" s="3"/>
      <c r="AS58" s="3"/>
      <c r="AT58" s="3"/>
      <c r="AU58" s="3"/>
      <c r="AV58" s="3"/>
      <c r="AW58" s="3"/>
      <c r="AX58" s="3"/>
      <c r="AY58" s="3"/>
      <c r="AZ58" s="3"/>
      <c r="BA58" s="3"/>
      <c r="BB58" s="3"/>
      <c r="BC58" s="3"/>
      <c r="BD58" s="3"/>
      <c r="BE58" s="3"/>
      <c r="BF58" s="3"/>
      <c r="BG58" s="3"/>
      <c r="BH58" s="3"/>
      <c r="BI58" s="3"/>
      <c r="BJ58" s="3"/>
    </row>
    <row r="59" spans="1:62" ht="6" customHeight="1">
      <c r="A59" s="198">
        <v>8</v>
      </c>
      <c r="B59" s="51"/>
      <c r="C59" s="199" t="str">
        <f>INDEX(Riferimenti!$B$2:$B$60,A59)</f>
        <v>Citrico</v>
      </c>
      <c r="D59" s="199"/>
      <c r="E59" s="199"/>
      <c r="F59" s="199"/>
      <c r="G59" s="199"/>
      <c r="H59" s="199"/>
      <c r="I59" s="199"/>
      <c r="J59" s="199"/>
      <c r="K59" s="199"/>
      <c r="L59" s="199"/>
      <c r="M59" s="199"/>
      <c r="N59" s="199"/>
      <c r="O59" s="195">
        <f>IF(INDEX(Riferimenti!$C$2:$C$66,A59)&gt;0,INDEX(Riferimenti!$C$2:$C$66,A59),"")</f>
        <v>41.6</v>
      </c>
      <c r="P59" s="195" t="str">
        <f>INDEX(Riferimenti!$D$2:$D$66,A59)</f>
        <v>-</v>
      </c>
      <c r="Q59" s="196">
        <f>INDEX(Riferimenti!$E$2:$E$66,A59)</f>
        <v>538.5</v>
      </c>
      <c r="R59" s="201"/>
      <c r="S59" s="202"/>
      <c r="T59" s="202"/>
      <c r="V59" s="2"/>
      <c r="AG59" s="195">
        <f>INDEX(Riferimenti!$Q$2:$Q$61,A59)</f>
        <v>165.85467558085608</v>
      </c>
      <c r="AH59" s="195">
        <f>INDEX(Riferimenti!$R$2:$R$61,A59)</f>
        <v>414.3096101334296</v>
      </c>
      <c r="AI59" s="3"/>
      <c r="AN59" s="3"/>
      <c r="AT59" s="3"/>
      <c r="AU59" s="3"/>
      <c r="AV59" s="3"/>
      <c r="AW59" s="3"/>
      <c r="AX59" s="3"/>
      <c r="AY59" s="3"/>
      <c r="AZ59" s="3"/>
      <c r="BA59" s="3"/>
      <c r="BB59" s="3"/>
      <c r="BC59" s="3"/>
      <c r="BD59" s="3"/>
      <c r="BE59" s="3"/>
      <c r="BF59" s="3"/>
      <c r="BG59" s="3"/>
      <c r="BH59" s="3"/>
      <c r="BI59" s="3"/>
      <c r="BJ59" s="3"/>
    </row>
    <row r="60" spans="1:62" ht="5.45" customHeight="1">
      <c r="A60" s="198"/>
      <c r="B60" s="51"/>
      <c r="C60" s="199"/>
      <c r="D60" s="199"/>
      <c r="E60" s="199"/>
      <c r="F60" s="199"/>
      <c r="G60" s="199"/>
      <c r="H60" s="199"/>
      <c r="I60" s="199"/>
      <c r="J60" s="199"/>
      <c r="K60" s="199"/>
      <c r="L60" s="199"/>
      <c r="M60" s="199"/>
      <c r="N60" s="199"/>
      <c r="O60" s="195"/>
      <c r="P60" s="195"/>
      <c r="Q60" s="196"/>
      <c r="R60" s="201"/>
      <c r="S60" s="202"/>
      <c r="T60" s="202"/>
      <c r="U60"/>
      <c r="V60"/>
      <c r="W60"/>
      <c r="X60"/>
      <c r="Y60"/>
      <c r="Z60"/>
      <c r="AA60"/>
      <c r="AB60"/>
      <c r="AC60"/>
      <c r="AD60"/>
      <c r="AE60"/>
      <c r="AF60"/>
      <c r="AG60" s="195"/>
      <c r="AH60" s="195"/>
      <c r="AN60" s="3"/>
      <c r="AO60" s="3"/>
      <c r="AP60" s="3"/>
      <c r="AQ60" s="3"/>
      <c r="AR60" s="3"/>
      <c r="AS60" s="3"/>
      <c r="AT60" s="3"/>
      <c r="AU60" s="3"/>
      <c r="AV60" s="3"/>
      <c r="AW60" s="3"/>
      <c r="AX60" s="3"/>
      <c r="AY60" s="3"/>
      <c r="AZ60" s="3"/>
      <c r="BA60" s="3"/>
      <c r="BB60" s="3"/>
      <c r="BC60" s="3"/>
      <c r="BD60" s="3"/>
      <c r="BE60" s="3"/>
      <c r="BF60" s="3"/>
      <c r="BG60" s="3"/>
      <c r="BH60" s="3"/>
      <c r="BI60" s="3"/>
      <c r="BJ60" s="3"/>
    </row>
    <row r="61" spans="1:62" ht="6" customHeight="1">
      <c r="A61" s="216"/>
      <c r="B61" s="216"/>
      <c r="C61" s="216"/>
      <c r="D61" s="216"/>
      <c r="E61" s="216"/>
      <c r="F61" s="216"/>
      <c r="G61" s="216"/>
      <c r="H61" s="216"/>
      <c r="I61" s="216"/>
      <c r="J61" s="216"/>
      <c r="K61" s="216"/>
      <c r="L61" s="216"/>
      <c r="M61" s="216"/>
      <c r="N61" s="25"/>
      <c r="O61" s="77"/>
      <c r="P61" s="35"/>
      <c r="Q61" s="34"/>
      <c r="R61" s="40"/>
      <c r="S61" s="72"/>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3"/>
      <c r="AS61" s="3"/>
      <c r="AT61" s="3"/>
      <c r="AU61" s="3"/>
      <c r="AV61" s="3"/>
      <c r="AW61" s="3"/>
      <c r="AX61" s="3"/>
      <c r="AY61" s="3"/>
      <c r="AZ61" s="3"/>
      <c r="BA61" s="3"/>
      <c r="BB61" s="3"/>
      <c r="BC61" s="3"/>
      <c r="BD61" s="3"/>
      <c r="BE61" s="3"/>
      <c r="BF61" s="3"/>
      <c r="BG61" s="3"/>
      <c r="BH61" s="3"/>
      <c r="BI61" s="3"/>
      <c r="BJ61" s="3"/>
    </row>
    <row r="62" spans="1:62" ht="6" customHeight="1">
      <c r="A62" s="216"/>
      <c r="B62" s="216"/>
      <c r="C62" s="216"/>
      <c r="D62" s="216"/>
      <c r="E62" s="216"/>
      <c r="F62" s="216"/>
      <c r="G62" s="216"/>
      <c r="H62" s="216"/>
      <c r="I62" s="216"/>
      <c r="J62" s="216"/>
      <c r="K62" s="216"/>
      <c r="L62" s="216"/>
      <c r="M62" s="216"/>
      <c r="N62" s="25"/>
      <c r="O62" s="77"/>
      <c r="P62" s="35"/>
      <c r="Q62" s="34"/>
      <c r="R62" s="40"/>
      <c r="S62" s="72"/>
      <c r="V62" s="2"/>
      <c r="AN62" s="3"/>
      <c r="AO62" s="3"/>
      <c r="AP62" s="3"/>
      <c r="AQ62" s="3"/>
      <c r="AR62" s="3"/>
      <c r="AS62" s="3"/>
      <c r="AT62" s="3"/>
      <c r="AU62" s="3"/>
      <c r="AV62" s="3"/>
      <c r="AW62" s="3"/>
      <c r="AX62" s="3"/>
      <c r="AY62" s="3"/>
      <c r="AZ62" s="3"/>
      <c r="BA62" s="3"/>
      <c r="BB62" s="3"/>
      <c r="BC62" s="3"/>
      <c r="BD62" s="3"/>
      <c r="BE62" s="3"/>
      <c r="BF62" s="3"/>
      <c r="BG62" s="3"/>
      <c r="BH62" s="3"/>
      <c r="BI62" s="3"/>
      <c r="BJ62" s="3"/>
    </row>
    <row r="63" spans="1:62" ht="10.9" customHeight="1">
      <c r="A63" s="3"/>
      <c r="C63" s="3"/>
      <c r="P63" s="3"/>
      <c r="Q63" s="3"/>
      <c r="R63" s="3"/>
      <c r="S63" s="3"/>
      <c r="T63" s="3"/>
      <c r="U63" s="197"/>
      <c r="V63" s="197"/>
      <c r="W63" s="3"/>
      <c r="X63" s="3"/>
      <c r="Y63" s="3"/>
      <c r="Z63" s="3"/>
      <c r="AA63" s="3"/>
      <c r="AB63" s="3"/>
      <c r="AC63" s="197"/>
      <c r="AD63" s="197"/>
      <c r="AE63" s="3"/>
      <c r="AF63" s="3"/>
      <c r="AG63" s="3"/>
      <c r="AH63" s="3"/>
      <c r="AI63" s="22"/>
      <c r="AJ63" s="22"/>
      <c r="AK63" s="22"/>
      <c r="AL63" s="22"/>
      <c r="AN63" s="3"/>
      <c r="AP63" s="3"/>
      <c r="AQ63" s="3"/>
      <c r="AR63" s="3"/>
      <c r="AS63" s="3"/>
      <c r="AT63" s="3"/>
      <c r="AU63" s="3"/>
      <c r="AV63" s="3"/>
      <c r="AW63" s="3"/>
      <c r="AX63" s="3"/>
      <c r="AY63" s="3"/>
      <c r="AZ63" s="3"/>
      <c r="BA63" s="3"/>
      <c r="BB63" s="3"/>
      <c r="BC63" s="3"/>
      <c r="BD63" s="3"/>
      <c r="BE63" s="3"/>
      <c r="BF63" s="3"/>
      <c r="BG63" s="3"/>
      <c r="BH63" s="3"/>
      <c r="BI63" s="3"/>
      <c r="BJ63" s="3"/>
    </row>
    <row r="64" spans="1:62" ht="6" customHeight="1">
      <c r="A64" s="198">
        <v>9</v>
      </c>
      <c r="B64" s="51"/>
      <c r="C64" s="199" t="str">
        <f>INDEX(Riferimenti!$B$2:$B$60,A64)</f>
        <v>Aconitico</v>
      </c>
      <c r="D64" s="199"/>
      <c r="E64" s="199"/>
      <c r="F64" s="199"/>
      <c r="G64" s="199"/>
      <c r="H64" s="199"/>
      <c r="I64" s="199"/>
      <c r="J64" s="199"/>
      <c r="K64" s="199"/>
      <c r="L64" s="199"/>
      <c r="M64" s="199"/>
      <c r="N64" s="199"/>
      <c r="O64" s="195">
        <f>INDEX(Riferimenti!$C$2:$C$65,A64)</f>
        <v>4.0999999999999996</v>
      </c>
      <c r="P64" s="223" t="s">
        <v>6</v>
      </c>
      <c r="Q64" s="224">
        <f>INDEX(Riferimenti!$E$2:$E$65,A64)</f>
        <v>85.8</v>
      </c>
      <c r="R64" s="201"/>
      <c r="S64" s="202"/>
      <c r="T64" s="202"/>
      <c r="V64" s="2"/>
      <c r="AG64" s="195">
        <f>INDEX(Riferimenti!$Q$2:$Q$61,A64)</f>
        <v>16.524188758071602</v>
      </c>
      <c r="AH64" s="195">
        <f>INDEX(Riferimenti!$R$2:$R$61,A64)</f>
        <v>62.695898578172915</v>
      </c>
      <c r="AI64" s="3"/>
      <c r="AN64" s="3"/>
      <c r="AT64" s="3"/>
      <c r="AU64" s="3"/>
      <c r="AV64" s="3"/>
      <c r="AW64" s="3"/>
      <c r="AX64" s="3"/>
      <c r="AY64" s="3"/>
      <c r="AZ64" s="3"/>
      <c r="BA64" s="3"/>
      <c r="BB64" s="3"/>
      <c r="BC64" s="3"/>
      <c r="BD64" s="3"/>
      <c r="BE64" s="3"/>
      <c r="BF64" s="3"/>
      <c r="BG64" s="3"/>
      <c r="BH64" s="3"/>
      <c r="BI64" s="3"/>
      <c r="BJ64" s="3"/>
    </row>
    <row r="65" spans="1:62" ht="5.45" customHeight="1">
      <c r="A65" s="198"/>
      <c r="B65" s="51"/>
      <c r="C65" s="199"/>
      <c r="D65" s="199"/>
      <c r="E65" s="199"/>
      <c r="F65" s="199"/>
      <c r="G65" s="199"/>
      <c r="H65" s="199"/>
      <c r="I65" s="199"/>
      <c r="J65" s="199"/>
      <c r="K65" s="199"/>
      <c r="L65" s="199"/>
      <c r="M65" s="199"/>
      <c r="N65" s="199"/>
      <c r="O65" s="195"/>
      <c r="P65" s="223"/>
      <c r="Q65" s="224"/>
      <c r="R65" s="201"/>
      <c r="S65" s="202"/>
      <c r="T65" s="202"/>
      <c r="U65"/>
      <c r="V65"/>
      <c r="W65"/>
      <c r="X65"/>
      <c r="Y65"/>
      <c r="Z65"/>
      <c r="AA65"/>
      <c r="AB65"/>
      <c r="AC65"/>
      <c r="AD65"/>
      <c r="AE65"/>
      <c r="AF65"/>
      <c r="AG65" s="195"/>
      <c r="AH65" s="195"/>
      <c r="AN65" s="3"/>
      <c r="AO65" s="3"/>
      <c r="AP65" s="3"/>
      <c r="AQ65" s="3"/>
      <c r="AR65" s="3"/>
      <c r="AS65" s="3"/>
      <c r="AT65" s="3"/>
      <c r="AU65" s="3"/>
      <c r="AV65" s="3"/>
      <c r="AW65" s="3"/>
      <c r="AX65" s="3"/>
      <c r="AY65" s="3"/>
      <c r="AZ65" s="3"/>
      <c r="BA65" s="3"/>
      <c r="BB65" s="3"/>
      <c r="BC65" s="3"/>
      <c r="BD65" s="3"/>
      <c r="BE65" s="3"/>
      <c r="BF65" s="3"/>
      <c r="BG65" s="3"/>
      <c r="BH65" s="3"/>
      <c r="BI65" s="3"/>
      <c r="BJ65" s="3"/>
    </row>
    <row r="66" spans="1:62" ht="6" customHeight="1">
      <c r="A66" s="216"/>
      <c r="B66" s="216"/>
      <c r="C66" s="216"/>
      <c r="D66" s="216"/>
      <c r="E66" s="216"/>
      <c r="F66" s="216"/>
      <c r="G66" s="216"/>
      <c r="H66" s="216"/>
      <c r="I66" s="216"/>
      <c r="J66" s="216"/>
      <c r="K66" s="216"/>
      <c r="L66" s="216"/>
      <c r="M66" s="216"/>
      <c r="N66" s="25"/>
      <c r="O66" s="77"/>
      <c r="P66" s="35"/>
      <c r="Q66" s="34"/>
      <c r="R66" s="40"/>
      <c r="S66" s="166"/>
      <c r="T66" s="167"/>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3"/>
      <c r="AS66" s="3"/>
      <c r="AT66" s="3"/>
      <c r="AU66" s="3"/>
      <c r="AV66" s="3"/>
      <c r="AW66" s="3"/>
      <c r="AX66" s="3"/>
      <c r="AY66" s="3"/>
      <c r="AZ66" s="3"/>
      <c r="BA66" s="3"/>
      <c r="BB66" s="3"/>
      <c r="BC66" s="3"/>
      <c r="BD66" s="3"/>
      <c r="BE66" s="3"/>
      <c r="BF66" s="3"/>
      <c r="BG66" s="3"/>
      <c r="BH66" s="3"/>
      <c r="BI66" s="3"/>
      <c r="BJ66" s="3"/>
    </row>
    <row r="67" spans="1:62" ht="6" customHeight="1">
      <c r="A67" s="216"/>
      <c r="B67" s="216"/>
      <c r="C67" s="216"/>
      <c r="D67" s="216"/>
      <c r="E67" s="216"/>
      <c r="F67" s="216"/>
      <c r="G67" s="216"/>
      <c r="H67" s="216"/>
      <c r="I67" s="216"/>
      <c r="J67" s="216"/>
      <c r="K67" s="216"/>
      <c r="L67" s="216"/>
      <c r="M67" s="216"/>
      <c r="N67" s="25"/>
      <c r="O67" s="77"/>
      <c r="P67" s="35"/>
      <c r="Q67" s="34"/>
      <c r="R67" s="40"/>
      <c r="S67" s="166"/>
      <c r="T67" s="168"/>
      <c r="V67" s="2"/>
      <c r="AN67" s="3"/>
      <c r="AO67" s="3"/>
      <c r="AP67" s="3"/>
      <c r="AQ67" s="3"/>
      <c r="AR67" s="3"/>
      <c r="AS67" s="3"/>
      <c r="AT67" s="3"/>
      <c r="AU67" s="3"/>
      <c r="AV67" s="3"/>
      <c r="AW67" s="3"/>
      <c r="AX67" s="3"/>
      <c r="AY67" s="3"/>
      <c r="AZ67" s="3"/>
      <c r="BA67" s="3"/>
      <c r="BB67" s="3"/>
      <c r="BC67" s="3"/>
      <c r="BD67" s="3"/>
      <c r="BE67" s="3"/>
      <c r="BF67" s="3"/>
      <c r="BG67" s="3"/>
      <c r="BH67" s="3"/>
      <c r="BI67" s="3"/>
      <c r="BJ67" s="3"/>
    </row>
    <row r="68" spans="1:62" ht="10.9" customHeight="1">
      <c r="A68" s="3"/>
      <c r="C68" s="3"/>
      <c r="P68" s="3"/>
      <c r="Q68" s="44"/>
      <c r="R68" s="3"/>
      <c r="S68" s="169"/>
      <c r="T68" s="158"/>
      <c r="U68" s="197"/>
      <c r="V68" s="197"/>
      <c r="W68" s="3"/>
      <c r="X68" s="3"/>
      <c r="Y68" s="3"/>
      <c r="Z68" s="3"/>
      <c r="AA68" s="3"/>
      <c r="AB68" s="3"/>
      <c r="AC68" s="197"/>
      <c r="AD68" s="197"/>
      <c r="AE68" s="3"/>
      <c r="AF68" s="3"/>
      <c r="AG68" s="3"/>
      <c r="AH68" s="3"/>
      <c r="AI68" s="22"/>
      <c r="AJ68" s="22"/>
      <c r="AK68" s="22"/>
      <c r="AL68" s="22"/>
      <c r="AN68" s="3"/>
      <c r="AP68" s="3"/>
      <c r="AQ68" s="3"/>
      <c r="AR68" s="3"/>
      <c r="AS68" s="3"/>
      <c r="AT68" s="3"/>
      <c r="AU68" s="3"/>
      <c r="AV68" s="3"/>
      <c r="AW68" s="3"/>
      <c r="AX68" s="3"/>
      <c r="AY68" s="3"/>
      <c r="AZ68" s="3"/>
      <c r="BA68" s="3"/>
      <c r="BB68" s="3"/>
      <c r="BC68" s="3"/>
      <c r="BD68" s="3"/>
      <c r="BE68" s="3"/>
      <c r="BF68" s="3"/>
      <c r="BG68" s="3"/>
      <c r="BH68" s="3"/>
      <c r="BI68" s="3"/>
      <c r="BJ68" s="3"/>
    </row>
    <row r="69" spans="1:62" ht="6" customHeight="1">
      <c r="A69" s="198">
        <v>10</v>
      </c>
      <c r="B69" s="51"/>
      <c r="C69" s="199" t="str">
        <f>INDEX(Riferimenti!$B$2:$B$60,A69)</f>
        <v>Isocitrico</v>
      </c>
      <c r="D69" s="199"/>
      <c r="E69" s="199"/>
      <c r="F69" s="199"/>
      <c r="G69" s="199"/>
      <c r="H69" s="199"/>
      <c r="I69" s="199"/>
      <c r="J69" s="199"/>
      <c r="K69" s="199"/>
      <c r="L69" s="199"/>
      <c r="M69" s="199"/>
      <c r="N69" s="199"/>
      <c r="O69" s="195">
        <f>INDEX(Riferimenti!$C$2:$C$65,A69)</f>
        <v>20.6</v>
      </c>
      <c r="P69" s="200" t="s">
        <v>6</v>
      </c>
      <c r="Q69" s="224">
        <f>INDEX(Riferimenti!$E$2:$E$65,A69)</f>
        <v>67.5</v>
      </c>
      <c r="R69" s="201"/>
      <c r="S69" s="202"/>
      <c r="T69" s="202"/>
      <c r="V69" s="2"/>
      <c r="AG69" s="195">
        <f>INDEX(Riferimenti!$Q$2:$Q$61,A69)</f>
        <v>24.748917723639909</v>
      </c>
      <c r="AH69" s="195">
        <f>INDEX(Riferimenti!$R$2:$R$61,A69)</f>
        <v>53.260010847788678</v>
      </c>
      <c r="AI69" s="3"/>
      <c r="AN69" s="3"/>
      <c r="AT69" s="3"/>
      <c r="AU69" s="3"/>
      <c r="AV69" s="3"/>
      <c r="AW69" s="3"/>
      <c r="AX69" s="3"/>
      <c r="AY69" s="3"/>
      <c r="AZ69" s="3"/>
      <c r="BA69" s="3"/>
      <c r="BB69" s="3"/>
      <c r="BC69" s="3"/>
      <c r="BD69" s="3"/>
      <c r="BE69" s="3"/>
      <c r="BF69" s="3"/>
      <c r="BG69" s="3"/>
      <c r="BH69" s="3"/>
      <c r="BI69" s="3"/>
      <c r="BJ69" s="3"/>
    </row>
    <row r="70" spans="1:62" ht="5.45" customHeight="1">
      <c r="A70" s="198"/>
      <c r="B70" s="51"/>
      <c r="C70" s="199"/>
      <c r="D70" s="199"/>
      <c r="E70" s="199"/>
      <c r="F70" s="199"/>
      <c r="G70" s="199"/>
      <c r="H70" s="199"/>
      <c r="I70" s="199"/>
      <c r="J70" s="199"/>
      <c r="K70" s="199"/>
      <c r="L70" s="199"/>
      <c r="M70" s="199"/>
      <c r="N70" s="199"/>
      <c r="O70" s="195"/>
      <c r="P70" s="200"/>
      <c r="Q70" s="224"/>
      <c r="R70" s="201"/>
      <c r="S70" s="202"/>
      <c r="T70" s="202"/>
      <c r="U70"/>
      <c r="V70"/>
      <c r="W70"/>
      <c r="X70"/>
      <c r="Y70"/>
      <c r="Z70"/>
      <c r="AA70"/>
      <c r="AB70"/>
      <c r="AC70"/>
      <c r="AD70"/>
      <c r="AE70"/>
      <c r="AF70"/>
      <c r="AG70" s="195"/>
      <c r="AH70" s="195"/>
      <c r="AN70" s="3"/>
      <c r="AO70" s="3"/>
      <c r="AP70" s="3"/>
      <c r="AQ70" s="3"/>
      <c r="AR70" s="3"/>
      <c r="AS70" s="3"/>
      <c r="AT70" s="3"/>
      <c r="AU70" s="3"/>
      <c r="AV70" s="3"/>
      <c r="AW70" s="3"/>
      <c r="AX70" s="3"/>
      <c r="AY70" s="3"/>
      <c r="AZ70" s="3"/>
      <c r="BA70" s="3"/>
      <c r="BB70" s="3"/>
      <c r="BC70" s="3"/>
      <c r="BD70" s="3"/>
      <c r="BE70" s="3"/>
      <c r="BF70" s="3"/>
      <c r="BG70" s="3"/>
      <c r="BH70" s="3"/>
      <c r="BI70" s="3"/>
      <c r="BJ70" s="3"/>
    </row>
    <row r="71" spans="1:62" ht="6" customHeight="1">
      <c r="A71" s="216"/>
      <c r="B71" s="216"/>
      <c r="C71" s="216"/>
      <c r="D71" s="216"/>
      <c r="E71" s="216"/>
      <c r="F71" s="216"/>
      <c r="G71" s="216"/>
      <c r="H71" s="216"/>
      <c r="I71" s="216"/>
      <c r="J71" s="216"/>
      <c r="K71" s="216"/>
      <c r="L71" s="216"/>
      <c r="M71" s="216"/>
      <c r="N71" s="25"/>
      <c r="O71" s="77"/>
      <c r="P71" s="35"/>
      <c r="Q71" s="34"/>
      <c r="R71" s="40"/>
      <c r="S71" s="166"/>
      <c r="T71" s="167"/>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3"/>
      <c r="AS71" s="3"/>
      <c r="AT71" s="3"/>
      <c r="AU71" s="3"/>
      <c r="AV71" s="3"/>
      <c r="AW71" s="3"/>
      <c r="AX71" s="3"/>
      <c r="AY71" s="3"/>
      <c r="AZ71" s="3"/>
      <c r="BA71" s="3"/>
      <c r="BB71" s="3"/>
      <c r="BC71" s="3"/>
      <c r="BD71" s="3"/>
      <c r="BE71" s="3"/>
      <c r="BF71" s="3"/>
      <c r="BG71" s="3"/>
      <c r="BH71" s="3"/>
      <c r="BI71" s="3"/>
      <c r="BJ71" s="3"/>
    </row>
    <row r="72" spans="1:62" ht="6" customHeight="1">
      <c r="A72" s="216"/>
      <c r="B72" s="216"/>
      <c r="C72" s="216"/>
      <c r="D72" s="216"/>
      <c r="E72" s="216"/>
      <c r="F72" s="216"/>
      <c r="G72" s="216"/>
      <c r="H72" s="216"/>
      <c r="I72" s="216"/>
      <c r="J72" s="216"/>
      <c r="K72" s="216"/>
      <c r="L72" s="216"/>
      <c r="M72" s="216"/>
      <c r="N72" s="25"/>
      <c r="O72" s="77"/>
      <c r="P72" s="35"/>
      <c r="Q72" s="34"/>
      <c r="R72" s="40"/>
      <c r="S72" s="166"/>
      <c r="T72" s="168"/>
      <c r="V72" s="2"/>
      <c r="AN72" s="3"/>
      <c r="AO72" s="3"/>
      <c r="AP72" s="3"/>
      <c r="AQ72" s="3"/>
      <c r="AR72" s="3"/>
      <c r="AS72" s="3"/>
      <c r="AT72" s="3"/>
      <c r="AU72" s="3"/>
      <c r="AV72" s="3"/>
      <c r="AW72" s="3"/>
      <c r="AX72" s="3"/>
      <c r="AY72" s="3"/>
      <c r="AZ72" s="3"/>
      <c r="BA72" s="3"/>
      <c r="BB72" s="3"/>
      <c r="BC72" s="3"/>
      <c r="BD72" s="3"/>
      <c r="BE72" s="3"/>
      <c r="BF72" s="3"/>
      <c r="BG72" s="3"/>
      <c r="BH72" s="3"/>
      <c r="BI72" s="3"/>
      <c r="BJ72" s="3"/>
    </row>
    <row r="73" spans="1:62" ht="10.9" customHeight="1">
      <c r="A73" s="3"/>
      <c r="C73" s="3"/>
      <c r="P73" s="3"/>
      <c r="Q73" s="44"/>
      <c r="R73" s="3"/>
      <c r="S73" s="158"/>
      <c r="T73" s="158"/>
      <c r="U73" s="197"/>
      <c r="V73" s="197"/>
      <c r="W73" s="3"/>
      <c r="X73" s="3"/>
      <c r="Y73" s="3"/>
      <c r="Z73" s="3"/>
      <c r="AA73" s="3"/>
      <c r="AB73" s="3"/>
      <c r="AC73" s="197"/>
      <c r="AD73" s="197"/>
      <c r="AE73" s="3"/>
      <c r="AF73" s="3"/>
      <c r="AG73" s="3"/>
      <c r="AH73" s="3"/>
      <c r="AI73" s="22"/>
      <c r="AJ73" s="22"/>
      <c r="AK73" s="22"/>
      <c r="AL73" s="22"/>
      <c r="AN73" s="3"/>
      <c r="AP73" s="3"/>
      <c r="AQ73" s="3"/>
      <c r="AR73" s="3"/>
      <c r="AS73" s="3"/>
      <c r="AT73" s="3"/>
      <c r="AU73" s="3"/>
      <c r="AV73" s="3"/>
      <c r="AW73" s="3"/>
      <c r="AX73" s="3"/>
      <c r="AY73" s="3"/>
      <c r="AZ73" s="3"/>
      <c r="BA73" s="3"/>
      <c r="BB73" s="3"/>
      <c r="BC73" s="3"/>
      <c r="BD73" s="3"/>
      <c r="BE73" s="3"/>
      <c r="BF73" s="3"/>
      <c r="BG73" s="3"/>
      <c r="BH73" s="3"/>
      <c r="BI73" s="3"/>
      <c r="BJ73" s="3"/>
    </row>
    <row r="74" spans="1:62" ht="6" customHeight="1">
      <c r="A74" s="198">
        <v>11</v>
      </c>
      <c r="B74" s="51"/>
      <c r="C74" s="199" t="str">
        <f>INDEX(Riferimenti!$B$2:$B$60,A74)</f>
        <v>2-Ossoglutarico</v>
      </c>
      <c r="D74" s="199"/>
      <c r="E74" s="199"/>
      <c r="F74" s="199"/>
      <c r="G74" s="199"/>
      <c r="H74" s="199"/>
      <c r="I74" s="199"/>
      <c r="J74" s="199"/>
      <c r="K74" s="199"/>
      <c r="L74" s="199"/>
      <c r="M74" s="199"/>
      <c r="N74" s="199"/>
      <c r="O74" s="202">
        <f>INDEX(Riferimenti!$C$2:$C$65,A74)</f>
        <v>1.9</v>
      </c>
      <c r="P74" s="223" t="s">
        <v>6</v>
      </c>
      <c r="Q74" s="224">
        <f>INDEX(Riferimenti!$E$2:$E$65,A74)</f>
        <v>32.4</v>
      </c>
      <c r="R74" s="201"/>
      <c r="S74" s="202"/>
      <c r="T74" s="202"/>
      <c r="V74" s="2"/>
      <c r="AG74" s="195">
        <f>INDEX(Riferimenti!$Q$2:$Q$61,A74)</f>
        <v>9.5402352076504258</v>
      </c>
      <c r="AH74" s="195">
        <f>INDEX(Riferimenti!$R$2:$R$61,A74)</f>
        <v>24.785869210020252</v>
      </c>
      <c r="AI74" s="3"/>
      <c r="AN74" s="3"/>
      <c r="AT74" s="3"/>
      <c r="AU74" s="3"/>
      <c r="AV74" s="3"/>
      <c r="AW74" s="3"/>
      <c r="AX74" s="3"/>
      <c r="AY74" s="3"/>
      <c r="AZ74" s="3"/>
      <c r="BA74" s="3"/>
      <c r="BB74" s="3"/>
      <c r="BC74" s="3"/>
      <c r="BD74" s="3"/>
      <c r="BE74" s="3"/>
      <c r="BF74" s="3"/>
      <c r="BG74" s="3"/>
      <c r="BH74" s="3"/>
      <c r="BI74" s="3"/>
      <c r="BJ74" s="3"/>
    </row>
    <row r="75" spans="1:62" ht="5.45" customHeight="1">
      <c r="A75" s="198"/>
      <c r="B75" s="51"/>
      <c r="C75" s="199"/>
      <c r="D75" s="199"/>
      <c r="E75" s="199"/>
      <c r="F75" s="199"/>
      <c r="G75" s="199"/>
      <c r="H75" s="199"/>
      <c r="I75" s="199"/>
      <c r="J75" s="199"/>
      <c r="K75" s="199"/>
      <c r="L75" s="199"/>
      <c r="M75" s="199"/>
      <c r="N75" s="199"/>
      <c r="O75" s="202"/>
      <c r="P75" s="223"/>
      <c r="Q75" s="224"/>
      <c r="R75" s="201"/>
      <c r="S75" s="202"/>
      <c r="T75" s="202"/>
      <c r="U75"/>
      <c r="V75"/>
      <c r="W75"/>
      <c r="X75"/>
      <c r="Y75"/>
      <c r="Z75"/>
      <c r="AA75"/>
      <c r="AB75"/>
      <c r="AC75"/>
      <c r="AD75"/>
      <c r="AE75"/>
      <c r="AF75"/>
      <c r="AG75" s="195"/>
      <c r="AH75" s="195"/>
      <c r="AN75" s="3"/>
      <c r="AO75" s="3"/>
      <c r="AP75" s="3"/>
      <c r="AQ75" s="3"/>
      <c r="AR75" s="3"/>
      <c r="AS75" s="3"/>
      <c r="AT75" s="3"/>
      <c r="AU75" s="3"/>
      <c r="AV75" s="3"/>
      <c r="AW75" s="3"/>
      <c r="AX75" s="3"/>
      <c r="AY75" s="3"/>
      <c r="AZ75" s="3"/>
      <c r="BA75" s="3"/>
      <c r="BB75" s="3"/>
      <c r="BC75" s="3"/>
      <c r="BD75" s="3"/>
      <c r="BE75" s="3"/>
      <c r="BF75" s="3"/>
      <c r="BG75" s="3"/>
      <c r="BH75" s="3"/>
      <c r="BI75" s="3"/>
      <c r="BJ75" s="3"/>
    </row>
    <row r="76" spans="1:62" ht="6" customHeight="1">
      <c r="A76" s="216"/>
      <c r="B76" s="216"/>
      <c r="C76" s="216"/>
      <c r="D76" s="216"/>
      <c r="E76" s="216"/>
      <c r="F76" s="216"/>
      <c r="G76" s="216"/>
      <c r="H76" s="216"/>
      <c r="I76" s="216"/>
      <c r="J76" s="216"/>
      <c r="K76" s="216"/>
      <c r="L76" s="216"/>
      <c r="M76" s="216"/>
      <c r="N76" s="25"/>
      <c r="O76" s="77"/>
      <c r="P76" s="35"/>
      <c r="Q76" s="34"/>
      <c r="R76" s="40"/>
      <c r="S76" s="166"/>
      <c r="T76" s="167"/>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3"/>
      <c r="AS76" s="3"/>
      <c r="AT76" s="3"/>
      <c r="AU76" s="3"/>
      <c r="AV76" s="3"/>
      <c r="AW76" s="3"/>
      <c r="AX76" s="3"/>
      <c r="AY76" s="3"/>
      <c r="AZ76" s="3"/>
      <c r="BA76" s="3"/>
      <c r="BB76" s="3"/>
      <c r="BC76" s="3"/>
      <c r="BD76" s="3"/>
      <c r="BE76" s="3"/>
      <c r="BF76" s="3"/>
      <c r="BG76" s="3"/>
      <c r="BH76" s="3"/>
      <c r="BI76" s="3"/>
      <c r="BJ76" s="3"/>
    </row>
    <row r="77" spans="1:62" ht="6" customHeight="1">
      <c r="A77" s="216"/>
      <c r="B77" s="216"/>
      <c r="C77" s="216"/>
      <c r="D77" s="216"/>
      <c r="E77" s="216"/>
      <c r="F77" s="216"/>
      <c r="G77" s="216"/>
      <c r="H77" s="216"/>
      <c r="I77" s="216"/>
      <c r="J77" s="216"/>
      <c r="K77" s="216"/>
      <c r="L77" s="216"/>
      <c r="M77" s="216"/>
      <c r="N77" s="25"/>
      <c r="O77" s="77"/>
      <c r="P77" s="35"/>
      <c r="Q77" s="34"/>
      <c r="R77" s="40"/>
      <c r="S77" s="166"/>
      <c r="T77" s="168"/>
      <c r="V77" s="2"/>
      <c r="AN77" s="3"/>
      <c r="AO77" s="3"/>
      <c r="AP77" s="3"/>
      <c r="AQ77" s="3"/>
      <c r="AR77" s="3"/>
      <c r="AS77" s="3"/>
      <c r="AT77" s="3"/>
      <c r="AU77" s="3"/>
      <c r="AV77" s="3"/>
      <c r="AW77" s="3"/>
      <c r="AX77" s="3"/>
      <c r="AY77" s="3"/>
      <c r="AZ77" s="3"/>
      <c r="BA77" s="3"/>
      <c r="BB77" s="3"/>
      <c r="BC77" s="3"/>
      <c r="BD77" s="3"/>
      <c r="BE77" s="3"/>
      <c r="BF77" s="3"/>
      <c r="BG77" s="3"/>
      <c r="BH77" s="3"/>
      <c r="BI77" s="3"/>
      <c r="BJ77" s="3"/>
    </row>
    <row r="78" spans="1:62" ht="10.9" customHeight="1">
      <c r="A78" s="3"/>
      <c r="C78" s="3"/>
      <c r="P78" s="3"/>
      <c r="Q78" s="44"/>
      <c r="R78" s="3"/>
      <c r="S78" s="158"/>
      <c r="T78" s="158"/>
      <c r="U78" s="197"/>
      <c r="V78" s="197"/>
      <c r="W78" s="3"/>
      <c r="X78" s="3"/>
      <c r="Y78" s="3"/>
      <c r="Z78" s="3"/>
      <c r="AA78" s="3"/>
      <c r="AB78" s="3"/>
      <c r="AC78" s="197"/>
      <c r="AD78" s="197"/>
      <c r="AE78" s="3"/>
      <c r="AF78" s="3"/>
      <c r="AG78" s="3"/>
      <c r="AH78" s="3"/>
      <c r="AI78" s="22"/>
      <c r="AJ78" s="22"/>
      <c r="AK78" s="22"/>
      <c r="AL78" s="22"/>
      <c r="AN78" s="3"/>
      <c r="AP78" s="3"/>
      <c r="AQ78" s="3"/>
      <c r="AR78" s="3"/>
      <c r="AS78" s="3"/>
      <c r="AT78" s="3"/>
      <c r="AU78" s="3"/>
      <c r="AV78" s="3"/>
      <c r="AW78" s="3"/>
      <c r="AX78" s="3"/>
      <c r="AY78" s="3"/>
      <c r="AZ78" s="3"/>
      <c r="BA78" s="3"/>
      <c r="BB78" s="3"/>
      <c r="BC78" s="3"/>
      <c r="BD78" s="3"/>
      <c r="BE78" s="3"/>
      <c r="BF78" s="3"/>
      <c r="BG78" s="3"/>
      <c r="BH78" s="3"/>
      <c r="BI78" s="3"/>
      <c r="BJ78" s="3"/>
    </row>
    <row r="79" spans="1:62" ht="6" customHeight="1">
      <c r="A79" s="198">
        <v>12</v>
      </c>
      <c r="B79" s="51"/>
      <c r="C79" s="199" t="str">
        <f>INDEX(Riferimenti!$B$2:$B$60,A79)</f>
        <v>Succinico</v>
      </c>
      <c r="D79" s="199"/>
      <c r="E79" s="199"/>
      <c r="F79" s="199"/>
      <c r="G79" s="199"/>
      <c r="H79" s="199"/>
      <c r="I79" s="199"/>
      <c r="J79" s="199"/>
      <c r="K79" s="199"/>
      <c r="L79" s="199"/>
      <c r="M79" s="199"/>
      <c r="N79" s="199"/>
      <c r="O79" s="195"/>
      <c r="P79" s="223" t="s">
        <v>4</v>
      </c>
      <c r="Q79" s="224">
        <f>INDEX(Riferimenti!$E$2:$E$65,A79)</f>
        <v>7</v>
      </c>
      <c r="R79" s="201"/>
      <c r="S79" s="202"/>
      <c r="T79" s="202"/>
      <c r="V79" s="2"/>
      <c r="AG79" s="195">
        <f>INDEX(Riferimenti!$Q$2:$Q$61,A79)</f>
        <v>0.8937175475312209</v>
      </c>
      <c r="AH79" s="195">
        <f>INDEX(Riferimenti!$R$2:$R$61,A79)</f>
        <v>4.9473677237866092</v>
      </c>
      <c r="AI79" s="3"/>
      <c r="AN79" s="3"/>
      <c r="AT79" s="3"/>
      <c r="AU79" s="3"/>
      <c r="AV79" s="3"/>
      <c r="AW79" s="3"/>
      <c r="AX79" s="3"/>
      <c r="AY79" s="3"/>
      <c r="AZ79" s="3"/>
      <c r="BA79" s="3"/>
      <c r="BB79" s="3"/>
      <c r="BC79" s="3"/>
      <c r="BD79" s="3"/>
      <c r="BE79" s="3"/>
      <c r="BF79" s="3"/>
      <c r="BG79" s="3"/>
      <c r="BH79" s="3"/>
      <c r="BI79" s="3"/>
      <c r="BJ79" s="3"/>
    </row>
    <row r="80" spans="1:62" ht="5.45" customHeight="1">
      <c r="A80" s="198"/>
      <c r="B80" s="51"/>
      <c r="C80" s="199"/>
      <c r="D80" s="199"/>
      <c r="E80" s="199"/>
      <c r="F80" s="199"/>
      <c r="G80" s="199"/>
      <c r="H80" s="199"/>
      <c r="I80" s="199"/>
      <c r="J80" s="199"/>
      <c r="K80" s="199"/>
      <c r="L80" s="199"/>
      <c r="M80" s="199"/>
      <c r="N80" s="199"/>
      <c r="O80" s="195"/>
      <c r="P80" s="223"/>
      <c r="Q80" s="224"/>
      <c r="R80" s="201"/>
      <c r="S80" s="202"/>
      <c r="T80" s="202"/>
      <c r="U80"/>
      <c r="V80"/>
      <c r="W80"/>
      <c r="X80"/>
      <c r="Y80"/>
      <c r="Z80"/>
      <c r="AA80"/>
      <c r="AB80"/>
      <c r="AC80"/>
      <c r="AD80"/>
      <c r="AE80"/>
      <c r="AF80"/>
      <c r="AG80" s="195"/>
      <c r="AH80" s="195"/>
      <c r="AN80" s="3"/>
      <c r="AO80" s="3"/>
      <c r="AP80" s="3"/>
      <c r="AQ80" s="3"/>
      <c r="AR80" s="3"/>
      <c r="AS80" s="3"/>
      <c r="AT80" s="3"/>
      <c r="AU80" s="3"/>
      <c r="AV80" s="3"/>
      <c r="AW80" s="3"/>
      <c r="AX80" s="3"/>
      <c r="AY80" s="3"/>
      <c r="AZ80" s="3"/>
      <c r="BA80" s="3"/>
      <c r="BB80" s="3"/>
      <c r="BC80" s="3"/>
      <c r="BD80" s="3"/>
      <c r="BE80" s="3"/>
      <c r="BF80" s="3"/>
      <c r="BG80" s="3"/>
      <c r="BH80" s="3"/>
      <c r="BI80" s="3"/>
      <c r="BJ80" s="3"/>
    </row>
    <row r="81" spans="1:62" ht="6" customHeight="1">
      <c r="A81" s="216"/>
      <c r="B81" s="216"/>
      <c r="C81" s="216"/>
      <c r="D81" s="216"/>
      <c r="E81" s="216"/>
      <c r="F81" s="216"/>
      <c r="G81" s="216"/>
      <c r="H81" s="216"/>
      <c r="I81" s="216"/>
      <c r="J81" s="216"/>
      <c r="K81" s="216"/>
      <c r="L81" s="216"/>
      <c r="M81" s="216"/>
      <c r="N81" s="25"/>
      <c r="O81" s="77"/>
      <c r="P81" s="35"/>
      <c r="Q81" s="34"/>
      <c r="R81" s="40"/>
      <c r="S81" s="166"/>
      <c r="T81" s="167"/>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3"/>
      <c r="AS81" s="3"/>
      <c r="AT81" s="3"/>
      <c r="AU81" s="3"/>
      <c r="AV81" s="3"/>
      <c r="AW81" s="3"/>
      <c r="AX81" s="3"/>
      <c r="AY81" s="3"/>
      <c r="AZ81" s="3"/>
      <c r="BA81" s="3"/>
      <c r="BB81" s="3"/>
      <c r="BC81" s="3"/>
      <c r="BD81" s="3"/>
      <c r="BE81" s="3"/>
      <c r="BF81" s="3"/>
      <c r="BG81" s="3"/>
      <c r="BH81" s="3"/>
      <c r="BI81" s="3"/>
      <c r="BJ81" s="3"/>
    </row>
    <row r="82" spans="1:62" ht="6" customHeight="1">
      <c r="A82" s="216"/>
      <c r="B82" s="216"/>
      <c r="C82" s="216"/>
      <c r="D82" s="216"/>
      <c r="E82" s="216"/>
      <c r="F82" s="216"/>
      <c r="G82" s="216"/>
      <c r="H82" s="216"/>
      <c r="I82" s="216"/>
      <c r="J82" s="216"/>
      <c r="K82" s="216"/>
      <c r="L82" s="216"/>
      <c r="M82" s="216"/>
      <c r="N82" s="25"/>
      <c r="O82" s="77"/>
      <c r="P82" s="35"/>
      <c r="Q82" s="34"/>
      <c r="R82" s="40"/>
      <c r="S82" s="166"/>
      <c r="T82" s="168"/>
      <c r="V82" s="2"/>
      <c r="AN82" s="3"/>
      <c r="AO82" s="3"/>
      <c r="AP82" s="3"/>
      <c r="AQ82" s="3"/>
      <c r="AR82" s="3"/>
      <c r="AS82" s="3"/>
      <c r="AT82" s="3"/>
      <c r="AU82" s="3"/>
      <c r="AV82" s="3"/>
      <c r="AW82" s="3"/>
      <c r="AX82" s="3"/>
      <c r="AY82" s="3"/>
      <c r="AZ82" s="3"/>
      <c r="BA82" s="3"/>
      <c r="BB82" s="3"/>
      <c r="BC82" s="3"/>
      <c r="BD82" s="3"/>
      <c r="BE82" s="3"/>
      <c r="BF82" s="3"/>
      <c r="BG82" s="3"/>
      <c r="BH82" s="3"/>
      <c r="BI82" s="3"/>
      <c r="BJ82" s="3"/>
    </row>
    <row r="83" spans="1:62" ht="9" customHeight="1">
      <c r="A83" s="80"/>
      <c r="B83" s="80"/>
      <c r="C83" s="80"/>
      <c r="D83" s="80"/>
      <c r="E83" s="80"/>
      <c r="F83" s="80"/>
      <c r="G83" s="80"/>
      <c r="H83" s="80"/>
      <c r="I83" s="80"/>
      <c r="J83" s="80"/>
      <c r="K83" s="80"/>
      <c r="L83" s="80"/>
      <c r="M83" s="80"/>
      <c r="N83" s="25"/>
      <c r="O83" s="77"/>
      <c r="P83" s="35"/>
      <c r="Q83" s="34"/>
      <c r="R83" s="40"/>
      <c r="S83" s="166"/>
      <c r="T83" s="168"/>
      <c r="V83" s="2"/>
      <c r="AN83" s="3"/>
      <c r="AO83" s="3"/>
      <c r="AP83" s="3"/>
      <c r="AQ83" s="3"/>
      <c r="AR83" s="3"/>
      <c r="AS83" s="3"/>
      <c r="AT83" s="3"/>
      <c r="AU83" s="3"/>
      <c r="AV83" s="3"/>
      <c r="AW83" s="3"/>
      <c r="AX83" s="3"/>
      <c r="AY83" s="3"/>
      <c r="AZ83" s="3"/>
      <c r="BA83" s="3"/>
      <c r="BB83" s="3"/>
      <c r="BC83" s="3"/>
      <c r="BD83" s="3"/>
      <c r="BE83" s="3"/>
      <c r="BF83" s="3"/>
      <c r="BG83" s="3"/>
      <c r="BH83" s="3"/>
      <c r="BI83" s="3"/>
      <c r="BJ83" s="3"/>
    </row>
    <row r="84" spans="1:62" ht="6" customHeight="1">
      <c r="A84" s="198">
        <v>13</v>
      </c>
      <c r="B84" s="51"/>
      <c r="C84" s="199" t="str">
        <f>INDEX(Riferimenti!$B$2:$B$60,A84)</f>
        <v>Fumarico</v>
      </c>
      <c r="D84" s="199"/>
      <c r="E84" s="199"/>
      <c r="F84" s="199"/>
      <c r="G84" s="199"/>
      <c r="H84" s="199"/>
      <c r="I84" s="199"/>
      <c r="J84" s="199"/>
      <c r="K84" s="199"/>
      <c r="L84" s="199"/>
      <c r="M84" s="199"/>
      <c r="N84" s="199"/>
      <c r="O84" s="195">
        <f>INDEX(Riferimenti!$C$2:$C$65,A84)</f>
        <v>0</v>
      </c>
      <c r="P84" s="223" t="s">
        <v>6</v>
      </c>
      <c r="Q84" s="196">
        <f>INDEX(Riferimenti!$E$2:$E$65,A84)</f>
        <v>1.5</v>
      </c>
      <c r="R84" s="201"/>
      <c r="S84" s="202"/>
      <c r="T84" s="202"/>
      <c r="V84" s="2"/>
      <c r="AG84" s="195">
        <f>INDEX(Riferimenti!$Q$2:$Q$61,A84)</f>
        <v>0.30105442809879729</v>
      </c>
      <c r="AH84" s="195">
        <f>INDEX(Riferimenti!$R$2:$R$61,A84)</f>
        <v>1.0959380531042102</v>
      </c>
      <c r="AI84" s="3"/>
      <c r="AN84" s="3"/>
      <c r="AT84" s="3"/>
      <c r="AU84" s="3"/>
      <c r="AV84" s="3"/>
      <c r="AW84" s="3"/>
      <c r="AX84" s="3"/>
      <c r="AY84" s="3"/>
      <c r="AZ84" s="3"/>
      <c r="BA84" s="3"/>
      <c r="BB84" s="3"/>
      <c r="BC84" s="3"/>
      <c r="BD84" s="3"/>
      <c r="BE84" s="3"/>
      <c r="BF84" s="3"/>
      <c r="BG84" s="3"/>
      <c r="BH84" s="3"/>
      <c r="BI84" s="3"/>
      <c r="BJ84" s="3"/>
    </row>
    <row r="85" spans="1:62" ht="5.45" customHeight="1">
      <c r="A85" s="198"/>
      <c r="B85" s="51"/>
      <c r="C85" s="199"/>
      <c r="D85" s="199"/>
      <c r="E85" s="199"/>
      <c r="F85" s="199"/>
      <c r="G85" s="199"/>
      <c r="H85" s="199"/>
      <c r="I85" s="199"/>
      <c r="J85" s="199"/>
      <c r="K85" s="199"/>
      <c r="L85" s="199"/>
      <c r="M85" s="199"/>
      <c r="N85" s="199"/>
      <c r="O85" s="195"/>
      <c r="P85" s="223"/>
      <c r="Q85" s="196"/>
      <c r="R85" s="201"/>
      <c r="S85" s="202"/>
      <c r="T85" s="202"/>
      <c r="U85"/>
      <c r="V85"/>
      <c r="W85"/>
      <c r="X85"/>
      <c r="Y85"/>
      <c r="Z85"/>
      <c r="AA85"/>
      <c r="AB85"/>
      <c r="AC85"/>
      <c r="AD85"/>
      <c r="AF85"/>
      <c r="AG85" s="195"/>
      <c r="AH85" s="195"/>
      <c r="AN85" s="3"/>
      <c r="AO85" s="3"/>
      <c r="AP85" s="3"/>
      <c r="AQ85" s="3"/>
      <c r="AR85" s="3"/>
      <c r="AS85" s="3"/>
      <c r="AT85" s="3"/>
      <c r="AU85" s="3"/>
      <c r="AV85" s="3"/>
      <c r="AW85" s="3"/>
      <c r="AX85" s="3"/>
      <c r="AY85" s="3"/>
      <c r="AZ85" s="3"/>
      <c r="BA85" s="3"/>
      <c r="BB85" s="3"/>
      <c r="BC85" s="3"/>
      <c r="BD85" s="3"/>
      <c r="BE85" s="3"/>
      <c r="BF85" s="3"/>
      <c r="BG85" s="3"/>
      <c r="BH85" s="3"/>
      <c r="BI85" s="3"/>
      <c r="BJ85" s="3"/>
    </row>
    <row r="86" spans="1:62" ht="6" customHeight="1">
      <c r="A86" s="216"/>
      <c r="B86" s="216"/>
      <c r="C86" s="216"/>
      <c r="D86" s="216"/>
      <c r="E86" s="216"/>
      <c r="F86" s="216"/>
      <c r="G86" s="216"/>
      <c r="H86" s="216"/>
      <c r="I86" s="216"/>
      <c r="J86" s="216"/>
      <c r="K86" s="216"/>
      <c r="L86" s="216"/>
      <c r="M86" s="216"/>
      <c r="N86" s="25"/>
      <c r="O86" s="77"/>
      <c r="P86" s="39"/>
      <c r="Q86" s="71"/>
      <c r="R86" s="78"/>
      <c r="S86" s="166"/>
      <c r="T86" s="167"/>
      <c r="U86" s="40"/>
      <c r="V86" s="40"/>
      <c r="W86" s="40"/>
      <c r="X86" s="40"/>
      <c r="Y86" s="40"/>
      <c r="Z86" s="40"/>
      <c r="AA86" s="40"/>
      <c r="AB86" s="40"/>
      <c r="AC86" s="40"/>
      <c r="AD86" s="40"/>
      <c r="AF86" s="40"/>
      <c r="AG86" s="40"/>
      <c r="AH86" s="40"/>
      <c r="AI86" s="40"/>
      <c r="AJ86" s="40"/>
      <c r="AK86" s="40"/>
      <c r="AL86" s="40"/>
      <c r="AM86" s="40"/>
      <c r="AN86" s="40"/>
      <c r="AO86" s="40"/>
      <c r="AP86" s="40"/>
      <c r="AQ86" s="40"/>
      <c r="AR86" s="3"/>
      <c r="AS86" s="3"/>
      <c r="AT86" s="3"/>
      <c r="AU86" s="3"/>
      <c r="AV86" s="3"/>
      <c r="AW86" s="3"/>
      <c r="AX86" s="3"/>
      <c r="AY86" s="3"/>
      <c r="AZ86" s="3"/>
      <c r="BA86" s="3"/>
      <c r="BB86" s="3"/>
      <c r="BC86" s="3"/>
      <c r="BD86" s="3"/>
      <c r="BE86" s="3"/>
      <c r="BF86" s="3"/>
      <c r="BG86" s="3"/>
      <c r="BH86" s="3"/>
      <c r="BI86" s="3"/>
      <c r="BJ86" s="3"/>
    </row>
    <row r="87" spans="1:62" ht="6" customHeight="1">
      <c r="A87" s="216"/>
      <c r="B87" s="216"/>
      <c r="C87" s="216"/>
      <c r="D87" s="216"/>
      <c r="E87" s="216"/>
      <c r="F87" s="216"/>
      <c r="G87" s="216"/>
      <c r="H87" s="216"/>
      <c r="I87" s="216"/>
      <c r="J87" s="216"/>
      <c r="K87" s="216"/>
      <c r="L87" s="216"/>
      <c r="M87" s="216"/>
      <c r="N87" s="25"/>
      <c r="O87" s="77"/>
      <c r="P87" s="39"/>
      <c r="Q87" s="71"/>
      <c r="R87" s="78"/>
      <c r="S87" s="166"/>
      <c r="T87" s="168"/>
      <c r="V87" s="2"/>
      <c r="AN87" s="3"/>
      <c r="AO87" s="3"/>
      <c r="AP87" s="3"/>
      <c r="AQ87" s="3"/>
      <c r="AR87" s="3"/>
      <c r="AS87" s="3"/>
      <c r="AT87" s="3"/>
      <c r="AU87" s="3"/>
      <c r="AV87" s="3"/>
      <c r="AW87" s="3"/>
      <c r="AX87" s="3"/>
      <c r="AY87" s="3"/>
      <c r="AZ87" s="3"/>
      <c r="BA87" s="3"/>
      <c r="BB87" s="3"/>
      <c r="BC87" s="3"/>
      <c r="BD87" s="3"/>
      <c r="BE87" s="3"/>
      <c r="BF87" s="3"/>
      <c r="BG87" s="3"/>
      <c r="BH87" s="3"/>
      <c r="BI87" s="3"/>
      <c r="BJ87" s="3"/>
    </row>
    <row r="88" spans="1:62" ht="10.9" customHeight="1">
      <c r="A88" s="74"/>
      <c r="B88" s="74"/>
      <c r="C88" s="74"/>
      <c r="D88" s="74"/>
      <c r="E88" s="74"/>
      <c r="F88" s="74"/>
      <c r="G88" s="74"/>
      <c r="H88" s="74"/>
      <c r="I88" s="74"/>
      <c r="J88" s="74"/>
      <c r="K88" s="74"/>
      <c r="L88" s="74"/>
      <c r="M88" s="74"/>
      <c r="N88" s="25"/>
      <c r="O88" s="77"/>
      <c r="P88" s="39"/>
      <c r="Q88" s="71"/>
      <c r="R88" s="78"/>
      <c r="S88" s="166"/>
      <c r="T88" s="168"/>
      <c r="V88" s="2"/>
      <c r="AN88" s="3"/>
      <c r="AO88" s="3"/>
      <c r="AP88" s="3"/>
      <c r="AQ88" s="3"/>
      <c r="AR88" s="3"/>
      <c r="AS88" s="3"/>
      <c r="AT88" s="3"/>
      <c r="AU88" s="3"/>
      <c r="AV88" s="3"/>
      <c r="AW88" s="3"/>
      <c r="AX88" s="3"/>
      <c r="AY88" s="3"/>
      <c r="AZ88" s="3"/>
      <c r="BA88" s="3"/>
      <c r="BB88" s="3"/>
      <c r="BC88" s="3"/>
      <c r="BD88" s="3"/>
      <c r="BE88" s="3"/>
      <c r="BF88" s="3"/>
      <c r="BG88" s="3"/>
      <c r="BH88" s="3"/>
      <c r="BI88" s="3"/>
      <c r="BJ88" s="3"/>
    </row>
    <row r="89" spans="1:62" ht="6" customHeight="1">
      <c r="A89" s="221">
        <v>14</v>
      </c>
      <c r="B89" s="51"/>
      <c r="C89" s="199" t="str">
        <f>INDEX(Riferimenti!$B$2:$B$60,A89)</f>
        <v>Malico</v>
      </c>
      <c r="D89" s="199"/>
      <c r="E89" s="199"/>
      <c r="F89" s="199"/>
      <c r="G89" s="199"/>
      <c r="H89" s="199"/>
      <c r="I89" s="199"/>
      <c r="J89" s="199"/>
      <c r="K89" s="199"/>
      <c r="L89" s="199"/>
      <c r="M89" s="199"/>
      <c r="N89" s="199"/>
      <c r="O89" s="202">
        <f>INDEX(Riferimenti!$C$2:$C$65,A89)</f>
        <v>0</v>
      </c>
      <c r="P89" s="200" t="s">
        <v>6</v>
      </c>
      <c r="Q89" s="224">
        <f>INDEX(Riferimenti!$E$2:$E$65,A89)</f>
        <v>1.4</v>
      </c>
      <c r="R89" s="201"/>
      <c r="S89" s="202"/>
      <c r="T89" s="202"/>
      <c r="V89" s="2"/>
      <c r="AG89" s="195">
        <f>INDEX(Riferimenti!$Q$2:$Q$61,A89)</f>
        <v>0.32890337429257249</v>
      </c>
      <c r="AH89" s="195">
        <f>INDEX(Riferimenti!$R$2:$R$61,A89)</f>
        <v>1.0523732214521091</v>
      </c>
      <c r="AI89" s="3"/>
      <c r="AN89" s="3"/>
      <c r="AT89" s="3"/>
      <c r="AU89" s="3"/>
      <c r="AV89" s="3"/>
      <c r="AW89" s="3"/>
      <c r="AX89" s="3"/>
      <c r="AY89" s="3"/>
      <c r="AZ89" s="3"/>
      <c r="BA89" s="3"/>
      <c r="BB89" s="3"/>
      <c r="BC89" s="3"/>
      <c r="BD89" s="3"/>
      <c r="BE89" s="3"/>
      <c r="BF89" s="3"/>
      <c r="BG89" s="3"/>
      <c r="BH89" s="3"/>
      <c r="BI89" s="3"/>
      <c r="BJ89" s="3"/>
    </row>
    <row r="90" spans="1:62" ht="5.45" customHeight="1">
      <c r="A90" s="221"/>
      <c r="B90" s="51"/>
      <c r="C90" s="199"/>
      <c r="D90" s="199"/>
      <c r="E90" s="199"/>
      <c r="F90" s="199"/>
      <c r="G90" s="199"/>
      <c r="H90" s="199"/>
      <c r="I90" s="199"/>
      <c r="J90" s="199"/>
      <c r="K90" s="199"/>
      <c r="L90" s="199"/>
      <c r="M90" s="199"/>
      <c r="N90" s="199"/>
      <c r="O90" s="202"/>
      <c r="P90" s="200"/>
      <c r="Q90" s="224"/>
      <c r="R90" s="201"/>
      <c r="S90" s="202"/>
      <c r="T90" s="202"/>
      <c r="U90"/>
      <c r="V90"/>
      <c r="W90"/>
      <c r="X90"/>
      <c r="Y90"/>
      <c r="Z90"/>
      <c r="AA90"/>
      <c r="AB90"/>
      <c r="AC90"/>
      <c r="AD90"/>
      <c r="AF90"/>
      <c r="AG90" s="195"/>
      <c r="AH90" s="195"/>
      <c r="AN90" s="3"/>
      <c r="AO90" s="3"/>
      <c r="AP90" s="3"/>
      <c r="AQ90" s="3"/>
      <c r="AR90" s="3"/>
      <c r="AS90" s="3"/>
      <c r="AT90" s="3"/>
      <c r="AU90" s="3"/>
      <c r="AV90" s="3"/>
      <c r="AW90" s="3"/>
      <c r="AX90" s="3"/>
      <c r="AY90" s="3"/>
      <c r="AZ90" s="3"/>
      <c r="BA90" s="3"/>
      <c r="BB90" s="3"/>
      <c r="BC90" s="3"/>
      <c r="BD90" s="3"/>
      <c r="BE90" s="3"/>
      <c r="BF90" s="3"/>
      <c r="BG90" s="3"/>
      <c r="BH90" s="3"/>
      <c r="BI90" s="3"/>
      <c r="BJ90" s="3"/>
    </row>
    <row r="91" spans="1:62" ht="6" customHeight="1">
      <c r="A91" s="212"/>
      <c r="B91" s="212"/>
      <c r="C91" s="212"/>
      <c r="D91" s="212"/>
      <c r="E91" s="212"/>
      <c r="F91" s="212"/>
      <c r="G91" s="212"/>
      <c r="H91" s="212"/>
      <c r="I91" s="212"/>
      <c r="J91" s="212"/>
      <c r="K91" s="212"/>
      <c r="L91" s="212"/>
      <c r="M91" s="212"/>
      <c r="N91" s="52"/>
      <c r="O91" s="77"/>
      <c r="P91" s="39"/>
      <c r="Q91" s="71"/>
      <c r="R91" s="78"/>
      <c r="S91" s="166"/>
      <c r="T91" s="167"/>
      <c r="U91" s="40"/>
      <c r="V91" s="40"/>
      <c r="W91" s="40"/>
      <c r="X91" s="40"/>
      <c r="Y91" s="40"/>
      <c r="Z91" s="40"/>
      <c r="AA91" s="40"/>
      <c r="AB91" s="40"/>
      <c r="AC91" s="40"/>
      <c r="AD91" s="40"/>
      <c r="AF91" s="40"/>
      <c r="AG91" s="40"/>
      <c r="AH91" s="40"/>
      <c r="AI91" s="40"/>
      <c r="AJ91" s="40"/>
      <c r="AK91" s="40"/>
      <c r="AL91" s="40"/>
      <c r="AM91" s="40"/>
      <c r="AN91" s="40"/>
      <c r="AO91" s="40"/>
      <c r="AP91" s="40"/>
      <c r="AQ91" s="40"/>
      <c r="AR91" s="3"/>
      <c r="AS91" s="3"/>
      <c r="AT91" s="3"/>
      <c r="AU91" s="3"/>
      <c r="AV91" s="3"/>
      <c r="AW91" s="3"/>
      <c r="AX91" s="3"/>
      <c r="AY91" s="3"/>
      <c r="AZ91" s="3"/>
      <c r="BA91" s="3"/>
      <c r="BB91" s="3"/>
      <c r="BC91" s="3"/>
      <c r="BD91" s="3"/>
      <c r="BE91" s="3"/>
      <c r="BF91" s="3"/>
      <c r="BG91" s="3"/>
      <c r="BH91" s="3"/>
      <c r="BI91" s="3"/>
      <c r="BJ91" s="3"/>
    </row>
    <row r="92" spans="1:62" ht="6" customHeight="1">
      <c r="A92" s="212"/>
      <c r="B92" s="212"/>
      <c r="C92" s="212"/>
      <c r="D92" s="212"/>
      <c r="E92" s="212"/>
      <c r="F92" s="212"/>
      <c r="G92" s="212"/>
      <c r="H92" s="212"/>
      <c r="I92" s="212"/>
      <c r="J92" s="212"/>
      <c r="K92" s="212"/>
      <c r="L92" s="212"/>
      <c r="M92" s="212"/>
      <c r="N92" s="52"/>
      <c r="O92" s="77"/>
      <c r="P92" s="39"/>
      <c r="Q92" s="71"/>
      <c r="R92" s="78"/>
      <c r="S92" s="166"/>
      <c r="T92" s="168"/>
      <c r="V92" s="2"/>
      <c r="AN92" s="3"/>
      <c r="AO92" s="3"/>
      <c r="AP92" s="3"/>
      <c r="AQ92" s="3"/>
      <c r="AR92" s="3"/>
      <c r="AS92" s="3"/>
      <c r="AT92" s="3"/>
      <c r="AU92" s="3"/>
      <c r="AV92" s="3"/>
      <c r="AW92" s="3"/>
      <c r="AX92" s="3"/>
      <c r="AY92" s="3"/>
      <c r="AZ92" s="3"/>
      <c r="BA92" s="3"/>
      <c r="BB92" s="3"/>
      <c r="BC92" s="3"/>
      <c r="BD92" s="3"/>
      <c r="BE92" s="3"/>
      <c r="BF92" s="3"/>
      <c r="BG92" s="3"/>
      <c r="BH92" s="3"/>
      <c r="BI92" s="3"/>
      <c r="BJ92" s="3"/>
    </row>
    <row r="93" spans="1:62" ht="15" customHeight="1">
      <c r="A93" s="76"/>
      <c r="B93" s="76"/>
      <c r="C93" s="215" t="s">
        <v>331</v>
      </c>
      <c r="D93" s="215"/>
      <c r="E93" s="215"/>
      <c r="F93" s="215"/>
      <c r="G93" s="215"/>
      <c r="H93" s="215"/>
      <c r="I93" s="215"/>
      <c r="J93" s="215"/>
      <c r="K93" s="215"/>
      <c r="L93" s="215"/>
      <c r="M93" s="215"/>
      <c r="N93" s="215"/>
      <c r="O93" s="215"/>
      <c r="P93" s="215"/>
      <c r="Q93" s="215"/>
      <c r="R93" s="215"/>
      <c r="S93" s="215"/>
      <c r="T93" s="168"/>
      <c r="V93" s="2"/>
      <c r="AN93" s="3"/>
      <c r="AO93" s="3"/>
      <c r="AP93" s="3"/>
      <c r="AQ93" s="3"/>
      <c r="AR93" s="3"/>
      <c r="AS93" s="3"/>
      <c r="AT93" s="3"/>
      <c r="AU93" s="3"/>
      <c r="AV93" s="3"/>
      <c r="AW93" s="3"/>
      <c r="AX93" s="3"/>
      <c r="AY93" s="3"/>
      <c r="AZ93" s="3"/>
      <c r="BA93" s="3"/>
      <c r="BB93" s="3"/>
      <c r="BC93" s="3"/>
      <c r="BD93" s="3"/>
      <c r="BE93" s="3"/>
      <c r="BF93" s="3"/>
      <c r="BG93" s="3"/>
      <c r="BH93" s="3"/>
      <c r="BI93" s="3"/>
      <c r="BJ93" s="3"/>
    </row>
    <row r="94" spans="1:62" ht="10.5" customHeight="1">
      <c r="A94" s="53"/>
      <c r="B94" s="53"/>
      <c r="C94" s="53"/>
      <c r="D94" s="54"/>
      <c r="E94" s="54"/>
      <c r="F94" s="54"/>
      <c r="G94" s="53"/>
      <c r="H94" s="53"/>
      <c r="I94" s="54"/>
      <c r="J94" s="54"/>
      <c r="K94" s="54"/>
      <c r="L94" s="54"/>
      <c r="M94" s="54"/>
      <c r="N94" s="54"/>
      <c r="P94" s="3"/>
      <c r="Q94" s="44"/>
      <c r="R94" s="3"/>
      <c r="S94" s="169"/>
      <c r="T94" s="158"/>
      <c r="U94" s="197"/>
      <c r="V94" s="197"/>
      <c r="W94" s="3"/>
      <c r="X94" s="3"/>
      <c r="Y94" s="3"/>
      <c r="Z94" s="3"/>
      <c r="AA94" s="3"/>
      <c r="AB94" s="3"/>
      <c r="AC94" s="197"/>
      <c r="AD94" s="197"/>
      <c r="AF94" s="3"/>
      <c r="AG94" s="3"/>
      <c r="AH94" s="3"/>
      <c r="AI94" s="22"/>
      <c r="AJ94" s="22"/>
      <c r="AK94" s="22"/>
      <c r="AL94" s="22"/>
      <c r="AN94" s="3"/>
      <c r="AP94" s="3"/>
      <c r="AQ94" s="3"/>
      <c r="AR94" s="3"/>
      <c r="AS94" s="3"/>
      <c r="AT94" s="3"/>
      <c r="AU94" s="3"/>
      <c r="AV94" s="3"/>
      <c r="AW94" s="3"/>
      <c r="AX94" s="3"/>
      <c r="AY94" s="3"/>
      <c r="AZ94" s="3"/>
      <c r="BA94" s="3"/>
      <c r="BB94" s="3"/>
      <c r="BC94" s="3"/>
      <c r="BD94" s="3"/>
      <c r="BE94" s="3"/>
      <c r="BF94" s="3"/>
      <c r="BG94" s="3"/>
      <c r="BH94" s="3"/>
      <c r="BI94" s="3"/>
      <c r="BJ94" s="3"/>
    </row>
    <row r="95" spans="1:62" ht="6" customHeight="1">
      <c r="A95" s="221">
        <v>15</v>
      </c>
      <c r="B95" s="51"/>
      <c r="C95" s="199" t="str">
        <f>INDEX(Riferimenti!$B$2:$B$60,A95)</f>
        <v>2-Idrossiglutarico</v>
      </c>
      <c r="D95" s="199"/>
      <c r="E95" s="199"/>
      <c r="F95" s="199"/>
      <c r="G95" s="199"/>
      <c r="H95" s="199"/>
      <c r="I95" s="199"/>
      <c r="J95" s="199"/>
      <c r="K95" s="199"/>
      <c r="L95" s="199"/>
      <c r="M95" s="199"/>
      <c r="N95" s="199"/>
      <c r="O95" s="225"/>
      <c r="P95" s="223" t="s">
        <v>4</v>
      </c>
      <c r="Q95" s="196">
        <f>INDEX(Riferimenti!$E$2:$E$65,A95)</f>
        <v>35.299999999999997</v>
      </c>
      <c r="R95" s="201"/>
      <c r="S95" s="202"/>
      <c r="T95" s="202"/>
      <c r="V95" s="2"/>
      <c r="AG95" s="195">
        <f>INDEX(Riferimenti!$Q$2:$Q$61,A95)</f>
        <v>-8.0418407406164736</v>
      </c>
      <c r="AH95" s="195">
        <f>INDEX(Riferimenti!$R$2:$R$61,A95)</f>
        <v>13.639469199114528</v>
      </c>
      <c r="AI95" s="3"/>
      <c r="AN95" s="3"/>
      <c r="AT95" s="3"/>
      <c r="AU95" s="3"/>
      <c r="AV95" s="3"/>
      <c r="AW95" s="3"/>
      <c r="AX95" s="3"/>
      <c r="AY95" s="3"/>
      <c r="AZ95" s="3"/>
      <c r="BA95" s="3"/>
      <c r="BB95" s="3"/>
      <c r="BC95" s="3"/>
      <c r="BD95" s="3"/>
      <c r="BE95" s="3"/>
      <c r="BF95" s="3"/>
      <c r="BG95" s="3"/>
      <c r="BH95" s="3"/>
      <c r="BI95" s="3"/>
      <c r="BJ95" s="3"/>
    </row>
    <row r="96" spans="1:62" ht="5.45" customHeight="1">
      <c r="A96" s="221"/>
      <c r="B96" s="51"/>
      <c r="C96" s="199"/>
      <c r="D96" s="199"/>
      <c r="E96" s="199"/>
      <c r="F96" s="199"/>
      <c r="G96" s="199"/>
      <c r="H96" s="199"/>
      <c r="I96" s="199"/>
      <c r="J96" s="199"/>
      <c r="K96" s="199"/>
      <c r="L96" s="199"/>
      <c r="M96" s="199"/>
      <c r="N96" s="199"/>
      <c r="O96" s="225"/>
      <c r="P96" s="223"/>
      <c r="Q96" s="196"/>
      <c r="R96" s="201"/>
      <c r="S96" s="202"/>
      <c r="T96" s="202"/>
      <c r="U96"/>
      <c r="V96"/>
      <c r="W96"/>
      <c r="X96"/>
      <c r="Y96"/>
      <c r="Z96"/>
      <c r="AA96"/>
      <c r="AB96"/>
      <c r="AC96"/>
      <c r="AD96"/>
      <c r="AF96"/>
      <c r="AG96" s="195"/>
      <c r="AH96" s="195"/>
      <c r="AN96" s="3"/>
      <c r="AO96" s="3"/>
      <c r="AP96" s="3"/>
      <c r="AQ96" s="3"/>
      <c r="AR96" s="3"/>
      <c r="AS96" s="3"/>
      <c r="AT96" s="3"/>
      <c r="AU96" s="3"/>
      <c r="AV96" s="3"/>
      <c r="AW96" s="3"/>
      <c r="AX96" s="3"/>
      <c r="AY96" s="3"/>
      <c r="AZ96" s="3"/>
      <c r="BA96" s="3"/>
      <c r="BB96" s="3"/>
      <c r="BC96" s="3"/>
      <c r="BD96" s="3"/>
      <c r="BE96" s="3"/>
      <c r="BF96" s="3"/>
      <c r="BG96" s="3"/>
      <c r="BH96" s="3"/>
      <c r="BI96" s="3"/>
      <c r="BJ96" s="3"/>
    </row>
    <row r="97" spans="1:62" ht="6" customHeight="1">
      <c r="A97" s="216"/>
      <c r="B97" s="216"/>
      <c r="C97" s="216"/>
      <c r="D97" s="216"/>
      <c r="E97" s="216"/>
      <c r="F97" s="216"/>
      <c r="G97" s="216"/>
      <c r="H97" s="216"/>
      <c r="I97" s="216"/>
      <c r="J97" s="216"/>
      <c r="K97" s="216"/>
      <c r="L97" s="216"/>
      <c r="M97" s="216"/>
      <c r="N97" s="25"/>
      <c r="O97" s="77"/>
      <c r="P97" s="35"/>
      <c r="Q97" s="34"/>
      <c r="R97" s="40"/>
      <c r="S97" s="40"/>
      <c r="T97" s="40"/>
      <c r="U97" s="40"/>
      <c r="V97" s="40"/>
      <c r="W97" s="40"/>
      <c r="X97" s="40"/>
      <c r="Y97" s="40"/>
      <c r="Z97" s="40"/>
      <c r="AA97" s="40"/>
      <c r="AB97" s="40"/>
      <c r="AC97" s="40"/>
      <c r="AD97" s="40"/>
      <c r="AF97" s="40"/>
      <c r="AG97" s="40"/>
      <c r="AH97" s="40"/>
      <c r="AI97" s="40"/>
      <c r="AJ97" s="40"/>
      <c r="AK97" s="40"/>
      <c r="AL97" s="40"/>
      <c r="AM97" s="40"/>
      <c r="AN97" s="40"/>
      <c r="AO97" s="40"/>
      <c r="AP97" s="40"/>
      <c r="AQ97" s="40"/>
      <c r="AR97" s="3"/>
      <c r="AS97" s="3"/>
      <c r="AT97" s="3"/>
      <c r="AU97" s="3"/>
      <c r="AV97" s="3"/>
      <c r="AW97" s="3"/>
      <c r="AX97" s="3"/>
      <c r="AY97" s="3"/>
      <c r="AZ97" s="3"/>
      <c r="BA97" s="3"/>
      <c r="BB97" s="3"/>
      <c r="BC97" s="3"/>
      <c r="BD97" s="3"/>
      <c r="BE97" s="3"/>
      <c r="BF97" s="3"/>
      <c r="BG97" s="3"/>
      <c r="BH97" s="3"/>
      <c r="BI97" s="3"/>
      <c r="BJ97" s="3"/>
    </row>
    <row r="98" spans="1:62" ht="6" customHeight="1">
      <c r="A98" s="216"/>
      <c r="B98" s="216"/>
      <c r="C98" s="216"/>
      <c r="D98" s="216"/>
      <c r="E98" s="216"/>
      <c r="F98" s="216"/>
      <c r="G98" s="216"/>
      <c r="H98" s="216"/>
      <c r="I98" s="216"/>
      <c r="J98" s="216"/>
      <c r="K98" s="216"/>
      <c r="L98" s="216"/>
      <c r="M98" s="216"/>
      <c r="N98" s="25"/>
      <c r="O98" s="77"/>
      <c r="P98" s="35"/>
      <c r="Q98" s="34"/>
      <c r="R98" s="40"/>
      <c r="S98" s="23"/>
      <c r="V98" s="2"/>
      <c r="AN98" s="3"/>
      <c r="AO98" s="3"/>
      <c r="AP98" s="3"/>
      <c r="AQ98" s="3"/>
      <c r="AR98" s="3"/>
      <c r="AS98" s="3"/>
      <c r="AT98" s="3"/>
      <c r="AU98" s="3"/>
      <c r="AV98" s="3"/>
      <c r="AW98" s="3"/>
      <c r="AX98" s="3"/>
      <c r="AY98" s="3"/>
      <c r="AZ98" s="3"/>
      <c r="BA98" s="3"/>
      <c r="BB98" s="3"/>
      <c r="BC98" s="3"/>
      <c r="BD98" s="3"/>
      <c r="BE98" s="3"/>
      <c r="BF98" s="3"/>
      <c r="BG98" s="3"/>
      <c r="BH98" s="3"/>
      <c r="BI98" s="3"/>
      <c r="BJ98" s="3"/>
    </row>
    <row r="99" spans="1:62" ht="18">
      <c r="A99" s="177" t="s">
        <v>454</v>
      </c>
      <c r="B99" s="74"/>
      <c r="C99" s="74"/>
      <c r="D99" s="74"/>
      <c r="E99" s="74"/>
      <c r="F99" s="74"/>
      <c r="G99" s="74"/>
      <c r="H99" s="74"/>
      <c r="I99" s="74"/>
      <c r="J99" s="74"/>
      <c r="K99" s="207">
        <v>1</v>
      </c>
      <c r="L99" s="207"/>
      <c r="M99" s="74"/>
      <c r="N99" s="25"/>
      <c r="O99" s="77"/>
      <c r="P99" s="35"/>
      <c r="Q99" s="34"/>
      <c r="R99" s="40"/>
      <c r="S99" s="23"/>
      <c r="V99" s="2"/>
      <c r="AN99" s="3"/>
      <c r="AO99" s="3"/>
      <c r="AP99" s="3"/>
      <c r="AQ99" s="3"/>
      <c r="AR99" s="3"/>
      <c r="AS99" s="3"/>
      <c r="AT99" s="3"/>
      <c r="AU99" s="3"/>
      <c r="AV99" s="3"/>
      <c r="AW99" s="3"/>
      <c r="AX99" s="3"/>
      <c r="AY99" s="3"/>
      <c r="AZ99" s="3"/>
      <c r="BA99" s="3"/>
      <c r="BB99" s="3"/>
      <c r="BC99" s="3"/>
      <c r="BD99" s="3"/>
      <c r="BE99" s="3"/>
      <c r="BF99" s="3"/>
      <c r="BG99" s="3"/>
      <c r="BH99" s="3"/>
      <c r="BI99" s="3"/>
      <c r="BJ99" s="3"/>
    </row>
    <row r="100" spans="1:62" ht="12.95" customHeight="1">
      <c r="A100" t="s">
        <v>442</v>
      </c>
      <c r="B100" s="74"/>
      <c r="K100" s="207">
        <v>2</v>
      </c>
      <c r="L100" s="207"/>
      <c r="Q100" s="34"/>
      <c r="R100" s="40"/>
      <c r="S100" s="23"/>
      <c r="V100" s="2"/>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1:62" customFormat="1" ht="12.95" customHeight="1">
      <c r="K101" s="207">
        <v>3</v>
      </c>
      <c r="L101" s="207"/>
    </row>
    <row r="102" spans="1:62" ht="12.95" customHeight="1">
      <c r="A102" s="74"/>
      <c r="B102" s="74"/>
      <c r="K102" s="207">
        <v>4</v>
      </c>
      <c r="L102" s="207"/>
      <c r="Q102" s="34"/>
      <c r="R102" s="40"/>
      <c r="S102" s="23"/>
      <c r="V102" s="2"/>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1:62" ht="12.95" customHeight="1">
      <c r="A103" s="74"/>
      <c r="B103" s="74"/>
      <c r="K103" s="207">
        <v>5</v>
      </c>
      <c r="L103" s="207"/>
      <c r="Q103" s="34"/>
      <c r="R103" s="40"/>
      <c r="S103" s="23"/>
      <c r="V103" s="2"/>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1:62" ht="12.95" customHeight="1">
      <c r="A104" s="74"/>
      <c r="B104" s="74"/>
      <c r="K104" s="207">
        <v>6</v>
      </c>
      <c r="L104" s="207"/>
      <c r="Q104" s="34"/>
      <c r="R104" s="40"/>
      <c r="S104" s="23"/>
      <c r="V104" s="2"/>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1:62" ht="12.95" customHeight="1">
      <c r="A105" s="74"/>
      <c r="B105" s="74"/>
      <c r="K105" s="207">
        <v>7</v>
      </c>
      <c r="L105" s="207"/>
      <c r="Q105" s="34"/>
      <c r="R105" s="40"/>
      <c r="S105" s="23"/>
      <c r="V105" s="2"/>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1:62" ht="12.95" customHeight="1">
      <c r="A106" s="74"/>
      <c r="B106" s="74"/>
      <c r="K106" s="207">
        <v>8</v>
      </c>
      <c r="L106" s="207"/>
      <c r="Q106" s="34"/>
      <c r="R106" s="40"/>
      <c r="S106" s="23"/>
      <c r="V106" s="2"/>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1:62" ht="12.95" customHeight="1">
      <c r="A107" s="74"/>
      <c r="B107" s="74"/>
      <c r="K107" s="207">
        <v>9</v>
      </c>
      <c r="L107" s="207"/>
      <c r="Q107" s="34"/>
      <c r="R107" s="40"/>
      <c r="S107" s="23"/>
      <c r="V107" s="2"/>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1:62" ht="12.95" customHeight="1">
      <c r="A108" s="74"/>
      <c r="B108" s="74"/>
      <c r="K108" s="207">
        <v>10</v>
      </c>
      <c r="L108" s="207"/>
      <c r="Q108" s="34"/>
      <c r="R108" s="40"/>
      <c r="S108" s="23"/>
      <c r="V108" s="2"/>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1:62" ht="12.95" customHeight="1">
      <c r="A109" s="74"/>
      <c r="B109" s="74"/>
      <c r="K109" s="207">
        <v>11</v>
      </c>
      <c r="L109" s="207"/>
      <c r="Q109" s="34"/>
      <c r="R109" s="40"/>
      <c r="S109" s="23"/>
      <c r="V109" s="2"/>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1:62" ht="12.95" customHeight="1">
      <c r="A110" s="74"/>
      <c r="B110" s="74"/>
      <c r="K110" s="207">
        <v>12</v>
      </c>
      <c r="L110" s="207"/>
      <c r="Q110" s="34"/>
      <c r="R110" s="40"/>
      <c r="S110" s="23"/>
      <c r="V110" s="2"/>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1:62" ht="12.95" customHeight="1">
      <c r="A111" s="74"/>
      <c r="B111" s="74"/>
      <c r="K111" s="207">
        <v>13</v>
      </c>
      <c r="L111" s="207"/>
      <c r="Q111" s="34"/>
      <c r="R111" s="40"/>
      <c r="S111" s="23"/>
      <c r="V111" s="2"/>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1:62" ht="12.95" customHeight="1">
      <c r="A112" s="74"/>
      <c r="B112" s="74"/>
      <c r="K112" s="207">
        <v>14</v>
      </c>
      <c r="L112" s="207"/>
      <c r="Q112" s="34"/>
      <c r="R112" s="40"/>
      <c r="S112" s="23"/>
      <c r="V112" s="2"/>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1:62" ht="12.95" customHeight="1">
      <c r="A113" s="74"/>
      <c r="B113" s="74"/>
      <c r="K113" s="207">
        <v>15</v>
      </c>
      <c r="L113" s="207"/>
      <c r="Q113" s="34"/>
      <c r="R113" s="40"/>
      <c r="S113" s="23"/>
      <c r="V113" s="2"/>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1:62" ht="12.95" customHeight="1">
      <c r="A114" s="74"/>
      <c r="B114" s="74"/>
      <c r="K114" s="207">
        <v>16</v>
      </c>
      <c r="L114" s="207"/>
      <c r="Q114" s="34"/>
      <c r="R114" s="40"/>
      <c r="S114" s="23"/>
      <c r="V114" s="2"/>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1:62" ht="12.95" customHeight="1">
      <c r="A115" s="74"/>
      <c r="B115" s="74"/>
      <c r="K115" s="207">
        <v>17</v>
      </c>
      <c r="L115" s="207"/>
      <c r="Q115" s="34"/>
      <c r="R115" s="40"/>
      <c r="S115" s="23"/>
      <c r="V115" s="2"/>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1:62" ht="12.95" customHeight="1">
      <c r="A116" s="74"/>
      <c r="B116" s="74"/>
      <c r="K116" s="207">
        <v>18</v>
      </c>
      <c r="L116" s="207"/>
      <c r="Q116" s="34"/>
      <c r="R116" s="40"/>
      <c r="S116" s="23"/>
      <c r="V116" s="2"/>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1:62" ht="12.95" customHeight="1">
      <c r="A117" s="74"/>
      <c r="B117" s="74"/>
      <c r="K117" s="207">
        <v>19</v>
      </c>
      <c r="L117" s="207"/>
      <c r="Q117" s="34"/>
      <c r="R117" s="40"/>
      <c r="S117" s="23"/>
      <c r="V117" s="2"/>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1:62" ht="12.95" customHeight="1">
      <c r="A118" s="74"/>
      <c r="B118" s="74"/>
      <c r="K118" s="207">
        <v>20</v>
      </c>
      <c r="L118" s="207"/>
      <c r="Q118" s="34"/>
      <c r="R118" s="40"/>
      <c r="S118" s="23"/>
      <c r="V118" s="2"/>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1:62" ht="12.95" customHeight="1">
      <c r="A119" s="74"/>
      <c r="B119" s="74"/>
      <c r="K119" s="207">
        <v>21</v>
      </c>
      <c r="L119" s="207"/>
      <c r="Q119" s="34"/>
      <c r="R119" s="40"/>
      <c r="S119" s="23"/>
      <c r="V119" s="2"/>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1:62" ht="12.95" customHeight="1">
      <c r="A120" s="74"/>
      <c r="B120" s="74"/>
      <c r="K120" s="207">
        <v>22</v>
      </c>
      <c r="L120" s="207"/>
      <c r="Q120" s="34"/>
      <c r="R120" s="40"/>
      <c r="S120" s="23"/>
      <c r="V120" s="2"/>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1:62" ht="12.95" customHeight="1">
      <c r="A121" s="74"/>
      <c r="B121" s="74"/>
      <c r="K121" s="207">
        <v>23</v>
      </c>
      <c r="L121" s="207"/>
      <c r="Q121" s="34"/>
      <c r="R121" s="40"/>
      <c r="S121" s="23"/>
      <c r="V121" s="2"/>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1:62" ht="12.95" customHeight="1">
      <c r="A122" s="74"/>
      <c r="B122" s="74"/>
      <c r="K122" s="207">
        <v>24</v>
      </c>
      <c r="L122" s="207"/>
      <c r="Q122" s="34"/>
      <c r="R122" s="40"/>
      <c r="S122" s="23"/>
      <c r="V122" s="2"/>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1:62" ht="12.95" customHeight="1">
      <c r="A123" s="74"/>
      <c r="B123" s="74"/>
      <c r="K123" s="207">
        <v>25</v>
      </c>
      <c r="L123" s="207"/>
      <c r="Q123" s="34"/>
      <c r="R123" s="40"/>
      <c r="S123" s="23"/>
      <c r="V123" s="2"/>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1:62" ht="12.95" customHeight="1">
      <c r="A124" s="74"/>
      <c r="B124" s="74"/>
      <c r="K124" s="207">
        <v>26</v>
      </c>
      <c r="L124" s="207"/>
      <c r="Q124" s="34"/>
      <c r="R124" s="40"/>
      <c r="S124" s="23"/>
      <c r="V124" s="2"/>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1:62" ht="12.95" customHeight="1">
      <c r="A125" s="74"/>
      <c r="B125" s="74"/>
      <c r="K125" s="207">
        <v>27</v>
      </c>
      <c r="L125" s="207"/>
      <c r="Q125" s="34"/>
      <c r="R125" s="40"/>
      <c r="S125" s="23"/>
      <c r="V125" s="2"/>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1:62" ht="12.95" customHeight="1">
      <c r="A126" s="74"/>
      <c r="B126" s="74"/>
      <c r="K126" s="207">
        <v>28</v>
      </c>
      <c r="L126" s="207"/>
      <c r="Q126" s="34"/>
      <c r="R126" s="40"/>
      <c r="S126" s="23"/>
      <c r="V126" s="2"/>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1:62" ht="12.95" customHeight="1">
      <c r="A127" s="74"/>
      <c r="B127" s="74"/>
      <c r="K127" s="207">
        <v>29</v>
      </c>
      <c r="L127" s="207"/>
      <c r="Q127" s="34"/>
      <c r="R127" s="40"/>
      <c r="S127" s="23"/>
      <c r="V127" s="2"/>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1:62" ht="12.95" customHeight="1">
      <c r="A128" s="74"/>
      <c r="B128" s="74"/>
      <c r="K128" s="207">
        <v>30</v>
      </c>
      <c r="L128" s="207"/>
      <c r="Q128" s="34"/>
      <c r="R128" s="40"/>
      <c r="S128" s="23"/>
      <c r="V128" s="2"/>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1:62" ht="12.95" customHeight="1">
      <c r="A129" s="74"/>
      <c r="B129" s="74"/>
      <c r="K129" s="207">
        <v>31</v>
      </c>
      <c r="L129" s="207"/>
      <c r="Q129" s="34"/>
      <c r="R129" s="40"/>
      <c r="S129" s="23"/>
      <c r="V129" s="2"/>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1:62" ht="12.95" customHeight="1">
      <c r="A130" s="74"/>
      <c r="B130" s="74"/>
      <c r="K130" s="207">
        <v>32</v>
      </c>
      <c r="L130" s="207"/>
      <c r="Q130" s="34"/>
      <c r="R130" s="40"/>
      <c r="S130" s="23"/>
      <c r="V130" s="2"/>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1:62" ht="12.95" customHeight="1">
      <c r="A131" s="74"/>
      <c r="B131" s="74"/>
      <c r="K131" s="207">
        <v>33</v>
      </c>
      <c r="L131" s="207"/>
      <c r="Q131" s="34"/>
      <c r="R131" s="40"/>
      <c r="S131" s="23"/>
      <c r="V131" s="2"/>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1:62" ht="12.95" customHeight="1">
      <c r="A132" s="74"/>
      <c r="B132" s="74"/>
      <c r="K132" s="207">
        <v>34</v>
      </c>
      <c r="L132" s="207"/>
      <c r="Q132" s="34"/>
      <c r="R132" s="40"/>
      <c r="S132" s="23"/>
      <c r="V132" s="2"/>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1:62" ht="12.95" customHeight="1">
      <c r="A133" s="74"/>
      <c r="B133" s="74"/>
      <c r="K133" s="207">
        <v>35</v>
      </c>
      <c r="L133" s="207"/>
      <c r="Q133" s="34"/>
      <c r="R133" s="40"/>
      <c r="S133" s="23"/>
      <c r="V133" s="2"/>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1:62" ht="12.95" customHeight="1">
      <c r="A134" s="74"/>
      <c r="B134" s="74"/>
      <c r="K134" s="207">
        <v>36</v>
      </c>
      <c r="L134" s="207"/>
      <c r="Q134" s="34"/>
      <c r="R134" s="40"/>
      <c r="S134" s="23"/>
      <c r="V134" s="2"/>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1:62" ht="12.95" customHeight="1">
      <c r="A135" s="74"/>
      <c r="B135" s="74"/>
      <c r="K135" s="207">
        <v>37</v>
      </c>
      <c r="L135" s="207"/>
      <c r="Q135" s="34"/>
      <c r="R135" s="40"/>
      <c r="S135" s="23"/>
      <c r="V135" s="2"/>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1:62" ht="12.95" customHeight="1">
      <c r="A136" s="74"/>
      <c r="B136" s="74"/>
      <c r="K136" s="207">
        <v>38</v>
      </c>
      <c r="L136" s="207"/>
      <c r="Q136" s="34"/>
      <c r="R136" s="40"/>
      <c r="S136" s="23"/>
      <c r="V136" s="2"/>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1:62" ht="12.95" customHeight="1">
      <c r="A137" s="74"/>
      <c r="B137" s="74"/>
      <c r="K137" s="207">
        <v>39</v>
      </c>
      <c r="L137" s="207"/>
      <c r="Q137" s="34"/>
      <c r="R137" s="40"/>
      <c r="S137" s="23"/>
      <c r="V137" s="2"/>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1:62" ht="12.95" customHeight="1">
      <c r="A138" s="74"/>
      <c r="B138" s="74"/>
      <c r="K138" s="207">
        <v>40</v>
      </c>
      <c r="L138" s="207"/>
      <c r="Q138" s="34"/>
      <c r="R138" s="40"/>
      <c r="S138" s="23"/>
      <c r="V138" s="2"/>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1:62" ht="12.95" customHeight="1">
      <c r="A139" s="74"/>
      <c r="B139" s="74"/>
      <c r="K139" s="207">
        <v>41</v>
      </c>
      <c r="L139" s="207"/>
      <c r="Q139" s="34"/>
      <c r="R139" s="40"/>
      <c r="S139" s="23"/>
      <c r="V139" s="2"/>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1:62" ht="12.95" customHeight="1">
      <c r="A140" s="74"/>
      <c r="B140" s="74"/>
      <c r="K140" s="207">
        <v>42</v>
      </c>
      <c r="L140" s="207"/>
      <c r="Q140" s="34"/>
      <c r="R140" s="40"/>
      <c r="S140" s="23"/>
      <c r="V140" s="2"/>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1:62" ht="12.95" customHeight="1">
      <c r="A141" s="74"/>
      <c r="B141" s="74"/>
      <c r="K141" s="207">
        <v>43</v>
      </c>
      <c r="L141" s="207"/>
      <c r="Q141" s="34"/>
      <c r="R141" s="40"/>
      <c r="S141" s="23"/>
      <c r="V141" s="2"/>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1:62" ht="12.95" customHeight="1">
      <c r="A142" s="74"/>
      <c r="B142" s="74"/>
      <c r="K142" s="207">
        <v>44</v>
      </c>
      <c r="L142" s="207"/>
      <c r="Q142" s="34"/>
      <c r="R142" s="40"/>
      <c r="S142" s="23"/>
      <c r="V142" s="2"/>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1:62" ht="12.95" customHeight="1">
      <c r="A143" s="74"/>
      <c r="B143" s="74"/>
      <c r="K143" s="207">
        <v>45</v>
      </c>
      <c r="L143" s="207"/>
      <c r="Q143" s="34"/>
      <c r="R143" s="40"/>
      <c r="S143" s="23"/>
      <c r="V143" s="2"/>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1:62" ht="12.95" customHeight="1">
      <c r="A144" s="74"/>
      <c r="B144" s="74"/>
      <c r="K144" s="207">
        <v>46</v>
      </c>
      <c r="L144" s="207"/>
      <c r="Q144" s="34"/>
      <c r="R144" s="40"/>
      <c r="S144" s="23"/>
      <c r="V144" s="2"/>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1:62" ht="12.95" customHeight="1">
      <c r="A145" s="74"/>
      <c r="B145" s="74"/>
      <c r="K145" s="207">
        <v>47</v>
      </c>
      <c r="L145" s="207"/>
      <c r="Q145" s="34"/>
      <c r="R145" s="40"/>
      <c r="S145" s="23"/>
      <c r="V145" s="2"/>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1:62" ht="12.95" customHeight="1">
      <c r="A146" s="74"/>
      <c r="B146" s="74"/>
      <c r="K146" s="207">
        <v>48</v>
      </c>
      <c r="L146" s="207"/>
      <c r="Q146" s="34"/>
      <c r="R146" s="40"/>
      <c r="S146" s="23"/>
      <c r="V146" s="2"/>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1:62" ht="12.95" customHeight="1">
      <c r="A147" s="74"/>
      <c r="B147" s="74"/>
      <c r="K147" s="207">
        <v>49</v>
      </c>
      <c r="L147" s="207"/>
      <c r="Q147" s="34"/>
      <c r="R147" s="40"/>
      <c r="S147" s="23"/>
      <c r="V147" s="2"/>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1:62" ht="12.95" customHeight="1">
      <c r="A148" s="74"/>
      <c r="B148" s="74"/>
      <c r="K148" s="207">
        <v>50</v>
      </c>
      <c r="L148" s="207"/>
      <c r="Q148" s="34"/>
      <c r="R148" s="40"/>
      <c r="S148" s="23"/>
      <c r="V148" s="2"/>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1:62" ht="12.95" customHeight="1">
      <c r="A149" s="74"/>
      <c r="B149" s="74"/>
      <c r="K149" s="207">
        <v>51</v>
      </c>
      <c r="L149" s="207"/>
      <c r="Q149" s="34"/>
      <c r="R149" s="40"/>
      <c r="S149" s="23"/>
      <c r="V149" s="2"/>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1:62" ht="12.95" customHeight="1">
      <c r="A150" s="74"/>
      <c r="B150" s="74"/>
      <c r="K150" s="207">
        <v>52</v>
      </c>
      <c r="L150" s="207"/>
      <c r="Q150" s="34"/>
      <c r="R150" s="40"/>
      <c r="S150" s="23"/>
      <c r="V150" s="2"/>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1:62" ht="12.95" customHeight="1">
      <c r="A151" s="74"/>
      <c r="B151" s="74"/>
      <c r="K151" s="207">
        <v>53</v>
      </c>
      <c r="L151" s="207"/>
      <c r="Q151" s="34"/>
      <c r="R151" s="40"/>
      <c r="S151" s="23"/>
      <c r="V151" s="2"/>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1:62" ht="12.95" customHeight="1">
      <c r="A152" s="74"/>
      <c r="B152" s="74"/>
      <c r="K152" s="207">
        <v>54</v>
      </c>
      <c r="L152" s="207"/>
      <c r="Q152" s="34"/>
      <c r="R152" s="40"/>
      <c r="S152" s="23"/>
      <c r="V152" s="2"/>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1:62" ht="12.95" customHeight="1">
      <c r="A153" s="74"/>
      <c r="B153" s="74"/>
      <c r="K153" s="207">
        <v>55</v>
      </c>
      <c r="L153" s="207"/>
      <c r="Q153" s="34"/>
      <c r="R153" s="40"/>
      <c r="S153" s="23"/>
      <c r="V153" s="2"/>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1:62" ht="12.95" customHeight="1">
      <c r="A154" s="74"/>
      <c r="B154" s="74"/>
      <c r="K154" s="207">
        <v>56</v>
      </c>
      <c r="L154" s="207"/>
      <c r="Q154" s="34"/>
      <c r="R154" s="40"/>
      <c r="S154" s="23"/>
      <c r="V154" s="2"/>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1:62" ht="12.95" customHeight="1">
      <c r="A155" s="74"/>
      <c r="B155" s="74"/>
      <c r="K155" s="207">
        <v>57</v>
      </c>
      <c r="L155" s="207"/>
      <c r="Q155" s="34"/>
      <c r="R155" s="40"/>
      <c r="S155" s="23"/>
      <c r="V155" s="2"/>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1:62" ht="12.95" customHeight="1">
      <c r="A156" s="74"/>
      <c r="B156" s="74"/>
      <c r="K156" s="207">
        <v>58</v>
      </c>
      <c r="L156" s="207"/>
      <c r="Q156" s="34"/>
      <c r="R156" s="40"/>
      <c r="S156" s="23"/>
      <c r="V156" s="2"/>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1:62" ht="12.95" customHeight="1">
      <c r="A157" s="74"/>
      <c r="B157" s="74"/>
      <c r="K157" s="207">
        <v>59</v>
      </c>
      <c r="L157" s="207"/>
      <c r="Q157" s="34"/>
      <c r="R157" s="40"/>
      <c r="S157" s="23"/>
      <c r="V157" s="2"/>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1:62" ht="12.95" customHeight="1">
      <c r="A158" s="74"/>
      <c r="B158" s="74"/>
      <c r="K158" s="207">
        <v>60</v>
      </c>
      <c r="L158" s="207"/>
      <c r="Q158" s="34"/>
      <c r="R158" s="40"/>
      <c r="S158" s="23"/>
      <c r="V158" s="2"/>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1:62" ht="12.95" customHeight="1">
      <c r="A159" s="74"/>
      <c r="B159" s="74"/>
      <c r="K159" s="207">
        <v>61</v>
      </c>
      <c r="L159" s="207"/>
      <c r="Q159" s="34"/>
      <c r="R159" s="40"/>
      <c r="S159" s="23"/>
      <c r="V159" s="2"/>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1:62" ht="12.95" customHeight="1">
      <c r="A160" s="74"/>
      <c r="B160" s="74"/>
      <c r="K160" s="207">
        <v>62</v>
      </c>
      <c r="L160" s="207"/>
      <c r="Q160" s="34"/>
      <c r="R160" s="40"/>
      <c r="S160" s="23"/>
      <c r="V160" s="2"/>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1:62" ht="12.95" customHeight="1">
      <c r="A161" s="74"/>
      <c r="B161" s="74"/>
      <c r="K161" s="207">
        <v>63</v>
      </c>
      <c r="L161" s="207"/>
      <c r="Q161" s="34"/>
      <c r="R161" s="40"/>
      <c r="S161" s="23"/>
      <c r="V161" s="2"/>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1:62" ht="12.95" customHeight="1">
      <c r="A162" s="74"/>
      <c r="B162" s="74"/>
      <c r="K162" s="207">
        <v>64</v>
      </c>
      <c r="L162" s="207"/>
      <c r="Q162" s="34"/>
      <c r="R162" s="40"/>
      <c r="S162" s="23"/>
      <c r="V162" s="2"/>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1:62" customFormat="1" ht="12.95" customHeight="1">
      <c r="K163" s="207">
        <v>65</v>
      </c>
      <c r="L163" s="207"/>
    </row>
    <row r="164" spans="1:62" ht="12.95" customHeight="1">
      <c r="A164" s="74"/>
      <c r="B164" s="74"/>
      <c r="K164" s="207">
        <v>66</v>
      </c>
      <c r="L164" s="207"/>
      <c r="Q164" s="34"/>
      <c r="R164" s="40"/>
      <c r="S164" s="23"/>
      <c r="V164" s="2"/>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1:62" ht="12.95" customHeight="1">
      <c r="A165" s="74"/>
      <c r="B165" s="74"/>
      <c r="C165" s="74"/>
      <c r="D165" s="74"/>
      <c r="E165" s="74"/>
      <c r="F165" s="74"/>
      <c r="G165" s="74"/>
      <c r="H165" s="74"/>
      <c r="I165" s="74"/>
      <c r="J165" s="74"/>
      <c r="K165" s="207">
        <v>67</v>
      </c>
      <c r="L165" s="207"/>
      <c r="M165" s="74"/>
      <c r="N165" s="25"/>
      <c r="O165" s="77"/>
      <c r="P165" s="35"/>
      <c r="Q165" s="34"/>
      <c r="R165" s="40"/>
      <c r="S165" s="23"/>
      <c r="V165" s="2"/>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1:62" ht="12.95" customHeight="1">
      <c r="A166" t="s">
        <v>443</v>
      </c>
      <c r="B166" s="74"/>
      <c r="C166" s="74"/>
      <c r="D166" s="74"/>
      <c r="E166" s="74"/>
      <c r="F166" s="74"/>
      <c r="G166" s="74"/>
      <c r="H166" s="74"/>
      <c r="I166" s="74"/>
      <c r="J166" s="74"/>
      <c r="K166" s="207">
        <v>68</v>
      </c>
      <c r="L166" s="207"/>
      <c r="M166" s="74"/>
      <c r="N166" s="25"/>
      <c r="O166" s="77"/>
      <c r="P166" s="35"/>
      <c r="Q166" s="34"/>
      <c r="R166" s="40"/>
      <c r="S166" s="23"/>
      <c r="V166" s="2"/>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1:62" ht="13.9" customHeight="1">
      <c r="B167" s="2"/>
      <c r="G167" s="2"/>
      <c r="H167" s="2"/>
      <c r="Q167" s="3"/>
      <c r="T167" s="3"/>
      <c r="U167" s="3"/>
      <c r="V167" s="2"/>
      <c r="W167" s="3"/>
      <c r="Z167" s="3"/>
      <c r="AB167" s="3"/>
      <c r="AK167" s="3"/>
      <c r="AL167" s="3"/>
      <c r="AM167" s="3"/>
      <c r="AN167" s="3"/>
    </row>
    <row r="168" spans="1:62" ht="40.9" customHeight="1">
      <c r="B168" s="2"/>
      <c r="F168" s="3"/>
      <c r="H168" s="2"/>
      <c r="I168" s="3"/>
      <c r="J168" s="235" t="s">
        <v>1</v>
      </c>
      <c r="K168" s="235"/>
      <c r="L168" s="235"/>
      <c r="M168" s="235"/>
      <c r="N168" s="235"/>
      <c r="O168" s="235"/>
      <c r="P168" s="235"/>
      <c r="Q168" s="235"/>
      <c r="R168" s="235"/>
      <c r="S168" s="235"/>
      <c r="T168" s="235"/>
      <c r="U168" s="235"/>
      <c r="V168" s="235"/>
      <c r="W168" s="235"/>
      <c r="X168" s="235"/>
      <c r="Y168" s="235"/>
      <c r="Z168" s="235"/>
      <c r="AA168" s="235"/>
      <c r="AB168" s="235"/>
      <c r="AC168" s="235"/>
      <c r="AD168" s="235"/>
      <c r="AK168" s="227"/>
      <c r="AL168" s="227"/>
      <c r="AM168" s="227"/>
      <c r="AN168" s="227"/>
      <c r="AO168" s="227"/>
      <c r="AP168" s="227"/>
      <c r="AQ168" s="227"/>
      <c r="AR168" s="227"/>
      <c r="AS168" s="227"/>
      <c r="AT168" s="227"/>
      <c r="AU168" s="227"/>
    </row>
    <row r="169" spans="1:62" ht="12.6" customHeight="1">
      <c r="B169" s="2"/>
      <c r="G169" s="2"/>
      <c r="H169" s="2"/>
      <c r="J169" s="235"/>
      <c r="K169" s="235"/>
      <c r="L169" s="235"/>
      <c r="M169" s="235"/>
      <c r="N169" s="235"/>
      <c r="O169" s="235"/>
      <c r="P169" s="235"/>
      <c r="Q169" s="235"/>
      <c r="R169" s="235"/>
      <c r="S169" s="235"/>
      <c r="T169" s="235"/>
      <c r="U169" s="235"/>
      <c r="V169" s="235"/>
      <c r="W169" s="235"/>
      <c r="X169" s="235"/>
      <c r="Y169" s="235"/>
      <c r="Z169" s="235"/>
      <c r="AA169" s="235"/>
      <c r="AB169" s="235"/>
      <c r="AC169" s="235"/>
      <c r="AD169" s="235"/>
      <c r="AK169" s="3"/>
      <c r="AL169" s="3"/>
      <c r="AM169" s="3"/>
      <c r="AN169" s="3"/>
    </row>
    <row r="170" spans="1:62" ht="21" customHeight="1" thickBot="1">
      <c r="A170" s="4"/>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K170" s="3"/>
      <c r="AL170" s="3"/>
      <c r="AM170" s="3"/>
      <c r="AN170" s="3"/>
    </row>
    <row r="171" spans="1:62" ht="16.5" thickTop="1">
      <c r="A171" s="240" t="str">
        <f>IF(LEN(nPaz)&gt;0,nPaz,"")</f>
        <v>GIOVANNI BUI</v>
      </c>
      <c r="B171" s="240"/>
      <c r="C171" s="240"/>
      <c r="D171" s="240"/>
      <c r="E171" s="240"/>
      <c r="F171" s="240"/>
      <c r="G171" s="240"/>
      <c r="H171" s="240"/>
      <c r="I171" s="240"/>
      <c r="J171" s="240"/>
      <c r="K171" s="240"/>
      <c r="L171" s="240"/>
      <c r="M171" s="240"/>
      <c r="N171" s="240"/>
      <c r="O171" s="240"/>
      <c r="P171" s="126"/>
      <c r="Q171" s="127" t="s">
        <v>8</v>
      </c>
      <c r="R171" s="128" t="str">
        <f>IF(codfisc&lt;&gt;"",codfisc,"")</f>
        <v>VFSDRT68R23O944K</v>
      </c>
      <c r="S171" s="129"/>
      <c r="T171" s="125"/>
      <c r="U171" s="125"/>
      <c r="V171" s="125"/>
      <c r="W171" s="125"/>
      <c r="X171" s="130" t="s">
        <v>352</v>
      </c>
      <c r="Y171" s="238">
        <f>IF(nacc&lt;&gt;"",nacc,"")</f>
        <v>6543</v>
      </c>
      <c r="Z171" s="238"/>
      <c r="AA171" s="131" t="s">
        <v>353</v>
      </c>
      <c r="AB171" s="239">
        <f>IF(dref&lt;&gt;"",dref,"")</f>
        <v>46003</v>
      </c>
      <c r="AC171" s="239"/>
      <c r="AD171" s="239"/>
      <c r="AE171" s="132"/>
      <c r="AF171"/>
      <c r="AG171"/>
      <c r="AH171"/>
      <c r="AI171"/>
      <c r="AJ171"/>
      <c r="AK171"/>
      <c r="AL171"/>
      <c r="AM171"/>
      <c r="AN171"/>
      <c r="AO171"/>
      <c r="AP171" s="16"/>
      <c r="AQ171" s="3"/>
      <c r="AR171" s="3"/>
      <c r="AS171" s="3"/>
      <c r="AT171" s="3"/>
      <c r="AV171" s="3"/>
    </row>
    <row r="172" spans="1:62" ht="13.9" customHeight="1">
      <c r="A172" s="217" t="s">
        <v>88</v>
      </c>
      <c r="B172" s="217"/>
      <c r="C172" s="217"/>
      <c r="D172" s="217"/>
      <c r="E172" s="217"/>
      <c r="F172" s="217"/>
      <c r="G172" s="217"/>
      <c r="H172" s="217"/>
      <c r="I172" s="217"/>
      <c r="J172" s="217"/>
      <c r="K172" s="217"/>
      <c r="L172" s="217"/>
      <c r="M172" s="59"/>
      <c r="N172" s="59"/>
      <c r="O172" s="217" t="s">
        <v>89</v>
      </c>
      <c r="P172" s="217"/>
      <c r="Q172" s="217"/>
      <c r="R172" s="57"/>
      <c r="S172" s="218" t="s">
        <v>90</v>
      </c>
      <c r="T172" s="218"/>
      <c r="U172" s="58"/>
      <c r="V172" s="219" t="s">
        <v>157</v>
      </c>
      <c r="W172" s="219"/>
      <c r="X172" s="219"/>
      <c r="Y172" s="219"/>
      <c r="Z172" s="219"/>
      <c r="AA172" s="219"/>
      <c r="AB172" s="219"/>
      <c r="AC172" s="219"/>
      <c r="AD172" s="69"/>
      <c r="AE172" s="6"/>
      <c r="AF172" s="6"/>
      <c r="AG172" s="6"/>
      <c r="AH172" s="6"/>
      <c r="AI172" s="6"/>
      <c r="AJ172" s="6"/>
      <c r="AK172" s="6"/>
      <c r="AL172" s="6"/>
      <c r="AM172" s="6"/>
      <c r="AN172" s="3"/>
      <c r="AP172" s="3"/>
      <c r="AQ172" s="3"/>
      <c r="AR172" s="3"/>
      <c r="AS172" s="3"/>
    </row>
    <row r="173" spans="1:62" ht="13.9" customHeight="1">
      <c r="A173" s="217"/>
      <c r="B173" s="217"/>
      <c r="C173" s="217"/>
      <c r="D173" s="217"/>
      <c r="E173" s="217"/>
      <c r="F173" s="217"/>
      <c r="G173" s="217"/>
      <c r="H173" s="217"/>
      <c r="I173" s="217"/>
      <c r="J173" s="217"/>
      <c r="K173" s="217"/>
      <c r="L173" s="217"/>
      <c r="M173" s="59"/>
      <c r="N173" s="59"/>
      <c r="O173" s="205" t="s">
        <v>92</v>
      </c>
      <c r="P173" s="205"/>
      <c r="Q173" s="205"/>
      <c r="R173" s="58"/>
      <c r="S173" s="206" t="s">
        <v>93</v>
      </c>
      <c r="T173" s="206"/>
      <c r="U173" s="58"/>
      <c r="V173" s="219" t="s">
        <v>419</v>
      </c>
      <c r="W173" s="219"/>
      <c r="X173" s="219"/>
      <c r="Y173" s="219"/>
      <c r="Z173" s="219"/>
      <c r="AA173" s="219"/>
      <c r="AB173" s="219"/>
      <c r="AC173" s="219"/>
      <c r="AD173" s="67"/>
      <c r="AF173"/>
      <c r="AG173"/>
      <c r="AH173"/>
      <c r="AI173"/>
      <c r="AJ173"/>
      <c r="AK173"/>
      <c r="AL173"/>
      <c r="AM173"/>
      <c r="AN173"/>
      <c r="AO173"/>
    </row>
    <row r="174" spans="1:62" ht="13.9" customHeight="1" thickBot="1">
      <c r="A174" s="49"/>
      <c r="B174" s="49"/>
      <c r="C174" s="49"/>
      <c r="D174" s="49"/>
      <c r="E174" s="49"/>
      <c r="F174" s="49"/>
      <c r="G174" s="49"/>
      <c r="H174" s="49"/>
      <c r="I174" s="49"/>
      <c r="J174" s="49"/>
      <c r="K174" s="49"/>
      <c r="L174" s="49"/>
      <c r="M174" s="49"/>
      <c r="N174" s="49"/>
      <c r="O174" s="8"/>
      <c r="P174" s="50" t="s">
        <v>144</v>
      </c>
      <c r="Q174" s="8"/>
      <c r="R174" s="8"/>
      <c r="S174" s="8"/>
      <c r="T174" s="8"/>
      <c r="U174" s="8"/>
      <c r="V174" s="8"/>
      <c r="W174" s="8"/>
      <c r="X174" s="8"/>
      <c r="Y174" s="8"/>
      <c r="Z174" s="8"/>
      <c r="AA174" s="8"/>
      <c r="AB174" s="8"/>
      <c r="AC174" s="8"/>
      <c r="AD174" s="7"/>
      <c r="AE174" s="7"/>
      <c r="AF174"/>
      <c r="AG174"/>
      <c r="AH174"/>
      <c r="AI174"/>
      <c r="AJ174"/>
      <c r="AK174"/>
      <c r="AL174"/>
      <c r="AM174"/>
      <c r="AN174"/>
      <c r="AO174"/>
      <c r="AP174"/>
      <c r="AQ174"/>
      <c r="AR174" s="3"/>
      <c r="AS174" s="3"/>
    </row>
    <row r="175" spans="1:62" ht="13.9" customHeight="1" thickTop="1">
      <c r="A175" s="220" t="s">
        <v>444</v>
      </c>
      <c r="B175" s="220"/>
      <c r="C175" s="220"/>
      <c r="D175" s="220"/>
      <c r="E175" s="220"/>
      <c r="F175" s="220"/>
      <c r="G175" s="220"/>
      <c r="H175" s="220"/>
      <c r="I175" s="220"/>
      <c r="J175" s="220"/>
      <c r="K175" s="220"/>
      <c r="L175" s="220"/>
      <c r="M175" s="220"/>
      <c r="N175" s="220"/>
      <c r="O175" s="220"/>
      <c r="P175" s="220"/>
      <c r="Q175" s="220"/>
      <c r="R175" s="220"/>
      <c r="S175" s="220"/>
      <c r="T175" s="220"/>
      <c r="U175" s="220"/>
      <c r="V175" s="220"/>
      <c r="W175" s="220"/>
      <c r="X175" s="220"/>
      <c r="Y175" s="220"/>
      <c r="Z175" s="220"/>
      <c r="AA175" s="220"/>
      <c r="AB175" s="220"/>
      <c r="AC175" s="220"/>
      <c r="AD175" s="220"/>
      <c r="AE175" s="220"/>
      <c r="AG175"/>
      <c r="AH175"/>
      <c r="AI175"/>
      <c r="AJ175" s="3"/>
      <c r="AK175" s="3"/>
      <c r="AL175" s="3"/>
      <c r="AM175" s="3"/>
      <c r="AN175" s="3"/>
      <c r="AV175"/>
      <c r="AW175"/>
      <c r="AX175"/>
      <c r="AY175"/>
      <c r="AZ175"/>
      <c r="BA175"/>
      <c r="BB175"/>
      <c r="BC175"/>
      <c r="BD175"/>
      <c r="BE175"/>
      <c r="BF175"/>
      <c r="BG175"/>
      <c r="BH175"/>
      <c r="BI175"/>
    </row>
    <row r="176" spans="1:62" ht="13.9" customHeight="1">
      <c r="A176" s="220"/>
      <c r="B176" s="220"/>
      <c r="C176" s="220"/>
      <c r="D176" s="220"/>
      <c r="E176" s="220"/>
      <c r="F176" s="220"/>
      <c r="G176" s="220"/>
      <c r="H176" s="220"/>
      <c r="I176" s="220"/>
      <c r="J176" s="220"/>
      <c r="K176" s="220"/>
      <c r="L176" s="220"/>
      <c r="M176" s="220"/>
      <c r="N176" s="220"/>
      <c r="O176" s="220"/>
      <c r="P176" s="220"/>
      <c r="Q176" s="220"/>
      <c r="R176" s="220"/>
      <c r="S176" s="220"/>
      <c r="T176" s="220"/>
      <c r="U176" s="220"/>
      <c r="V176" s="220"/>
      <c r="W176" s="220"/>
      <c r="X176" s="220"/>
      <c r="Y176" s="220"/>
      <c r="Z176" s="220"/>
      <c r="AA176" s="220"/>
      <c r="AB176" s="220"/>
      <c r="AC176" s="220"/>
      <c r="AD176" s="220"/>
      <c r="AE176" s="220"/>
      <c r="AG176"/>
      <c r="AH176"/>
      <c r="AI176"/>
      <c r="AJ176" s="3"/>
      <c r="AK176" s="3"/>
      <c r="AL176" s="3"/>
      <c r="AM176" s="3"/>
      <c r="AN176" s="3"/>
      <c r="AV176"/>
      <c r="AW176"/>
      <c r="AX176"/>
      <c r="AY176"/>
      <c r="AZ176"/>
      <c r="BA176"/>
      <c r="BB176"/>
      <c r="BC176"/>
      <c r="BD176"/>
      <c r="BE176"/>
      <c r="BF176"/>
      <c r="BG176"/>
      <c r="BH176"/>
      <c r="BI176"/>
    </row>
    <row r="177" spans="1:62" customFormat="1" ht="9.9499999999999993" customHeight="1"/>
    <row r="178" spans="1:62" ht="15" customHeight="1">
      <c r="A178" s="208" t="s">
        <v>448</v>
      </c>
      <c r="B178" s="208"/>
      <c r="C178" s="208"/>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c r="AA178" s="208"/>
      <c r="AB178" s="208"/>
      <c r="AC178" s="208"/>
      <c r="AD178" s="208"/>
      <c r="AE178" s="208"/>
      <c r="AF178" s="2">
        <v>0</v>
      </c>
      <c r="AG178"/>
      <c r="AH178"/>
      <c r="AI178"/>
      <c r="AN178" s="3"/>
      <c r="AV178"/>
      <c r="AW178"/>
      <c r="AX178"/>
      <c r="AY178"/>
      <c r="AZ178"/>
      <c r="BA178"/>
      <c r="BB178"/>
      <c r="BC178"/>
      <c r="BD178"/>
      <c r="BE178"/>
      <c r="BF178"/>
      <c r="BG178"/>
      <c r="BH178"/>
      <c r="BI178"/>
    </row>
    <row r="179" spans="1:62" ht="10.9" customHeight="1">
      <c r="A179" s="3"/>
      <c r="C179" s="3"/>
      <c r="P179" s="3"/>
      <c r="Q179" s="3"/>
      <c r="R179" s="3"/>
      <c r="S179" s="3"/>
      <c r="T179" s="3"/>
      <c r="U179" s="209"/>
      <c r="V179" s="209"/>
      <c r="W179" s="3"/>
      <c r="X179" s="3"/>
      <c r="Y179" s="3"/>
      <c r="Z179" s="3"/>
      <c r="AA179" s="3"/>
      <c r="AB179" s="3"/>
      <c r="AC179" s="197"/>
      <c r="AD179" s="197"/>
      <c r="AE179" s="3"/>
      <c r="AF179" s="3"/>
      <c r="AG179"/>
      <c r="AH179"/>
      <c r="AI179"/>
      <c r="AN179" s="3"/>
      <c r="AO179" s="3"/>
      <c r="AP179" s="3"/>
      <c r="AQ179" s="3"/>
      <c r="AR179" s="3"/>
      <c r="AS179" s="3"/>
      <c r="AT179" s="3"/>
      <c r="AU179" s="3"/>
      <c r="AV179"/>
      <c r="AW179"/>
      <c r="AX179"/>
      <c r="AY179"/>
      <c r="AZ179"/>
      <c r="BA179"/>
      <c r="BB179"/>
      <c r="BC179"/>
      <c r="BD179"/>
      <c r="BE179"/>
      <c r="BF179"/>
      <c r="BG179"/>
      <c r="BH179"/>
      <c r="BI179"/>
      <c r="BJ179" s="3"/>
    </row>
    <row r="180" spans="1:62" ht="6" customHeight="1">
      <c r="A180" s="198">
        <v>16</v>
      </c>
      <c r="B180" s="51"/>
      <c r="C180" s="199" t="str">
        <f>INDEX(Riferimenti!$B$2:$B$60,A180)</f>
        <v>Omovanillico (HVA)</v>
      </c>
      <c r="D180" s="199"/>
      <c r="E180" s="199"/>
      <c r="F180" s="199"/>
      <c r="G180" s="199"/>
      <c r="H180" s="199"/>
      <c r="I180" s="199"/>
      <c r="J180" s="199"/>
      <c r="K180" s="199"/>
      <c r="L180" s="199"/>
      <c r="M180" s="199"/>
      <c r="N180" s="199"/>
      <c r="O180" s="195">
        <f>INDEX(Riferimenti!$C$2:$C$65,A180)</f>
        <v>0.8</v>
      </c>
      <c r="P180" s="200" t="s">
        <v>6</v>
      </c>
      <c r="Q180" s="196">
        <f>INDEX(Riferimenti!$E$2:$E$65,A180)</f>
        <v>4</v>
      </c>
      <c r="R180" s="201"/>
      <c r="S180" s="202"/>
      <c r="T180" s="202"/>
      <c r="V180" s="2"/>
      <c r="AG180"/>
      <c r="AH180"/>
      <c r="AI180"/>
      <c r="AV180"/>
      <c r="AW180"/>
      <c r="AX180"/>
      <c r="AY180"/>
      <c r="AZ180"/>
      <c r="BA180"/>
      <c r="BB180"/>
      <c r="BC180"/>
      <c r="BD180"/>
      <c r="BE180"/>
      <c r="BF180"/>
      <c r="BG180"/>
      <c r="BH180"/>
      <c r="BI180"/>
      <c r="BJ180" s="3"/>
    </row>
    <row r="181" spans="1:62" ht="5.45" customHeight="1">
      <c r="A181" s="198"/>
      <c r="B181" s="51"/>
      <c r="C181" s="199"/>
      <c r="D181" s="199"/>
      <c r="E181" s="199"/>
      <c r="F181" s="199"/>
      <c r="G181" s="199"/>
      <c r="H181" s="199"/>
      <c r="I181" s="199"/>
      <c r="J181" s="199"/>
      <c r="K181" s="199"/>
      <c r="L181" s="199"/>
      <c r="M181" s="199"/>
      <c r="N181" s="199"/>
      <c r="O181" s="195"/>
      <c r="P181" s="200"/>
      <c r="Q181" s="196"/>
      <c r="R181" s="201"/>
      <c r="S181" s="202"/>
      <c r="T181" s="202"/>
      <c r="U181"/>
      <c r="V181"/>
      <c r="W181"/>
      <c r="X181"/>
      <c r="Y181"/>
      <c r="Z181"/>
      <c r="AA181"/>
      <c r="AB181"/>
      <c r="AC181"/>
      <c r="AD181"/>
      <c r="AE181"/>
      <c r="AF181"/>
      <c r="AG181"/>
      <c r="AH181"/>
      <c r="AI181"/>
      <c r="AN181" s="3"/>
      <c r="AV181"/>
      <c r="AW181"/>
      <c r="AX181"/>
      <c r="AY181"/>
      <c r="AZ181"/>
      <c r="BA181"/>
      <c r="BB181"/>
      <c r="BC181"/>
      <c r="BD181"/>
      <c r="BE181"/>
      <c r="BF181"/>
      <c r="BG181"/>
      <c r="BH181"/>
      <c r="BI181"/>
      <c r="BJ181" s="3"/>
    </row>
    <row r="182" spans="1:62" ht="6" customHeight="1">
      <c r="A182" s="194"/>
      <c r="B182" s="194"/>
      <c r="C182" s="194"/>
      <c r="D182" s="194"/>
      <c r="E182" s="194"/>
      <c r="F182" s="194"/>
      <c r="G182" s="194"/>
      <c r="H182" s="194"/>
      <c r="I182" s="194"/>
      <c r="J182" s="194"/>
      <c r="K182" s="194"/>
      <c r="L182" s="194"/>
      <c r="M182" s="194"/>
      <c r="N182" s="52"/>
      <c r="O182" s="73"/>
      <c r="P182" s="36"/>
      <c r="Q182" s="72"/>
      <c r="R182" s="75"/>
      <c r="S182" s="166"/>
      <c r="T182" s="167"/>
      <c r="U182" s="24"/>
      <c r="V182" s="40"/>
      <c r="W182" s="40"/>
      <c r="X182" s="40"/>
      <c r="Y182" s="40"/>
      <c r="Z182" s="40"/>
      <c r="AA182" s="40"/>
      <c r="AB182" s="40"/>
      <c r="AC182" s="40"/>
      <c r="AD182" s="40"/>
      <c r="AE182" s="40"/>
      <c r="AF182" s="40"/>
      <c r="AG182"/>
      <c r="AH182"/>
      <c r="AI182"/>
      <c r="AJ182"/>
      <c r="AK182"/>
      <c r="AL182"/>
      <c r="AM182"/>
      <c r="AN182" s="40"/>
      <c r="AO182"/>
      <c r="AP182"/>
      <c r="AQ182"/>
      <c r="AR182"/>
      <c r="AS182"/>
      <c r="AT182"/>
      <c r="AU182"/>
      <c r="AV182"/>
      <c r="AW182"/>
      <c r="AX182"/>
      <c r="AY182"/>
      <c r="AZ182"/>
      <c r="BA182"/>
      <c r="BB182"/>
      <c r="BC182"/>
      <c r="BD182"/>
      <c r="BE182"/>
      <c r="BF182"/>
      <c r="BG182"/>
      <c r="BH182"/>
      <c r="BI182"/>
      <c r="BJ182" s="3"/>
    </row>
    <row r="183" spans="1:62" ht="6" customHeight="1">
      <c r="A183" s="194"/>
      <c r="B183" s="194"/>
      <c r="C183" s="194"/>
      <c r="D183" s="194"/>
      <c r="E183" s="194"/>
      <c r="F183" s="194"/>
      <c r="G183" s="194"/>
      <c r="H183" s="194"/>
      <c r="I183" s="194"/>
      <c r="J183" s="194"/>
      <c r="K183" s="194"/>
      <c r="L183" s="194"/>
      <c r="M183" s="194"/>
      <c r="N183" s="52"/>
      <c r="O183" s="73"/>
      <c r="P183" s="36"/>
      <c r="Q183" s="72"/>
      <c r="R183" s="75"/>
      <c r="S183" s="166"/>
      <c r="T183" s="168"/>
      <c r="V183" s="2"/>
      <c r="AG183"/>
      <c r="AH183"/>
      <c r="AI183"/>
      <c r="AJ183"/>
      <c r="AL183"/>
      <c r="AM183"/>
      <c r="AN183" s="3"/>
      <c r="AO183"/>
      <c r="AP183"/>
      <c r="AQ183"/>
      <c r="AR183"/>
      <c r="AS183"/>
      <c r="AT183"/>
      <c r="AU183"/>
      <c r="AV183"/>
      <c r="AW183"/>
      <c r="AX183"/>
      <c r="AY183"/>
      <c r="AZ183"/>
      <c r="BA183"/>
      <c r="BB183"/>
      <c r="BC183"/>
      <c r="BD183"/>
      <c r="BE183"/>
      <c r="BF183"/>
      <c r="BG183"/>
      <c r="BH183"/>
      <c r="BI183"/>
      <c r="BJ183" s="3"/>
    </row>
    <row r="184" spans="1:62" ht="10.9" customHeight="1">
      <c r="A184" s="53"/>
      <c r="B184" s="53"/>
      <c r="C184" s="53"/>
      <c r="D184" s="54"/>
      <c r="E184" s="54"/>
      <c r="F184" s="54"/>
      <c r="G184" s="53"/>
      <c r="H184" s="53"/>
      <c r="I184" s="54"/>
      <c r="J184" s="54"/>
      <c r="K184" s="54"/>
      <c r="L184" s="54"/>
      <c r="M184" s="54"/>
      <c r="N184" s="54"/>
      <c r="O184" s="37"/>
      <c r="P184" s="38"/>
      <c r="Q184" s="44"/>
      <c r="R184" s="3"/>
      <c r="S184" s="158"/>
      <c r="T184" s="158"/>
      <c r="U184" s="197"/>
      <c r="V184" s="197"/>
      <c r="W184" s="3"/>
      <c r="X184" s="3"/>
      <c r="Y184" s="3"/>
      <c r="Z184" s="3"/>
      <c r="AA184" s="3"/>
      <c r="AB184" s="3"/>
      <c r="AC184" s="197"/>
      <c r="AD184" s="197"/>
      <c r="AE184" s="3"/>
      <c r="AF184" s="3"/>
      <c r="AG184"/>
      <c r="AH184"/>
      <c r="AI184"/>
      <c r="AJ184"/>
      <c r="AL184" s="3"/>
      <c r="AM184" s="3"/>
      <c r="AN184" s="3"/>
      <c r="AO184"/>
      <c r="AP184"/>
      <c r="AQ184"/>
      <c r="AR184"/>
      <c r="AS184"/>
      <c r="AT184"/>
      <c r="AU184"/>
      <c r="AV184"/>
      <c r="AW184"/>
      <c r="AX184"/>
      <c r="AY184"/>
      <c r="AZ184"/>
      <c r="BA184"/>
      <c r="BB184"/>
      <c r="BC184"/>
      <c r="BD184"/>
      <c r="BE184"/>
      <c r="BF184"/>
      <c r="BG184"/>
      <c r="BH184"/>
      <c r="BI184"/>
      <c r="BJ184" s="3"/>
    </row>
    <row r="185" spans="1:62" ht="6" customHeight="1">
      <c r="A185" s="198">
        <v>17</v>
      </c>
      <c r="B185" s="51"/>
      <c r="C185" s="199" t="str">
        <f>INDEX(Riferimenti!$B$2:$B$60,A185)</f>
        <v>Vanilmandelico (VMA)</v>
      </c>
      <c r="D185" s="199"/>
      <c r="E185" s="199"/>
      <c r="F185" s="199"/>
      <c r="G185" s="199"/>
      <c r="H185" s="199"/>
      <c r="I185" s="199"/>
      <c r="J185" s="199"/>
      <c r="K185" s="199"/>
      <c r="L185" s="199"/>
      <c r="M185" s="199"/>
      <c r="N185" s="199"/>
      <c r="O185" s="195">
        <f>INDEX(Riferimenti!$C$2:$C$65,A185)</f>
        <v>0.3</v>
      </c>
      <c r="P185" s="200" t="s">
        <v>6</v>
      </c>
      <c r="Q185" s="196">
        <f>INDEX(Riferimenti!$E$2:$E$65,A185)</f>
        <v>3.6</v>
      </c>
      <c r="R185" s="201"/>
      <c r="S185" s="202"/>
      <c r="T185" s="202"/>
      <c r="V185" s="2"/>
      <c r="AG185" s="195">
        <f>INDEX(Riferimenti!$Q$2:$Q$61,A185)</f>
        <v>0.97508042349777868</v>
      </c>
      <c r="AH185" s="195">
        <f>INDEX(Riferimenti!$R$2:$R$61,A185)</f>
        <v>2.7002333840336035</v>
      </c>
      <c r="AI185"/>
      <c r="AJ185"/>
      <c r="AK185" s="222"/>
      <c r="AL185" s="222"/>
      <c r="AM185" s="222"/>
      <c r="AO185"/>
      <c r="AP185"/>
      <c r="AQ185"/>
      <c r="AR185"/>
      <c r="AS185"/>
      <c r="AT185"/>
      <c r="AU185"/>
      <c r="AV185"/>
      <c r="AW185"/>
      <c r="AX185"/>
      <c r="AY185"/>
      <c r="AZ185"/>
      <c r="BA185"/>
      <c r="BB185"/>
      <c r="BC185"/>
      <c r="BD185"/>
      <c r="BE185"/>
      <c r="BF185"/>
      <c r="BG185"/>
      <c r="BH185"/>
      <c r="BI185"/>
      <c r="BJ185" s="3"/>
    </row>
    <row r="186" spans="1:62" ht="5.45" customHeight="1">
      <c r="A186" s="198"/>
      <c r="B186" s="51"/>
      <c r="C186" s="199"/>
      <c r="D186" s="199"/>
      <c r="E186" s="199"/>
      <c r="F186" s="199"/>
      <c r="G186" s="199"/>
      <c r="H186" s="199"/>
      <c r="I186" s="199"/>
      <c r="J186" s="199"/>
      <c r="K186" s="199"/>
      <c r="L186" s="199"/>
      <c r="M186" s="199"/>
      <c r="N186" s="199"/>
      <c r="O186" s="195"/>
      <c r="P186" s="200"/>
      <c r="Q186" s="196"/>
      <c r="R186" s="201"/>
      <c r="S186" s="202"/>
      <c r="T186" s="202"/>
      <c r="U186"/>
      <c r="V186"/>
      <c r="W186"/>
      <c r="X186"/>
      <c r="Y186"/>
      <c r="Z186"/>
      <c r="AA186"/>
      <c r="AB186"/>
      <c r="AC186"/>
      <c r="AD186"/>
      <c r="AE186"/>
      <c r="AF186"/>
      <c r="AG186" s="195"/>
      <c r="AH186" s="195"/>
      <c r="AI186"/>
      <c r="AJ186"/>
      <c r="AK186" s="222"/>
      <c r="AL186" s="222"/>
      <c r="AM186" s="222"/>
      <c r="AN186" s="3"/>
      <c r="AO186"/>
      <c r="AP186"/>
      <c r="AQ186"/>
      <c r="AR186"/>
      <c r="AS186"/>
      <c r="AT186"/>
      <c r="AU186"/>
      <c r="AV186"/>
      <c r="AW186"/>
      <c r="AX186"/>
      <c r="AY186"/>
      <c r="AZ186"/>
      <c r="BA186"/>
      <c r="BB186"/>
      <c r="BC186"/>
      <c r="BD186"/>
      <c r="BE186"/>
      <c r="BF186"/>
      <c r="BG186"/>
      <c r="BH186"/>
      <c r="BI186"/>
      <c r="BJ186" s="3"/>
    </row>
    <row r="187" spans="1:62" ht="6" customHeight="1">
      <c r="A187" s="194"/>
      <c r="B187" s="194"/>
      <c r="C187" s="194"/>
      <c r="D187" s="194"/>
      <c r="E187" s="194"/>
      <c r="F187" s="194"/>
      <c r="G187" s="194"/>
      <c r="H187" s="194"/>
      <c r="I187" s="194"/>
      <c r="J187" s="194"/>
      <c r="K187" s="194"/>
      <c r="L187" s="194"/>
      <c r="M187" s="194"/>
      <c r="N187" s="52"/>
      <c r="O187" s="73"/>
      <c r="P187" s="36"/>
      <c r="Q187" s="72"/>
      <c r="R187" s="75"/>
      <c r="S187" s="166"/>
      <c r="T187" s="167"/>
      <c r="U187" s="24"/>
      <c r="V187" s="40"/>
      <c r="W187" s="40"/>
      <c r="X187" s="40"/>
      <c r="Y187" s="40"/>
      <c r="Z187" s="40"/>
      <c r="AA187" s="40"/>
      <c r="AB187" s="40"/>
      <c r="AC187" s="40"/>
      <c r="AD187" s="40"/>
      <c r="AE187" s="40"/>
      <c r="AF187" s="40"/>
      <c r="AG187"/>
      <c r="AH187"/>
      <c r="AI187"/>
      <c r="AJ187"/>
      <c r="AK187" s="3"/>
      <c r="AL187" s="3"/>
      <c r="AM187" s="3"/>
      <c r="AN187" s="40"/>
      <c r="AO187"/>
      <c r="AP187"/>
      <c r="AQ187"/>
      <c r="AR187"/>
      <c r="AS187"/>
      <c r="AT187"/>
      <c r="AU187"/>
      <c r="AV187"/>
      <c r="AW187"/>
      <c r="AX187"/>
      <c r="AY187"/>
      <c r="AZ187"/>
      <c r="BA187"/>
      <c r="BB187"/>
      <c r="BC187"/>
      <c r="BD187"/>
      <c r="BE187"/>
      <c r="BF187"/>
      <c r="BG187"/>
      <c r="BH187"/>
      <c r="BI187"/>
      <c r="BJ187" s="3"/>
    </row>
    <row r="188" spans="1:62" ht="6" customHeight="1">
      <c r="A188" s="194"/>
      <c r="B188" s="194"/>
      <c r="C188" s="194"/>
      <c r="D188" s="194"/>
      <c r="E188" s="194"/>
      <c r="F188" s="194"/>
      <c r="G188" s="194"/>
      <c r="H188" s="194"/>
      <c r="I188" s="194"/>
      <c r="J188" s="194"/>
      <c r="K188" s="194"/>
      <c r="L188" s="194"/>
      <c r="M188" s="194"/>
      <c r="N188" s="52"/>
      <c r="O188" s="73"/>
      <c r="P188" s="36"/>
      <c r="Q188" s="72"/>
      <c r="R188" s="75"/>
      <c r="S188" s="166"/>
      <c r="T188" s="168"/>
      <c r="V188" s="2"/>
      <c r="AG188"/>
      <c r="AH188"/>
      <c r="AI188"/>
      <c r="AJ188"/>
      <c r="AK188" s="3"/>
      <c r="AL188" s="3"/>
      <c r="AM188" s="3"/>
      <c r="AN188" s="3"/>
      <c r="AO188"/>
      <c r="AP188"/>
      <c r="AQ188"/>
      <c r="AR188"/>
      <c r="AS188"/>
      <c r="AT188"/>
      <c r="AU188"/>
      <c r="AV188"/>
      <c r="AW188"/>
      <c r="AX188"/>
      <c r="AY188"/>
      <c r="AZ188"/>
      <c r="BA188"/>
      <c r="BB188"/>
      <c r="BC188"/>
      <c r="BD188"/>
      <c r="BE188"/>
      <c r="BF188"/>
      <c r="BG188"/>
      <c r="BH188"/>
      <c r="BI188"/>
      <c r="BJ188" s="3"/>
    </row>
    <row r="189" spans="1:62" ht="10.9" customHeight="1">
      <c r="A189" s="53"/>
      <c r="B189" s="53"/>
      <c r="C189" s="53"/>
      <c r="D189" s="54"/>
      <c r="E189" s="54"/>
      <c r="F189" s="54"/>
      <c r="G189" s="53"/>
      <c r="H189" s="53"/>
      <c r="I189" s="54"/>
      <c r="J189" s="54"/>
      <c r="K189" s="54"/>
      <c r="L189" s="54"/>
      <c r="M189" s="54"/>
      <c r="N189" s="54"/>
      <c r="P189" s="3"/>
      <c r="Q189" s="44"/>
      <c r="R189" s="3"/>
      <c r="S189" s="158"/>
      <c r="T189" s="158"/>
      <c r="U189" s="197"/>
      <c r="V189" s="197"/>
      <c r="W189" s="3"/>
      <c r="X189" s="3"/>
      <c r="Y189" s="3"/>
      <c r="Z189" s="3"/>
      <c r="AA189" s="3"/>
      <c r="AB189" s="3"/>
      <c r="AC189" s="197"/>
      <c r="AD189" s="197"/>
      <c r="AE189" s="3"/>
      <c r="AF189" s="3"/>
      <c r="AG189"/>
      <c r="AH189"/>
      <c r="AI189"/>
      <c r="AJ189"/>
      <c r="AK189" s="3"/>
      <c r="AL189" s="3"/>
      <c r="AM189" s="3"/>
      <c r="AN189" s="3"/>
      <c r="AO189"/>
      <c r="AP189"/>
      <c r="AQ189"/>
      <c r="AR189"/>
      <c r="AS189"/>
      <c r="AT189"/>
      <c r="AU189"/>
      <c r="AV189"/>
      <c r="AW189"/>
      <c r="AX189"/>
      <c r="AY189"/>
      <c r="AZ189"/>
      <c r="BA189"/>
      <c r="BB189"/>
      <c r="BC189"/>
      <c r="BD189"/>
      <c r="BE189"/>
      <c r="BF189"/>
      <c r="BG189"/>
      <c r="BH189"/>
      <c r="BI189"/>
      <c r="BJ189" s="3"/>
    </row>
    <row r="190" spans="1:62" ht="6" customHeight="1">
      <c r="A190" s="198">
        <v>18</v>
      </c>
      <c r="B190" s="51"/>
      <c r="C190" s="199" t="str">
        <f>INDEX(Riferimenti!$B$2:$B$60,A190)</f>
        <v>Ratio HVA/VMA</v>
      </c>
      <c r="D190" s="199"/>
      <c r="E190" s="199"/>
      <c r="F190" s="199"/>
      <c r="G190" s="199"/>
      <c r="H190" s="199"/>
      <c r="I190" s="199"/>
      <c r="J190" s="199"/>
      <c r="K190" s="199"/>
      <c r="L190" s="199"/>
      <c r="M190" s="199"/>
      <c r="N190" s="199"/>
      <c r="O190" s="195">
        <f>INDEX(Riferimenti!$C$2:$C$65,A190)</f>
        <v>0.1</v>
      </c>
      <c r="P190" s="200" t="s">
        <v>6</v>
      </c>
      <c r="Q190" s="196">
        <f>INDEX(Riferimenti!$E$2:$E$65,A190)</f>
        <v>1.6</v>
      </c>
      <c r="R190" s="201"/>
      <c r="S190" s="202"/>
      <c r="T190" s="202"/>
      <c r="V190" s="2"/>
      <c r="AG190" s="195">
        <f>INDEX(Riferimenti!$Q$2:$Q$61,A190)</f>
        <v>0.48100200048899511</v>
      </c>
      <c r="AH190" s="195">
        <f>INDEX(Riferimenti!$R$2:$R$61,A190)</f>
        <v>1.204243610991758</v>
      </c>
      <c r="AI190"/>
      <c r="AJ190"/>
      <c r="AK190" s="222"/>
      <c r="AL190" s="222"/>
      <c r="AM190" s="222"/>
      <c r="AO190"/>
      <c r="AP190"/>
      <c r="AQ190"/>
      <c r="AR190"/>
      <c r="AS190"/>
      <c r="AT190"/>
      <c r="AU190"/>
      <c r="AV190"/>
      <c r="AW190"/>
      <c r="AX190"/>
      <c r="AY190"/>
      <c r="AZ190"/>
      <c r="BA190"/>
      <c r="BB190"/>
      <c r="BC190"/>
      <c r="BD190"/>
      <c r="BE190"/>
      <c r="BF190"/>
      <c r="BG190"/>
      <c r="BH190"/>
      <c r="BI190"/>
      <c r="BJ190" s="3"/>
    </row>
    <row r="191" spans="1:62" ht="5.45" customHeight="1">
      <c r="A191" s="198"/>
      <c r="B191" s="51"/>
      <c r="C191" s="199"/>
      <c r="D191" s="199"/>
      <c r="E191" s="199"/>
      <c r="F191" s="199"/>
      <c r="G191" s="199"/>
      <c r="H191" s="199"/>
      <c r="I191" s="199"/>
      <c r="J191" s="199"/>
      <c r="K191" s="199"/>
      <c r="L191" s="199"/>
      <c r="M191" s="199"/>
      <c r="N191" s="199"/>
      <c r="O191" s="195"/>
      <c r="P191" s="200"/>
      <c r="Q191" s="196"/>
      <c r="R191" s="201"/>
      <c r="S191" s="202"/>
      <c r="T191" s="202"/>
      <c r="U191"/>
      <c r="V191"/>
      <c r="W191"/>
      <c r="X191"/>
      <c r="Y191"/>
      <c r="Z191"/>
      <c r="AA191"/>
      <c r="AB191"/>
      <c r="AC191"/>
      <c r="AD191"/>
      <c r="AE191"/>
      <c r="AF191"/>
      <c r="AG191" s="195"/>
      <c r="AH191" s="195"/>
      <c r="AI191"/>
      <c r="AJ191"/>
      <c r="AK191" s="222"/>
      <c r="AL191" s="222"/>
      <c r="AM191" s="222"/>
      <c r="AN191" s="3"/>
      <c r="AO191"/>
      <c r="AP191"/>
      <c r="AQ191"/>
      <c r="AR191"/>
      <c r="AS191"/>
      <c r="AT191"/>
      <c r="AU191"/>
      <c r="AV191"/>
      <c r="AW191"/>
      <c r="AX191"/>
      <c r="AY191"/>
      <c r="AZ191"/>
      <c r="BA191"/>
      <c r="BB191"/>
      <c r="BC191"/>
      <c r="BD191"/>
      <c r="BE191"/>
      <c r="BF191"/>
      <c r="BG191"/>
      <c r="BH191"/>
      <c r="BI191"/>
      <c r="BJ191" s="3"/>
    </row>
    <row r="192" spans="1:62" ht="6" customHeight="1">
      <c r="A192" s="194"/>
      <c r="B192" s="194"/>
      <c r="C192" s="194"/>
      <c r="D192" s="194"/>
      <c r="E192" s="194"/>
      <c r="F192" s="194"/>
      <c r="G192" s="194"/>
      <c r="H192" s="194"/>
      <c r="I192" s="194"/>
      <c r="J192" s="194"/>
      <c r="K192" s="194"/>
      <c r="L192" s="194"/>
      <c r="M192" s="194"/>
      <c r="N192" s="52"/>
      <c r="O192" s="73"/>
      <c r="P192" s="36"/>
      <c r="Q192" s="72"/>
      <c r="R192" s="75"/>
      <c r="S192" s="166"/>
      <c r="T192" s="167"/>
      <c r="U192" s="24"/>
      <c r="V192" s="40"/>
      <c r="W192" s="40"/>
      <c r="X192" s="40"/>
      <c r="Y192" s="40"/>
      <c r="Z192" s="40"/>
      <c r="AA192" s="40"/>
      <c r="AB192" s="40"/>
      <c r="AC192" s="40"/>
      <c r="AD192" s="40"/>
      <c r="AE192" s="40"/>
      <c r="AF192" s="40"/>
      <c r="AG192"/>
      <c r="AH192"/>
      <c r="AI192"/>
      <c r="AJ192"/>
      <c r="AN192" s="40"/>
      <c r="AO192"/>
      <c r="AP192"/>
      <c r="AQ192"/>
      <c r="AR192"/>
      <c r="AS192"/>
      <c r="AT192"/>
      <c r="AU192"/>
      <c r="AV192"/>
      <c r="AW192"/>
      <c r="AX192"/>
      <c r="AY192"/>
      <c r="AZ192"/>
      <c r="BA192"/>
      <c r="BB192"/>
      <c r="BC192"/>
      <c r="BD192"/>
      <c r="BE192"/>
      <c r="BF192"/>
      <c r="BG192"/>
      <c r="BH192"/>
      <c r="BI192"/>
      <c r="BJ192" s="3"/>
    </row>
    <row r="193" spans="1:62" ht="6" customHeight="1">
      <c r="A193" s="194"/>
      <c r="B193" s="194"/>
      <c r="C193" s="194"/>
      <c r="D193" s="194"/>
      <c r="E193" s="194"/>
      <c r="F193" s="194"/>
      <c r="G193" s="194"/>
      <c r="H193" s="194"/>
      <c r="I193" s="194"/>
      <c r="J193" s="194"/>
      <c r="K193" s="194"/>
      <c r="L193" s="194"/>
      <c r="M193" s="194"/>
      <c r="N193" s="52"/>
      <c r="O193" s="73"/>
      <c r="P193" s="36"/>
      <c r="Q193" s="72"/>
      <c r="R193" s="75"/>
      <c r="S193" s="166"/>
      <c r="T193" s="168"/>
      <c r="V193" s="2"/>
      <c r="AG193"/>
      <c r="AH193"/>
      <c r="AI193"/>
      <c r="AJ193"/>
      <c r="AN193" s="3"/>
      <c r="AO193"/>
      <c r="AP193"/>
      <c r="AQ193"/>
      <c r="AR193"/>
      <c r="AS193"/>
      <c r="AT193"/>
      <c r="AU193"/>
      <c r="AV193"/>
      <c r="AW193"/>
      <c r="AX193"/>
      <c r="AY193"/>
      <c r="AZ193"/>
      <c r="BA193"/>
      <c r="BB193"/>
      <c r="BC193"/>
      <c r="BD193"/>
      <c r="BE193"/>
      <c r="BF193"/>
      <c r="BG193"/>
      <c r="BH193"/>
      <c r="BI193"/>
      <c r="BJ193" s="3"/>
    </row>
    <row r="194" spans="1:62" ht="10.9" customHeight="1">
      <c r="A194" s="53"/>
      <c r="B194" s="53"/>
      <c r="C194" s="53"/>
      <c r="D194" s="54"/>
      <c r="E194" s="54"/>
      <c r="F194" s="54"/>
      <c r="G194" s="53"/>
      <c r="H194" s="53"/>
      <c r="I194" s="54"/>
      <c r="J194" s="54"/>
      <c r="K194" s="54"/>
      <c r="L194" s="54"/>
      <c r="M194" s="54"/>
      <c r="N194" s="54"/>
      <c r="P194" s="3"/>
      <c r="Q194" s="44"/>
      <c r="R194" s="3"/>
      <c r="S194" s="158"/>
      <c r="T194" s="158"/>
      <c r="U194" s="197"/>
      <c r="V194" s="197"/>
      <c r="W194" s="3"/>
      <c r="X194" s="3"/>
      <c r="Y194" s="3"/>
      <c r="Z194" s="3"/>
      <c r="AA194" s="3"/>
      <c r="AB194" s="3"/>
      <c r="AC194" s="197"/>
      <c r="AD194" s="197"/>
      <c r="AE194" s="3"/>
      <c r="AF194" s="3"/>
      <c r="AG194"/>
      <c r="AH194"/>
      <c r="AI194"/>
      <c r="AJ194"/>
      <c r="AN194" s="3"/>
      <c r="AO194"/>
      <c r="AP194"/>
      <c r="AQ194"/>
      <c r="AR194"/>
      <c r="AS194"/>
      <c r="AT194"/>
      <c r="AU194"/>
      <c r="AV194"/>
      <c r="AW194"/>
      <c r="AX194"/>
      <c r="AY194"/>
      <c r="AZ194"/>
      <c r="BA194"/>
      <c r="BB194"/>
      <c r="BC194"/>
      <c r="BD194"/>
      <c r="BE194"/>
      <c r="BF194"/>
      <c r="BG194"/>
      <c r="BH194"/>
      <c r="BI194"/>
      <c r="BJ194" s="3"/>
    </row>
    <row r="195" spans="1:62" ht="6" customHeight="1">
      <c r="A195" s="198">
        <v>19</v>
      </c>
      <c r="B195" s="51"/>
      <c r="C195" s="199" t="str">
        <f>INDEX(Riferimenti!$B$2:$B$60,A195)</f>
        <v>3,4-Diidrossifenilacetico</v>
      </c>
      <c r="D195" s="199"/>
      <c r="E195" s="199"/>
      <c r="F195" s="199"/>
      <c r="G195" s="199"/>
      <c r="H195" s="199"/>
      <c r="I195" s="199"/>
      <c r="J195" s="199"/>
      <c r="K195" s="199"/>
      <c r="L195" s="199"/>
      <c r="M195" s="199"/>
      <c r="N195" s="199"/>
      <c r="O195" s="202">
        <f>INDEX(Riferimenti!$C$2:$C$65,A195)</f>
        <v>0</v>
      </c>
      <c r="P195" s="200" t="s">
        <v>6</v>
      </c>
      <c r="Q195" s="196">
        <f>INDEX(Riferimenti!$E$2:$E$65,A195)</f>
        <v>2.2999999999999998</v>
      </c>
      <c r="R195" s="201"/>
      <c r="S195" s="202"/>
      <c r="T195" s="202"/>
      <c r="V195" s="2"/>
      <c r="AG195" s="195">
        <f>INDEX(Riferimenti!$Q$2:$Q$61,A195)</f>
        <v>0.33799999999999997</v>
      </c>
      <c r="AH195" s="195">
        <f>INDEX(Riferimenti!$R$2:$R$61,A195)</f>
        <v>1.3140000000000001</v>
      </c>
      <c r="AI195"/>
      <c r="AJ195"/>
      <c r="AK195" s="222"/>
      <c r="AL195" s="222"/>
      <c r="AM195" s="222"/>
      <c r="AO195"/>
      <c r="AP195"/>
      <c r="AQ195"/>
      <c r="AR195"/>
      <c r="AS195"/>
      <c r="AT195"/>
      <c r="AU195"/>
      <c r="AV195"/>
      <c r="AW195"/>
      <c r="AX195"/>
      <c r="AY195"/>
      <c r="AZ195"/>
      <c r="BA195"/>
      <c r="BB195"/>
      <c r="BC195"/>
      <c r="BD195"/>
      <c r="BE195"/>
      <c r="BF195"/>
      <c r="BG195"/>
      <c r="BH195"/>
      <c r="BI195"/>
      <c r="BJ195" s="3"/>
    </row>
    <row r="196" spans="1:62" ht="5.45" customHeight="1">
      <c r="A196" s="198"/>
      <c r="B196" s="51"/>
      <c r="C196" s="199"/>
      <c r="D196" s="199"/>
      <c r="E196" s="199"/>
      <c r="F196" s="199"/>
      <c r="G196" s="199"/>
      <c r="H196" s="199"/>
      <c r="I196" s="199"/>
      <c r="J196" s="199"/>
      <c r="K196" s="199"/>
      <c r="L196" s="199"/>
      <c r="M196" s="199"/>
      <c r="N196" s="199"/>
      <c r="O196" s="202"/>
      <c r="P196" s="200"/>
      <c r="Q196" s="196"/>
      <c r="R196" s="201"/>
      <c r="S196" s="202"/>
      <c r="T196" s="202"/>
      <c r="U196"/>
      <c r="V196"/>
      <c r="W196"/>
      <c r="X196"/>
      <c r="Y196"/>
      <c r="Z196"/>
      <c r="AA196"/>
      <c r="AB196"/>
      <c r="AC196"/>
      <c r="AD196"/>
      <c r="AE196"/>
      <c r="AF196"/>
      <c r="AG196" s="195"/>
      <c r="AH196" s="195"/>
      <c r="AI196"/>
      <c r="AJ196"/>
      <c r="AK196" s="222"/>
      <c r="AL196" s="222"/>
      <c r="AM196" s="222"/>
      <c r="AN196" s="3"/>
      <c r="AO196"/>
      <c r="AP196"/>
      <c r="AQ196"/>
      <c r="AR196"/>
      <c r="AS196"/>
      <c r="AT196"/>
      <c r="AU196"/>
      <c r="AV196"/>
      <c r="AW196"/>
      <c r="AX196"/>
      <c r="AY196"/>
      <c r="AZ196"/>
      <c r="BA196"/>
      <c r="BB196"/>
      <c r="BC196"/>
      <c r="BD196"/>
      <c r="BE196"/>
      <c r="BF196"/>
      <c r="BG196"/>
      <c r="BH196"/>
      <c r="BI196"/>
      <c r="BJ196" s="3"/>
    </row>
    <row r="197" spans="1:62" ht="6" customHeight="1">
      <c r="A197" s="194"/>
      <c r="B197" s="194"/>
      <c r="C197" s="194"/>
      <c r="D197" s="194"/>
      <c r="E197" s="194"/>
      <c r="F197" s="194"/>
      <c r="G197" s="194"/>
      <c r="H197" s="194"/>
      <c r="I197" s="194"/>
      <c r="J197" s="194"/>
      <c r="K197" s="194"/>
      <c r="L197" s="194"/>
      <c r="M197" s="194"/>
      <c r="N197" s="52"/>
      <c r="O197" s="73"/>
      <c r="P197" s="36"/>
      <c r="Q197" s="72"/>
      <c r="R197" s="75"/>
      <c r="S197" s="166"/>
      <c r="T197" s="167"/>
      <c r="U197" s="24"/>
      <c r="V197" s="40"/>
      <c r="W197" s="40"/>
      <c r="X197" s="40"/>
      <c r="Y197" s="40"/>
      <c r="Z197" s="40"/>
      <c r="AA197" s="40"/>
      <c r="AB197" s="40"/>
      <c r="AC197" s="40"/>
      <c r="AD197" s="40"/>
      <c r="AE197" s="40"/>
      <c r="AF197" s="40"/>
      <c r="AG197"/>
      <c r="AH197"/>
      <c r="AI197"/>
      <c r="AJ197"/>
      <c r="AN197" s="40"/>
      <c r="AO197"/>
      <c r="AP197"/>
      <c r="AQ197"/>
      <c r="AR197"/>
      <c r="AS197"/>
      <c r="AT197"/>
      <c r="AU197"/>
      <c r="AV197"/>
      <c r="AW197"/>
      <c r="AX197"/>
      <c r="AY197"/>
      <c r="AZ197"/>
      <c r="BA197"/>
      <c r="BB197"/>
      <c r="BC197"/>
      <c r="BD197"/>
      <c r="BE197"/>
      <c r="BF197"/>
      <c r="BG197"/>
      <c r="BH197"/>
      <c r="BI197"/>
      <c r="BJ197" s="3"/>
    </row>
    <row r="198" spans="1:62" ht="6" customHeight="1">
      <c r="A198" s="194"/>
      <c r="B198" s="194"/>
      <c r="C198" s="194"/>
      <c r="D198" s="194"/>
      <c r="E198" s="194"/>
      <c r="F198" s="194"/>
      <c r="G198" s="194"/>
      <c r="H198" s="194"/>
      <c r="I198" s="194"/>
      <c r="J198" s="194"/>
      <c r="K198" s="194"/>
      <c r="L198" s="194"/>
      <c r="M198" s="194"/>
      <c r="N198" s="52"/>
      <c r="O198" s="73"/>
      <c r="P198" s="36"/>
      <c r="Q198" s="72"/>
      <c r="R198" s="75"/>
      <c r="S198" s="166"/>
      <c r="T198" s="168"/>
      <c r="V198" s="2"/>
      <c r="AF198"/>
      <c r="AG198"/>
      <c r="AH198"/>
      <c r="AI198"/>
      <c r="AJ198"/>
      <c r="AN198" s="3"/>
      <c r="AO198"/>
      <c r="AP198"/>
      <c r="AQ198"/>
      <c r="AR198"/>
      <c r="AS198"/>
      <c r="AT198"/>
      <c r="AU198"/>
      <c r="AV198"/>
      <c r="AW198"/>
      <c r="AX198"/>
      <c r="AY198"/>
      <c r="AZ198"/>
      <c r="BA198"/>
      <c r="BB198"/>
      <c r="BC198"/>
      <c r="BD198"/>
      <c r="BE198"/>
      <c r="BF198"/>
      <c r="BG198"/>
      <c r="BH198"/>
      <c r="BI198"/>
      <c r="BJ198" s="3"/>
    </row>
    <row r="199" spans="1:62" ht="15" customHeight="1">
      <c r="A199" s="208" t="s">
        <v>86</v>
      </c>
      <c r="B199" s="208"/>
      <c r="C199" s="208"/>
      <c r="D199" s="208"/>
      <c r="E199" s="208"/>
      <c r="F199" s="208"/>
      <c r="G199" s="208"/>
      <c r="H199" s="208"/>
      <c r="I199" s="208"/>
      <c r="J199" s="208"/>
      <c r="K199" s="208"/>
      <c r="L199" s="208"/>
      <c r="M199" s="208"/>
      <c r="N199" s="208"/>
      <c r="O199" s="208"/>
      <c r="P199" s="208"/>
      <c r="Q199" s="208"/>
      <c r="R199" s="208"/>
      <c r="S199" s="208"/>
      <c r="T199" s="208"/>
      <c r="U199" s="208"/>
      <c r="V199" s="208"/>
      <c r="W199" s="208"/>
      <c r="X199" s="208"/>
      <c r="Y199" s="208"/>
      <c r="Z199" s="208"/>
      <c r="AA199" s="208"/>
      <c r="AB199" s="208"/>
      <c r="AC199" s="208"/>
      <c r="AD199" s="208"/>
      <c r="AE199" s="208"/>
      <c r="AF199"/>
      <c r="AG199"/>
      <c r="AH199"/>
      <c r="AI199"/>
      <c r="AN199" s="3"/>
      <c r="AV199"/>
      <c r="AW199"/>
      <c r="AX199"/>
      <c r="AY199"/>
      <c r="AZ199"/>
      <c r="BA199"/>
      <c r="BB199"/>
      <c r="BC199"/>
      <c r="BD199"/>
      <c r="BE199"/>
      <c r="BF199"/>
      <c r="BG199"/>
      <c r="BH199"/>
      <c r="BI199"/>
    </row>
    <row r="200" spans="1:62" ht="10.9" customHeight="1">
      <c r="A200" s="3"/>
      <c r="C200" s="3"/>
      <c r="P200" s="3"/>
      <c r="Q200" s="3"/>
      <c r="R200" s="3"/>
      <c r="S200" s="3"/>
      <c r="T200" s="3"/>
      <c r="U200" s="209"/>
      <c r="V200" s="209"/>
      <c r="W200" s="3"/>
      <c r="X200" s="3"/>
      <c r="Y200" s="3"/>
      <c r="Z200" s="3"/>
      <c r="AA200" s="3"/>
      <c r="AB200" s="3"/>
      <c r="AC200" s="197"/>
      <c r="AD200" s="197"/>
      <c r="AE200" s="3"/>
      <c r="AF200" s="3"/>
      <c r="AG200" s="195"/>
      <c r="AH200" s="195"/>
      <c r="AN200" s="3"/>
      <c r="AO200" s="3"/>
      <c r="AP200" s="3"/>
      <c r="AQ200" s="3"/>
      <c r="AR200" s="3"/>
      <c r="AS200" s="3"/>
      <c r="AT200" s="3"/>
      <c r="AU200" s="3"/>
      <c r="AV200"/>
      <c r="AW200"/>
      <c r="AX200"/>
      <c r="AY200"/>
      <c r="AZ200"/>
      <c r="BA200"/>
      <c r="BB200"/>
      <c r="BC200"/>
      <c r="BD200"/>
      <c r="BE200"/>
      <c r="BF200"/>
      <c r="BG200"/>
      <c r="BH200"/>
      <c r="BI200"/>
      <c r="BJ200" s="3"/>
    </row>
    <row r="201" spans="1:62" ht="6" customHeight="1">
      <c r="A201" s="198">
        <v>20</v>
      </c>
      <c r="B201" s="51"/>
      <c r="C201" s="199" t="str">
        <f>INDEX(Riferimenti!$B$2:$B$60,A201)</f>
        <v>Triptofano</v>
      </c>
      <c r="D201" s="199"/>
      <c r="E201" s="199"/>
      <c r="F201" s="199"/>
      <c r="G201" s="199"/>
      <c r="H201" s="199"/>
      <c r="I201" s="199"/>
      <c r="J201" s="199"/>
      <c r="K201" s="199"/>
      <c r="L201" s="199"/>
      <c r="M201" s="199"/>
      <c r="N201" s="199"/>
      <c r="O201" s="195">
        <f>INDEX(Riferimenti!$C$2:$C$65,A201)</f>
        <v>0</v>
      </c>
      <c r="P201" s="200" t="s">
        <v>6</v>
      </c>
      <c r="Q201" s="196">
        <f>INDEX(Riferimenti!$E$2:$E$65,A201)</f>
        <v>0</v>
      </c>
      <c r="R201" s="201"/>
      <c r="S201" s="202"/>
      <c r="T201" s="202"/>
      <c r="V201" s="2"/>
      <c r="AG201" s="195"/>
      <c r="AH201" s="195"/>
      <c r="AV201"/>
      <c r="AW201"/>
      <c r="AX201"/>
      <c r="AY201"/>
      <c r="AZ201"/>
      <c r="BA201"/>
      <c r="BB201"/>
      <c r="BC201"/>
      <c r="BD201"/>
      <c r="BE201"/>
      <c r="BF201"/>
      <c r="BG201"/>
      <c r="BH201"/>
      <c r="BI201"/>
      <c r="BJ201" s="3"/>
    </row>
    <row r="202" spans="1:62" ht="5.45" customHeight="1">
      <c r="A202" s="198"/>
      <c r="B202" s="51"/>
      <c r="C202" s="199"/>
      <c r="D202" s="199"/>
      <c r="E202" s="199"/>
      <c r="F202" s="199"/>
      <c r="G202" s="199"/>
      <c r="H202" s="199"/>
      <c r="I202" s="199"/>
      <c r="J202" s="199"/>
      <c r="K202" s="199"/>
      <c r="L202" s="199"/>
      <c r="M202" s="199"/>
      <c r="N202" s="199"/>
      <c r="O202" s="195"/>
      <c r="P202" s="200"/>
      <c r="Q202" s="196"/>
      <c r="R202" s="201"/>
      <c r="S202" s="202"/>
      <c r="T202" s="202"/>
      <c r="U202"/>
      <c r="V202"/>
      <c r="W202"/>
      <c r="X202"/>
      <c r="Y202"/>
      <c r="Z202"/>
      <c r="AA202"/>
      <c r="AB202"/>
      <c r="AC202"/>
      <c r="AD202"/>
      <c r="AE202"/>
      <c r="AF202"/>
      <c r="AG202" s="195"/>
      <c r="AH202" s="195"/>
      <c r="AN202" s="3"/>
      <c r="AV202"/>
      <c r="AW202"/>
      <c r="AX202"/>
      <c r="AY202"/>
      <c r="AZ202"/>
      <c r="BA202"/>
      <c r="BB202"/>
      <c r="BC202"/>
      <c r="BD202"/>
      <c r="BE202"/>
      <c r="BF202"/>
      <c r="BG202"/>
      <c r="BH202"/>
      <c r="BI202"/>
      <c r="BJ202" s="3"/>
    </row>
    <row r="203" spans="1:62" ht="6" customHeight="1">
      <c r="A203" s="194"/>
      <c r="B203" s="194"/>
      <c r="C203" s="194"/>
      <c r="D203" s="194"/>
      <c r="E203" s="194"/>
      <c r="F203" s="194"/>
      <c r="G203" s="194"/>
      <c r="H203" s="194"/>
      <c r="I203" s="194"/>
      <c r="J203" s="194"/>
      <c r="K203" s="194"/>
      <c r="L203" s="194"/>
      <c r="M203" s="194"/>
      <c r="N203" s="52"/>
      <c r="O203" s="73"/>
      <c r="P203" s="36"/>
      <c r="Q203" s="72"/>
      <c r="R203" s="75"/>
      <c r="S203" s="166"/>
      <c r="T203" s="167"/>
      <c r="U203" s="24"/>
      <c r="V203" s="40"/>
      <c r="W203" s="40"/>
      <c r="X203" s="40"/>
      <c r="Y203" s="40"/>
      <c r="Z203" s="40"/>
      <c r="AA203" s="40"/>
      <c r="AB203" s="40"/>
      <c r="AC203" s="40"/>
      <c r="AD203" s="40"/>
      <c r="AE203" s="40"/>
      <c r="AF203" s="40"/>
      <c r="AG203" s="195" t="e">
        <f>INDEX(Riferimenti!$Q$2:$Q$61,A205)</f>
        <v>#VALUE!</v>
      </c>
      <c r="AH203" s="195" t="e">
        <f>INDEX(Riferimenti!$R$2:$R$61,A205)</f>
        <v>#VALUE!</v>
      </c>
      <c r="AI203"/>
      <c r="AJ203"/>
      <c r="AK203"/>
      <c r="AL203"/>
      <c r="AM203"/>
      <c r="AN203" s="40"/>
      <c r="AO203"/>
      <c r="AP203"/>
      <c r="AQ203"/>
      <c r="AR203"/>
      <c r="AS203"/>
      <c r="AT203"/>
      <c r="AU203"/>
      <c r="AV203"/>
      <c r="AW203"/>
      <c r="AX203"/>
      <c r="AY203"/>
      <c r="AZ203"/>
      <c r="BA203"/>
      <c r="BB203"/>
      <c r="BC203"/>
      <c r="BD203"/>
      <c r="BE203"/>
      <c r="BF203"/>
      <c r="BG203"/>
      <c r="BH203"/>
      <c r="BI203"/>
      <c r="BJ203" s="3"/>
    </row>
    <row r="204" spans="1:62" ht="6" customHeight="1">
      <c r="A204" s="194"/>
      <c r="B204" s="194"/>
      <c r="C204" s="194"/>
      <c r="D204" s="194"/>
      <c r="E204" s="194"/>
      <c r="F204" s="194"/>
      <c r="G204" s="194"/>
      <c r="H204" s="194"/>
      <c r="I204" s="194"/>
      <c r="J204" s="194"/>
      <c r="K204" s="194"/>
      <c r="L204" s="194"/>
      <c r="M204" s="194"/>
      <c r="N204" s="52"/>
      <c r="O204" s="73"/>
      <c r="P204" s="36"/>
      <c r="Q204" s="72"/>
      <c r="R204" s="75"/>
      <c r="S204" s="166"/>
      <c r="T204" s="168"/>
      <c r="V204" s="2"/>
      <c r="AG204"/>
      <c r="AH204"/>
      <c r="AI204"/>
      <c r="AJ204"/>
      <c r="AL204"/>
      <c r="AM204"/>
      <c r="AN204" s="3"/>
      <c r="AO204"/>
      <c r="AP204"/>
      <c r="AQ204"/>
      <c r="AR204"/>
      <c r="AS204"/>
      <c r="AT204"/>
      <c r="AU204"/>
      <c r="AV204"/>
      <c r="AW204"/>
      <c r="AX204"/>
      <c r="AY204"/>
      <c r="AZ204"/>
      <c r="BA204"/>
      <c r="BB204"/>
      <c r="BC204"/>
      <c r="BD204"/>
      <c r="BE204"/>
      <c r="BF204"/>
      <c r="BG204"/>
      <c r="BH204"/>
      <c r="BI204"/>
      <c r="BJ204" s="3"/>
    </row>
    <row r="205" spans="1:62" ht="10.9" customHeight="1">
      <c r="A205" s="53"/>
      <c r="B205" s="53"/>
      <c r="C205" s="53"/>
      <c r="D205" s="54"/>
      <c r="E205" s="54"/>
      <c r="F205" s="54"/>
      <c r="G205" s="53"/>
      <c r="H205" s="53"/>
      <c r="I205" s="54"/>
      <c r="J205" s="54"/>
      <c r="K205" s="54"/>
      <c r="L205" s="54"/>
      <c r="M205" s="54"/>
      <c r="N205" s="54"/>
      <c r="O205" s="37"/>
      <c r="P205" s="38"/>
      <c r="Q205" s="44"/>
      <c r="R205" s="3"/>
      <c r="S205" s="158"/>
      <c r="T205" s="158"/>
      <c r="U205" s="197"/>
      <c r="V205" s="197"/>
      <c r="W205" s="3"/>
      <c r="X205" s="3"/>
      <c r="Y205" s="3"/>
      <c r="Z205" s="3"/>
      <c r="AA205" s="3"/>
      <c r="AB205" s="3"/>
      <c r="AC205" s="197"/>
      <c r="AD205" s="197"/>
      <c r="AE205" s="3"/>
      <c r="AF205" s="3"/>
      <c r="AG205"/>
      <c r="AH205"/>
      <c r="AI205"/>
      <c r="AJ205"/>
      <c r="AL205" s="3"/>
      <c r="AM205" s="3"/>
      <c r="AN205" s="3"/>
      <c r="AO205"/>
      <c r="AP205"/>
      <c r="AQ205"/>
      <c r="AR205"/>
      <c r="AS205"/>
      <c r="AT205"/>
      <c r="AU205"/>
      <c r="AV205"/>
      <c r="AW205"/>
      <c r="AX205"/>
      <c r="AY205"/>
      <c r="AZ205"/>
      <c r="BA205"/>
      <c r="BB205"/>
      <c r="BC205"/>
      <c r="BD205"/>
      <c r="BE205"/>
      <c r="BF205"/>
      <c r="BG205"/>
      <c r="BH205"/>
      <c r="BI205"/>
      <c r="BJ205" s="3"/>
    </row>
    <row r="206" spans="1:62" ht="6" customHeight="1">
      <c r="A206" s="198">
        <v>21</v>
      </c>
      <c r="B206" s="51"/>
      <c r="C206" s="199" t="str">
        <f>INDEX(Riferimenti!$B$2:$B$60,A206)</f>
        <v>N-Acetil-5-idrossi-triptamina</v>
      </c>
      <c r="D206" s="199"/>
      <c r="E206" s="199"/>
      <c r="F206" s="199"/>
      <c r="G206" s="199"/>
      <c r="H206" s="199"/>
      <c r="I206" s="199"/>
      <c r="J206" s="199"/>
      <c r="K206" s="199"/>
      <c r="L206" s="199"/>
      <c r="M206" s="199"/>
      <c r="N206" s="199"/>
      <c r="O206" s="195">
        <f>INDEX(Riferimenti!$C$2:$C$65,A206)</f>
        <v>0</v>
      </c>
      <c r="P206" s="200" t="s">
        <v>6</v>
      </c>
      <c r="Q206" s="196">
        <f>INDEX(Riferimenti!$E$2:$E$65,A206)</f>
        <v>0</v>
      </c>
      <c r="R206" s="201"/>
      <c r="S206" s="202"/>
      <c r="T206" s="202"/>
      <c r="V206" s="2"/>
      <c r="AG206">
        <f>INDEX(Riferimenti!$Q$2:$Q$61,A206)</f>
        <v>0</v>
      </c>
      <c r="AH206">
        <f>INDEX(Riferimenti!$R$2:$R$61,A206)</f>
        <v>0</v>
      </c>
      <c r="AI206"/>
      <c r="AJ206"/>
      <c r="AK206" s="222"/>
      <c r="AL206" s="222"/>
      <c r="AM206" s="222"/>
      <c r="AO206"/>
      <c r="AP206"/>
      <c r="AQ206"/>
      <c r="AR206"/>
      <c r="AS206"/>
      <c r="AT206"/>
      <c r="AU206"/>
      <c r="AV206"/>
      <c r="AW206"/>
      <c r="AX206"/>
      <c r="AY206"/>
      <c r="AZ206"/>
      <c r="BA206"/>
      <c r="BB206"/>
      <c r="BC206"/>
      <c r="BD206"/>
      <c r="BE206"/>
      <c r="BF206"/>
      <c r="BG206"/>
      <c r="BH206"/>
      <c r="BI206"/>
      <c r="BJ206" s="3"/>
    </row>
    <row r="207" spans="1:62" ht="5.45" customHeight="1">
      <c r="A207" s="198"/>
      <c r="B207" s="51"/>
      <c r="C207" s="199"/>
      <c r="D207" s="199"/>
      <c r="E207" s="199"/>
      <c r="F207" s="199"/>
      <c r="G207" s="199"/>
      <c r="H207" s="199"/>
      <c r="I207" s="199"/>
      <c r="J207" s="199"/>
      <c r="K207" s="199"/>
      <c r="L207" s="199"/>
      <c r="M207" s="199"/>
      <c r="N207" s="199"/>
      <c r="O207" s="195"/>
      <c r="P207" s="200"/>
      <c r="Q207" s="196"/>
      <c r="R207" s="201"/>
      <c r="S207" s="202"/>
      <c r="T207" s="202"/>
      <c r="U207"/>
      <c r="V207"/>
      <c r="W207"/>
      <c r="X207"/>
      <c r="Y207"/>
      <c r="Z207"/>
      <c r="AA207"/>
      <c r="AB207"/>
      <c r="AC207"/>
      <c r="AD207"/>
      <c r="AE207"/>
      <c r="AF207"/>
      <c r="AG207" s="73"/>
      <c r="AH207" s="73"/>
      <c r="AI207"/>
      <c r="AJ207"/>
      <c r="AK207" s="222"/>
      <c r="AL207" s="222"/>
      <c r="AM207" s="222"/>
      <c r="AN207" s="3"/>
      <c r="AO207"/>
      <c r="AP207"/>
      <c r="AQ207"/>
      <c r="AR207"/>
      <c r="AS207"/>
      <c r="AT207"/>
      <c r="AU207"/>
      <c r="AV207"/>
      <c r="AW207"/>
      <c r="AX207"/>
      <c r="AY207"/>
      <c r="AZ207"/>
      <c r="BA207"/>
      <c r="BB207"/>
      <c r="BC207"/>
      <c r="BD207"/>
      <c r="BE207"/>
      <c r="BF207"/>
      <c r="BG207"/>
      <c r="BH207"/>
      <c r="BI207"/>
      <c r="BJ207" s="3"/>
    </row>
    <row r="208" spans="1:62" ht="6" customHeight="1">
      <c r="A208" s="194"/>
      <c r="B208" s="194"/>
      <c r="C208" s="194"/>
      <c r="D208" s="194"/>
      <c r="E208" s="194"/>
      <c r="F208" s="194"/>
      <c r="G208" s="194"/>
      <c r="H208" s="194"/>
      <c r="I208" s="194"/>
      <c r="J208" s="194"/>
      <c r="K208" s="194"/>
      <c r="L208" s="194"/>
      <c r="M208" s="194"/>
      <c r="N208" s="52"/>
      <c r="O208" s="73"/>
      <c r="P208" s="36"/>
      <c r="Q208" s="72"/>
      <c r="R208" s="75"/>
      <c r="S208" s="166"/>
      <c r="T208" s="167"/>
      <c r="U208" s="24"/>
      <c r="V208" s="40"/>
      <c r="W208" s="40"/>
      <c r="X208" s="40"/>
      <c r="Y208" s="40"/>
      <c r="Z208" s="40"/>
      <c r="AA208" s="40"/>
      <c r="AB208" s="40"/>
      <c r="AC208" s="40"/>
      <c r="AD208" s="40"/>
      <c r="AE208" s="40"/>
      <c r="AF208" s="40"/>
      <c r="AG208"/>
      <c r="AH208"/>
      <c r="AI208"/>
      <c r="AJ208"/>
      <c r="AK208" s="3"/>
      <c r="AL208" s="3"/>
      <c r="AM208" s="3"/>
      <c r="AN208" s="40"/>
      <c r="AO208"/>
      <c r="AP208"/>
      <c r="AQ208"/>
      <c r="AR208"/>
      <c r="AS208"/>
      <c r="AT208"/>
      <c r="AU208"/>
      <c r="AV208"/>
      <c r="AW208"/>
      <c r="AX208"/>
      <c r="AY208"/>
      <c r="AZ208"/>
      <c r="BA208"/>
      <c r="BB208"/>
      <c r="BC208"/>
      <c r="BD208"/>
      <c r="BE208"/>
      <c r="BF208"/>
      <c r="BG208"/>
      <c r="BH208"/>
      <c r="BI208"/>
      <c r="BJ208" s="3"/>
    </row>
    <row r="209" spans="1:62" ht="6" customHeight="1">
      <c r="A209" s="194"/>
      <c r="B209" s="194"/>
      <c r="C209" s="194"/>
      <c r="D209" s="194"/>
      <c r="E209" s="194"/>
      <c r="F209" s="194"/>
      <c r="G209" s="194"/>
      <c r="H209" s="194"/>
      <c r="I209" s="194"/>
      <c r="J209" s="194"/>
      <c r="K209" s="194"/>
      <c r="L209" s="194"/>
      <c r="M209" s="194"/>
      <c r="N209" s="52"/>
      <c r="O209" s="73"/>
      <c r="P209" s="36"/>
      <c r="Q209" s="72"/>
      <c r="R209" s="75"/>
      <c r="S209" s="166"/>
      <c r="T209" s="168"/>
      <c r="V209" s="2"/>
      <c r="AG209"/>
      <c r="AH209"/>
      <c r="AI209"/>
      <c r="AJ209"/>
      <c r="AK209" s="3"/>
      <c r="AL209" s="3"/>
      <c r="AM209" s="3"/>
      <c r="AN209" s="3"/>
      <c r="AO209"/>
      <c r="AP209"/>
      <c r="AQ209"/>
      <c r="AR209"/>
      <c r="AS209"/>
      <c r="AT209"/>
      <c r="AU209"/>
      <c r="AV209"/>
      <c r="AW209"/>
      <c r="AX209"/>
      <c r="AY209"/>
      <c r="AZ209"/>
      <c r="BA209"/>
      <c r="BB209"/>
      <c r="BC209"/>
      <c r="BD209"/>
      <c r="BE209"/>
      <c r="BF209"/>
      <c r="BG209"/>
      <c r="BH209"/>
      <c r="BI209"/>
      <c r="BJ209" s="3"/>
    </row>
    <row r="210" spans="1:62" ht="10.9" customHeight="1">
      <c r="A210" s="53"/>
      <c r="B210" s="53"/>
      <c r="C210" s="53"/>
      <c r="D210" s="54"/>
      <c r="E210" s="54"/>
      <c r="F210" s="54"/>
      <c r="G210" s="53"/>
      <c r="H210" s="53"/>
      <c r="I210" s="54"/>
      <c r="J210" s="54"/>
      <c r="K210" s="54"/>
      <c r="L210" s="54"/>
      <c r="M210" s="54"/>
      <c r="N210" s="54"/>
      <c r="P210" s="3"/>
      <c r="Q210" s="44"/>
      <c r="R210" s="3"/>
      <c r="S210" s="158"/>
      <c r="T210" s="158"/>
      <c r="U210" s="197"/>
      <c r="V210" s="197"/>
      <c r="W210" s="3"/>
      <c r="X210" s="3"/>
      <c r="Y210" s="3"/>
      <c r="Z210" s="3"/>
      <c r="AA210" s="3"/>
      <c r="AB210" s="3"/>
      <c r="AC210" s="197"/>
      <c r="AD210" s="197"/>
      <c r="AE210" s="3"/>
      <c r="AF210" s="3"/>
      <c r="AG210"/>
      <c r="AH210"/>
      <c r="AI210"/>
      <c r="AJ210"/>
      <c r="AK210" s="3"/>
      <c r="AL210" s="3"/>
      <c r="AM210" s="3"/>
      <c r="AN210" s="3"/>
      <c r="AO210"/>
      <c r="AP210"/>
      <c r="AQ210"/>
      <c r="AR210"/>
      <c r="AS210"/>
      <c r="AT210"/>
      <c r="AU210"/>
      <c r="AV210"/>
      <c r="AW210"/>
      <c r="AX210"/>
      <c r="AY210"/>
      <c r="AZ210"/>
      <c r="BA210"/>
      <c r="BB210"/>
      <c r="BC210"/>
      <c r="BD210"/>
      <c r="BE210"/>
      <c r="BF210"/>
      <c r="BG210"/>
      <c r="BH210"/>
      <c r="BI210"/>
      <c r="BJ210" s="3"/>
    </row>
    <row r="211" spans="1:62" ht="6" customHeight="1">
      <c r="A211" s="198">
        <v>22</v>
      </c>
      <c r="B211" s="51"/>
      <c r="C211" s="199" t="str">
        <f>INDEX(Riferimenti!$B$2:$B$60,A211)</f>
        <v>Serotonina</v>
      </c>
      <c r="D211" s="199"/>
      <c r="E211" s="199"/>
      <c r="F211" s="199"/>
      <c r="G211" s="199"/>
      <c r="H211" s="199"/>
      <c r="I211" s="199"/>
      <c r="J211" s="199"/>
      <c r="K211" s="199"/>
      <c r="L211" s="199"/>
      <c r="M211" s="199"/>
      <c r="N211" s="199"/>
      <c r="O211" s="195">
        <f>INDEX(Riferimenti!$C$2:$C$65,A211)</f>
        <v>0</v>
      </c>
      <c r="P211" s="200" t="s">
        <v>6</v>
      </c>
      <c r="Q211" s="196">
        <f>INDEX(Riferimenti!$E$2:$E$65,A211)</f>
        <v>0</v>
      </c>
      <c r="R211" s="201"/>
      <c r="S211" s="202"/>
      <c r="T211" s="202"/>
      <c r="V211" s="2"/>
      <c r="AG211" s="195">
        <f>INDEX(Riferimenti!$Q$2:$Q$61,A211)</f>
        <v>0</v>
      </c>
      <c r="AH211" s="195">
        <f>INDEX(Riferimenti!$R$2:$R$61,A211)</f>
        <v>0</v>
      </c>
      <c r="AI211"/>
      <c r="AJ211"/>
      <c r="AK211" s="222"/>
      <c r="AL211" s="222"/>
      <c r="AM211" s="222"/>
      <c r="AO211"/>
      <c r="AP211"/>
      <c r="AQ211"/>
      <c r="AR211"/>
      <c r="AS211"/>
      <c r="AT211"/>
      <c r="AU211"/>
      <c r="AV211"/>
      <c r="AW211"/>
      <c r="AX211"/>
      <c r="AY211"/>
      <c r="AZ211"/>
      <c r="BA211"/>
      <c r="BB211"/>
      <c r="BC211"/>
      <c r="BD211"/>
      <c r="BE211"/>
      <c r="BF211"/>
      <c r="BG211"/>
      <c r="BH211"/>
      <c r="BI211"/>
      <c r="BJ211" s="3"/>
    </row>
    <row r="212" spans="1:62" ht="5.45" customHeight="1">
      <c r="A212" s="198"/>
      <c r="B212" s="51"/>
      <c r="C212" s="199"/>
      <c r="D212" s="199"/>
      <c r="E212" s="199"/>
      <c r="F212" s="199"/>
      <c r="G212" s="199"/>
      <c r="H212" s="199"/>
      <c r="I212" s="199"/>
      <c r="J212" s="199"/>
      <c r="K212" s="199"/>
      <c r="L212" s="199"/>
      <c r="M212" s="199"/>
      <c r="N212" s="199"/>
      <c r="O212" s="195"/>
      <c r="P212" s="200"/>
      <c r="Q212" s="196"/>
      <c r="R212" s="201"/>
      <c r="S212" s="202"/>
      <c r="T212" s="202"/>
      <c r="U212"/>
      <c r="V212"/>
      <c r="W212"/>
      <c r="X212"/>
      <c r="Y212"/>
      <c r="Z212"/>
      <c r="AA212"/>
      <c r="AB212"/>
      <c r="AC212"/>
      <c r="AD212"/>
      <c r="AE212"/>
      <c r="AF212"/>
      <c r="AG212" s="195"/>
      <c r="AH212" s="195"/>
      <c r="AI212"/>
      <c r="AJ212"/>
      <c r="AK212" s="222"/>
      <c r="AL212" s="222"/>
      <c r="AM212" s="222"/>
      <c r="AN212" s="3"/>
      <c r="AO212"/>
      <c r="AP212"/>
      <c r="AQ212"/>
      <c r="AR212"/>
      <c r="AS212"/>
      <c r="AT212"/>
      <c r="AU212"/>
      <c r="AV212"/>
      <c r="AW212"/>
      <c r="AX212"/>
      <c r="AY212"/>
      <c r="AZ212"/>
      <c r="BA212"/>
      <c r="BB212"/>
      <c r="BC212"/>
      <c r="BD212"/>
      <c r="BE212"/>
      <c r="BF212"/>
      <c r="BG212"/>
      <c r="BH212"/>
      <c r="BI212"/>
      <c r="BJ212" s="3"/>
    </row>
    <row r="213" spans="1:62" ht="6" customHeight="1">
      <c r="A213" s="194"/>
      <c r="B213" s="194"/>
      <c r="C213" s="194"/>
      <c r="D213" s="194"/>
      <c r="E213" s="194"/>
      <c r="F213" s="194"/>
      <c r="G213" s="194"/>
      <c r="H213" s="194"/>
      <c r="I213" s="194"/>
      <c r="J213" s="194"/>
      <c r="K213" s="194"/>
      <c r="L213" s="194"/>
      <c r="M213" s="194"/>
      <c r="N213" s="52"/>
      <c r="O213" s="73"/>
      <c r="P213" s="36"/>
      <c r="Q213" s="72"/>
      <c r="R213" s="75"/>
      <c r="S213" s="166"/>
      <c r="T213" s="167"/>
      <c r="U213" s="24"/>
      <c r="V213" s="40"/>
      <c r="W213" s="40"/>
      <c r="X213" s="40"/>
      <c r="Y213" s="40"/>
      <c r="Z213" s="40"/>
      <c r="AA213" s="40"/>
      <c r="AB213" s="40"/>
      <c r="AC213" s="40"/>
      <c r="AD213" s="40"/>
      <c r="AE213" s="40"/>
      <c r="AF213" s="40"/>
      <c r="AG213"/>
      <c r="AH213"/>
      <c r="AI213"/>
      <c r="AJ213"/>
      <c r="AN213" s="40"/>
      <c r="AO213"/>
      <c r="AP213"/>
      <c r="AQ213"/>
      <c r="AR213"/>
      <c r="AS213"/>
      <c r="AT213"/>
      <c r="AU213"/>
      <c r="AV213"/>
      <c r="AW213"/>
      <c r="AX213"/>
      <c r="AY213"/>
      <c r="AZ213"/>
      <c r="BA213"/>
      <c r="BB213"/>
      <c r="BC213"/>
      <c r="BD213"/>
      <c r="BE213"/>
      <c r="BF213"/>
      <c r="BG213"/>
      <c r="BH213"/>
      <c r="BI213"/>
      <c r="BJ213" s="3"/>
    </row>
    <row r="214" spans="1:62" ht="6" customHeight="1">
      <c r="A214" s="194"/>
      <c r="B214" s="194"/>
      <c r="C214" s="194"/>
      <c r="D214" s="194"/>
      <c r="E214" s="194"/>
      <c r="F214" s="194"/>
      <c r="G214" s="194"/>
      <c r="H214" s="194"/>
      <c r="I214" s="194"/>
      <c r="J214" s="194"/>
      <c r="K214" s="194"/>
      <c r="L214" s="194"/>
      <c r="M214" s="194"/>
      <c r="N214" s="52"/>
      <c r="O214" s="73"/>
      <c r="P214" s="36"/>
      <c r="Q214" s="72"/>
      <c r="R214" s="75"/>
      <c r="S214" s="166"/>
      <c r="T214" s="168"/>
      <c r="V214" s="2"/>
      <c r="AG214"/>
      <c r="AH214"/>
      <c r="AI214"/>
      <c r="AJ214"/>
      <c r="AN214" s="3"/>
      <c r="AO214"/>
      <c r="AP214"/>
      <c r="AQ214"/>
      <c r="AR214"/>
      <c r="AS214"/>
      <c r="AT214"/>
      <c r="AU214"/>
      <c r="AV214"/>
      <c r="AW214"/>
      <c r="AX214"/>
      <c r="AY214"/>
      <c r="AZ214"/>
      <c r="BA214"/>
      <c r="BB214"/>
      <c r="BC214"/>
      <c r="BD214"/>
      <c r="BE214"/>
      <c r="BF214"/>
      <c r="BG214"/>
      <c r="BH214"/>
      <c r="BI214"/>
      <c r="BJ214" s="3"/>
    </row>
    <row r="215" spans="1:62" ht="10.9" customHeight="1">
      <c r="A215" s="3"/>
      <c r="C215" s="3"/>
      <c r="P215" s="3"/>
      <c r="Q215" s="3"/>
      <c r="R215" s="3"/>
      <c r="S215" s="3"/>
      <c r="T215" s="3"/>
      <c r="U215" s="209"/>
      <c r="V215" s="209"/>
      <c r="W215" s="3"/>
      <c r="X215" s="3"/>
      <c r="Y215" s="3"/>
      <c r="Z215" s="3"/>
      <c r="AA215" s="3"/>
      <c r="AB215" s="3"/>
      <c r="AC215" s="197"/>
      <c r="AD215" s="197"/>
      <c r="AE215" s="3"/>
      <c r="AF215" s="3"/>
      <c r="AG215" s="40"/>
      <c r="AH215" s="40"/>
      <c r="AN215" s="3"/>
      <c r="AO215" s="3"/>
      <c r="AP215" s="3"/>
      <c r="AQ215" s="3"/>
      <c r="AR215" s="3"/>
      <c r="AS215" s="3"/>
      <c r="AT215" s="3"/>
      <c r="AU215" s="3"/>
      <c r="AV215"/>
      <c r="AW215"/>
      <c r="AX215"/>
      <c r="AY215"/>
      <c r="AZ215"/>
      <c r="BA215"/>
      <c r="BB215"/>
      <c r="BC215"/>
      <c r="BD215"/>
      <c r="BE215"/>
      <c r="BF215"/>
      <c r="BG215"/>
      <c r="BH215"/>
      <c r="BI215"/>
      <c r="BJ215" s="3"/>
    </row>
    <row r="216" spans="1:62" ht="6" customHeight="1">
      <c r="A216" s="198">
        <v>23</v>
      </c>
      <c r="B216" s="51"/>
      <c r="C216" s="199" t="str">
        <f>INDEX(Riferimenti!$B$2:$B$60,A216)</f>
        <v>Melatonina</v>
      </c>
      <c r="D216" s="199"/>
      <c r="E216" s="199"/>
      <c r="F216" s="199"/>
      <c r="G216" s="199"/>
      <c r="H216" s="199"/>
      <c r="I216" s="199"/>
      <c r="J216" s="199"/>
      <c r="K216" s="199"/>
      <c r="L216" s="199"/>
      <c r="M216" s="199"/>
      <c r="N216" s="199"/>
      <c r="O216" s="195">
        <f>INDEX(Riferimenti!$C$2:$C$65,A216)</f>
        <v>0</v>
      </c>
      <c r="P216" s="200" t="s">
        <v>6</v>
      </c>
      <c r="Q216" s="196">
        <f>INDEX(Riferimenti!$E$2:$E$65,A216)</f>
        <v>0</v>
      </c>
      <c r="R216" s="201"/>
      <c r="S216" s="202"/>
      <c r="T216" s="202"/>
      <c r="V216" s="2"/>
      <c r="AV216"/>
      <c r="AW216"/>
      <c r="AX216"/>
      <c r="AY216"/>
      <c r="AZ216"/>
      <c r="BA216"/>
      <c r="BB216"/>
      <c r="BC216"/>
      <c r="BD216"/>
      <c r="BE216"/>
      <c r="BF216"/>
      <c r="BG216"/>
      <c r="BH216"/>
      <c r="BI216"/>
      <c r="BJ216" s="3"/>
    </row>
    <row r="217" spans="1:62" ht="5.45" customHeight="1">
      <c r="A217" s="198"/>
      <c r="B217" s="51"/>
      <c r="C217" s="199"/>
      <c r="D217" s="199"/>
      <c r="E217" s="199"/>
      <c r="F217" s="199"/>
      <c r="G217" s="199"/>
      <c r="H217" s="199"/>
      <c r="I217" s="199"/>
      <c r="J217" s="199"/>
      <c r="K217" s="199"/>
      <c r="L217" s="199"/>
      <c r="M217" s="199"/>
      <c r="N217" s="199"/>
      <c r="O217" s="195"/>
      <c r="P217" s="200"/>
      <c r="Q217" s="196"/>
      <c r="R217" s="201"/>
      <c r="S217" s="202"/>
      <c r="T217" s="202"/>
      <c r="U217"/>
      <c r="V217"/>
      <c r="W217"/>
      <c r="X217"/>
      <c r="Y217"/>
      <c r="Z217"/>
      <c r="AA217"/>
      <c r="AB217"/>
      <c r="AC217"/>
      <c r="AD217"/>
      <c r="AE217"/>
      <c r="AF217"/>
      <c r="AG217" s="3"/>
      <c r="AH217" s="3"/>
      <c r="AN217" s="3"/>
      <c r="AV217"/>
      <c r="AW217"/>
      <c r="AX217"/>
      <c r="AY217"/>
      <c r="AZ217"/>
      <c r="BA217"/>
      <c r="BB217"/>
      <c r="BC217"/>
      <c r="BD217"/>
      <c r="BE217"/>
      <c r="BF217"/>
      <c r="BG217"/>
      <c r="BH217"/>
      <c r="BI217"/>
      <c r="BJ217" s="3"/>
    </row>
    <row r="218" spans="1:62" ht="6" customHeight="1">
      <c r="A218" s="194"/>
      <c r="B218" s="194"/>
      <c r="C218" s="194"/>
      <c r="D218" s="194"/>
      <c r="E218" s="194"/>
      <c r="F218" s="194"/>
      <c r="G218" s="194"/>
      <c r="H218" s="194"/>
      <c r="I218" s="194"/>
      <c r="J218" s="194"/>
      <c r="K218" s="194"/>
      <c r="L218" s="194"/>
      <c r="M218" s="194"/>
      <c r="N218" s="52"/>
      <c r="O218" s="73"/>
      <c r="P218" s="36"/>
      <c r="Q218" s="72"/>
      <c r="R218" s="75"/>
      <c r="S218" s="166"/>
      <c r="T218" s="167"/>
      <c r="U218" s="24"/>
      <c r="V218" s="40"/>
      <c r="W218" s="40"/>
      <c r="X218" s="40"/>
      <c r="Y218" s="40"/>
      <c r="Z218" s="40"/>
      <c r="AA218" s="40"/>
      <c r="AB218" s="40"/>
      <c r="AC218" s="40"/>
      <c r="AD218" s="40"/>
      <c r="AE218" s="40"/>
      <c r="AF218" s="40"/>
      <c r="AG218" s="73" t="e">
        <f>INDEX(Riferimenti!$Q$2:$Q$61,A220)</f>
        <v>#VALUE!</v>
      </c>
      <c r="AH218" s="73" t="e">
        <f>INDEX(Riferimenti!$R$2:$R$61,A220)</f>
        <v>#VALUE!</v>
      </c>
      <c r="AI218"/>
      <c r="AJ218"/>
      <c r="AK218"/>
      <c r="AL218"/>
      <c r="AM218"/>
      <c r="AN218" s="40"/>
      <c r="AO218"/>
      <c r="AP218"/>
      <c r="AQ218"/>
      <c r="AR218"/>
      <c r="AS218"/>
      <c r="AT218"/>
      <c r="AU218"/>
      <c r="AV218"/>
      <c r="AW218"/>
      <c r="AX218"/>
      <c r="AY218"/>
      <c r="AZ218"/>
      <c r="BA218"/>
      <c r="BB218"/>
      <c r="BC218"/>
      <c r="BD218"/>
      <c r="BE218"/>
      <c r="BF218"/>
      <c r="BG218"/>
      <c r="BH218"/>
      <c r="BI218"/>
      <c r="BJ218" s="3"/>
    </row>
    <row r="219" spans="1:62" ht="6" customHeight="1">
      <c r="A219" s="194"/>
      <c r="B219" s="194"/>
      <c r="C219" s="194"/>
      <c r="D219" s="194"/>
      <c r="E219" s="194"/>
      <c r="F219" s="194"/>
      <c r="G219" s="194"/>
      <c r="H219" s="194"/>
      <c r="I219" s="194"/>
      <c r="J219" s="194"/>
      <c r="K219" s="194"/>
      <c r="L219" s="194"/>
      <c r="M219" s="194"/>
      <c r="N219" s="52"/>
      <c r="O219" s="73"/>
      <c r="P219" s="36"/>
      <c r="Q219" s="72"/>
      <c r="R219" s="75"/>
      <c r="S219" s="166"/>
      <c r="T219" s="168"/>
      <c r="V219" s="2"/>
      <c r="AG219" s="73"/>
      <c r="AH219" s="73"/>
      <c r="AI219"/>
      <c r="AJ219"/>
      <c r="AL219"/>
      <c r="AM219"/>
      <c r="AN219" s="3"/>
      <c r="AO219"/>
      <c r="AP219"/>
      <c r="AQ219"/>
      <c r="AR219"/>
      <c r="AS219"/>
      <c r="AT219"/>
      <c r="AU219"/>
      <c r="AV219"/>
      <c r="AW219"/>
      <c r="AX219"/>
      <c r="AY219"/>
      <c r="AZ219"/>
      <c r="BA219"/>
      <c r="BB219"/>
      <c r="BC219"/>
      <c r="BD219"/>
      <c r="BE219"/>
      <c r="BF219"/>
      <c r="BG219"/>
      <c r="BH219"/>
      <c r="BI219"/>
      <c r="BJ219" s="3"/>
    </row>
    <row r="220" spans="1:62" ht="10.9" customHeight="1">
      <c r="A220" s="53"/>
      <c r="B220" s="53"/>
      <c r="C220" s="53"/>
      <c r="D220" s="54"/>
      <c r="E220" s="54"/>
      <c r="F220" s="54"/>
      <c r="G220" s="53"/>
      <c r="H220" s="53"/>
      <c r="I220" s="54"/>
      <c r="J220" s="54"/>
      <c r="K220" s="54"/>
      <c r="L220" s="54"/>
      <c r="M220" s="54"/>
      <c r="N220" s="54"/>
      <c r="O220" s="37"/>
      <c r="P220" s="38"/>
      <c r="Q220" s="44"/>
      <c r="R220" s="3"/>
      <c r="S220" s="158"/>
      <c r="T220" s="158"/>
      <c r="U220" s="197"/>
      <c r="V220" s="197"/>
      <c r="W220" s="3"/>
      <c r="X220" s="3"/>
      <c r="Y220" s="3"/>
      <c r="Z220" s="3"/>
      <c r="AA220" s="3"/>
      <c r="AB220" s="3"/>
      <c r="AC220" s="197"/>
      <c r="AD220" s="197"/>
      <c r="AE220" s="3"/>
      <c r="AF220" s="3"/>
      <c r="AG220"/>
      <c r="AH220"/>
      <c r="AI220"/>
      <c r="AJ220"/>
      <c r="AL220" s="3"/>
      <c r="AM220" s="3"/>
      <c r="AN220" s="3"/>
      <c r="AO220"/>
      <c r="AP220"/>
      <c r="AQ220"/>
      <c r="AR220"/>
      <c r="AS220"/>
      <c r="AT220"/>
      <c r="AU220"/>
      <c r="AV220"/>
      <c r="AW220"/>
      <c r="AX220"/>
      <c r="AY220"/>
      <c r="AZ220"/>
      <c r="BA220"/>
      <c r="BB220"/>
      <c r="BC220"/>
      <c r="BD220"/>
      <c r="BE220"/>
      <c r="BF220"/>
      <c r="BG220"/>
      <c r="BH220"/>
      <c r="BI220"/>
      <c r="BJ220" s="3"/>
    </row>
    <row r="221" spans="1:62" ht="6" customHeight="1">
      <c r="A221" s="198">
        <v>24</v>
      </c>
      <c r="B221" s="51"/>
      <c r="C221" s="199" t="str">
        <f>INDEX(Riferimenti!$B$2:$B$60,A221)</f>
        <v>5-Idrossiindolacetico </v>
      </c>
      <c r="D221" s="199"/>
      <c r="E221" s="199"/>
      <c r="F221" s="199"/>
      <c r="G221" s="199"/>
      <c r="H221" s="199"/>
      <c r="I221" s="199"/>
      <c r="J221" s="199"/>
      <c r="K221" s="199"/>
      <c r="L221" s="199"/>
      <c r="M221" s="199"/>
      <c r="N221" s="199"/>
      <c r="O221" s="195">
        <f>INDEX(Riferimenti!$C$2:$C$65,A221)</f>
        <v>0.8</v>
      </c>
      <c r="P221" s="200" t="s">
        <v>6</v>
      </c>
      <c r="Q221" s="196">
        <f>INDEX(Riferimenti!$E$2:$E$65,A221)</f>
        <v>5</v>
      </c>
      <c r="R221" s="201"/>
      <c r="S221" s="202"/>
      <c r="T221" s="202"/>
      <c r="V221" s="2"/>
      <c r="AG221" s="195">
        <f>INDEX(Riferimenti!$Q$2:$Q$61,A221)</f>
        <v>0.27</v>
      </c>
      <c r="AH221" s="195">
        <f>INDEX(Riferimenti!$R$2:$R$61,A221)</f>
        <v>2.9048875869702195</v>
      </c>
      <c r="AI221"/>
      <c r="AJ221"/>
      <c r="AK221" s="222"/>
      <c r="AL221" s="222"/>
      <c r="AM221" s="222"/>
      <c r="AO221"/>
      <c r="AP221"/>
      <c r="AQ221"/>
      <c r="AR221"/>
      <c r="AS221"/>
      <c r="AT221"/>
      <c r="AU221"/>
      <c r="AV221"/>
      <c r="AW221"/>
      <c r="AX221"/>
      <c r="AY221"/>
      <c r="AZ221"/>
      <c r="BA221"/>
      <c r="BB221"/>
      <c r="BC221"/>
      <c r="BD221"/>
      <c r="BE221"/>
      <c r="BF221"/>
      <c r="BG221"/>
      <c r="BH221"/>
      <c r="BI221"/>
      <c r="BJ221" s="3"/>
    </row>
    <row r="222" spans="1:62" ht="5.45" customHeight="1">
      <c r="A222" s="198"/>
      <c r="B222" s="51"/>
      <c r="C222" s="199"/>
      <c r="D222" s="199"/>
      <c r="E222" s="199"/>
      <c r="F222" s="199"/>
      <c r="G222" s="199"/>
      <c r="H222" s="199"/>
      <c r="I222" s="199"/>
      <c r="J222" s="199"/>
      <c r="K222" s="199"/>
      <c r="L222" s="199"/>
      <c r="M222" s="199"/>
      <c r="N222" s="199"/>
      <c r="O222" s="195"/>
      <c r="P222" s="200"/>
      <c r="Q222" s="196"/>
      <c r="R222" s="201"/>
      <c r="S222" s="202"/>
      <c r="T222" s="202"/>
      <c r="U222"/>
      <c r="V222"/>
      <c r="W222"/>
      <c r="X222"/>
      <c r="Y222"/>
      <c r="Z222"/>
      <c r="AA222"/>
      <c r="AB222"/>
      <c r="AC222"/>
      <c r="AD222"/>
      <c r="AE222"/>
      <c r="AF222"/>
      <c r="AG222" s="195"/>
      <c r="AH222" s="195"/>
      <c r="AI222"/>
      <c r="AJ222"/>
      <c r="AK222" s="222"/>
      <c r="AL222" s="222"/>
      <c r="AM222" s="222"/>
      <c r="AN222" s="3"/>
      <c r="AO222"/>
      <c r="AP222"/>
      <c r="AQ222"/>
      <c r="AR222"/>
      <c r="AS222"/>
      <c r="AT222"/>
      <c r="AU222"/>
      <c r="AV222"/>
      <c r="AW222"/>
      <c r="AX222"/>
      <c r="AY222"/>
      <c r="AZ222"/>
      <c r="BA222"/>
      <c r="BB222"/>
      <c r="BC222"/>
      <c r="BD222"/>
      <c r="BE222"/>
      <c r="BF222"/>
      <c r="BG222"/>
      <c r="BH222"/>
      <c r="BI222"/>
      <c r="BJ222" s="3"/>
    </row>
    <row r="223" spans="1:62" ht="6" customHeight="1">
      <c r="A223" s="194"/>
      <c r="B223" s="194"/>
      <c r="C223" s="194"/>
      <c r="D223" s="194"/>
      <c r="E223" s="194"/>
      <c r="F223" s="194"/>
      <c r="G223" s="194"/>
      <c r="H223" s="194"/>
      <c r="I223" s="194"/>
      <c r="J223" s="194"/>
      <c r="K223" s="194"/>
      <c r="L223" s="194"/>
      <c r="M223" s="194"/>
      <c r="N223" s="52"/>
      <c r="O223" s="73"/>
      <c r="P223" s="36"/>
      <c r="Q223" s="72"/>
      <c r="R223" s="75"/>
      <c r="S223" s="166"/>
      <c r="T223" s="167"/>
      <c r="U223" s="24"/>
      <c r="V223" s="40"/>
      <c r="W223" s="40"/>
      <c r="X223" s="40"/>
      <c r="Y223" s="40"/>
      <c r="Z223" s="40"/>
      <c r="AA223" s="40"/>
      <c r="AB223" s="40"/>
      <c r="AC223" s="40"/>
      <c r="AD223" s="40"/>
      <c r="AE223" s="40"/>
      <c r="AF223" s="40"/>
      <c r="AG223"/>
      <c r="AH223"/>
      <c r="AI223"/>
      <c r="AJ223"/>
      <c r="AK223" s="3"/>
      <c r="AL223" s="3"/>
      <c r="AM223" s="3"/>
      <c r="AN223" s="40"/>
      <c r="AO223"/>
      <c r="AP223"/>
      <c r="AQ223"/>
      <c r="AR223"/>
      <c r="AS223"/>
      <c r="AT223"/>
      <c r="AU223"/>
      <c r="AV223"/>
      <c r="AW223"/>
      <c r="AX223"/>
      <c r="AY223"/>
      <c r="AZ223"/>
      <c r="BA223"/>
      <c r="BB223"/>
      <c r="BC223"/>
      <c r="BD223"/>
      <c r="BE223"/>
      <c r="BF223"/>
      <c r="BG223"/>
      <c r="BH223"/>
      <c r="BI223"/>
      <c r="BJ223" s="3"/>
    </row>
    <row r="224" spans="1:62" ht="6" customHeight="1">
      <c r="A224" s="194"/>
      <c r="B224" s="194"/>
      <c r="C224" s="194"/>
      <c r="D224" s="194"/>
      <c r="E224" s="194"/>
      <c r="F224" s="194"/>
      <c r="G224" s="194"/>
      <c r="H224" s="194"/>
      <c r="I224" s="194"/>
      <c r="J224" s="194"/>
      <c r="K224" s="194"/>
      <c r="L224" s="194"/>
      <c r="M224" s="194"/>
      <c r="N224" s="52"/>
      <c r="O224" s="73"/>
      <c r="P224" s="36"/>
      <c r="Q224" s="72"/>
      <c r="R224" s="75"/>
      <c r="S224" s="166"/>
      <c r="T224" s="168"/>
      <c r="V224" s="2"/>
      <c r="AG224"/>
      <c r="AH224"/>
      <c r="AI224"/>
      <c r="AJ224"/>
      <c r="AK224" s="3"/>
      <c r="AL224" s="3"/>
      <c r="AM224" s="3"/>
      <c r="AN224" s="3"/>
      <c r="AO224"/>
      <c r="AP224"/>
      <c r="AQ224"/>
      <c r="AR224"/>
      <c r="AS224"/>
      <c r="AT224"/>
      <c r="AU224"/>
      <c r="AV224"/>
      <c r="AW224"/>
      <c r="AX224"/>
      <c r="AY224"/>
      <c r="AZ224"/>
      <c r="BA224"/>
      <c r="BB224"/>
      <c r="BC224"/>
      <c r="BD224"/>
      <c r="BE224"/>
      <c r="BF224"/>
      <c r="BG224"/>
      <c r="BH224"/>
      <c r="BI224"/>
      <c r="BJ224" s="3"/>
    </row>
    <row r="225" spans="1:62" ht="10.9" customHeight="1">
      <c r="A225" s="53"/>
      <c r="B225" s="53"/>
      <c r="C225" s="53"/>
      <c r="D225" s="54"/>
      <c r="E225" s="54"/>
      <c r="F225" s="54"/>
      <c r="G225" s="53"/>
      <c r="H225" s="53"/>
      <c r="I225" s="54"/>
      <c r="J225" s="54"/>
      <c r="K225" s="54"/>
      <c r="L225" s="54"/>
      <c r="M225" s="54"/>
      <c r="N225" s="54"/>
      <c r="P225" s="3"/>
      <c r="Q225" s="44"/>
      <c r="R225" s="3"/>
      <c r="S225" s="158"/>
      <c r="T225" s="158"/>
      <c r="U225" s="197"/>
      <c r="V225" s="197"/>
      <c r="W225" s="3"/>
      <c r="X225" s="3"/>
      <c r="Y225" s="3"/>
      <c r="Z225" s="3"/>
      <c r="AA225" s="3"/>
      <c r="AB225" s="3"/>
      <c r="AC225" s="197"/>
      <c r="AD225" s="197"/>
      <c r="AE225" s="3"/>
      <c r="AF225" s="3"/>
      <c r="AG225"/>
      <c r="AH225"/>
      <c r="AI225"/>
      <c r="AJ225"/>
      <c r="AK225" s="3"/>
      <c r="AL225" s="3"/>
      <c r="AM225" s="3"/>
      <c r="AN225" s="3"/>
      <c r="AO225"/>
      <c r="AP225"/>
      <c r="AQ225"/>
      <c r="AR225"/>
      <c r="AS225"/>
      <c r="AT225"/>
      <c r="AU225"/>
      <c r="AV225"/>
      <c r="AW225"/>
      <c r="AX225"/>
      <c r="AY225"/>
      <c r="AZ225"/>
      <c r="BA225"/>
      <c r="BB225"/>
      <c r="BC225"/>
      <c r="BD225"/>
      <c r="BE225"/>
      <c r="BF225"/>
      <c r="BG225"/>
      <c r="BH225"/>
      <c r="BI225"/>
      <c r="BJ225" s="3"/>
    </row>
    <row r="226" spans="1:62" ht="6" customHeight="1">
      <c r="A226" s="198">
        <v>25</v>
      </c>
      <c r="B226" s="51"/>
      <c r="C226" s="199" t="str">
        <f>INDEX(Riferimenti!$B$2:$B$60,A226)</f>
        <v>Kinurenina</v>
      </c>
      <c r="D226" s="199"/>
      <c r="E226" s="199"/>
      <c r="F226" s="199"/>
      <c r="G226" s="199"/>
      <c r="H226" s="199"/>
      <c r="I226" s="199"/>
      <c r="J226" s="199"/>
      <c r="K226" s="199"/>
      <c r="L226" s="199"/>
      <c r="M226" s="199"/>
      <c r="N226" s="199"/>
      <c r="O226" s="195">
        <f>INDEX(Riferimenti!$C$2:$C$65,A226)</f>
        <v>0</v>
      </c>
      <c r="P226" s="200" t="s">
        <v>6</v>
      </c>
      <c r="Q226" s="196">
        <f>INDEX(Riferimenti!$E$2:$E$65,A226)</f>
        <v>0</v>
      </c>
      <c r="R226" s="201"/>
      <c r="S226" s="202"/>
      <c r="T226" s="202"/>
      <c r="V226" s="2"/>
      <c r="AG226" s="195">
        <f>INDEX(Riferimenti!$Q$2:$Q$61,A226)</f>
        <v>0</v>
      </c>
      <c r="AH226" s="195">
        <f>INDEX(Riferimenti!$R$2:$R$61,A226)</f>
        <v>0</v>
      </c>
      <c r="AI226"/>
      <c r="AJ226"/>
      <c r="AK226" s="222"/>
      <c r="AL226" s="222"/>
      <c r="AM226" s="222"/>
      <c r="AO226"/>
      <c r="AP226"/>
      <c r="AQ226"/>
      <c r="AR226"/>
      <c r="AS226"/>
      <c r="AT226"/>
      <c r="AU226"/>
      <c r="AV226"/>
      <c r="AW226"/>
      <c r="AX226"/>
      <c r="AY226"/>
      <c r="AZ226"/>
      <c r="BA226"/>
      <c r="BB226"/>
      <c r="BC226"/>
      <c r="BD226"/>
      <c r="BE226"/>
      <c r="BF226"/>
      <c r="BG226"/>
      <c r="BH226"/>
      <c r="BI226"/>
      <c r="BJ226" s="3"/>
    </row>
    <row r="227" spans="1:62" ht="5.45" customHeight="1">
      <c r="A227" s="198"/>
      <c r="B227" s="51"/>
      <c r="C227" s="199"/>
      <c r="D227" s="199"/>
      <c r="E227" s="199"/>
      <c r="F227" s="199"/>
      <c r="G227" s="199"/>
      <c r="H227" s="199"/>
      <c r="I227" s="199"/>
      <c r="J227" s="199"/>
      <c r="K227" s="199"/>
      <c r="L227" s="199"/>
      <c r="M227" s="199"/>
      <c r="N227" s="199"/>
      <c r="O227" s="195"/>
      <c r="P227" s="200"/>
      <c r="Q227" s="196"/>
      <c r="R227" s="201"/>
      <c r="S227" s="202"/>
      <c r="T227" s="202"/>
      <c r="U227"/>
      <c r="V227"/>
      <c r="W227"/>
      <c r="X227"/>
      <c r="Y227"/>
      <c r="Z227"/>
      <c r="AA227"/>
      <c r="AB227"/>
      <c r="AC227"/>
      <c r="AD227"/>
      <c r="AE227"/>
      <c r="AF227"/>
      <c r="AG227" s="195"/>
      <c r="AH227" s="195"/>
      <c r="AI227"/>
      <c r="AJ227"/>
      <c r="AK227" s="222"/>
      <c r="AL227" s="222"/>
      <c r="AM227" s="222"/>
      <c r="AN227" s="3"/>
      <c r="AO227"/>
      <c r="AP227"/>
      <c r="AQ227"/>
      <c r="AR227"/>
      <c r="AS227"/>
      <c r="AT227"/>
      <c r="AU227"/>
      <c r="AV227"/>
      <c r="AW227"/>
      <c r="AX227"/>
      <c r="AY227"/>
      <c r="AZ227"/>
      <c r="BA227"/>
      <c r="BB227"/>
      <c r="BC227"/>
      <c r="BD227"/>
      <c r="BE227"/>
      <c r="BF227"/>
      <c r="BG227"/>
      <c r="BH227"/>
      <c r="BI227"/>
      <c r="BJ227" s="3"/>
    </row>
    <row r="228" spans="1:62" ht="6" customHeight="1">
      <c r="A228" s="194"/>
      <c r="B228" s="194"/>
      <c r="C228" s="194"/>
      <c r="D228" s="194"/>
      <c r="E228" s="194"/>
      <c r="F228" s="194"/>
      <c r="G228" s="194"/>
      <c r="H228" s="194"/>
      <c r="I228" s="194"/>
      <c r="J228" s="194"/>
      <c r="K228" s="194"/>
      <c r="L228" s="194"/>
      <c r="M228" s="194"/>
      <c r="N228" s="52"/>
      <c r="O228" s="73"/>
      <c r="P228" s="36"/>
      <c r="Q228" s="72"/>
      <c r="R228" s="75"/>
      <c r="S228" s="166"/>
      <c r="T228" s="167"/>
      <c r="U228" s="24"/>
      <c r="V228" s="40"/>
      <c r="W228" s="40"/>
      <c r="X228" s="40"/>
      <c r="Y228" s="40"/>
      <c r="Z228" s="40"/>
      <c r="AA228" s="40"/>
      <c r="AB228" s="40"/>
      <c r="AC228" s="40"/>
      <c r="AD228" s="40"/>
      <c r="AE228" s="40"/>
      <c r="AF228" s="40"/>
      <c r="AG228"/>
      <c r="AH228"/>
      <c r="AI228"/>
      <c r="AJ228"/>
      <c r="AN228" s="40"/>
      <c r="AO228"/>
      <c r="AP228"/>
      <c r="AQ228"/>
      <c r="AR228"/>
      <c r="AS228"/>
      <c r="AT228"/>
      <c r="AU228"/>
      <c r="AV228"/>
      <c r="AW228"/>
      <c r="AX228"/>
      <c r="AY228"/>
      <c r="AZ228"/>
      <c r="BA228"/>
      <c r="BB228"/>
      <c r="BC228"/>
      <c r="BD228"/>
      <c r="BE228"/>
      <c r="BF228"/>
      <c r="BG228"/>
      <c r="BH228"/>
      <c r="BI228"/>
      <c r="BJ228" s="3"/>
    </row>
    <row r="229" spans="1:62" ht="6" customHeight="1">
      <c r="A229" s="194"/>
      <c r="B229" s="194"/>
      <c r="C229" s="194"/>
      <c r="D229" s="194"/>
      <c r="E229" s="194"/>
      <c r="F229" s="194"/>
      <c r="G229" s="194"/>
      <c r="H229" s="194"/>
      <c r="I229" s="194"/>
      <c r="J229" s="194"/>
      <c r="K229" s="194"/>
      <c r="L229" s="194"/>
      <c r="M229" s="194"/>
      <c r="N229" s="52"/>
      <c r="O229" s="73"/>
      <c r="P229" s="36"/>
      <c r="Q229" s="72"/>
      <c r="R229" s="75"/>
      <c r="S229" s="166"/>
      <c r="T229" s="168"/>
      <c r="V229" s="2"/>
      <c r="AG229"/>
      <c r="AH229"/>
      <c r="AI229"/>
      <c r="AJ229"/>
      <c r="AN229" s="3"/>
      <c r="AO229"/>
      <c r="AP229"/>
      <c r="AQ229"/>
      <c r="AR229"/>
      <c r="AS229"/>
      <c r="AT229"/>
      <c r="AU229"/>
      <c r="AV229"/>
      <c r="AW229"/>
      <c r="AX229"/>
      <c r="AY229"/>
      <c r="AZ229"/>
      <c r="BA229"/>
      <c r="BB229"/>
      <c r="BC229"/>
      <c r="BD229"/>
      <c r="BE229"/>
      <c r="BF229"/>
      <c r="BG229"/>
      <c r="BH229"/>
      <c r="BI229"/>
      <c r="BJ229" s="3"/>
    </row>
    <row r="230" spans="1:62" ht="10.5" customHeight="1">
      <c r="A230" s="173"/>
      <c r="B230" s="173"/>
      <c r="C230" s="173"/>
      <c r="D230" s="173"/>
      <c r="E230" s="173"/>
      <c r="F230" s="173"/>
      <c r="G230" s="173"/>
      <c r="H230" s="173"/>
      <c r="I230" s="173"/>
      <c r="J230" s="173"/>
      <c r="K230" s="173"/>
      <c r="L230" s="173"/>
      <c r="M230" s="173"/>
      <c r="N230" s="52"/>
      <c r="O230" s="73"/>
      <c r="P230" s="36"/>
      <c r="Q230" s="72"/>
      <c r="R230" s="75"/>
      <c r="S230" s="166"/>
      <c r="T230" s="168"/>
      <c r="V230" s="2"/>
      <c r="AG230"/>
      <c r="AH230"/>
      <c r="AI230"/>
      <c r="AJ230"/>
      <c r="AN230" s="3"/>
      <c r="AO230"/>
      <c r="AP230"/>
      <c r="AQ230"/>
      <c r="AR230"/>
      <c r="AS230"/>
      <c r="AT230"/>
      <c r="AU230"/>
      <c r="AV230"/>
      <c r="AW230"/>
      <c r="AX230"/>
      <c r="AY230"/>
      <c r="AZ230"/>
      <c r="BA230"/>
      <c r="BB230"/>
      <c r="BC230"/>
      <c r="BD230"/>
      <c r="BE230"/>
      <c r="BF230"/>
      <c r="BG230"/>
      <c r="BH230"/>
      <c r="BI230"/>
      <c r="BJ230" s="3"/>
    </row>
    <row r="231" spans="1:62" ht="6" customHeight="1">
      <c r="A231" s="198">
        <v>26</v>
      </c>
      <c r="B231" s="51"/>
      <c r="C231" s="199" t="str">
        <f>INDEX(Riferimenti!$B$2:$B$60,A231)</f>
        <v>Chinurenico</v>
      </c>
      <c r="D231" s="199"/>
      <c r="E231" s="199"/>
      <c r="F231" s="199"/>
      <c r="G231" s="199"/>
      <c r="H231" s="199"/>
      <c r="I231" s="199"/>
      <c r="J231" s="199"/>
      <c r="K231" s="199"/>
      <c r="L231" s="199"/>
      <c r="M231" s="199"/>
      <c r="N231" s="199"/>
      <c r="O231" s="222"/>
      <c r="P231" s="223" t="s">
        <v>4</v>
      </c>
      <c r="Q231" s="224">
        <f>INDEX(Riferimenti!$E$2:$E$65,A231)</f>
        <v>2.2999999999999998</v>
      </c>
      <c r="R231" s="213"/>
      <c r="S231" s="202"/>
      <c r="T231" s="202"/>
      <c r="V231" s="2"/>
      <c r="AF231" s="40"/>
      <c r="AG231" s="40"/>
      <c r="AH231" s="40"/>
      <c r="AI231" s="40"/>
      <c r="AJ231" s="40"/>
      <c r="AK231" s="40"/>
      <c r="AL231" s="40"/>
      <c r="AM231" s="40"/>
      <c r="AN231" s="40"/>
      <c r="AO231" s="40"/>
      <c r="AP231" s="40"/>
      <c r="AQ231" s="40"/>
      <c r="AR231" s="3"/>
      <c r="AS231" s="3"/>
      <c r="AT231" s="3"/>
      <c r="AU231" s="3"/>
      <c r="AV231" s="3"/>
      <c r="AW231" s="3"/>
      <c r="AX231" s="3"/>
      <c r="AY231" s="3"/>
      <c r="AZ231" s="3"/>
      <c r="BA231" s="3"/>
      <c r="BB231" s="3"/>
      <c r="BC231" s="3"/>
      <c r="BD231" s="3"/>
      <c r="BE231" s="3"/>
      <c r="BF231" s="3"/>
      <c r="BG231" s="3"/>
      <c r="BH231" s="3"/>
      <c r="BI231" s="3"/>
      <c r="BJ231" s="3"/>
    </row>
    <row r="232" spans="1:62" ht="6" customHeight="1">
      <c r="A232" s="198"/>
      <c r="B232" s="51"/>
      <c r="C232" s="199"/>
      <c r="D232" s="199"/>
      <c r="E232" s="199"/>
      <c r="F232" s="199"/>
      <c r="G232" s="199"/>
      <c r="H232" s="199"/>
      <c r="I232" s="199"/>
      <c r="J232" s="199"/>
      <c r="K232" s="199"/>
      <c r="L232" s="199"/>
      <c r="M232" s="199"/>
      <c r="N232" s="199"/>
      <c r="O232" s="222"/>
      <c r="P232" s="223"/>
      <c r="Q232" s="224"/>
      <c r="R232" s="213"/>
      <c r="S232" s="202"/>
      <c r="T232" s="202"/>
      <c r="U232"/>
      <c r="V232"/>
      <c r="W232"/>
      <c r="X232"/>
      <c r="Y232"/>
      <c r="Z232"/>
      <c r="AA232"/>
      <c r="AB232"/>
      <c r="AC232"/>
      <c r="AD232"/>
      <c r="AN232" s="3"/>
      <c r="AO232" s="3"/>
      <c r="AP232" s="3"/>
      <c r="AQ232" s="3"/>
      <c r="AR232" s="3"/>
      <c r="AS232" s="3"/>
      <c r="AT232" s="3"/>
      <c r="AU232" s="3"/>
      <c r="AV232" s="3"/>
      <c r="AW232" s="3"/>
      <c r="AX232" s="3"/>
      <c r="AY232" s="3"/>
      <c r="AZ232" s="3"/>
      <c r="BA232" s="3"/>
      <c r="BB232" s="3"/>
      <c r="BC232" s="3"/>
      <c r="BD232" s="3"/>
      <c r="BE232" s="3"/>
      <c r="BF232" s="3"/>
      <c r="BG232" s="3"/>
      <c r="BH232" s="3"/>
      <c r="BI232" s="3"/>
      <c r="BJ232" s="3"/>
    </row>
    <row r="233" spans="1:62" ht="6" customHeight="1">
      <c r="A233" s="212"/>
      <c r="B233" s="212"/>
      <c r="C233" s="212"/>
      <c r="D233" s="212"/>
      <c r="E233" s="212"/>
      <c r="F233" s="212"/>
      <c r="G233" s="212"/>
      <c r="H233" s="212"/>
      <c r="I233" s="212"/>
      <c r="J233" s="212"/>
      <c r="K233" s="212"/>
      <c r="L233" s="212"/>
      <c r="M233" s="212"/>
      <c r="N233" s="52"/>
      <c r="O233" s="79"/>
      <c r="P233" s="39"/>
      <c r="Q233" s="72"/>
      <c r="R233" s="75"/>
      <c r="S233" s="202"/>
      <c r="T233" s="202"/>
      <c r="U233" s="40"/>
      <c r="V233" s="40"/>
      <c r="W233" s="40"/>
      <c r="X233" s="40"/>
      <c r="Y233" s="40"/>
      <c r="Z233" s="40"/>
      <c r="AA233" s="40"/>
      <c r="AB233" s="40"/>
      <c r="AC233" s="40"/>
      <c r="AD233" s="40"/>
      <c r="AN233" s="3"/>
      <c r="AO233" s="3"/>
      <c r="AP233" s="3"/>
      <c r="AQ233" s="3"/>
      <c r="AR233" s="3"/>
      <c r="AS233" s="3"/>
      <c r="AT233" s="3"/>
      <c r="AU233" s="3"/>
      <c r="AV233" s="3"/>
      <c r="AW233" s="3"/>
      <c r="AX233" s="3"/>
      <c r="AY233" s="3"/>
      <c r="AZ233" s="3"/>
      <c r="BA233" s="3"/>
      <c r="BB233" s="3"/>
      <c r="BC233" s="3"/>
      <c r="BD233" s="3"/>
      <c r="BE233" s="3"/>
      <c r="BF233" s="3"/>
      <c r="BG233" s="3"/>
      <c r="BH233" s="3"/>
      <c r="BI233" s="3"/>
      <c r="BJ233" s="3"/>
    </row>
    <row r="234" spans="1:62" ht="6" customHeight="1">
      <c r="A234" s="212"/>
      <c r="B234" s="212"/>
      <c r="C234" s="212"/>
      <c r="D234" s="212"/>
      <c r="E234" s="212"/>
      <c r="F234" s="212"/>
      <c r="G234" s="212"/>
      <c r="H234" s="212"/>
      <c r="I234" s="212"/>
      <c r="J234" s="212"/>
      <c r="K234" s="212"/>
      <c r="L234" s="212"/>
      <c r="M234" s="212"/>
      <c r="N234" s="52"/>
      <c r="O234" s="79"/>
      <c r="P234" s="39"/>
      <c r="Q234" s="72"/>
      <c r="R234" s="75"/>
      <c r="S234" s="202"/>
      <c r="T234" s="202"/>
      <c r="V234" s="2"/>
      <c r="AG234" s="195">
        <f>INDEX(Riferimenti!$Q$2:$Q$61,A236)</f>
        <v>0.30249675740854265</v>
      </c>
      <c r="AH234" s="195">
        <f>INDEX(Riferimenti!$R$2:$R$61,A236)</f>
        <v>9.0703845985236615</v>
      </c>
      <c r="AI234" s="3"/>
      <c r="AN234" s="3"/>
      <c r="AT234" s="3"/>
      <c r="AU234" s="3"/>
      <c r="AV234" s="3"/>
      <c r="AW234" s="3"/>
      <c r="AX234" s="3"/>
      <c r="AY234" s="3"/>
      <c r="AZ234" s="3"/>
      <c r="BA234" s="3"/>
      <c r="BB234" s="3"/>
      <c r="BC234" s="3"/>
      <c r="BD234" s="3"/>
      <c r="BE234" s="3"/>
      <c r="BF234" s="3"/>
      <c r="BG234" s="3"/>
      <c r="BH234" s="3"/>
      <c r="BI234" s="3"/>
      <c r="BJ234" s="3"/>
    </row>
    <row r="235" spans="1:62" ht="10.9" customHeight="1">
      <c r="A235" s="53"/>
      <c r="B235" s="53"/>
      <c r="C235" s="53"/>
      <c r="D235" s="54"/>
      <c r="E235" s="54"/>
      <c r="F235" s="54"/>
      <c r="G235" s="53"/>
      <c r="H235" s="53"/>
      <c r="I235" s="54"/>
      <c r="J235" s="54"/>
      <c r="K235" s="54"/>
      <c r="L235" s="54"/>
      <c r="M235" s="54"/>
      <c r="N235" s="54"/>
      <c r="O235" s="37"/>
      <c r="P235" s="38"/>
      <c r="Q235" s="44"/>
      <c r="R235" s="3"/>
      <c r="S235" s="158"/>
      <c r="T235" s="158"/>
      <c r="U235" s="197"/>
      <c r="V235" s="197"/>
      <c r="W235" s="3"/>
      <c r="X235" s="3"/>
      <c r="Y235" s="3"/>
      <c r="Z235" s="3"/>
      <c r="AA235" s="3"/>
      <c r="AB235" s="3"/>
      <c r="AC235" s="197"/>
      <c r="AD235" s="197"/>
      <c r="AE235" s="3"/>
      <c r="AF235" s="3"/>
      <c r="AG235" s="195"/>
      <c r="AH235" s="195"/>
      <c r="AI235"/>
      <c r="AJ235"/>
      <c r="AL235" s="3"/>
      <c r="AM235" s="3"/>
      <c r="AN235" s="3"/>
      <c r="AO235"/>
      <c r="AP235"/>
      <c r="AQ235"/>
      <c r="AR235"/>
      <c r="AS235"/>
      <c r="AT235"/>
      <c r="AU235"/>
      <c r="AV235"/>
      <c r="AW235"/>
      <c r="AX235"/>
      <c r="AY235"/>
      <c r="AZ235"/>
      <c r="BA235"/>
      <c r="BB235"/>
      <c r="BC235"/>
      <c r="BD235"/>
      <c r="BE235"/>
      <c r="BF235"/>
      <c r="BG235"/>
      <c r="BH235"/>
      <c r="BI235"/>
      <c r="BJ235" s="3"/>
    </row>
    <row r="236" spans="1:62" ht="6" customHeight="1">
      <c r="A236" s="198">
        <v>27</v>
      </c>
      <c r="B236" s="51"/>
      <c r="C236" s="199" t="str">
        <f>INDEX(Riferimenti!$B$2:$B$60,A236)</f>
        <v>Chinolinico</v>
      </c>
      <c r="D236" s="199"/>
      <c r="E236" s="199"/>
      <c r="F236" s="199"/>
      <c r="G236" s="199"/>
      <c r="H236" s="199"/>
      <c r="I236" s="199"/>
      <c r="J236" s="199"/>
      <c r="K236" s="199"/>
      <c r="L236" s="199"/>
      <c r="M236" s="199"/>
      <c r="N236" s="199"/>
      <c r="O236" s="195">
        <f>INDEX(Riferimenti!$C$2:$C$65,A236)</f>
        <v>0</v>
      </c>
      <c r="P236" s="200" t="s">
        <v>6</v>
      </c>
      <c r="Q236" s="196">
        <f>INDEX(Riferimenti!$E$2:$E$65,A236)</f>
        <v>6.5</v>
      </c>
      <c r="R236" s="201"/>
      <c r="S236" s="202"/>
      <c r="T236" s="202"/>
      <c r="V236" s="2"/>
      <c r="AG236" s="195">
        <f>INDEX(Riferimenti!$Q$2:$Q$61,A236)</f>
        <v>0.30249675740854265</v>
      </c>
      <c r="AH236" s="195">
        <f>INDEX(Riferimenti!$R$2:$R$61,A236)</f>
        <v>9.0703845985236615</v>
      </c>
      <c r="AI236"/>
      <c r="AJ236"/>
      <c r="AK236" s="222"/>
      <c r="AL236" s="222"/>
      <c r="AM236" s="222"/>
      <c r="AO236"/>
      <c r="AP236"/>
      <c r="AQ236"/>
      <c r="AR236"/>
      <c r="AS236"/>
      <c r="AT236"/>
      <c r="AU236"/>
      <c r="AV236"/>
      <c r="AW236"/>
      <c r="AX236"/>
      <c r="AY236"/>
      <c r="AZ236"/>
      <c r="BA236"/>
      <c r="BB236"/>
      <c r="BC236"/>
      <c r="BD236"/>
      <c r="BE236"/>
      <c r="BF236"/>
      <c r="BG236"/>
      <c r="BH236"/>
      <c r="BI236"/>
      <c r="BJ236" s="3"/>
    </row>
    <row r="237" spans="1:62" ht="5.45" customHeight="1">
      <c r="A237" s="198"/>
      <c r="B237" s="51"/>
      <c r="C237" s="199"/>
      <c r="D237" s="199"/>
      <c r="E237" s="199"/>
      <c r="F237" s="199"/>
      <c r="G237" s="199"/>
      <c r="H237" s="199"/>
      <c r="I237" s="199"/>
      <c r="J237" s="199"/>
      <c r="K237" s="199"/>
      <c r="L237" s="199"/>
      <c r="M237" s="199"/>
      <c r="N237" s="199"/>
      <c r="O237" s="195"/>
      <c r="P237" s="200"/>
      <c r="Q237" s="196"/>
      <c r="R237" s="201"/>
      <c r="S237" s="202"/>
      <c r="T237" s="202"/>
      <c r="U237"/>
      <c r="V237"/>
      <c r="W237"/>
      <c r="X237"/>
      <c r="Y237"/>
      <c r="Z237"/>
      <c r="AA237"/>
      <c r="AB237"/>
      <c r="AC237"/>
      <c r="AD237"/>
      <c r="AE237"/>
      <c r="AF237"/>
      <c r="AG237" s="195"/>
      <c r="AH237" s="195"/>
      <c r="AI237"/>
      <c r="AJ237"/>
      <c r="AK237" s="222"/>
      <c r="AL237" s="222"/>
      <c r="AM237" s="222"/>
      <c r="AN237" s="3"/>
      <c r="AO237"/>
      <c r="AP237"/>
      <c r="AQ237"/>
      <c r="AR237"/>
      <c r="AS237"/>
      <c r="AT237"/>
      <c r="AU237"/>
      <c r="AV237"/>
      <c r="AW237"/>
      <c r="AX237"/>
      <c r="AY237"/>
      <c r="AZ237"/>
      <c r="BA237"/>
      <c r="BB237"/>
      <c r="BC237"/>
      <c r="BD237"/>
      <c r="BE237"/>
      <c r="BF237"/>
      <c r="BG237"/>
      <c r="BH237"/>
      <c r="BI237"/>
      <c r="BJ237" s="3"/>
    </row>
    <row r="238" spans="1:62" ht="6" customHeight="1">
      <c r="A238" s="194"/>
      <c r="B238" s="194"/>
      <c r="C238" s="194"/>
      <c r="D238" s="194"/>
      <c r="E238" s="194"/>
      <c r="F238" s="194"/>
      <c r="G238" s="194"/>
      <c r="H238" s="194"/>
      <c r="I238" s="194"/>
      <c r="J238" s="194"/>
      <c r="K238" s="194"/>
      <c r="L238" s="194"/>
      <c r="M238" s="194"/>
      <c r="N238" s="52"/>
      <c r="O238" s="73"/>
      <c r="P238" s="36"/>
      <c r="Q238" s="72"/>
      <c r="R238" s="75"/>
      <c r="S238" s="166"/>
      <c r="T238" s="167"/>
      <c r="U238" s="24"/>
      <c r="V238" s="40"/>
      <c r="W238" s="40"/>
      <c r="X238" s="40"/>
      <c r="Y238" s="40"/>
      <c r="Z238" s="40"/>
      <c r="AA238" s="40"/>
      <c r="AB238" s="40"/>
      <c r="AC238" s="40"/>
      <c r="AD238" s="40"/>
      <c r="AE238" s="40"/>
      <c r="AF238" s="40"/>
      <c r="AG238"/>
      <c r="AH238"/>
      <c r="AI238"/>
      <c r="AJ238"/>
      <c r="AK238" s="3"/>
      <c r="AL238" s="3"/>
      <c r="AM238" s="3"/>
      <c r="AN238" s="40"/>
      <c r="AO238"/>
      <c r="AP238"/>
      <c r="AQ238"/>
      <c r="AR238"/>
      <c r="AS238"/>
      <c r="AT238"/>
      <c r="AU238"/>
      <c r="AV238"/>
      <c r="AW238"/>
      <c r="AX238"/>
      <c r="AY238"/>
      <c r="AZ238"/>
      <c r="BA238"/>
      <c r="BB238"/>
      <c r="BC238"/>
      <c r="BD238"/>
      <c r="BE238"/>
      <c r="BF238"/>
      <c r="BG238"/>
      <c r="BH238"/>
      <c r="BI238"/>
      <c r="BJ238" s="3"/>
    </row>
    <row r="239" spans="1:62" ht="6" customHeight="1">
      <c r="A239" s="194"/>
      <c r="B239" s="194"/>
      <c r="C239" s="194"/>
      <c r="D239" s="194"/>
      <c r="E239" s="194"/>
      <c r="F239" s="194"/>
      <c r="G239" s="194"/>
      <c r="H239" s="194"/>
      <c r="I239" s="194"/>
      <c r="J239" s="194"/>
      <c r="K239" s="194"/>
      <c r="L239" s="194"/>
      <c r="M239" s="194"/>
      <c r="N239" s="52"/>
      <c r="O239" s="73"/>
      <c r="P239" s="36"/>
      <c r="Q239" s="72"/>
      <c r="R239" s="75"/>
      <c r="S239" s="166"/>
      <c r="T239" s="168"/>
      <c r="V239" s="2"/>
      <c r="AG239"/>
      <c r="AH239"/>
      <c r="AI239"/>
      <c r="AJ239"/>
      <c r="AK239" s="3"/>
      <c r="AL239" s="3"/>
      <c r="AM239" s="3"/>
      <c r="AN239" s="3"/>
      <c r="AO239"/>
      <c r="AP239"/>
      <c r="AQ239"/>
      <c r="AR239"/>
      <c r="AS239"/>
      <c r="AT239"/>
      <c r="AU239"/>
      <c r="AV239"/>
      <c r="AW239"/>
      <c r="AX239"/>
      <c r="AY239"/>
      <c r="AZ239"/>
      <c r="BA239"/>
      <c r="BB239"/>
      <c r="BC239"/>
      <c r="BD239"/>
      <c r="BE239"/>
      <c r="BF239"/>
      <c r="BG239"/>
      <c r="BH239"/>
      <c r="BI239"/>
      <c r="BJ239" s="3"/>
    </row>
    <row r="240" spans="1:62" ht="10.9" customHeight="1">
      <c r="A240" s="53"/>
      <c r="B240" s="53"/>
      <c r="C240" s="53"/>
      <c r="D240" s="54"/>
      <c r="E240" s="54"/>
      <c r="F240" s="54"/>
      <c r="G240" s="53"/>
      <c r="H240" s="53"/>
      <c r="I240" s="54"/>
      <c r="J240" s="54"/>
      <c r="K240" s="54"/>
      <c r="L240" s="54"/>
      <c r="M240" s="54"/>
      <c r="N240" s="54"/>
      <c r="P240" s="3"/>
      <c r="Q240" s="44"/>
      <c r="R240" s="3"/>
      <c r="S240" s="158"/>
      <c r="T240" s="158"/>
      <c r="U240" s="197"/>
      <c r="V240" s="197"/>
      <c r="W240" s="3"/>
      <c r="X240" s="3"/>
      <c r="Y240" s="3"/>
      <c r="Z240" s="3"/>
      <c r="AA240" s="3"/>
      <c r="AB240" s="3"/>
      <c r="AC240" s="197"/>
      <c r="AD240" s="197"/>
      <c r="AE240" s="3"/>
      <c r="AF240" s="3"/>
      <c r="AG240"/>
      <c r="AH240"/>
      <c r="AI240"/>
      <c r="AJ240"/>
      <c r="AK240" s="3"/>
      <c r="AL240" s="3"/>
      <c r="AM240" s="3"/>
      <c r="AN240" s="3"/>
      <c r="AO240"/>
      <c r="AP240"/>
      <c r="AQ240"/>
      <c r="AR240"/>
      <c r="AS240"/>
      <c r="AT240"/>
      <c r="AU240"/>
      <c r="AV240"/>
      <c r="AW240"/>
      <c r="AX240"/>
      <c r="AY240"/>
      <c r="AZ240"/>
      <c r="BA240"/>
      <c r="BB240"/>
      <c r="BC240"/>
      <c r="BD240"/>
      <c r="BE240"/>
      <c r="BF240"/>
      <c r="BG240"/>
      <c r="BH240"/>
      <c r="BI240"/>
      <c r="BJ240" s="3"/>
    </row>
    <row r="241" spans="1:62" ht="6" customHeight="1">
      <c r="A241" s="198">
        <v>28</v>
      </c>
      <c r="B241" s="51"/>
      <c r="C241" s="199" t="str">
        <f>INDEX(Riferimenti!$B$2:$B$60,A241)</f>
        <v>Triptamina</v>
      </c>
      <c r="D241" s="199"/>
      <c r="E241" s="199"/>
      <c r="F241" s="199"/>
      <c r="G241" s="199"/>
      <c r="H241" s="199"/>
      <c r="I241" s="199"/>
      <c r="J241" s="199"/>
      <c r="K241" s="199"/>
      <c r="L241" s="199"/>
      <c r="M241" s="199"/>
      <c r="N241" s="199"/>
      <c r="O241" s="195">
        <f>INDEX(Riferimenti!$C$2:$C$65,A241)</f>
        <v>0</v>
      </c>
      <c r="P241" s="200" t="s">
        <v>6</v>
      </c>
      <c r="Q241" s="196">
        <f>INDEX(Riferimenti!$E$2:$E$65,A241)</f>
        <v>0</v>
      </c>
      <c r="R241" s="201"/>
      <c r="S241" s="202"/>
      <c r="T241" s="202"/>
      <c r="V241" s="2"/>
      <c r="AG241" s="195">
        <f>INDEX(Riferimenti!$Q$2:$Q$61,A241)</f>
        <v>0</v>
      </c>
      <c r="AH241" s="195">
        <f>INDEX(Riferimenti!$R$2:$R$61,A241)</f>
        <v>0</v>
      </c>
      <c r="AI241"/>
      <c r="AJ241"/>
      <c r="AK241" s="222"/>
      <c r="AL241" s="222"/>
      <c r="AM241" s="222"/>
      <c r="AO241"/>
      <c r="AP241"/>
      <c r="AQ241"/>
      <c r="AR241"/>
      <c r="AS241"/>
      <c r="AT241"/>
      <c r="AU241"/>
      <c r="AV241"/>
      <c r="AW241"/>
      <c r="AX241"/>
      <c r="AY241"/>
      <c r="AZ241"/>
      <c r="BA241"/>
      <c r="BB241"/>
      <c r="BC241"/>
      <c r="BD241"/>
      <c r="BE241"/>
      <c r="BF241"/>
      <c r="BG241"/>
      <c r="BH241"/>
      <c r="BI241"/>
      <c r="BJ241" s="3"/>
    </row>
    <row r="242" spans="1:62" ht="5.45" customHeight="1">
      <c r="A242" s="198"/>
      <c r="B242" s="51"/>
      <c r="C242" s="199"/>
      <c r="D242" s="199"/>
      <c r="E242" s="199"/>
      <c r="F242" s="199"/>
      <c r="G242" s="199"/>
      <c r="H242" s="199"/>
      <c r="I242" s="199"/>
      <c r="J242" s="199"/>
      <c r="K242" s="199"/>
      <c r="L242" s="199"/>
      <c r="M242" s="199"/>
      <c r="N242" s="199"/>
      <c r="O242" s="195"/>
      <c r="P242" s="200"/>
      <c r="Q242" s="196"/>
      <c r="R242" s="201"/>
      <c r="S242" s="202"/>
      <c r="T242" s="202"/>
      <c r="U242"/>
      <c r="V242"/>
      <c r="W242"/>
      <c r="X242"/>
      <c r="Y242"/>
      <c r="Z242"/>
      <c r="AA242"/>
      <c r="AB242"/>
      <c r="AC242"/>
      <c r="AD242"/>
      <c r="AE242"/>
      <c r="AF242"/>
      <c r="AG242" s="195"/>
      <c r="AH242" s="195"/>
      <c r="AI242"/>
      <c r="AJ242"/>
      <c r="AK242" s="222"/>
      <c r="AL242" s="222"/>
      <c r="AM242" s="222"/>
      <c r="AN242" s="3"/>
      <c r="AO242"/>
      <c r="AP242"/>
      <c r="AQ242"/>
      <c r="AR242"/>
      <c r="AS242"/>
      <c r="AT242"/>
      <c r="AU242"/>
      <c r="AV242"/>
      <c r="AW242"/>
      <c r="AX242"/>
      <c r="AY242"/>
      <c r="AZ242"/>
      <c r="BA242"/>
      <c r="BB242"/>
      <c r="BC242"/>
      <c r="BD242"/>
      <c r="BE242"/>
      <c r="BF242"/>
      <c r="BG242"/>
      <c r="BH242"/>
      <c r="BI242"/>
      <c r="BJ242" s="3"/>
    </row>
    <row r="243" spans="1:62" ht="6" customHeight="1">
      <c r="A243" s="194"/>
      <c r="B243" s="194"/>
      <c r="C243" s="194"/>
      <c r="D243" s="194"/>
      <c r="E243" s="194"/>
      <c r="F243" s="194"/>
      <c r="G243" s="194"/>
      <c r="H243" s="194"/>
      <c r="I243" s="194"/>
      <c r="J243" s="194"/>
      <c r="K243" s="194"/>
      <c r="L243" s="194"/>
      <c r="M243" s="194"/>
      <c r="N243" s="52"/>
      <c r="O243" s="73"/>
      <c r="P243" s="36"/>
      <c r="Q243" s="72"/>
      <c r="R243" s="75"/>
      <c r="S243" s="166"/>
      <c r="T243" s="167"/>
      <c r="U243" s="24"/>
      <c r="V243" s="40"/>
      <c r="W243" s="40"/>
      <c r="X243" s="40"/>
      <c r="Y243" s="40"/>
      <c r="Z243" s="40"/>
      <c r="AA243" s="40"/>
      <c r="AB243" s="40"/>
      <c r="AC243" s="40"/>
      <c r="AD243" s="40"/>
      <c r="AE243" s="40"/>
      <c r="AF243" s="40"/>
      <c r="AG243"/>
      <c r="AH243"/>
      <c r="AI243"/>
      <c r="AJ243"/>
      <c r="AN243" s="40"/>
      <c r="AO243"/>
      <c r="AP243"/>
      <c r="AQ243"/>
      <c r="AR243"/>
      <c r="AS243"/>
      <c r="AT243"/>
      <c r="AU243"/>
      <c r="AV243"/>
      <c r="AW243"/>
      <c r="AX243"/>
      <c r="AY243"/>
      <c r="AZ243"/>
      <c r="BA243"/>
      <c r="BB243"/>
      <c r="BC243"/>
      <c r="BD243"/>
      <c r="BE243"/>
      <c r="BF243"/>
      <c r="BG243"/>
      <c r="BH243"/>
      <c r="BI243"/>
      <c r="BJ243" s="3"/>
    </row>
    <row r="244" spans="1:62" ht="6" customHeight="1">
      <c r="A244" s="194"/>
      <c r="B244" s="194"/>
      <c r="C244" s="194"/>
      <c r="D244" s="194"/>
      <c r="E244" s="194"/>
      <c r="F244" s="194"/>
      <c r="G244" s="194"/>
      <c r="H244" s="194"/>
      <c r="I244" s="194"/>
      <c r="J244" s="194"/>
      <c r="K244" s="194"/>
      <c r="L244" s="194"/>
      <c r="M244" s="194"/>
      <c r="N244" s="52"/>
      <c r="O244" s="73"/>
      <c r="P244" s="36"/>
      <c r="Q244" s="72"/>
      <c r="R244" s="75"/>
      <c r="S244" s="166"/>
      <c r="T244" s="168"/>
      <c r="V244" s="2"/>
      <c r="AG244"/>
      <c r="AH244"/>
      <c r="AI244"/>
      <c r="AJ244"/>
      <c r="AN244" s="3"/>
      <c r="AO244"/>
      <c r="AP244"/>
      <c r="AQ244"/>
      <c r="AR244"/>
      <c r="AS244"/>
      <c r="AT244"/>
      <c r="AU244"/>
      <c r="AV244"/>
      <c r="AW244"/>
      <c r="AX244"/>
      <c r="AY244"/>
      <c r="AZ244"/>
      <c r="BA244"/>
      <c r="BB244"/>
      <c r="BC244"/>
      <c r="BD244"/>
      <c r="BE244"/>
      <c r="BF244"/>
      <c r="BG244"/>
      <c r="BH244"/>
      <c r="BI244"/>
      <c r="BJ244" s="3"/>
    </row>
    <row r="245" spans="1:62" ht="19.5" customHeight="1">
      <c r="A245" s="177" t="s">
        <v>453</v>
      </c>
      <c r="B245" s="173"/>
      <c r="C245" s="173"/>
      <c r="D245" s="173"/>
      <c r="E245" s="173"/>
      <c r="F245" s="173"/>
      <c r="G245" s="173"/>
      <c r="H245" s="173"/>
      <c r="I245" s="173"/>
      <c r="J245" s="173"/>
      <c r="K245" s="207">
        <v>1</v>
      </c>
      <c r="L245" s="207"/>
      <c r="M245" s="173"/>
      <c r="N245" s="52"/>
      <c r="O245" s="73"/>
      <c r="P245" s="36"/>
      <c r="Q245" s="72"/>
      <c r="R245" s="75"/>
      <c r="S245" s="166"/>
      <c r="T245" s="168"/>
      <c r="V245" s="2"/>
      <c r="AG245"/>
      <c r="AH245"/>
      <c r="AI245"/>
      <c r="AJ245"/>
      <c r="AN245" s="3"/>
      <c r="AO245"/>
      <c r="AP245"/>
      <c r="AQ245"/>
      <c r="AR245"/>
      <c r="AS245"/>
      <c r="AT245"/>
      <c r="AU245"/>
      <c r="AV245"/>
      <c r="AW245"/>
      <c r="AX245"/>
      <c r="AY245"/>
      <c r="AZ245"/>
      <c r="BA245"/>
      <c r="BB245"/>
      <c r="BC245"/>
      <c r="BD245"/>
      <c r="BE245"/>
      <c r="BF245"/>
      <c r="BG245"/>
      <c r="BH245"/>
      <c r="BI245"/>
      <c r="BJ245" s="3"/>
    </row>
    <row r="246" spans="1:62" ht="12.75" customHeight="1">
      <c r="A246" t="s">
        <v>442</v>
      </c>
      <c r="B246" s="74"/>
      <c r="C246" s="74"/>
      <c r="D246" s="74"/>
      <c r="E246" s="74"/>
      <c r="F246" s="74"/>
      <c r="G246" s="74"/>
      <c r="H246" s="74"/>
      <c r="I246" s="74"/>
      <c r="J246" s="74"/>
      <c r="K246" s="207">
        <v>2</v>
      </c>
      <c r="L246" s="207"/>
      <c r="M246" s="74"/>
      <c r="N246" s="25"/>
      <c r="O246" s="77"/>
      <c r="P246" s="35"/>
      <c r="Q246" s="34"/>
      <c r="R246" s="40"/>
      <c r="S246" s="23"/>
      <c r="V246" s="2"/>
      <c r="AN246" s="3"/>
      <c r="AO246" s="3"/>
      <c r="AP246" s="3"/>
      <c r="AQ246" s="3"/>
      <c r="AR246" s="3"/>
      <c r="AS246" s="3"/>
      <c r="AT246" s="3"/>
      <c r="AU246" s="3"/>
      <c r="AV246" s="3"/>
      <c r="AW246" s="3"/>
      <c r="AX246" s="3"/>
      <c r="AY246" s="3"/>
      <c r="AZ246" s="3"/>
      <c r="BA246" s="3"/>
      <c r="BB246" s="3"/>
      <c r="BC246" s="3"/>
      <c r="BD246" s="3"/>
      <c r="BE246" s="3"/>
      <c r="BF246" s="3"/>
      <c r="BG246" s="3"/>
      <c r="BH246" s="3"/>
      <c r="BI246" s="3"/>
      <c r="BJ246" s="3"/>
    </row>
    <row r="247" spans="1:62" ht="12.75" customHeight="1">
      <c r="A247"/>
      <c r="B247"/>
      <c r="C247"/>
      <c r="D247"/>
      <c r="E247"/>
      <c r="F247"/>
      <c r="G247"/>
      <c r="H247"/>
      <c r="I247"/>
      <c r="J247"/>
      <c r="K247" s="207">
        <v>3</v>
      </c>
      <c r="L247" s="207"/>
      <c r="M247"/>
      <c r="N247"/>
      <c r="O247"/>
      <c r="P247"/>
      <c r="Q247"/>
      <c r="R247" s="40"/>
      <c r="S247" s="23"/>
      <c r="V247" s="2"/>
      <c r="AN247" s="3"/>
      <c r="AO247" s="3"/>
      <c r="AP247" s="3"/>
      <c r="AQ247" s="3"/>
      <c r="AR247" s="3"/>
      <c r="AS247" s="3"/>
      <c r="AT247" s="3"/>
      <c r="AU247" s="3"/>
      <c r="AV247" s="3"/>
      <c r="AW247" s="3"/>
      <c r="AX247" s="3"/>
      <c r="AY247" s="3"/>
      <c r="AZ247" s="3"/>
      <c r="BA247" s="3"/>
      <c r="BB247" s="3"/>
      <c r="BC247" s="3"/>
      <c r="BD247" s="3"/>
      <c r="BE247" s="3"/>
      <c r="BF247" s="3"/>
      <c r="BG247" s="3"/>
      <c r="BH247" s="3"/>
      <c r="BI247" s="3"/>
      <c r="BJ247" s="3"/>
    </row>
    <row r="248" spans="1:62" ht="12.75" customHeight="1">
      <c r="A248"/>
      <c r="B248"/>
      <c r="C248"/>
      <c r="D248"/>
      <c r="E248"/>
      <c r="F248"/>
      <c r="G248"/>
      <c r="H248"/>
      <c r="I248"/>
      <c r="J248"/>
      <c r="K248" s="207">
        <v>4</v>
      </c>
      <c r="L248" s="207"/>
      <c r="M248"/>
      <c r="N248"/>
      <c r="O248"/>
      <c r="P248"/>
      <c r="Q248"/>
      <c r="R248" s="40"/>
      <c r="S248" s="23"/>
      <c r="V248" s="2"/>
      <c r="AN248" s="3"/>
      <c r="AO248" s="3"/>
      <c r="AP248" s="3"/>
      <c r="AQ248" s="3"/>
      <c r="AR248" s="3"/>
      <c r="AS248" s="3"/>
      <c r="AT248" s="3"/>
      <c r="AU248" s="3"/>
      <c r="AV248" s="3"/>
      <c r="AW248" s="3"/>
      <c r="AX248" s="3"/>
      <c r="AY248" s="3"/>
      <c r="AZ248" s="3"/>
      <c r="BA248" s="3"/>
      <c r="BB248" s="3"/>
      <c r="BC248" s="3"/>
      <c r="BD248" s="3"/>
      <c r="BE248" s="3"/>
      <c r="BF248" s="3"/>
      <c r="BG248" s="3"/>
      <c r="BH248" s="3"/>
      <c r="BI248" s="3"/>
      <c r="BJ248" s="3"/>
    </row>
    <row r="249" spans="1:62" ht="12.75" customHeight="1">
      <c r="A249"/>
      <c r="B249"/>
      <c r="C249"/>
      <c r="D249"/>
      <c r="E249"/>
      <c r="F249"/>
      <c r="G249"/>
      <c r="H249"/>
      <c r="I249"/>
      <c r="J249"/>
      <c r="K249" s="207">
        <v>5</v>
      </c>
      <c r="L249" s="207"/>
      <c r="M249"/>
      <c r="N249"/>
      <c r="O249"/>
      <c r="P249"/>
      <c r="Q249"/>
      <c r="R249" s="40"/>
      <c r="S249" s="23"/>
      <c r="V249" s="2"/>
      <c r="AN249" s="3"/>
      <c r="AO249" s="3"/>
      <c r="AP249" s="3"/>
      <c r="AQ249" s="3"/>
      <c r="AR249" s="3"/>
      <c r="AS249" s="3"/>
      <c r="AT249" s="3"/>
      <c r="AU249" s="3"/>
      <c r="AV249" s="3"/>
      <c r="AW249" s="3"/>
      <c r="AX249" s="3"/>
      <c r="AY249" s="3"/>
      <c r="AZ249" s="3"/>
      <c r="BA249" s="3"/>
      <c r="BB249" s="3"/>
      <c r="BC249" s="3"/>
      <c r="BD249" s="3"/>
      <c r="BE249" s="3"/>
      <c r="BF249" s="3"/>
      <c r="BG249" s="3"/>
      <c r="BH249" s="3"/>
      <c r="BI249" s="3"/>
      <c r="BJ249" s="3"/>
    </row>
    <row r="250" spans="1:62" ht="12.75" customHeight="1">
      <c r="A250"/>
      <c r="B250"/>
      <c r="C250"/>
      <c r="D250"/>
      <c r="E250"/>
      <c r="F250"/>
      <c r="G250"/>
      <c r="H250"/>
      <c r="I250"/>
      <c r="J250"/>
      <c r="K250" s="207">
        <v>6</v>
      </c>
      <c r="L250" s="207"/>
      <c r="M250"/>
      <c r="N250"/>
      <c r="O250"/>
      <c r="P250"/>
      <c r="Q250"/>
      <c r="R250" s="40"/>
      <c r="S250" s="23"/>
      <c r="V250" s="2"/>
      <c r="AN250" s="3"/>
      <c r="AO250" s="3"/>
      <c r="AP250" s="3"/>
      <c r="AQ250" s="3"/>
      <c r="AR250" s="3"/>
      <c r="AS250" s="3"/>
      <c r="AT250" s="3"/>
      <c r="AU250" s="3"/>
      <c r="AV250" s="3"/>
      <c r="AW250" s="3"/>
      <c r="AX250" s="3"/>
      <c r="AY250" s="3"/>
      <c r="AZ250" s="3"/>
      <c r="BA250" s="3"/>
      <c r="BB250" s="3"/>
      <c r="BC250" s="3"/>
      <c r="BD250" s="3"/>
      <c r="BE250" s="3"/>
      <c r="BF250" s="3"/>
      <c r="BG250" s="3"/>
      <c r="BH250" s="3"/>
      <c r="BI250" s="3"/>
      <c r="BJ250" s="3"/>
    </row>
    <row r="251" spans="1:62" ht="12.75" customHeight="1">
      <c r="A251"/>
      <c r="B251"/>
      <c r="C251"/>
      <c r="D251"/>
      <c r="E251"/>
      <c r="F251"/>
      <c r="G251"/>
      <c r="H251"/>
      <c r="I251"/>
      <c r="J251"/>
      <c r="K251" s="207">
        <v>7</v>
      </c>
      <c r="L251" s="207"/>
      <c r="M251"/>
      <c r="N251"/>
      <c r="O251"/>
      <c r="P251"/>
      <c r="Q251"/>
      <c r="R251" s="40"/>
      <c r="S251" s="23"/>
      <c r="V251" s="2"/>
      <c r="AN251" s="3"/>
      <c r="AO251" s="3"/>
      <c r="AP251" s="3"/>
      <c r="AQ251" s="3"/>
      <c r="AR251" s="3"/>
      <c r="AS251" s="3"/>
      <c r="AT251" s="3"/>
      <c r="AU251" s="3"/>
      <c r="AV251" s="3"/>
      <c r="AW251" s="3"/>
      <c r="AX251" s="3"/>
      <c r="AY251" s="3"/>
      <c r="AZ251" s="3"/>
      <c r="BA251" s="3"/>
      <c r="BB251" s="3"/>
      <c r="BC251" s="3"/>
      <c r="BD251" s="3"/>
      <c r="BE251" s="3"/>
      <c r="BF251" s="3"/>
      <c r="BG251" s="3"/>
      <c r="BH251" s="3"/>
      <c r="BI251" s="3"/>
      <c r="BJ251" s="3"/>
    </row>
    <row r="252" spans="1:62" ht="12.75" customHeight="1">
      <c r="A252"/>
      <c r="B252"/>
      <c r="C252"/>
      <c r="D252"/>
      <c r="E252"/>
      <c r="F252"/>
      <c r="G252"/>
      <c r="H252"/>
      <c r="I252"/>
      <c r="J252"/>
      <c r="K252" s="207">
        <v>8</v>
      </c>
      <c r="L252" s="207"/>
      <c r="M252"/>
      <c r="N252"/>
      <c r="O252"/>
      <c r="P252"/>
      <c r="Q252"/>
      <c r="R252" s="40"/>
      <c r="S252" s="23"/>
      <c r="V252" s="2"/>
      <c r="AN252" s="3"/>
      <c r="AO252" s="3"/>
      <c r="AP252" s="3"/>
      <c r="AQ252" s="3"/>
      <c r="AR252" s="3"/>
      <c r="AS252" s="3"/>
      <c r="AT252" s="3"/>
      <c r="AU252" s="3"/>
      <c r="AV252" s="3"/>
      <c r="AW252" s="3"/>
      <c r="AX252" s="3"/>
      <c r="AY252" s="3"/>
      <c r="AZ252" s="3"/>
      <c r="BA252" s="3"/>
      <c r="BB252" s="3"/>
      <c r="BC252" s="3"/>
      <c r="BD252" s="3"/>
      <c r="BE252" s="3"/>
      <c r="BF252" s="3"/>
      <c r="BG252" s="3"/>
      <c r="BH252" s="3"/>
      <c r="BI252" s="3"/>
      <c r="BJ252" s="3"/>
    </row>
    <row r="253" spans="1:62" ht="12.75" customHeight="1">
      <c r="A253"/>
      <c r="B253"/>
      <c r="C253"/>
      <c r="D253"/>
      <c r="E253"/>
      <c r="F253"/>
      <c r="G253"/>
      <c r="H253"/>
      <c r="I253"/>
      <c r="J253"/>
      <c r="K253" s="207">
        <v>9</v>
      </c>
      <c r="L253" s="207"/>
      <c r="M253"/>
      <c r="N253"/>
      <c r="O253"/>
      <c r="P253"/>
      <c r="Q253"/>
      <c r="R253" s="40"/>
      <c r="S253" s="23"/>
      <c r="V253" s="2"/>
      <c r="AN253" s="3"/>
      <c r="AO253" s="3"/>
      <c r="AP253" s="3"/>
      <c r="AQ253" s="3"/>
      <c r="AR253" s="3"/>
      <c r="AS253" s="3"/>
      <c r="AT253" s="3"/>
      <c r="AU253" s="3"/>
      <c r="AV253" s="3"/>
      <c r="AW253" s="3"/>
      <c r="AX253" s="3"/>
      <c r="AY253" s="3"/>
      <c r="AZ253" s="3"/>
      <c r="BA253" s="3"/>
      <c r="BB253" s="3"/>
      <c r="BC253" s="3"/>
      <c r="BD253" s="3"/>
      <c r="BE253" s="3"/>
      <c r="BF253" s="3"/>
      <c r="BG253" s="3"/>
      <c r="BH253" s="3"/>
      <c r="BI253" s="3"/>
      <c r="BJ253" s="3"/>
    </row>
    <row r="254" spans="1:62" ht="12.75" customHeight="1">
      <c r="A254"/>
      <c r="B254"/>
      <c r="C254"/>
      <c r="D254"/>
      <c r="E254"/>
      <c r="F254"/>
      <c r="G254"/>
      <c r="H254"/>
      <c r="I254"/>
      <c r="J254"/>
      <c r="K254" s="207">
        <v>10</v>
      </c>
      <c r="L254" s="207"/>
      <c r="M254"/>
      <c r="N254"/>
      <c r="O254"/>
      <c r="P254"/>
      <c r="Q254"/>
      <c r="R254" s="40"/>
      <c r="S254" s="23"/>
      <c r="V254" s="2"/>
      <c r="AN254" s="3"/>
      <c r="AO254" s="3"/>
      <c r="AP254" s="3"/>
      <c r="AQ254" s="3"/>
      <c r="AR254" s="3"/>
      <c r="AS254" s="3"/>
      <c r="AT254" s="3"/>
      <c r="AU254" s="3"/>
      <c r="AV254" s="3"/>
      <c r="AW254" s="3"/>
      <c r="AX254" s="3"/>
      <c r="AY254" s="3"/>
      <c r="AZ254" s="3"/>
      <c r="BA254" s="3"/>
      <c r="BB254" s="3"/>
      <c r="BC254" s="3"/>
      <c r="BD254" s="3"/>
      <c r="BE254" s="3"/>
      <c r="BF254" s="3"/>
      <c r="BG254" s="3"/>
      <c r="BH254" s="3"/>
      <c r="BI254" s="3"/>
      <c r="BJ254" s="3"/>
    </row>
    <row r="255" spans="1:62" ht="12.75" customHeight="1">
      <c r="A255"/>
      <c r="B255"/>
      <c r="C255"/>
      <c r="D255"/>
      <c r="E255"/>
      <c r="F255"/>
      <c r="G255"/>
      <c r="H255"/>
      <c r="I255"/>
      <c r="J255"/>
      <c r="K255" s="207">
        <v>11</v>
      </c>
      <c r="L255" s="207"/>
      <c r="M255"/>
      <c r="N255"/>
      <c r="O255"/>
      <c r="P255"/>
      <c r="Q255"/>
      <c r="R255" s="40"/>
      <c r="S255" s="23"/>
      <c r="V255" s="2"/>
      <c r="AN255" s="3"/>
      <c r="AO255" s="3"/>
      <c r="AP255" s="3"/>
      <c r="AQ255" s="3"/>
      <c r="AR255" s="3"/>
      <c r="AS255" s="3"/>
      <c r="AT255" s="3"/>
      <c r="AU255" s="3"/>
      <c r="AV255" s="3"/>
      <c r="AW255" s="3"/>
      <c r="AX255" s="3"/>
      <c r="AY255" s="3"/>
      <c r="AZ255" s="3"/>
      <c r="BA255" s="3"/>
      <c r="BB255" s="3"/>
      <c r="BC255" s="3"/>
      <c r="BD255" s="3"/>
      <c r="BE255" s="3"/>
      <c r="BF255" s="3"/>
      <c r="BG255" s="3"/>
      <c r="BH255" s="3"/>
      <c r="BI255" s="3"/>
      <c r="BJ255" s="3"/>
    </row>
    <row r="256" spans="1:62" ht="12.75" customHeight="1">
      <c r="A256"/>
      <c r="B256"/>
      <c r="C256"/>
      <c r="D256"/>
      <c r="E256"/>
      <c r="F256"/>
      <c r="G256"/>
      <c r="H256"/>
      <c r="I256"/>
      <c r="J256"/>
      <c r="K256" s="207">
        <v>12</v>
      </c>
      <c r="L256" s="207"/>
      <c r="M256"/>
      <c r="N256"/>
      <c r="O256"/>
      <c r="P256"/>
      <c r="Q256"/>
      <c r="R256" s="40"/>
      <c r="S256" s="23"/>
      <c r="V256" s="2"/>
      <c r="AN256" s="3"/>
      <c r="AO256" s="3"/>
      <c r="AP256" s="3"/>
      <c r="AQ256" s="3"/>
      <c r="AR256" s="3"/>
      <c r="AS256" s="3"/>
      <c r="AT256" s="3"/>
      <c r="AU256" s="3"/>
      <c r="AV256" s="3"/>
      <c r="AW256" s="3"/>
      <c r="AX256" s="3"/>
      <c r="AY256" s="3"/>
      <c r="AZ256" s="3"/>
      <c r="BA256" s="3"/>
      <c r="BB256" s="3"/>
      <c r="BC256" s="3"/>
      <c r="BD256" s="3"/>
      <c r="BE256" s="3"/>
      <c r="BF256" s="3"/>
      <c r="BG256" s="3"/>
      <c r="BH256" s="3"/>
      <c r="BI256" s="3"/>
      <c r="BJ256" s="3"/>
    </row>
    <row r="257" spans="1:62" ht="12.75" customHeight="1">
      <c r="A257"/>
      <c r="B257"/>
      <c r="C257"/>
      <c r="D257"/>
      <c r="E257"/>
      <c r="F257"/>
      <c r="G257"/>
      <c r="H257"/>
      <c r="I257"/>
      <c r="J257"/>
      <c r="K257" s="207">
        <v>13</v>
      </c>
      <c r="L257" s="207"/>
      <c r="M257"/>
      <c r="N257"/>
      <c r="O257"/>
      <c r="P257"/>
      <c r="Q257"/>
      <c r="R257" s="40"/>
      <c r="S257" s="23"/>
      <c r="V257" s="2"/>
      <c r="AN257" s="3"/>
      <c r="AO257" s="3"/>
      <c r="AP257" s="3"/>
      <c r="AQ257" s="3"/>
      <c r="AR257" s="3"/>
      <c r="AS257" s="3"/>
      <c r="AT257" s="3"/>
      <c r="AU257" s="3"/>
      <c r="AV257" s="3"/>
      <c r="AW257" s="3"/>
      <c r="AX257" s="3"/>
      <c r="AY257" s="3"/>
      <c r="AZ257" s="3"/>
      <c r="BA257" s="3"/>
      <c r="BB257" s="3"/>
      <c r="BC257" s="3"/>
      <c r="BD257" s="3"/>
      <c r="BE257" s="3"/>
      <c r="BF257" s="3"/>
      <c r="BG257" s="3"/>
      <c r="BH257" s="3"/>
      <c r="BI257" s="3"/>
      <c r="BJ257" s="3"/>
    </row>
    <row r="258" spans="1:62" ht="12.75" customHeight="1">
      <c r="A258"/>
      <c r="B258"/>
      <c r="C258"/>
      <c r="D258"/>
      <c r="E258"/>
      <c r="F258"/>
      <c r="G258"/>
      <c r="H258"/>
      <c r="I258"/>
      <c r="J258"/>
      <c r="K258" s="207">
        <v>14</v>
      </c>
      <c r="L258" s="207"/>
      <c r="M258"/>
      <c r="N258"/>
      <c r="O258"/>
      <c r="P258"/>
      <c r="Q258"/>
      <c r="R258" s="40"/>
      <c r="S258" s="23"/>
      <c r="V258" s="2"/>
      <c r="AN258" s="3"/>
      <c r="AO258" s="3"/>
      <c r="AP258" s="3"/>
      <c r="AQ258" s="3"/>
      <c r="AR258" s="3"/>
      <c r="AS258" s="3"/>
      <c r="AT258" s="3"/>
      <c r="AU258" s="3"/>
      <c r="AV258" s="3"/>
      <c r="AW258" s="3"/>
      <c r="AX258" s="3"/>
      <c r="AY258" s="3"/>
      <c r="AZ258" s="3"/>
      <c r="BA258" s="3"/>
      <c r="BB258" s="3"/>
      <c r="BC258" s="3"/>
      <c r="BD258" s="3"/>
      <c r="BE258" s="3"/>
      <c r="BF258" s="3"/>
      <c r="BG258" s="3"/>
      <c r="BH258" s="3"/>
      <c r="BI258" s="3"/>
      <c r="BJ258" s="3"/>
    </row>
    <row r="259" spans="1:62" ht="12.75" customHeight="1">
      <c r="A259"/>
      <c r="B259"/>
      <c r="C259"/>
      <c r="D259"/>
      <c r="E259"/>
      <c r="F259"/>
      <c r="G259"/>
      <c r="H259"/>
      <c r="I259"/>
      <c r="J259"/>
      <c r="K259" s="207">
        <v>15</v>
      </c>
      <c r="L259" s="207"/>
      <c r="M259"/>
      <c r="N259"/>
      <c r="O259"/>
      <c r="P259"/>
      <c r="Q259"/>
      <c r="R259" s="40"/>
      <c r="S259" s="23"/>
      <c r="V259" s="2"/>
      <c r="AN259" s="3"/>
      <c r="AO259" s="3"/>
      <c r="AP259" s="3"/>
      <c r="AQ259" s="3"/>
      <c r="AR259" s="3"/>
      <c r="AS259" s="3"/>
      <c r="AT259" s="3"/>
      <c r="AU259" s="3"/>
      <c r="AV259" s="3"/>
      <c r="AW259" s="3"/>
      <c r="AX259" s="3"/>
      <c r="AY259" s="3"/>
      <c r="AZ259" s="3"/>
      <c r="BA259" s="3"/>
      <c r="BB259" s="3"/>
      <c r="BC259" s="3"/>
      <c r="BD259" s="3"/>
      <c r="BE259" s="3"/>
      <c r="BF259" s="3"/>
      <c r="BG259" s="3"/>
      <c r="BH259" s="3"/>
      <c r="BI259" s="3"/>
      <c r="BJ259" s="3"/>
    </row>
    <row r="260" spans="1:62" ht="12.75" customHeight="1">
      <c r="A260"/>
      <c r="B260"/>
      <c r="C260"/>
      <c r="D260"/>
      <c r="E260"/>
      <c r="F260"/>
      <c r="G260"/>
      <c r="H260"/>
      <c r="I260"/>
      <c r="J260"/>
      <c r="K260" s="207">
        <v>16</v>
      </c>
      <c r="L260" s="207"/>
      <c r="M260"/>
      <c r="N260"/>
      <c r="O260"/>
      <c r="P260"/>
      <c r="Q260"/>
      <c r="R260" s="40"/>
      <c r="S260" s="23"/>
      <c r="V260" s="2"/>
      <c r="AN260" s="3"/>
      <c r="AO260" s="3"/>
      <c r="AP260" s="3"/>
      <c r="AQ260" s="3"/>
      <c r="AR260" s="3"/>
      <c r="AS260" s="3"/>
      <c r="AT260" s="3"/>
      <c r="AU260" s="3"/>
      <c r="AV260" s="3"/>
      <c r="AW260" s="3"/>
      <c r="AX260" s="3"/>
      <c r="AY260" s="3"/>
      <c r="AZ260" s="3"/>
      <c r="BA260" s="3"/>
      <c r="BB260" s="3"/>
      <c r="BC260" s="3"/>
      <c r="BD260" s="3"/>
      <c r="BE260" s="3"/>
      <c r="BF260" s="3"/>
      <c r="BG260" s="3"/>
      <c r="BH260" s="3"/>
      <c r="BI260" s="3"/>
      <c r="BJ260" s="3"/>
    </row>
    <row r="261" spans="1:62" ht="12.75" customHeight="1">
      <c r="A261"/>
      <c r="B261"/>
      <c r="C261"/>
      <c r="D261"/>
      <c r="E261"/>
      <c r="F261"/>
      <c r="G261"/>
      <c r="H261"/>
      <c r="I261"/>
      <c r="J261"/>
      <c r="K261" s="207">
        <v>17</v>
      </c>
      <c r="L261" s="207"/>
      <c r="M261"/>
      <c r="N261"/>
      <c r="O261"/>
      <c r="P261"/>
      <c r="Q261"/>
      <c r="R261" s="40"/>
      <c r="S261" s="23"/>
      <c r="V261" s="2"/>
      <c r="AN261" s="3"/>
      <c r="AO261" s="3"/>
      <c r="AP261" s="3"/>
      <c r="AQ261" s="3"/>
      <c r="AR261" s="3"/>
      <c r="AS261" s="3"/>
      <c r="AT261" s="3"/>
      <c r="AU261" s="3"/>
      <c r="AV261" s="3"/>
      <c r="AW261" s="3"/>
      <c r="AX261" s="3"/>
      <c r="AY261" s="3"/>
      <c r="AZ261" s="3"/>
      <c r="BA261" s="3"/>
      <c r="BB261" s="3"/>
      <c r="BC261" s="3"/>
      <c r="BD261" s="3"/>
      <c r="BE261" s="3"/>
      <c r="BF261" s="3"/>
      <c r="BG261" s="3"/>
      <c r="BH261" s="3"/>
      <c r="BI261" s="3"/>
      <c r="BJ261" s="3"/>
    </row>
    <row r="262" spans="1:62" ht="12.75" customHeight="1">
      <c r="A262"/>
      <c r="B262"/>
      <c r="C262"/>
      <c r="D262"/>
      <c r="E262"/>
      <c r="F262"/>
      <c r="G262"/>
      <c r="H262"/>
      <c r="I262"/>
      <c r="J262"/>
      <c r="K262" s="207">
        <v>18</v>
      </c>
      <c r="L262" s="207"/>
      <c r="M262"/>
      <c r="N262"/>
      <c r="O262"/>
      <c r="P262"/>
      <c r="Q262"/>
      <c r="R262" s="40"/>
      <c r="S262" s="23"/>
      <c r="V262" s="2"/>
      <c r="AN262" s="3"/>
      <c r="AO262" s="3"/>
      <c r="AP262" s="3"/>
      <c r="AQ262" s="3"/>
      <c r="AR262" s="3"/>
      <c r="AS262" s="3"/>
      <c r="AT262" s="3"/>
      <c r="AU262" s="3"/>
      <c r="AV262" s="3"/>
      <c r="AW262" s="3"/>
      <c r="AX262" s="3"/>
      <c r="AY262" s="3"/>
      <c r="AZ262" s="3"/>
      <c r="BA262" s="3"/>
      <c r="BB262" s="3"/>
      <c r="BC262" s="3"/>
      <c r="BD262" s="3"/>
      <c r="BE262" s="3"/>
      <c r="BF262" s="3"/>
      <c r="BG262" s="3"/>
      <c r="BH262" s="3"/>
      <c r="BI262" s="3"/>
      <c r="BJ262" s="3"/>
    </row>
    <row r="263" spans="1:62" ht="12.75" customHeight="1">
      <c r="A263"/>
      <c r="B263"/>
      <c r="C263"/>
      <c r="D263"/>
      <c r="E263"/>
      <c r="F263"/>
      <c r="G263"/>
      <c r="H263"/>
      <c r="I263"/>
      <c r="J263"/>
      <c r="K263" s="207">
        <v>19</v>
      </c>
      <c r="L263" s="207"/>
      <c r="M263"/>
      <c r="N263"/>
      <c r="O263"/>
      <c r="P263"/>
      <c r="Q263"/>
      <c r="R263" s="40"/>
      <c r="S263" s="23"/>
      <c r="V263" s="2"/>
      <c r="AN263" s="3"/>
      <c r="AO263" s="3"/>
      <c r="AP263" s="3"/>
      <c r="AQ263" s="3"/>
      <c r="AR263" s="3"/>
      <c r="AS263" s="3"/>
      <c r="AT263" s="3"/>
      <c r="AU263" s="3"/>
      <c r="AV263" s="3"/>
      <c r="AW263" s="3"/>
      <c r="AX263" s="3"/>
      <c r="AY263" s="3"/>
      <c r="AZ263" s="3"/>
      <c r="BA263" s="3"/>
      <c r="BB263" s="3"/>
      <c r="BC263" s="3"/>
      <c r="BD263" s="3"/>
      <c r="BE263" s="3"/>
      <c r="BF263" s="3"/>
      <c r="BG263" s="3"/>
      <c r="BH263" s="3"/>
      <c r="BI263" s="3"/>
      <c r="BJ263" s="3"/>
    </row>
    <row r="264" spans="1:62" ht="12.75" customHeight="1">
      <c r="A264"/>
      <c r="B264"/>
      <c r="C264"/>
      <c r="D264"/>
      <c r="E264"/>
      <c r="F264"/>
      <c r="G264"/>
      <c r="H264"/>
      <c r="I264"/>
      <c r="J264"/>
      <c r="K264" s="207">
        <v>20</v>
      </c>
      <c r="L264" s="207"/>
      <c r="M264"/>
      <c r="N264"/>
      <c r="O264"/>
      <c r="P264"/>
      <c r="Q264"/>
      <c r="R264" s="40"/>
      <c r="S264" s="23"/>
      <c r="V264" s="2"/>
      <c r="AN264" s="3"/>
      <c r="AO264" s="3"/>
      <c r="AP264" s="3"/>
      <c r="AQ264" s="3"/>
      <c r="AR264" s="3"/>
      <c r="AS264" s="3"/>
      <c r="AT264" s="3"/>
      <c r="AU264" s="3"/>
      <c r="AV264" s="3"/>
      <c r="AW264" s="3"/>
      <c r="AX264" s="3"/>
      <c r="AY264" s="3"/>
      <c r="AZ264" s="3"/>
      <c r="BA264" s="3"/>
      <c r="BB264" s="3"/>
      <c r="BC264" s="3"/>
      <c r="BD264" s="3"/>
      <c r="BE264" s="3"/>
      <c r="BF264" s="3"/>
      <c r="BG264" s="3"/>
      <c r="BH264" s="3"/>
      <c r="BI264" s="3"/>
      <c r="BJ264" s="3"/>
    </row>
    <row r="265" spans="1:62" ht="12.75" customHeight="1">
      <c r="A265"/>
      <c r="B265"/>
      <c r="C265"/>
      <c r="D265"/>
      <c r="E265"/>
      <c r="F265"/>
      <c r="G265"/>
      <c r="H265"/>
      <c r="I265"/>
      <c r="J265"/>
      <c r="K265" s="207">
        <v>21</v>
      </c>
      <c r="L265" s="207"/>
      <c r="M265"/>
      <c r="N265"/>
      <c r="O265"/>
      <c r="P265"/>
      <c r="Q265"/>
      <c r="R265" s="40"/>
      <c r="S265" s="23"/>
      <c r="V265" s="2"/>
      <c r="AN265" s="3"/>
      <c r="AO265" s="3"/>
      <c r="AP265" s="3"/>
      <c r="AQ265" s="3"/>
      <c r="AR265" s="3"/>
      <c r="AS265" s="3"/>
      <c r="AT265" s="3"/>
      <c r="AU265" s="3"/>
      <c r="AV265" s="3"/>
      <c r="AW265" s="3"/>
      <c r="AX265" s="3"/>
      <c r="AY265" s="3"/>
      <c r="AZ265" s="3"/>
      <c r="BA265" s="3"/>
      <c r="BB265" s="3"/>
      <c r="BC265" s="3"/>
      <c r="BD265" s="3"/>
      <c r="BE265" s="3"/>
      <c r="BF265" s="3"/>
      <c r="BG265" s="3"/>
      <c r="BH265" s="3"/>
      <c r="BI265" s="3"/>
      <c r="BJ265" s="3"/>
    </row>
    <row r="266" spans="1:62" ht="12.75" customHeight="1">
      <c r="A266"/>
      <c r="B266"/>
      <c r="C266"/>
      <c r="D266"/>
      <c r="E266"/>
      <c r="F266"/>
      <c r="G266"/>
      <c r="H266"/>
      <c r="I266"/>
      <c r="J266"/>
      <c r="K266" s="207">
        <v>22</v>
      </c>
      <c r="L266" s="207"/>
      <c r="M266"/>
      <c r="N266"/>
      <c r="O266"/>
      <c r="P266"/>
      <c r="Q266"/>
      <c r="R266" s="40"/>
      <c r="S266" s="23"/>
      <c r="V266" s="2"/>
      <c r="AN266" s="3"/>
      <c r="AO266" s="3"/>
      <c r="AP266" s="3"/>
      <c r="AQ266" s="3"/>
      <c r="AR266" s="3"/>
      <c r="AS266" s="3"/>
      <c r="AT266" s="3"/>
      <c r="AU266" s="3"/>
      <c r="AV266" s="3"/>
      <c r="AW266" s="3"/>
      <c r="AX266" s="3"/>
      <c r="AY266" s="3"/>
      <c r="AZ266" s="3"/>
      <c r="BA266" s="3"/>
      <c r="BB266" s="3"/>
      <c r="BC266" s="3"/>
      <c r="BD266" s="3"/>
      <c r="BE266" s="3"/>
      <c r="BF266" s="3"/>
      <c r="BG266" s="3"/>
      <c r="BH266" s="3"/>
      <c r="BI266" s="3"/>
      <c r="BJ266" s="3"/>
    </row>
    <row r="267" spans="1:62" ht="12.75" customHeight="1">
      <c r="A267"/>
      <c r="B267"/>
      <c r="C267"/>
      <c r="D267"/>
      <c r="E267"/>
      <c r="F267"/>
      <c r="G267"/>
      <c r="H267"/>
      <c r="I267"/>
      <c r="J267"/>
      <c r="K267" s="207">
        <v>23</v>
      </c>
      <c r="L267" s="207"/>
      <c r="M267"/>
      <c r="N267"/>
      <c r="O267"/>
      <c r="P267"/>
      <c r="Q267"/>
      <c r="R267" s="40"/>
      <c r="S267" s="23"/>
      <c r="V267" s="2"/>
      <c r="AN267" s="3"/>
      <c r="AO267" s="3"/>
      <c r="AP267" s="3"/>
      <c r="AQ267" s="3"/>
      <c r="AR267" s="3"/>
      <c r="AS267" s="3"/>
      <c r="AT267" s="3"/>
      <c r="AU267" s="3"/>
      <c r="AV267" s="3"/>
      <c r="AW267" s="3"/>
      <c r="AX267" s="3"/>
      <c r="AY267" s="3"/>
      <c r="AZ267" s="3"/>
      <c r="BA267" s="3"/>
      <c r="BB267" s="3"/>
      <c r="BC267" s="3"/>
      <c r="BD267" s="3"/>
      <c r="BE267" s="3"/>
      <c r="BF267" s="3"/>
      <c r="BG267" s="3"/>
      <c r="BH267" s="3"/>
      <c r="BI267" s="3"/>
      <c r="BJ267" s="3"/>
    </row>
    <row r="268" spans="1:62" ht="12.75" customHeight="1">
      <c r="A268"/>
      <c r="B268"/>
      <c r="C268"/>
      <c r="D268"/>
      <c r="E268"/>
      <c r="F268"/>
      <c r="G268"/>
      <c r="H268"/>
      <c r="I268"/>
      <c r="J268"/>
      <c r="K268" s="207">
        <v>24</v>
      </c>
      <c r="L268" s="207"/>
      <c r="M268"/>
      <c r="N268"/>
      <c r="O268"/>
      <c r="P268"/>
      <c r="Q268"/>
      <c r="R268" s="40"/>
      <c r="S268" s="23"/>
      <c r="V268" s="2"/>
      <c r="AN268" s="3"/>
      <c r="AO268" s="3"/>
      <c r="AP268" s="3"/>
      <c r="AQ268" s="3"/>
      <c r="AR268" s="3"/>
      <c r="AS268" s="3"/>
      <c r="AT268" s="3"/>
      <c r="AU268" s="3"/>
      <c r="AV268" s="3"/>
      <c r="AW268" s="3"/>
      <c r="AX268" s="3"/>
      <c r="AY268" s="3"/>
      <c r="AZ268" s="3"/>
      <c r="BA268" s="3"/>
      <c r="BB268" s="3"/>
      <c r="BC268" s="3"/>
      <c r="BD268" s="3"/>
      <c r="BE268" s="3"/>
      <c r="BF268" s="3"/>
      <c r="BG268" s="3"/>
      <c r="BH268" s="3"/>
      <c r="BI268" s="3"/>
      <c r="BJ268" s="3"/>
    </row>
    <row r="269" spans="1:62" ht="12.75" customHeight="1">
      <c r="A269"/>
      <c r="B269"/>
      <c r="C269"/>
      <c r="D269"/>
      <c r="E269"/>
      <c r="F269"/>
      <c r="G269"/>
      <c r="H269"/>
      <c r="I269"/>
      <c r="J269"/>
      <c r="K269" s="207">
        <v>25</v>
      </c>
      <c r="L269" s="207"/>
      <c r="M269"/>
      <c r="N269"/>
      <c r="O269"/>
      <c r="P269"/>
      <c r="Q269"/>
      <c r="R269" s="40"/>
      <c r="S269" s="23"/>
      <c r="V269" s="2"/>
      <c r="AN269" s="3"/>
      <c r="AO269" s="3"/>
      <c r="AP269" s="3"/>
      <c r="AQ269" s="3"/>
      <c r="AR269" s="3"/>
      <c r="AS269" s="3"/>
      <c r="AT269" s="3"/>
      <c r="AU269" s="3"/>
      <c r="AV269" s="3"/>
      <c r="AW269" s="3"/>
      <c r="AX269" s="3"/>
      <c r="AY269" s="3"/>
      <c r="AZ269" s="3"/>
      <c r="BA269" s="3"/>
      <c r="BB269" s="3"/>
      <c r="BC269" s="3"/>
      <c r="BD269" s="3"/>
      <c r="BE269" s="3"/>
      <c r="BF269" s="3"/>
      <c r="BG269" s="3"/>
      <c r="BH269" s="3"/>
      <c r="BI269" s="3"/>
      <c r="BJ269" s="3"/>
    </row>
    <row r="270" spans="1:62" ht="12.75" customHeight="1">
      <c r="A270"/>
      <c r="B270"/>
      <c r="C270"/>
      <c r="D270"/>
      <c r="E270"/>
      <c r="F270"/>
      <c r="G270"/>
      <c r="H270"/>
      <c r="I270"/>
      <c r="J270"/>
      <c r="K270" s="207">
        <v>26</v>
      </c>
      <c r="L270" s="207"/>
      <c r="M270"/>
      <c r="N270"/>
      <c r="O270"/>
      <c r="P270"/>
      <c r="Q270"/>
      <c r="R270" s="40"/>
      <c r="S270" s="23"/>
      <c r="V270" s="2"/>
      <c r="AN270" s="3"/>
      <c r="AO270" s="3"/>
      <c r="AP270" s="3"/>
      <c r="AQ270" s="3"/>
      <c r="AR270" s="3"/>
      <c r="AS270" s="3"/>
      <c r="AT270" s="3"/>
      <c r="AU270" s="3"/>
      <c r="AV270" s="3"/>
      <c r="AW270" s="3"/>
      <c r="AX270" s="3"/>
      <c r="AY270" s="3"/>
      <c r="AZ270" s="3"/>
      <c r="BA270" s="3"/>
      <c r="BB270" s="3"/>
      <c r="BC270" s="3"/>
      <c r="BD270" s="3"/>
      <c r="BE270" s="3"/>
      <c r="BF270" s="3"/>
      <c r="BG270" s="3"/>
      <c r="BH270" s="3"/>
      <c r="BI270" s="3"/>
      <c r="BJ270" s="3"/>
    </row>
    <row r="271" spans="1:62" ht="12.75" customHeight="1">
      <c r="A271"/>
      <c r="B271"/>
      <c r="C271"/>
      <c r="D271"/>
      <c r="E271"/>
      <c r="F271"/>
      <c r="G271"/>
      <c r="H271"/>
      <c r="I271"/>
      <c r="J271"/>
      <c r="K271" s="207">
        <v>27</v>
      </c>
      <c r="L271" s="207"/>
      <c r="M271"/>
      <c r="N271"/>
      <c r="O271"/>
      <c r="P271"/>
      <c r="Q271"/>
      <c r="R271" s="40"/>
      <c r="S271" s="23"/>
      <c r="V271" s="2"/>
      <c r="AN271" s="3"/>
      <c r="AO271" s="3"/>
      <c r="AP271" s="3"/>
      <c r="AQ271" s="3"/>
      <c r="AR271" s="3"/>
      <c r="AS271" s="3"/>
      <c r="AT271" s="3"/>
      <c r="AU271" s="3"/>
      <c r="AV271" s="3"/>
      <c r="AW271" s="3"/>
      <c r="AX271" s="3"/>
      <c r="AY271" s="3"/>
      <c r="AZ271" s="3"/>
      <c r="BA271" s="3"/>
      <c r="BB271" s="3"/>
      <c r="BC271" s="3"/>
      <c r="BD271" s="3"/>
      <c r="BE271" s="3"/>
      <c r="BF271" s="3"/>
      <c r="BG271" s="3"/>
      <c r="BH271" s="3"/>
      <c r="BI271" s="3"/>
      <c r="BJ271" s="3"/>
    </row>
    <row r="272" spans="1:62" ht="12.75" customHeight="1">
      <c r="A272"/>
      <c r="B272"/>
      <c r="C272"/>
      <c r="D272"/>
      <c r="E272"/>
      <c r="F272"/>
      <c r="G272"/>
      <c r="H272"/>
      <c r="I272"/>
      <c r="J272"/>
      <c r="K272" s="207">
        <v>28</v>
      </c>
      <c r="L272" s="207"/>
      <c r="M272"/>
      <c r="N272"/>
      <c r="O272"/>
      <c r="P272"/>
      <c r="Q272"/>
      <c r="R272" s="40"/>
      <c r="S272" s="23"/>
      <c r="V272" s="2"/>
      <c r="AN272" s="3"/>
      <c r="AO272" s="3"/>
      <c r="AP272" s="3"/>
      <c r="AQ272" s="3"/>
      <c r="AR272" s="3"/>
      <c r="AS272" s="3"/>
      <c r="AT272" s="3"/>
      <c r="AU272" s="3"/>
      <c r="AV272" s="3"/>
      <c r="AW272" s="3"/>
      <c r="AX272" s="3"/>
      <c r="AY272" s="3"/>
      <c r="AZ272" s="3"/>
      <c r="BA272" s="3"/>
      <c r="BB272" s="3"/>
      <c r="BC272" s="3"/>
      <c r="BD272" s="3"/>
      <c r="BE272" s="3"/>
      <c r="BF272" s="3"/>
      <c r="BG272" s="3"/>
      <c r="BH272" s="3"/>
      <c r="BI272" s="3"/>
      <c r="BJ272" s="3"/>
    </row>
    <row r="273" spans="1:62" ht="12.75" customHeight="1">
      <c r="A273"/>
      <c r="B273"/>
      <c r="C273"/>
      <c r="D273"/>
      <c r="E273"/>
      <c r="F273"/>
      <c r="G273"/>
      <c r="H273"/>
      <c r="I273"/>
      <c r="J273"/>
      <c r="K273" s="207">
        <v>29</v>
      </c>
      <c r="L273" s="207"/>
      <c r="M273"/>
      <c r="N273"/>
      <c r="O273"/>
      <c r="P273"/>
      <c r="Q273"/>
      <c r="R273" s="40"/>
      <c r="S273" s="23"/>
      <c r="V273" s="2"/>
      <c r="AN273" s="3"/>
      <c r="AO273" s="3"/>
      <c r="AP273" s="3"/>
      <c r="AQ273" s="3"/>
      <c r="AR273" s="3"/>
      <c r="AS273" s="3"/>
      <c r="AT273" s="3"/>
      <c r="AU273" s="3"/>
      <c r="AV273" s="3"/>
      <c r="AW273" s="3"/>
      <c r="AX273" s="3"/>
      <c r="AY273" s="3"/>
      <c r="AZ273" s="3"/>
      <c r="BA273" s="3"/>
      <c r="BB273" s="3"/>
      <c r="BC273" s="3"/>
      <c r="BD273" s="3"/>
      <c r="BE273" s="3"/>
      <c r="BF273" s="3"/>
      <c r="BG273" s="3"/>
      <c r="BH273" s="3"/>
      <c r="BI273" s="3"/>
      <c r="BJ273" s="3"/>
    </row>
    <row r="274" spans="1:62" ht="12.75" customHeight="1">
      <c r="A274"/>
      <c r="B274"/>
      <c r="C274"/>
      <c r="D274"/>
      <c r="E274"/>
      <c r="F274"/>
      <c r="G274"/>
      <c r="H274"/>
      <c r="I274"/>
      <c r="J274"/>
      <c r="K274" s="207">
        <v>30</v>
      </c>
      <c r="L274" s="207"/>
      <c r="M274"/>
      <c r="N274"/>
      <c r="O274"/>
      <c r="P274"/>
      <c r="Q274"/>
      <c r="R274" s="40"/>
      <c r="S274" s="23"/>
      <c r="V274" s="2"/>
      <c r="AN274" s="3"/>
      <c r="AO274" s="3"/>
      <c r="AP274" s="3"/>
      <c r="AQ274" s="3"/>
      <c r="AR274" s="3"/>
      <c r="AS274" s="3"/>
      <c r="AT274" s="3"/>
      <c r="AU274" s="3"/>
      <c r="AV274" s="3"/>
      <c r="AW274" s="3"/>
      <c r="AX274" s="3"/>
      <c r="AY274" s="3"/>
      <c r="AZ274" s="3"/>
      <c r="BA274" s="3"/>
      <c r="BB274" s="3"/>
      <c r="BC274" s="3"/>
      <c r="BD274" s="3"/>
      <c r="BE274" s="3"/>
      <c r="BF274" s="3"/>
      <c r="BG274" s="3"/>
      <c r="BH274" s="3"/>
      <c r="BI274" s="3"/>
      <c r="BJ274" s="3"/>
    </row>
    <row r="275" spans="1:62" ht="12.75" customHeight="1">
      <c r="A275"/>
      <c r="B275"/>
      <c r="C275"/>
      <c r="D275"/>
      <c r="E275"/>
      <c r="F275"/>
      <c r="G275"/>
      <c r="H275"/>
      <c r="I275"/>
      <c r="J275"/>
      <c r="K275" s="207">
        <v>31</v>
      </c>
      <c r="L275" s="207"/>
      <c r="M275"/>
      <c r="N275"/>
      <c r="O275"/>
      <c r="P275"/>
      <c r="Q275"/>
      <c r="R275" s="40"/>
      <c r="S275" s="23"/>
      <c r="V275" s="2"/>
      <c r="AN275" s="3"/>
      <c r="AO275" s="3"/>
      <c r="AP275" s="3"/>
      <c r="AQ275" s="3"/>
      <c r="AR275" s="3"/>
      <c r="AS275" s="3"/>
      <c r="AT275" s="3"/>
      <c r="AU275" s="3"/>
      <c r="AV275" s="3"/>
      <c r="AW275" s="3"/>
      <c r="AX275" s="3"/>
      <c r="AY275" s="3"/>
      <c r="AZ275" s="3"/>
      <c r="BA275" s="3"/>
      <c r="BB275" s="3"/>
      <c r="BC275" s="3"/>
      <c r="BD275" s="3"/>
      <c r="BE275" s="3"/>
      <c r="BF275" s="3"/>
      <c r="BG275" s="3"/>
      <c r="BH275" s="3"/>
      <c r="BI275" s="3"/>
      <c r="BJ275" s="3"/>
    </row>
    <row r="276" spans="1:62" ht="12.75" customHeight="1">
      <c r="A276"/>
      <c r="B276"/>
      <c r="C276"/>
      <c r="D276"/>
      <c r="E276"/>
      <c r="F276"/>
      <c r="G276"/>
      <c r="H276"/>
      <c r="I276"/>
      <c r="J276"/>
      <c r="K276" s="207">
        <v>32</v>
      </c>
      <c r="L276" s="207"/>
      <c r="M276"/>
      <c r="N276"/>
      <c r="O276"/>
      <c r="P276"/>
      <c r="Q276"/>
      <c r="R276" s="40"/>
      <c r="S276" s="23"/>
      <c r="V276" s="2"/>
      <c r="AN276" s="3"/>
      <c r="AO276" s="3"/>
      <c r="AP276" s="3"/>
      <c r="AQ276" s="3"/>
      <c r="AR276" s="3"/>
      <c r="AS276" s="3"/>
      <c r="AT276" s="3"/>
      <c r="AU276" s="3"/>
      <c r="AV276" s="3"/>
      <c r="AW276" s="3"/>
      <c r="AX276" s="3"/>
      <c r="AY276" s="3"/>
      <c r="AZ276" s="3"/>
      <c r="BA276" s="3"/>
      <c r="BB276" s="3"/>
      <c r="BC276" s="3"/>
      <c r="BD276" s="3"/>
      <c r="BE276" s="3"/>
      <c r="BF276" s="3"/>
      <c r="BG276" s="3"/>
      <c r="BH276" s="3"/>
      <c r="BI276" s="3"/>
      <c r="BJ276" s="3"/>
    </row>
    <row r="277" spans="1:62" ht="12.75" customHeight="1">
      <c r="A277"/>
      <c r="B277"/>
      <c r="C277"/>
      <c r="D277"/>
      <c r="E277"/>
      <c r="F277"/>
      <c r="G277"/>
      <c r="H277"/>
      <c r="I277"/>
      <c r="J277"/>
      <c r="K277" s="207">
        <v>33</v>
      </c>
      <c r="L277" s="207"/>
      <c r="M277"/>
      <c r="N277"/>
      <c r="O277"/>
      <c r="P277"/>
      <c r="Q277"/>
      <c r="R277" s="40"/>
      <c r="S277" s="23"/>
      <c r="V277" s="2"/>
      <c r="AN277" s="3"/>
      <c r="AO277" s="3"/>
      <c r="AP277" s="3"/>
      <c r="AQ277" s="3"/>
      <c r="AR277" s="3"/>
      <c r="AS277" s="3"/>
      <c r="AT277" s="3"/>
      <c r="AU277" s="3"/>
      <c r="AV277" s="3"/>
      <c r="AW277" s="3"/>
      <c r="AX277" s="3"/>
      <c r="AY277" s="3"/>
      <c r="AZ277" s="3"/>
      <c r="BA277" s="3"/>
      <c r="BB277" s="3"/>
      <c r="BC277" s="3"/>
      <c r="BD277" s="3"/>
      <c r="BE277" s="3"/>
      <c r="BF277" s="3"/>
      <c r="BG277" s="3"/>
      <c r="BH277" s="3"/>
      <c r="BI277" s="3"/>
      <c r="BJ277" s="3"/>
    </row>
    <row r="278" spans="1:62" ht="12.75" customHeight="1">
      <c r="A278"/>
      <c r="B278"/>
      <c r="C278"/>
      <c r="D278"/>
      <c r="E278"/>
      <c r="F278"/>
      <c r="G278"/>
      <c r="H278"/>
      <c r="I278"/>
      <c r="J278"/>
      <c r="K278" s="207">
        <v>34</v>
      </c>
      <c r="L278" s="207"/>
      <c r="M278"/>
      <c r="N278"/>
      <c r="O278"/>
      <c r="P278"/>
      <c r="Q278"/>
      <c r="R278" s="40"/>
      <c r="S278" s="23"/>
      <c r="V278" s="2"/>
      <c r="AN278" s="3"/>
      <c r="AO278" s="3"/>
      <c r="AP278" s="3"/>
      <c r="AQ278" s="3"/>
      <c r="AR278" s="3"/>
      <c r="AS278" s="3"/>
      <c r="AT278" s="3"/>
      <c r="AU278" s="3"/>
      <c r="AV278" s="3"/>
      <c r="AW278" s="3"/>
      <c r="AX278" s="3"/>
      <c r="AY278" s="3"/>
      <c r="AZ278" s="3"/>
      <c r="BA278" s="3"/>
      <c r="BB278" s="3"/>
      <c r="BC278" s="3"/>
      <c r="BD278" s="3"/>
      <c r="BE278" s="3"/>
      <c r="BF278" s="3"/>
      <c r="BG278" s="3"/>
      <c r="BH278" s="3"/>
      <c r="BI278" s="3"/>
      <c r="BJ278" s="3"/>
    </row>
    <row r="279" spans="1:62" ht="12.75" customHeight="1">
      <c r="A279"/>
      <c r="B279"/>
      <c r="C279"/>
      <c r="D279"/>
      <c r="E279"/>
      <c r="F279"/>
      <c r="G279"/>
      <c r="H279"/>
      <c r="I279"/>
      <c r="J279"/>
      <c r="K279" s="207">
        <v>35</v>
      </c>
      <c r="L279" s="207"/>
      <c r="M279"/>
      <c r="N279"/>
      <c r="O279"/>
      <c r="P279"/>
      <c r="Q279"/>
      <c r="R279" s="40"/>
      <c r="S279" s="23"/>
      <c r="V279" s="2"/>
      <c r="AN279" s="3"/>
      <c r="AO279" s="3"/>
      <c r="AP279" s="3"/>
      <c r="AQ279" s="3"/>
      <c r="AR279" s="3"/>
      <c r="AS279" s="3"/>
      <c r="AT279" s="3"/>
      <c r="AU279" s="3"/>
      <c r="AV279" s="3"/>
      <c r="AW279" s="3"/>
      <c r="AX279" s="3"/>
      <c r="AY279" s="3"/>
      <c r="AZ279" s="3"/>
      <c r="BA279" s="3"/>
      <c r="BB279" s="3"/>
      <c r="BC279" s="3"/>
      <c r="BD279" s="3"/>
      <c r="BE279" s="3"/>
      <c r="BF279" s="3"/>
      <c r="BG279" s="3"/>
      <c r="BH279" s="3"/>
      <c r="BI279" s="3"/>
      <c r="BJ279" s="3"/>
    </row>
    <row r="280" spans="1:62" ht="12.75" customHeight="1">
      <c r="A280"/>
      <c r="B280"/>
      <c r="C280"/>
      <c r="D280"/>
      <c r="E280"/>
      <c r="F280"/>
      <c r="G280"/>
      <c r="H280"/>
      <c r="I280"/>
      <c r="J280"/>
      <c r="K280" s="207">
        <v>36</v>
      </c>
      <c r="L280" s="207"/>
      <c r="M280"/>
      <c r="N280"/>
      <c r="O280"/>
      <c r="P280"/>
      <c r="Q280"/>
      <c r="R280" s="40"/>
      <c r="S280" s="23"/>
      <c r="V280" s="2"/>
      <c r="AN280" s="3"/>
      <c r="AO280" s="3"/>
      <c r="AP280" s="3"/>
      <c r="AQ280" s="3"/>
      <c r="AR280" s="3"/>
      <c r="AS280" s="3"/>
      <c r="AT280" s="3"/>
      <c r="AU280" s="3"/>
      <c r="AV280" s="3"/>
      <c r="AW280" s="3"/>
      <c r="AX280" s="3"/>
      <c r="AY280" s="3"/>
      <c r="AZ280" s="3"/>
      <c r="BA280" s="3"/>
      <c r="BB280" s="3"/>
      <c r="BC280" s="3"/>
      <c r="BD280" s="3"/>
      <c r="BE280" s="3"/>
      <c r="BF280" s="3"/>
      <c r="BG280" s="3"/>
      <c r="BH280" s="3"/>
      <c r="BI280" s="3"/>
      <c r="BJ280" s="3"/>
    </row>
    <row r="281" spans="1:62" ht="12.75" customHeight="1">
      <c r="A281"/>
      <c r="B281"/>
      <c r="C281"/>
      <c r="D281"/>
      <c r="E281"/>
      <c r="F281"/>
      <c r="G281"/>
      <c r="H281"/>
      <c r="I281"/>
      <c r="J281"/>
      <c r="K281" s="207">
        <v>37</v>
      </c>
      <c r="L281" s="207"/>
      <c r="M281"/>
      <c r="N281"/>
      <c r="O281"/>
      <c r="P281"/>
      <c r="Q281"/>
      <c r="R281" s="40"/>
      <c r="S281" s="23"/>
      <c r="V281" s="2"/>
      <c r="AN281" s="3"/>
      <c r="AO281" s="3"/>
      <c r="AP281" s="3"/>
      <c r="AQ281" s="3"/>
      <c r="AR281" s="3"/>
      <c r="AS281" s="3"/>
      <c r="AT281" s="3"/>
      <c r="AU281" s="3"/>
      <c r="AV281" s="3"/>
      <c r="AW281" s="3"/>
      <c r="AX281" s="3"/>
      <c r="AY281" s="3"/>
      <c r="AZ281" s="3"/>
      <c r="BA281" s="3"/>
      <c r="BB281" s="3"/>
      <c r="BC281" s="3"/>
      <c r="BD281" s="3"/>
      <c r="BE281" s="3"/>
      <c r="BF281" s="3"/>
      <c r="BG281" s="3"/>
      <c r="BH281" s="3"/>
      <c r="BI281" s="3"/>
      <c r="BJ281" s="3"/>
    </row>
    <row r="282" spans="1:62" ht="12.75" customHeight="1">
      <c r="A282"/>
      <c r="B282"/>
      <c r="C282"/>
      <c r="D282"/>
      <c r="E282"/>
      <c r="F282"/>
      <c r="G282"/>
      <c r="H282"/>
      <c r="I282"/>
      <c r="J282"/>
      <c r="K282" s="207">
        <v>38</v>
      </c>
      <c r="L282" s="207"/>
      <c r="M282"/>
      <c r="N282"/>
      <c r="O282"/>
      <c r="P282"/>
      <c r="Q282"/>
      <c r="R282" s="40"/>
      <c r="S282" s="23"/>
      <c r="V282" s="2"/>
      <c r="AN282" s="3"/>
      <c r="AO282" s="3"/>
      <c r="AP282" s="3"/>
      <c r="AQ282" s="3"/>
      <c r="AR282" s="3"/>
      <c r="AS282" s="3"/>
      <c r="AT282" s="3"/>
      <c r="AU282" s="3"/>
      <c r="AV282" s="3"/>
      <c r="AW282" s="3"/>
      <c r="AX282" s="3"/>
      <c r="AY282" s="3"/>
      <c r="AZ282" s="3"/>
      <c r="BA282" s="3"/>
      <c r="BB282" s="3"/>
      <c r="BC282" s="3"/>
      <c r="BD282" s="3"/>
      <c r="BE282" s="3"/>
      <c r="BF282" s="3"/>
      <c r="BG282" s="3"/>
      <c r="BH282" s="3"/>
      <c r="BI282" s="3"/>
      <c r="BJ282" s="3"/>
    </row>
    <row r="283" spans="1:62" ht="12.75" customHeight="1">
      <c r="A283"/>
      <c r="B283"/>
      <c r="C283"/>
      <c r="D283"/>
      <c r="E283"/>
      <c r="F283"/>
      <c r="G283"/>
      <c r="H283"/>
      <c r="I283"/>
      <c r="J283"/>
      <c r="K283" s="207">
        <v>39</v>
      </c>
      <c r="L283" s="207"/>
      <c r="M283"/>
      <c r="N283"/>
      <c r="O283"/>
      <c r="P283"/>
      <c r="Q283"/>
      <c r="R283" s="40"/>
      <c r="S283" s="23"/>
      <c r="V283" s="2"/>
      <c r="AN283" s="3"/>
      <c r="AO283" s="3"/>
      <c r="AP283" s="3"/>
      <c r="AQ283" s="3"/>
      <c r="AR283" s="3"/>
      <c r="AS283" s="3"/>
      <c r="AT283" s="3"/>
      <c r="AU283" s="3"/>
      <c r="AV283" s="3"/>
      <c r="AW283" s="3"/>
      <c r="AX283" s="3"/>
      <c r="AY283" s="3"/>
      <c r="AZ283" s="3"/>
      <c r="BA283" s="3"/>
      <c r="BB283" s="3"/>
      <c r="BC283" s="3"/>
      <c r="BD283" s="3"/>
      <c r="BE283" s="3"/>
      <c r="BF283" s="3"/>
      <c r="BG283" s="3"/>
      <c r="BH283" s="3"/>
      <c r="BI283" s="3"/>
      <c r="BJ283" s="3"/>
    </row>
    <row r="284" spans="1:62" ht="12.75" customHeight="1">
      <c r="A284"/>
      <c r="B284"/>
      <c r="C284"/>
      <c r="D284"/>
      <c r="E284"/>
      <c r="F284"/>
      <c r="G284"/>
      <c r="H284"/>
      <c r="I284"/>
      <c r="J284"/>
      <c r="K284" s="207">
        <v>40</v>
      </c>
      <c r="L284" s="207"/>
      <c r="M284"/>
      <c r="N284"/>
      <c r="O284"/>
      <c r="P284"/>
      <c r="Q284"/>
      <c r="R284" s="40"/>
      <c r="S284" s="23"/>
      <c r="V284" s="2"/>
      <c r="AN284" s="3"/>
      <c r="AO284" s="3"/>
      <c r="AP284" s="3"/>
      <c r="AQ284" s="3"/>
      <c r="AR284" s="3"/>
      <c r="AS284" s="3"/>
      <c r="AT284" s="3"/>
      <c r="AU284" s="3"/>
      <c r="AV284" s="3"/>
      <c r="AW284" s="3"/>
      <c r="AX284" s="3"/>
      <c r="AY284" s="3"/>
      <c r="AZ284" s="3"/>
      <c r="BA284" s="3"/>
      <c r="BB284" s="3"/>
      <c r="BC284" s="3"/>
      <c r="BD284" s="3"/>
      <c r="BE284" s="3"/>
      <c r="BF284" s="3"/>
      <c r="BG284" s="3"/>
      <c r="BH284" s="3"/>
      <c r="BI284" s="3"/>
      <c r="BJ284" s="3"/>
    </row>
    <row r="285" spans="1:62" ht="12.75" customHeight="1">
      <c r="A285"/>
      <c r="B285"/>
      <c r="C285"/>
      <c r="D285"/>
      <c r="E285"/>
      <c r="F285"/>
      <c r="G285"/>
      <c r="H285"/>
      <c r="I285"/>
      <c r="J285"/>
      <c r="K285" s="207">
        <v>41</v>
      </c>
      <c r="L285" s="207"/>
      <c r="M285"/>
      <c r="N285"/>
      <c r="O285"/>
      <c r="P285"/>
      <c r="Q285"/>
      <c r="R285" s="40"/>
      <c r="S285" s="23"/>
      <c r="V285" s="2"/>
      <c r="AN285" s="3"/>
      <c r="AO285" s="3"/>
      <c r="AP285" s="3"/>
      <c r="AQ285" s="3"/>
      <c r="AR285" s="3"/>
      <c r="AS285" s="3"/>
      <c r="AT285" s="3"/>
      <c r="AU285" s="3"/>
      <c r="AV285" s="3"/>
      <c r="AW285" s="3"/>
      <c r="AX285" s="3"/>
      <c r="AY285" s="3"/>
      <c r="AZ285" s="3"/>
      <c r="BA285" s="3"/>
      <c r="BB285" s="3"/>
      <c r="BC285" s="3"/>
      <c r="BD285" s="3"/>
      <c r="BE285" s="3"/>
      <c r="BF285" s="3"/>
      <c r="BG285" s="3"/>
      <c r="BH285" s="3"/>
      <c r="BI285" s="3"/>
      <c r="BJ285" s="3"/>
    </row>
    <row r="286" spans="1:62" ht="12.75" customHeight="1">
      <c r="A286"/>
      <c r="B286"/>
      <c r="C286"/>
      <c r="D286"/>
      <c r="E286"/>
      <c r="F286"/>
      <c r="G286"/>
      <c r="H286"/>
      <c r="I286"/>
      <c r="J286"/>
      <c r="K286" s="207">
        <v>42</v>
      </c>
      <c r="L286" s="207"/>
      <c r="M286"/>
      <c r="N286"/>
      <c r="O286"/>
      <c r="P286"/>
      <c r="Q286"/>
      <c r="R286" s="40"/>
      <c r="S286" s="23"/>
      <c r="V286" s="2"/>
      <c r="AN286" s="3"/>
      <c r="AO286" s="3"/>
      <c r="AP286" s="3"/>
      <c r="AQ286" s="3"/>
      <c r="AR286" s="3"/>
      <c r="AS286" s="3"/>
      <c r="AT286" s="3"/>
      <c r="AU286" s="3"/>
      <c r="AV286" s="3"/>
      <c r="AW286" s="3"/>
      <c r="AX286" s="3"/>
      <c r="AY286" s="3"/>
      <c r="AZ286" s="3"/>
      <c r="BA286" s="3"/>
      <c r="BB286" s="3"/>
      <c r="BC286" s="3"/>
      <c r="BD286" s="3"/>
      <c r="BE286" s="3"/>
      <c r="BF286" s="3"/>
      <c r="BG286" s="3"/>
      <c r="BH286" s="3"/>
      <c r="BI286" s="3"/>
      <c r="BJ286" s="3"/>
    </row>
    <row r="287" spans="1:62" ht="12.75" customHeight="1">
      <c r="A287"/>
      <c r="B287"/>
      <c r="C287"/>
      <c r="D287"/>
      <c r="E287"/>
      <c r="F287"/>
      <c r="G287"/>
      <c r="H287"/>
      <c r="I287"/>
      <c r="J287"/>
      <c r="K287" s="207">
        <v>43</v>
      </c>
      <c r="L287" s="207"/>
      <c r="M287"/>
      <c r="N287"/>
      <c r="O287"/>
      <c r="P287"/>
      <c r="Q287"/>
      <c r="R287" s="40"/>
      <c r="S287" s="23"/>
      <c r="V287" s="2"/>
      <c r="AN287" s="3"/>
      <c r="AO287" s="3"/>
      <c r="AP287" s="3"/>
      <c r="AQ287" s="3"/>
      <c r="AR287" s="3"/>
      <c r="AS287" s="3"/>
      <c r="AT287" s="3"/>
      <c r="AU287" s="3"/>
      <c r="AV287" s="3"/>
      <c r="AW287" s="3"/>
      <c r="AX287" s="3"/>
      <c r="AY287" s="3"/>
      <c r="AZ287" s="3"/>
      <c r="BA287" s="3"/>
      <c r="BB287" s="3"/>
      <c r="BC287" s="3"/>
      <c r="BD287" s="3"/>
      <c r="BE287" s="3"/>
      <c r="BF287" s="3"/>
      <c r="BG287" s="3"/>
      <c r="BH287" s="3"/>
      <c r="BI287" s="3"/>
      <c r="BJ287" s="3"/>
    </row>
    <row r="288" spans="1:62" ht="12.75" customHeight="1">
      <c r="A288"/>
      <c r="B288"/>
      <c r="C288"/>
      <c r="D288"/>
      <c r="E288"/>
      <c r="F288"/>
      <c r="G288"/>
      <c r="H288"/>
      <c r="I288"/>
      <c r="J288"/>
      <c r="K288" s="207">
        <v>44</v>
      </c>
      <c r="L288" s="207"/>
      <c r="M288"/>
      <c r="N288"/>
      <c r="O288"/>
      <c r="P288"/>
      <c r="Q288"/>
      <c r="R288" s="40"/>
      <c r="S288" s="23"/>
      <c r="V288" s="2"/>
      <c r="AN288" s="3"/>
      <c r="AO288" s="3"/>
      <c r="AP288" s="3"/>
      <c r="AQ288" s="3"/>
      <c r="AR288" s="3"/>
      <c r="AS288" s="3"/>
      <c r="AT288" s="3"/>
      <c r="AU288" s="3"/>
      <c r="AV288" s="3"/>
      <c r="AW288" s="3"/>
      <c r="AX288" s="3"/>
      <c r="AY288" s="3"/>
      <c r="AZ288" s="3"/>
      <c r="BA288" s="3"/>
      <c r="BB288" s="3"/>
      <c r="BC288" s="3"/>
      <c r="BD288" s="3"/>
      <c r="BE288" s="3"/>
      <c r="BF288" s="3"/>
      <c r="BG288" s="3"/>
      <c r="BH288" s="3"/>
      <c r="BI288" s="3"/>
      <c r="BJ288" s="3"/>
    </row>
    <row r="289" spans="1:62" ht="12.75" customHeight="1">
      <c r="A289"/>
      <c r="B289"/>
      <c r="C289"/>
      <c r="D289"/>
      <c r="E289"/>
      <c r="F289"/>
      <c r="G289"/>
      <c r="H289"/>
      <c r="I289"/>
      <c r="J289"/>
      <c r="K289" s="207">
        <v>45</v>
      </c>
      <c r="L289" s="207"/>
      <c r="M289"/>
      <c r="N289"/>
      <c r="O289"/>
      <c r="P289"/>
      <c r="Q289"/>
      <c r="R289" s="40"/>
      <c r="S289" s="23"/>
      <c r="V289" s="2"/>
      <c r="AN289" s="3"/>
      <c r="AO289" s="3"/>
      <c r="AP289" s="3"/>
      <c r="AQ289" s="3"/>
      <c r="AR289" s="3"/>
      <c r="AS289" s="3"/>
      <c r="AT289" s="3"/>
      <c r="AU289" s="3"/>
      <c r="AV289" s="3"/>
      <c r="AW289" s="3"/>
      <c r="AX289" s="3"/>
      <c r="AY289" s="3"/>
      <c r="AZ289" s="3"/>
      <c r="BA289" s="3"/>
      <c r="BB289" s="3"/>
      <c r="BC289" s="3"/>
      <c r="BD289" s="3"/>
      <c r="BE289" s="3"/>
      <c r="BF289" s="3"/>
      <c r="BG289" s="3"/>
      <c r="BH289" s="3"/>
      <c r="BI289" s="3"/>
      <c r="BJ289" s="3"/>
    </row>
    <row r="290" spans="1:62" ht="12.75" customHeight="1">
      <c r="A290"/>
      <c r="B290"/>
      <c r="C290"/>
      <c r="D290"/>
      <c r="E290"/>
      <c r="F290"/>
      <c r="G290"/>
      <c r="H290"/>
      <c r="I290"/>
      <c r="J290"/>
      <c r="K290" s="207">
        <v>46</v>
      </c>
      <c r="L290" s="207"/>
      <c r="M290"/>
      <c r="N290"/>
      <c r="O290"/>
      <c r="P290"/>
      <c r="Q290"/>
      <c r="R290" s="40"/>
      <c r="S290" s="23"/>
      <c r="V290" s="2"/>
      <c r="AN290" s="3"/>
      <c r="AO290" s="3"/>
      <c r="AP290" s="3"/>
      <c r="AQ290" s="3"/>
      <c r="AR290" s="3"/>
      <c r="AS290" s="3"/>
      <c r="AT290" s="3"/>
      <c r="AU290" s="3"/>
      <c r="AV290" s="3"/>
      <c r="AW290" s="3"/>
      <c r="AX290" s="3"/>
      <c r="AY290" s="3"/>
      <c r="AZ290" s="3"/>
      <c r="BA290" s="3"/>
      <c r="BB290" s="3"/>
      <c r="BC290" s="3"/>
      <c r="BD290" s="3"/>
      <c r="BE290" s="3"/>
      <c r="BF290" s="3"/>
      <c r="BG290" s="3"/>
      <c r="BH290" s="3"/>
      <c r="BI290" s="3"/>
      <c r="BJ290" s="3"/>
    </row>
    <row r="291" spans="1:62" ht="12.75" customHeight="1">
      <c r="A291"/>
      <c r="B291"/>
      <c r="C291"/>
      <c r="D291"/>
      <c r="E291"/>
      <c r="F291"/>
      <c r="G291"/>
      <c r="H291"/>
      <c r="I291"/>
      <c r="J291"/>
      <c r="K291" s="207">
        <v>47</v>
      </c>
      <c r="L291" s="207"/>
      <c r="M291"/>
      <c r="N291"/>
      <c r="O291"/>
      <c r="P291"/>
      <c r="Q291"/>
      <c r="R291" s="40"/>
      <c r="S291" s="23"/>
      <c r="V291" s="2"/>
      <c r="AN291" s="3"/>
      <c r="AO291" s="3"/>
      <c r="AP291" s="3"/>
      <c r="AQ291" s="3"/>
      <c r="AR291" s="3"/>
      <c r="AS291" s="3"/>
      <c r="AT291" s="3"/>
      <c r="AU291" s="3"/>
      <c r="AV291" s="3"/>
      <c r="AW291" s="3"/>
      <c r="AX291" s="3"/>
      <c r="AY291" s="3"/>
      <c r="AZ291" s="3"/>
      <c r="BA291" s="3"/>
      <c r="BB291" s="3"/>
      <c r="BC291" s="3"/>
      <c r="BD291" s="3"/>
      <c r="BE291" s="3"/>
      <c r="BF291" s="3"/>
      <c r="BG291" s="3"/>
      <c r="BH291" s="3"/>
      <c r="BI291" s="3"/>
      <c r="BJ291" s="3"/>
    </row>
    <row r="292" spans="1:62" ht="12.75" customHeight="1">
      <c r="A292"/>
      <c r="B292"/>
      <c r="C292"/>
      <c r="D292"/>
      <c r="E292"/>
      <c r="F292"/>
      <c r="G292"/>
      <c r="H292"/>
      <c r="I292"/>
      <c r="J292"/>
      <c r="K292" s="207">
        <v>48</v>
      </c>
      <c r="L292" s="207"/>
      <c r="M292"/>
      <c r="N292"/>
      <c r="O292"/>
      <c r="P292"/>
      <c r="Q292"/>
      <c r="R292" s="40"/>
      <c r="S292" s="23"/>
      <c r="V292" s="2"/>
      <c r="AN292" s="3"/>
      <c r="AO292" s="3"/>
      <c r="AP292" s="3"/>
      <c r="AQ292" s="3"/>
      <c r="AR292" s="3"/>
      <c r="AS292" s="3"/>
      <c r="AT292" s="3"/>
      <c r="AU292" s="3"/>
      <c r="AV292" s="3"/>
      <c r="AW292" s="3"/>
      <c r="AX292" s="3"/>
      <c r="AY292" s="3"/>
      <c r="AZ292" s="3"/>
      <c r="BA292" s="3"/>
      <c r="BB292" s="3"/>
      <c r="BC292" s="3"/>
      <c r="BD292" s="3"/>
      <c r="BE292" s="3"/>
      <c r="BF292" s="3"/>
      <c r="BG292" s="3"/>
      <c r="BH292" s="3"/>
      <c r="BI292" s="3"/>
      <c r="BJ292" s="3"/>
    </row>
    <row r="293" spans="1:62" ht="12.75" customHeight="1">
      <c r="A293"/>
      <c r="B293"/>
      <c r="C293"/>
      <c r="D293"/>
      <c r="E293"/>
      <c r="F293"/>
      <c r="G293"/>
      <c r="H293"/>
      <c r="I293"/>
      <c r="J293"/>
      <c r="K293" s="207">
        <v>49</v>
      </c>
      <c r="L293" s="207"/>
      <c r="M293"/>
      <c r="N293"/>
      <c r="O293"/>
      <c r="P293"/>
      <c r="Q293"/>
      <c r="R293" s="40"/>
      <c r="S293" s="23"/>
      <c r="V293" s="2"/>
      <c r="AN293" s="3"/>
      <c r="AO293" s="3"/>
      <c r="AP293" s="3"/>
      <c r="AQ293" s="3"/>
      <c r="AR293" s="3"/>
      <c r="AS293" s="3"/>
      <c r="AT293" s="3"/>
      <c r="AU293" s="3"/>
      <c r="AV293" s="3"/>
      <c r="AW293" s="3"/>
      <c r="AX293" s="3"/>
      <c r="AY293" s="3"/>
      <c r="AZ293" s="3"/>
      <c r="BA293" s="3"/>
      <c r="BB293" s="3"/>
      <c r="BC293" s="3"/>
      <c r="BD293" s="3"/>
      <c r="BE293" s="3"/>
      <c r="BF293" s="3"/>
      <c r="BG293" s="3"/>
      <c r="BH293" s="3"/>
      <c r="BI293" s="3"/>
      <c r="BJ293" s="3"/>
    </row>
    <row r="294" spans="1:62" ht="12.75" customHeight="1">
      <c r="A294"/>
      <c r="B294"/>
      <c r="C294"/>
      <c r="D294"/>
      <c r="E294"/>
      <c r="F294"/>
      <c r="G294"/>
      <c r="H294"/>
      <c r="I294"/>
      <c r="J294"/>
      <c r="K294" s="207">
        <v>50</v>
      </c>
      <c r="L294" s="207"/>
      <c r="M294"/>
      <c r="N294"/>
      <c r="O294"/>
      <c r="P294"/>
      <c r="Q294"/>
      <c r="R294" s="40"/>
      <c r="S294" s="23"/>
      <c r="V294" s="2"/>
      <c r="AN294" s="3"/>
      <c r="AO294" s="3"/>
      <c r="AP294" s="3"/>
      <c r="AQ294" s="3"/>
      <c r="AR294" s="3"/>
      <c r="AS294" s="3"/>
      <c r="AT294" s="3"/>
      <c r="AU294" s="3"/>
      <c r="AV294" s="3"/>
      <c r="AW294" s="3"/>
      <c r="AX294" s="3"/>
      <c r="AY294" s="3"/>
      <c r="AZ294" s="3"/>
      <c r="BA294" s="3"/>
      <c r="BB294" s="3"/>
      <c r="BC294" s="3"/>
      <c r="BD294" s="3"/>
      <c r="BE294" s="3"/>
      <c r="BF294" s="3"/>
      <c r="BG294" s="3"/>
      <c r="BH294" s="3"/>
      <c r="BI294" s="3"/>
      <c r="BJ294" s="3"/>
    </row>
    <row r="295" spans="1:62" ht="12.75" customHeight="1">
      <c r="A295"/>
      <c r="B295"/>
      <c r="C295"/>
      <c r="D295"/>
      <c r="E295"/>
      <c r="F295"/>
      <c r="G295"/>
      <c r="H295"/>
      <c r="I295"/>
      <c r="J295"/>
      <c r="K295" s="207">
        <v>51</v>
      </c>
      <c r="L295" s="207"/>
      <c r="M295"/>
      <c r="N295"/>
      <c r="O295"/>
      <c r="P295"/>
      <c r="Q295"/>
      <c r="R295" s="40"/>
      <c r="S295" s="23"/>
      <c r="V295" s="2"/>
      <c r="AN295" s="3"/>
      <c r="AO295" s="3"/>
      <c r="AP295" s="3"/>
      <c r="AQ295" s="3"/>
      <c r="AR295" s="3"/>
      <c r="AS295" s="3"/>
      <c r="AT295" s="3"/>
      <c r="AU295" s="3"/>
      <c r="AV295" s="3"/>
      <c r="AW295" s="3"/>
      <c r="AX295" s="3"/>
      <c r="AY295" s="3"/>
      <c r="AZ295" s="3"/>
      <c r="BA295" s="3"/>
      <c r="BB295" s="3"/>
      <c r="BC295" s="3"/>
      <c r="BD295" s="3"/>
      <c r="BE295" s="3"/>
      <c r="BF295" s="3"/>
      <c r="BG295" s="3"/>
      <c r="BH295" s="3"/>
      <c r="BI295" s="3"/>
      <c r="BJ295" s="3"/>
    </row>
    <row r="296" spans="1:62" ht="12.75" customHeight="1">
      <c r="A296"/>
      <c r="B296"/>
      <c r="C296"/>
      <c r="D296"/>
      <c r="E296"/>
      <c r="F296"/>
      <c r="G296"/>
      <c r="H296"/>
      <c r="I296"/>
      <c r="J296"/>
      <c r="K296" s="207">
        <v>52</v>
      </c>
      <c r="L296" s="207"/>
      <c r="M296"/>
      <c r="N296"/>
      <c r="O296"/>
      <c r="P296"/>
      <c r="Q296"/>
      <c r="R296" s="40"/>
      <c r="S296" s="23"/>
      <c r="V296" s="2"/>
      <c r="AN296" s="3"/>
      <c r="AO296" s="3"/>
      <c r="AP296" s="3"/>
      <c r="AQ296" s="3"/>
      <c r="AR296" s="3"/>
      <c r="AS296" s="3"/>
      <c r="AT296" s="3"/>
      <c r="AU296" s="3"/>
      <c r="AV296" s="3"/>
      <c r="AW296" s="3"/>
      <c r="AX296" s="3"/>
      <c r="AY296" s="3"/>
      <c r="AZ296" s="3"/>
      <c r="BA296" s="3"/>
      <c r="BB296" s="3"/>
      <c r="BC296" s="3"/>
      <c r="BD296" s="3"/>
      <c r="BE296" s="3"/>
      <c r="BF296" s="3"/>
      <c r="BG296" s="3"/>
      <c r="BH296" s="3"/>
      <c r="BI296" s="3"/>
      <c r="BJ296" s="3"/>
    </row>
    <row r="297" spans="1:62" ht="12.75" customHeight="1">
      <c r="A297"/>
      <c r="B297"/>
      <c r="C297"/>
      <c r="D297"/>
      <c r="E297"/>
      <c r="F297"/>
      <c r="G297"/>
      <c r="H297"/>
      <c r="I297"/>
      <c r="J297"/>
      <c r="K297" s="207">
        <v>53</v>
      </c>
      <c r="L297" s="207"/>
      <c r="M297"/>
      <c r="N297"/>
      <c r="O297"/>
      <c r="P297"/>
      <c r="Q297"/>
      <c r="R297" s="40"/>
      <c r="S297" s="23"/>
      <c r="V297" s="2"/>
      <c r="AN297" s="3"/>
      <c r="AO297" s="3"/>
      <c r="AP297" s="3"/>
      <c r="AQ297" s="3"/>
      <c r="AR297" s="3"/>
      <c r="AS297" s="3"/>
      <c r="AT297" s="3"/>
      <c r="AU297" s="3"/>
      <c r="AV297" s="3"/>
      <c r="AW297" s="3"/>
      <c r="AX297" s="3"/>
      <c r="AY297" s="3"/>
      <c r="AZ297" s="3"/>
      <c r="BA297" s="3"/>
      <c r="BB297" s="3"/>
      <c r="BC297" s="3"/>
      <c r="BD297" s="3"/>
      <c r="BE297" s="3"/>
      <c r="BF297" s="3"/>
      <c r="BG297" s="3"/>
      <c r="BH297" s="3"/>
      <c r="BI297" s="3"/>
      <c r="BJ297" s="3"/>
    </row>
    <row r="298" spans="1:62" ht="12.75" customHeight="1">
      <c r="A298"/>
      <c r="B298"/>
      <c r="C298"/>
      <c r="D298"/>
      <c r="E298"/>
      <c r="F298"/>
      <c r="G298"/>
      <c r="H298"/>
      <c r="I298"/>
      <c r="J298"/>
      <c r="K298" s="207">
        <v>54</v>
      </c>
      <c r="L298" s="207"/>
      <c r="M298"/>
      <c r="N298"/>
      <c r="O298"/>
      <c r="P298"/>
      <c r="Q298"/>
      <c r="R298" s="40"/>
      <c r="S298" s="23"/>
      <c r="V298" s="2"/>
      <c r="AN298" s="3"/>
      <c r="AO298" s="3"/>
      <c r="AP298" s="3"/>
      <c r="AQ298" s="3"/>
      <c r="AR298" s="3"/>
      <c r="AS298" s="3"/>
      <c r="AT298" s="3"/>
      <c r="AU298" s="3"/>
      <c r="AV298" s="3"/>
      <c r="AW298" s="3"/>
      <c r="AX298" s="3"/>
      <c r="AY298" s="3"/>
      <c r="AZ298" s="3"/>
      <c r="BA298" s="3"/>
      <c r="BB298" s="3"/>
      <c r="BC298" s="3"/>
      <c r="BD298" s="3"/>
      <c r="BE298" s="3"/>
      <c r="BF298" s="3"/>
      <c r="BG298" s="3"/>
      <c r="BH298" s="3"/>
      <c r="BI298" s="3"/>
      <c r="BJ298" s="3"/>
    </row>
    <row r="299" spans="1:62" ht="12.75" customHeight="1">
      <c r="A299"/>
      <c r="B299"/>
      <c r="C299"/>
      <c r="D299"/>
      <c r="E299"/>
      <c r="F299"/>
      <c r="G299"/>
      <c r="H299"/>
      <c r="I299"/>
      <c r="J299"/>
      <c r="K299" s="207">
        <v>55</v>
      </c>
      <c r="L299" s="207"/>
      <c r="M299"/>
      <c r="N299"/>
      <c r="O299"/>
      <c r="P299"/>
      <c r="Q299"/>
      <c r="R299" s="40"/>
      <c r="S299" s="23"/>
      <c r="V299" s="2"/>
      <c r="AN299" s="3"/>
      <c r="AO299" s="3"/>
      <c r="AP299" s="3"/>
      <c r="AQ299" s="3"/>
      <c r="AR299" s="3"/>
      <c r="AS299" s="3"/>
      <c r="AT299" s="3"/>
      <c r="AU299" s="3"/>
      <c r="AV299" s="3"/>
      <c r="AW299" s="3"/>
      <c r="AX299" s="3"/>
      <c r="AY299" s="3"/>
      <c r="AZ299" s="3"/>
      <c r="BA299" s="3"/>
      <c r="BB299" s="3"/>
      <c r="BC299" s="3"/>
      <c r="BD299" s="3"/>
      <c r="BE299" s="3"/>
      <c r="BF299" s="3"/>
      <c r="BG299" s="3"/>
      <c r="BH299" s="3"/>
      <c r="BI299" s="3"/>
      <c r="BJ299" s="3"/>
    </row>
    <row r="300" spans="1:62" ht="12.75" customHeight="1">
      <c r="A300"/>
      <c r="B300"/>
      <c r="C300"/>
      <c r="D300"/>
      <c r="E300"/>
      <c r="F300"/>
      <c r="G300"/>
      <c r="H300"/>
      <c r="I300"/>
      <c r="J300"/>
      <c r="K300" s="207">
        <v>56</v>
      </c>
      <c r="L300" s="207"/>
      <c r="M300"/>
      <c r="N300"/>
      <c r="O300"/>
      <c r="P300"/>
      <c r="Q300"/>
      <c r="R300" s="40"/>
      <c r="S300" s="23"/>
      <c r="V300" s="2"/>
      <c r="AN300" s="3"/>
      <c r="AO300" s="3"/>
      <c r="AP300" s="3"/>
      <c r="AQ300" s="3"/>
      <c r="AR300" s="3"/>
      <c r="AS300" s="3"/>
      <c r="AT300" s="3"/>
      <c r="AU300" s="3"/>
      <c r="AV300" s="3"/>
      <c r="AW300" s="3"/>
      <c r="AX300" s="3"/>
      <c r="AY300" s="3"/>
      <c r="AZ300" s="3"/>
      <c r="BA300" s="3"/>
      <c r="BB300" s="3"/>
      <c r="BC300" s="3"/>
      <c r="BD300" s="3"/>
      <c r="BE300" s="3"/>
      <c r="BF300" s="3"/>
      <c r="BG300" s="3"/>
      <c r="BH300" s="3"/>
      <c r="BI300" s="3"/>
      <c r="BJ300" s="3"/>
    </row>
    <row r="301" spans="1:62" ht="12.75" customHeight="1">
      <c r="A301"/>
      <c r="B301"/>
      <c r="C301"/>
      <c r="D301"/>
      <c r="E301"/>
      <c r="F301"/>
      <c r="G301"/>
      <c r="H301"/>
      <c r="I301"/>
      <c r="J301"/>
      <c r="K301" s="207">
        <v>57</v>
      </c>
      <c r="L301" s="207"/>
      <c r="M301"/>
      <c r="N301"/>
      <c r="O301"/>
      <c r="P301"/>
      <c r="Q301"/>
      <c r="R301" s="40"/>
      <c r="S301" s="23"/>
      <c r="V301" s="2"/>
      <c r="AN301" s="3"/>
      <c r="AO301" s="3"/>
      <c r="AP301" s="3"/>
      <c r="AQ301" s="3"/>
      <c r="AR301" s="3"/>
      <c r="AS301" s="3"/>
      <c r="AT301" s="3"/>
      <c r="AU301" s="3"/>
      <c r="AV301" s="3"/>
      <c r="AW301" s="3"/>
      <c r="AX301" s="3"/>
      <c r="AY301" s="3"/>
      <c r="AZ301" s="3"/>
      <c r="BA301" s="3"/>
      <c r="BB301" s="3"/>
      <c r="BC301" s="3"/>
      <c r="BD301" s="3"/>
      <c r="BE301" s="3"/>
      <c r="BF301" s="3"/>
      <c r="BG301" s="3"/>
      <c r="BH301" s="3"/>
      <c r="BI301" s="3"/>
      <c r="BJ301" s="3"/>
    </row>
    <row r="302" spans="1:62" ht="12.75" customHeight="1">
      <c r="A302"/>
      <c r="B302"/>
      <c r="C302"/>
      <c r="D302"/>
      <c r="E302"/>
      <c r="F302"/>
      <c r="G302"/>
      <c r="H302"/>
      <c r="I302"/>
      <c r="J302"/>
      <c r="K302" s="207">
        <v>58</v>
      </c>
      <c r="L302" s="207"/>
      <c r="M302"/>
      <c r="N302"/>
      <c r="O302"/>
      <c r="P302"/>
      <c r="Q302"/>
      <c r="R302" s="40"/>
      <c r="S302" s="23"/>
      <c r="V302" s="2"/>
      <c r="AN302" s="3"/>
      <c r="AO302" s="3"/>
      <c r="AP302" s="3"/>
      <c r="AQ302" s="3"/>
      <c r="AR302" s="3"/>
      <c r="AS302" s="3"/>
      <c r="AT302" s="3"/>
      <c r="AU302" s="3"/>
      <c r="AV302" s="3"/>
      <c r="AW302" s="3"/>
      <c r="AX302" s="3"/>
      <c r="AY302" s="3"/>
      <c r="AZ302" s="3"/>
      <c r="BA302" s="3"/>
      <c r="BB302" s="3"/>
      <c r="BC302" s="3"/>
      <c r="BD302" s="3"/>
      <c r="BE302" s="3"/>
      <c r="BF302" s="3"/>
      <c r="BG302" s="3"/>
      <c r="BH302" s="3"/>
      <c r="BI302" s="3"/>
      <c r="BJ302" s="3"/>
    </row>
    <row r="303" spans="1:62" ht="12.75" customHeight="1">
      <c r="A303"/>
      <c r="B303"/>
      <c r="C303"/>
      <c r="D303"/>
      <c r="E303"/>
      <c r="F303"/>
      <c r="G303"/>
      <c r="H303"/>
      <c r="I303"/>
      <c r="J303"/>
      <c r="K303" s="207">
        <v>59</v>
      </c>
      <c r="L303" s="207"/>
      <c r="M303"/>
      <c r="N303"/>
      <c r="O303"/>
      <c r="P303"/>
      <c r="Q303"/>
      <c r="R303" s="40"/>
      <c r="S303" s="23"/>
      <c r="V303" s="2"/>
      <c r="AN303" s="3"/>
      <c r="AO303" s="3"/>
      <c r="AP303" s="3"/>
      <c r="AQ303" s="3"/>
      <c r="AR303" s="3"/>
      <c r="AS303" s="3"/>
      <c r="AT303" s="3"/>
      <c r="AU303" s="3"/>
      <c r="AV303" s="3"/>
      <c r="AW303" s="3"/>
      <c r="AX303" s="3"/>
      <c r="AY303" s="3"/>
      <c r="AZ303" s="3"/>
      <c r="BA303" s="3"/>
      <c r="BB303" s="3"/>
      <c r="BC303" s="3"/>
      <c r="BD303" s="3"/>
      <c r="BE303" s="3"/>
      <c r="BF303" s="3"/>
      <c r="BG303" s="3"/>
      <c r="BH303" s="3"/>
      <c r="BI303" s="3"/>
      <c r="BJ303" s="3"/>
    </row>
    <row r="304" spans="1:62" ht="12.75" customHeight="1">
      <c r="A304"/>
      <c r="B304"/>
      <c r="C304"/>
      <c r="D304"/>
      <c r="E304"/>
      <c r="F304"/>
      <c r="G304"/>
      <c r="H304"/>
      <c r="I304"/>
      <c r="J304"/>
      <c r="K304" s="207">
        <v>60</v>
      </c>
      <c r="L304" s="207"/>
      <c r="M304"/>
      <c r="N304"/>
      <c r="O304"/>
      <c r="P304"/>
      <c r="Q304"/>
      <c r="R304" s="40"/>
      <c r="S304" s="23"/>
      <c r="V304" s="2"/>
      <c r="AN304" s="3"/>
      <c r="AO304" s="3"/>
      <c r="AP304" s="3"/>
      <c r="AQ304" s="3"/>
      <c r="AR304" s="3"/>
      <c r="AS304" s="3"/>
      <c r="AT304" s="3"/>
      <c r="AU304" s="3"/>
      <c r="AV304" s="3"/>
      <c r="AW304" s="3"/>
      <c r="AX304" s="3"/>
      <c r="AY304" s="3"/>
      <c r="AZ304" s="3"/>
      <c r="BA304" s="3"/>
      <c r="BB304" s="3"/>
      <c r="BC304" s="3"/>
      <c r="BD304" s="3"/>
      <c r="BE304" s="3"/>
      <c r="BF304" s="3"/>
      <c r="BG304" s="3"/>
      <c r="BH304" s="3"/>
      <c r="BI304" s="3"/>
      <c r="BJ304" s="3"/>
    </row>
    <row r="305" spans="1:62" ht="12.75" customHeight="1">
      <c r="A305"/>
      <c r="B305"/>
      <c r="C305"/>
      <c r="D305"/>
      <c r="E305"/>
      <c r="F305"/>
      <c r="G305"/>
      <c r="H305"/>
      <c r="I305"/>
      <c r="J305"/>
      <c r="K305" s="207">
        <v>61</v>
      </c>
      <c r="L305" s="207"/>
      <c r="M305"/>
      <c r="N305"/>
      <c r="O305"/>
      <c r="P305"/>
      <c r="Q305"/>
      <c r="R305" s="40"/>
      <c r="S305" s="23"/>
      <c r="V305" s="2"/>
      <c r="AN305" s="3"/>
      <c r="AO305" s="3"/>
      <c r="AP305" s="3"/>
      <c r="AQ305" s="3"/>
      <c r="AR305" s="3"/>
      <c r="AS305" s="3"/>
      <c r="AT305" s="3"/>
      <c r="AU305" s="3"/>
      <c r="AV305" s="3"/>
      <c r="AW305" s="3"/>
      <c r="AX305" s="3"/>
      <c r="AY305" s="3"/>
      <c r="AZ305" s="3"/>
      <c r="BA305" s="3"/>
      <c r="BB305" s="3"/>
      <c r="BC305" s="3"/>
      <c r="BD305" s="3"/>
      <c r="BE305" s="3"/>
      <c r="BF305" s="3"/>
      <c r="BG305" s="3"/>
      <c r="BH305" s="3"/>
      <c r="BI305" s="3"/>
      <c r="BJ305" s="3"/>
    </row>
    <row r="306" spans="1:62" ht="12.75" customHeight="1">
      <c r="A306"/>
      <c r="B306"/>
      <c r="C306"/>
      <c r="D306"/>
      <c r="E306"/>
      <c r="F306"/>
      <c r="G306"/>
      <c r="H306"/>
      <c r="I306"/>
      <c r="J306"/>
      <c r="K306" s="207">
        <v>62</v>
      </c>
      <c r="L306" s="207"/>
      <c r="M306"/>
      <c r="N306"/>
      <c r="O306"/>
      <c r="P306"/>
      <c r="Q306"/>
      <c r="R306" s="40"/>
      <c r="S306" s="23"/>
      <c r="V306" s="2"/>
      <c r="AN306" s="3"/>
      <c r="AO306" s="3"/>
      <c r="AP306" s="3"/>
      <c r="AQ306" s="3"/>
      <c r="AR306" s="3"/>
      <c r="AS306" s="3"/>
      <c r="AT306" s="3"/>
      <c r="AU306" s="3"/>
      <c r="AV306" s="3"/>
      <c r="AW306" s="3"/>
      <c r="AX306" s="3"/>
      <c r="AY306" s="3"/>
      <c r="AZ306" s="3"/>
      <c r="BA306" s="3"/>
      <c r="BB306" s="3"/>
      <c r="BC306" s="3"/>
      <c r="BD306" s="3"/>
      <c r="BE306" s="3"/>
      <c r="BF306" s="3"/>
      <c r="BG306" s="3"/>
      <c r="BH306" s="3"/>
      <c r="BI306" s="3"/>
      <c r="BJ306" s="3"/>
    </row>
    <row r="307" spans="1:62" ht="12.75" customHeight="1">
      <c r="A307"/>
      <c r="B307"/>
      <c r="C307"/>
      <c r="D307"/>
      <c r="E307"/>
      <c r="F307"/>
      <c r="G307"/>
      <c r="H307"/>
      <c r="I307"/>
      <c r="J307"/>
      <c r="K307" s="207">
        <v>63</v>
      </c>
      <c r="L307" s="207"/>
      <c r="M307"/>
      <c r="N307"/>
      <c r="O307"/>
      <c r="P307"/>
      <c r="Q307"/>
      <c r="R307" s="40"/>
      <c r="S307" s="23"/>
      <c r="V307" s="2"/>
      <c r="AN307" s="3"/>
      <c r="AO307" s="3"/>
      <c r="AP307" s="3"/>
      <c r="AQ307" s="3"/>
      <c r="AR307" s="3"/>
      <c r="AS307" s="3"/>
      <c r="AT307" s="3"/>
      <c r="AU307" s="3"/>
      <c r="AV307" s="3"/>
      <c r="AW307" s="3"/>
      <c r="AX307" s="3"/>
      <c r="AY307" s="3"/>
      <c r="AZ307" s="3"/>
      <c r="BA307" s="3"/>
      <c r="BB307" s="3"/>
      <c r="BC307" s="3"/>
      <c r="BD307" s="3"/>
      <c r="BE307" s="3"/>
      <c r="BF307" s="3"/>
      <c r="BG307" s="3"/>
      <c r="BH307" s="3"/>
      <c r="BI307" s="3"/>
      <c r="BJ307" s="3"/>
    </row>
    <row r="308" spans="1:62" ht="12.75" customHeight="1">
      <c r="A308"/>
      <c r="B308"/>
      <c r="C308"/>
      <c r="D308"/>
      <c r="E308"/>
      <c r="F308"/>
      <c r="G308"/>
      <c r="H308"/>
      <c r="I308"/>
      <c r="J308"/>
      <c r="K308" s="207">
        <v>64</v>
      </c>
      <c r="L308" s="207"/>
      <c r="M308"/>
      <c r="N308"/>
      <c r="O308"/>
      <c r="P308"/>
      <c r="Q308"/>
      <c r="R308" s="40"/>
      <c r="S308" s="23"/>
      <c r="V308" s="2"/>
      <c r="AN308" s="3"/>
      <c r="AO308" s="3"/>
      <c r="AP308" s="3"/>
      <c r="AQ308" s="3"/>
      <c r="AR308" s="3"/>
      <c r="AS308" s="3"/>
      <c r="AT308" s="3"/>
      <c r="AU308" s="3"/>
      <c r="AV308" s="3"/>
      <c r="AW308" s="3"/>
      <c r="AX308" s="3"/>
      <c r="AY308" s="3"/>
      <c r="AZ308" s="3"/>
      <c r="BA308" s="3"/>
      <c r="BB308" s="3"/>
      <c r="BC308" s="3"/>
      <c r="BD308" s="3"/>
      <c r="BE308" s="3"/>
      <c r="BF308" s="3"/>
      <c r="BG308" s="3"/>
      <c r="BH308" s="3"/>
      <c r="BI308" s="3"/>
      <c r="BJ308" s="3"/>
    </row>
    <row r="309" spans="1:62" ht="12.75" customHeight="1">
      <c r="A309"/>
      <c r="B309"/>
      <c r="C309"/>
      <c r="D309"/>
      <c r="E309"/>
      <c r="F309"/>
      <c r="G309"/>
      <c r="H309"/>
      <c r="I309"/>
      <c r="J309"/>
      <c r="K309" s="207">
        <v>65</v>
      </c>
      <c r="L309" s="207"/>
      <c r="M309"/>
      <c r="N309"/>
      <c r="O309"/>
      <c r="P309"/>
      <c r="Q309"/>
      <c r="R309" s="40"/>
      <c r="S309" s="23"/>
      <c r="V309" s="2"/>
      <c r="AN309" s="3"/>
      <c r="AO309" s="3"/>
      <c r="AP309" s="3"/>
      <c r="AQ309" s="3"/>
      <c r="AR309" s="3"/>
      <c r="AS309" s="3"/>
      <c r="AT309" s="3"/>
      <c r="AU309" s="3"/>
      <c r="AV309" s="3"/>
      <c r="AW309" s="3"/>
      <c r="AX309" s="3"/>
      <c r="AY309" s="3"/>
      <c r="AZ309" s="3"/>
      <c r="BA309" s="3"/>
      <c r="BB309" s="3"/>
      <c r="BC309" s="3"/>
      <c r="BD309" s="3"/>
      <c r="BE309" s="3"/>
      <c r="BF309" s="3"/>
      <c r="BG309" s="3"/>
      <c r="BH309" s="3"/>
      <c r="BI309" s="3"/>
      <c r="BJ309" s="3"/>
    </row>
    <row r="310" spans="1:62" ht="12.75" customHeight="1">
      <c r="A310"/>
      <c r="B310"/>
      <c r="C310"/>
      <c r="D310"/>
      <c r="E310"/>
      <c r="F310"/>
      <c r="G310"/>
      <c r="H310"/>
      <c r="I310"/>
      <c r="J310"/>
      <c r="K310" s="207">
        <v>66</v>
      </c>
      <c r="L310" s="207"/>
      <c r="M310"/>
      <c r="N310"/>
      <c r="O310"/>
      <c r="P310"/>
      <c r="Q310"/>
      <c r="R310" s="40"/>
      <c r="S310" s="23"/>
      <c r="V310" s="2"/>
      <c r="AN310" s="3"/>
      <c r="AO310" s="3"/>
      <c r="AP310" s="3"/>
      <c r="AQ310" s="3"/>
      <c r="AR310" s="3"/>
      <c r="AS310" s="3"/>
      <c r="AT310" s="3"/>
      <c r="AU310" s="3"/>
      <c r="AV310" s="3"/>
      <c r="AW310" s="3"/>
      <c r="AX310" s="3"/>
      <c r="AY310" s="3"/>
      <c r="AZ310" s="3"/>
      <c r="BA310" s="3"/>
      <c r="BB310" s="3"/>
      <c r="BC310" s="3"/>
      <c r="BD310" s="3"/>
      <c r="BE310" s="3"/>
      <c r="BF310" s="3"/>
      <c r="BG310" s="3"/>
      <c r="BH310" s="3"/>
      <c r="BI310" s="3"/>
      <c r="BJ310" s="3"/>
    </row>
    <row r="311" spans="1:62" ht="12.75" customHeight="1">
      <c r="A311"/>
      <c r="B311"/>
      <c r="C311"/>
      <c r="D311"/>
      <c r="E311"/>
      <c r="F311"/>
      <c r="G311"/>
      <c r="H311"/>
      <c r="I311"/>
      <c r="J311"/>
      <c r="K311" s="207">
        <v>67</v>
      </c>
      <c r="L311" s="207"/>
      <c r="M311"/>
      <c r="N311"/>
      <c r="O311"/>
      <c r="P311"/>
      <c r="Q311"/>
      <c r="R311" s="40"/>
      <c r="S311" s="23"/>
      <c r="V311" s="2"/>
      <c r="AN311" s="3"/>
      <c r="AO311" s="3"/>
      <c r="AP311" s="3"/>
      <c r="AQ311" s="3"/>
      <c r="AR311" s="3"/>
      <c r="AS311" s="3"/>
      <c r="AT311" s="3"/>
      <c r="AU311" s="3"/>
      <c r="AV311" s="3"/>
      <c r="AW311" s="3"/>
      <c r="AX311" s="3"/>
      <c r="AY311" s="3"/>
      <c r="AZ311" s="3"/>
      <c r="BA311" s="3"/>
      <c r="BB311" s="3"/>
      <c r="BC311" s="3"/>
      <c r="BD311" s="3"/>
      <c r="BE311" s="3"/>
      <c r="BF311" s="3"/>
      <c r="BG311" s="3"/>
      <c r="BH311" s="3"/>
      <c r="BI311" s="3"/>
      <c r="BJ311" s="3"/>
    </row>
    <row r="312" spans="1:62" ht="12.75" customHeight="1">
      <c r="A312" t="s">
        <v>443</v>
      </c>
      <c r="B312"/>
      <c r="C312"/>
      <c r="D312"/>
      <c r="E312"/>
      <c r="F312"/>
      <c r="G312"/>
      <c r="H312"/>
      <c r="I312"/>
      <c r="J312"/>
      <c r="K312" s="207">
        <v>68</v>
      </c>
      <c r="L312" s="207"/>
      <c r="M312"/>
      <c r="N312"/>
      <c r="O312"/>
      <c r="P312"/>
      <c r="Q312"/>
      <c r="R312" s="40"/>
      <c r="S312" s="23"/>
      <c r="V312" s="2"/>
      <c r="AN312" s="3"/>
      <c r="AO312" s="3"/>
      <c r="AP312" s="3"/>
      <c r="AQ312" s="3"/>
      <c r="AR312" s="3"/>
      <c r="AS312" s="3"/>
      <c r="AT312" s="3"/>
      <c r="AU312" s="3"/>
      <c r="AV312" s="3"/>
      <c r="AW312" s="3"/>
      <c r="AX312" s="3"/>
      <c r="AY312" s="3"/>
      <c r="AZ312" s="3"/>
      <c r="BA312" s="3"/>
      <c r="BB312" s="3"/>
      <c r="BC312" s="3"/>
      <c r="BD312" s="3"/>
      <c r="BE312" s="3"/>
      <c r="BF312" s="3"/>
      <c r="BG312" s="3"/>
      <c r="BH312" s="3"/>
      <c r="BI312" s="3"/>
      <c r="BJ312" s="3"/>
    </row>
    <row r="313" spans="1:62" ht="13.9" customHeight="1">
      <c r="B313" s="2"/>
      <c r="G313" s="2"/>
      <c r="H313" s="2"/>
      <c r="Q313" s="3"/>
      <c r="T313" s="3"/>
      <c r="U313" s="3"/>
      <c r="V313" s="2"/>
      <c r="W313" s="3"/>
      <c r="Z313" s="3"/>
      <c r="AB313" s="3"/>
      <c r="AK313" s="3"/>
      <c r="AL313" s="3"/>
      <c r="AM313" s="3"/>
      <c r="AN313" s="3"/>
    </row>
    <row r="314" spans="1:62" ht="40.9" customHeight="1">
      <c r="B314" s="2"/>
      <c r="F314" s="3"/>
      <c r="H314" s="2"/>
      <c r="I314" s="3"/>
      <c r="J314" s="235" t="s">
        <v>1</v>
      </c>
      <c r="K314" s="235"/>
      <c r="L314" s="235"/>
      <c r="M314" s="235"/>
      <c r="N314" s="235"/>
      <c r="O314" s="235"/>
      <c r="P314" s="235"/>
      <c r="Q314" s="235"/>
      <c r="R314" s="235"/>
      <c r="S314" s="235"/>
      <c r="T314" s="235"/>
      <c r="U314" s="235"/>
      <c r="V314" s="235"/>
      <c r="W314" s="235"/>
      <c r="X314" s="235"/>
      <c r="Y314" s="235"/>
      <c r="Z314" s="235"/>
      <c r="AA314" s="235"/>
      <c r="AB314" s="235"/>
      <c r="AC314" s="235"/>
      <c r="AD314" s="235"/>
      <c r="AK314" s="227"/>
      <c r="AL314" s="227"/>
      <c r="AM314" s="227"/>
      <c r="AN314" s="227"/>
      <c r="AO314" s="227"/>
      <c r="AP314" s="227"/>
      <c r="AQ314" s="227"/>
      <c r="AR314" s="227"/>
      <c r="AS314" s="227"/>
      <c r="AT314" s="227"/>
      <c r="AU314" s="227"/>
    </row>
    <row r="315" spans="1:62" ht="12.6" customHeight="1">
      <c r="B315" s="2"/>
      <c r="G315" s="2"/>
      <c r="H315" s="2"/>
      <c r="J315" s="235"/>
      <c r="K315" s="235"/>
      <c r="L315" s="235"/>
      <c r="M315" s="235"/>
      <c r="N315" s="235"/>
      <c r="O315" s="235"/>
      <c r="P315" s="235"/>
      <c r="Q315" s="235"/>
      <c r="R315" s="235"/>
      <c r="S315" s="235"/>
      <c r="T315" s="235"/>
      <c r="U315" s="235"/>
      <c r="V315" s="235"/>
      <c r="W315" s="235"/>
      <c r="X315" s="235"/>
      <c r="Y315" s="235"/>
      <c r="Z315" s="235"/>
      <c r="AA315" s="235"/>
      <c r="AB315" s="235"/>
      <c r="AC315" s="235"/>
      <c r="AD315" s="235"/>
      <c r="AK315" s="3"/>
      <c r="AL315" s="3"/>
      <c r="AM315" s="3"/>
      <c r="AN315" s="3"/>
    </row>
    <row r="316" spans="1:62" ht="21" customHeight="1" thickBot="1">
      <c r="A316" s="4"/>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K316" s="3"/>
      <c r="AL316" s="3"/>
      <c r="AM316" s="3"/>
      <c r="AN316" s="3"/>
    </row>
    <row r="317" spans="1:62" ht="16.5" thickTop="1">
      <c r="A317" s="240" t="str">
        <f>IF(LEN(nPaz)&gt;0,nPaz,"")</f>
        <v>GIOVANNI BUI</v>
      </c>
      <c r="B317" s="240"/>
      <c r="C317" s="240"/>
      <c r="D317" s="240"/>
      <c r="E317" s="240"/>
      <c r="F317" s="240"/>
      <c r="G317" s="240"/>
      <c r="H317" s="240"/>
      <c r="I317" s="240"/>
      <c r="J317" s="240"/>
      <c r="K317" s="240"/>
      <c r="L317" s="240"/>
      <c r="M317" s="240"/>
      <c r="N317" s="240"/>
      <c r="O317" s="240"/>
      <c r="P317" s="126"/>
      <c r="Q317" s="127" t="s">
        <v>8</v>
      </c>
      <c r="R317" s="128" t="str">
        <f>IF(codfisc&lt;&gt;"",codfisc,"")</f>
        <v>VFSDRT68R23O944K</v>
      </c>
      <c r="S317" s="129"/>
      <c r="T317" s="125"/>
      <c r="U317" s="125"/>
      <c r="V317" s="125"/>
      <c r="W317" s="125"/>
      <c r="X317" s="130" t="s">
        <v>352</v>
      </c>
      <c r="Y317" s="238">
        <f>IF(nacc&lt;&gt;"",nacc,"")</f>
        <v>6543</v>
      </c>
      <c r="Z317" s="238"/>
      <c r="AA317" s="131" t="s">
        <v>353</v>
      </c>
      <c r="AB317" s="239">
        <f>IF(dref&lt;&gt;"",dref,"")</f>
        <v>46003</v>
      </c>
      <c r="AC317" s="239"/>
      <c r="AD317" s="239"/>
      <c r="AE317" s="132"/>
      <c r="AF317"/>
      <c r="AG317"/>
      <c r="AH317"/>
      <c r="AI317"/>
      <c r="AJ317"/>
      <c r="AK317"/>
      <c r="AL317"/>
      <c r="AM317"/>
      <c r="AN317"/>
      <c r="AO317"/>
      <c r="AP317" s="16"/>
      <c r="AQ317" s="3"/>
      <c r="AR317" s="3"/>
      <c r="AS317" s="3"/>
      <c r="AT317" s="3"/>
      <c r="AV317" s="3"/>
    </row>
    <row r="318" spans="1:62" ht="13.9" customHeight="1">
      <c r="A318" s="217" t="s">
        <v>88</v>
      </c>
      <c r="B318" s="217"/>
      <c r="C318" s="217"/>
      <c r="D318" s="217"/>
      <c r="E318" s="217"/>
      <c r="F318" s="217"/>
      <c r="G318" s="217"/>
      <c r="H318" s="217"/>
      <c r="I318" s="217"/>
      <c r="J318" s="217"/>
      <c r="K318" s="217"/>
      <c r="L318" s="217"/>
      <c r="M318" s="59"/>
      <c r="N318" s="59"/>
      <c r="O318" s="217" t="s">
        <v>89</v>
      </c>
      <c r="P318" s="217"/>
      <c r="Q318" s="217"/>
      <c r="R318" s="57"/>
      <c r="S318" s="218" t="s">
        <v>90</v>
      </c>
      <c r="T318" s="218"/>
      <c r="U318" s="58"/>
      <c r="V318" s="219" t="s">
        <v>157</v>
      </c>
      <c r="W318" s="219"/>
      <c r="X318" s="219"/>
      <c r="Y318" s="219"/>
      <c r="Z318" s="219"/>
      <c r="AA318" s="219"/>
      <c r="AB318" s="219"/>
      <c r="AC318" s="219"/>
      <c r="AD318" s="69"/>
      <c r="AE318" s="6"/>
      <c r="AF318" s="6"/>
      <c r="AG318" s="6"/>
      <c r="AH318" s="6"/>
      <c r="AI318" s="6"/>
      <c r="AJ318" s="6"/>
      <c r="AK318" s="6"/>
      <c r="AL318" s="6"/>
      <c r="AM318" s="6"/>
      <c r="AN318" s="3"/>
      <c r="AP318" s="3"/>
      <c r="AQ318" s="3"/>
      <c r="AR318" s="3"/>
      <c r="AS318" s="3"/>
    </row>
    <row r="319" spans="1:62" ht="13.9" customHeight="1">
      <c r="A319" s="217"/>
      <c r="B319" s="217"/>
      <c r="C319" s="217"/>
      <c r="D319" s="217"/>
      <c r="E319" s="217"/>
      <c r="F319" s="217"/>
      <c r="G319" s="217"/>
      <c r="H319" s="217"/>
      <c r="I319" s="217"/>
      <c r="J319" s="217"/>
      <c r="K319" s="217"/>
      <c r="L319" s="217"/>
      <c r="M319" s="59"/>
      <c r="N319" s="59"/>
      <c r="O319" s="205" t="s">
        <v>92</v>
      </c>
      <c r="P319" s="205"/>
      <c r="Q319" s="205"/>
      <c r="R319" s="58"/>
      <c r="S319" s="206" t="s">
        <v>93</v>
      </c>
      <c r="T319" s="206"/>
      <c r="U319" s="58"/>
      <c r="V319" s="219" t="s">
        <v>419</v>
      </c>
      <c r="W319" s="219"/>
      <c r="X319" s="219"/>
      <c r="Y319" s="219"/>
      <c r="Z319" s="219"/>
      <c r="AA319" s="219"/>
      <c r="AB319" s="219"/>
      <c r="AC319" s="219"/>
      <c r="AD319" s="67"/>
      <c r="AF319"/>
      <c r="AG319"/>
      <c r="AH319"/>
      <c r="AI319"/>
      <c r="AJ319"/>
      <c r="AK319"/>
      <c r="AL319"/>
      <c r="AM319"/>
      <c r="AN319"/>
      <c r="AO319"/>
    </row>
    <row r="320" spans="1:62" ht="13.9" customHeight="1" thickBot="1">
      <c r="A320" s="49"/>
      <c r="B320" s="49"/>
      <c r="C320" s="49"/>
      <c r="D320" s="49"/>
      <c r="E320" s="49"/>
      <c r="F320" s="49"/>
      <c r="G320" s="49"/>
      <c r="H320" s="49"/>
      <c r="I320" s="49"/>
      <c r="J320" s="49"/>
      <c r="K320" s="49"/>
      <c r="L320" s="49"/>
      <c r="M320" s="49"/>
      <c r="N320" s="49"/>
      <c r="O320" s="8"/>
      <c r="P320" s="50" t="s">
        <v>144</v>
      </c>
      <c r="Q320" s="8"/>
      <c r="R320" s="8"/>
      <c r="S320" s="8"/>
      <c r="T320" s="8"/>
      <c r="U320" s="8"/>
      <c r="V320" s="8"/>
      <c r="W320" s="8"/>
      <c r="X320" s="8"/>
      <c r="Y320" s="8"/>
      <c r="Z320" s="8"/>
      <c r="AA320" s="8"/>
      <c r="AB320" s="8"/>
      <c r="AC320" s="8"/>
      <c r="AD320" s="7"/>
      <c r="AE320" s="7"/>
      <c r="AF320"/>
      <c r="AG320"/>
      <c r="AH320"/>
      <c r="AI320"/>
      <c r="AJ320"/>
      <c r="AK320"/>
      <c r="AL320"/>
      <c r="AM320"/>
      <c r="AN320"/>
      <c r="AO320"/>
      <c r="AP320"/>
      <c r="AQ320"/>
      <c r="AR320" s="3"/>
      <c r="AS320" s="3"/>
    </row>
    <row r="321" spans="1:62" ht="13.9" customHeight="1" thickTop="1">
      <c r="A321" s="220" t="s">
        <v>445</v>
      </c>
      <c r="B321" s="220"/>
      <c r="C321" s="220"/>
      <c r="D321" s="220"/>
      <c r="E321" s="220"/>
      <c r="F321" s="220"/>
      <c r="G321" s="220"/>
      <c r="H321" s="220"/>
      <c r="I321" s="220"/>
      <c r="J321" s="220"/>
      <c r="K321" s="220"/>
      <c r="L321" s="220"/>
      <c r="M321" s="220"/>
      <c r="N321" s="220"/>
      <c r="O321" s="220"/>
      <c r="P321" s="220"/>
      <c r="Q321" s="220"/>
      <c r="R321" s="220"/>
      <c r="S321" s="220"/>
      <c r="T321" s="220"/>
      <c r="U321" s="220"/>
      <c r="V321" s="220"/>
      <c r="W321" s="220"/>
      <c r="X321" s="220"/>
      <c r="Y321" s="220"/>
      <c r="Z321" s="220"/>
      <c r="AA321" s="220"/>
      <c r="AB321" s="220"/>
      <c r="AC321" s="220"/>
      <c r="AD321" s="220"/>
      <c r="AE321" s="220"/>
      <c r="AG321"/>
      <c r="AH321"/>
      <c r="AI321"/>
      <c r="AJ321" s="3"/>
      <c r="AK321" s="3"/>
      <c r="AL321" s="3"/>
      <c r="AM321" s="3"/>
      <c r="AN321" s="3"/>
      <c r="AV321"/>
      <c r="AW321"/>
      <c r="AX321"/>
      <c r="AY321"/>
      <c r="AZ321"/>
      <c r="BA321"/>
      <c r="BB321"/>
      <c r="BC321"/>
      <c r="BD321"/>
      <c r="BE321"/>
      <c r="BF321"/>
      <c r="BG321"/>
      <c r="BH321"/>
      <c r="BI321"/>
    </row>
    <row r="322" spans="1:62" ht="13.9" customHeight="1">
      <c r="A322" s="220"/>
      <c r="B322" s="220"/>
      <c r="C322" s="220"/>
      <c r="D322" s="220"/>
      <c r="E322" s="220"/>
      <c r="F322" s="220"/>
      <c r="G322" s="220"/>
      <c r="H322" s="220"/>
      <c r="I322" s="220"/>
      <c r="J322" s="220"/>
      <c r="K322" s="220"/>
      <c r="L322" s="220"/>
      <c r="M322" s="220"/>
      <c r="N322" s="220"/>
      <c r="O322" s="220"/>
      <c r="P322" s="220"/>
      <c r="Q322" s="220"/>
      <c r="R322" s="220"/>
      <c r="S322" s="220"/>
      <c r="T322" s="220"/>
      <c r="U322" s="220"/>
      <c r="V322" s="220"/>
      <c r="W322" s="220"/>
      <c r="X322" s="220"/>
      <c r="Y322" s="220"/>
      <c r="Z322" s="220"/>
      <c r="AA322" s="220"/>
      <c r="AB322" s="220"/>
      <c r="AC322" s="220"/>
      <c r="AD322" s="220"/>
      <c r="AE322" s="220"/>
      <c r="AG322"/>
      <c r="AH322"/>
      <c r="AI322"/>
      <c r="AJ322" s="3"/>
      <c r="AK322" s="3"/>
      <c r="AL322" s="3"/>
      <c r="AM322" s="3"/>
      <c r="AN322" s="3"/>
      <c r="AV322"/>
      <c r="AW322"/>
      <c r="AX322"/>
      <c r="AY322"/>
      <c r="AZ322"/>
      <c r="BA322"/>
      <c r="BB322"/>
      <c r="BC322"/>
      <c r="BD322"/>
      <c r="BE322"/>
      <c r="BF322"/>
      <c r="BG322"/>
      <c r="BH322"/>
      <c r="BI322"/>
    </row>
    <row r="323" spans="1:62" customFormat="1" ht="9.9499999999999993" customHeight="1"/>
    <row r="324" spans="1:62" ht="15" customHeight="1">
      <c r="A324" s="208" t="s">
        <v>107</v>
      </c>
      <c r="B324" s="208"/>
      <c r="C324" s="208"/>
      <c r="D324" s="208"/>
      <c r="E324" s="208"/>
      <c r="F324" s="208"/>
      <c r="G324" s="208"/>
      <c r="H324" s="208"/>
      <c r="I324" s="208"/>
      <c r="J324" s="208"/>
      <c r="K324" s="208"/>
      <c r="L324" s="208"/>
      <c r="M324" s="208"/>
      <c r="N324" s="208"/>
      <c r="O324" s="208"/>
      <c r="P324" s="208"/>
      <c r="Q324" s="208"/>
      <c r="R324" s="208"/>
      <c r="S324" s="208"/>
      <c r="T324" s="208"/>
      <c r="U324" s="208"/>
      <c r="V324" s="208"/>
      <c r="W324" s="208"/>
      <c r="X324" s="208"/>
      <c r="Y324" s="208"/>
      <c r="Z324" s="208"/>
      <c r="AA324" s="208"/>
      <c r="AB324" s="208"/>
      <c r="AC324" s="208"/>
      <c r="AD324" s="208"/>
      <c r="AE324" s="208"/>
      <c r="AF324" s="2">
        <v>0</v>
      </c>
      <c r="AG324"/>
      <c r="AH324"/>
      <c r="AI324"/>
      <c r="AN324" s="3"/>
      <c r="AV324"/>
      <c r="AW324"/>
      <c r="AX324"/>
      <c r="AY324"/>
      <c r="AZ324"/>
      <c r="BA324"/>
      <c r="BB324"/>
      <c r="BC324"/>
      <c r="BD324"/>
      <c r="BE324"/>
      <c r="BF324"/>
      <c r="BG324"/>
      <c r="BH324"/>
      <c r="BI324"/>
    </row>
    <row r="325" spans="1:62" ht="10.9" customHeight="1">
      <c r="A325" s="3"/>
      <c r="C325" s="3"/>
      <c r="P325" s="3"/>
      <c r="Q325" s="3"/>
      <c r="R325" s="3"/>
      <c r="S325" s="3"/>
      <c r="T325" s="3"/>
      <c r="U325" s="209"/>
      <c r="V325" s="209"/>
      <c r="W325" s="3"/>
      <c r="X325" s="3"/>
      <c r="Y325" s="3"/>
      <c r="Z325" s="3"/>
      <c r="AA325" s="3"/>
      <c r="AB325" s="3"/>
      <c r="AC325" s="197"/>
      <c r="AD325" s="197"/>
      <c r="AE325" s="3"/>
      <c r="AF325" s="3"/>
      <c r="AG325"/>
      <c r="AH325"/>
      <c r="AI325"/>
      <c r="AN325" s="3"/>
      <c r="AO325" s="3"/>
      <c r="AP325" s="3"/>
      <c r="AQ325" s="3"/>
      <c r="AR325" s="3"/>
      <c r="AS325" s="3"/>
      <c r="AT325" s="3"/>
      <c r="AU325" s="3"/>
      <c r="AV325"/>
      <c r="AW325"/>
      <c r="AX325"/>
      <c r="AY325"/>
      <c r="AZ325"/>
      <c r="BA325"/>
      <c r="BB325"/>
      <c r="BC325"/>
      <c r="BD325"/>
      <c r="BE325"/>
      <c r="BF325"/>
      <c r="BG325"/>
      <c r="BH325"/>
      <c r="BI325"/>
      <c r="BJ325" s="3"/>
    </row>
    <row r="326" spans="1:62" ht="6" customHeight="1">
      <c r="A326" s="198">
        <v>29</v>
      </c>
      <c r="B326" s="51"/>
      <c r="C326" s="199" t="str">
        <f>INDEX(Riferimenti!$B$2:$B$60,A326)</f>
        <v>Citramalico</v>
      </c>
      <c r="D326" s="199"/>
      <c r="E326" s="199"/>
      <c r="F326" s="199"/>
      <c r="G326" s="199"/>
      <c r="H326" s="199"/>
      <c r="I326" s="199"/>
      <c r="J326" s="199"/>
      <c r="K326" s="199"/>
      <c r="L326" s="199"/>
      <c r="M326" s="199"/>
      <c r="N326" s="199"/>
      <c r="O326" s="195">
        <f>INDEX(Riferimenti!$C$2:$C$65,A326)</f>
        <v>0</v>
      </c>
      <c r="P326" s="200" t="s">
        <v>6</v>
      </c>
      <c r="Q326" s="196">
        <f>INDEX(Riferimenti!$E$2:$E$65,A326)</f>
        <v>5.6</v>
      </c>
      <c r="R326" s="201"/>
      <c r="S326" s="202"/>
      <c r="T326" s="202"/>
      <c r="V326" s="2"/>
      <c r="AG326"/>
      <c r="AH326"/>
      <c r="AI326"/>
      <c r="AV326"/>
      <c r="AW326"/>
      <c r="AX326"/>
      <c r="AY326"/>
      <c r="AZ326"/>
      <c r="BA326"/>
      <c r="BB326"/>
      <c r="BC326"/>
      <c r="BD326"/>
      <c r="BE326"/>
      <c r="BF326"/>
      <c r="BG326"/>
      <c r="BH326"/>
      <c r="BI326"/>
      <c r="BJ326" s="3"/>
    </row>
    <row r="327" spans="1:62" ht="5.45" customHeight="1">
      <c r="A327" s="198"/>
      <c r="B327" s="51"/>
      <c r="C327" s="199"/>
      <c r="D327" s="199"/>
      <c r="E327" s="199"/>
      <c r="F327" s="199"/>
      <c r="G327" s="199"/>
      <c r="H327" s="199"/>
      <c r="I327" s="199"/>
      <c r="J327" s="199"/>
      <c r="K327" s="199"/>
      <c r="L327" s="199"/>
      <c r="M327" s="199"/>
      <c r="N327" s="199"/>
      <c r="O327" s="195"/>
      <c r="P327" s="200"/>
      <c r="Q327" s="196"/>
      <c r="R327" s="201"/>
      <c r="S327" s="202"/>
      <c r="T327" s="202"/>
      <c r="U327"/>
      <c r="V327"/>
      <c r="W327"/>
      <c r="X327"/>
      <c r="Y327"/>
      <c r="Z327"/>
      <c r="AA327"/>
      <c r="AB327"/>
      <c r="AC327"/>
      <c r="AD327"/>
      <c r="AE327"/>
      <c r="AF327"/>
      <c r="AG327"/>
      <c r="AH327"/>
      <c r="AI327"/>
      <c r="AN327" s="3"/>
      <c r="AV327"/>
      <c r="AW327"/>
      <c r="AX327"/>
      <c r="AY327"/>
      <c r="AZ327"/>
      <c r="BA327"/>
      <c r="BB327"/>
      <c r="BC327"/>
      <c r="BD327"/>
      <c r="BE327"/>
      <c r="BF327"/>
      <c r="BG327"/>
      <c r="BH327"/>
      <c r="BI327"/>
      <c r="BJ327" s="3"/>
    </row>
    <row r="328" spans="1:62" ht="6" customHeight="1">
      <c r="A328" s="194"/>
      <c r="B328" s="194"/>
      <c r="C328" s="194"/>
      <c r="D328" s="194"/>
      <c r="E328" s="194"/>
      <c r="F328" s="194"/>
      <c r="G328" s="194"/>
      <c r="H328" s="194"/>
      <c r="I328" s="194"/>
      <c r="J328" s="194"/>
      <c r="K328" s="194"/>
      <c r="L328" s="194"/>
      <c r="M328" s="194"/>
      <c r="N328" s="52"/>
      <c r="O328" s="73"/>
      <c r="P328" s="36"/>
      <c r="Q328" s="72"/>
      <c r="R328" s="75"/>
      <c r="S328" s="166"/>
      <c r="T328" s="167"/>
      <c r="U328" s="24"/>
      <c r="V328" s="40"/>
      <c r="W328" s="40"/>
      <c r="X328" s="40"/>
      <c r="Y328" s="40"/>
      <c r="Z328" s="40"/>
      <c r="AA328" s="40"/>
      <c r="AB328" s="40"/>
      <c r="AC328" s="40"/>
      <c r="AD328" s="40"/>
      <c r="AE328" s="40"/>
      <c r="AF328" s="40"/>
      <c r="AG328"/>
      <c r="AH328"/>
      <c r="AI328"/>
      <c r="AJ328"/>
      <c r="AK328"/>
      <c r="AL328"/>
      <c r="AM328"/>
      <c r="AN328" s="40"/>
      <c r="AO328"/>
      <c r="AP328"/>
      <c r="AQ328"/>
      <c r="AR328"/>
      <c r="AS328"/>
      <c r="AT328"/>
      <c r="AU328"/>
      <c r="AV328"/>
      <c r="AW328"/>
      <c r="AX328"/>
      <c r="AY328"/>
      <c r="AZ328"/>
      <c r="BA328"/>
      <c r="BB328"/>
      <c r="BC328"/>
      <c r="BD328"/>
      <c r="BE328"/>
      <c r="BF328"/>
      <c r="BG328"/>
      <c r="BH328"/>
      <c r="BI328"/>
      <c r="BJ328" s="3"/>
    </row>
    <row r="329" spans="1:62" ht="6" customHeight="1">
      <c r="A329" s="194"/>
      <c r="B329" s="194"/>
      <c r="C329" s="194"/>
      <c r="D329" s="194"/>
      <c r="E329" s="194"/>
      <c r="F329" s="194"/>
      <c r="G329" s="194"/>
      <c r="H329" s="194"/>
      <c r="I329" s="194"/>
      <c r="J329" s="194"/>
      <c r="K329" s="194"/>
      <c r="L329" s="194"/>
      <c r="M329" s="194"/>
      <c r="N329" s="52"/>
      <c r="O329" s="73"/>
      <c r="P329" s="36"/>
      <c r="Q329" s="72"/>
      <c r="R329" s="75"/>
      <c r="S329" s="166"/>
      <c r="T329" s="168"/>
      <c r="V329" s="2"/>
      <c r="AG329"/>
      <c r="AH329"/>
      <c r="AI329"/>
      <c r="AJ329"/>
      <c r="AL329"/>
      <c r="AM329"/>
      <c r="AN329" s="3"/>
      <c r="AO329"/>
      <c r="AP329"/>
      <c r="AQ329"/>
      <c r="AR329"/>
      <c r="AS329"/>
      <c r="AT329"/>
      <c r="AU329"/>
      <c r="AV329"/>
      <c r="AW329"/>
      <c r="AX329"/>
      <c r="AY329"/>
      <c r="AZ329"/>
      <c r="BA329"/>
      <c r="BB329"/>
      <c r="BC329"/>
      <c r="BD329"/>
      <c r="BE329"/>
      <c r="BF329"/>
      <c r="BG329"/>
      <c r="BH329"/>
      <c r="BI329"/>
      <c r="BJ329" s="3"/>
    </row>
    <row r="330" spans="1:62" ht="10.9" customHeight="1">
      <c r="A330" s="53"/>
      <c r="B330" s="53"/>
      <c r="C330" s="53"/>
      <c r="D330" s="54"/>
      <c r="E330" s="54"/>
      <c r="F330" s="54"/>
      <c r="G330" s="53"/>
      <c r="H330" s="53"/>
      <c r="I330" s="54"/>
      <c r="J330" s="54"/>
      <c r="K330" s="54"/>
      <c r="L330" s="54"/>
      <c r="M330" s="54"/>
      <c r="N330" s="54"/>
      <c r="O330" s="37"/>
      <c r="P330" s="38"/>
      <c r="Q330" s="44"/>
      <c r="R330" s="3"/>
      <c r="S330" s="158"/>
      <c r="T330" s="158"/>
      <c r="U330" s="197"/>
      <c r="V330" s="197"/>
      <c r="W330" s="3"/>
      <c r="X330" s="3"/>
      <c r="Y330" s="3"/>
      <c r="Z330" s="3"/>
      <c r="AA330" s="3"/>
      <c r="AB330" s="3"/>
      <c r="AC330" s="197"/>
      <c r="AD330" s="197"/>
      <c r="AE330" s="3"/>
      <c r="AF330" s="3"/>
      <c r="AG330"/>
      <c r="AH330"/>
      <c r="AI330"/>
      <c r="AJ330"/>
      <c r="AL330" s="3"/>
      <c r="AM330" s="3"/>
      <c r="AN330" s="3"/>
      <c r="AO330"/>
      <c r="AP330"/>
      <c r="AQ330"/>
      <c r="AR330"/>
      <c r="AS330"/>
      <c r="AT330"/>
      <c r="AU330"/>
      <c r="AV330"/>
      <c r="AW330"/>
      <c r="AX330"/>
      <c r="AY330"/>
      <c r="AZ330"/>
      <c r="BA330"/>
      <c r="BB330"/>
      <c r="BC330"/>
      <c r="BD330"/>
      <c r="BE330"/>
      <c r="BF330"/>
      <c r="BG330"/>
      <c r="BH330"/>
      <c r="BI330"/>
      <c r="BJ330" s="3"/>
    </row>
    <row r="331" spans="1:62" ht="6" customHeight="1">
      <c r="A331" s="198">
        <v>30</v>
      </c>
      <c r="B331" s="51"/>
      <c r="C331" s="199" t="str">
        <f>INDEX(Riferimenti!$B$2:$B$60,A331)</f>
        <v>5-Idrossimetil-2-Furancarbossilico</v>
      </c>
      <c r="D331" s="199"/>
      <c r="E331" s="199"/>
      <c r="F331" s="199"/>
      <c r="G331" s="199"/>
      <c r="H331" s="199"/>
      <c r="I331" s="199"/>
      <c r="J331" s="199"/>
      <c r="K331" s="199"/>
      <c r="L331" s="199"/>
      <c r="M331" s="199"/>
      <c r="N331" s="199"/>
      <c r="O331" s="195">
        <f>INDEX(Riferimenti!$C$2:$C$65,A331)</f>
        <v>0</v>
      </c>
      <c r="P331" s="200" t="s">
        <v>6</v>
      </c>
      <c r="Q331" s="196">
        <f>INDEX(Riferimenti!$E$2:$E$65,A331)</f>
        <v>2.1</v>
      </c>
      <c r="R331" s="201"/>
      <c r="S331" s="202"/>
      <c r="T331" s="202"/>
      <c r="V331" s="2"/>
      <c r="AG331" s="195">
        <f>INDEX(Riferimenti!$Q$2:$Q$61,A331)</f>
        <v>6.7318023897437462E-2</v>
      </c>
      <c r="AH331" s="195">
        <f>INDEX(Riferimenti!$R$2:$R$61,A331)</f>
        <v>1.1070819761025623</v>
      </c>
      <c r="AI331"/>
      <c r="AJ331"/>
      <c r="AK331" s="222"/>
      <c r="AL331" s="222"/>
      <c r="AM331" s="222"/>
      <c r="AO331"/>
      <c r="AP331"/>
      <c r="AQ331"/>
      <c r="AR331"/>
      <c r="AS331"/>
      <c r="AT331"/>
      <c r="AU331"/>
      <c r="AV331"/>
      <c r="AW331"/>
      <c r="AX331"/>
      <c r="AY331"/>
      <c r="AZ331"/>
      <c r="BA331"/>
      <c r="BB331"/>
      <c r="BC331"/>
      <c r="BD331"/>
      <c r="BE331"/>
      <c r="BF331"/>
      <c r="BG331"/>
      <c r="BH331"/>
      <c r="BI331"/>
      <c r="BJ331" s="3"/>
    </row>
    <row r="332" spans="1:62" ht="5.45" customHeight="1">
      <c r="A332" s="198"/>
      <c r="B332" s="51"/>
      <c r="C332" s="199"/>
      <c r="D332" s="199"/>
      <c r="E332" s="199"/>
      <c r="F332" s="199"/>
      <c r="G332" s="199"/>
      <c r="H332" s="199"/>
      <c r="I332" s="199"/>
      <c r="J332" s="199"/>
      <c r="K332" s="199"/>
      <c r="L332" s="199"/>
      <c r="M332" s="199"/>
      <c r="N332" s="199"/>
      <c r="O332" s="195"/>
      <c r="P332" s="200"/>
      <c r="Q332" s="196"/>
      <c r="R332" s="201"/>
      <c r="S332" s="202"/>
      <c r="T332" s="202"/>
      <c r="U332"/>
      <c r="V332"/>
      <c r="W332"/>
      <c r="X332"/>
      <c r="Y332"/>
      <c r="Z332"/>
      <c r="AA332"/>
      <c r="AB332"/>
      <c r="AC332"/>
      <c r="AD332"/>
      <c r="AE332"/>
      <c r="AF332"/>
      <c r="AG332" s="195"/>
      <c r="AH332" s="195"/>
      <c r="AI332"/>
      <c r="AJ332"/>
      <c r="AK332" s="222"/>
      <c r="AL332" s="222"/>
      <c r="AM332" s="222"/>
      <c r="AN332" s="3"/>
      <c r="AO332"/>
      <c r="AP332"/>
      <c r="AQ332"/>
      <c r="AR332"/>
      <c r="AS332"/>
      <c r="AT332"/>
      <c r="AU332"/>
      <c r="AV332"/>
      <c r="AW332"/>
      <c r="AX332"/>
      <c r="AY332"/>
      <c r="AZ332"/>
      <c r="BA332"/>
      <c r="BB332"/>
      <c r="BC332"/>
      <c r="BD332"/>
      <c r="BE332"/>
      <c r="BF332"/>
      <c r="BG332"/>
      <c r="BH332"/>
      <c r="BI332"/>
      <c r="BJ332" s="3"/>
    </row>
    <row r="333" spans="1:62" ht="6" customHeight="1">
      <c r="A333" s="194"/>
      <c r="B333" s="194"/>
      <c r="C333" s="194"/>
      <c r="D333" s="194"/>
      <c r="E333" s="194"/>
      <c r="F333" s="194"/>
      <c r="G333" s="194"/>
      <c r="H333" s="194"/>
      <c r="I333" s="194"/>
      <c r="J333" s="194"/>
      <c r="K333" s="194"/>
      <c r="L333" s="194"/>
      <c r="M333" s="194"/>
      <c r="N333" s="52"/>
      <c r="O333" s="73"/>
      <c r="P333" s="36"/>
      <c r="Q333" s="72"/>
      <c r="R333" s="75"/>
      <c r="S333" s="166"/>
      <c r="T333" s="167"/>
      <c r="U333" s="24"/>
      <c r="V333" s="40"/>
      <c r="W333" s="40"/>
      <c r="X333" s="40"/>
      <c r="Y333" s="40"/>
      <c r="Z333" s="40"/>
      <c r="AA333" s="40"/>
      <c r="AB333" s="40"/>
      <c r="AC333" s="40"/>
      <c r="AD333" s="40"/>
      <c r="AE333" s="40"/>
      <c r="AF333" s="40"/>
      <c r="AG333"/>
      <c r="AH333"/>
      <c r="AI333"/>
      <c r="AJ333"/>
      <c r="AK333" s="3"/>
      <c r="AL333" s="3"/>
      <c r="AM333" s="3"/>
      <c r="AN333" s="40"/>
      <c r="AO333"/>
      <c r="AP333"/>
      <c r="AQ333"/>
      <c r="AR333"/>
      <c r="AS333"/>
      <c r="AT333"/>
      <c r="AU333"/>
      <c r="AV333"/>
      <c r="AW333"/>
      <c r="AX333"/>
      <c r="AY333"/>
      <c r="AZ333"/>
      <c r="BA333"/>
      <c r="BB333"/>
      <c r="BC333"/>
      <c r="BD333"/>
      <c r="BE333"/>
      <c r="BF333"/>
      <c r="BG333"/>
      <c r="BH333"/>
      <c r="BI333"/>
      <c r="BJ333" s="3"/>
    </row>
    <row r="334" spans="1:62" ht="6" customHeight="1">
      <c r="A334" s="194"/>
      <c r="B334" s="194"/>
      <c r="C334" s="194"/>
      <c r="D334" s="194"/>
      <c r="E334" s="194"/>
      <c r="F334" s="194"/>
      <c r="G334" s="194"/>
      <c r="H334" s="194"/>
      <c r="I334" s="194"/>
      <c r="J334" s="194"/>
      <c r="K334" s="194"/>
      <c r="L334" s="194"/>
      <c r="M334" s="194"/>
      <c r="N334" s="52"/>
      <c r="O334" s="73"/>
      <c r="P334" s="36"/>
      <c r="Q334" s="72"/>
      <c r="R334" s="75"/>
      <c r="S334" s="166"/>
      <c r="T334" s="168"/>
      <c r="V334" s="2"/>
      <c r="AG334"/>
      <c r="AH334"/>
      <c r="AI334"/>
      <c r="AJ334"/>
      <c r="AK334" s="3"/>
      <c r="AL334" s="3"/>
      <c r="AM334" s="3"/>
      <c r="AN334" s="3"/>
      <c r="AO334"/>
      <c r="AP334"/>
      <c r="AQ334"/>
      <c r="AR334"/>
      <c r="AS334"/>
      <c r="AT334"/>
      <c r="AU334"/>
      <c r="AV334"/>
      <c r="AW334"/>
      <c r="AX334"/>
      <c r="AY334"/>
      <c r="AZ334"/>
      <c r="BA334"/>
      <c r="BB334"/>
      <c r="BC334"/>
      <c r="BD334"/>
      <c r="BE334"/>
      <c r="BF334"/>
      <c r="BG334"/>
      <c r="BH334"/>
      <c r="BI334"/>
      <c r="BJ334" s="3"/>
    </row>
    <row r="335" spans="1:62" ht="10.9" customHeight="1">
      <c r="A335" s="53"/>
      <c r="B335" s="53"/>
      <c r="C335" s="53"/>
      <c r="D335" s="54"/>
      <c r="E335" s="54"/>
      <c r="F335" s="54"/>
      <c r="G335" s="53"/>
      <c r="H335" s="53"/>
      <c r="I335" s="54"/>
      <c r="J335" s="54"/>
      <c r="K335" s="54"/>
      <c r="L335" s="54"/>
      <c r="M335" s="54"/>
      <c r="N335" s="54"/>
      <c r="P335" s="3"/>
      <c r="Q335" s="44"/>
      <c r="R335" s="3"/>
      <c r="S335" s="158"/>
      <c r="T335" s="158"/>
      <c r="U335" s="197"/>
      <c r="V335" s="197"/>
      <c r="W335" s="3"/>
      <c r="X335" s="3"/>
      <c r="Y335" s="3"/>
      <c r="Z335" s="3"/>
      <c r="AA335" s="3"/>
      <c r="AB335" s="3"/>
      <c r="AC335" s="197"/>
      <c r="AD335" s="197"/>
      <c r="AE335" s="3"/>
      <c r="AF335" s="3"/>
      <c r="AG335"/>
      <c r="AH335"/>
      <c r="AI335"/>
      <c r="AJ335"/>
      <c r="AK335" s="3"/>
      <c r="AL335" s="3"/>
      <c r="AM335" s="3"/>
      <c r="AN335" s="3"/>
      <c r="AO335"/>
      <c r="AP335"/>
      <c r="AQ335"/>
      <c r="AR335"/>
      <c r="AS335"/>
      <c r="AT335"/>
      <c r="AU335"/>
      <c r="AV335"/>
      <c r="AW335"/>
      <c r="AX335"/>
      <c r="AY335"/>
      <c r="AZ335"/>
      <c r="BA335"/>
      <c r="BB335"/>
      <c r="BC335"/>
      <c r="BD335"/>
      <c r="BE335"/>
      <c r="BF335"/>
      <c r="BG335"/>
      <c r="BH335"/>
      <c r="BI335"/>
      <c r="BJ335" s="3"/>
    </row>
    <row r="336" spans="1:62" ht="6" customHeight="1">
      <c r="A336" s="198">
        <v>31</v>
      </c>
      <c r="B336" s="51"/>
      <c r="C336" s="199" t="str">
        <f>INDEX(Riferimenti!$B$2:$B$60,A336)</f>
        <v>Tartarico</v>
      </c>
      <c r="D336" s="199"/>
      <c r="E336" s="199"/>
      <c r="F336" s="199"/>
      <c r="G336" s="199"/>
      <c r="H336" s="199"/>
      <c r="I336" s="199"/>
      <c r="J336" s="199"/>
      <c r="K336" s="199"/>
      <c r="L336" s="199"/>
      <c r="M336" s="199"/>
      <c r="N336" s="199"/>
      <c r="O336" s="195">
        <f>INDEX(Riferimenti!$C$2:$C$65,A336)</f>
        <v>0</v>
      </c>
      <c r="P336" s="200" t="s">
        <v>6</v>
      </c>
      <c r="Q336" s="196">
        <f>INDEX(Riferimenti!$E$2:$E$65,A336)</f>
        <v>68</v>
      </c>
      <c r="R336" s="201"/>
      <c r="S336" s="202"/>
      <c r="T336" s="202"/>
      <c r="V336" s="2"/>
      <c r="AG336" s="195">
        <f>INDEX(Riferimenti!$Q$2:$Q$61,A336)</f>
        <v>5.5490610175910895</v>
      </c>
      <c r="AH336" s="195">
        <f>INDEX(Riferimenti!$R$2:$R$61,A336)</f>
        <v>38.518165873165216</v>
      </c>
      <c r="AI336"/>
      <c r="AJ336"/>
      <c r="AK336" s="222"/>
      <c r="AL336" s="222"/>
      <c r="AM336" s="222"/>
      <c r="AO336"/>
      <c r="AP336"/>
      <c r="AQ336"/>
      <c r="AR336"/>
      <c r="AS336"/>
      <c r="AT336"/>
      <c r="AU336"/>
      <c r="AV336"/>
      <c r="AW336"/>
      <c r="AX336"/>
      <c r="AY336"/>
      <c r="AZ336"/>
      <c r="BA336"/>
      <c r="BB336"/>
      <c r="BC336"/>
      <c r="BD336"/>
      <c r="BE336"/>
      <c r="BF336"/>
      <c r="BG336"/>
      <c r="BH336"/>
      <c r="BI336"/>
      <c r="BJ336" s="3"/>
    </row>
    <row r="337" spans="1:62" ht="5.45" customHeight="1">
      <c r="A337" s="198"/>
      <c r="B337" s="51"/>
      <c r="C337" s="199"/>
      <c r="D337" s="199"/>
      <c r="E337" s="199"/>
      <c r="F337" s="199"/>
      <c r="G337" s="199"/>
      <c r="H337" s="199"/>
      <c r="I337" s="199"/>
      <c r="J337" s="199"/>
      <c r="K337" s="199"/>
      <c r="L337" s="199"/>
      <c r="M337" s="199"/>
      <c r="N337" s="199"/>
      <c r="O337" s="195"/>
      <c r="P337" s="200"/>
      <c r="Q337" s="196"/>
      <c r="R337" s="201"/>
      <c r="S337" s="202"/>
      <c r="T337" s="202"/>
      <c r="U337"/>
      <c r="V337"/>
      <c r="W337"/>
      <c r="X337"/>
      <c r="Y337"/>
      <c r="Z337"/>
      <c r="AA337"/>
      <c r="AB337"/>
      <c r="AC337"/>
      <c r="AD337"/>
      <c r="AE337"/>
      <c r="AF337"/>
      <c r="AG337" s="195"/>
      <c r="AH337" s="195"/>
      <c r="AI337"/>
      <c r="AJ337"/>
      <c r="AK337" s="222"/>
      <c r="AL337" s="222"/>
      <c r="AM337" s="222"/>
      <c r="AN337" s="3"/>
      <c r="AO337"/>
      <c r="AP337"/>
      <c r="AQ337"/>
      <c r="AR337"/>
      <c r="AS337"/>
      <c r="AT337"/>
      <c r="AU337"/>
      <c r="AV337"/>
      <c r="AW337"/>
      <c r="AX337"/>
      <c r="AY337"/>
      <c r="AZ337"/>
      <c r="BA337"/>
      <c r="BB337"/>
      <c r="BC337"/>
      <c r="BD337"/>
      <c r="BE337"/>
      <c r="BF337"/>
      <c r="BG337"/>
      <c r="BH337"/>
      <c r="BI337"/>
      <c r="BJ337" s="3"/>
    </row>
    <row r="338" spans="1:62" ht="6" customHeight="1">
      <c r="A338" s="194"/>
      <c r="B338" s="194"/>
      <c r="C338" s="194"/>
      <c r="D338" s="194"/>
      <c r="E338" s="194"/>
      <c r="F338" s="194"/>
      <c r="G338" s="194"/>
      <c r="H338" s="194"/>
      <c r="I338" s="194"/>
      <c r="J338" s="194"/>
      <c r="K338" s="194"/>
      <c r="L338" s="194"/>
      <c r="M338" s="194"/>
      <c r="N338" s="52"/>
      <c r="O338" s="73"/>
      <c r="P338" s="36"/>
      <c r="Q338" s="72"/>
      <c r="R338" s="75"/>
      <c r="S338" s="166"/>
      <c r="T338" s="167"/>
      <c r="U338" s="24"/>
      <c r="V338" s="40"/>
      <c r="W338" s="40"/>
      <c r="X338" s="40"/>
      <c r="Y338" s="40"/>
      <c r="Z338" s="40"/>
      <c r="AA338" s="40"/>
      <c r="AB338" s="40"/>
      <c r="AC338" s="40"/>
      <c r="AD338" s="40"/>
      <c r="AE338" s="40"/>
      <c r="AF338" s="40"/>
      <c r="AG338"/>
      <c r="AH338"/>
      <c r="AI338"/>
      <c r="AJ338"/>
      <c r="AN338" s="40"/>
      <c r="AO338"/>
      <c r="AP338"/>
      <c r="AQ338"/>
      <c r="AR338"/>
      <c r="AS338"/>
      <c r="AT338"/>
      <c r="AU338"/>
      <c r="AV338"/>
      <c r="AW338"/>
      <c r="AX338"/>
      <c r="AY338"/>
      <c r="AZ338"/>
      <c r="BA338"/>
      <c r="BB338"/>
      <c r="BC338"/>
      <c r="BD338"/>
      <c r="BE338"/>
      <c r="BF338"/>
      <c r="BG338"/>
      <c r="BH338"/>
      <c r="BI338"/>
      <c r="BJ338" s="3"/>
    </row>
    <row r="339" spans="1:62" ht="6" customHeight="1">
      <c r="A339" s="194"/>
      <c r="B339" s="194"/>
      <c r="C339" s="194"/>
      <c r="D339" s="194"/>
      <c r="E339" s="194"/>
      <c r="F339" s="194"/>
      <c r="G339" s="194"/>
      <c r="H339" s="194"/>
      <c r="I339" s="194"/>
      <c r="J339" s="194"/>
      <c r="K339" s="194"/>
      <c r="L339" s="194"/>
      <c r="M339" s="194"/>
      <c r="N339" s="52"/>
      <c r="O339" s="73"/>
      <c r="P339" s="36"/>
      <c r="Q339" s="72"/>
      <c r="R339" s="75"/>
      <c r="S339" s="166"/>
      <c r="T339" s="168"/>
      <c r="V339" s="2"/>
      <c r="AG339"/>
      <c r="AH339"/>
      <c r="AI339"/>
      <c r="AJ339"/>
      <c r="AN339" s="3"/>
      <c r="AO339"/>
      <c r="AP339"/>
      <c r="AQ339"/>
      <c r="AR339"/>
      <c r="AS339"/>
      <c r="AT339"/>
      <c r="AU339"/>
      <c r="AV339"/>
      <c r="AW339"/>
      <c r="AX339"/>
      <c r="AY339"/>
      <c r="AZ339"/>
      <c r="BA339"/>
      <c r="BB339"/>
      <c r="BC339"/>
      <c r="BD339"/>
      <c r="BE339"/>
      <c r="BF339"/>
      <c r="BG339"/>
      <c r="BH339"/>
      <c r="BI339"/>
      <c r="BJ339" s="3"/>
    </row>
    <row r="340" spans="1:62" ht="10.9" customHeight="1">
      <c r="A340" s="53"/>
      <c r="B340" s="53"/>
      <c r="C340" s="53"/>
      <c r="D340" s="54"/>
      <c r="E340" s="54"/>
      <c r="F340" s="54"/>
      <c r="G340" s="53"/>
      <c r="H340" s="53"/>
      <c r="I340" s="54"/>
      <c r="J340" s="54"/>
      <c r="K340" s="54"/>
      <c r="L340" s="54"/>
      <c r="M340" s="54"/>
      <c r="N340" s="54"/>
      <c r="P340" s="3"/>
      <c r="Q340" s="44"/>
      <c r="R340" s="3"/>
      <c r="S340" s="158"/>
      <c r="T340" s="158"/>
      <c r="U340" s="197"/>
      <c r="V340" s="197"/>
      <c r="W340" s="3"/>
      <c r="X340" s="3"/>
      <c r="Y340" s="3"/>
      <c r="Z340" s="3"/>
      <c r="AA340" s="3"/>
      <c r="AB340" s="3"/>
      <c r="AC340" s="197"/>
      <c r="AD340" s="197"/>
      <c r="AE340" s="3"/>
      <c r="AF340" s="3"/>
      <c r="AG340"/>
      <c r="AH340"/>
      <c r="AI340"/>
      <c r="AJ340"/>
      <c r="AN340" s="3"/>
      <c r="AO340"/>
      <c r="AP340"/>
      <c r="AQ340"/>
      <c r="AR340"/>
      <c r="AS340"/>
      <c r="AT340"/>
      <c r="AU340"/>
      <c r="AV340"/>
      <c r="AW340"/>
      <c r="AX340"/>
      <c r="AY340"/>
      <c r="AZ340"/>
      <c r="BA340"/>
      <c r="BB340"/>
      <c r="BC340"/>
      <c r="BD340"/>
      <c r="BE340"/>
      <c r="BF340"/>
      <c r="BG340"/>
      <c r="BH340"/>
      <c r="BI340"/>
      <c r="BJ340" s="3"/>
    </row>
    <row r="341" spans="1:62" ht="6" customHeight="1">
      <c r="A341" s="198">
        <v>32</v>
      </c>
      <c r="B341" s="51"/>
      <c r="C341" s="199" t="str">
        <f>INDEX(Riferimenti!$B$2:$B$60,A341)</f>
        <v>Furancarbonilglicina</v>
      </c>
      <c r="D341" s="199"/>
      <c r="E341" s="199"/>
      <c r="F341" s="199"/>
      <c r="G341" s="199"/>
      <c r="H341" s="199"/>
      <c r="I341" s="199"/>
      <c r="J341" s="199"/>
      <c r="K341" s="199"/>
      <c r="L341" s="199"/>
      <c r="M341" s="199"/>
      <c r="N341" s="199"/>
      <c r="O341" s="202">
        <f>INDEX(Riferimenti!$C$2:$C$65,A341)</f>
        <v>0</v>
      </c>
      <c r="P341" s="200" t="s">
        <v>6</v>
      </c>
      <c r="Q341" s="196">
        <f>INDEX(Riferimenti!$E$2:$E$65,A341)</f>
        <v>1.3</v>
      </c>
      <c r="R341" s="201"/>
      <c r="S341" s="202"/>
      <c r="T341" s="202"/>
      <c r="V341" s="2"/>
      <c r="AG341" s="195">
        <f>INDEX(Riferimenti!$Q$2:$Q$61,A341)</f>
        <v>0.28739963866191492</v>
      </c>
      <c r="AH341" s="195">
        <f>INDEX(Riferimenti!$R$2:$R$61,A341)</f>
        <v>0.96037813911586345</v>
      </c>
      <c r="AI341"/>
      <c r="AJ341"/>
      <c r="AK341" s="222"/>
      <c r="AL341" s="222"/>
      <c r="AM341" s="222"/>
      <c r="AO341"/>
      <c r="AP341"/>
      <c r="AQ341"/>
      <c r="AR341"/>
      <c r="AS341"/>
      <c r="AT341"/>
      <c r="AU341"/>
      <c r="AV341"/>
      <c r="AW341"/>
      <c r="AX341"/>
      <c r="AY341"/>
      <c r="AZ341"/>
      <c r="BA341"/>
      <c r="BB341"/>
      <c r="BC341"/>
      <c r="BD341"/>
      <c r="BE341"/>
      <c r="BF341"/>
      <c r="BG341"/>
      <c r="BH341"/>
      <c r="BI341"/>
      <c r="BJ341" s="3"/>
    </row>
    <row r="342" spans="1:62" ht="5.45" customHeight="1">
      <c r="A342" s="198"/>
      <c r="B342" s="51"/>
      <c r="C342" s="199"/>
      <c r="D342" s="199"/>
      <c r="E342" s="199"/>
      <c r="F342" s="199"/>
      <c r="G342" s="199"/>
      <c r="H342" s="199"/>
      <c r="I342" s="199"/>
      <c r="J342" s="199"/>
      <c r="K342" s="199"/>
      <c r="L342" s="199"/>
      <c r="M342" s="199"/>
      <c r="N342" s="199"/>
      <c r="O342" s="202"/>
      <c r="P342" s="200"/>
      <c r="Q342" s="196"/>
      <c r="R342" s="201"/>
      <c r="S342" s="202"/>
      <c r="T342" s="202"/>
      <c r="U342"/>
      <c r="V342"/>
      <c r="W342"/>
      <c r="X342"/>
      <c r="Y342"/>
      <c r="Z342"/>
      <c r="AA342"/>
      <c r="AB342"/>
      <c r="AC342"/>
      <c r="AD342"/>
      <c r="AE342"/>
      <c r="AF342"/>
      <c r="AG342" s="195"/>
      <c r="AH342" s="195"/>
      <c r="AI342"/>
      <c r="AJ342"/>
      <c r="AK342" s="222"/>
      <c r="AL342" s="222"/>
      <c r="AM342" s="222"/>
      <c r="AN342" s="3"/>
      <c r="AO342"/>
      <c r="AP342"/>
      <c r="AQ342"/>
      <c r="AR342"/>
      <c r="AS342"/>
      <c r="AT342"/>
      <c r="AU342"/>
      <c r="AV342"/>
      <c r="AW342"/>
      <c r="AX342"/>
      <c r="AY342"/>
      <c r="AZ342"/>
      <c r="BA342"/>
      <c r="BB342"/>
      <c r="BC342"/>
      <c r="BD342"/>
      <c r="BE342"/>
      <c r="BF342"/>
      <c r="BG342"/>
      <c r="BH342"/>
      <c r="BI342"/>
      <c r="BJ342" s="3"/>
    </row>
    <row r="343" spans="1:62" ht="6" customHeight="1">
      <c r="A343" s="194"/>
      <c r="B343" s="194"/>
      <c r="C343" s="194"/>
      <c r="D343" s="194"/>
      <c r="E343" s="194"/>
      <c r="F343" s="194"/>
      <c r="G343" s="194"/>
      <c r="H343" s="194"/>
      <c r="I343" s="194"/>
      <c r="J343" s="194"/>
      <c r="K343" s="194"/>
      <c r="L343" s="194"/>
      <c r="M343" s="194"/>
      <c r="N343" s="52"/>
      <c r="O343" s="73"/>
      <c r="P343" s="36"/>
      <c r="Q343" s="72"/>
      <c r="R343" s="75"/>
      <c r="S343" s="166"/>
      <c r="T343" s="167"/>
      <c r="U343" s="24"/>
      <c r="V343" s="40"/>
      <c r="W343" s="40"/>
      <c r="X343" s="40"/>
      <c r="Y343" s="40"/>
      <c r="Z343" s="40"/>
      <c r="AA343" s="40"/>
      <c r="AB343" s="40"/>
      <c r="AC343" s="40"/>
      <c r="AD343" s="40"/>
      <c r="AE343" s="40"/>
      <c r="AF343" s="40"/>
      <c r="AG343"/>
      <c r="AH343"/>
      <c r="AI343"/>
      <c r="AJ343"/>
      <c r="AN343" s="40"/>
      <c r="AO343"/>
      <c r="AP343"/>
      <c r="AQ343"/>
      <c r="AR343"/>
      <c r="AS343"/>
      <c r="AT343"/>
      <c r="AU343"/>
      <c r="AV343"/>
      <c r="AW343"/>
      <c r="AX343"/>
      <c r="AY343"/>
      <c r="AZ343"/>
      <c r="BA343"/>
      <c r="BB343"/>
      <c r="BC343"/>
      <c r="BD343"/>
      <c r="BE343"/>
      <c r="BF343"/>
      <c r="BG343"/>
      <c r="BH343"/>
      <c r="BI343"/>
      <c r="BJ343" s="3"/>
    </row>
    <row r="344" spans="1:62" ht="6" customHeight="1">
      <c r="A344" s="194"/>
      <c r="B344" s="194"/>
      <c r="C344" s="194"/>
      <c r="D344" s="194"/>
      <c r="E344" s="194"/>
      <c r="F344" s="194"/>
      <c r="G344" s="194"/>
      <c r="H344" s="194"/>
      <c r="I344" s="194"/>
      <c r="J344" s="194"/>
      <c r="K344" s="194"/>
      <c r="L344" s="194"/>
      <c r="M344" s="194"/>
      <c r="N344" s="52"/>
      <c r="O344" s="73"/>
      <c r="P344" s="36"/>
      <c r="Q344" s="72"/>
      <c r="R344" s="75"/>
      <c r="S344" s="166"/>
      <c r="T344" s="168"/>
      <c r="V344" s="2"/>
      <c r="AF344"/>
      <c r="AG344"/>
      <c r="AH344"/>
      <c r="AI344"/>
      <c r="AJ344"/>
      <c r="AN344" s="3"/>
      <c r="AO344"/>
      <c r="AP344"/>
      <c r="AQ344"/>
      <c r="AR344"/>
      <c r="AS344"/>
      <c r="AT344"/>
      <c r="AU344"/>
      <c r="AV344"/>
      <c r="AW344"/>
      <c r="AX344"/>
      <c r="AY344"/>
      <c r="AZ344"/>
      <c r="BA344"/>
      <c r="BB344"/>
      <c r="BC344"/>
      <c r="BD344"/>
      <c r="BE344"/>
      <c r="BF344"/>
      <c r="BG344"/>
      <c r="BH344"/>
      <c r="BI344"/>
      <c r="BJ344" s="3"/>
    </row>
    <row r="345" spans="1:62" ht="10.9" customHeight="1">
      <c r="A345" s="3"/>
      <c r="C345" s="3"/>
      <c r="P345" s="3"/>
      <c r="Q345" s="3"/>
      <c r="R345" s="3"/>
      <c r="S345" s="3"/>
      <c r="T345" s="3"/>
      <c r="U345" s="209"/>
      <c r="V345" s="209"/>
      <c r="W345" s="3"/>
      <c r="X345" s="3"/>
      <c r="Y345" s="3"/>
      <c r="Z345" s="3"/>
      <c r="AA345" s="3"/>
      <c r="AB345" s="3"/>
      <c r="AC345" s="197"/>
      <c r="AD345" s="197"/>
      <c r="AE345" s="3"/>
      <c r="AF345" s="3"/>
      <c r="AG345" s="40"/>
      <c r="AH345" s="40"/>
      <c r="AN345" s="3"/>
      <c r="AO345" s="3"/>
      <c r="AP345" s="3"/>
      <c r="AQ345" s="3"/>
      <c r="AR345" s="3"/>
      <c r="AS345" s="3"/>
      <c r="AT345" s="3"/>
      <c r="AU345" s="3"/>
      <c r="AV345"/>
      <c r="AW345"/>
      <c r="AX345"/>
      <c r="AY345"/>
      <c r="AZ345"/>
      <c r="BA345"/>
      <c r="BB345"/>
      <c r="BC345"/>
      <c r="BD345"/>
      <c r="BE345"/>
      <c r="BF345"/>
      <c r="BG345"/>
      <c r="BH345"/>
      <c r="BI345"/>
      <c r="BJ345" s="3"/>
    </row>
    <row r="346" spans="1:62" ht="6" customHeight="1">
      <c r="A346" s="198">
        <v>33</v>
      </c>
      <c r="B346" s="51"/>
      <c r="C346" s="199" t="str">
        <f>INDEX(Riferimenti!$B$2:$B$60,A346)</f>
        <v>Tricarballilico</v>
      </c>
      <c r="D346" s="199"/>
      <c r="E346" s="199"/>
      <c r="F346" s="199"/>
      <c r="G346" s="199"/>
      <c r="H346" s="199"/>
      <c r="I346" s="199"/>
      <c r="J346" s="199"/>
      <c r="K346" s="199"/>
      <c r="L346" s="199"/>
      <c r="M346" s="199"/>
      <c r="N346" s="199"/>
      <c r="O346" s="195">
        <f>INDEX(Riferimenti!$C$2:$C$65,A346)</f>
        <v>0</v>
      </c>
      <c r="P346" s="200" t="s">
        <v>6</v>
      </c>
      <c r="Q346" s="196">
        <f>INDEX(Riferimenti!$E$2:$E$65,A346)</f>
        <v>0.9</v>
      </c>
      <c r="R346" s="201"/>
      <c r="S346" s="202"/>
      <c r="T346" s="202"/>
      <c r="V346" s="2"/>
      <c r="AV346"/>
      <c r="AW346"/>
      <c r="AX346"/>
      <c r="AY346"/>
      <c r="AZ346"/>
      <c r="BA346"/>
      <c r="BB346"/>
      <c r="BC346"/>
      <c r="BD346"/>
      <c r="BE346"/>
      <c r="BF346"/>
      <c r="BG346"/>
      <c r="BH346"/>
      <c r="BI346"/>
      <c r="BJ346" s="3"/>
    </row>
    <row r="347" spans="1:62" ht="5.45" customHeight="1">
      <c r="A347" s="198"/>
      <c r="B347" s="51"/>
      <c r="C347" s="199"/>
      <c r="D347" s="199"/>
      <c r="E347" s="199"/>
      <c r="F347" s="199"/>
      <c r="G347" s="199"/>
      <c r="H347" s="199"/>
      <c r="I347" s="199"/>
      <c r="J347" s="199"/>
      <c r="K347" s="199"/>
      <c r="L347" s="199"/>
      <c r="M347" s="199"/>
      <c r="N347" s="199"/>
      <c r="O347" s="195"/>
      <c r="P347" s="200"/>
      <c r="Q347" s="196"/>
      <c r="R347" s="201"/>
      <c r="S347" s="202"/>
      <c r="T347" s="202"/>
      <c r="U347"/>
      <c r="V347"/>
      <c r="W347"/>
      <c r="X347"/>
      <c r="Y347"/>
      <c r="Z347"/>
      <c r="AA347"/>
      <c r="AB347"/>
      <c r="AC347"/>
      <c r="AD347"/>
      <c r="AE347"/>
      <c r="AF347"/>
      <c r="AG347" s="3"/>
      <c r="AH347" s="3"/>
      <c r="AN347" s="3"/>
      <c r="AV347"/>
      <c r="AW347"/>
      <c r="AX347"/>
      <c r="AY347"/>
      <c r="AZ347"/>
      <c r="BA347"/>
      <c r="BB347"/>
      <c r="BC347"/>
      <c r="BD347"/>
      <c r="BE347"/>
      <c r="BF347"/>
      <c r="BG347"/>
      <c r="BH347"/>
      <c r="BI347"/>
      <c r="BJ347" s="3"/>
    </row>
    <row r="348" spans="1:62" ht="6" customHeight="1">
      <c r="A348" s="194"/>
      <c r="B348" s="194"/>
      <c r="C348" s="194"/>
      <c r="D348" s="194"/>
      <c r="E348" s="194"/>
      <c r="F348" s="194"/>
      <c r="G348" s="194"/>
      <c r="H348" s="194"/>
      <c r="I348" s="194"/>
      <c r="J348" s="194"/>
      <c r="K348" s="194"/>
      <c r="L348" s="194"/>
      <c r="M348" s="194"/>
      <c r="N348" s="52"/>
      <c r="O348" s="73"/>
      <c r="P348" s="36"/>
      <c r="Q348" s="72"/>
      <c r="R348" s="75"/>
      <c r="S348" s="166"/>
      <c r="T348" s="167"/>
      <c r="U348" s="24"/>
      <c r="V348" s="40"/>
      <c r="W348" s="40"/>
      <c r="X348" s="40"/>
      <c r="Y348" s="40"/>
      <c r="Z348" s="40"/>
      <c r="AA348" s="40"/>
      <c r="AB348" s="40"/>
      <c r="AC348" s="40"/>
      <c r="AD348" s="40"/>
      <c r="AE348" s="40"/>
      <c r="AF348" s="40"/>
      <c r="AG348" s="73" t="e">
        <f>INDEX(Riferimenti!$Q$2:$Q$61,A350)</f>
        <v>#VALUE!</v>
      </c>
      <c r="AH348" s="73" t="e">
        <f>INDEX(Riferimenti!$R$2:$R$61,A350)</f>
        <v>#VALUE!</v>
      </c>
      <c r="AI348"/>
      <c r="AJ348"/>
      <c r="AK348"/>
      <c r="AL348"/>
      <c r="AM348"/>
      <c r="AN348" s="40"/>
      <c r="AO348"/>
      <c r="AP348"/>
      <c r="AQ348"/>
      <c r="AR348"/>
      <c r="AS348"/>
      <c r="AT348"/>
      <c r="AU348"/>
      <c r="AV348"/>
      <c r="AW348"/>
      <c r="AX348"/>
      <c r="AY348"/>
      <c r="AZ348"/>
      <c r="BA348"/>
      <c r="BB348"/>
      <c r="BC348"/>
      <c r="BD348"/>
      <c r="BE348"/>
      <c r="BF348"/>
      <c r="BG348"/>
      <c r="BH348"/>
      <c r="BI348"/>
      <c r="BJ348" s="3"/>
    </row>
    <row r="349" spans="1:62" ht="6" customHeight="1">
      <c r="A349" s="194"/>
      <c r="B349" s="194"/>
      <c r="C349" s="194"/>
      <c r="D349" s="194"/>
      <c r="E349" s="194"/>
      <c r="F349" s="194"/>
      <c r="G349" s="194"/>
      <c r="H349" s="194"/>
      <c r="I349" s="194"/>
      <c r="J349" s="194"/>
      <c r="K349" s="194"/>
      <c r="L349" s="194"/>
      <c r="M349" s="194"/>
      <c r="N349" s="52"/>
      <c r="O349" s="73"/>
      <c r="P349" s="36"/>
      <c r="Q349" s="72"/>
      <c r="R349" s="75"/>
      <c r="S349" s="166"/>
      <c r="T349" s="168"/>
      <c r="V349" s="2"/>
      <c r="AG349" s="73"/>
      <c r="AH349" s="73"/>
      <c r="AI349"/>
      <c r="AJ349"/>
      <c r="AL349"/>
      <c r="AM349"/>
      <c r="AN349" s="3"/>
      <c r="AO349"/>
      <c r="AP349"/>
      <c r="AQ349"/>
      <c r="AR349"/>
      <c r="AS349"/>
      <c r="AT349"/>
      <c r="AU349"/>
      <c r="AV349"/>
      <c r="AW349"/>
      <c r="AX349"/>
      <c r="AY349"/>
      <c r="AZ349"/>
      <c r="BA349"/>
      <c r="BB349"/>
      <c r="BC349"/>
      <c r="BD349"/>
      <c r="BE349"/>
      <c r="BF349"/>
      <c r="BG349"/>
      <c r="BH349"/>
      <c r="BI349"/>
      <c r="BJ349" s="3"/>
    </row>
    <row r="350" spans="1:62" ht="10.9" customHeight="1">
      <c r="A350" s="53"/>
      <c r="B350" s="53"/>
      <c r="C350" s="53"/>
      <c r="D350" s="54"/>
      <c r="E350" s="54"/>
      <c r="F350" s="54"/>
      <c r="G350" s="53"/>
      <c r="H350" s="53"/>
      <c r="I350" s="54"/>
      <c r="J350" s="54"/>
      <c r="K350" s="54"/>
      <c r="L350" s="54"/>
      <c r="M350" s="54"/>
      <c r="N350" s="54"/>
      <c r="O350" s="37"/>
      <c r="P350" s="38"/>
      <c r="Q350" s="44"/>
      <c r="R350" s="3"/>
      <c r="S350" s="158"/>
      <c r="T350" s="158"/>
      <c r="U350" s="197"/>
      <c r="V350" s="197"/>
      <c r="W350" s="3"/>
      <c r="X350" s="3"/>
      <c r="Y350" s="3"/>
      <c r="Z350" s="3"/>
      <c r="AA350" s="3"/>
      <c r="AB350" s="3"/>
      <c r="AC350" s="197"/>
      <c r="AD350" s="197"/>
      <c r="AE350" s="3"/>
      <c r="AF350" s="3"/>
      <c r="AG350"/>
      <c r="AH350"/>
      <c r="AI350"/>
      <c r="AJ350"/>
      <c r="AL350" s="3"/>
      <c r="AM350" s="3"/>
      <c r="AN350" s="3"/>
      <c r="AO350"/>
      <c r="AP350"/>
      <c r="AQ350"/>
      <c r="AR350"/>
      <c r="AS350"/>
      <c r="AT350"/>
      <c r="AU350"/>
      <c r="AV350"/>
      <c r="AW350"/>
      <c r="AX350"/>
      <c r="AY350"/>
      <c r="AZ350"/>
      <c r="BA350"/>
      <c r="BB350"/>
      <c r="BC350"/>
      <c r="BD350"/>
      <c r="BE350"/>
      <c r="BF350"/>
      <c r="BG350"/>
      <c r="BH350"/>
      <c r="BI350"/>
      <c r="BJ350" s="3"/>
    </row>
    <row r="351" spans="1:62" ht="6" customHeight="1">
      <c r="A351" s="198">
        <v>34</v>
      </c>
      <c r="B351" s="51"/>
      <c r="C351" s="199" t="str">
        <f>INDEX(Riferimenti!$B$2:$B$60,A351)</f>
        <v>Arabinosio</v>
      </c>
      <c r="D351" s="199"/>
      <c r="E351" s="199"/>
      <c r="F351" s="199"/>
      <c r="G351" s="199"/>
      <c r="H351" s="199"/>
      <c r="I351" s="199"/>
      <c r="J351" s="199"/>
      <c r="K351" s="199"/>
      <c r="L351" s="199"/>
      <c r="M351" s="199"/>
      <c r="N351" s="199"/>
      <c r="O351" s="195">
        <f>INDEX(Riferimenti!$C$2:$C$65,A351)</f>
        <v>0</v>
      </c>
      <c r="P351" s="200" t="s">
        <v>6</v>
      </c>
      <c r="Q351" s="196">
        <f>INDEX(Riferimenti!$E$2:$E$65,A351)</f>
        <v>23</v>
      </c>
      <c r="R351" s="201"/>
      <c r="S351" s="202"/>
      <c r="T351" s="202"/>
      <c r="V351" s="2"/>
      <c r="AG351" s="195">
        <f>INDEX(Riferimenti!$Q$2:$Q$61,A351)</f>
        <v>10.522667912284327</v>
      </c>
      <c r="AH351" s="195">
        <f>INDEX(Riferimenti!$R$2:$R$61,A351)</f>
        <v>22.972129775576931</v>
      </c>
      <c r="AI351"/>
      <c r="AJ351"/>
      <c r="AK351" s="222"/>
      <c r="AL351" s="222"/>
      <c r="AM351" s="222"/>
      <c r="AO351"/>
      <c r="AP351"/>
      <c r="AQ351"/>
      <c r="AR351"/>
      <c r="AS351"/>
      <c r="AT351"/>
      <c r="AU351"/>
      <c r="AV351"/>
      <c r="AW351"/>
      <c r="AX351"/>
      <c r="AY351"/>
      <c r="AZ351"/>
      <c r="BA351"/>
      <c r="BB351"/>
      <c r="BC351"/>
      <c r="BD351"/>
      <c r="BE351"/>
      <c r="BF351"/>
      <c r="BG351"/>
      <c r="BH351"/>
      <c r="BI351"/>
      <c r="BJ351" s="3"/>
    </row>
    <row r="352" spans="1:62" ht="5.45" customHeight="1">
      <c r="A352" s="198"/>
      <c r="B352" s="51"/>
      <c r="C352" s="199"/>
      <c r="D352" s="199"/>
      <c r="E352" s="199"/>
      <c r="F352" s="199"/>
      <c r="G352" s="199"/>
      <c r="H352" s="199"/>
      <c r="I352" s="199"/>
      <c r="J352" s="199"/>
      <c r="K352" s="199"/>
      <c r="L352" s="199"/>
      <c r="M352" s="199"/>
      <c r="N352" s="199"/>
      <c r="O352" s="195"/>
      <c r="P352" s="200"/>
      <c r="Q352" s="196"/>
      <c r="R352" s="201"/>
      <c r="S352" s="202"/>
      <c r="T352" s="202"/>
      <c r="U352"/>
      <c r="V352"/>
      <c r="W352"/>
      <c r="X352"/>
      <c r="Y352"/>
      <c r="Z352"/>
      <c r="AA352"/>
      <c r="AB352"/>
      <c r="AC352"/>
      <c r="AD352"/>
      <c r="AE352"/>
      <c r="AF352"/>
      <c r="AG352" s="195"/>
      <c r="AH352" s="195"/>
      <c r="AI352"/>
      <c r="AJ352"/>
      <c r="AK352" s="222"/>
      <c r="AL352" s="222"/>
      <c r="AM352" s="222"/>
      <c r="AN352" s="3"/>
      <c r="AO352"/>
      <c r="AP352"/>
      <c r="AQ352"/>
      <c r="AR352"/>
      <c r="AS352"/>
      <c r="AT352"/>
      <c r="AU352"/>
      <c r="AV352"/>
      <c r="AW352"/>
      <c r="AX352"/>
      <c r="AY352"/>
      <c r="AZ352"/>
      <c r="BA352"/>
      <c r="BB352"/>
      <c r="BC352"/>
      <c r="BD352"/>
      <c r="BE352"/>
      <c r="BF352"/>
      <c r="BG352"/>
      <c r="BH352"/>
      <c r="BI352"/>
      <c r="BJ352" s="3"/>
    </row>
    <row r="353" spans="1:62" ht="6" customHeight="1">
      <c r="A353" s="194"/>
      <c r="B353" s="194"/>
      <c r="C353" s="194"/>
      <c r="D353" s="194"/>
      <c r="E353" s="194"/>
      <c r="F353" s="194"/>
      <c r="G353" s="194"/>
      <c r="H353" s="194"/>
      <c r="I353" s="194"/>
      <c r="J353" s="194"/>
      <c r="K353" s="194"/>
      <c r="L353" s="194"/>
      <c r="M353" s="194"/>
      <c r="N353" s="52"/>
      <c r="O353" s="73"/>
      <c r="P353" s="36"/>
      <c r="Q353" s="72"/>
      <c r="R353" s="75"/>
      <c r="S353" s="166"/>
      <c r="T353" s="167"/>
      <c r="U353" s="24"/>
      <c r="V353" s="40"/>
      <c r="W353" s="40"/>
      <c r="X353" s="40"/>
      <c r="Y353" s="40"/>
      <c r="Z353" s="40"/>
      <c r="AA353" s="40"/>
      <c r="AB353" s="40"/>
      <c r="AC353" s="40"/>
      <c r="AD353" s="40"/>
      <c r="AE353" s="40"/>
      <c r="AF353" s="40"/>
      <c r="AG353"/>
      <c r="AH353"/>
      <c r="AI353"/>
      <c r="AJ353"/>
      <c r="AK353" s="3"/>
      <c r="AL353" s="3"/>
      <c r="AM353" s="3"/>
      <c r="AN353" s="40"/>
      <c r="AO353"/>
      <c r="AP353"/>
      <c r="AQ353"/>
      <c r="AR353"/>
      <c r="AS353"/>
      <c r="AT353"/>
      <c r="AU353"/>
      <c r="AV353"/>
      <c r="AW353"/>
      <c r="AX353"/>
      <c r="AY353"/>
      <c r="AZ353"/>
      <c r="BA353"/>
      <c r="BB353"/>
      <c r="BC353"/>
      <c r="BD353"/>
      <c r="BE353"/>
      <c r="BF353"/>
      <c r="BG353"/>
      <c r="BH353"/>
      <c r="BI353"/>
      <c r="BJ353" s="3"/>
    </row>
    <row r="354" spans="1:62" ht="6" customHeight="1">
      <c r="A354" s="194"/>
      <c r="B354" s="194"/>
      <c r="C354" s="194"/>
      <c r="D354" s="194"/>
      <c r="E354" s="194"/>
      <c r="F354" s="194"/>
      <c r="G354" s="194"/>
      <c r="H354" s="194"/>
      <c r="I354" s="194"/>
      <c r="J354" s="194"/>
      <c r="K354" s="194"/>
      <c r="L354" s="194"/>
      <c r="M354" s="194"/>
      <c r="N354" s="52"/>
      <c r="O354" s="73"/>
      <c r="P354" s="36"/>
      <c r="Q354" s="72"/>
      <c r="R354" s="75"/>
      <c r="S354" s="166"/>
      <c r="T354" s="168"/>
      <c r="V354" s="2"/>
      <c r="AG354"/>
      <c r="AH354"/>
      <c r="AI354"/>
      <c r="AJ354"/>
      <c r="AK354" s="3"/>
      <c r="AL354" s="3"/>
      <c r="AM354" s="3"/>
      <c r="AN354" s="3"/>
      <c r="AO354"/>
      <c r="AP354"/>
      <c r="AQ354"/>
      <c r="AR354"/>
      <c r="AS354"/>
      <c r="AT354"/>
      <c r="AU354"/>
      <c r="AV354"/>
      <c r="AW354"/>
      <c r="AX354"/>
      <c r="AY354"/>
      <c r="AZ354"/>
      <c r="BA354"/>
      <c r="BB354"/>
      <c r="BC354"/>
      <c r="BD354"/>
      <c r="BE354"/>
      <c r="BF354"/>
      <c r="BG354"/>
      <c r="BH354"/>
      <c r="BI354"/>
      <c r="BJ354" s="3"/>
    </row>
    <row r="355" spans="1:62" ht="10.9" customHeight="1">
      <c r="A355" s="53"/>
      <c r="B355" s="53"/>
      <c r="C355" s="53"/>
      <c r="D355" s="54"/>
      <c r="E355" s="54"/>
      <c r="F355" s="54"/>
      <c r="G355" s="53"/>
      <c r="H355" s="53"/>
      <c r="I355" s="54"/>
      <c r="J355" s="54"/>
      <c r="K355" s="54"/>
      <c r="L355" s="54"/>
      <c r="M355" s="54"/>
      <c r="N355" s="54"/>
      <c r="P355" s="3"/>
      <c r="Q355" s="44"/>
      <c r="R355" s="3"/>
      <c r="S355" s="158"/>
      <c r="T355" s="158"/>
      <c r="U355" s="197"/>
      <c r="V355" s="197"/>
      <c r="W355" s="3"/>
      <c r="X355" s="3"/>
      <c r="Y355" s="3"/>
      <c r="Z355" s="3"/>
      <c r="AA355" s="3"/>
      <c r="AB355" s="3"/>
      <c r="AC355" s="197"/>
      <c r="AD355" s="197"/>
      <c r="AE355" s="3"/>
      <c r="AF355" s="3"/>
      <c r="AG355"/>
      <c r="AH355"/>
      <c r="AI355"/>
      <c r="AJ355"/>
      <c r="AK355" s="3"/>
      <c r="AL355" s="3"/>
      <c r="AM355" s="3"/>
      <c r="AN355" s="3"/>
      <c r="AO355"/>
      <c r="AP355"/>
      <c r="AQ355"/>
      <c r="AR355"/>
      <c r="AS355"/>
      <c r="AT355"/>
      <c r="AU355"/>
      <c r="AV355"/>
      <c r="AW355"/>
      <c r="AX355"/>
      <c r="AY355"/>
      <c r="AZ355"/>
      <c r="BA355"/>
      <c r="BB355"/>
      <c r="BC355"/>
      <c r="BD355"/>
      <c r="BE355"/>
      <c r="BF355"/>
      <c r="BG355"/>
      <c r="BH355"/>
      <c r="BI355"/>
      <c r="BJ355" s="3"/>
    </row>
    <row r="356" spans="1:62" ht="6" customHeight="1">
      <c r="A356" s="198">
        <v>35</v>
      </c>
      <c r="B356" s="51"/>
      <c r="C356" s="199" t="str">
        <f>INDEX(Riferimenti!$B$2:$B$60,A356)</f>
        <v>Arabitolo</v>
      </c>
      <c r="D356" s="199"/>
      <c r="E356" s="199"/>
      <c r="F356" s="199"/>
      <c r="G356" s="199"/>
      <c r="H356" s="199"/>
      <c r="I356" s="199"/>
      <c r="J356" s="199"/>
      <c r="K356" s="199"/>
      <c r="L356" s="199"/>
      <c r="M356" s="199"/>
      <c r="N356" s="199"/>
      <c r="O356" s="195">
        <f>INDEX(Riferimenti!$C$2:$C$65,A356)</f>
        <v>0</v>
      </c>
      <c r="P356" s="200" t="s">
        <v>6</v>
      </c>
      <c r="Q356" s="196">
        <f>INDEX(Riferimenti!$E$2:$E$65,A356)</f>
        <v>46.8</v>
      </c>
      <c r="R356" s="201"/>
      <c r="S356" s="202"/>
      <c r="T356" s="202"/>
      <c r="V356" s="2"/>
      <c r="AG356" s="195">
        <f>INDEX(Riferimenti!$Q$2:$Q$61,A356)</f>
        <v>3.1794326527703181</v>
      </c>
      <c r="AH356" s="195">
        <f>INDEX(Riferimenti!$R$2:$R$61,A356)</f>
        <v>24.962574782173888</v>
      </c>
      <c r="AI356"/>
      <c r="AJ356"/>
      <c r="AK356" s="222"/>
      <c r="AL356" s="222"/>
      <c r="AM356" s="222"/>
      <c r="AO356"/>
      <c r="AP356"/>
      <c r="AQ356"/>
      <c r="AR356"/>
      <c r="AS356"/>
      <c r="AT356"/>
      <c r="AU356"/>
      <c r="AV356"/>
      <c r="AW356"/>
      <c r="AX356"/>
      <c r="AY356"/>
      <c r="AZ356"/>
      <c r="BA356"/>
      <c r="BB356"/>
      <c r="BC356"/>
      <c r="BD356"/>
      <c r="BE356"/>
      <c r="BF356"/>
      <c r="BG356"/>
      <c r="BH356"/>
      <c r="BI356"/>
      <c r="BJ356" s="3"/>
    </row>
    <row r="357" spans="1:62" ht="5.45" customHeight="1">
      <c r="A357" s="198"/>
      <c r="B357" s="51"/>
      <c r="C357" s="199"/>
      <c r="D357" s="199"/>
      <c r="E357" s="199"/>
      <c r="F357" s="199"/>
      <c r="G357" s="199"/>
      <c r="H357" s="199"/>
      <c r="I357" s="199"/>
      <c r="J357" s="199"/>
      <c r="K357" s="199"/>
      <c r="L357" s="199"/>
      <c r="M357" s="199"/>
      <c r="N357" s="199"/>
      <c r="O357" s="195"/>
      <c r="P357" s="200"/>
      <c r="Q357" s="196"/>
      <c r="R357" s="201"/>
      <c r="S357" s="202"/>
      <c r="T357" s="202"/>
      <c r="U357"/>
      <c r="V357"/>
      <c r="W357"/>
      <c r="X357"/>
      <c r="Y357"/>
      <c r="Z357"/>
      <c r="AA357"/>
      <c r="AB357"/>
      <c r="AC357"/>
      <c r="AD357"/>
      <c r="AE357"/>
      <c r="AF357"/>
      <c r="AG357" s="195"/>
      <c r="AH357" s="195"/>
      <c r="AI357"/>
      <c r="AJ357"/>
      <c r="AK357" s="222"/>
      <c r="AL357" s="222"/>
      <c r="AM357" s="222"/>
      <c r="AN357" s="3"/>
      <c r="AO357"/>
      <c r="AP357"/>
      <c r="AQ357"/>
      <c r="AR357"/>
      <c r="AS357"/>
      <c r="AT357"/>
      <c r="AU357"/>
      <c r="AV357"/>
      <c r="AW357"/>
      <c r="AX357"/>
      <c r="AY357"/>
      <c r="AZ357"/>
      <c r="BA357"/>
      <c r="BB357"/>
      <c r="BC357"/>
      <c r="BD357"/>
      <c r="BE357"/>
      <c r="BF357"/>
      <c r="BG357"/>
      <c r="BH357"/>
      <c r="BI357"/>
      <c r="BJ357" s="3"/>
    </row>
    <row r="358" spans="1:62" ht="6" customHeight="1">
      <c r="A358" s="194"/>
      <c r="B358" s="194"/>
      <c r="C358" s="194"/>
      <c r="D358" s="194"/>
      <c r="E358" s="194"/>
      <c r="F358" s="194"/>
      <c r="G358" s="194"/>
      <c r="H358" s="194"/>
      <c r="I358" s="194"/>
      <c r="J358" s="194"/>
      <c r="K358" s="194"/>
      <c r="L358" s="194"/>
      <c r="M358" s="194"/>
      <c r="N358" s="52"/>
      <c r="O358" s="73"/>
      <c r="P358" s="36"/>
      <c r="Q358" s="72"/>
      <c r="R358" s="75"/>
      <c r="S358" s="166"/>
      <c r="T358" s="167"/>
      <c r="U358" s="24"/>
      <c r="V358" s="40"/>
      <c r="W358" s="40"/>
      <c r="X358" s="40"/>
      <c r="Y358" s="40"/>
      <c r="Z358" s="40"/>
      <c r="AA358" s="40"/>
      <c r="AB358" s="40"/>
      <c r="AC358" s="40"/>
      <c r="AD358" s="40"/>
      <c r="AE358" s="40"/>
      <c r="AF358" s="40"/>
      <c r="AG358"/>
      <c r="AH358"/>
      <c r="AI358"/>
      <c r="AJ358"/>
      <c r="AN358" s="40"/>
      <c r="AO358"/>
      <c r="AP358"/>
      <c r="AQ358"/>
      <c r="AR358"/>
      <c r="AS358"/>
      <c r="AT358"/>
      <c r="AU358"/>
      <c r="AV358"/>
      <c r="AW358"/>
      <c r="AX358"/>
      <c r="AY358"/>
      <c r="AZ358"/>
      <c r="BA358"/>
      <c r="BB358"/>
      <c r="BC358"/>
      <c r="BD358"/>
      <c r="BE358"/>
      <c r="BF358"/>
      <c r="BG358"/>
      <c r="BH358"/>
      <c r="BI358"/>
      <c r="BJ358" s="3"/>
    </row>
    <row r="359" spans="1:62" ht="6" customHeight="1">
      <c r="A359" s="194"/>
      <c r="B359" s="194"/>
      <c r="C359" s="194"/>
      <c r="D359" s="194"/>
      <c r="E359" s="194"/>
      <c r="F359" s="194"/>
      <c r="G359" s="194"/>
      <c r="H359" s="194"/>
      <c r="I359" s="194"/>
      <c r="J359" s="194"/>
      <c r="K359" s="194"/>
      <c r="L359" s="194"/>
      <c r="M359" s="194"/>
      <c r="N359" s="52"/>
      <c r="O359" s="73"/>
      <c r="P359" s="36"/>
      <c r="Q359" s="72"/>
      <c r="R359" s="75"/>
      <c r="S359" s="166"/>
      <c r="T359" s="168"/>
      <c r="V359" s="2"/>
      <c r="AG359"/>
      <c r="AH359"/>
      <c r="AI359"/>
      <c r="AJ359"/>
      <c r="AN359" s="3"/>
      <c r="AO359"/>
      <c r="AP359"/>
      <c r="AQ359"/>
      <c r="AR359"/>
      <c r="AS359"/>
      <c r="AT359"/>
      <c r="AU359"/>
      <c r="AV359"/>
      <c r="AW359"/>
      <c r="AX359"/>
      <c r="AY359"/>
      <c r="AZ359"/>
      <c r="BA359"/>
      <c r="BB359"/>
      <c r="BC359"/>
      <c r="BD359"/>
      <c r="BE359"/>
      <c r="BF359"/>
      <c r="BG359"/>
      <c r="BH359"/>
      <c r="BI359"/>
      <c r="BJ359" s="3"/>
    </row>
    <row r="360" spans="1:62" ht="10.9" customHeight="1">
      <c r="A360" s="3"/>
      <c r="C360" s="3"/>
      <c r="P360" s="3"/>
      <c r="Q360" s="3"/>
      <c r="R360" s="3"/>
      <c r="S360" s="3"/>
      <c r="T360" s="3"/>
      <c r="U360" s="209"/>
      <c r="V360" s="209"/>
      <c r="W360" s="3"/>
      <c r="X360" s="3"/>
      <c r="Y360" s="3"/>
      <c r="Z360" s="3"/>
      <c r="AA360" s="3"/>
      <c r="AB360" s="3"/>
      <c r="AC360" s="197"/>
      <c r="AD360" s="197"/>
      <c r="AE360" s="3"/>
      <c r="AF360" s="3"/>
      <c r="AG360" s="40"/>
      <c r="AH360" s="40"/>
      <c r="AN360" s="3"/>
      <c r="AO360" s="3"/>
      <c r="AP360" s="3"/>
      <c r="AQ360" s="3"/>
      <c r="AR360" s="3"/>
      <c r="AS360" s="3"/>
      <c r="AT360" s="3"/>
      <c r="AU360" s="3"/>
      <c r="AV360"/>
      <c r="AW360"/>
      <c r="AX360"/>
      <c r="AY360"/>
      <c r="AZ360"/>
      <c r="BA360"/>
      <c r="BB360"/>
      <c r="BC360"/>
      <c r="BD360"/>
      <c r="BE360"/>
      <c r="BF360"/>
      <c r="BG360"/>
      <c r="BH360"/>
      <c r="BI360"/>
      <c r="BJ360" s="3"/>
    </row>
    <row r="361" spans="1:62" ht="6" customHeight="1">
      <c r="A361" s="198">
        <v>36</v>
      </c>
      <c r="B361" s="51"/>
      <c r="C361" s="199" t="str">
        <f>INDEX(Riferimenti!$B$2:$B$60,A361)</f>
        <v>Furan-2,5-Dicarbossilico</v>
      </c>
      <c r="D361" s="199"/>
      <c r="E361" s="199"/>
      <c r="F361" s="199"/>
      <c r="G361" s="199"/>
      <c r="H361" s="199"/>
      <c r="I361" s="199"/>
      <c r="J361" s="199"/>
      <c r="K361" s="199"/>
      <c r="L361" s="199"/>
      <c r="M361" s="199"/>
      <c r="N361" s="199"/>
      <c r="O361" s="195">
        <f>INDEX(Riferimenti!$C$2:$C$65,A361)</f>
        <v>0</v>
      </c>
      <c r="P361" s="200" t="s">
        <v>6</v>
      </c>
      <c r="Q361" s="196">
        <f>INDEX(Riferimenti!$E$2:$E$65,A361)</f>
        <v>9.3000000000000007</v>
      </c>
      <c r="R361" s="201"/>
      <c r="S361" s="202"/>
      <c r="T361" s="202"/>
      <c r="V361" s="2"/>
      <c r="AV361"/>
      <c r="AW361"/>
      <c r="AX361"/>
      <c r="AY361"/>
      <c r="AZ361"/>
      <c r="BA361"/>
      <c r="BB361"/>
      <c r="BC361"/>
      <c r="BD361"/>
      <c r="BE361"/>
      <c r="BF361"/>
      <c r="BG361"/>
      <c r="BH361"/>
      <c r="BI361"/>
      <c r="BJ361" s="3"/>
    </row>
    <row r="362" spans="1:62" ht="5.45" customHeight="1">
      <c r="A362" s="198"/>
      <c r="B362" s="51"/>
      <c r="C362" s="199"/>
      <c r="D362" s="199"/>
      <c r="E362" s="199"/>
      <c r="F362" s="199"/>
      <c r="G362" s="199"/>
      <c r="H362" s="199"/>
      <c r="I362" s="199"/>
      <c r="J362" s="199"/>
      <c r="K362" s="199"/>
      <c r="L362" s="199"/>
      <c r="M362" s="199"/>
      <c r="N362" s="199"/>
      <c r="O362" s="195"/>
      <c r="P362" s="200"/>
      <c r="Q362" s="196"/>
      <c r="R362" s="201"/>
      <c r="S362" s="202"/>
      <c r="T362" s="202"/>
      <c r="U362"/>
      <c r="V362"/>
      <c r="W362"/>
      <c r="X362"/>
      <c r="Y362"/>
      <c r="Z362"/>
      <c r="AA362"/>
      <c r="AB362"/>
      <c r="AC362"/>
      <c r="AD362"/>
      <c r="AE362"/>
      <c r="AF362"/>
      <c r="AG362" s="3"/>
      <c r="AH362" s="3"/>
      <c r="AN362" s="3"/>
      <c r="AV362"/>
      <c r="AW362"/>
      <c r="AX362"/>
      <c r="AY362"/>
      <c r="AZ362"/>
      <c r="BA362"/>
      <c r="BB362"/>
      <c r="BC362"/>
      <c r="BD362"/>
      <c r="BE362"/>
      <c r="BF362"/>
      <c r="BG362"/>
      <c r="BH362"/>
      <c r="BI362"/>
      <c r="BJ362" s="3"/>
    </row>
    <row r="363" spans="1:62" ht="6" customHeight="1">
      <c r="A363" s="194"/>
      <c r="B363" s="194"/>
      <c r="C363" s="194"/>
      <c r="D363" s="194"/>
      <c r="E363" s="194"/>
      <c r="F363" s="194"/>
      <c r="G363" s="194"/>
      <c r="H363" s="194"/>
      <c r="I363" s="194"/>
      <c r="J363" s="194"/>
      <c r="K363" s="194"/>
      <c r="L363" s="194"/>
      <c r="M363" s="194"/>
      <c r="N363" s="52"/>
      <c r="O363" s="73"/>
      <c r="P363" s="36"/>
      <c r="Q363" s="72"/>
      <c r="R363" s="75"/>
      <c r="S363" s="166"/>
      <c r="T363" s="167"/>
      <c r="U363" s="24"/>
      <c r="V363" s="40"/>
      <c r="W363" s="40"/>
      <c r="X363" s="40"/>
      <c r="Y363" s="40"/>
      <c r="Z363" s="40"/>
      <c r="AA363" s="40"/>
      <c r="AB363" s="40"/>
      <c r="AC363" s="40"/>
      <c r="AD363" s="40"/>
      <c r="AE363" s="40"/>
      <c r="AF363" s="40"/>
      <c r="AG363" s="73" t="e">
        <f>INDEX(Riferimenti!$Q$2:$Q$61,#REF!)</f>
        <v>#REF!</v>
      </c>
      <c r="AH363" s="73" t="e">
        <f>INDEX(Riferimenti!$R$2:$R$61,#REF!)</f>
        <v>#REF!</v>
      </c>
      <c r="AI363"/>
      <c r="AJ363"/>
      <c r="AK363"/>
      <c r="AL363"/>
      <c r="AM363"/>
      <c r="AN363" s="40"/>
      <c r="AO363"/>
      <c r="AP363"/>
      <c r="AQ363"/>
      <c r="AR363"/>
      <c r="AS363"/>
      <c r="AT363"/>
      <c r="AU363"/>
      <c r="AV363"/>
      <c r="AW363"/>
      <c r="AX363"/>
      <c r="AY363"/>
      <c r="AZ363"/>
      <c r="BA363"/>
      <c r="BB363"/>
      <c r="BC363"/>
      <c r="BD363"/>
      <c r="BE363"/>
      <c r="BF363"/>
      <c r="BG363"/>
      <c r="BH363"/>
      <c r="BI363"/>
      <c r="BJ363" s="3"/>
    </row>
    <row r="364" spans="1:62" ht="6" customHeight="1">
      <c r="A364" s="194"/>
      <c r="B364" s="194"/>
      <c r="C364" s="194"/>
      <c r="D364" s="194"/>
      <c r="E364" s="194"/>
      <c r="F364" s="194"/>
      <c r="G364" s="194"/>
      <c r="H364" s="194"/>
      <c r="I364" s="194"/>
      <c r="J364" s="194"/>
      <c r="K364" s="194"/>
      <c r="L364" s="194"/>
      <c r="M364" s="194"/>
      <c r="N364" s="52"/>
      <c r="O364" s="73"/>
      <c r="P364" s="36"/>
      <c r="Q364" s="72"/>
      <c r="R364" s="75"/>
      <c r="S364" s="166"/>
      <c r="T364" s="168"/>
      <c r="V364" s="2"/>
      <c r="AG364" s="73"/>
      <c r="AH364" s="73"/>
      <c r="AI364"/>
      <c r="AJ364"/>
      <c r="AL364"/>
      <c r="AM364"/>
      <c r="AN364" s="3"/>
      <c r="AO364"/>
      <c r="AP364"/>
      <c r="AQ364"/>
      <c r="AR364"/>
      <c r="AS364"/>
      <c r="AT364"/>
      <c r="AU364"/>
      <c r="AV364"/>
      <c r="AW364"/>
      <c r="AX364"/>
      <c r="AY364"/>
      <c r="AZ364"/>
      <c r="BA364"/>
      <c r="BB364"/>
      <c r="BC364"/>
      <c r="BD364"/>
      <c r="BE364"/>
      <c r="BF364"/>
      <c r="BG364"/>
      <c r="BH364"/>
      <c r="BI364"/>
      <c r="BJ364" s="3"/>
    </row>
    <row r="365" spans="1:62" ht="15" customHeight="1">
      <c r="A365" s="208" t="s">
        <v>117</v>
      </c>
      <c r="B365" s="208"/>
      <c r="C365" s="208"/>
      <c r="D365" s="208"/>
      <c r="E365" s="208"/>
      <c r="F365" s="208"/>
      <c r="G365" s="208"/>
      <c r="H365" s="208"/>
      <c r="I365" s="208"/>
      <c r="J365" s="208"/>
      <c r="K365" s="208"/>
      <c r="L365" s="208"/>
      <c r="M365" s="208"/>
      <c r="N365" s="208"/>
      <c r="O365" s="208"/>
      <c r="P365" s="208"/>
      <c r="Q365" s="208"/>
      <c r="R365" s="208"/>
      <c r="S365" s="208"/>
      <c r="T365" s="208"/>
      <c r="U365" s="208"/>
      <c r="V365" s="208"/>
      <c r="W365" s="208"/>
      <c r="X365" s="208"/>
      <c r="Y365" s="208"/>
      <c r="Z365" s="208"/>
      <c r="AA365" s="208"/>
      <c r="AB365" s="208"/>
      <c r="AC365" s="208"/>
      <c r="AD365" s="208"/>
      <c r="AE365" s="208"/>
      <c r="AF365" s="2">
        <v>0</v>
      </c>
      <c r="AG365"/>
      <c r="AH365"/>
      <c r="AI365"/>
      <c r="AN365" s="3"/>
      <c r="AV365"/>
      <c r="AW365"/>
      <c r="AX365"/>
      <c r="AY365"/>
      <c r="AZ365"/>
      <c r="BA365"/>
      <c r="BB365"/>
      <c r="BC365"/>
      <c r="BD365"/>
      <c r="BE365"/>
      <c r="BF365"/>
      <c r="BG365"/>
      <c r="BH365"/>
      <c r="BI365"/>
    </row>
    <row r="366" spans="1:62" ht="10.9" customHeight="1">
      <c r="A366" s="3"/>
      <c r="C366" s="3"/>
      <c r="P366" s="3"/>
      <c r="Q366" s="3"/>
      <c r="R366" s="3"/>
      <c r="S366" s="3"/>
      <c r="T366" s="3"/>
      <c r="U366" s="209"/>
      <c r="V366" s="209"/>
      <c r="W366" s="3"/>
      <c r="X366" s="3"/>
      <c r="Y366" s="3"/>
      <c r="Z366" s="3"/>
      <c r="AA366" s="3"/>
      <c r="AB366" s="3"/>
      <c r="AC366" s="197"/>
      <c r="AD366" s="197"/>
      <c r="AE366" s="3"/>
      <c r="AF366" s="3"/>
      <c r="AG366"/>
      <c r="AH366"/>
      <c r="AI366"/>
      <c r="AN366" s="3"/>
      <c r="AO366" s="3"/>
      <c r="AP366" s="3"/>
      <c r="AQ366" s="3"/>
      <c r="AR366" s="3"/>
      <c r="AS366" s="3"/>
      <c r="AT366" s="3"/>
      <c r="AU366" s="3"/>
      <c r="AV366"/>
      <c r="AW366"/>
      <c r="AX366"/>
      <c r="AY366"/>
      <c r="AZ366"/>
      <c r="BA366"/>
      <c r="BB366"/>
      <c r="BC366"/>
      <c r="BD366"/>
      <c r="BE366"/>
      <c r="BF366"/>
      <c r="BG366"/>
      <c r="BH366"/>
      <c r="BI366"/>
      <c r="BJ366" s="3"/>
    </row>
    <row r="367" spans="1:62" ht="6" customHeight="1">
      <c r="A367" s="198">
        <v>37</v>
      </c>
      <c r="B367" s="51"/>
      <c r="C367" s="199" t="str">
        <f>INDEX(Riferimenti!$B$2:$B$60,A367)</f>
        <v>4-Idrossiippurico</v>
      </c>
      <c r="D367" s="199"/>
      <c r="E367" s="199"/>
      <c r="F367" s="199"/>
      <c r="G367" s="199"/>
      <c r="H367" s="199"/>
      <c r="I367" s="199"/>
      <c r="J367" s="199"/>
      <c r="K367" s="199"/>
      <c r="L367" s="199"/>
      <c r="M367" s="199"/>
      <c r="N367" s="199"/>
      <c r="O367" s="195">
        <f>INDEX(Riferimenti!$C$2:$C$65,A367)</f>
        <v>0</v>
      </c>
      <c r="P367" s="200" t="s">
        <v>6</v>
      </c>
      <c r="Q367" s="196">
        <f>INDEX(Riferimenti!$E$2:$E$65,A367)</f>
        <v>5.6</v>
      </c>
      <c r="R367" s="201"/>
      <c r="S367" s="202"/>
      <c r="T367" s="202"/>
      <c r="V367" s="2"/>
      <c r="AG367"/>
      <c r="AH367"/>
      <c r="AI367"/>
      <c r="AV367"/>
      <c r="AW367"/>
      <c r="AX367"/>
      <c r="AY367"/>
      <c r="AZ367"/>
      <c r="BA367"/>
      <c r="BB367"/>
      <c r="BC367"/>
      <c r="BD367"/>
      <c r="BE367"/>
      <c r="BF367"/>
      <c r="BG367"/>
      <c r="BH367"/>
      <c r="BI367"/>
      <c r="BJ367" s="3"/>
    </row>
    <row r="368" spans="1:62" ht="5.45" customHeight="1">
      <c r="A368" s="198"/>
      <c r="B368" s="51"/>
      <c r="C368" s="199"/>
      <c r="D368" s="199"/>
      <c r="E368" s="199"/>
      <c r="F368" s="199"/>
      <c r="G368" s="199"/>
      <c r="H368" s="199"/>
      <c r="I368" s="199"/>
      <c r="J368" s="199"/>
      <c r="K368" s="199"/>
      <c r="L368" s="199"/>
      <c r="M368" s="199"/>
      <c r="N368" s="199"/>
      <c r="O368" s="195"/>
      <c r="P368" s="200"/>
      <c r="Q368" s="196"/>
      <c r="R368" s="201"/>
      <c r="S368" s="202"/>
      <c r="T368" s="202"/>
      <c r="U368"/>
      <c r="V368"/>
      <c r="W368"/>
      <c r="X368"/>
      <c r="Y368"/>
      <c r="Z368"/>
      <c r="AA368"/>
      <c r="AB368"/>
      <c r="AC368"/>
      <c r="AD368"/>
      <c r="AE368"/>
      <c r="AF368"/>
      <c r="AG368"/>
      <c r="AH368"/>
      <c r="AI368"/>
      <c r="AN368" s="3"/>
      <c r="AV368"/>
      <c r="AW368"/>
      <c r="AX368"/>
      <c r="AY368"/>
      <c r="AZ368"/>
      <c r="BA368"/>
      <c r="BB368"/>
      <c r="BC368"/>
      <c r="BD368"/>
      <c r="BE368"/>
      <c r="BF368"/>
      <c r="BG368"/>
      <c r="BH368"/>
      <c r="BI368"/>
      <c r="BJ368" s="3"/>
    </row>
    <row r="369" spans="1:62" ht="6" customHeight="1">
      <c r="A369" s="194"/>
      <c r="B369" s="194"/>
      <c r="C369" s="194"/>
      <c r="D369" s="194"/>
      <c r="E369" s="194"/>
      <c r="F369" s="194"/>
      <c r="G369" s="194"/>
      <c r="H369" s="194"/>
      <c r="I369" s="194"/>
      <c r="J369" s="194"/>
      <c r="K369" s="194"/>
      <c r="L369" s="194"/>
      <c r="M369" s="194"/>
      <c r="N369" s="52"/>
      <c r="O369" s="73"/>
      <c r="P369" s="36"/>
      <c r="Q369" s="72"/>
      <c r="R369" s="75"/>
      <c r="S369" s="166"/>
      <c r="T369" s="167"/>
      <c r="U369" s="24"/>
      <c r="V369" s="40"/>
      <c r="W369" s="40"/>
      <c r="X369" s="40"/>
      <c r="Y369" s="40"/>
      <c r="Z369" s="40"/>
      <c r="AA369" s="40"/>
      <c r="AB369" s="40"/>
      <c r="AC369" s="40"/>
      <c r="AD369" s="40"/>
      <c r="AE369" s="40"/>
      <c r="AF369" s="40"/>
      <c r="AG369"/>
      <c r="AH369"/>
      <c r="AI369"/>
      <c r="AJ369"/>
      <c r="AK369"/>
      <c r="AL369"/>
      <c r="AM369"/>
      <c r="AN369" s="40"/>
      <c r="AO369"/>
      <c r="AP369"/>
      <c r="AQ369"/>
      <c r="AR369"/>
      <c r="AS369"/>
      <c r="AT369"/>
      <c r="AU369"/>
      <c r="AV369"/>
      <c r="AW369"/>
      <c r="AX369"/>
      <c r="AY369"/>
      <c r="AZ369"/>
      <c r="BA369"/>
      <c r="BB369"/>
      <c r="BC369"/>
      <c r="BD369"/>
      <c r="BE369"/>
      <c r="BF369"/>
      <c r="BG369"/>
      <c r="BH369"/>
      <c r="BI369"/>
      <c r="BJ369" s="3"/>
    </row>
    <row r="370" spans="1:62" ht="6" customHeight="1">
      <c r="A370" s="194"/>
      <c r="B370" s="194"/>
      <c r="C370" s="194"/>
      <c r="D370" s="194"/>
      <c r="E370" s="194"/>
      <c r="F370" s="194"/>
      <c r="G370" s="194"/>
      <c r="H370" s="194"/>
      <c r="I370" s="194"/>
      <c r="J370" s="194"/>
      <c r="K370" s="194"/>
      <c r="L370" s="194"/>
      <c r="M370" s="194"/>
      <c r="N370" s="52"/>
      <c r="O370" s="73"/>
      <c r="P370" s="36"/>
      <c r="Q370" s="72"/>
      <c r="R370" s="75"/>
      <c r="S370" s="166"/>
      <c r="T370" s="168"/>
      <c r="V370" s="2"/>
      <c r="AG370"/>
      <c r="AH370"/>
      <c r="AI370"/>
      <c r="AJ370"/>
      <c r="AL370"/>
      <c r="AM370"/>
      <c r="AN370" s="3"/>
      <c r="AO370"/>
      <c r="AP370"/>
      <c r="AQ370"/>
      <c r="AR370"/>
      <c r="AS370"/>
      <c r="AT370"/>
      <c r="AU370"/>
      <c r="AV370"/>
      <c r="AW370"/>
      <c r="AX370"/>
      <c r="AY370"/>
      <c r="AZ370"/>
      <c r="BA370"/>
      <c r="BB370"/>
      <c r="BC370"/>
      <c r="BD370"/>
      <c r="BE370"/>
      <c r="BF370"/>
      <c r="BG370"/>
      <c r="BH370"/>
      <c r="BI370"/>
      <c r="BJ370" s="3"/>
    </row>
    <row r="371" spans="1:62" ht="10.9" customHeight="1">
      <c r="A371" s="53"/>
      <c r="B371" s="53"/>
      <c r="C371" s="53"/>
      <c r="D371" s="54"/>
      <c r="E371" s="54"/>
      <c r="F371" s="54"/>
      <c r="G371" s="53"/>
      <c r="H371" s="53"/>
      <c r="I371" s="54"/>
      <c r="J371" s="54"/>
      <c r="K371" s="54"/>
      <c r="L371" s="54"/>
      <c r="M371" s="54"/>
      <c r="N371" s="54"/>
      <c r="O371" s="37"/>
      <c r="P371" s="38"/>
      <c r="Q371" s="44"/>
      <c r="R371" s="3"/>
      <c r="S371" s="158"/>
      <c r="T371" s="158"/>
      <c r="U371" s="197"/>
      <c r="V371" s="197"/>
      <c r="W371" s="3"/>
      <c r="X371" s="3"/>
      <c r="Y371" s="3"/>
      <c r="Z371" s="3"/>
      <c r="AA371" s="3"/>
      <c r="AB371" s="3"/>
      <c r="AC371" s="197"/>
      <c r="AD371" s="197"/>
      <c r="AE371" s="3"/>
      <c r="AF371" s="3"/>
      <c r="AG371"/>
      <c r="AH371"/>
      <c r="AI371"/>
      <c r="AJ371"/>
      <c r="AL371" s="3"/>
      <c r="AM371" s="3"/>
      <c r="AN371" s="3"/>
      <c r="AO371"/>
      <c r="AP371"/>
      <c r="AQ371"/>
      <c r="AR371"/>
      <c r="AS371"/>
      <c r="AT371"/>
      <c r="AU371"/>
      <c r="AV371"/>
      <c r="AW371"/>
      <c r="AX371"/>
      <c r="AY371"/>
      <c r="AZ371"/>
      <c r="BA371"/>
      <c r="BB371"/>
      <c r="BC371"/>
      <c r="BD371"/>
      <c r="BE371"/>
      <c r="BF371"/>
      <c r="BG371"/>
      <c r="BH371"/>
      <c r="BI371"/>
      <c r="BJ371" s="3"/>
    </row>
    <row r="372" spans="1:62" ht="6" customHeight="1">
      <c r="A372" s="198">
        <v>38</v>
      </c>
      <c r="B372" s="51"/>
      <c r="C372" s="199" t="str">
        <f>INDEX(Riferimenti!$B$2:$B$60,A372)</f>
        <v>Ippurico</v>
      </c>
      <c r="D372" s="199"/>
      <c r="E372" s="199"/>
      <c r="F372" s="199"/>
      <c r="G372" s="199"/>
      <c r="H372" s="199"/>
      <c r="I372" s="199"/>
      <c r="J372" s="199"/>
      <c r="K372" s="199"/>
      <c r="L372" s="199"/>
      <c r="M372" s="199"/>
      <c r="N372" s="199"/>
      <c r="O372" s="195">
        <f>INDEX(Riferimenti!$C$2:$C$65,A372)</f>
        <v>0</v>
      </c>
      <c r="P372" s="200" t="s">
        <v>6</v>
      </c>
      <c r="Q372" s="196">
        <f>INDEX(Riferimenti!$E$2:$E$65,A372)</f>
        <v>529.6</v>
      </c>
      <c r="R372" s="201"/>
      <c r="S372" s="202"/>
      <c r="T372" s="202"/>
      <c r="V372" s="2"/>
      <c r="AG372" s="195">
        <f>INDEX(Riferimenti!$Q$2:$Q$61,A372)</f>
        <v>37.784258361070187</v>
      </c>
      <c r="AH372" s="195">
        <f>INDEX(Riferimenti!$R$2:$R$61,A372)</f>
        <v>283.67363637577182</v>
      </c>
      <c r="AI372"/>
      <c r="AJ372"/>
      <c r="AK372" s="222"/>
      <c r="AL372" s="222"/>
      <c r="AM372" s="222"/>
      <c r="AO372"/>
      <c r="AP372"/>
      <c r="AQ372"/>
      <c r="AR372"/>
      <c r="AS372"/>
      <c r="AT372"/>
      <c r="AU372"/>
      <c r="AV372"/>
      <c r="AW372"/>
      <c r="AX372"/>
      <c r="AY372"/>
      <c r="AZ372"/>
      <c r="BA372"/>
      <c r="BB372"/>
      <c r="BC372"/>
      <c r="BD372"/>
      <c r="BE372"/>
      <c r="BF372"/>
      <c r="BG372"/>
      <c r="BH372"/>
      <c r="BI372"/>
      <c r="BJ372" s="3"/>
    </row>
    <row r="373" spans="1:62" ht="5.45" customHeight="1">
      <c r="A373" s="198"/>
      <c r="B373" s="51"/>
      <c r="C373" s="199"/>
      <c r="D373" s="199"/>
      <c r="E373" s="199"/>
      <c r="F373" s="199"/>
      <c r="G373" s="199"/>
      <c r="H373" s="199"/>
      <c r="I373" s="199"/>
      <c r="J373" s="199"/>
      <c r="K373" s="199"/>
      <c r="L373" s="199"/>
      <c r="M373" s="199"/>
      <c r="N373" s="199"/>
      <c r="O373" s="195"/>
      <c r="P373" s="200"/>
      <c r="Q373" s="196"/>
      <c r="R373" s="201"/>
      <c r="S373" s="202"/>
      <c r="T373" s="202"/>
      <c r="U373"/>
      <c r="V373"/>
      <c r="W373"/>
      <c r="X373"/>
      <c r="Y373"/>
      <c r="Z373"/>
      <c r="AA373"/>
      <c r="AB373"/>
      <c r="AC373"/>
      <c r="AD373"/>
      <c r="AE373"/>
      <c r="AF373"/>
      <c r="AG373" s="195"/>
      <c r="AH373" s="195"/>
      <c r="AI373"/>
      <c r="AJ373"/>
      <c r="AK373" s="222"/>
      <c r="AL373" s="222"/>
      <c r="AM373" s="222"/>
      <c r="AN373" s="3"/>
      <c r="AO373"/>
      <c r="AP373"/>
      <c r="AQ373"/>
      <c r="AR373"/>
      <c r="AS373"/>
      <c r="AT373"/>
      <c r="AU373"/>
      <c r="AV373"/>
      <c r="AW373"/>
      <c r="AX373"/>
      <c r="AY373"/>
      <c r="AZ373"/>
      <c r="BA373"/>
      <c r="BB373"/>
      <c r="BC373"/>
      <c r="BD373"/>
      <c r="BE373"/>
      <c r="BF373"/>
      <c r="BG373"/>
      <c r="BH373"/>
      <c r="BI373"/>
      <c r="BJ373" s="3"/>
    </row>
    <row r="374" spans="1:62" ht="6" customHeight="1">
      <c r="A374" s="194"/>
      <c r="B374" s="194"/>
      <c r="C374" s="194"/>
      <c r="D374" s="194"/>
      <c r="E374" s="194"/>
      <c r="F374" s="194"/>
      <c r="G374" s="194"/>
      <c r="H374" s="194"/>
      <c r="I374" s="194"/>
      <c r="J374" s="194"/>
      <c r="K374" s="194"/>
      <c r="L374" s="194"/>
      <c r="M374" s="194"/>
      <c r="N374" s="52"/>
      <c r="O374" s="73"/>
      <c r="P374" s="36"/>
      <c r="Q374" s="72"/>
      <c r="R374" s="75"/>
      <c r="S374" s="166"/>
      <c r="T374" s="167"/>
      <c r="U374" s="24"/>
      <c r="V374" s="40"/>
      <c r="W374" s="40"/>
      <c r="X374" s="40"/>
      <c r="Y374" s="40"/>
      <c r="Z374" s="40"/>
      <c r="AA374" s="40"/>
      <c r="AB374" s="40"/>
      <c r="AC374" s="40"/>
      <c r="AD374" s="40"/>
      <c r="AE374" s="40"/>
      <c r="AF374" s="40"/>
      <c r="AG374"/>
      <c r="AH374"/>
      <c r="AI374"/>
      <c r="AJ374"/>
      <c r="AK374" s="3"/>
      <c r="AL374" s="3"/>
      <c r="AM374" s="3"/>
      <c r="AN374" s="40"/>
      <c r="AO374"/>
      <c r="AP374"/>
      <c r="AQ374"/>
      <c r="AR374"/>
      <c r="AS374"/>
      <c r="AT374"/>
      <c r="AU374"/>
      <c r="AV374"/>
      <c r="AW374"/>
      <c r="AX374"/>
      <c r="AY374"/>
      <c r="AZ374"/>
      <c r="BA374"/>
      <c r="BB374"/>
      <c r="BC374"/>
      <c r="BD374"/>
      <c r="BE374"/>
      <c r="BF374"/>
      <c r="BG374"/>
      <c r="BH374"/>
      <c r="BI374"/>
      <c r="BJ374" s="3"/>
    </row>
    <row r="375" spans="1:62" ht="6" customHeight="1">
      <c r="A375" s="194"/>
      <c r="B375" s="194"/>
      <c r="C375" s="194"/>
      <c r="D375" s="194"/>
      <c r="E375" s="194"/>
      <c r="F375" s="194"/>
      <c r="G375" s="194"/>
      <c r="H375" s="194"/>
      <c r="I375" s="194"/>
      <c r="J375" s="194"/>
      <c r="K375" s="194"/>
      <c r="L375" s="194"/>
      <c r="M375" s="194"/>
      <c r="N375" s="52"/>
      <c r="O375" s="73"/>
      <c r="P375" s="36"/>
      <c r="Q375" s="72"/>
      <c r="R375" s="75"/>
      <c r="S375" s="166"/>
      <c r="T375" s="168"/>
      <c r="V375" s="2"/>
      <c r="AG375"/>
      <c r="AH375"/>
      <c r="AI375"/>
      <c r="AJ375"/>
      <c r="AK375" s="3"/>
      <c r="AL375" s="3"/>
      <c r="AM375" s="3"/>
      <c r="AN375" s="3"/>
      <c r="AO375"/>
      <c r="AP375"/>
      <c r="AQ375"/>
      <c r="AR375"/>
      <c r="AS375"/>
      <c r="AT375"/>
      <c r="AU375"/>
      <c r="AV375"/>
      <c r="AW375"/>
      <c r="AX375"/>
      <c r="AY375"/>
      <c r="AZ375"/>
      <c r="BA375"/>
      <c r="BB375"/>
      <c r="BC375"/>
      <c r="BD375"/>
      <c r="BE375"/>
      <c r="BF375"/>
      <c r="BG375"/>
      <c r="BH375"/>
      <c r="BI375"/>
      <c r="BJ375" s="3"/>
    </row>
    <row r="376" spans="1:62" ht="10.9" customHeight="1">
      <c r="A376" s="53"/>
      <c r="B376" s="53"/>
      <c r="C376" s="53"/>
      <c r="D376" s="54"/>
      <c r="E376" s="54"/>
      <c r="F376" s="54"/>
      <c r="G376" s="53"/>
      <c r="H376" s="53"/>
      <c r="I376" s="54"/>
      <c r="J376" s="54"/>
      <c r="K376" s="54"/>
      <c r="L376" s="54"/>
      <c r="M376" s="54"/>
      <c r="N376" s="54"/>
      <c r="P376" s="3"/>
      <c r="Q376" s="44"/>
      <c r="R376" s="3"/>
      <c r="S376" s="158"/>
      <c r="T376" s="158"/>
      <c r="U376" s="197"/>
      <c r="V376" s="197"/>
      <c r="W376" s="3"/>
      <c r="X376" s="3"/>
      <c r="Y376" s="3"/>
      <c r="Z376" s="3"/>
      <c r="AA376" s="3"/>
      <c r="AB376" s="3"/>
      <c r="AC376" s="197"/>
      <c r="AD376" s="197"/>
      <c r="AE376" s="3"/>
      <c r="AF376" s="3"/>
      <c r="AG376"/>
      <c r="AH376"/>
      <c r="AI376"/>
      <c r="AJ376"/>
      <c r="AK376" s="3"/>
      <c r="AL376" s="3"/>
      <c r="AM376" s="3"/>
      <c r="AN376" s="3"/>
      <c r="AO376"/>
      <c r="AP376"/>
      <c r="AQ376"/>
      <c r="AR376"/>
      <c r="AS376"/>
      <c r="AT376"/>
      <c r="AU376"/>
      <c r="AV376"/>
      <c r="AW376"/>
      <c r="AX376"/>
      <c r="AY376"/>
      <c r="AZ376"/>
      <c r="BA376"/>
      <c r="BB376"/>
      <c r="BC376"/>
      <c r="BD376"/>
      <c r="BE376"/>
      <c r="BF376"/>
      <c r="BG376"/>
      <c r="BH376"/>
      <c r="BI376"/>
      <c r="BJ376" s="3"/>
    </row>
    <row r="377" spans="1:62" ht="6" customHeight="1">
      <c r="A377" s="198">
        <v>39</v>
      </c>
      <c r="B377" s="51"/>
      <c r="C377" s="199" t="str">
        <f>INDEX(Riferimenti!$B$2:$B$60,A377)</f>
        <v>Benzoico</v>
      </c>
      <c r="D377" s="199"/>
      <c r="E377" s="199"/>
      <c r="F377" s="199"/>
      <c r="G377" s="199"/>
      <c r="H377" s="199"/>
      <c r="I377" s="199"/>
      <c r="J377" s="199"/>
      <c r="K377" s="199"/>
      <c r="L377" s="199"/>
      <c r="M377" s="199"/>
      <c r="N377" s="199"/>
      <c r="O377" s="195">
        <f>INDEX(Riferimenti!$C$2:$C$65,A377)</f>
        <v>0</v>
      </c>
      <c r="P377" s="200" t="s">
        <v>6</v>
      </c>
      <c r="Q377" s="196">
        <f>INDEX(Riferimenti!$E$2:$E$65,A377)</f>
        <v>1.1000000000000001</v>
      </c>
      <c r="R377" s="201"/>
      <c r="S377" s="202"/>
      <c r="T377" s="202"/>
      <c r="V377" s="2"/>
      <c r="AG377" s="195">
        <f>INDEX(Riferimenti!$Q$2:$Q$61,A377)</f>
        <v>2.0565271713039901E-2</v>
      </c>
      <c r="AH377" s="195">
        <f>INDEX(Riferimenti!$R$2:$R$61,A377)</f>
        <v>0.55973029478942427</v>
      </c>
      <c r="AI377"/>
      <c r="AJ377"/>
      <c r="AK377" s="222"/>
      <c r="AL377" s="222"/>
      <c r="AM377" s="222"/>
      <c r="AO377"/>
      <c r="AP377"/>
      <c r="AQ377"/>
      <c r="AR377"/>
      <c r="AS377"/>
      <c r="AT377"/>
      <c r="AU377"/>
      <c r="AV377"/>
      <c r="AW377"/>
      <c r="AX377"/>
      <c r="AY377"/>
      <c r="AZ377"/>
      <c r="BA377"/>
      <c r="BB377"/>
      <c r="BC377"/>
      <c r="BD377"/>
      <c r="BE377"/>
      <c r="BF377"/>
      <c r="BG377"/>
      <c r="BH377"/>
      <c r="BI377"/>
      <c r="BJ377" s="3"/>
    </row>
    <row r="378" spans="1:62" ht="5.45" customHeight="1">
      <c r="A378" s="198"/>
      <c r="B378" s="51"/>
      <c r="C378" s="199"/>
      <c r="D378" s="199"/>
      <c r="E378" s="199"/>
      <c r="F378" s="199"/>
      <c r="G378" s="199"/>
      <c r="H378" s="199"/>
      <c r="I378" s="199"/>
      <c r="J378" s="199"/>
      <c r="K378" s="199"/>
      <c r="L378" s="199"/>
      <c r="M378" s="199"/>
      <c r="N378" s="199"/>
      <c r="O378" s="195"/>
      <c r="P378" s="200"/>
      <c r="Q378" s="196"/>
      <c r="R378" s="201"/>
      <c r="S378" s="202"/>
      <c r="T378" s="202"/>
      <c r="U378"/>
      <c r="V378"/>
      <c r="W378"/>
      <c r="X378"/>
      <c r="Y378"/>
      <c r="Z378"/>
      <c r="AA378"/>
      <c r="AB378"/>
      <c r="AC378"/>
      <c r="AD378"/>
      <c r="AE378"/>
      <c r="AF378"/>
      <c r="AG378" s="195"/>
      <c r="AH378" s="195"/>
      <c r="AI378"/>
      <c r="AJ378"/>
      <c r="AK378" s="222"/>
      <c r="AL378" s="222"/>
      <c r="AM378" s="222"/>
      <c r="AN378" s="3"/>
      <c r="AO378"/>
      <c r="AP378"/>
      <c r="AQ378"/>
      <c r="AR378"/>
      <c r="AS378"/>
      <c r="AT378"/>
      <c r="AU378"/>
      <c r="AV378"/>
      <c r="AW378"/>
      <c r="AX378"/>
      <c r="AY378"/>
      <c r="AZ378"/>
      <c r="BA378"/>
      <c r="BB378"/>
      <c r="BC378"/>
      <c r="BD378"/>
      <c r="BE378"/>
      <c r="BF378"/>
      <c r="BG378"/>
      <c r="BH378"/>
      <c r="BI378"/>
      <c r="BJ378" s="3"/>
    </row>
    <row r="379" spans="1:62" ht="6" customHeight="1">
      <c r="A379" s="194"/>
      <c r="B379" s="194"/>
      <c r="C379" s="194"/>
      <c r="D379" s="194"/>
      <c r="E379" s="194"/>
      <c r="F379" s="194"/>
      <c r="G379" s="194"/>
      <c r="H379" s="194"/>
      <c r="I379" s="194"/>
      <c r="J379" s="194"/>
      <c r="K379" s="194"/>
      <c r="L379" s="194"/>
      <c r="M379" s="194"/>
      <c r="N379" s="52"/>
      <c r="O379" s="73"/>
      <c r="P379" s="36"/>
      <c r="Q379" s="72"/>
      <c r="R379" s="75"/>
      <c r="S379" s="166"/>
      <c r="T379" s="167"/>
      <c r="U379" s="24"/>
      <c r="V379" s="40"/>
      <c r="W379" s="40"/>
      <c r="X379" s="40"/>
      <c r="Y379" s="40"/>
      <c r="Z379" s="40"/>
      <c r="AA379" s="40"/>
      <c r="AB379" s="40"/>
      <c r="AC379" s="40"/>
      <c r="AD379" s="40"/>
      <c r="AE379" s="40"/>
      <c r="AF379" s="40"/>
      <c r="AG379"/>
      <c r="AH379"/>
      <c r="AI379"/>
      <c r="AJ379"/>
      <c r="AN379" s="40"/>
      <c r="AO379"/>
      <c r="AP379"/>
      <c r="AQ379"/>
      <c r="AR379"/>
      <c r="AS379"/>
      <c r="AT379"/>
      <c r="AU379"/>
      <c r="AV379"/>
      <c r="AW379"/>
      <c r="AX379"/>
      <c r="AY379"/>
      <c r="AZ379"/>
      <c r="BA379"/>
      <c r="BB379"/>
      <c r="BC379"/>
      <c r="BD379"/>
      <c r="BE379"/>
      <c r="BF379"/>
      <c r="BG379"/>
      <c r="BH379"/>
      <c r="BI379"/>
      <c r="BJ379" s="3"/>
    </row>
    <row r="380" spans="1:62" ht="6" customHeight="1">
      <c r="A380" s="194"/>
      <c r="B380" s="194"/>
      <c r="C380" s="194"/>
      <c r="D380" s="194"/>
      <c r="E380" s="194"/>
      <c r="F380" s="194"/>
      <c r="G380" s="194"/>
      <c r="H380" s="194"/>
      <c r="I380" s="194"/>
      <c r="J380" s="194"/>
      <c r="K380" s="194"/>
      <c r="L380" s="194"/>
      <c r="M380" s="194"/>
      <c r="N380" s="52"/>
      <c r="O380" s="73"/>
      <c r="P380" s="36"/>
      <c r="Q380" s="72"/>
      <c r="R380" s="75"/>
      <c r="S380" s="166"/>
      <c r="T380" s="168"/>
      <c r="V380" s="2"/>
      <c r="AG380"/>
      <c r="AH380"/>
      <c r="AI380"/>
      <c r="AJ380"/>
      <c r="AN380" s="3"/>
      <c r="AO380"/>
      <c r="AP380"/>
      <c r="AQ380"/>
      <c r="AR380"/>
      <c r="AS380"/>
      <c r="AT380"/>
      <c r="AU380"/>
      <c r="AV380"/>
      <c r="AW380"/>
      <c r="AX380"/>
      <c r="AY380"/>
      <c r="AZ380"/>
      <c r="BA380"/>
      <c r="BB380"/>
      <c r="BC380"/>
      <c r="BD380"/>
      <c r="BE380"/>
      <c r="BF380"/>
      <c r="BG380"/>
      <c r="BH380"/>
      <c r="BI380"/>
      <c r="BJ380" s="3"/>
    </row>
    <row r="381" spans="1:62" ht="10.9" customHeight="1">
      <c r="A381" s="53"/>
      <c r="B381" s="53"/>
      <c r="C381" s="53"/>
      <c r="D381" s="54"/>
      <c r="E381" s="54"/>
      <c r="F381" s="54"/>
      <c r="G381" s="53"/>
      <c r="H381" s="53"/>
      <c r="I381" s="54"/>
      <c r="J381" s="54"/>
      <c r="K381" s="54"/>
      <c r="L381" s="54"/>
      <c r="M381" s="54"/>
      <c r="N381" s="54"/>
      <c r="P381" s="3"/>
      <c r="Q381" s="44"/>
      <c r="R381" s="3"/>
      <c r="S381" s="158"/>
      <c r="T381" s="158"/>
      <c r="U381" s="197"/>
      <c r="V381" s="197"/>
      <c r="W381" s="3"/>
      <c r="X381" s="3"/>
      <c r="Y381" s="3"/>
      <c r="Z381" s="3"/>
      <c r="AA381" s="3"/>
      <c r="AB381" s="3"/>
      <c r="AC381" s="197"/>
      <c r="AD381" s="197"/>
      <c r="AE381" s="3"/>
      <c r="AF381" s="3"/>
      <c r="AG381"/>
      <c r="AH381"/>
      <c r="AI381"/>
      <c r="AJ381"/>
      <c r="AN381" s="3"/>
      <c r="AO381"/>
      <c r="AP381"/>
      <c r="AQ381"/>
      <c r="AR381"/>
      <c r="AS381"/>
      <c r="AT381"/>
      <c r="AU381"/>
      <c r="AV381"/>
      <c r="AW381"/>
      <c r="AX381"/>
      <c r="AY381"/>
      <c r="AZ381"/>
      <c r="BA381"/>
      <c r="BB381"/>
      <c r="BC381"/>
      <c r="BD381"/>
      <c r="BE381"/>
      <c r="BF381"/>
      <c r="BG381"/>
      <c r="BH381"/>
      <c r="BI381"/>
      <c r="BJ381" s="3"/>
    </row>
    <row r="382" spans="1:62" ht="6" customHeight="1">
      <c r="A382" s="198">
        <v>40</v>
      </c>
      <c r="B382" s="51"/>
      <c r="C382" s="199" t="str">
        <f>INDEX(Riferimenti!$B$2:$B$60,A382)</f>
        <v>Indacano   (mg/dL)</v>
      </c>
      <c r="D382" s="199"/>
      <c r="E382" s="199"/>
      <c r="F382" s="199"/>
      <c r="G382" s="199"/>
      <c r="H382" s="199"/>
      <c r="I382" s="199"/>
      <c r="J382" s="199"/>
      <c r="K382" s="199"/>
      <c r="L382" s="199"/>
      <c r="M382" s="199"/>
      <c r="N382" s="199"/>
      <c r="O382" s="202">
        <f>INDEX(Riferimenti!$C$2:$C$65,A382)</f>
        <v>0</v>
      </c>
      <c r="P382" s="200" t="s">
        <v>6</v>
      </c>
      <c r="Q382" s="196">
        <f>INDEX(Riferimenti!$E$2:$E$65,A382)</f>
        <v>20</v>
      </c>
      <c r="R382" s="201"/>
      <c r="S382" s="202"/>
      <c r="T382" s="202"/>
      <c r="V382" s="2"/>
      <c r="AG382" s="195">
        <f>INDEX(Riferimenti!$Q$2:$Q$61,A382)</f>
        <v>8</v>
      </c>
      <c r="AH382" s="195">
        <f>INDEX(Riferimenti!$R$2:$R$61,A382)</f>
        <v>12</v>
      </c>
      <c r="AI382"/>
      <c r="AJ382"/>
      <c r="AK382" s="222"/>
      <c r="AL382" s="222"/>
      <c r="AM382" s="222"/>
      <c r="AO382"/>
      <c r="AP382"/>
      <c r="AQ382"/>
      <c r="AR382"/>
      <c r="AS382"/>
      <c r="AT382"/>
      <c r="AU382"/>
      <c r="AV382"/>
      <c r="AW382"/>
      <c r="AX382"/>
      <c r="AY382"/>
      <c r="AZ382"/>
      <c r="BA382"/>
      <c r="BB382"/>
      <c r="BC382"/>
      <c r="BD382"/>
      <c r="BE382"/>
      <c r="BF382"/>
      <c r="BG382"/>
      <c r="BH382"/>
      <c r="BI382"/>
      <c r="BJ382" s="3"/>
    </row>
    <row r="383" spans="1:62" ht="5.45" customHeight="1">
      <c r="A383" s="198"/>
      <c r="B383" s="51"/>
      <c r="C383" s="199"/>
      <c r="D383" s="199"/>
      <c r="E383" s="199"/>
      <c r="F383" s="199"/>
      <c r="G383" s="199"/>
      <c r="H383" s="199"/>
      <c r="I383" s="199"/>
      <c r="J383" s="199"/>
      <c r="K383" s="199"/>
      <c r="L383" s="199"/>
      <c r="M383" s="199"/>
      <c r="N383" s="199"/>
      <c r="O383" s="202"/>
      <c r="P383" s="200"/>
      <c r="Q383" s="196"/>
      <c r="R383" s="201"/>
      <c r="S383" s="202"/>
      <c r="T383" s="202"/>
      <c r="U383"/>
      <c r="V383"/>
      <c r="W383"/>
      <c r="X383"/>
      <c r="Y383"/>
      <c r="Z383"/>
      <c r="AA383"/>
      <c r="AB383"/>
      <c r="AC383"/>
      <c r="AD383"/>
      <c r="AE383"/>
      <c r="AF383"/>
      <c r="AG383" s="195"/>
      <c r="AH383" s="195"/>
      <c r="AI383"/>
      <c r="AJ383"/>
      <c r="AK383" s="222"/>
      <c r="AL383" s="222"/>
      <c r="AM383" s="222"/>
      <c r="AN383" s="3"/>
      <c r="AO383"/>
      <c r="AP383"/>
      <c r="AQ383"/>
      <c r="AR383"/>
      <c r="AS383"/>
      <c r="AT383"/>
      <c r="AU383"/>
      <c r="AV383"/>
      <c r="AW383"/>
      <c r="AX383"/>
      <c r="AY383"/>
      <c r="AZ383"/>
      <c r="BA383"/>
      <c r="BB383"/>
      <c r="BC383"/>
      <c r="BD383"/>
      <c r="BE383"/>
      <c r="BF383"/>
      <c r="BG383"/>
      <c r="BH383"/>
      <c r="BI383"/>
      <c r="BJ383" s="3"/>
    </row>
    <row r="384" spans="1:62" ht="6" customHeight="1">
      <c r="A384" s="194"/>
      <c r="B384" s="194"/>
      <c r="C384" s="194"/>
      <c r="D384" s="194"/>
      <c r="E384" s="194"/>
      <c r="F384" s="194"/>
      <c r="G384" s="194"/>
      <c r="H384" s="194"/>
      <c r="I384" s="194"/>
      <c r="J384" s="194"/>
      <c r="K384" s="194"/>
      <c r="L384" s="194"/>
      <c r="M384" s="194"/>
      <c r="N384" s="52"/>
      <c r="O384" s="73"/>
      <c r="P384" s="36"/>
      <c r="Q384" s="72"/>
      <c r="R384" s="75"/>
      <c r="S384" s="166"/>
      <c r="T384" s="167"/>
      <c r="U384" s="24"/>
      <c r="V384" s="40"/>
      <c r="W384" s="40"/>
      <c r="X384" s="40"/>
      <c r="Y384" s="40"/>
      <c r="Z384" s="40"/>
      <c r="AA384" s="40"/>
      <c r="AB384" s="40"/>
      <c r="AC384" s="40"/>
      <c r="AD384" s="40"/>
      <c r="AE384" s="40"/>
      <c r="AF384" s="40"/>
      <c r="AG384"/>
      <c r="AH384"/>
      <c r="AI384"/>
      <c r="AJ384"/>
      <c r="AN384" s="40"/>
      <c r="AO384"/>
      <c r="AP384"/>
      <c r="AQ384"/>
      <c r="AR384"/>
      <c r="AS384"/>
      <c r="AT384"/>
      <c r="AU384"/>
      <c r="AV384"/>
      <c r="AW384"/>
      <c r="AX384"/>
      <c r="AY384"/>
      <c r="AZ384"/>
      <c r="BA384"/>
      <c r="BB384"/>
      <c r="BC384"/>
      <c r="BD384"/>
      <c r="BE384"/>
      <c r="BF384"/>
      <c r="BG384"/>
      <c r="BH384"/>
      <c r="BI384"/>
      <c r="BJ384" s="3"/>
    </row>
    <row r="385" spans="1:62" ht="6" customHeight="1">
      <c r="A385" s="194"/>
      <c r="B385" s="194"/>
      <c r="C385" s="194"/>
      <c r="D385" s="194"/>
      <c r="E385" s="194"/>
      <c r="F385" s="194"/>
      <c r="G385" s="194"/>
      <c r="H385" s="194"/>
      <c r="I385" s="194"/>
      <c r="J385" s="194"/>
      <c r="K385" s="194"/>
      <c r="L385" s="194"/>
      <c r="M385" s="194"/>
      <c r="N385" s="52"/>
      <c r="O385" s="73"/>
      <c r="P385" s="36"/>
      <c r="Q385" s="72"/>
      <c r="R385" s="75"/>
      <c r="S385" s="166"/>
      <c r="T385" s="168"/>
      <c r="V385" s="2"/>
      <c r="AF385"/>
      <c r="AG385"/>
      <c r="AH385"/>
      <c r="AI385"/>
      <c r="AJ385"/>
      <c r="AN385" s="3"/>
      <c r="AO385"/>
      <c r="AP385"/>
      <c r="AQ385"/>
      <c r="AR385"/>
      <c r="AS385"/>
      <c r="AT385"/>
      <c r="AU385"/>
      <c r="AV385"/>
      <c r="AW385"/>
      <c r="AX385"/>
      <c r="AY385"/>
      <c r="AZ385"/>
      <c r="BA385"/>
      <c r="BB385"/>
      <c r="BC385"/>
      <c r="BD385"/>
      <c r="BE385"/>
      <c r="BF385"/>
      <c r="BG385"/>
      <c r="BH385"/>
      <c r="BI385"/>
      <c r="BJ385" s="3"/>
    </row>
    <row r="386" spans="1:62" ht="15" customHeight="1">
      <c r="A386" s="208" t="s">
        <v>120</v>
      </c>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c r="AA386" s="208"/>
      <c r="AB386" s="208"/>
      <c r="AC386" s="208"/>
      <c r="AD386" s="208"/>
      <c r="AE386" s="208"/>
      <c r="AF386" s="2">
        <v>0</v>
      </c>
      <c r="AG386"/>
      <c r="AH386"/>
      <c r="AI386"/>
      <c r="AN386" s="3"/>
      <c r="AV386"/>
      <c r="AW386"/>
      <c r="AX386"/>
      <c r="AY386"/>
      <c r="AZ386"/>
      <c r="BA386"/>
      <c r="BB386"/>
      <c r="BC386"/>
      <c r="BD386"/>
      <c r="BE386"/>
      <c r="BF386"/>
      <c r="BG386"/>
      <c r="BH386"/>
      <c r="BI386"/>
    </row>
    <row r="387" spans="1:62" ht="10.9" customHeight="1">
      <c r="A387" s="3"/>
      <c r="C387" s="3"/>
      <c r="P387" s="3"/>
      <c r="Q387" s="3"/>
      <c r="R387" s="3"/>
      <c r="S387" s="3"/>
      <c r="T387" s="3"/>
      <c r="U387" s="209"/>
      <c r="V387" s="209"/>
      <c r="W387" s="3"/>
      <c r="X387" s="3"/>
      <c r="Y387" s="3"/>
      <c r="Z387" s="3"/>
      <c r="AA387" s="3"/>
      <c r="AB387" s="3"/>
      <c r="AC387" s="197"/>
      <c r="AD387" s="197"/>
      <c r="AE387" s="3"/>
      <c r="AF387" s="3"/>
      <c r="AG387"/>
      <c r="AH387"/>
      <c r="AI387"/>
      <c r="AN387" s="3"/>
      <c r="AO387" s="3"/>
      <c r="AP387" s="3"/>
      <c r="AQ387" s="3"/>
      <c r="AR387" s="3"/>
      <c r="AS387" s="3"/>
      <c r="AT387" s="3"/>
      <c r="AU387" s="3"/>
      <c r="AV387"/>
      <c r="AW387"/>
      <c r="AX387"/>
      <c r="AY387"/>
      <c r="AZ387"/>
      <c r="BA387"/>
      <c r="BB387"/>
      <c r="BC387"/>
      <c r="BD387"/>
      <c r="BE387"/>
      <c r="BF387"/>
      <c r="BG387"/>
      <c r="BH387"/>
      <c r="BI387"/>
      <c r="BJ387" s="3"/>
    </row>
    <row r="388" spans="1:62" ht="6" customHeight="1">
      <c r="A388" s="198">
        <v>41</v>
      </c>
      <c r="B388" s="51"/>
      <c r="C388" s="199" t="str">
        <f>INDEX(Riferimenti!$B$2:$B$60,A388)</f>
        <v>4-Idrossifenilacetico</v>
      </c>
      <c r="D388" s="199"/>
      <c r="E388" s="199"/>
      <c r="F388" s="199"/>
      <c r="G388" s="199"/>
      <c r="H388" s="199"/>
      <c r="I388" s="199"/>
      <c r="J388" s="199"/>
      <c r="K388" s="199"/>
      <c r="L388" s="199"/>
      <c r="M388" s="199"/>
      <c r="N388" s="199"/>
      <c r="O388" s="195">
        <f>INDEX(Riferimenti!$C$2:$C$65,A388)</f>
        <v>0</v>
      </c>
      <c r="P388" s="200" t="s">
        <v>6</v>
      </c>
      <c r="Q388" s="196">
        <f>INDEX(Riferimenti!$E$2:$E$65,A388)</f>
        <v>18.3</v>
      </c>
      <c r="R388" s="201"/>
      <c r="S388" s="202"/>
      <c r="T388" s="202"/>
      <c r="V388" s="2"/>
      <c r="AG388"/>
      <c r="AH388"/>
      <c r="AI388"/>
      <c r="AV388"/>
      <c r="AW388"/>
      <c r="AX388"/>
      <c r="AY388"/>
      <c r="AZ388"/>
      <c r="BA388"/>
      <c r="BB388"/>
      <c r="BC388"/>
      <c r="BD388"/>
      <c r="BE388"/>
      <c r="BF388"/>
      <c r="BG388"/>
      <c r="BH388"/>
      <c r="BI388"/>
      <c r="BJ388" s="3"/>
    </row>
    <row r="389" spans="1:62" ht="5.45" customHeight="1">
      <c r="A389" s="198"/>
      <c r="B389" s="51"/>
      <c r="C389" s="199"/>
      <c r="D389" s="199"/>
      <c r="E389" s="199"/>
      <c r="F389" s="199"/>
      <c r="G389" s="199"/>
      <c r="H389" s="199"/>
      <c r="I389" s="199"/>
      <c r="J389" s="199"/>
      <c r="K389" s="199"/>
      <c r="L389" s="199"/>
      <c r="M389" s="199"/>
      <c r="N389" s="199"/>
      <c r="O389" s="195"/>
      <c r="P389" s="200"/>
      <c r="Q389" s="196"/>
      <c r="R389" s="201"/>
      <c r="S389" s="202"/>
      <c r="T389" s="202"/>
      <c r="U389"/>
      <c r="V389"/>
      <c r="W389"/>
      <c r="X389"/>
      <c r="Y389"/>
      <c r="Z389"/>
      <c r="AA389"/>
      <c r="AB389"/>
      <c r="AC389"/>
      <c r="AD389"/>
      <c r="AE389"/>
      <c r="AF389"/>
      <c r="AG389"/>
      <c r="AH389"/>
      <c r="AI389"/>
      <c r="AN389" s="3"/>
      <c r="AV389"/>
      <c r="AW389"/>
      <c r="AX389"/>
      <c r="AY389"/>
      <c r="AZ389"/>
      <c r="BA389"/>
      <c r="BB389"/>
      <c r="BC389"/>
      <c r="BD389"/>
      <c r="BE389"/>
      <c r="BF389"/>
      <c r="BG389"/>
      <c r="BH389"/>
      <c r="BI389"/>
      <c r="BJ389" s="3"/>
    </row>
    <row r="390" spans="1:62" ht="6" customHeight="1">
      <c r="A390" s="194"/>
      <c r="B390" s="194"/>
      <c r="C390" s="194"/>
      <c r="D390" s="194"/>
      <c r="E390" s="194"/>
      <c r="F390" s="194"/>
      <c r="G390" s="194"/>
      <c r="H390" s="194"/>
      <c r="I390" s="194"/>
      <c r="J390" s="194"/>
      <c r="K390" s="194"/>
      <c r="L390" s="194"/>
      <c r="M390" s="194"/>
      <c r="N390" s="52"/>
      <c r="O390" s="73"/>
      <c r="P390" s="36"/>
      <c r="Q390" s="72"/>
      <c r="R390" s="75"/>
      <c r="S390" s="166"/>
      <c r="T390" s="167"/>
      <c r="U390" s="24"/>
      <c r="V390" s="40"/>
      <c r="W390" s="40"/>
      <c r="X390" s="40"/>
      <c r="Y390" s="40"/>
      <c r="Z390" s="40"/>
      <c r="AA390" s="40"/>
      <c r="AB390" s="40"/>
      <c r="AC390" s="40"/>
      <c r="AD390" s="40"/>
      <c r="AE390" s="40"/>
      <c r="AF390" s="40"/>
      <c r="AG390"/>
      <c r="AH390"/>
      <c r="AI390"/>
      <c r="AJ390"/>
      <c r="AK390"/>
      <c r="AL390"/>
      <c r="AM390"/>
      <c r="AN390" s="40"/>
      <c r="AO390"/>
      <c r="AP390"/>
      <c r="AQ390"/>
      <c r="AR390"/>
      <c r="AS390"/>
      <c r="AT390"/>
      <c r="AU390"/>
      <c r="AV390"/>
      <c r="AW390"/>
      <c r="AX390"/>
      <c r="AY390"/>
      <c r="AZ390"/>
      <c r="BA390"/>
      <c r="BB390"/>
      <c r="BC390"/>
      <c r="BD390"/>
      <c r="BE390"/>
      <c r="BF390"/>
      <c r="BG390"/>
      <c r="BH390"/>
      <c r="BI390"/>
      <c r="BJ390" s="3"/>
    </row>
    <row r="391" spans="1:62" ht="6" customHeight="1">
      <c r="A391" s="194"/>
      <c r="B391" s="194"/>
      <c r="C391" s="194"/>
      <c r="D391" s="194"/>
      <c r="E391" s="194"/>
      <c r="F391" s="194"/>
      <c r="G391" s="194"/>
      <c r="H391" s="194"/>
      <c r="I391" s="194"/>
      <c r="J391" s="194"/>
      <c r="K391" s="194"/>
      <c r="L391" s="194"/>
      <c r="M391" s="194"/>
      <c r="N391" s="52"/>
      <c r="O391" s="73"/>
      <c r="P391" s="36"/>
      <c r="Q391" s="72"/>
      <c r="R391" s="75"/>
      <c r="S391" s="166"/>
      <c r="T391" s="168"/>
      <c r="V391" s="2"/>
      <c r="AG391"/>
      <c r="AH391"/>
      <c r="AI391"/>
      <c r="AJ391"/>
      <c r="AL391"/>
      <c r="AM391"/>
      <c r="AN391" s="3"/>
      <c r="AO391"/>
      <c r="AP391"/>
      <c r="AQ391"/>
      <c r="AR391"/>
      <c r="AS391"/>
      <c r="AT391"/>
      <c r="AU391"/>
      <c r="AV391"/>
      <c r="AW391"/>
      <c r="AX391"/>
      <c r="AY391"/>
      <c r="AZ391"/>
      <c r="BA391"/>
      <c r="BB391"/>
      <c r="BC391"/>
      <c r="BD391"/>
      <c r="BE391"/>
      <c r="BF391"/>
      <c r="BG391"/>
      <c r="BH391"/>
      <c r="BI391"/>
      <c r="BJ391" s="3"/>
    </row>
    <row r="392" spans="1:62" ht="10.9" customHeight="1">
      <c r="A392" s="53"/>
      <c r="B392" s="53"/>
      <c r="C392" s="53"/>
      <c r="D392" s="54"/>
      <c r="E392" s="54"/>
      <c r="F392" s="54"/>
      <c r="G392" s="53"/>
      <c r="H392" s="53"/>
      <c r="I392" s="54"/>
      <c r="J392" s="54"/>
      <c r="K392" s="54"/>
      <c r="L392" s="54"/>
      <c r="M392" s="54"/>
      <c r="N392" s="54"/>
      <c r="O392" s="37"/>
      <c r="P392" s="38"/>
      <c r="Q392" s="44"/>
      <c r="R392" s="3"/>
      <c r="S392" s="158"/>
      <c r="T392" s="158"/>
      <c r="U392" s="197"/>
      <c r="V392" s="197"/>
      <c r="W392" s="3"/>
      <c r="X392" s="3"/>
      <c r="Y392" s="3"/>
      <c r="Z392" s="3"/>
      <c r="AA392" s="3"/>
      <c r="AB392" s="3"/>
      <c r="AC392" s="197"/>
      <c r="AD392" s="197"/>
      <c r="AE392" s="3"/>
      <c r="AF392" s="3"/>
      <c r="AG392"/>
      <c r="AH392"/>
      <c r="AI392"/>
      <c r="AJ392"/>
      <c r="AL392" s="3"/>
      <c r="AM392" s="3"/>
      <c r="AN392" s="3"/>
      <c r="AO392"/>
      <c r="AP392"/>
      <c r="AQ392"/>
      <c r="AR392"/>
      <c r="AS392"/>
      <c r="AT392"/>
      <c r="AU392"/>
      <c r="AV392"/>
      <c r="AW392"/>
      <c r="AX392"/>
      <c r="AY392"/>
      <c r="AZ392"/>
      <c r="BA392"/>
      <c r="BB392"/>
      <c r="BC392"/>
      <c r="BD392"/>
      <c r="BE392"/>
      <c r="BF392"/>
      <c r="BG392"/>
      <c r="BH392"/>
      <c r="BI392"/>
      <c r="BJ392" s="3"/>
    </row>
    <row r="393" spans="1:62" ht="6" customHeight="1">
      <c r="A393" s="198">
        <v>42</v>
      </c>
      <c r="B393" s="51"/>
      <c r="C393" s="199" t="str">
        <f>INDEX(Riferimenti!$B$2:$B$60,A393)</f>
        <v>3-Indolacetico</v>
      </c>
      <c r="D393" s="199"/>
      <c r="E393" s="199"/>
      <c r="F393" s="199"/>
      <c r="G393" s="199"/>
      <c r="H393" s="199"/>
      <c r="I393" s="199"/>
      <c r="J393" s="199"/>
      <c r="K393" s="199"/>
      <c r="L393" s="199"/>
      <c r="M393" s="199"/>
      <c r="N393" s="199"/>
      <c r="O393" s="195">
        <f>INDEX(Riferimenti!$C$2:$C$65,A393)</f>
        <v>0</v>
      </c>
      <c r="P393" s="200" t="s">
        <v>6</v>
      </c>
      <c r="Q393" s="196">
        <f>INDEX(Riferimenti!$E$2:$E$65,A393)</f>
        <v>5.8</v>
      </c>
      <c r="R393" s="201"/>
      <c r="S393" s="202"/>
      <c r="T393" s="202"/>
      <c r="V393" s="2"/>
      <c r="AG393" s="195">
        <f>INDEX(Riferimenti!$Q$2:$Q$61,A393)</f>
        <v>0.84151241302977797</v>
      </c>
      <c r="AH393" s="195">
        <f>INDEX(Riferimenti!$R$2:$R$61,A393)</f>
        <v>2.9048875869702195</v>
      </c>
      <c r="AI393"/>
      <c r="AJ393"/>
      <c r="AK393" s="222"/>
      <c r="AL393" s="222"/>
      <c r="AM393" s="222"/>
      <c r="AO393"/>
      <c r="AP393"/>
      <c r="AQ393"/>
      <c r="AR393"/>
      <c r="AS393"/>
      <c r="AT393"/>
      <c r="AU393"/>
      <c r="AV393"/>
      <c r="AW393"/>
      <c r="AX393"/>
      <c r="AY393"/>
      <c r="AZ393"/>
      <c r="BA393"/>
      <c r="BB393"/>
      <c r="BC393"/>
      <c r="BD393"/>
      <c r="BE393"/>
      <c r="BF393"/>
      <c r="BG393"/>
      <c r="BH393"/>
      <c r="BI393"/>
      <c r="BJ393" s="3"/>
    </row>
    <row r="394" spans="1:62" ht="5.45" customHeight="1">
      <c r="A394" s="198"/>
      <c r="B394" s="51"/>
      <c r="C394" s="199"/>
      <c r="D394" s="199"/>
      <c r="E394" s="199"/>
      <c r="F394" s="199"/>
      <c r="G394" s="199"/>
      <c r="H394" s="199"/>
      <c r="I394" s="199"/>
      <c r="J394" s="199"/>
      <c r="K394" s="199"/>
      <c r="L394" s="199"/>
      <c r="M394" s="199"/>
      <c r="N394" s="199"/>
      <c r="O394" s="195"/>
      <c r="P394" s="200"/>
      <c r="Q394" s="196"/>
      <c r="R394" s="201"/>
      <c r="S394" s="202"/>
      <c r="T394" s="202"/>
      <c r="U394"/>
      <c r="V394"/>
      <c r="W394"/>
      <c r="X394"/>
      <c r="Y394"/>
      <c r="Z394"/>
      <c r="AA394"/>
      <c r="AB394"/>
      <c r="AC394"/>
      <c r="AD394"/>
      <c r="AE394"/>
      <c r="AF394"/>
      <c r="AG394" s="195"/>
      <c r="AH394" s="195"/>
      <c r="AI394"/>
      <c r="AJ394"/>
      <c r="AK394" s="222"/>
      <c r="AL394" s="222"/>
      <c r="AM394" s="222"/>
      <c r="AN394" s="3"/>
      <c r="AO394"/>
      <c r="AP394"/>
      <c r="AQ394"/>
      <c r="AR394"/>
      <c r="AS394"/>
      <c r="AT394"/>
      <c r="AU394"/>
      <c r="AV394"/>
      <c r="AW394"/>
      <c r="AX394"/>
      <c r="AY394"/>
      <c r="AZ394"/>
      <c r="BA394"/>
      <c r="BB394"/>
      <c r="BC394"/>
      <c r="BD394"/>
      <c r="BE394"/>
      <c r="BF394"/>
      <c r="BG394"/>
      <c r="BH394"/>
      <c r="BI394"/>
      <c r="BJ394" s="3"/>
    </row>
    <row r="395" spans="1:62" ht="6" customHeight="1">
      <c r="A395" s="194"/>
      <c r="B395" s="194"/>
      <c r="C395" s="194"/>
      <c r="D395" s="194"/>
      <c r="E395" s="194"/>
      <c r="F395" s="194"/>
      <c r="G395" s="194"/>
      <c r="H395" s="194"/>
      <c r="I395" s="194"/>
      <c r="J395" s="194"/>
      <c r="K395" s="194"/>
      <c r="L395" s="194"/>
      <c r="M395" s="194"/>
      <c r="N395" s="52"/>
      <c r="O395" s="73"/>
      <c r="P395" s="36"/>
      <c r="Q395" s="72"/>
      <c r="R395" s="75"/>
      <c r="S395" s="166"/>
      <c r="T395" s="167"/>
      <c r="U395" s="24"/>
      <c r="V395" s="40"/>
      <c r="W395" s="40"/>
      <c r="X395" s="40"/>
      <c r="Y395" s="40"/>
      <c r="Z395" s="40"/>
      <c r="AA395" s="40"/>
      <c r="AB395" s="40"/>
      <c r="AC395" s="40"/>
      <c r="AD395" s="40"/>
      <c r="AE395" s="40"/>
      <c r="AF395" s="40"/>
      <c r="AG395"/>
      <c r="AH395"/>
      <c r="AI395"/>
      <c r="AJ395"/>
      <c r="AK395" s="3"/>
      <c r="AL395" s="3"/>
      <c r="AM395" s="3"/>
      <c r="AN395" s="40"/>
      <c r="AO395"/>
      <c r="AP395"/>
      <c r="AQ395"/>
      <c r="AR395"/>
      <c r="AS395"/>
      <c r="AT395"/>
      <c r="AU395"/>
      <c r="AV395"/>
      <c r="AW395"/>
      <c r="AX395"/>
      <c r="AY395"/>
      <c r="AZ395"/>
      <c r="BA395"/>
      <c r="BB395"/>
      <c r="BC395"/>
      <c r="BD395"/>
      <c r="BE395"/>
      <c r="BF395"/>
      <c r="BG395"/>
      <c r="BH395"/>
      <c r="BI395"/>
      <c r="BJ395" s="3"/>
    </row>
    <row r="396" spans="1:62" ht="6" customHeight="1">
      <c r="A396" s="194"/>
      <c r="B396" s="194"/>
      <c r="C396" s="194"/>
      <c r="D396" s="194"/>
      <c r="E396" s="194"/>
      <c r="F396" s="194"/>
      <c r="G396" s="194"/>
      <c r="H396" s="194"/>
      <c r="I396" s="194"/>
      <c r="J396" s="194"/>
      <c r="K396" s="194"/>
      <c r="L396" s="194"/>
      <c r="M396" s="194"/>
      <c r="N396" s="52"/>
      <c r="O396" s="73"/>
      <c r="P396" s="36"/>
      <c r="Q396" s="72"/>
      <c r="R396" s="75"/>
      <c r="S396" s="166"/>
      <c r="T396" s="168"/>
      <c r="V396" s="2"/>
      <c r="AG396"/>
      <c r="AH396"/>
      <c r="AI396"/>
      <c r="AJ396"/>
      <c r="AK396" s="3"/>
      <c r="AL396" s="3"/>
      <c r="AM396" s="3"/>
      <c r="AN396" s="3"/>
      <c r="AO396"/>
      <c r="AP396"/>
      <c r="AQ396"/>
      <c r="AR396"/>
      <c r="AS396"/>
      <c r="AT396"/>
      <c r="AU396"/>
      <c r="AV396"/>
      <c r="AW396"/>
      <c r="AX396"/>
      <c r="AY396"/>
      <c r="AZ396"/>
      <c r="BA396"/>
      <c r="BB396"/>
      <c r="BC396"/>
      <c r="BD396"/>
      <c r="BE396"/>
      <c r="BF396"/>
      <c r="BG396"/>
      <c r="BH396"/>
      <c r="BI396"/>
      <c r="BJ396" s="3"/>
    </row>
    <row r="397" spans="1:62" ht="10.9" customHeight="1">
      <c r="A397" s="53"/>
      <c r="B397" s="53"/>
      <c r="C397" s="53"/>
      <c r="D397" s="54"/>
      <c r="E397" s="54"/>
      <c r="F397" s="54"/>
      <c r="G397" s="53"/>
      <c r="H397" s="53"/>
      <c r="I397" s="54"/>
      <c r="J397" s="54"/>
      <c r="K397" s="54"/>
      <c r="L397" s="54"/>
      <c r="M397" s="54"/>
      <c r="N397" s="54"/>
      <c r="P397" s="3"/>
      <c r="Q397" s="44"/>
      <c r="R397" s="3"/>
      <c r="S397" s="158"/>
      <c r="T397" s="158"/>
      <c r="U397" s="197"/>
      <c r="V397" s="197"/>
      <c r="W397" s="3"/>
      <c r="X397" s="3"/>
      <c r="Y397" s="3"/>
      <c r="Z397" s="3"/>
      <c r="AA397" s="3"/>
      <c r="AB397" s="3"/>
      <c r="AC397" s="197"/>
      <c r="AD397" s="197"/>
      <c r="AE397" s="3"/>
      <c r="AF397" s="3"/>
      <c r="AG397"/>
      <c r="AH397"/>
      <c r="AI397"/>
      <c r="AJ397"/>
      <c r="AK397" s="3"/>
      <c r="AL397" s="3"/>
      <c r="AM397" s="3"/>
      <c r="AN397" s="3"/>
      <c r="AO397"/>
      <c r="AP397"/>
      <c r="AQ397"/>
      <c r="AR397"/>
      <c r="AS397"/>
      <c r="AT397"/>
      <c r="AU397"/>
      <c r="AV397"/>
      <c r="AW397"/>
      <c r="AX397"/>
      <c r="AY397"/>
      <c r="AZ397"/>
      <c r="BA397"/>
      <c r="BB397"/>
      <c r="BC397"/>
      <c r="BD397"/>
      <c r="BE397"/>
      <c r="BF397"/>
      <c r="BG397"/>
      <c r="BH397"/>
      <c r="BI397"/>
      <c r="BJ397" s="3"/>
    </row>
    <row r="398" spans="1:62" ht="6" customHeight="1">
      <c r="A398" s="198">
        <v>43</v>
      </c>
      <c r="B398" s="51"/>
      <c r="C398" s="199" t="str">
        <f>INDEX(Riferimenti!$B$2:$B$60,A398)</f>
        <v>P-Cresolo</v>
      </c>
      <c r="D398" s="199"/>
      <c r="E398" s="199"/>
      <c r="F398" s="199"/>
      <c r="G398" s="199"/>
      <c r="H398" s="199"/>
      <c r="I398" s="199"/>
      <c r="J398" s="199"/>
      <c r="K398" s="199"/>
      <c r="L398" s="199"/>
      <c r="M398" s="199"/>
      <c r="N398" s="199"/>
      <c r="O398" s="195">
        <f>INDEX(Riferimenti!$C$2:$C$65,A398)</f>
        <v>0</v>
      </c>
      <c r="P398" s="200" t="s">
        <v>6</v>
      </c>
      <c r="Q398" s="196">
        <f>INDEX(Riferimenti!$E$2:$E$65,A398)</f>
        <v>6.2</v>
      </c>
      <c r="R398" s="201"/>
      <c r="S398" s="202"/>
      <c r="T398" s="202"/>
      <c r="V398" s="2"/>
      <c r="AG398" s="195">
        <f>INDEX(Riferimenti!$Q$2:$Q$61,A398)</f>
        <v>2.1</v>
      </c>
      <c r="AH398" s="195">
        <f>INDEX(Riferimenti!$R$2:$R$61,A398)</f>
        <v>4.0999999999999996</v>
      </c>
      <c r="AI398"/>
      <c r="AJ398"/>
      <c r="AK398" s="222"/>
      <c r="AL398" s="222"/>
      <c r="AM398" s="222"/>
      <c r="AO398"/>
      <c r="AP398"/>
      <c r="AQ398"/>
      <c r="AR398"/>
      <c r="AS398"/>
      <c r="AT398"/>
      <c r="AU398"/>
      <c r="AV398"/>
      <c r="AW398"/>
      <c r="AX398"/>
      <c r="AY398"/>
      <c r="AZ398"/>
      <c r="BA398"/>
      <c r="BB398"/>
      <c r="BC398"/>
      <c r="BD398"/>
      <c r="BE398"/>
      <c r="BF398"/>
      <c r="BG398"/>
      <c r="BH398"/>
      <c r="BI398"/>
      <c r="BJ398" s="3"/>
    </row>
    <row r="399" spans="1:62" ht="5.45" customHeight="1">
      <c r="A399" s="198"/>
      <c r="B399" s="51"/>
      <c r="C399" s="199"/>
      <c r="D399" s="199"/>
      <c r="E399" s="199"/>
      <c r="F399" s="199"/>
      <c r="G399" s="199"/>
      <c r="H399" s="199"/>
      <c r="I399" s="199"/>
      <c r="J399" s="199"/>
      <c r="K399" s="199"/>
      <c r="L399" s="199"/>
      <c r="M399" s="199"/>
      <c r="N399" s="199"/>
      <c r="O399" s="195"/>
      <c r="P399" s="200"/>
      <c r="Q399" s="196"/>
      <c r="R399" s="201"/>
      <c r="S399" s="202"/>
      <c r="T399" s="202"/>
      <c r="U399"/>
      <c r="V399"/>
      <c r="W399"/>
      <c r="X399"/>
      <c r="Y399"/>
      <c r="Z399"/>
      <c r="AA399"/>
      <c r="AB399"/>
      <c r="AC399"/>
      <c r="AD399"/>
      <c r="AE399"/>
      <c r="AF399"/>
      <c r="AG399" s="195"/>
      <c r="AH399" s="195"/>
      <c r="AI399"/>
      <c r="AJ399"/>
      <c r="AK399" s="222"/>
      <c r="AL399" s="222"/>
      <c r="AM399" s="222"/>
      <c r="AN399" s="3"/>
      <c r="AO399"/>
      <c r="AP399"/>
      <c r="AQ399"/>
      <c r="AR399"/>
      <c r="AS399"/>
      <c r="AT399"/>
      <c r="AU399"/>
      <c r="AV399"/>
      <c r="AW399"/>
      <c r="AX399"/>
      <c r="AY399"/>
      <c r="AZ399"/>
      <c r="BA399"/>
      <c r="BB399"/>
      <c r="BC399"/>
      <c r="BD399"/>
      <c r="BE399"/>
      <c r="BF399"/>
      <c r="BG399"/>
      <c r="BH399"/>
      <c r="BI399"/>
      <c r="BJ399" s="3"/>
    </row>
    <row r="400" spans="1:62" ht="6" customHeight="1">
      <c r="A400" s="194"/>
      <c r="B400" s="194"/>
      <c r="C400" s="194"/>
      <c r="D400" s="194"/>
      <c r="E400" s="194"/>
      <c r="F400" s="194"/>
      <c r="G400" s="194"/>
      <c r="H400" s="194"/>
      <c r="I400" s="194"/>
      <c r="J400" s="194"/>
      <c r="K400" s="194"/>
      <c r="L400" s="194"/>
      <c r="M400" s="194"/>
      <c r="N400" s="52"/>
      <c r="O400" s="73"/>
      <c r="P400" s="36"/>
      <c r="Q400" s="72"/>
      <c r="R400" s="75"/>
      <c r="S400" s="166"/>
      <c r="T400" s="167"/>
      <c r="U400" s="24"/>
      <c r="V400" s="40"/>
      <c r="W400" s="40"/>
      <c r="X400" s="40"/>
      <c r="Y400" s="40"/>
      <c r="Z400" s="40"/>
      <c r="AA400" s="40"/>
      <c r="AB400" s="40"/>
      <c r="AC400" s="40"/>
      <c r="AD400" s="40"/>
      <c r="AE400" s="40"/>
      <c r="AF400" s="40"/>
      <c r="AG400"/>
      <c r="AH400"/>
      <c r="AI400"/>
      <c r="AJ400"/>
      <c r="AN400" s="40"/>
      <c r="AO400"/>
      <c r="AP400"/>
      <c r="AQ400"/>
      <c r="AR400"/>
      <c r="AS400"/>
      <c r="AT400"/>
      <c r="AU400"/>
      <c r="AV400"/>
      <c r="AW400"/>
      <c r="AX400"/>
      <c r="AY400"/>
      <c r="AZ400"/>
      <c r="BA400"/>
      <c r="BB400"/>
      <c r="BC400"/>
      <c r="BD400"/>
      <c r="BE400"/>
      <c r="BF400"/>
      <c r="BG400"/>
      <c r="BH400"/>
      <c r="BI400"/>
      <c r="BJ400" s="3"/>
    </row>
    <row r="401" spans="1:62" ht="6" customHeight="1">
      <c r="A401" s="194"/>
      <c r="B401" s="194"/>
      <c r="C401" s="194"/>
      <c r="D401" s="194"/>
      <c r="E401" s="194"/>
      <c r="F401" s="194"/>
      <c r="G401" s="194"/>
      <c r="H401" s="194"/>
      <c r="I401" s="194"/>
      <c r="J401" s="194"/>
      <c r="K401" s="194"/>
      <c r="L401" s="194"/>
      <c r="M401" s="194"/>
      <c r="N401" s="52"/>
      <c r="O401" s="73"/>
      <c r="P401" s="36"/>
      <c r="Q401" s="72"/>
      <c r="R401" s="75"/>
      <c r="S401" s="166"/>
      <c r="T401" s="168"/>
      <c r="V401" s="2"/>
      <c r="AG401"/>
      <c r="AH401"/>
      <c r="AI401"/>
      <c r="AJ401"/>
      <c r="AN401" s="3"/>
      <c r="AO401"/>
      <c r="AP401"/>
      <c r="AQ401"/>
      <c r="AR401"/>
      <c r="AS401"/>
      <c r="AT401"/>
      <c r="AU401"/>
      <c r="AV401"/>
      <c r="AW401"/>
      <c r="AX401"/>
      <c r="AY401"/>
      <c r="AZ401"/>
      <c r="BA401"/>
      <c r="BB401"/>
      <c r="BC401"/>
      <c r="BD401"/>
      <c r="BE401"/>
      <c r="BF401"/>
      <c r="BG401"/>
      <c r="BH401"/>
      <c r="BI401"/>
      <c r="BJ401" s="3"/>
    </row>
    <row r="402" spans="1:62" ht="10.9" customHeight="1">
      <c r="A402" s="53"/>
      <c r="B402" s="53"/>
      <c r="C402" s="53"/>
      <c r="D402" s="54"/>
      <c r="E402" s="54"/>
      <c r="F402" s="54"/>
      <c r="G402" s="53"/>
      <c r="H402" s="53"/>
      <c r="I402" s="54"/>
      <c r="J402" s="54"/>
      <c r="K402" s="54"/>
      <c r="L402" s="54"/>
      <c r="M402" s="54"/>
      <c r="N402" s="54"/>
      <c r="P402" s="3"/>
      <c r="Q402" s="44"/>
      <c r="R402" s="3"/>
      <c r="S402" s="158"/>
      <c r="T402" s="158"/>
      <c r="U402" s="197"/>
      <c r="V402" s="197"/>
      <c r="W402" s="3"/>
      <c r="X402" s="3"/>
      <c r="Y402" s="3"/>
      <c r="Z402" s="3"/>
      <c r="AA402" s="3"/>
      <c r="AB402" s="3"/>
      <c r="AC402" s="197"/>
      <c r="AD402" s="197"/>
      <c r="AE402" s="3"/>
      <c r="AF402" s="3"/>
      <c r="AG402"/>
      <c r="AH402"/>
      <c r="AI402"/>
      <c r="AJ402"/>
      <c r="AN402" s="3"/>
      <c r="AO402"/>
      <c r="AP402"/>
      <c r="AQ402"/>
      <c r="AR402"/>
      <c r="AS402"/>
      <c r="AT402"/>
      <c r="AU402"/>
      <c r="AV402"/>
      <c r="AW402"/>
      <c r="AX402"/>
      <c r="AY402"/>
      <c r="AZ402"/>
      <c r="BA402"/>
      <c r="BB402"/>
      <c r="BC402"/>
      <c r="BD402"/>
      <c r="BE402"/>
      <c r="BF402"/>
      <c r="BG402"/>
      <c r="BH402"/>
      <c r="BI402"/>
      <c r="BJ402" s="3"/>
    </row>
    <row r="403" spans="1:62" ht="6" customHeight="1">
      <c r="A403" s="198">
        <v>44</v>
      </c>
      <c r="B403" s="51"/>
      <c r="C403" s="199" t="str">
        <f>INDEX(Riferimenti!$B$2:$B$60,A403)</f>
        <v>3-Idrossifenilacetico</v>
      </c>
      <c r="D403" s="199"/>
      <c r="E403" s="199"/>
      <c r="F403" s="199"/>
      <c r="G403" s="199"/>
      <c r="H403" s="199"/>
      <c r="I403" s="199"/>
      <c r="J403" s="199"/>
      <c r="K403" s="199"/>
      <c r="L403" s="199"/>
      <c r="M403" s="199"/>
      <c r="N403" s="199"/>
      <c r="O403" s="202">
        <f>INDEX(Riferimenti!$C$2:$C$65,A403)</f>
        <v>0</v>
      </c>
      <c r="P403" s="200" t="s">
        <v>6</v>
      </c>
      <c r="Q403" s="196">
        <f>INDEX(Riferimenti!$E$2:$E$65,A403)</f>
        <v>8.1</v>
      </c>
      <c r="R403" s="201"/>
      <c r="S403" s="202"/>
      <c r="T403" s="202"/>
      <c r="V403" s="2"/>
      <c r="AG403" s="195">
        <f>INDEX(Riferimenti!$Q$2:$Q$61,A403)</f>
        <v>0.62660623797647097</v>
      </c>
      <c r="AH403" s="195">
        <f>INDEX(Riferimenti!$R$2:$R$61,A403)</f>
        <v>4.3701937620235292</v>
      </c>
      <c r="AI403"/>
      <c r="AJ403"/>
      <c r="AK403" s="222"/>
      <c r="AL403" s="222"/>
      <c r="AM403" s="222"/>
      <c r="AO403"/>
      <c r="AP403"/>
      <c r="AQ403"/>
      <c r="AR403"/>
      <c r="AS403"/>
      <c r="AT403"/>
      <c r="AU403"/>
      <c r="AV403"/>
      <c r="AW403"/>
      <c r="AX403"/>
      <c r="AY403"/>
      <c r="AZ403"/>
      <c r="BA403"/>
      <c r="BB403"/>
      <c r="BC403"/>
      <c r="BD403"/>
      <c r="BE403"/>
      <c r="BF403"/>
      <c r="BG403"/>
      <c r="BH403"/>
      <c r="BI403"/>
      <c r="BJ403" s="3"/>
    </row>
    <row r="404" spans="1:62" ht="5.45" customHeight="1">
      <c r="A404" s="198"/>
      <c r="B404" s="51"/>
      <c r="C404" s="199"/>
      <c r="D404" s="199"/>
      <c r="E404" s="199"/>
      <c r="F404" s="199"/>
      <c r="G404" s="199"/>
      <c r="H404" s="199"/>
      <c r="I404" s="199"/>
      <c r="J404" s="199"/>
      <c r="K404" s="199"/>
      <c r="L404" s="199"/>
      <c r="M404" s="199"/>
      <c r="N404" s="199"/>
      <c r="O404" s="202"/>
      <c r="P404" s="200"/>
      <c r="Q404" s="196"/>
      <c r="R404" s="201"/>
      <c r="S404" s="202"/>
      <c r="T404" s="202"/>
      <c r="U404"/>
      <c r="V404"/>
      <c r="W404"/>
      <c r="X404"/>
      <c r="Y404"/>
      <c r="Z404"/>
      <c r="AA404"/>
      <c r="AB404"/>
      <c r="AC404"/>
      <c r="AD404"/>
      <c r="AE404"/>
      <c r="AF404"/>
      <c r="AG404" s="195"/>
      <c r="AH404" s="195"/>
      <c r="AI404"/>
      <c r="AJ404"/>
      <c r="AK404" s="222"/>
      <c r="AL404" s="222"/>
      <c r="AM404" s="222"/>
      <c r="AN404" s="3"/>
      <c r="AO404"/>
      <c r="AP404"/>
      <c r="AQ404"/>
      <c r="AR404"/>
      <c r="AS404"/>
      <c r="AT404"/>
      <c r="AU404"/>
      <c r="AV404"/>
      <c r="AW404"/>
      <c r="AX404"/>
      <c r="AY404"/>
      <c r="AZ404"/>
      <c r="BA404"/>
      <c r="BB404"/>
      <c r="BC404"/>
      <c r="BD404"/>
      <c r="BE404"/>
      <c r="BF404"/>
      <c r="BG404"/>
      <c r="BH404"/>
      <c r="BI404"/>
      <c r="BJ404" s="3"/>
    </row>
    <row r="405" spans="1:62" ht="6" customHeight="1">
      <c r="A405" s="194"/>
      <c r="B405" s="194"/>
      <c r="C405" s="194"/>
      <c r="D405" s="194"/>
      <c r="E405" s="194"/>
      <c r="F405" s="194"/>
      <c r="G405" s="194"/>
      <c r="H405" s="194"/>
      <c r="I405" s="194"/>
      <c r="J405" s="194"/>
      <c r="K405" s="194"/>
      <c r="L405" s="194"/>
      <c r="M405" s="194"/>
      <c r="N405" s="52"/>
      <c r="O405" s="73"/>
      <c r="P405" s="36"/>
      <c r="Q405" s="72"/>
      <c r="R405" s="75"/>
      <c r="S405" s="166"/>
      <c r="T405" s="167"/>
      <c r="U405" s="24"/>
      <c r="V405" s="40"/>
      <c r="W405" s="40"/>
      <c r="X405" s="40"/>
      <c r="Y405" s="40"/>
      <c r="Z405" s="40"/>
      <c r="AA405" s="40"/>
      <c r="AB405" s="40"/>
      <c r="AC405" s="40"/>
      <c r="AD405" s="40"/>
      <c r="AE405" s="40"/>
      <c r="AF405" s="40"/>
      <c r="AG405"/>
      <c r="AH405"/>
      <c r="AI405"/>
      <c r="AJ405"/>
      <c r="AN405" s="40"/>
      <c r="AO405"/>
      <c r="AP405"/>
      <c r="AQ405"/>
      <c r="AR405"/>
      <c r="AS405"/>
      <c r="AT405"/>
      <c r="AU405"/>
      <c r="AV405"/>
      <c r="AW405"/>
      <c r="AX405"/>
      <c r="AY405"/>
      <c r="AZ405"/>
      <c r="BA405"/>
      <c r="BB405"/>
      <c r="BC405"/>
      <c r="BD405"/>
      <c r="BE405"/>
      <c r="BF405"/>
      <c r="BG405"/>
      <c r="BH405"/>
      <c r="BI405"/>
      <c r="BJ405" s="3"/>
    </row>
    <row r="406" spans="1:62" ht="6" customHeight="1">
      <c r="A406" s="194"/>
      <c r="B406" s="194"/>
      <c r="C406" s="194"/>
      <c r="D406" s="194"/>
      <c r="E406" s="194"/>
      <c r="F406" s="194"/>
      <c r="G406" s="194"/>
      <c r="H406" s="194"/>
      <c r="I406" s="194"/>
      <c r="J406" s="194"/>
      <c r="K406" s="194"/>
      <c r="L406" s="194"/>
      <c r="M406" s="194"/>
      <c r="N406" s="52"/>
      <c r="O406" s="73"/>
      <c r="P406" s="36"/>
      <c r="Q406" s="72"/>
      <c r="R406" s="75"/>
      <c r="S406" s="166"/>
      <c r="T406" s="168"/>
      <c r="V406" s="2"/>
      <c r="AF406"/>
      <c r="AG406"/>
      <c r="AH406"/>
      <c r="AI406"/>
      <c r="AJ406"/>
      <c r="AN406" s="3"/>
      <c r="AO406"/>
      <c r="AP406"/>
      <c r="AQ406"/>
      <c r="AR406"/>
      <c r="AS406"/>
      <c r="AT406"/>
      <c r="AU406"/>
      <c r="AV406"/>
      <c r="AW406"/>
      <c r="AX406"/>
      <c r="AY406"/>
      <c r="AZ406"/>
      <c r="BA406"/>
      <c r="BB406"/>
      <c r="BC406"/>
      <c r="BD406"/>
      <c r="BE406"/>
      <c r="BF406"/>
      <c r="BG406"/>
      <c r="BH406"/>
      <c r="BI406"/>
      <c r="BJ406" s="3"/>
    </row>
    <row r="407" spans="1:62" ht="10.9" customHeight="1">
      <c r="A407" s="3"/>
      <c r="C407" s="3"/>
      <c r="P407" s="3"/>
      <c r="Q407" s="3"/>
      <c r="R407" s="3"/>
      <c r="S407" s="3"/>
      <c r="T407" s="3"/>
      <c r="U407" s="209"/>
      <c r="V407" s="209"/>
      <c r="W407" s="3"/>
      <c r="X407" s="3"/>
      <c r="Y407" s="3"/>
      <c r="Z407" s="3"/>
      <c r="AA407" s="3"/>
      <c r="AB407" s="3"/>
      <c r="AC407" s="197"/>
      <c r="AD407" s="197"/>
      <c r="AE407" s="3"/>
      <c r="AF407" s="3"/>
      <c r="AG407" s="40"/>
      <c r="AH407" s="40"/>
      <c r="AN407" s="3"/>
      <c r="AO407" s="3"/>
      <c r="AP407" s="3"/>
      <c r="AQ407" s="3"/>
      <c r="AR407" s="3"/>
      <c r="AS407" s="3"/>
      <c r="AT407" s="3"/>
      <c r="AU407" s="3"/>
      <c r="AV407"/>
      <c r="AW407"/>
      <c r="AX407"/>
      <c r="AY407"/>
      <c r="AZ407"/>
      <c r="BA407"/>
      <c r="BB407"/>
      <c r="BC407"/>
      <c r="BD407"/>
      <c r="BE407"/>
      <c r="BF407"/>
      <c r="BG407"/>
      <c r="BH407"/>
      <c r="BI407"/>
      <c r="BJ407" s="3"/>
    </row>
    <row r="408" spans="1:62" ht="6" customHeight="1">
      <c r="A408" s="198">
        <v>45</v>
      </c>
      <c r="B408" s="51"/>
      <c r="C408" s="199" t="str">
        <f>INDEX(Riferimenti!$B$2:$B$60,A408)</f>
        <v>HPHPA</v>
      </c>
      <c r="D408" s="199"/>
      <c r="E408" s="199"/>
      <c r="F408" s="199"/>
      <c r="G408" s="199"/>
      <c r="H408" s="199"/>
      <c r="I408" s="199"/>
      <c r="J408" s="199"/>
      <c r="K408" s="199"/>
      <c r="L408" s="199"/>
      <c r="M408" s="199"/>
      <c r="N408" s="199"/>
      <c r="O408" s="195">
        <f>INDEX(Riferimenti!$C$2:$C$65,A408)</f>
        <v>0</v>
      </c>
      <c r="P408" s="200" t="s">
        <v>6</v>
      </c>
      <c r="Q408" s="196">
        <f>INDEX(Riferimenti!$E$2:$E$65,A408)</f>
        <v>20.399999999999999</v>
      </c>
      <c r="R408" s="201"/>
      <c r="S408" s="202"/>
      <c r="T408" s="202"/>
      <c r="V408" s="2"/>
      <c r="AV408"/>
      <c r="AW408"/>
      <c r="AX408"/>
      <c r="AY408"/>
      <c r="AZ408"/>
      <c r="BA408"/>
      <c r="BB408"/>
      <c r="BC408"/>
      <c r="BD408"/>
      <c r="BE408"/>
      <c r="BF408"/>
      <c r="BG408"/>
      <c r="BH408"/>
      <c r="BI408"/>
      <c r="BJ408" s="3"/>
    </row>
    <row r="409" spans="1:62" ht="5.45" customHeight="1">
      <c r="A409" s="198"/>
      <c r="B409" s="51"/>
      <c r="C409" s="199"/>
      <c r="D409" s="199"/>
      <c r="E409" s="199"/>
      <c r="F409" s="199"/>
      <c r="G409" s="199"/>
      <c r="H409" s="199"/>
      <c r="I409" s="199"/>
      <c r="J409" s="199"/>
      <c r="K409" s="199"/>
      <c r="L409" s="199"/>
      <c r="M409" s="199"/>
      <c r="N409" s="199"/>
      <c r="O409" s="195"/>
      <c r="P409" s="200"/>
      <c r="Q409" s="196"/>
      <c r="R409" s="201"/>
      <c r="S409" s="202"/>
      <c r="T409" s="202"/>
      <c r="U409"/>
      <c r="V409"/>
      <c r="W409"/>
      <c r="X409"/>
      <c r="Y409"/>
      <c r="Z409"/>
      <c r="AA409"/>
      <c r="AB409"/>
      <c r="AC409"/>
      <c r="AD409"/>
      <c r="AE409"/>
      <c r="AF409"/>
      <c r="AG409" s="3"/>
      <c r="AH409" s="3"/>
      <c r="AN409" s="3"/>
      <c r="AV409"/>
      <c r="AW409"/>
      <c r="AX409"/>
      <c r="AY409"/>
      <c r="AZ409"/>
      <c r="BA409"/>
      <c r="BB409"/>
      <c r="BC409"/>
      <c r="BD409"/>
      <c r="BE409"/>
      <c r="BF409"/>
      <c r="BG409"/>
      <c r="BH409"/>
      <c r="BI409"/>
      <c r="BJ409" s="3"/>
    </row>
    <row r="410" spans="1:62" ht="6" customHeight="1">
      <c r="A410" s="194"/>
      <c r="B410" s="194"/>
      <c r="C410" s="194"/>
      <c r="D410" s="194"/>
      <c r="E410" s="194"/>
      <c r="F410" s="194"/>
      <c r="G410" s="194"/>
      <c r="H410" s="194"/>
      <c r="I410" s="194"/>
      <c r="J410" s="194"/>
      <c r="K410" s="194"/>
      <c r="L410" s="194"/>
      <c r="M410" s="194"/>
      <c r="N410" s="52"/>
      <c r="O410" s="73"/>
      <c r="P410" s="36"/>
      <c r="Q410" s="72"/>
      <c r="R410" s="75"/>
      <c r="S410" s="166"/>
      <c r="T410" s="167"/>
      <c r="U410" s="24"/>
      <c r="V410" s="40"/>
      <c r="W410" s="40"/>
      <c r="X410" s="40"/>
      <c r="Y410" s="40"/>
      <c r="Z410" s="40"/>
      <c r="AA410" s="40"/>
      <c r="AB410" s="40"/>
      <c r="AC410" s="40"/>
      <c r="AD410" s="40"/>
      <c r="AE410" s="40"/>
      <c r="AF410" s="40"/>
      <c r="AG410" s="73" t="e">
        <f>INDEX(Riferimenti!$Q$2:$Q$61,#REF!)</f>
        <v>#REF!</v>
      </c>
      <c r="AH410" s="73" t="e">
        <f>INDEX(Riferimenti!$R$2:$R$61,#REF!)</f>
        <v>#REF!</v>
      </c>
      <c r="AI410"/>
      <c r="AJ410"/>
      <c r="AK410"/>
      <c r="AL410"/>
      <c r="AM410"/>
      <c r="AN410" s="40"/>
      <c r="AO410"/>
      <c r="AP410"/>
      <c r="AQ410"/>
      <c r="AR410"/>
      <c r="AS410"/>
      <c r="AT410"/>
      <c r="AU410"/>
      <c r="AV410"/>
      <c r="AW410"/>
      <c r="AX410"/>
      <c r="AY410"/>
      <c r="AZ410"/>
      <c r="BA410"/>
      <c r="BB410"/>
      <c r="BC410"/>
      <c r="BD410"/>
      <c r="BE410"/>
      <c r="BF410"/>
      <c r="BG410"/>
      <c r="BH410"/>
      <c r="BI410"/>
      <c r="BJ410" s="3"/>
    </row>
    <row r="411" spans="1:62" ht="6" customHeight="1">
      <c r="A411" s="194"/>
      <c r="B411" s="194"/>
      <c r="C411" s="194"/>
      <c r="D411" s="194"/>
      <c r="E411" s="194"/>
      <c r="F411" s="194"/>
      <c r="G411" s="194"/>
      <c r="H411" s="194"/>
      <c r="I411" s="194"/>
      <c r="J411" s="194"/>
      <c r="K411" s="194"/>
      <c r="L411" s="194"/>
      <c r="M411" s="194"/>
      <c r="N411" s="52"/>
      <c r="O411" s="73"/>
      <c r="P411" s="36"/>
      <c r="Q411" s="72"/>
      <c r="R411" s="75"/>
      <c r="S411" s="166"/>
      <c r="T411" s="168"/>
      <c r="V411" s="2"/>
      <c r="AG411" s="73"/>
      <c r="AH411" s="73"/>
      <c r="AI411"/>
      <c r="AJ411"/>
      <c r="AL411"/>
      <c r="AM411"/>
      <c r="AN411" s="3"/>
      <c r="AO411"/>
      <c r="AP411"/>
      <c r="AQ411"/>
      <c r="AR411"/>
      <c r="AS411"/>
      <c r="AT411"/>
      <c r="AU411"/>
      <c r="AV411"/>
      <c r="AW411"/>
      <c r="AX411"/>
      <c r="AY411"/>
      <c r="AZ411"/>
      <c r="BA411"/>
      <c r="BB411"/>
      <c r="BC411"/>
      <c r="BD411"/>
      <c r="BE411"/>
      <c r="BF411"/>
      <c r="BG411"/>
      <c r="BH411"/>
      <c r="BI411"/>
      <c r="BJ411" s="3"/>
    </row>
    <row r="412" spans="1:62" ht="19.5" customHeight="1">
      <c r="A412" s="177" t="s">
        <v>451</v>
      </c>
      <c r="B412" s="173"/>
      <c r="C412" s="173"/>
      <c r="D412" s="173"/>
      <c r="E412" s="173"/>
      <c r="F412" s="173"/>
      <c r="G412" s="173"/>
      <c r="H412" s="173"/>
      <c r="I412" s="173"/>
      <c r="J412" s="173"/>
      <c r="K412" s="207">
        <v>1</v>
      </c>
      <c r="L412" s="207"/>
      <c r="M412" s="173"/>
      <c r="N412" s="52"/>
      <c r="O412" s="73"/>
      <c r="P412" s="36"/>
      <c r="Q412" s="72"/>
      <c r="R412" s="75"/>
      <c r="S412" s="166"/>
      <c r="T412" s="168"/>
      <c r="V412" s="2"/>
      <c r="AG412"/>
      <c r="AH412"/>
      <c r="AI412"/>
      <c r="AJ412"/>
      <c r="AN412" s="3"/>
      <c r="AO412"/>
      <c r="AP412"/>
      <c r="AQ412"/>
      <c r="AR412"/>
      <c r="AS412"/>
      <c r="AT412"/>
      <c r="AU412"/>
      <c r="AV412"/>
      <c r="AW412"/>
      <c r="AX412"/>
      <c r="AY412"/>
      <c r="AZ412"/>
      <c r="BA412"/>
      <c r="BB412"/>
      <c r="BC412"/>
      <c r="BD412"/>
      <c r="BE412"/>
      <c r="BF412"/>
      <c r="BG412"/>
      <c r="BH412"/>
      <c r="BI412"/>
      <c r="BJ412" s="3"/>
    </row>
    <row r="413" spans="1:62" ht="12.75" customHeight="1">
      <c r="A413" t="s">
        <v>442</v>
      </c>
      <c r="B413" s="74"/>
      <c r="C413" s="74"/>
      <c r="D413" s="74"/>
      <c r="E413" s="74"/>
      <c r="F413" s="74"/>
      <c r="G413" s="74"/>
      <c r="H413" s="74"/>
      <c r="I413" s="74"/>
      <c r="J413" s="74"/>
      <c r="K413" s="207">
        <v>2</v>
      </c>
      <c r="L413" s="207"/>
      <c r="M413" s="74"/>
      <c r="N413" s="25"/>
      <c r="O413" s="77"/>
      <c r="P413" s="35"/>
      <c r="Q413" s="34"/>
      <c r="R413" s="40"/>
      <c r="S413" s="23"/>
      <c r="V413" s="2"/>
      <c r="AN413" s="3"/>
      <c r="AO413" s="3"/>
      <c r="AP413" s="3"/>
      <c r="AQ413" s="3"/>
      <c r="AR413" s="3"/>
      <c r="AS413" s="3"/>
      <c r="AT413" s="3"/>
      <c r="AU413" s="3"/>
      <c r="AV413" s="3"/>
      <c r="AW413" s="3"/>
      <c r="AX413" s="3"/>
      <c r="AY413" s="3"/>
      <c r="AZ413" s="3"/>
      <c r="BA413" s="3"/>
      <c r="BB413" s="3"/>
      <c r="BC413" s="3"/>
      <c r="BD413" s="3"/>
      <c r="BE413" s="3"/>
      <c r="BF413" s="3"/>
      <c r="BG413" s="3"/>
      <c r="BH413" s="3"/>
      <c r="BI413" s="3"/>
      <c r="BJ413" s="3"/>
    </row>
    <row r="414" spans="1:62" ht="12.75" customHeight="1">
      <c r="A414"/>
      <c r="B414"/>
      <c r="C414"/>
      <c r="D414"/>
      <c r="E414"/>
      <c r="F414"/>
      <c r="G414"/>
      <c r="H414"/>
      <c r="I414"/>
      <c r="J414"/>
      <c r="K414" s="207">
        <v>3</v>
      </c>
      <c r="L414" s="207"/>
      <c r="M414"/>
      <c r="N414"/>
      <c r="O414"/>
      <c r="P414"/>
      <c r="Q414"/>
      <c r="R414" s="40"/>
      <c r="S414" s="23"/>
      <c r="V414" s="2"/>
      <c r="AN414" s="3"/>
      <c r="AO414" s="3"/>
      <c r="AP414" s="3"/>
      <c r="AQ414" s="3"/>
      <c r="AR414" s="3"/>
      <c r="AS414" s="3"/>
      <c r="AT414" s="3"/>
      <c r="AU414" s="3"/>
      <c r="AV414" s="3"/>
      <c r="AW414" s="3"/>
      <c r="AX414" s="3"/>
      <c r="AY414" s="3"/>
      <c r="AZ414" s="3"/>
      <c r="BA414" s="3"/>
      <c r="BB414" s="3"/>
      <c r="BC414" s="3"/>
      <c r="BD414" s="3"/>
      <c r="BE414" s="3"/>
      <c r="BF414" s="3"/>
      <c r="BG414" s="3"/>
      <c r="BH414" s="3"/>
      <c r="BI414" s="3"/>
      <c r="BJ414" s="3"/>
    </row>
    <row r="415" spans="1:62" ht="12.75" customHeight="1">
      <c r="A415"/>
      <c r="B415"/>
      <c r="C415"/>
      <c r="D415"/>
      <c r="E415"/>
      <c r="F415"/>
      <c r="G415"/>
      <c r="H415"/>
      <c r="I415"/>
      <c r="J415"/>
      <c r="K415" s="207">
        <v>4</v>
      </c>
      <c r="L415" s="207"/>
      <c r="M415"/>
      <c r="N415"/>
      <c r="O415"/>
      <c r="P415"/>
      <c r="Q415"/>
      <c r="R415" s="40"/>
      <c r="S415" s="23"/>
      <c r="V415" s="2"/>
      <c r="AN415" s="3"/>
      <c r="AO415" s="3"/>
      <c r="AP415" s="3"/>
      <c r="AQ415" s="3"/>
      <c r="AR415" s="3"/>
      <c r="AS415" s="3"/>
      <c r="AT415" s="3"/>
      <c r="AU415" s="3"/>
      <c r="AV415" s="3"/>
      <c r="AW415" s="3"/>
      <c r="AX415" s="3"/>
      <c r="AY415" s="3"/>
      <c r="AZ415" s="3"/>
      <c r="BA415" s="3"/>
      <c r="BB415" s="3"/>
      <c r="BC415" s="3"/>
      <c r="BD415" s="3"/>
      <c r="BE415" s="3"/>
      <c r="BF415" s="3"/>
      <c r="BG415" s="3"/>
      <c r="BH415" s="3"/>
      <c r="BI415" s="3"/>
      <c r="BJ415" s="3"/>
    </row>
    <row r="416" spans="1:62" ht="12.75" customHeight="1">
      <c r="A416"/>
      <c r="B416"/>
      <c r="C416"/>
      <c r="D416"/>
      <c r="E416"/>
      <c r="F416"/>
      <c r="G416"/>
      <c r="H416"/>
      <c r="I416"/>
      <c r="J416"/>
      <c r="K416" s="207">
        <v>5</v>
      </c>
      <c r="L416" s="207"/>
      <c r="M416"/>
      <c r="N416"/>
      <c r="O416"/>
      <c r="P416"/>
      <c r="Q416"/>
      <c r="R416" s="40"/>
      <c r="S416" s="23"/>
      <c r="V416" s="2"/>
      <c r="AN416" s="3"/>
      <c r="AO416" s="3"/>
      <c r="AP416" s="3"/>
      <c r="AQ416" s="3"/>
      <c r="AR416" s="3"/>
      <c r="AS416" s="3"/>
      <c r="AT416" s="3"/>
      <c r="AU416" s="3"/>
      <c r="AV416" s="3"/>
      <c r="AW416" s="3"/>
      <c r="AX416" s="3"/>
      <c r="AY416" s="3"/>
      <c r="AZ416" s="3"/>
      <c r="BA416" s="3"/>
      <c r="BB416" s="3"/>
      <c r="BC416" s="3"/>
      <c r="BD416" s="3"/>
      <c r="BE416" s="3"/>
      <c r="BF416" s="3"/>
      <c r="BG416" s="3"/>
      <c r="BH416" s="3"/>
      <c r="BI416" s="3"/>
      <c r="BJ416" s="3"/>
    </row>
    <row r="417" spans="1:62" ht="12.75" customHeight="1">
      <c r="A417"/>
      <c r="B417"/>
      <c r="C417"/>
      <c r="D417"/>
      <c r="E417"/>
      <c r="F417"/>
      <c r="G417"/>
      <c r="H417"/>
      <c r="I417"/>
      <c r="J417"/>
      <c r="K417" s="207">
        <v>6</v>
      </c>
      <c r="L417" s="207"/>
      <c r="M417"/>
      <c r="N417"/>
      <c r="O417"/>
      <c r="P417"/>
      <c r="Q417"/>
      <c r="R417" s="40"/>
      <c r="S417" s="23"/>
      <c r="V417" s="2"/>
      <c r="AN417" s="3"/>
      <c r="AO417" s="3"/>
      <c r="AP417" s="3"/>
      <c r="AQ417" s="3"/>
      <c r="AR417" s="3"/>
      <c r="AS417" s="3"/>
      <c r="AT417" s="3"/>
      <c r="AU417" s="3"/>
      <c r="AV417" s="3"/>
      <c r="AW417" s="3"/>
      <c r="AX417" s="3"/>
      <c r="AY417" s="3"/>
      <c r="AZ417" s="3"/>
      <c r="BA417" s="3"/>
      <c r="BB417" s="3"/>
      <c r="BC417" s="3"/>
      <c r="BD417" s="3"/>
      <c r="BE417" s="3"/>
      <c r="BF417" s="3"/>
      <c r="BG417" s="3"/>
      <c r="BH417" s="3"/>
      <c r="BI417" s="3"/>
      <c r="BJ417" s="3"/>
    </row>
    <row r="418" spans="1:62" ht="12.75" customHeight="1">
      <c r="A418"/>
      <c r="B418"/>
      <c r="C418"/>
      <c r="D418"/>
      <c r="E418"/>
      <c r="F418"/>
      <c r="G418"/>
      <c r="H418"/>
      <c r="I418"/>
      <c r="J418"/>
      <c r="K418" s="207">
        <v>7</v>
      </c>
      <c r="L418" s="207"/>
      <c r="M418"/>
      <c r="N418"/>
      <c r="O418"/>
      <c r="P418"/>
      <c r="Q418"/>
      <c r="R418" s="40"/>
      <c r="S418" s="23"/>
      <c r="V418" s="2"/>
      <c r="AN418" s="3"/>
      <c r="AO418" s="3"/>
      <c r="AP418" s="3"/>
      <c r="AQ418" s="3"/>
      <c r="AR418" s="3"/>
      <c r="AS418" s="3"/>
      <c r="AT418" s="3"/>
      <c r="AU418" s="3"/>
      <c r="AV418" s="3"/>
      <c r="AW418" s="3"/>
      <c r="AX418" s="3"/>
      <c r="AY418" s="3"/>
      <c r="AZ418" s="3"/>
      <c r="BA418" s="3"/>
      <c r="BB418" s="3"/>
      <c r="BC418" s="3"/>
      <c r="BD418" s="3"/>
      <c r="BE418" s="3"/>
      <c r="BF418" s="3"/>
      <c r="BG418" s="3"/>
      <c r="BH418" s="3"/>
      <c r="BI418" s="3"/>
      <c r="BJ418" s="3"/>
    </row>
    <row r="419" spans="1:62" ht="12.75" customHeight="1">
      <c r="A419"/>
      <c r="B419"/>
      <c r="C419"/>
      <c r="D419"/>
      <c r="E419"/>
      <c r="F419"/>
      <c r="G419"/>
      <c r="H419"/>
      <c r="I419"/>
      <c r="J419"/>
      <c r="K419" s="207">
        <v>8</v>
      </c>
      <c r="L419" s="207"/>
      <c r="M419"/>
      <c r="N419"/>
      <c r="O419"/>
      <c r="P419"/>
      <c r="Q419"/>
      <c r="R419" s="40"/>
      <c r="S419" s="23"/>
      <c r="V419" s="2"/>
      <c r="AN419" s="3"/>
      <c r="AO419" s="3"/>
      <c r="AP419" s="3"/>
      <c r="AQ419" s="3"/>
      <c r="AR419" s="3"/>
      <c r="AS419" s="3"/>
      <c r="AT419" s="3"/>
      <c r="AU419" s="3"/>
      <c r="AV419" s="3"/>
      <c r="AW419" s="3"/>
      <c r="AX419" s="3"/>
      <c r="AY419" s="3"/>
      <c r="AZ419" s="3"/>
      <c r="BA419" s="3"/>
      <c r="BB419" s="3"/>
      <c r="BC419" s="3"/>
      <c r="BD419" s="3"/>
      <c r="BE419" s="3"/>
      <c r="BF419" s="3"/>
      <c r="BG419" s="3"/>
      <c r="BH419" s="3"/>
      <c r="BI419" s="3"/>
      <c r="BJ419" s="3"/>
    </row>
    <row r="420" spans="1:62" ht="12.75" customHeight="1">
      <c r="A420"/>
      <c r="B420"/>
      <c r="C420"/>
      <c r="D420"/>
      <c r="E420"/>
      <c r="F420"/>
      <c r="G420"/>
      <c r="H420"/>
      <c r="I420"/>
      <c r="J420"/>
      <c r="K420" s="207">
        <v>9</v>
      </c>
      <c r="L420" s="207"/>
      <c r="M420"/>
      <c r="N420"/>
      <c r="O420"/>
      <c r="P420"/>
      <c r="Q420"/>
      <c r="R420" s="40"/>
      <c r="S420" s="23"/>
      <c r="V420" s="2"/>
      <c r="AN420" s="3"/>
      <c r="AO420" s="3"/>
      <c r="AP420" s="3"/>
      <c r="AQ420" s="3"/>
      <c r="AR420" s="3"/>
      <c r="AS420" s="3"/>
      <c r="AT420" s="3"/>
      <c r="AU420" s="3"/>
      <c r="AV420" s="3"/>
      <c r="AW420" s="3"/>
      <c r="AX420" s="3"/>
      <c r="AY420" s="3"/>
      <c r="AZ420" s="3"/>
      <c r="BA420" s="3"/>
      <c r="BB420" s="3"/>
      <c r="BC420" s="3"/>
      <c r="BD420" s="3"/>
      <c r="BE420" s="3"/>
      <c r="BF420" s="3"/>
      <c r="BG420" s="3"/>
      <c r="BH420" s="3"/>
      <c r="BI420" s="3"/>
      <c r="BJ420" s="3"/>
    </row>
    <row r="421" spans="1:62" ht="12.75" customHeight="1">
      <c r="A421"/>
      <c r="B421"/>
      <c r="C421"/>
      <c r="D421"/>
      <c r="E421"/>
      <c r="F421"/>
      <c r="G421"/>
      <c r="H421"/>
      <c r="I421"/>
      <c r="J421"/>
      <c r="K421" s="207">
        <v>10</v>
      </c>
      <c r="L421" s="207"/>
      <c r="M421"/>
      <c r="N421"/>
      <c r="O421"/>
      <c r="P421"/>
      <c r="Q421"/>
      <c r="R421" s="40"/>
      <c r="S421" s="23"/>
      <c r="V421" s="2"/>
      <c r="AN421" s="3"/>
      <c r="AO421" s="3"/>
      <c r="AP421" s="3"/>
      <c r="AQ421" s="3"/>
      <c r="AR421" s="3"/>
      <c r="AS421" s="3"/>
      <c r="AT421" s="3"/>
      <c r="AU421" s="3"/>
      <c r="AV421" s="3"/>
      <c r="AW421" s="3"/>
      <c r="AX421" s="3"/>
      <c r="AY421" s="3"/>
      <c r="AZ421" s="3"/>
      <c r="BA421" s="3"/>
      <c r="BB421" s="3"/>
      <c r="BC421" s="3"/>
      <c r="BD421" s="3"/>
      <c r="BE421" s="3"/>
      <c r="BF421" s="3"/>
      <c r="BG421" s="3"/>
      <c r="BH421" s="3"/>
      <c r="BI421" s="3"/>
      <c r="BJ421" s="3"/>
    </row>
    <row r="422" spans="1:62" ht="12.75" customHeight="1">
      <c r="A422"/>
      <c r="B422"/>
      <c r="C422"/>
      <c r="D422"/>
      <c r="E422"/>
      <c r="F422"/>
      <c r="G422"/>
      <c r="H422"/>
      <c r="I422"/>
      <c r="J422"/>
      <c r="K422" s="207">
        <v>11</v>
      </c>
      <c r="L422" s="207"/>
      <c r="M422"/>
      <c r="N422"/>
      <c r="O422"/>
      <c r="P422"/>
      <c r="Q422"/>
      <c r="R422" s="40"/>
      <c r="S422" s="23"/>
      <c r="V422" s="2"/>
      <c r="AN422" s="3"/>
      <c r="AO422" s="3"/>
      <c r="AP422" s="3"/>
      <c r="AQ422" s="3"/>
      <c r="AR422" s="3"/>
      <c r="AS422" s="3"/>
      <c r="AT422" s="3"/>
      <c r="AU422" s="3"/>
      <c r="AV422" s="3"/>
      <c r="AW422" s="3"/>
      <c r="AX422" s="3"/>
      <c r="AY422" s="3"/>
      <c r="AZ422" s="3"/>
      <c r="BA422" s="3"/>
      <c r="BB422" s="3"/>
      <c r="BC422" s="3"/>
      <c r="BD422" s="3"/>
      <c r="BE422" s="3"/>
      <c r="BF422" s="3"/>
      <c r="BG422" s="3"/>
      <c r="BH422" s="3"/>
      <c r="BI422" s="3"/>
      <c r="BJ422" s="3"/>
    </row>
    <row r="423" spans="1:62" ht="12.75" customHeight="1">
      <c r="A423"/>
      <c r="B423"/>
      <c r="C423"/>
      <c r="D423"/>
      <c r="E423"/>
      <c r="F423"/>
      <c r="G423"/>
      <c r="H423"/>
      <c r="I423"/>
      <c r="J423"/>
      <c r="K423" s="207">
        <v>12</v>
      </c>
      <c r="L423" s="207"/>
      <c r="M423"/>
      <c r="N423"/>
      <c r="O423"/>
      <c r="P423"/>
      <c r="Q423"/>
      <c r="R423" s="40"/>
      <c r="S423" s="23"/>
      <c r="V423" s="2"/>
      <c r="AN423" s="3"/>
      <c r="AO423" s="3"/>
      <c r="AP423" s="3"/>
      <c r="AQ423" s="3"/>
      <c r="AR423" s="3"/>
      <c r="AS423" s="3"/>
      <c r="AT423" s="3"/>
      <c r="AU423" s="3"/>
      <c r="AV423" s="3"/>
      <c r="AW423" s="3"/>
      <c r="AX423" s="3"/>
      <c r="AY423" s="3"/>
      <c r="AZ423" s="3"/>
      <c r="BA423" s="3"/>
      <c r="BB423" s="3"/>
      <c r="BC423" s="3"/>
      <c r="BD423" s="3"/>
      <c r="BE423" s="3"/>
      <c r="BF423" s="3"/>
      <c r="BG423" s="3"/>
      <c r="BH423" s="3"/>
      <c r="BI423" s="3"/>
      <c r="BJ423" s="3"/>
    </row>
    <row r="424" spans="1:62" ht="12.75" customHeight="1">
      <c r="A424"/>
      <c r="B424"/>
      <c r="C424"/>
      <c r="D424"/>
      <c r="E424"/>
      <c r="F424"/>
      <c r="G424"/>
      <c r="H424"/>
      <c r="I424"/>
      <c r="J424"/>
      <c r="K424" s="207">
        <v>13</v>
      </c>
      <c r="L424" s="207"/>
      <c r="M424"/>
      <c r="N424"/>
      <c r="O424"/>
      <c r="P424"/>
      <c r="Q424"/>
      <c r="R424" s="40"/>
      <c r="S424" s="23"/>
      <c r="V424" s="2"/>
      <c r="AN424" s="3"/>
      <c r="AO424" s="3"/>
      <c r="AP424" s="3"/>
      <c r="AQ424" s="3"/>
      <c r="AR424" s="3"/>
      <c r="AS424" s="3"/>
      <c r="AT424" s="3"/>
      <c r="AU424" s="3"/>
      <c r="AV424" s="3"/>
      <c r="AW424" s="3"/>
      <c r="AX424" s="3"/>
      <c r="AY424" s="3"/>
      <c r="AZ424" s="3"/>
      <c r="BA424" s="3"/>
      <c r="BB424" s="3"/>
      <c r="BC424" s="3"/>
      <c r="BD424" s="3"/>
      <c r="BE424" s="3"/>
      <c r="BF424" s="3"/>
      <c r="BG424" s="3"/>
      <c r="BH424" s="3"/>
      <c r="BI424" s="3"/>
      <c r="BJ424" s="3"/>
    </row>
    <row r="425" spans="1:62" ht="12.75" customHeight="1">
      <c r="A425"/>
      <c r="B425"/>
      <c r="C425"/>
      <c r="D425"/>
      <c r="E425"/>
      <c r="F425"/>
      <c r="G425"/>
      <c r="H425"/>
      <c r="I425"/>
      <c r="J425"/>
      <c r="K425" s="207">
        <v>14</v>
      </c>
      <c r="L425" s="207"/>
      <c r="M425"/>
      <c r="N425"/>
      <c r="O425"/>
      <c r="P425"/>
      <c r="Q425"/>
      <c r="R425" s="40"/>
      <c r="S425" s="23"/>
      <c r="V425" s="2"/>
      <c r="AN425" s="3"/>
      <c r="AO425" s="3"/>
      <c r="AP425" s="3"/>
      <c r="AQ425" s="3"/>
      <c r="AR425" s="3"/>
      <c r="AS425" s="3"/>
      <c r="AT425" s="3"/>
      <c r="AU425" s="3"/>
      <c r="AV425" s="3"/>
      <c r="AW425" s="3"/>
      <c r="AX425" s="3"/>
      <c r="AY425" s="3"/>
      <c r="AZ425" s="3"/>
      <c r="BA425" s="3"/>
      <c r="BB425" s="3"/>
      <c r="BC425" s="3"/>
      <c r="BD425" s="3"/>
      <c r="BE425" s="3"/>
      <c r="BF425" s="3"/>
      <c r="BG425" s="3"/>
      <c r="BH425" s="3"/>
      <c r="BI425" s="3"/>
      <c r="BJ425" s="3"/>
    </row>
    <row r="426" spans="1:62" ht="12.75" customHeight="1">
      <c r="A426"/>
      <c r="B426"/>
      <c r="C426"/>
      <c r="D426"/>
      <c r="E426"/>
      <c r="F426"/>
      <c r="G426"/>
      <c r="H426"/>
      <c r="I426"/>
      <c r="J426"/>
      <c r="K426" s="207">
        <v>15</v>
      </c>
      <c r="L426" s="207"/>
      <c r="M426"/>
      <c r="N426"/>
      <c r="O426"/>
      <c r="P426"/>
      <c r="Q426"/>
      <c r="R426" s="40"/>
      <c r="S426" s="23"/>
      <c r="V426" s="2"/>
      <c r="AN426" s="3"/>
      <c r="AO426" s="3"/>
      <c r="AP426" s="3"/>
      <c r="AQ426" s="3"/>
      <c r="AR426" s="3"/>
      <c r="AS426" s="3"/>
      <c r="AT426" s="3"/>
      <c r="AU426" s="3"/>
      <c r="AV426" s="3"/>
      <c r="AW426" s="3"/>
      <c r="AX426" s="3"/>
      <c r="AY426" s="3"/>
      <c r="AZ426" s="3"/>
      <c r="BA426" s="3"/>
      <c r="BB426" s="3"/>
      <c r="BC426" s="3"/>
      <c r="BD426" s="3"/>
      <c r="BE426" s="3"/>
      <c r="BF426" s="3"/>
      <c r="BG426" s="3"/>
      <c r="BH426" s="3"/>
      <c r="BI426" s="3"/>
      <c r="BJ426" s="3"/>
    </row>
    <row r="427" spans="1:62" ht="12.75" customHeight="1">
      <c r="A427"/>
      <c r="B427"/>
      <c r="C427"/>
      <c r="D427"/>
      <c r="E427"/>
      <c r="F427"/>
      <c r="G427"/>
      <c r="H427"/>
      <c r="I427"/>
      <c r="J427"/>
      <c r="K427" s="207">
        <v>16</v>
      </c>
      <c r="L427" s="207"/>
      <c r="M427"/>
      <c r="N427"/>
      <c r="O427"/>
      <c r="P427"/>
      <c r="Q427"/>
      <c r="R427" s="40"/>
      <c r="S427" s="23"/>
      <c r="V427" s="2"/>
      <c r="AN427" s="3"/>
      <c r="AO427" s="3"/>
      <c r="AP427" s="3"/>
      <c r="AQ427" s="3"/>
      <c r="AR427" s="3"/>
      <c r="AS427" s="3"/>
      <c r="AT427" s="3"/>
      <c r="AU427" s="3"/>
      <c r="AV427" s="3"/>
      <c r="AW427" s="3"/>
      <c r="AX427" s="3"/>
      <c r="AY427" s="3"/>
      <c r="AZ427" s="3"/>
      <c r="BA427" s="3"/>
      <c r="BB427" s="3"/>
      <c r="BC427" s="3"/>
      <c r="BD427" s="3"/>
      <c r="BE427" s="3"/>
      <c r="BF427" s="3"/>
      <c r="BG427" s="3"/>
      <c r="BH427" s="3"/>
      <c r="BI427" s="3"/>
      <c r="BJ427" s="3"/>
    </row>
    <row r="428" spans="1:62" ht="12.75" customHeight="1">
      <c r="A428"/>
      <c r="B428"/>
      <c r="C428"/>
      <c r="D428"/>
      <c r="E428"/>
      <c r="F428"/>
      <c r="G428"/>
      <c r="H428"/>
      <c r="I428"/>
      <c r="J428"/>
      <c r="K428" s="207">
        <v>17</v>
      </c>
      <c r="L428" s="207"/>
      <c r="M428"/>
      <c r="N428"/>
      <c r="O428"/>
      <c r="P428"/>
      <c r="Q428"/>
      <c r="R428" s="40"/>
      <c r="S428" s="23"/>
      <c r="V428" s="2"/>
      <c r="AN428" s="3"/>
      <c r="AO428" s="3"/>
      <c r="AP428" s="3"/>
      <c r="AQ428" s="3"/>
      <c r="AR428" s="3"/>
      <c r="AS428" s="3"/>
      <c r="AT428" s="3"/>
      <c r="AU428" s="3"/>
      <c r="AV428" s="3"/>
      <c r="AW428" s="3"/>
      <c r="AX428" s="3"/>
      <c r="AY428" s="3"/>
      <c r="AZ428" s="3"/>
      <c r="BA428" s="3"/>
      <c r="BB428" s="3"/>
      <c r="BC428" s="3"/>
      <c r="BD428" s="3"/>
      <c r="BE428" s="3"/>
      <c r="BF428" s="3"/>
      <c r="BG428" s="3"/>
      <c r="BH428" s="3"/>
      <c r="BI428" s="3"/>
      <c r="BJ428" s="3"/>
    </row>
    <row r="429" spans="1:62" ht="12.75" customHeight="1">
      <c r="A429"/>
      <c r="B429"/>
      <c r="C429"/>
      <c r="D429"/>
      <c r="E429"/>
      <c r="F429"/>
      <c r="G429"/>
      <c r="H429"/>
      <c r="I429"/>
      <c r="J429"/>
      <c r="K429" s="207">
        <v>18</v>
      </c>
      <c r="L429" s="207"/>
      <c r="M429"/>
      <c r="N429"/>
      <c r="O429"/>
      <c r="P429"/>
      <c r="Q429"/>
      <c r="R429" s="40"/>
      <c r="S429" s="23"/>
      <c r="V429" s="2"/>
      <c r="AN429" s="3"/>
      <c r="AO429" s="3"/>
      <c r="AP429" s="3"/>
      <c r="AQ429" s="3"/>
      <c r="AR429" s="3"/>
      <c r="AS429" s="3"/>
      <c r="AT429" s="3"/>
      <c r="AU429" s="3"/>
      <c r="AV429" s="3"/>
      <c r="AW429" s="3"/>
      <c r="AX429" s="3"/>
      <c r="AY429" s="3"/>
      <c r="AZ429" s="3"/>
      <c r="BA429" s="3"/>
      <c r="BB429" s="3"/>
      <c r="BC429" s="3"/>
      <c r="BD429" s="3"/>
      <c r="BE429" s="3"/>
      <c r="BF429" s="3"/>
      <c r="BG429" s="3"/>
      <c r="BH429" s="3"/>
      <c r="BI429" s="3"/>
      <c r="BJ429" s="3"/>
    </row>
    <row r="430" spans="1:62" ht="12.75" customHeight="1">
      <c r="A430"/>
      <c r="B430"/>
      <c r="C430"/>
      <c r="D430"/>
      <c r="E430"/>
      <c r="F430"/>
      <c r="G430"/>
      <c r="H430"/>
      <c r="I430"/>
      <c r="J430"/>
      <c r="K430" s="207">
        <v>19</v>
      </c>
      <c r="L430" s="207"/>
      <c r="M430"/>
      <c r="N430"/>
      <c r="O430"/>
      <c r="P430"/>
      <c r="Q430"/>
      <c r="R430" s="40"/>
      <c r="S430" s="23"/>
      <c r="V430" s="2"/>
      <c r="AN430" s="3"/>
      <c r="AO430" s="3"/>
      <c r="AP430" s="3"/>
      <c r="AQ430" s="3"/>
      <c r="AR430" s="3"/>
      <c r="AS430" s="3"/>
      <c r="AT430" s="3"/>
      <c r="AU430" s="3"/>
      <c r="AV430" s="3"/>
      <c r="AW430" s="3"/>
      <c r="AX430" s="3"/>
      <c r="AY430" s="3"/>
      <c r="AZ430" s="3"/>
      <c r="BA430" s="3"/>
      <c r="BB430" s="3"/>
      <c r="BC430" s="3"/>
      <c r="BD430" s="3"/>
      <c r="BE430" s="3"/>
      <c r="BF430" s="3"/>
      <c r="BG430" s="3"/>
      <c r="BH430" s="3"/>
      <c r="BI430" s="3"/>
      <c r="BJ430" s="3"/>
    </row>
    <row r="431" spans="1:62" ht="12.75" customHeight="1">
      <c r="A431"/>
      <c r="B431"/>
      <c r="C431"/>
      <c r="D431"/>
      <c r="E431"/>
      <c r="F431"/>
      <c r="G431"/>
      <c r="H431"/>
      <c r="I431"/>
      <c r="J431"/>
      <c r="K431" s="207">
        <v>20</v>
      </c>
      <c r="L431" s="207"/>
      <c r="M431"/>
      <c r="N431"/>
      <c r="O431"/>
      <c r="P431"/>
      <c r="Q431"/>
      <c r="R431" s="40"/>
      <c r="S431" s="23"/>
      <c r="V431" s="2"/>
      <c r="AN431" s="3"/>
      <c r="AO431" s="3"/>
      <c r="AP431" s="3"/>
      <c r="AQ431" s="3"/>
      <c r="AR431" s="3"/>
      <c r="AS431" s="3"/>
      <c r="AT431" s="3"/>
      <c r="AU431" s="3"/>
      <c r="AV431" s="3"/>
      <c r="AW431" s="3"/>
      <c r="AX431" s="3"/>
      <c r="AY431" s="3"/>
      <c r="AZ431" s="3"/>
      <c r="BA431" s="3"/>
      <c r="BB431" s="3"/>
      <c r="BC431" s="3"/>
      <c r="BD431" s="3"/>
      <c r="BE431" s="3"/>
      <c r="BF431" s="3"/>
      <c r="BG431" s="3"/>
      <c r="BH431" s="3"/>
      <c r="BI431" s="3"/>
      <c r="BJ431" s="3"/>
    </row>
    <row r="432" spans="1:62" ht="12.75" customHeight="1">
      <c r="A432"/>
      <c r="B432"/>
      <c r="C432"/>
      <c r="D432"/>
      <c r="E432"/>
      <c r="F432"/>
      <c r="G432"/>
      <c r="H432"/>
      <c r="I432"/>
      <c r="J432"/>
      <c r="K432" s="207">
        <v>21</v>
      </c>
      <c r="L432" s="207"/>
      <c r="M432"/>
      <c r="N432"/>
      <c r="O432"/>
      <c r="P432"/>
      <c r="Q432"/>
      <c r="R432" s="40"/>
      <c r="S432" s="23"/>
      <c r="V432" s="2"/>
      <c r="AN432" s="3"/>
      <c r="AO432" s="3"/>
      <c r="AP432" s="3"/>
      <c r="AQ432" s="3"/>
      <c r="AR432" s="3"/>
      <c r="AS432" s="3"/>
      <c r="AT432" s="3"/>
      <c r="AU432" s="3"/>
      <c r="AV432" s="3"/>
      <c r="AW432" s="3"/>
      <c r="AX432" s="3"/>
      <c r="AY432" s="3"/>
      <c r="AZ432" s="3"/>
      <c r="BA432" s="3"/>
      <c r="BB432" s="3"/>
      <c r="BC432" s="3"/>
      <c r="BD432" s="3"/>
      <c r="BE432" s="3"/>
      <c r="BF432" s="3"/>
      <c r="BG432" s="3"/>
      <c r="BH432" s="3"/>
      <c r="BI432" s="3"/>
      <c r="BJ432" s="3"/>
    </row>
    <row r="433" spans="1:62" ht="12.75" customHeight="1">
      <c r="A433"/>
      <c r="B433"/>
      <c r="C433"/>
      <c r="D433"/>
      <c r="E433"/>
      <c r="F433"/>
      <c r="G433"/>
      <c r="H433"/>
      <c r="I433"/>
      <c r="J433"/>
      <c r="K433" s="207">
        <v>22</v>
      </c>
      <c r="L433" s="207"/>
      <c r="M433"/>
      <c r="N433"/>
      <c r="O433"/>
      <c r="P433"/>
      <c r="Q433"/>
      <c r="R433" s="40"/>
      <c r="S433" s="23"/>
      <c r="V433" s="2"/>
      <c r="AN433" s="3"/>
      <c r="AO433" s="3"/>
      <c r="AP433" s="3"/>
      <c r="AQ433" s="3"/>
      <c r="AR433" s="3"/>
      <c r="AS433" s="3"/>
      <c r="AT433" s="3"/>
      <c r="AU433" s="3"/>
      <c r="AV433" s="3"/>
      <c r="AW433" s="3"/>
      <c r="AX433" s="3"/>
      <c r="AY433" s="3"/>
      <c r="AZ433" s="3"/>
      <c r="BA433" s="3"/>
      <c r="BB433" s="3"/>
      <c r="BC433" s="3"/>
      <c r="BD433" s="3"/>
      <c r="BE433" s="3"/>
      <c r="BF433" s="3"/>
      <c r="BG433" s="3"/>
      <c r="BH433" s="3"/>
      <c r="BI433" s="3"/>
      <c r="BJ433" s="3"/>
    </row>
    <row r="434" spans="1:62" ht="12.75" customHeight="1">
      <c r="A434"/>
      <c r="B434"/>
      <c r="C434"/>
      <c r="D434"/>
      <c r="E434"/>
      <c r="F434"/>
      <c r="G434"/>
      <c r="H434"/>
      <c r="I434"/>
      <c r="J434"/>
      <c r="K434" s="207">
        <v>23</v>
      </c>
      <c r="L434" s="207"/>
      <c r="M434"/>
      <c r="N434"/>
      <c r="O434"/>
      <c r="P434"/>
      <c r="Q434"/>
      <c r="R434" s="40"/>
      <c r="S434" s="23"/>
      <c r="V434" s="2"/>
      <c r="AN434" s="3"/>
      <c r="AO434" s="3"/>
      <c r="AP434" s="3"/>
      <c r="AQ434" s="3"/>
      <c r="AR434" s="3"/>
      <c r="AS434" s="3"/>
      <c r="AT434" s="3"/>
      <c r="AU434" s="3"/>
      <c r="AV434" s="3"/>
      <c r="AW434" s="3"/>
      <c r="AX434" s="3"/>
      <c r="AY434" s="3"/>
      <c r="AZ434" s="3"/>
      <c r="BA434" s="3"/>
      <c r="BB434" s="3"/>
      <c r="BC434" s="3"/>
      <c r="BD434" s="3"/>
      <c r="BE434" s="3"/>
      <c r="BF434" s="3"/>
      <c r="BG434" s="3"/>
      <c r="BH434" s="3"/>
      <c r="BI434" s="3"/>
      <c r="BJ434" s="3"/>
    </row>
    <row r="435" spans="1:62" ht="12.75" customHeight="1">
      <c r="A435"/>
      <c r="B435"/>
      <c r="C435"/>
      <c r="D435"/>
      <c r="E435"/>
      <c r="F435"/>
      <c r="G435"/>
      <c r="H435"/>
      <c r="I435"/>
      <c r="J435"/>
      <c r="K435" s="207">
        <v>24</v>
      </c>
      <c r="L435" s="207"/>
      <c r="M435"/>
      <c r="N435"/>
      <c r="O435"/>
      <c r="P435"/>
      <c r="Q435"/>
      <c r="R435" s="40"/>
      <c r="S435" s="23"/>
      <c r="V435" s="2"/>
      <c r="AN435" s="3"/>
      <c r="AO435" s="3"/>
      <c r="AP435" s="3"/>
      <c r="AQ435" s="3"/>
      <c r="AR435" s="3"/>
      <c r="AS435" s="3"/>
      <c r="AT435" s="3"/>
      <c r="AU435" s="3"/>
      <c r="AV435" s="3"/>
      <c r="AW435" s="3"/>
      <c r="AX435" s="3"/>
      <c r="AY435" s="3"/>
      <c r="AZ435" s="3"/>
      <c r="BA435" s="3"/>
      <c r="BB435" s="3"/>
      <c r="BC435" s="3"/>
      <c r="BD435" s="3"/>
      <c r="BE435" s="3"/>
      <c r="BF435" s="3"/>
      <c r="BG435" s="3"/>
      <c r="BH435" s="3"/>
      <c r="BI435" s="3"/>
      <c r="BJ435" s="3"/>
    </row>
    <row r="436" spans="1:62" ht="12.75" customHeight="1">
      <c r="A436"/>
      <c r="B436"/>
      <c r="C436"/>
      <c r="D436"/>
      <c r="E436"/>
      <c r="F436"/>
      <c r="G436"/>
      <c r="H436"/>
      <c r="I436"/>
      <c r="J436"/>
      <c r="K436" s="207">
        <v>25</v>
      </c>
      <c r="L436" s="207"/>
      <c r="M436"/>
      <c r="N436"/>
      <c r="O436"/>
      <c r="P436"/>
      <c r="Q436"/>
      <c r="R436" s="40"/>
      <c r="S436" s="23"/>
      <c r="V436" s="2"/>
      <c r="AN436" s="3"/>
      <c r="AO436" s="3"/>
      <c r="AP436" s="3"/>
      <c r="AQ436" s="3"/>
      <c r="AR436" s="3"/>
      <c r="AS436" s="3"/>
      <c r="AT436" s="3"/>
      <c r="AU436" s="3"/>
      <c r="AV436" s="3"/>
      <c r="AW436" s="3"/>
      <c r="AX436" s="3"/>
      <c r="AY436" s="3"/>
      <c r="AZ436" s="3"/>
      <c r="BA436" s="3"/>
      <c r="BB436" s="3"/>
      <c r="BC436" s="3"/>
      <c r="BD436" s="3"/>
      <c r="BE436" s="3"/>
      <c r="BF436" s="3"/>
      <c r="BG436" s="3"/>
      <c r="BH436" s="3"/>
      <c r="BI436" s="3"/>
      <c r="BJ436" s="3"/>
    </row>
    <row r="437" spans="1:62" ht="12.75" customHeight="1">
      <c r="A437"/>
      <c r="B437"/>
      <c r="C437"/>
      <c r="D437"/>
      <c r="E437"/>
      <c r="F437"/>
      <c r="G437"/>
      <c r="H437"/>
      <c r="I437"/>
      <c r="J437"/>
      <c r="K437" s="207">
        <v>26</v>
      </c>
      <c r="L437" s="207"/>
      <c r="M437"/>
      <c r="N437"/>
      <c r="O437"/>
      <c r="P437"/>
      <c r="Q437"/>
      <c r="R437" s="40"/>
      <c r="S437" s="23"/>
      <c r="V437" s="2"/>
      <c r="AN437" s="3"/>
      <c r="AO437" s="3"/>
      <c r="AP437" s="3"/>
      <c r="AQ437" s="3"/>
      <c r="AR437" s="3"/>
      <c r="AS437" s="3"/>
      <c r="AT437" s="3"/>
      <c r="AU437" s="3"/>
      <c r="AV437" s="3"/>
      <c r="AW437" s="3"/>
      <c r="AX437" s="3"/>
      <c r="AY437" s="3"/>
      <c r="AZ437" s="3"/>
      <c r="BA437" s="3"/>
      <c r="BB437" s="3"/>
      <c r="BC437" s="3"/>
      <c r="BD437" s="3"/>
      <c r="BE437" s="3"/>
      <c r="BF437" s="3"/>
      <c r="BG437" s="3"/>
      <c r="BH437" s="3"/>
      <c r="BI437" s="3"/>
      <c r="BJ437" s="3"/>
    </row>
    <row r="438" spans="1:62" ht="12.75" customHeight="1">
      <c r="A438"/>
      <c r="B438"/>
      <c r="C438"/>
      <c r="D438"/>
      <c r="E438"/>
      <c r="F438"/>
      <c r="G438"/>
      <c r="H438"/>
      <c r="I438"/>
      <c r="J438"/>
      <c r="K438" s="207">
        <v>27</v>
      </c>
      <c r="L438" s="207"/>
      <c r="M438"/>
      <c r="N438"/>
      <c r="O438"/>
      <c r="P438"/>
      <c r="Q438"/>
      <c r="R438" s="40"/>
      <c r="S438" s="23"/>
      <c r="V438" s="2"/>
      <c r="AN438" s="3"/>
      <c r="AO438" s="3"/>
      <c r="AP438" s="3"/>
      <c r="AQ438" s="3"/>
      <c r="AR438" s="3"/>
      <c r="AS438" s="3"/>
      <c r="AT438" s="3"/>
      <c r="AU438" s="3"/>
      <c r="AV438" s="3"/>
      <c r="AW438" s="3"/>
      <c r="AX438" s="3"/>
      <c r="AY438" s="3"/>
      <c r="AZ438" s="3"/>
      <c r="BA438" s="3"/>
      <c r="BB438" s="3"/>
      <c r="BC438" s="3"/>
      <c r="BD438" s="3"/>
      <c r="BE438" s="3"/>
      <c r="BF438" s="3"/>
      <c r="BG438" s="3"/>
      <c r="BH438" s="3"/>
      <c r="BI438" s="3"/>
      <c r="BJ438" s="3"/>
    </row>
    <row r="439" spans="1:62" ht="12.75" customHeight="1">
      <c r="A439"/>
      <c r="B439"/>
      <c r="C439"/>
      <c r="D439"/>
      <c r="E439"/>
      <c r="F439"/>
      <c r="G439"/>
      <c r="H439"/>
      <c r="I439"/>
      <c r="J439"/>
      <c r="K439" s="207">
        <v>28</v>
      </c>
      <c r="L439" s="207"/>
      <c r="M439"/>
      <c r="N439"/>
      <c r="O439"/>
      <c r="P439"/>
      <c r="Q439"/>
      <c r="R439" s="40"/>
      <c r="S439" s="23"/>
      <c r="V439" s="2"/>
      <c r="AN439" s="3"/>
      <c r="AO439" s="3"/>
      <c r="AP439" s="3"/>
      <c r="AQ439" s="3"/>
      <c r="AR439" s="3"/>
      <c r="AS439" s="3"/>
      <c r="AT439" s="3"/>
      <c r="AU439" s="3"/>
      <c r="AV439" s="3"/>
      <c r="AW439" s="3"/>
      <c r="AX439" s="3"/>
      <c r="AY439" s="3"/>
      <c r="AZ439" s="3"/>
      <c r="BA439" s="3"/>
      <c r="BB439" s="3"/>
      <c r="BC439" s="3"/>
      <c r="BD439" s="3"/>
      <c r="BE439" s="3"/>
      <c r="BF439" s="3"/>
      <c r="BG439" s="3"/>
      <c r="BH439" s="3"/>
      <c r="BI439" s="3"/>
      <c r="BJ439" s="3"/>
    </row>
    <row r="440" spans="1:62" ht="12.75" customHeight="1">
      <c r="A440"/>
      <c r="B440"/>
      <c r="C440"/>
      <c r="D440"/>
      <c r="E440"/>
      <c r="F440"/>
      <c r="G440"/>
      <c r="H440"/>
      <c r="I440"/>
      <c r="J440"/>
      <c r="K440" s="207">
        <v>29</v>
      </c>
      <c r="L440" s="207"/>
      <c r="M440"/>
      <c r="N440"/>
      <c r="O440"/>
      <c r="P440"/>
      <c r="Q440"/>
      <c r="R440" s="40"/>
      <c r="S440" s="23"/>
      <c r="V440" s="2"/>
      <c r="AN440" s="3"/>
      <c r="AO440" s="3"/>
      <c r="AP440" s="3"/>
      <c r="AQ440" s="3"/>
      <c r="AR440" s="3"/>
      <c r="AS440" s="3"/>
      <c r="AT440" s="3"/>
      <c r="AU440" s="3"/>
      <c r="AV440" s="3"/>
      <c r="AW440" s="3"/>
      <c r="AX440" s="3"/>
      <c r="AY440" s="3"/>
      <c r="AZ440" s="3"/>
      <c r="BA440" s="3"/>
      <c r="BB440" s="3"/>
      <c r="BC440" s="3"/>
      <c r="BD440" s="3"/>
      <c r="BE440" s="3"/>
      <c r="BF440" s="3"/>
      <c r="BG440" s="3"/>
      <c r="BH440" s="3"/>
      <c r="BI440" s="3"/>
      <c r="BJ440" s="3"/>
    </row>
    <row r="441" spans="1:62" ht="12.75" customHeight="1">
      <c r="A441"/>
      <c r="B441"/>
      <c r="C441"/>
      <c r="D441"/>
      <c r="E441"/>
      <c r="F441"/>
      <c r="G441"/>
      <c r="H441"/>
      <c r="I441"/>
      <c r="J441"/>
      <c r="K441" s="207">
        <v>30</v>
      </c>
      <c r="L441" s="207"/>
      <c r="M441"/>
      <c r="N441"/>
      <c r="O441"/>
      <c r="P441"/>
      <c r="Q441"/>
      <c r="R441" s="40"/>
      <c r="S441" s="23"/>
      <c r="V441" s="2"/>
      <c r="AN441" s="3"/>
      <c r="AO441" s="3"/>
      <c r="AP441" s="3"/>
      <c r="AQ441" s="3"/>
      <c r="AR441" s="3"/>
      <c r="AS441" s="3"/>
      <c r="AT441" s="3"/>
      <c r="AU441" s="3"/>
      <c r="AV441" s="3"/>
      <c r="AW441" s="3"/>
      <c r="AX441" s="3"/>
      <c r="AY441" s="3"/>
      <c r="AZ441" s="3"/>
      <c r="BA441" s="3"/>
      <c r="BB441" s="3"/>
      <c r="BC441" s="3"/>
      <c r="BD441" s="3"/>
      <c r="BE441" s="3"/>
      <c r="BF441" s="3"/>
      <c r="BG441" s="3"/>
      <c r="BH441" s="3"/>
      <c r="BI441" s="3"/>
      <c r="BJ441" s="3"/>
    </row>
    <row r="442" spans="1:62" ht="12.75" customHeight="1">
      <c r="A442"/>
      <c r="B442"/>
      <c r="C442"/>
      <c r="D442"/>
      <c r="E442"/>
      <c r="F442"/>
      <c r="G442"/>
      <c r="H442"/>
      <c r="I442"/>
      <c r="J442"/>
      <c r="K442" s="207">
        <v>31</v>
      </c>
      <c r="L442" s="207"/>
      <c r="M442"/>
      <c r="N442"/>
      <c r="O442"/>
      <c r="P442"/>
      <c r="Q442"/>
      <c r="R442" s="40"/>
      <c r="S442" s="23"/>
      <c r="V442" s="2"/>
      <c r="AN442" s="3"/>
      <c r="AO442" s="3"/>
      <c r="AP442" s="3"/>
      <c r="AQ442" s="3"/>
      <c r="AR442" s="3"/>
      <c r="AS442" s="3"/>
      <c r="AT442" s="3"/>
      <c r="AU442" s="3"/>
      <c r="AV442" s="3"/>
      <c r="AW442" s="3"/>
      <c r="AX442" s="3"/>
      <c r="AY442" s="3"/>
      <c r="AZ442" s="3"/>
      <c r="BA442" s="3"/>
      <c r="BB442" s="3"/>
      <c r="BC442" s="3"/>
      <c r="BD442" s="3"/>
      <c r="BE442" s="3"/>
      <c r="BF442" s="3"/>
      <c r="BG442" s="3"/>
      <c r="BH442" s="3"/>
      <c r="BI442" s="3"/>
      <c r="BJ442" s="3"/>
    </row>
    <row r="443" spans="1:62" ht="12.75" customHeight="1">
      <c r="A443"/>
      <c r="B443"/>
      <c r="C443"/>
      <c r="D443"/>
      <c r="E443"/>
      <c r="F443"/>
      <c r="G443"/>
      <c r="H443"/>
      <c r="I443"/>
      <c r="J443"/>
      <c r="K443" s="207">
        <v>32</v>
      </c>
      <c r="L443" s="207"/>
      <c r="M443"/>
      <c r="N443"/>
      <c r="O443"/>
      <c r="P443"/>
      <c r="Q443"/>
      <c r="R443" s="40"/>
      <c r="S443" s="23"/>
      <c r="V443" s="2"/>
      <c r="AN443" s="3"/>
      <c r="AO443" s="3"/>
      <c r="AP443" s="3"/>
      <c r="AQ443" s="3"/>
      <c r="AR443" s="3"/>
      <c r="AS443" s="3"/>
      <c r="AT443" s="3"/>
      <c r="AU443" s="3"/>
      <c r="AV443" s="3"/>
      <c r="AW443" s="3"/>
      <c r="AX443" s="3"/>
      <c r="AY443" s="3"/>
      <c r="AZ443" s="3"/>
      <c r="BA443" s="3"/>
      <c r="BB443" s="3"/>
      <c r="BC443" s="3"/>
      <c r="BD443" s="3"/>
      <c r="BE443" s="3"/>
      <c r="BF443" s="3"/>
      <c r="BG443" s="3"/>
      <c r="BH443" s="3"/>
      <c r="BI443" s="3"/>
      <c r="BJ443" s="3"/>
    </row>
    <row r="444" spans="1:62" ht="12.75" customHeight="1">
      <c r="A444"/>
      <c r="B444"/>
      <c r="C444"/>
      <c r="D444"/>
      <c r="E444"/>
      <c r="F444"/>
      <c r="G444"/>
      <c r="H444"/>
      <c r="I444"/>
      <c r="J444"/>
      <c r="K444" s="207">
        <v>33</v>
      </c>
      <c r="L444" s="207"/>
      <c r="M444"/>
      <c r="N444"/>
      <c r="O444"/>
      <c r="P444"/>
      <c r="Q444"/>
      <c r="R444" s="40"/>
      <c r="S444" s="23"/>
      <c r="V444" s="2"/>
      <c r="AN444" s="3"/>
      <c r="AO444" s="3"/>
      <c r="AP444" s="3"/>
      <c r="AQ444" s="3"/>
      <c r="AR444" s="3"/>
      <c r="AS444" s="3"/>
      <c r="AT444" s="3"/>
      <c r="AU444" s="3"/>
      <c r="AV444" s="3"/>
      <c r="AW444" s="3"/>
      <c r="AX444" s="3"/>
      <c r="AY444" s="3"/>
      <c r="AZ444" s="3"/>
      <c r="BA444" s="3"/>
      <c r="BB444" s="3"/>
      <c r="BC444" s="3"/>
      <c r="BD444" s="3"/>
      <c r="BE444" s="3"/>
      <c r="BF444" s="3"/>
      <c r="BG444" s="3"/>
      <c r="BH444" s="3"/>
      <c r="BI444" s="3"/>
      <c r="BJ444" s="3"/>
    </row>
    <row r="445" spans="1:62" ht="12.75" customHeight="1">
      <c r="A445"/>
      <c r="B445"/>
      <c r="C445"/>
      <c r="D445"/>
      <c r="E445"/>
      <c r="F445"/>
      <c r="G445"/>
      <c r="H445"/>
      <c r="I445"/>
      <c r="J445"/>
      <c r="K445" s="207">
        <v>34</v>
      </c>
      <c r="L445" s="207"/>
      <c r="M445"/>
      <c r="N445"/>
      <c r="O445"/>
      <c r="P445"/>
      <c r="Q445"/>
      <c r="R445" s="40"/>
      <c r="S445" s="23"/>
      <c r="V445" s="2"/>
      <c r="AN445" s="3"/>
      <c r="AO445" s="3"/>
      <c r="AP445" s="3"/>
      <c r="AQ445" s="3"/>
      <c r="AR445" s="3"/>
      <c r="AS445" s="3"/>
      <c r="AT445" s="3"/>
      <c r="AU445" s="3"/>
      <c r="AV445" s="3"/>
      <c r="AW445" s="3"/>
      <c r="AX445" s="3"/>
      <c r="AY445" s="3"/>
      <c r="AZ445" s="3"/>
      <c r="BA445" s="3"/>
      <c r="BB445" s="3"/>
      <c r="BC445" s="3"/>
      <c r="BD445" s="3"/>
      <c r="BE445" s="3"/>
      <c r="BF445" s="3"/>
      <c r="BG445" s="3"/>
      <c r="BH445" s="3"/>
      <c r="BI445" s="3"/>
      <c r="BJ445" s="3"/>
    </row>
    <row r="446" spans="1:62" ht="12.75" customHeight="1">
      <c r="A446"/>
      <c r="B446"/>
      <c r="C446"/>
      <c r="D446"/>
      <c r="E446"/>
      <c r="F446"/>
      <c r="G446"/>
      <c r="H446"/>
      <c r="I446"/>
      <c r="J446"/>
      <c r="K446" s="207">
        <v>35</v>
      </c>
      <c r="L446" s="207"/>
      <c r="M446"/>
      <c r="N446"/>
      <c r="O446"/>
      <c r="P446"/>
      <c r="Q446"/>
      <c r="R446" s="40"/>
      <c r="S446" s="23"/>
      <c r="V446" s="2"/>
      <c r="AN446" s="3"/>
      <c r="AO446" s="3"/>
      <c r="AP446" s="3"/>
      <c r="AQ446" s="3"/>
      <c r="AR446" s="3"/>
      <c r="AS446" s="3"/>
      <c r="AT446" s="3"/>
      <c r="AU446" s="3"/>
      <c r="AV446" s="3"/>
      <c r="AW446" s="3"/>
      <c r="AX446" s="3"/>
      <c r="AY446" s="3"/>
      <c r="AZ446" s="3"/>
      <c r="BA446" s="3"/>
      <c r="BB446" s="3"/>
      <c r="BC446" s="3"/>
      <c r="BD446" s="3"/>
      <c r="BE446" s="3"/>
      <c r="BF446" s="3"/>
      <c r="BG446" s="3"/>
      <c r="BH446" s="3"/>
      <c r="BI446" s="3"/>
      <c r="BJ446" s="3"/>
    </row>
    <row r="447" spans="1:62" ht="12.75" customHeight="1">
      <c r="A447"/>
      <c r="B447"/>
      <c r="C447"/>
      <c r="D447"/>
      <c r="E447"/>
      <c r="F447"/>
      <c r="G447"/>
      <c r="H447"/>
      <c r="I447"/>
      <c r="J447"/>
      <c r="K447" s="207">
        <v>36</v>
      </c>
      <c r="L447" s="207"/>
      <c r="M447"/>
      <c r="N447"/>
      <c r="O447"/>
      <c r="P447"/>
      <c r="Q447"/>
      <c r="R447" s="40"/>
      <c r="S447" s="23"/>
      <c r="V447" s="2"/>
      <c r="AN447" s="3"/>
      <c r="AO447" s="3"/>
      <c r="AP447" s="3"/>
      <c r="AQ447" s="3"/>
      <c r="AR447" s="3"/>
      <c r="AS447" s="3"/>
      <c r="AT447" s="3"/>
      <c r="AU447" s="3"/>
      <c r="AV447" s="3"/>
      <c r="AW447" s="3"/>
      <c r="AX447" s="3"/>
      <c r="AY447" s="3"/>
      <c r="AZ447" s="3"/>
      <c r="BA447" s="3"/>
      <c r="BB447" s="3"/>
      <c r="BC447" s="3"/>
      <c r="BD447" s="3"/>
      <c r="BE447" s="3"/>
      <c r="BF447" s="3"/>
      <c r="BG447" s="3"/>
      <c r="BH447" s="3"/>
      <c r="BI447" s="3"/>
      <c r="BJ447" s="3"/>
    </row>
    <row r="448" spans="1:62" ht="12.75" customHeight="1">
      <c r="A448"/>
      <c r="B448"/>
      <c r="C448"/>
      <c r="D448"/>
      <c r="E448"/>
      <c r="F448"/>
      <c r="G448"/>
      <c r="H448"/>
      <c r="I448"/>
      <c r="J448"/>
      <c r="K448" s="207">
        <v>37</v>
      </c>
      <c r="L448" s="207"/>
      <c r="M448"/>
      <c r="N448"/>
      <c r="O448"/>
      <c r="P448"/>
      <c r="Q448"/>
      <c r="R448" s="40"/>
      <c r="S448" s="23"/>
      <c r="V448" s="2"/>
      <c r="AN448" s="3"/>
      <c r="AO448" s="3"/>
      <c r="AP448" s="3"/>
      <c r="AQ448" s="3"/>
      <c r="AR448" s="3"/>
      <c r="AS448" s="3"/>
      <c r="AT448" s="3"/>
      <c r="AU448" s="3"/>
      <c r="AV448" s="3"/>
      <c r="AW448" s="3"/>
      <c r="AX448" s="3"/>
      <c r="AY448" s="3"/>
      <c r="AZ448" s="3"/>
      <c r="BA448" s="3"/>
      <c r="BB448" s="3"/>
      <c r="BC448" s="3"/>
      <c r="BD448" s="3"/>
      <c r="BE448" s="3"/>
      <c r="BF448" s="3"/>
      <c r="BG448" s="3"/>
      <c r="BH448" s="3"/>
      <c r="BI448" s="3"/>
      <c r="BJ448" s="3"/>
    </row>
    <row r="449" spans="1:62" ht="12.75" customHeight="1">
      <c r="A449"/>
      <c r="B449"/>
      <c r="C449"/>
      <c r="D449"/>
      <c r="E449"/>
      <c r="F449"/>
      <c r="G449"/>
      <c r="H449"/>
      <c r="I449"/>
      <c r="J449"/>
      <c r="K449" s="207">
        <v>38</v>
      </c>
      <c r="L449" s="207"/>
      <c r="M449"/>
      <c r="N449"/>
      <c r="O449"/>
      <c r="P449"/>
      <c r="Q449"/>
      <c r="R449" s="40"/>
      <c r="S449" s="23"/>
      <c r="V449" s="2"/>
      <c r="AN449" s="3"/>
      <c r="AO449" s="3"/>
      <c r="AP449" s="3"/>
      <c r="AQ449" s="3"/>
      <c r="AR449" s="3"/>
      <c r="AS449" s="3"/>
      <c r="AT449" s="3"/>
      <c r="AU449" s="3"/>
      <c r="AV449" s="3"/>
      <c r="AW449" s="3"/>
      <c r="AX449" s="3"/>
      <c r="AY449" s="3"/>
      <c r="AZ449" s="3"/>
      <c r="BA449" s="3"/>
      <c r="BB449" s="3"/>
      <c r="BC449" s="3"/>
      <c r="BD449" s="3"/>
      <c r="BE449" s="3"/>
      <c r="BF449" s="3"/>
      <c r="BG449" s="3"/>
      <c r="BH449" s="3"/>
      <c r="BI449" s="3"/>
      <c r="BJ449" s="3"/>
    </row>
    <row r="450" spans="1:62" ht="12.75" customHeight="1">
      <c r="A450"/>
      <c r="B450"/>
      <c r="C450"/>
      <c r="D450"/>
      <c r="E450"/>
      <c r="F450"/>
      <c r="G450"/>
      <c r="H450"/>
      <c r="I450"/>
      <c r="J450"/>
      <c r="K450" s="207">
        <v>39</v>
      </c>
      <c r="L450" s="207"/>
      <c r="M450"/>
      <c r="N450"/>
      <c r="O450"/>
      <c r="P450"/>
      <c r="Q450"/>
      <c r="R450" s="40"/>
      <c r="S450" s="23"/>
      <c r="V450" s="2"/>
      <c r="AN450" s="3"/>
      <c r="AO450" s="3"/>
      <c r="AP450" s="3"/>
      <c r="AQ450" s="3"/>
      <c r="AR450" s="3"/>
      <c r="AS450" s="3"/>
      <c r="AT450" s="3"/>
      <c r="AU450" s="3"/>
      <c r="AV450" s="3"/>
      <c r="AW450" s="3"/>
      <c r="AX450" s="3"/>
      <c r="AY450" s="3"/>
      <c r="AZ450" s="3"/>
      <c r="BA450" s="3"/>
      <c r="BB450" s="3"/>
      <c r="BC450" s="3"/>
      <c r="BD450" s="3"/>
      <c r="BE450" s="3"/>
      <c r="BF450" s="3"/>
      <c r="BG450" s="3"/>
      <c r="BH450" s="3"/>
      <c r="BI450" s="3"/>
      <c r="BJ450" s="3"/>
    </row>
    <row r="451" spans="1:62" ht="12.75" customHeight="1">
      <c r="A451"/>
      <c r="B451"/>
      <c r="C451"/>
      <c r="D451"/>
      <c r="E451"/>
      <c r="F451"/>
      <c r="G451"/>
      <c r="H451"/>
      <c r="I451"/>
      <c r="J451"/>
      <c r="K451" s="207">
        <v>40</v>
      </c>
      <c r="L451" s="207"/>
      <c r="M451"/>
      <c r="N451"/>
      <c r="O451"/>
      <c r="P451"/>
      <c r="Q451"/>
      <c r="R451" s="40"/>
      <c r="S451" s="23"/>
      <c r="V451" s="2"/>
      <c r="AN451" s="3"/>
      <c r="AO451" s="3"/>
      <c r="AP451" s="3"/>
      <c r="AQ451" s="3"/>
      <c r="AR451" s="3"/>
      <c r="AS451" s="3"/>
      <c r="AT451" s="3"/>
      <c r="AU451" s="3"/>
      <c r="AV451" s="3"/>
      <c r="AW451" s="3"/>
      <c r="AX451" s="3"/>
      <c r="AY451" s="3"/>
      <c r="AZ451" s="3"/>
      <c r="BA451" s="3"/>
      <c r="BB451" s="3"/>
      <c r="BC451" s="3"/>
      <c r="BD451" s="3"/>
      <c r="BE451" s="3"/>
      <c r="BF451" s="3"/>
      <c r="BG451" s="3"/>
      <c r="BH451" s="3"/>
      <c r="BI451" s="3"/>
      <c r="BJ451" s="3"/>
    </row>
    <row r="452" spans="1:62" ht="12.75" customHeight="1">
      <c r="A452"/>
      <c r="B452"/>
      <c r="C452"/>
      <c r="D452"/>
      <c r="E452"/>
      <c r="F452"/>
      <c r="G452"/>
      <c r="H452"/>
      <c r="I452"/>
      <c r="J452"/>
      <c r="K452" s="207">
        <v>41</v>
      </c>
      <c r="L452" s="207"/>
      <c r="M452"/>
      <c r="N452"/>
      <c r="O452"/>
      <c r="P452"/>
      <c r="Q452"/>
      <c r="R452" s="40"/>
      <c r="S452" s="23"/>
      <c r="V452" s="2"/>
      <c r="AN452" s="3"/>
      <c r="AO452" s="3"/>
      <c r="AP452" s="3"/>
      <c r="AQ452" s="3"/>
      <c r="AR452" s="3"/>
      <c r="AS452" s="3"/>
      <c r="AT452" s="3"/>
      <c r="AU452" s="3"/>
      <c r="AV452" s="3"/>
      <c r="AW452" s="3"/>
      <c r="AX452" s="3"/>
      <c r="AY452" s="3"/>
      <c r="AZ452" s="3"/>
      <c r="BA452" s="3"/>
      <c r="BB452" s="3"/>
      <c r="BC452" s="3"/>
      <c r="BD452" s="3"/>
      <c r="BE452" s="3"/>
      <c r="BF452" s="3"/>
      <c r="BG452" s="3"/>
      <c r="BH452" s="3"/>
      <c r="BI452" s="3"/>
      <c r="BJ452" s="3"/>
    </row>
    <row r="453" spans="1:62" ht="12.75" customHeight="1">
      <c r="A453"/>
      <c r="B453"/>
      <c r="C453"/>
      <c r="D453"/>
      <c r="E453"/>
      <c r="F453"/>
      <c r="G453"/>
      <c r="H453"/>
      <c r="I453"/>
      <c r="J453"/>
      <c r="K453" s="207">
        <v>42</v>
      </c>
      <c r="L453" s="207"/>
      <c r="M453"/>
      <c r="N453"/>
      <c r="O453"/>
      <c r="P453"/>
      <c r="Q453"/>
      <c r="R453" s="40"/>
      <c r="S453" s="23"/>
      <c r="V453" s="2"/>
      <c r="AN453" s="3"/>
      <c r="AO453" s="3"/>
      <c r="AP453" s="3"/>
      <c r="AQ453" s="3"/>
      <c r="AR453" s="3"/>
      <c r="AS453" s="3"/>
      <c r="AT453" s="3"/>
      <c r="AU453" s="3"/>
      <c r="AV453" s="3"/>
      <c r="AW453" s="3"/>
      <c r="AX453" s="3"/>
      <c r="AY453" s="3"/>
      <c r="AZ453" s="3"/>
      <c r="BA453" s="3"/>
      <c r="BB453" s="3"/>
      <c r="BC453" s="3"/>
      <c r="BD453" s="3"/>
      <c r="BE453" s="3"/>
      <c r="BF453" s="3"/>
      <c r="BG453" s="3"/>
      <c r="BH453" s="3"/>
      <c r="BI453" s="3"/>
      <c r="BJ453" s="3"/>
    </row>
    <row r="454" spans="1:62" ht="12.75" customHeight="1">
      <c r="A454"/>
      <c r="B454"/>
      <c r="C454"/>
      <c r="D454"/>
      <c r="E454"/>
      <c r="F454"/>
      <c r="G454"/>
      <c r="H454"/>
      <c r="I454"/>
      <c r="J454"/>
      <c r="K454" s="207">
        <v>43</v>
      </c>
      <c r="L454" s="207"/>
      <c r="M454"/>
      <c r="N454"/>
      <c r="O454"/>
      <c r="P454"/>
      <c r="Q454"/>
      <c r="R454" s="40"/>
      <c r="S454" s="23"/>
      <c r="V454" s="2"/>
      <c r="AN454" s="3"/>
      <c r="AO454" s="3"/>
      <c r="AP454" s="3"/>
      <c r="AQ454" s="3"/>
      <c r="AR454" s="3"/>
      <c r="AS454" s="3"/>
      <c r="AT454" s="3"/>
      <c r="AU454" s="3"/>
      <c r="AV454" s="3"/>
      <c r="AW454" s="3"/>
      <c r="AX454" s="3"/>
      <c r="AY454" s="3"/>
      <c r="AZ454" s="3"/>
      <c r="BA454" s="3"/>
      <c r="BB454" s="3"/>
      <c r="BC454" s="3"/>
      <c r="BD454" s="3"/>
      <c r="BE454" s="3"/>
      <c r="BF454" s="3"/>
      <c r="BG454" s="3"/>
      <c r="BH454" s="3"/>
      <c r="BI454" s="3"/>
      <c r="BJ454" s="3"/>
    </row>
    <row r="455" spans="1:62" ht="12.75" customHeight="1">
      <c r="A455"/>
      <c r="B455"/>
      <c r="C455"/>
      <c r="D455"/>
      <c r="E455"/>
      <c r="F455"/>
      <c r="G455"/>
      <c r="H455"/>
      <c r="I455"/>
      <c r="J455"/>
      <c r="K455" s="207">
        <v>44</v>
      </c>
      <c r="L455" s="207"/>
      <c r="M455"/>
      <c r="N455"/>
      <c r="O455"/>
      <c r="P455"/>
      <c r="Q455"/>
      <c r="R455" s="40"/>
      <c r="S455" s="23"/>
      <c r="V455" s="2"/>
      <c r="AN455" s="3"/>
      <c r="AO455" s="3"/>
      <c r="AP455" s="3"/>
      <c r="AQ455" s="3"/>
      <c r="AR455" s="3"/>
      <c r="AS455" s="3"/>
      <c r="AT455" s="3"/>
      <c r="AU455" s="3"/>
      <c r="AV455" s="3"/>
      <c r="AW455" s="3"/>
      <c r="AX455" s="3"/>
      <c r="AY455" s="3"/>
      <c r="AZ455" s="3"/>
      <c r="BA455" s="3"/>
      <c r="BB455" s="3"/>
      <c r="BC455" s="3"/>
      <c r="BD455" s="3"/>
      <c r="BE455" s="3"/>
      <c r="BF455" s="3"/>
      <c r="BG455" s="3"/>
      <c r="BH455" s="3"/>
      <c r="BI455" s="3"/>
      <c r="BJ455" s="3"/>
    </row>
    <row r="456" spans="1:62" ht="12.75" customHeight="1">
      <c r="A456"/>
      <c r="B456"/>
      <c r="C456"/>
      <c r="D456"/>
      <c r="E456"/>
      <c r="F456"/>
      <c r="G456"/>
      <c r="H456"/>
      <c r="I456"/>
      <c r="J456"/>
      <c r="K456" s="207">
        <v>45</v>
      </c>
      <c r="L456" s="207"/>
      <c r="M456"/>
      <c r="N456"/>
      <c r="O456"/>
      <c r="P456"/>
      <c r="Q456"/>
      <c r="R456" s="40"/>
      <c r="S456" s="23"/>
      <c r="V456" s="2"/>
      <c r="AN456" s="3"/>
      <c r="AO456" s="3"/>
      <c r="AP456" s="3"/>
      <c r="AQ456" s="3"/>
      <c r="AR456" s="3"/>
      <c r="AS456" s="3"/>
      <c r="AT456" s="3"/>
      <c r="AU456" s="3"/>
      <c r="AV456" s="3"/>
      <c r="AW456" s="3"/>
      <c r="AX456" s="3"/>
      <c r="AY456" s="3"/>
      <c r="AZ456" s="3"/>
      <c r="BA456" s="3"/>
      <c r="BB456" s="3"/>
      <c r="BC456" s="3"/>
      <c r="BD456" s="3"/>
      <c r="BE456" s="3"/>
      <c r="BF456" s="3"/>
      <c r="BG456" s="3"/>
      <c r="BH456" s="3"/>
      <c r="BI456" s="3"/>
      <c r="BJ456" s="3"/>
    </row>
    <row r="457" spans="1:62" ht="12.75" customHeight="1">
      <c r="A457"/>
      <c r="B457"/>
      <c r="C457"/>
      <c r="D457"/>
      <c r="E457"/>
      <c r="F457"/>
      <c r="G457"/>
      <c r="H457"/>
      <c r="I457"/>
      <c r="J457"/>
      <c r="K457" s="207">
        <v>46</v>
      </c>
      <c r="L457" s="207"/>
      <c r="M457"/>
      <c r="N457"/>
      <c r="O457"/>
      <c r="P457"/>
      <c r="Q457"/>
      <c r="R457" s="40"/>
      <c r="S457" s="23"/>
      <c r="V457" s="2"/>
      <c r="AN457" s="3"/>
      <c r="AO457" s="3"/>
      <c r="AP457" s="3"/>
      <c r="AQ457" s="3"/>
      <c r="AR457" s="3"/>
      <c r="AS457" s="3"/>
      <c r="AT457" s="3"/>
      <c r="AU457" s="3"/>
      <c r="AV457" s="3"/>
      <c r="AW457" s="3"/>
      <c r="AX457" s="3"/>
      <c r="AY457" s="3"/>
      <c r="AZ457" s="3"/>
      <c r="BA457" s="3"/>
      <c r="BB457" s="3"/>
      <c r="BC457" s="3"/>
      <c r="BD457" s="3"/>
      <c r="BE457" s="3"/>
      <c r="BF457" s="3"/>
      <c r="BG457" s="3"/>
      <c r="BH457" s="3"/>
      <c r="BI457" s="3"/>
      <c r="BJ457" s="3"/>
    </row>
    <row r="458" spans="1:62" ht="12.75" customHeight="1">
      <c r="A458"/>
      <c r="B458"/>
      <c r="C458"/>
      <c r="D458"/>
      <c r="E458"/>
      <c r="F458"/>
      <c r="G458"/>
      <c r="H458"/>
      <c r="I458"/>
      <c r="J458"/>
      <c r="K458" s="207">
        <v>47</v>
      </c>
      <c r="L458" s="207"/>
      <c r="M458"/>
      <c r="N458"/>
      <c r="O458"/>
      <c r="P458"/>
      <c r="Q458"/>
      <c r="R458" s="40"/>
      <c r="S458" s="23"/>
      <c r="V458" s="2"/>
      <c r="AN458" s="3"/>
      <c r="AO458" s="3"/>
      <c r="AP458" s="3"/>
      <c r="AQ458" s="3"/>
      <c r="AR458" s="3"/>
      <c r="AS458" s="3"/>
      <c r="AT458" s="3"/>
      <c r="AU458" s="3"/>
      <c r="AV458" s="3"/>
      <c r="AW458" s="3"/>
      <c r="AX458" s="3"/>
      <c r="AY458" s="3"/>
      <c r="AZ458" s="3"/>
      <c r="BA458" s="3"/>
      <c r="BB458" s="3"/>
      <c r="BC458" s="3"/>
      <c r="BD458" s="3"/>
      <c r="BE458" s="3"/>
      <c r="BF458" s="3"/>
      <c r="BG458" s="3"/>
      <c r="BH458" s="3"/>
      <c r="BI458" s="3"/>
      <c r="BJ458" s="3"/>
    </row>
    <row r="459" spans="1:62" ht="12.75" customHeight="1">
      <c r="A459"/>
      <c r="B459"/>
      <c r="C459"/>
      <c r="D459"/>
      <c r="E459"/>
      <c r="F459"/>
      <c r="G459"/>
      <c r="H459"/>
      <c r="I459"/>
      <c r="J459"/>
      <c r="K459" s="207">
        <v>48</v>
      </c>
      <c r="L459" s="207"/>
      <c r="M459"/>
      <c r="N459"/>
      <c r="O459"/>
      <c r="P459"/>
      <c r="Q459"/>
      <c r="R459" s="40"/>
      <c r="S459" s="23"/>
      <c r="V459" s="2"/>
      <c r="AN459" s="3"/>
      <c r="AO459" s="3"/>
      <c r="AP459" s="3"/>
      <c r="AQ459" s="3"/>
      <c r="AR459" s="3"/>
      <c r="AS459" s="3"/>
      <c r="AT459" s="3"/>
      <c r="AU459" s="3"/>
      <c r="AV459" s="3"/>
      <c r="AW459" s="3"/>
      <c r="AX459" s="3"/>
      <c r="AY459" s="3"/>
      <c r="AZ459" s="3"/>
      <c r="BA459" s="3"/>
      <c r="BB459" s="3"/>
      <c r="BC459" s="3"/>
      <c r="BD459" s="3"/>
      <c r="BE459" s="3"/>
      <c r="BF459" s="3"/>
      <c r="BG459" s="3"/>
      <c r="BH459" s="3"/>
      <c r="BI459" s="3"/>
      <c r="BJ459" s="3"/>
    </row>
    <row r="460" spans="1:62" ht="12.75" customHeight="1">
      <c r="A460"/>
      <c r="B460"/>
      <c r="C460"/>
      <c r="D460"/>
      <c r="E460"/>
      <c r="F460"/>
      <c r="G460"/>
      <c r="H460"/>
      <c r="I460"/>
      <c r="J460"/>
      <c r="K460" s="207">
        <v>49</v>
      </c>
      <c r="L460" s="207"/>
      <c r="M460"/>
      <c r="N460"/>
      <c r="O460"/>
      <c r="P460"/>
      <c r="Q460"/>
      <c r="R460" s="40"/>
      <c r="S460" s="23"/>
      <c r="V460" s="2"/>
      <c r="AN460" s="3"/>
      <c r="AO460" s="3"/>
      <c r="AP460" s="3"/>
      <c r="AQ460" s="3"/>
      <c r="AR460" s="3"/>
      <c r="AS460" s="3"/>
      <c r="AT460" s="3"/>
      <c r="AU460" s="3"/>
      <c r="AV460" s="3"/>
      <c r="AW460" s="3"/>
      <c r="AX460" s="3"/>
      <c r="AY460" s="3"/>
      <c r="AZ460" s="3"/>
      <c r="BA460" s="3"/>
      <c r="BB460" s="3"/>
      <c r="BC460" s="3"/>
      <c r="BD460" s="3"/>
      <c r="BE460" s="3"/>
      <c r="BF460" s="3"/>
      <c r="BG460" s="3"/>
      <c r="BH460" s="3"/>
      <c r="BI460" s="3"/>
      <c r="BJ460" s="3"/>
    </row>
    <row r="461" spans="1:62" ht="12.75" customHeight="1">
      <c r="A461"/>
      <c r="B461"/>
      <c r="C461"/>
      <c r="D461"/>
      <c r="E461"/>
      <c r="F461"/>
      <c r="G461"/>
      <c r="H461"/>
      <c r="I461"/>
      <c r="J461"/>
      <c r="K461" s="207">
        <v>50</v>
      </c>
      <c r="L461" s="207"/>
      <c r="M461"/>
      <c r="N461"/>
      <c r="O461"/>
      <c r="P461"/>
      <c r="Q461"/>
      <c r="R461" s="40"/>
      <c r="S461" s="23"/>
      <c r="V461" s="2"/>
      <c r="AN461" s="3"/>
      <c r="AO461" s="3"/>
      <c r="AP461" s="3"/>
      <c r="AQ461" s="3"/>
      <c r="AR461" s="3"/>
      <c r="AS461" s="3"/>
      <c r="AT461" s="3"/>
      <c r="AU461" s="3"/>
      <c r="AV461" s="3"/>
      <c r="AW461" s="3"/>
      <c r="AX461" s="3"/>
      <c r="AY461" s="3"/>
      <c r="AZ461" s="3"/>
      <c r="BA461" s="3"/>
      <c r="BB461" s="3"/>
      <c r="BC461" s="3"/>
      <c r="BD461" s="3"/>
      <c r="BE461" s="3"/>
      <c r="BF461" s="3"/>
      <c r="BG461" s="3"/>
      <c r="BH461" s="3"/>
      <c r="BI461" s="3"/>
      <c r="BJ461" s="3"/>
    </row>
    <row r="462" spans="1:62" ht="12.75" customHeight="1">
      <c r="A462"/>
      <c r="B462"/>
      <c r="C462"/>
      <c r="D462"/>
      <c r="E462"/>
      <c r="F462"/>
      <c r="G462"/>
      <c r="H462"/>
      <c r="I462"/>
      <c r="J462"/>
      <c r="K462" s="207">
        <v>51</v>
      </c>
      <c r="L462" s="207"/>
      <c r="M462"/>
      <c r="N462"/>
      <c r="O462"/>
      <c r="P462"/>
      <c r="Q462"/>
      <c r="R462" s="40"/>
      <c r="S462" s="23"/>
      <c r="V462" s="2"/>
      <c r="AN462" s="3"/>
      <c r="AO462" s="3"/>
      <c r="AP462" s="3"/>
      <c r="AQ462" s="3"/>
      <c r="AR462" s="3"/>
      <c r="AS462" s="3"/>
      <c r="AT462" s="3"/>
      <c r="AU462" s="3"/>
      <c r="AV462" s="3"/>
      <c r="AW462" s="3"/>
      <c r="AX462" s="3"/>
      <c r="AY462" s="3"/>
      <c r="AZ462" s="3"/>
      <c r="BA462" s="3"/>
      <c r="BB462" s="3"/>
      <c r="BC462" s="3"/>
      <c r="BD462" s="3"/>
      <c r="BE462" s="3"/>
      <c r="BF462" s="3"/>
      <c r="BG462" s="3"/>
      <c r="BH462" s="3"/>
      <c r="BI462" s="3"/>
      <c r="BJ462" s="3"/>
    </row>
    <row r="463" spans="1:62" ht="12.75" customHeight="1">
      <c r="A463"/>
      <c r="B463"/>
      <c r="C463"/>
      <c r="D463"/>
      <c r="E463"/>
      <c r="F463"/>
      <c r="G463"/>
      <c r="H463"/>
      <c r="I463"/>
      <c r="J463"/>
      <c r="K463" s="207">
        <v>52</v>
      </c>
      <c r="L463" s="207"/>
      <c r="M463"/>
      <c r="N463"/>
      <c r="O463"/>
      <c r="P463"/>
      <c r="Q463"/>
      <c r="R463" s="40"/>
      <c r="S463" s="23"/>
      <c r="V463" s="2"/>
      <c r="AN463" s="3"/>
      <c r="AO463" s="3"/>
      <c r="AP463" s="3"/>
      <c r="AQ463" s="3"/>
      <c r="AR463" s="3"/>
      <c r="AS463" s="3"/>
      <c r="AT463" s="3"/>
      <c r="AU463" s="3"/>
      <c r="AV463" s="3"/>
      <c r="AW463" s="3"/>
      <c r="AX463" s="3"/>
      <c r="AY463" s="3"/>
      <c r="AZ463" s="3"/>
      <c r="BA463" s="3"/>
      <c r="BB463" s="3"/>
      <c r="BC463" s="3"/>
      <c r="BD463" s="3"/>
      <c r="BE463" s="3"/>
      <c r="BF463" s="3"/>
      <c r="BG463" s="3"/>
      <c r="BH463" s="3"/>
      <c r="BI463" s="3"/>
      <c r="BJ463" s="3"/>
    </row>
    <row r="464" spans="1:62" ht="12.75" customHeight="1">
      <c r="A464"/>
      <c r="B464"/>
      <c r="C464"/>
      <c r="D464"/>
      <c r="E464"/>
      <c r="F464"/>
      <c r="G464"/>
      <c r="H464"/>
      <c r="I464"/>
      <c r="J464"/>
      <c r="K464" s="207">
        <v>53</v>
      </c>
      <c r="L464" s="207"/>
      <c r="M464"/>
      <c r="N464"/>
      <c r="O464"/>
      <c r="P464"/>
      <c r="Q464"/>
      <c r="R464" s="40"/>
      <c r="S464" s="23"/>
      <c r="V464" s="2"/>
      <c r="AN464" s="3"/>
      <c r="AO464" s="3"/>
      <c r="AP464" s="3"/>
      <c r="AQ464" s="3"/>
      <c r="AR464" s="3"/>
      <c r="AS464" s="3"/>
      <c r="AT464" s="3"/>
      <c r="AU464" s="3"/>
      <c r="AV464" s="3"/>
      <c r="AW464" s="3"/>
      <c r="AX464" s="3"/>
      <c r="AY464" s="3"/>
      <c r="AZ464" s="3"/>
      <c r="BA464" s="3"/>
      <c r="BB464" s="3"/>
      <c r="BC464" s="3"/>
      <c r="BD464" s="3"/>
      <c r="BE464" s="3"/>
      <c r="BF464" s="3"/>
      <c r="BG464" s="3"/>
      <c r="BH464" s="3"/>
      <c r="BI464" s="3"/>
      <c r="BJ464" s="3"/>
    </row>
    <row r="465" spans="1:62" ht="12.75" customHeight="1">
      <c r="A465"/>
      <c r="B465"/>
      <c r="C465"/>
      <c r="D465"/>
      <c r="E465"/>
      <c r="F465"/>
      <c r="G465"/>
      <c r="H465"/>
      <c r="I465"/>
      <c r="J465"/>
      <c r="K465" s="207">
        <v>54</v>
      </c>
      <c r="L465" s="207"/>
      <c r="M465"/>
      <c r="N465"/>
      <c r="O465"/>
      <c r="P465"/>
      <c r="Q465"/>
      <c r="R465" s="40"/>
      <c r="S465" s="23"/>
      <c r="V465" s="2"/>
      <c r="AN465" s="3"/>
      <c r="AO465" s="3"/>
      <c r="AP465" s="3"/>
      <c r="AQ465" s="3"/>
      <c r="AR465" s="3"/>
      <c r="AS465" s="3"/>
      <c r="AT465" s="3"/>
      <c r="AU465" s="3"/>
      <c r="AV465" s="3"/>
      <c r="AW465" s="3"/>
      <c r="AX465" s="3"/>
      <c r="AY465" s="3"/>
      <c r="AZ465" s="3"/>
      <c r="BA465" s="3"/>
      <c r="BB465" s="3"/>
      <c r="BC465" s="3"/>
      <c r="BD465" s="3"/>
      <c r="BE465" s="3"/>
      <c r="BF465" s="3"/>
      <c r="BG465" s="3"/>
      <c r="BH465" s="3"/>
      <c r="BI465" s="3"/>
      <c r="BJ465" s="3"/>
    </row>
    <row r="466" spans="1:62" ht="12.75" customHeight="1">
      <c r="A466"/>
      <c r="B466"/>
      <c r="C466"/>
      <c r="D466"/>
      <c r="E466"/>
      <c r="F466"/>
      <c r="G466"/>
      <c r="H466"/>
      <c r="I466"/>
      <c r="J466"/>
      <c r="K466" s="207">
        <v>55</v>
      </c>
      <c r="L466" s="207"/>
      <c r="M466"/>
      <c r="N466"/>
      <c r="O466"/>
      <c r="P466"/>
      <c r="Q466"/>
      <c r="R466" s="40"/>
      <c r="S466" s="23"/>
      <c r="V466" s="2"/>
      <c r="AN466" s="3"/>
      <c r="AO466" s="3"/>
      <c r="AP466" s="3"/>
      <c r="AQ466" s="3"/>
      <c r="AR466" s="3"/>
      <c r="AS466" s="3"/>
      <c r="AT466" s="3"/>
      <c r="AU466" s="3"/>
      <c r="AV466" s="3"/>
      <c r="AW466" s="3"/>
      <c r="AX466" s="3"/>
      <c r="AY466" s="3"/>
      <c r="AZ466" s="3"/>
      <c r="BA466" s="3"/>
      <c r="BB466" s="3"/>
      <c r="BC466" s="3"/>
      <c r="BD466" s="3"/>
      <c r="BE466" s="3"/>
      <c r="BF466" s="3"/>
      <c r="BG466" s="3"/>
      <c r="BH466" s="3"/>
      <c r="BI466" s="3"/>
      <c r="BJ466" s="3"/>
    </row>
    <row r="467" spans="1:62" ht="12.75" customHeight="1">
      <c r="A467"/>
      <c r="B467"/>
      <c r="C467"/>
      <c r="D467"/>
      <c r="E467"/>
      <c r="F467"/>
      <c r="G467"/>
      <c r="H467"/>
      <c r="I467"/>
      <c r="J467"/>
      <c r="K467" s="207">
        <v>56</v>
      </c>
      <c r="L467" s="207"/>
      <c r="M467"/>
      <c r="N467"/>
      <c r="O467"/>
      <c r="P467"/>
      <c r="Q467"/>
      <c r="R467" s="40"/>
      <c r="S467" s="23"/>
      <c r="V467" s="2"/>
      <c r="AN467" s="3"/>
      <c r="AO467" s="3"/>
      <c r="AP467" s="3"/>
      <c r="AQ467" s="3"/>
      <c r="AR467" s="3"/>
      <c r="AS467" s="3"/>
      <c r="AT467" s="3"/>
      <c r="AU467" s="3"/>
      <c r="AV467" s="3"/>
      <c r="AW467" s="3"/>
      <c r="AX467" s="3"/>
      <c r="AY467" s="3"/>
      <c r="AZ467" s="3"/>
      <c r="BA467" s="3"/>
      <c r="BB467" s="3"/>
      <c r="BC467" s="3"/>
      <c r="BD467" s="3"/>
      <c r="BE467" s="3"/>
      <c r="BF467" s="3"/>
      <c r="BG467" s="3"/>
      <c r="BH467" s="3"/>
      <c r="BI467" s="3"/>
      <c r="BJ467" s="3"/>
    </row>
    <row r="468" spans="1:62" ht="12.75" customHeight="1">
      <c r="A468"/>
      <c r="B468"/>
      <c r="C468"/>
      <c r="D468"/>
      <c r="E468"/>
      <c r="F468"/>
      <c r="G468"/>
      <c r="H468"/>
      <c r="I468"/>
      <c r="J468"/>
      <c r="K468" s="207">
        <v>57</v>
      </c>
      <c r="L468" s="207"/>
      <c r="M468"/>
      <c r="N468"/>
      <c r="O468"/>
      <c r="P468"/>
      <c r="Q468"/>
      <c r="R468" s="40"/>
      <c r="S468" s="23"/>
      <c r="V468" s="2"/>
      <c r="AN468" s="3"/>
      <c r="AO468" s="3"/>
      <c r="AP468" s="3"/>
      <c r="AQ468" s="3"/>
      <c r="AR468" s="3"/>
      <c r="AS468" s="3"/>
      <c r="AT468" s="3"/>
      <c r="AU468" s="3"/>
      <c r="AV468" s="3"/>
      <c r="AW468" s="3"/>
      <c r="AX468" s="3"/>
      <c r="AY468" s="3"/>
      <c r="AZ468" s="3"/>
      <c r="BA468" s="3"/>
      <c r="BB468" s="3"/>
      <c r="BC468" s="3"/>
      <c r="BD468" s="3"/>
      <c r="BE468" s="3"/>
      <c r="BF468" s="3"/>
      <c r="BG468" s="3"/>
      <c r="BH468" s="3"/>
      <c r="BI468" s="3"/>
      <c r="BJ468" s="3"/>
    </row>
    <row r="469" spans="1:62" ht="12.75" customHeight="1">
      <c r="A469"/>
      <c r="B469"/>
      <c r="C469"/>
      <c r="D469"/>
      <c r="E469"/>
      <c r="F469"/>
      <c r="G469"/>
      <c r="H469"/>
      <c r="I469"/>
      <c r="J469"/>
      <c r="K469" s="207">
        <v>58</v>
      </c>
      <c r="L469" s="207"/>
      <c r="M469"/>
      <c r="N469"/>
      <c r="O469"/>
      <c r="P469"/>
      <c r="Q469"/>
      <c r="R469" s="40"/>
      <c r="S469" s="23"/>
      <c r="V469" s="2"/>
      <c r="AN469" s="3"/>
      <c r="AO469" s="3"/>
      <c r="AP469" s="3"/>
      <c r="AQ469" s="3"/>
      <c r="AR469" s="3"/>
      <c r="AS469" s="3"/>
      <c r="AT469" s="3"/>
      <c r="AU469" s="3"/>
      <c r="AV469" s="3"/>
      <c r="AW469" s="3"/>
      <c r="AX469" s="3"/>
      <c r="AY469" s="3"/>
      <c r="AZ469" s="3"/>
      <c r="BA469" s="3"/>
      <c r="BB469" s="3"/>
      <c r="BC469" s="3"/>
      <c r="BD469" s="3"/>
      <c r="BE469" s="3"/>
      <c r="BF469" s="3"/>
      <c r="BG469" s="3"/>
      <c r="BH469" s="3"/>
      <c r="BI469" s="3"/>
      <c r="BJ469" s="3"/>
    </row>
    <row r="470" spans="1:62" ht="12.75" customHeight="1">
      <c r="A470"/>
      <c r="B470"/>
      <c r="C470"/>
      <c r="D470"/>
      <c r="E470"/>
      <c r="F470"/>
      <c r="G470"/>
      <c r="H470"/>
      <c r="I470"/>
      <c r="J470"/>
      <c r="K470" s="207">
        <v>59</v>
      </c>
      <c r="L470" s="207"/>
      <c r="M470"/>
      <c r="N470"/>
      <c r="O470"/>
      <c r="P470"/>
      <c r="Q470"/>
      <c r="R470" s="40"/>
      <c r="S470" s="23"/>
      <c r="V470" s="2"/>
      <c r="AN470" s="3"/>
      <c r="AO470" s="3"/>
      <c r="AP470" s="3"/>
      <c r="AQ470" s="3"/>
      <c r="AR470" s="3"/>
      <c r="AS470" s="3"/>
      <c r="AT470" s="3"/>
      <c r="AU470" s="3"/>
      <c r="AV470" s="3"/>
      <c r="AW470" s="3"/>
      <c r="AX470" s="3"/>
      <c r="AY470" s="3"/>
      <c r="AZ470" s="3"/>
      <c r="BA470" s="3"/>
      <c r="BB470" s="3"/>
      <c r="BC470" s="3"/>
      <c r="BD470" s="3"/>
      <c r="BE470" s="3"/>
      <c r="BF470" s="3"/>
      <c r="BG470" s="3"/>
      <c r="BH470" s="3"/>
      <c r="BI470" s="3"/>
      <c r="BJ470" s="3"/>
    </row>
    <row r="471" spans="1:62" ht="12.75" customHeight="1">
      <c r="A471"/>
      <c r="B471"/>
      <c r="C471"/>
      <c r="D471"/>
      <c r="E471"/>
      <c r="F471"/>
      <c r="G471"/>
      <c r="H471"/>
      <c r="I471"/>
      <c r="J471"/>
      <c r="K471" s="207">
        <v>60</v>
      </c>
      <c r="L471" s="207"/>
      <c r="M471"/>
      <c r="N471"/>
      <c r="O471"/>
      <c r="P471"/>
      <c r="Q471"/>
      <c r="R471" s="40"/>
      <c r="S471" s="23"/>
      <c r="V471" s="2"/>
      <c r="AN471" s="3"/>
      <c r="AO471" s="3"/>
      <c r="AP471" s="3"/>
      <c r="AQ471" s="3"/>
      <c r="AR471" s="3"/>
      <c r="AS471" s="3"/>
      <c r="AT471" s="3"/>
      <c r="AU471" s="3"/>
      <c r="AV471" s="3"/>
      <c r="AW471" s="3"/>
      <c r="AX471" s="3"/>
      <c r="AY471" s="3"/>
      <c r="AZ471" s="3"/>
      <c r="BA471" s="3"/>
      <c r="BB471" s="3"/>
      <c r="BC471" s="3"/>
      <c r="BD471" s="3"/>
      <c r="BE471" s="3"/>
      <c r="BF471" s="3"/>
      <c r="BG471" s="3"/>
      <c r="BH471" s="3"/>
      <c r="BI471" s="3"/>
      <c r="BJ471" s="3"/>
    </row>
    <row r="472" spans="1:62" ht="12.75" customHeight="1">
      <c r="A472"/>
      <c r="B472"/>
      <c r="C472"/>
      <c r="D472"/>
      <c r="E472"/>
      <c r="F472"/>
      <c r="G472"/>
      <c r="H472"/>
      <c r="I472"/>
      <c r="J472"/>
      <c r="K472" s="207">
        <v>61</v>
      </c>
      <c r="L472" s="207"/>
      <c r="M472"/>
      <c r="N472"/>
      <c r="O472"/>
      <c r="P472"/>
      <c r="Q472"/>
      <c r="R472" s="40"/>
      <c r="S472" s="23"/>
      <c r="V472" s="2"/>
      <c r="AN472" s="3"/>
      <c r="AO472" s="3"/>
      <c r="AP472" s="3"/>
      <c r="AQ472" s="3"/>
      <c r="AR472" s="3"/>
      <c r="AS472" s="3"/>
      <c r="AT472" s="3"/>
      <c r="AU472" s="3"/>
      <c r="AV472" s="3"/>
      <c r="AW472" s="3"/>
      <c r="AX472" s="3"/>
      <c r="AY472" s="3"/>
      <c r="AZ472" s="3"/>
      <c r="BA472" s="3"/>
      <c r="BB472" s="3"/>
      <c r="BC472" s="3"/>
      <c r="BD472" s="3"/>
      <c r="BE472" s="3"/>
      <c r="BF472" s="3"/>
      <c r="BG472" s="3"/>
      <c r="BH472" s="3"/>
      <c r="BI472" s="3"/>
      <c r="BJ472" s="3"/>
    </row>
    <row r="473" spans="1:62" ht="12.75" customHeight="1">
      <c r="A473"/>
      <c r="B473"/>
      <c r="C473"/>
      <c r="D473"/>
      <c r="E473"/>
      <c r="F473"/>
      <c r="G473"/>
      <c r="H473"/>
      <c r="I473"/>
      <c r="J473"/>
      <c r="K473" s="207">
        <v>62</v>
      </c>
      <c r="L473" s="207"/>
      <c r="M473"/>
      <c r="N473"/>
      <c r="O473"/>
      <c r="P473"/>
      <c r="Q473"/>
      <c r="R473" s="40"/>
      <c r="S473" s="23"/>
      <c r="V473" s="2"/>
      <c r="AN473" s="3"/>
      <c r="AO473" s="3"/>
      <c r="AP473" s="3"/>
      <c r="AQ473" s="3"/>
      <c r="AR473" s="3"/>
      <c r="AS473" s="3"/>
      <c r="AT473" s="3"/>
      <c r="AU473" s="3"/>
      <c r="AV473" s="3"/>
      <c r="AW473" s="3"/>
      <c r="AX473" s="3"/>
      <c r="AY473" s="3"/>
      <c r="AZ473" s="3"/>
      <c r="BA473" s="3"/>
      <c r="BB473" s="3"/>
      <c r="BC473" s="3"/>
      <c r="BD473" s="3"/>
      <c r="BE473" s="3"/>
      <c r="BF473" s="3"/>
      <c r="BG473" s="3"/>
      <c r="BH473" s="3"/>
      <c r="BI473" s="3"/>
      <c r="BJ473" s="3"/>
    </row>
    <row r="474" spans="1:62" ht="12.75" customHeight="1">
      <c r="A474"/>
      <c r="B474"/>
      <c r="C474"/>
      <c r="D474"/>
      <c r="E474"/>
      <c r="F474"/>
      <c r="G474"/>
      <c r="H474"/>
      <c r="I474"/>
      <c r="J474"/>
      <c r="K474" s="207">
        <v>63</v>
      </c>
      <c r="L474" s="207"/>
      <c r="M474"/>
      <c r="N474"/>
      <c r="O474"/>
      <c r="P474"/>
      <c r="Q474"/>
      <c r="R474" s="40"/>
      <c r="S474" s="23"/>
      <c r="V474" s="2"/>
      <c r="AN474" s="3"/>
      <c r="AO474" s="3"/>
      <c r="AP474" s="3"/>
      <c r="AQ474" s="3"/>
      <c r="AR474" s="3"/>
      <c r="AS474" s="3"/>
      <c r="AT474" s="3"/>
      <c r="AU474" s="3"/>
      <c r="AV474" s="3"/>
      <c r="AW474" s="3"/>
      <c r="AX474" s="3"/>
      <c r="AY474" s="3"/>
      <c r="AZ474" s="3"/>
      <c r="BA474" s="3"/>
      <c r="BB474" s="3"/>
      <c r="BC474" s="3"/>
      <c r="BD474" s="3"/>
      <c r="BE474" s="3"/>
      <c r="BF474" s="3"/>
      <c r="BG474" s="3"/>
      <c r="BH474" s="3"/>
      <c r="BI474" s="3"/>
      <c r="BJ474" s="3"/>
    </row>
    <row r="475" spans="1:62" ht="12.75" customHeight="1">
      <c r="A475"/>
      <c r="B475"/>
      <c r="C475"/>
      <c r="D475"/>
      <c r="E475"/>
      <c r="F475"/>
      <c r="G475"/>
      <c r="H475"/>
      <c r="I475"/>
      <c r="J475"/>
      <c r="K475" s="207">
        <v>64</v>
      </c>
      <c r="L475" s="207"/>
      <c r="M475"/>
      <c r="N475"/>
      <c r="O475"/>
      <c r="P475"/>
      <c r="Q475"/>
      <c r="R475" s="40"/>
      <c r="S475" s="23"/>
      <c r="V475" s="2"/>
      <c r="AN475" s="3"/>
      <c r="AO475" s="3"/>
      <c r="AP475" s="3"/>
      <c r="AQ475" s="3"/>
      <c r="AR475" s="3"/>
      <c r="AS475" s="3"/>
      <c r="AT475" s="3"/>
      <c r="AU475" s="3"/>
      <c r="AV475" s="3"/>
      <c r="AW475" s="3"/>
      <c r="AX475" s="3"/>
      <c r="AY475" s="3"/>
      <c r="AZ475" s="3"/>
      <c r="BA475" s="3"/>
      <c r="BB475" s="3"/>
      <c r="BC475" s="3"/>
      <c r="BD475" s="3"/>
      <c r="BE475" s="3"/>
      <c r="BF475" s="3"/>
      <c r="BG475" s="3"/>
      <c r="BH475" s="3"/>
      <c r="BI475" s="3"/>
      <c r="BJ475" s="3"/>
    </row>
    <row r="476" spans="1:62" ht="12.75" customHeight="1">
      <c r="A476"/>
      <c r="B476"/>
      <c r="C476"/>
      <c r="D476"/>
      <c r="E476"/>
      <c r="F476"/>
      <c r="G476"/>
      <c r="H476"/>
      <c r="I476"/>
      <c r="J476"/>
      <c r="K476" s="207">
        <v>65</v>
      </c>
      <c r="L476" s="207"/>
      <c r="M476"/>
      <c r="N476"/>
      <c r="O476"/>
      <c r="P476"/>
      <c r="Q476"/>
      <c r="R476" s="40"/>
      <c r="S476" s="23"/>
      <c r="V476" s="2"/>
      <c r="AN476" s="3"/>
      <c r="AO476" s="3"/>
      <c r="AP476" s="3"/>
      <c r="AQ476" s="3"/>
      <c r="AR476" s="3"/>
      <c r="AS476" s="3"/>
      <c r="AT476" s="3"/>
      <c r="AU476" s="3"/>
      <c r="AV476" s="3"/>
      <c r="AW476" s="3"/>
      <c r="AX476" s="3"/>
      <c r="AY476" s="3"/>
      <c r="AZ476" s="3"/>
      <c r="BA476" s="3"/>
      <c r="BB476" s="3"/>
      <c r="BC476" s="3"/>
      <c r="BD476" s="3"/>
      <c r="BE476" s="3"/>
      <c r="BF476" s="3"/>
      <c r="BG476" s="3"/>
      <c r="BH476" s="3"/>
      <c r="BI476" s="3"/>
      <c r="BJ476" s="3"/>
    </row>
    <row r="477" spans="1:62" ht="12.75" customHeight="1">
      <c r="A477"/>
      <c r="B477"/>
      <c r="C477"/>
      <c r="D477"/>
      <c r="E477"/>
      <c r="F477"/>
      <c r="G477"/>
      <c r="H477"/>
      <c r="I477"/>
      <c r="J477"/>
      <c r="K477" s="207">
        <v>66</v>
      </c>
      <c r="L477" s="207"/>
      <c r="M477"/>
      <c r="N477"/>
      <c r="O477"/>
      <c r="P477"/>
      <c r="Q477"/>
      <c r="R477" s="40"/>
      <c r="S477" s="23"/>
      <c r="V477" s="2"/>
      <c r="AN477" s="3"/>
      <c r="AO477" s="3"/>
      <c r="AP477" s="3"/>
      <c r="AQ477" s="3"/>
      <c r="AR477" s="3"/>
      <c r="AS477" s="3"/>
      <c r="AT477" s="3"/>
      <c r="AU477" s="3"/>
      <c r="AV477" s="3"/>
      <c r="AW477" s="3"/>
      <c r="AX477" s="3"/>
      <c r="AY477" s="3"/>
      <c r="AZ477" s="3"/>
      <c r="BA477" s="3"/>
      <c r="BB477" s="3"/>
      <c r="BC477" s="3"/>
      <c r="BD477" s="3"/>
      <c r="BE477" s="3"/>
      <c r="BF477" s="3"/>
      <c r="BG477" s="3"/>
      <c r="BH477" s="3"/>
      <c r="BI477" s="3"/>
      <c r="BJ477" s="3"/>
    </row>
    <row r="478" spans="1:62" ht="12.75" customHeight="1">
      <c r="A478"/>
      <c r="B478"/>
      <c r="C478"/>
      <c r="D478"/>
      <c r="E478"/>
      <c r="F478"/>
      <c r="G478"/>
      <c r="H478"/>
      <c r="I478"/>
      <c r="J478"/>
      <c r="K478" s="207">
        <v>67</v>
      </c>
      <c r="L478" s="207"/>
      <c r="M478"/>
      <c r="N478"/>
      <c r="O478"/>
      <c r="P478"/>
      <c r="Q478"/>
      <c r="R478" s="40"/>
      <c r="S478" s="23"/>
      <c r="V478" s="2"/>
      <c r="AN478" s="3"/>
      <c r="AO478" s="3"/>
      <c r="AP478" s="3"/>
      <c r="AQ478" s="3"/>
      <c r="AR478" s="3"/>
      <c r="AS478" s="3"/>
      <c r="AT478" s="3"/>
      <c r="AU478" s="3"/>
      <c r="AV478" s="3"/>
      <c r="AW478" s="3"/>
      <c r="AX478" s="3"/>
      <c r="AY478" s="3"/>
      <c r="AZ478" s="3"/>
      <c r="BA478" s="3"/>
      <c r="BB478" s="3"/>
      <c r="BC478" s="3"/>
      <c r="BD478" s="3"/>
      <c r="BE478" s="3"/>
      <c r="BF478" s="3"/>
      <c r="BG478" s="3"/>
      <c r="BH478" s="3"/>
      <c r="BI478" s="3"/>
      <c r="BJ478" s="3"/>
    </row>
    <row r="479" spans="1:62" ht="12.75" customHeight="1">
      <c r="A479" t="s">
        <v>443</v>
      </c>
      <c r="B479"/>
      <c r="C479"/>
      <c r="D479"/>
      <c r="E479"/>
      <c r="F479"/>
      <c r="G479"/>
      <c r="H479"/>
      <c r="I479"/>
      <c r="J479"/>
      <c r="K479" s="207">
        <v>68</v>
      </c>
      <c r="L479" s="207"/>
      <c r="M479"/>
      <c r="N479"/>
      <c r="O479"/>
      <c r="P479"/>
      <c r="Q479"/>
      <c r="R479" s="40"/>
      <c r="S479" s="23"/>
      <c r="V479" s="2"/>
      <c r="AN479" s="3"/>
      <c r="AO479" s="3"/>
      <c r="AP479" s="3"/>
      <c r="AQ479" s="3"/>
      <c r="AR479" s="3"/>
      <c r="AS479" s="3"/>
      <c r="AT479" s="3"/>
      <c r="AU479" s="3"/>
      <c r="AV479" s="3"/>
      <c r="AW479" s="3"/>
      <c r="AX479" s="3"/>
      <c r="AY479" s="3"/>
      <c r="AZ479" s="3"/>
      <c r="BA479" s="3"/>
      <c r="BB479" s="3"/>
      <c r="BC479" s="3"/>
      <c r="BD479" s="3"/>
      <c r="BE479" s="3"/>
      <c r="BF479" s="3"/>
      <c r="BG479" s="3"/>
      <c r="BH479" s="3"/>
      <c r="BI479" s="3"/>
      <c r="BJ479" s="3"/>
    </row>
    <row r="480" spans="1:62" ht="13.9" customHeight="1">
      <c r="B480" s="2"/>
      <c r="G480" s="2"/>
      <c r="H480" s="2"/>
      <c r="Q480" s="3"/>
      <c r="T480" s="3"/>
      <c r="U480" s="3"/>
      <c r="V480" s="2"/>
      <c r="W480" s="3"/>
      <c r="Z480" s="3"/>
      <c r="AB480" s="3"/>
      <c r="AK480" s="3"/>
      <c r="AL480" s="3"/>
      <c r="AM480" s="3"/>
      <c r="AN480" s="3"/>
    </row>
    <row r="481" spans="1:62" ht="40.9" customHeight="1">
      <c r="B481" s="2"/>
      <c r="F481" s="3"/>
      <c r="H481" s="2"/>
      <c r="I481" s="3"/>
      <c r="J481" s="235" t="s">
        <v>1</v>
      </c>
      <c r="K481" s="235"/>
      <c r="L481" s="235"/>
      <c r="M481" s="235"/>
      <c r="N481" s="235"/>
      <c r="O481" s="235"/>
      <c r="P481" s="235"/>
      <c r="Q481" s="235"/>
      <c r="R481" s="235"/>
      <c r="S481" s="235"/>
      <c r="T481" s="235"/>
      <c r="U481" s="235"/>
      <c r="V481" s="235"/>
      <c r="W481" s="235"/>
      <c r="X481" s="235"/>
      <c r="Y481" s="235"/>
      <c r="Z481" s="235"/>
      <c r="AA481" s="235"/>
      <c r="AB481" s="235"/>
      <c r="AC481" s="235"/>
      <c r="AD481" s="235"/>
      <c r="AK481" s="227"/>
      <c r="AL481" s="227"/>
      <c r="AM481" s="227"/>
      <c r="AN481" s="227"/>
      <c r="AO481" s="227"/>
      <c r="AP481" s="227"/>
      <c r="AQ481" s="227"/>
      <c r="AR481" s="227"/>
      <c r="AS481" s="227"/>
      <c r="AT481" s="227"/>
      <c r="AU481" s="227"/>
    </row>
    <row r="482" spans="1:62" ht="12.6" customHeight="1">
      <c r="B482" s="2"/>
      <c r="G482" s="2"/>
      <c r="H482" s="2"/>
      <c r="J482" s="235"/>
      <c r="K482" s="235"/>
      <c r="L482" s="235"/>
      <c r="M482" s="235"/>
      <c r="N482" s="235"/>
      <c r="O482" s="235"/>
      <c r="P482" s="235"/>
      <c r="Q482" s="235"/>
      <c r="R482" s="235"/>
      <c r="S482" s="235"/>
      <c r="T482" s="235"/>
      <c r="U482" s="235"/>
      <c r="V482" s="235"/>
      <c r="W482" s="235"/>
      <c r="X482" s="235"/>
      <c r="Y482" s="235"/>
      <c r="Z482" s="235"/>
      <c r="AA482" s="235"/>
      <c r="AB482" s="235"/>
      <c r="AC482" s="235"/>
      <c r="AD482" s="235"/>
      <c r="AK482" s="3"/>
      <c r="AL482" s="3"/>
      <c r="AM482" s="3"/>
      <c r="AN482" s="3"/>
    </row>
    <row r="483" spans="1:62" ht="21" customHeight="1" thickBot="1">
      <c r="A483" s="4"/>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K483" s="3"/>
      <c r="AL483" s="3"/>
      <c r="AM483" s="3"/>
      <c r="AN483" s="3"/>
    </row>
    <row r="484" spans="1:62" ht="16.5" thickTop="1">
      <c r="A484" s="240" t="str">
        <f>IF(LEN(nPaz)&gt;0,nPaz,"")</f>
        <v>GIOVANNI BUI</v>
      </c>
      <c r="B484" s="240"/>
      <c r="C484" s="240"/>
      <c r="D484" s="240"/>
      <c r="E484" s="240"/>
      <c r="F484" s="240"/>
      <c r="G484" s="240"/>
      <c r="H484" s="240"/>
      <c r="I484" s="240"/>
      <c r="J484" s="240"/>
      <c r="K484" s="240"/>
      <c r="L484" s="240"/>
      <c r="M484" s="240"/>
      <c r="N484" s="240"/>
      <c r="O484" s="240"/>
      <c r="P484" s="126"/>
      <c r="Q484" s="127" t="s">
        <v>8</v>
      </c>
      <c r="R484" s="128" t="str">
        <f>IF(codfisc&lt;&gt;"",codfisc,"")</f>
        <v>VFSDRT68R23O944K</v>
      </c>
      <c r="S484" s="129"/>
      <c r="T484" s="125"/>
      <c r="U484" s="125"/>
      <c r="V484" s="125"/>
      <c r="W484" s="125"/>
      <c r="X484" s="130" t="s">
        <v>352</v>
      </c>
      <c r="Y484" s="238">
        <f>IF(nacc&lt;&gt;"",nacc,"")</f>
        <v>6543</v>
      </c>
      <c r="Z484" s="238"/>
      <c r="AA484" s="131" t="s">
        <v>353</v>
      </c>
      <c r="AB484" s="239">
        <f>IF(dref&lt;&gt;"",dref,"")</f>
        <v>46003</v>
      </c>
      <c r="AC484" s="239"/>
      <c r="AD484" s="239"/>
      <c r="AE484" s="132"/>
      <c r="AF484"/>
      <c r="AG484"/>
      <c r="AH484"/>
      <c r="AI484"/>
      <c r="AJ484"/>
      <c r="AK484"/>
      <c r="AL484"/>
      <c r="AM484"/>
      <c r="AN484"/>
      <c r="AO484"/>
      <c r="AP484" s="16"/>
      <c r="AQ484" s="3"/>
      <c r="AR484" s="3"/>
      <c r="AS484" s="3"/>
      <c r="AT484" s="3"/>
      <c r="AV484" s="3"/>
    </row>
    <row r="485" spans="1:62" ht="13.9" customHeight="1">
      <c r="A485" s="203" t="s">
        <v>88</v>
      </c>
      <c r="B485" s="203"/>
      <c r="C485" s="203"/>
      <c r="D485" s="203"/>
      <c r="E485" s="203"/>
      <c r="F485" s="203"/>
      <c r="G485" s="203"/>
      <c r="H485" s="203"/>
      <c r="I485" s="203"/>
      <c r="J485" s="203"/>
      <c r="K485" s="203"/>
      <c r="L485" s="203"/>
      <c r="M485" s="59"/>
      <c r="N485" s="59"/>
      <c r="O485" s="203" t="s">
        <v>89</v>
      </c>
      <c r="P485" s="203"/>
      <c r="Q485" s="203"/>
      <c r="R485" s="57"/>
      <c r="S485" s="204" t="s">
        <v>90</v>
      </c>
      <c r="T485" s="204"/>
      <c r="U485" s="58"/>
      <c r="V485" s="241" t="s">
        <v>157</v>
      </c>
      <c r="W485" s="241"/>
      <c r="X485" s="241"/>
      <c r="Y485" s="241"/>
      <c r="Z485" s="241"/>
      <c r="AA485" s="241"/>
      <c r="AB485" s="241"/>
      <c r="AC485" s="241"/>
      <c r="AD485" s="69"/>
      <c r="AE485" s="6"/>
      <c r="AF485" s="6"/>
      <c r="AG485" s="6"/>
      <c r="AH485" s="6"/>
      <c r="AI485" s="6"/>
      <c r="AJ485" s="6"/>
      <c r="AK485" s="6"/>
      <c r="AL485" s="6"/>
      <c r="AM485" s="6"/>
      <c r="AN485" s="3"/>
      <c r="AP485" s="3"/>
      <c r="AQ485" s="3"/>
      <c r="AR485" s="3"/>
      <c r="AS485" s="3"/>
    </row>
    <row r="486" spans="1:62" ht="13.9" customHeight="1">
      <c r="A486" s="217"/>
      <c r="B486" s="217"/>
      <c r="C486" s="217"/>
      <c r="D486" s="217"/>
      <c r="E486" s="217"/>
      <c r="F486" s="217"/>
      <c r="G486" s="217"/>
      <c r="H486" s="217"/>
      <c r="I486" s="217"/>
      <c r="J486" s="217"/>
      <c r="K486" s="217"/>
      <c r="L486" s="217"/>
      <c r="M486" s="59"/>
      <c r="N486" s="59"/>
      <c r="O486" s="205" t="s">
        <v>92</v>
      </c>
      <c r="P486" s="205"/>
      <c r="Q486" s="205"/>
      <c r="R486" s="58"/>
      <c r="S486" s="206" t="s">
        <v>93</v>
      </c>
      <c r="T486" s="206"/>
      <c r="U486" s="58"/>
      <c r="V486" s="219" t="s">
        <v>419</v>
      </c>
      <c r="W486" s="219"/>
      <c r="X486" s="219"/>
      <c r="Y486" s="219"/>
      <c r="Z486" s="219"/>
      <c r="AA486" s="219"/>
      <c r="AB486" s="219"/>
      <c r="AC486" s="219"/>
      <c r="AD486" s="67"/>
      <c r="AF486"/>
      <c r="AG486"/>
      <c r="AH486"/>
      <c r="AI486"/>
      <c r="AJ486"/>
      <c r="AK486"/>
      <c r="AL486"/>
      <c r="AM486"/>
      <c r="AN486"/>
      <c r="AO486"/>
    </row>
    <row r="487" spans="1:62" ht="13.9" customHeight="1" thickBot="1">
      <c r="A487" s="49"/>
      <c r="B487" s="49"/>
      <c r="C487" s="49"/>
      <c r="D487" s="49"/>
      <c r="E487" s="49"/>
      <c r="F487" s="49"/>
      <c r="G487" s="49"/>
      <c r="H487" s="49"/>
      <c r="I487" s="49"/>
      <c r="J487" s="49"/>
      <c r="K487" s="49"/>
      <c r="L487" s="49"/>
      <c r="M487" s="49"/>
      <c r="N487" s="49"/>
      <c r="O487" s="8"/>
      <c r="P487" s="50" t="s">
        <v>144</v>
      </c>
      <c r="Q487" s="8"/>
      <c r="R487" s="8"/>
      <c r="S487" s="8"/>
      <c r="T487" s="8"/>
      <c r="U487" s="8"/>
      <c r="V487" s="8"/>
      <c r="W487" s="8"/>
      <c r="X487" s="8"/>
      <c r="Y487" s="8"/>
      <c r="Z487" s="8"/>
      <c r="AA487" s="8"/>
      <c r="AB487" s="8"/>
      <c r="AC487" s="8"/>
      <c r="AD487" s="7"/>
      <c r="AE487" s="7"/>
      <c r="AF487"/>
      <c r="AG487"/>
      <c r="AH487"/>
      <c r="AI487"/>
      <c r="AJ487"/>
      <c r="AK487"/>
      <c r="AL487"/>
      <c r="AM487"/>
      <c r="AN487"/>
      <c r="AO487"/>
      <c r="AP487"/>
      <c r="AQ487"/>
      <c r="AR487" s="3"/>
      <c r="AS487" s="3"/>
    </row>
    <row r="488" spans="1:62" ht="9.9499999999999993" customHeight="1" thickTop="1">
      <c r="A488" s="174"/>
      <c r="B488" s="174"/>
      <c r="C488" s="174"/>
      <c r="D488" s="174"/>
      <c r="E488" s="174"/>
      <c r="F488" s="174"/>
      <c r="G488" s="174"/>
      <c r="H488" s="174"/>
      <c r="I488" s="174"/>
      <c r="J488" s="174"/>
      <c r="K488" s="174"/>
      <c r="L488" s="174"/>
      <c r="M488" s="174"/>
      <c r="N488" s="174"/>
      <c r="O488" s="3"/>
      <c r="P488" s="175"/>
      <c r="Q488" s="3"/>
      <c r="R488" s="3"/>
      <c r="S488" s="3"/>
      <c r="T488" s="3"/>
      <c r="U488" s="3"/>
      <c r="V488" s="3"/>
      <c r="W488" s="3"/>
      <c r="X488" s="3"/>
      <c r="Y488" s="3"/>
      <c r="Z488" s="3"/>
      <c r="AA488" s="3"/>
      <c r="AB488" s="3"/>
      <c r="AC488" s="3"/>
      <c r="AF488"/>
      <c r="AG488"/>
      <c r="AH488"/>
      <c r="AI488"/>
      <c r="AJ488"/>
      <c r="AK488"/>
      <c r="AL488"/>
      <c r="AM488"/>
      <c r="AN488"/>
      <c r="AO488"/>
      <c r="AP488"/>
      <c r="AQ488"/>
      <c r="AR488" s="3"/>
      <c r="AS488" s="3"/>
    </row>
    <row r="489" spans="1:62" ht="15" customHeight="1">
      <c r="A489" s="220" t="s">
        <v>446</v>
      </c>
      <c r="B489" s="220"/>
      <c r="C489" s="220"/>
      <c r="D489" s="220"/>
      <c r="E489" s="220"/>
      <c r="F489" s="220"/>
      <c r="G489" s="220"/>
      <c r="H489" s="220"/>
      <c r="I489" s="220"/>
      <c r="J489" s="220"/>
      <c r="K489" s="220"/>
      <c r="L489" s="220"/>
      <c r="M489" s="220"/>
      <c r="N489" s="220"/>
      <c r="O489" s="220"/>
      <c r="P489" s="220"/>
      <c r="Q489" s="220"/>
      <c r="R489" s="220"/>
      <c r="S489" s="220"/>
      <c r="T489" s="220"/>
      <c r="U489" s="220"/>
      <c r="V489" s="220"/>
      <c r="W489" s="220"/>
      <c r="X489" s="220"/>
      <c r="Y489" s="220"/>
      <c r="Z489" s="220"/>
      <c r="AA489" s="220"/>
      <c r="AB489" s="220"/>
      <c r="AC489" s="220"/>
      <c r="AD489" s="220"/>
      <c r="AE489" s="220"/>
      <c r="AG489"/>
      <c r="AH489"/>
      <c r="AI489"/>
      <c r="AJ489" s="3"/>
      <c r="AK489" s="3"/>
      <c r="AL489" s="3"/>
      <c r="AM489" s="3"/>
      <c r="AN489" s="3"/>
      <c r="AV489"/>
      <c r="AW489"/>
      <c r="AX489"/>
      <c r="AY489"/>
      <c r="AZ489"/>
      <c r="BA489"/>
      <c r="BB489"/>
      <c r="BC489"/>
      <c r="BD489"/>
      <c r="BE489"/>
      <c r="BF489"/>
      <c r="BG489"/>
      <c r="BH489"/>
      <c r="BI489"/>
    </row>
    <row r="490" spans="1:62" customFormat="1" ht="9.9499999999999993" customHeight="1"/>
    <row r="491" spans="1:62" ht="6" customHeight="1">
      <c r="A491" s="198">
        <v>46</v>
      </c>
      <c r="B491" s="51"/>
      <c r="C491" s="199" t="str">
        <f>INDEX(Riferimenti!$B$2:$B$60,A491)</f>
        <v>Glicolico</v>
      </c>
      <c r="D491" s="199"/>
      <c r="E491" s="199"/>
      <c r="F491" s="199"/>
      <c r="G491" s="199"/>
      <c r="H491" s="199"/>
      <c r="I491" s="199"/>
      <c r="J491" s="199"/>
      <c r="K491" s="199"/>
      <c r="L491" s="199"/>
      <c r="M491" s="199"/>
      <c r="N491" s="199"/>
      <c r="O491" s="195">
        <f>INDEX(Riferimenti!$C$2:$C$65,A491)</f>
        <v>0</v>
      </c>
      <c r="P491" s="200" t="s">
        <v>6</v>
      </c>
      <c r="Q491" s="196">
        <f>INDEX(Riferimenti!$E$2:$E$65,A491)</f>
        <v>69.7</v>
      </c>
      <c r="R491" s="201"/>
      <c r="S491" s="202"/>
      <c r="T491" s="202"/>
      <c r="V491" s="2"/>
      <c r="AG491"/>
      <c r="AH491"/>
      <c r="AI491"/>
      <c r="AV491"/>
      <c r="AW491"/>
      <c r="AX491"/>
      <c r="AY491"/>
      <c r="AZ491"/>
      <c r="BA491"/>
      <c r="BB491"/>
      <c r="BC491"/>
      <c r="BD491"/>
      <c r="BE491"/>
      <c r="BF491"/>
      <c r="BG491"/>
      <c r="BH491"/>
      <c r="BI491"/>
      <c r="BJ491" s="3"/>
    </row>
    <row r="492" spans="1:62" ht="5.45" customHeight="1">
      <c r="A492" s="198"/>
      <c r="B492" s="51"/>
      <c r="C492" s="199"/>
      <c r="D492" s="199"/>
      <c r="E492" s="199"/>
      <c r="F492" s="199"/>
      <c r="G492" s="199"/>
      <c r="H492" s="199"/>
      <c r="I492" s="199"/>
      <c r="J492" s="199"/>
      <c r="K492" s="199"/>
      <c r="L492" s="199"/>
      <c r="M492" s="199"/>
      <c r="N492" s="199"/>
      <c r="O492" s="195"/>
      <c r="P492" s="200"/>
      <c r="Q492" s="196"/>
      <c r="R492" s="201"/>
      <c r="S492" s="202"/>
      <c r="T492" s="202"/>
      <c r="U492"/>
      <c r="V492"/>
      <c r="W492"/>
      <c r="X492"/>
      <c r="Y492"/>
      <c r="Z492"/>
      <c r="AA492"/>
      <c r="AB492"/>
      <c r="AC492"/>
      <c r="AD492"/>
      <c r="AE492"/>
      <c r="AF492"/>
      <c r="AG492"/>
      <c r="AH492"/>
      <c r="AI492"/>
      <c r="AN492" s="3"/>
      <c r="AV492"/>
      <c r="AW492"/>
      <c r="AX492"/>
      <c r="AY492"/>
      <c r="AZ492"/>
      <c r="BA492"/>
      <c r="BB492"/>
      <c r="BC492"/>
      <c r="BD492"/>
      <c r="BE492"/>
      <c r="BF492"/>
      <c r="BG492"/>
      <c r="BH492"/>
      <c r="BI492"/>
      <c r="BJ492" s="3"/>
    </row>
    <row r="493" spans="1:62" ht="6" customHeight="1">
      <c r="A493" s="194"/>
      <c r="B493" s="194"/>
      <c r="C493" s="194"/>
      <c r="D493" s="194"/>
      <c r="E493" s="194"/>
      <c r="F493" s="194"/>
      <c r="G493" s="194"/>
      <c r="H493" s="194"/>
      <c r="I493" s="194"/>
      <c r="J493" s="194"/>
      <c r="K493" s="194"/>
      <c r="L493" s="194"/>
      <c r="M493" s="194"/>
      <c r="N493" s="52"/>
      <c r="O493" s="73"/>
      <c r="P493" s="36"/>
      <c r="Q493" s="72"/>
      <c r="R493" s="75"/>
      <c r="S493" s="166"/>
      <c r="T493" s="167"/>
      <c r="U493" s="24"/>
      <c r="V493" s="40"/>
      <c r="W493" s="40"/>
      <c r="X493" s="40"/>
      <c r="Y493" s="40"/>
      <c r="Z493" s="40"/>
      <c r="AA493" s="40"/>
      <c r="AB493" s="40"/>
      <c r="AC493" s="40"/>
      <c r="AD493" s="40"/>
      <c r="AE493" s="40"/>
      <c r="AF493" s="40"/>
      <c r="AG493"/>
      <c r="AH493"/>
      <c r="AI493"/>
      <c r="AJ493"/>
      <c r="AK493"/>
      <c r="AL493"/>
      <c r="AM493"/>
      <c r="AN493" s="40"/>
      <c r="AO493"/>
      <c r="AP493"/>
      <c r="AQ493"/>
      <c r="AR493"/>
      <c r="AS493"/>
      <c r="AT493"/>
      <c r="AU493"/>
      <c r="AV493"/>
      <c r="AW493"/>
      <c r="AX493"/>
      <c r="AY493"/>
      <c r="AZ493"/>
      <c r="BA493"/>
      <c r="BB493"/>
      <c r="BC493"/>
      <c r="BD493"/>
      <c r="BE493"/>
      <c r="BF493"/>
      <c r="BG493"/>
      <c r="BH493"/>
      <c r="BI493"/>
      <c r="BJ493" s="3"/>
    </row>
    <row r="494" spans="1:62" ht="6" customHeight="1">
      <c r="A494" s="194"/>
      <c r="B494" s="194"/>
      <c r="C494" s="194"/>
      <c r="D494" s="194"/>
      <c r="E494" s="194"/>
      <c r="F494" s="194"/>
      <c r="G494" s="194"/>
      <c r="H494" s="194"/>
      <c r="I494" s="194"/>
      <c r="J494" s="194"/>
      <c r="K494" s="194"/>
      <c r="L494" s="194"/>
      <c r="M494" s="194"/>
      <c r="N494" s="52"/>
      <c r="O494" s="73"/>
      <c r="P494" s="36"/>
      <c r="Q494" s="72"/>
      <c r="R494" s="75"/>
      <c r="S494" s="166"/>
      <c r="T494" s="168"/>
      <c r="V494" s="2"/>
      <c r="AG494"/>
      <c r="AH494"/>
      <c r="AI494"/>
      <c r="AJ494"/>
      <c r="AL494"/>
      <c r="AM494"/>
      <c r="AN494" s="3"/>
      <c r="AO494"/>
      <c r="AP494"/>
      <c r="AQ494"/>
      <c r="AR494"/>
      <c r="AS494"/>
      <c r="AT494"/>
      <c r="AU494"/>
      <c r="AV494"/>
      <c r="AW494"/>
      <c r="AX494"/>
      <c r="AY494"/>
      <c r="AZ494"/>
      <c r="BA494"/>
      <c r="BB494"/>
      <c r="BC494"/>
      <c r="BD494"/>
      <c r="BE494"/>
      <c r="BF494"/>
      <c r="BG494"/>
      <c r="BH494"/>
      <c r="BI494"/>
      <c r="BJ494" s="3"/>
    </row>
    <row r="495" spans="1:62" ht="10.9" customHeight="1">
      <c r="A495" s="53"/>
      <c r="B495" s="53"/>
      <c r="C495" s="53"/>
      <c r="D495" s="54"/>
      <c r="E495" s="54"/>
      <c r="F495" s="54"/>
      <c r="G495" s="53"/>
      <c r="H495" s="53"/>
      <c r="I495" s="54"/>
      <c r="J495" s="54"/>
      <c r="K495" s="54"/>
      <c r="L495" s="54"/>
      <c r="M495" s="54"/>
      <c r="N495" s="54"/>
      <c r="O495" s="37"/>
      <c r="P495" s="38"/>
      <c r="Q495" s="44"/>
      <c r="R495" s="3"/>
      <c r="S495" s="158"/>
      <c r="T495" s="158"/>
      <c r="U495" s="197"/>
      <c r="V495" s="197"/>
      <c r="W495" s="3"/>
      <c r="X495" s="3"/>
      <c r="Y495" s="3"/>
      <c r="Z495" s="3"/>
      <c r="AA495" s="3"/>
      <c r="AB495" s="3"/>
      <c r="AC495" s="197"/>
      <c r="AD495" s="197"/>
      <c r="AE495" s="3"/>
      <c r="AF495" s="3"/>
      <c r="AG495"/>
      <c r="AH495"/>
      <c r="AI495"/>
      <c r="AJ495"/>
      <c r="AL495" s="3"/>
      <c r="AM495" s="3"/>
      <c r="AN495" s="3"/>
      <c r="AO495"/>
      <c r="AP495"/>
      <c r="AQ495"/>
      <c r="AR495"/>
      <c r="AS495"/>
      <c r="AT495"/>
      <c r="AU495"/>
      <c r="AV495"/>
      <c r="AW495"/>
      <c r="AX495"/>
      <c r="AY495"/>
      <c r="AZ495"/>
      <c r="BA495"/>
      <c r="BB495"/>
      <c r="BC495"/>
      <c r="BD495"/>
      <c r="BE495"/>
      <c r="BF495"/>
      <c r="BG495"/>
      <c r="BH495"/>
      <c r="BI495"/>
      <c r="BJ495" s="3"/>
    </row>
    <row r="496" spans="1:62" ht="6" customHeight="1">
      <c r="A496" s="198">
        <v>47</v>
      </c>
      <c r="B496" s="51"/>
      <c r="C496" s="199" t="str">
        <f>INDEX(Riferimenti!$B$2:$B$60,A496)</f>
        <v>Glicerico</v>
      </c>
      <c r="D496" s="199"/>
      <c r="E496" s="199"/>
      <c r="F496" s="199"/>
      <c r="G496" s="199"/>
      <c r="H496" s="199"/>
      <c r="I496" s="199"/>
      <c r="J496" s="199"/>
      <c r="K496" s="199"/>
      <c r="L496" s="199"/>
      <c r="M496" s="199"/>
      <c r="N496" s="199"/>
      <c r="O496" s="195">
        <f>INDEX(Riferimenti!$C$2:$C$65,A496)</f>
        <v>0</v>
      </c>
      <c r="P496" s="200" t="s">
        <v>6</v>
      </c>
      <c r="Q496" s="196">
        <f>INDEX(Riferimenti!$E$2:$E$65,A496)</f>
        <v>3.9</v>
      </c>
      <c r="R496" s="201"/>
      <c r="S496" s="202"/>
      <c r="T496" s="202"/>
      <c r="V496" s="2"/>
      <c r="AG496" s="195">
        <f>INDEX(Riferimenti!$Q$2:$Q$61,A496)</f>
        <v>0.50093342196965707</v>
      </c>
      <c r="AH496" s="195">
        <f>INDEX(Riferimenti!$R$2:$R$61,A496)</f>
        <v>2.1731406521044141</v>
      </c>
      <c r="AI496"/>
      <c r="AJ496"/>
      <c r="AK496" s="222"/>
      <c r="AL496" s="222"/>
      <c r="AM496" s="222"/>
      <c r="AO496"/>
      <c r="AP496"/>
      <c r="AQ496"/>
      <c r="AR496"/>
      <c r="AS496"/>
      <c r="AT496"/>
      <c r="AU496"/>
      <c r="AV496"/>
      <c r="AW496"/>
      <c r="AX496"/>
      <c r="AY496"/>
      <c r="AZ496"/>
      <c r="BA496"/>
      <c r="BB496"/>
      <c r="BC496"/>
      <c r="BD496"/>
      <c r="BE496"/>
      <c r="BF496"/>
      <c r="BG496"/>
      <c r="BH496"/>
      <c r="BI496"/>
      <c r="BJ496" s="3"/>
    </row>
    <row r="497" spans="1:62" ht="5.45" customHeight="1">
      <c r="A497" s="198"/>
      <c r="B497" s="51"/>
      <c r="C497" s="199"/>
      <c r="D497" s="199"/>
      <c r="E497" s="199"/>
      <c r="F497" s="199"/>
      <c r="G497" s="199"/>
      <c r="H497" s="199"/>
      <c r="I497" s="199"/>
      <c r="J497" s="199"/>
      <c r="K497" s="199"/>
      <c r="L497" s="199"/>
      <c r="M497" s="199"/>
      <c r="N497" s="199"/>
      <c r="O497" s="195"/>
      <c r="P497" s="200"/>
      <c r="Q497" s="196"/>
      <c r="R497" s="201"/>
      <c r="S497" s="202"/>
      <c r="T497" s="202"/>
      <c r="U497"/>
      <c r="V497"/>
      <c r="W497"/>
      <c r="X497"/>
      <c r="Y497"/>
      <c r="Z497"/>
      <c r="AA497"/>
      <c r="AB497"/>
      <c r="AC497"/>
      <c r="AD497"/>
      <c r="AE497"/>
      <c r="AF497"/>
      <c r="AG497" s="195"/>
      <c r="AH497" s="195"/>
      <c r="AI497"/>
      <c r="AJ497"/>
      <c r="AK497" s="222"/>
      <c r="AL497" s="222"/>
      <c r="AM497" s="222"/>
      <c r="AN497" s="3"/>
      <c r="AO497"/>
      <c r="AP497"/>
      <c r="AQ497"/>
      <c r="AR497"/>
      <c r="AS497"/>
      <c r="AT497"/>
      <c r="AU497"/>
      <c r="AV497"/>
      <c r="AW497"/>
      <c r="AX497"/>
      <c r="AY497"/>
      <c r="AZ497"/>
      <c r="BA497"/>
      <c r="BB497"/>
      <c r="BC497"/>
      <c r="BD497"/>
      <c r="BE497"/>
      <c r="BF497"/>
      <c r="BG497"/>
      <c r="BH497"/>
      <c r="BI497"/>
      <c r="BJ497" s="3"/>
    </row>
    <row r="498" spans="1:62" ht="6" customHeight="1">
      <c r="A498" s="194"/>
      <c r="B498" s="194"/>
      <c r="C498" s="194"/>
      <c r="D498" s="194"/>
      <c r="E498" s="194"/>
      <c r="F498" s="194"/>
      <c r="G498" s="194"/>
      <c r="H498" s="194"/>
      <c r="I498" s="194"/>
      <c r="J498" s="194"/>
      <c r="K498" s="194"/>
      <c r="L498" s="194"/>
      <c r="M498" s="194"/>
      <c r="N498" s="52"/>
      <c r="O498" s="73"/>
      <c r="P498" s="36"/>
      <c r="Q498" s="72"/>
      <c r="R498" s="75"/>
      <c r="S498" s="166"/>
      <c r="T498" s="167"/>
      <c r="U498" s="24"/>
      <c r="V498" s="40"/>
      <c r="W498" s="40"/>
      <c r="X498" s="40"/>
      <c r="Y498" s="40"/>
      <c r="Z498" s="40"/>
      <c r="AA498" s="40"/>
      <c r="AB498" s="40"/>
      <c r="AC498" s="40"/>
      <c r="AD498" s="40"/>
      <c r="AE498" s="40"/>
      <c r="AF498" s="40"/>
      <c r="AG498"/>
      <c r="AH498"/>
      <c r="AI498"/>
      <c r="AJ498"/>
      <c r="AK498" s="3"/>
      <c r="AL498" s="3"/>
      <c r="AM498" s="3"/>
      <c r="AN498" s="40"/>
      <c r="AO498"/>
      <c r="AP498"/>
      <c r="AQ498"/>
      <c r="AR498"/>
      <c r="AS498"/>
      <c r="AT498"/>
      <c r="AU498"/>
      <c r="AV498"/>
      <c r="AW498"/>
      <c r="AX498"/>
      <c r="AY498"/>
      <c r="AZ498"/>
      <c r="BA498"/>
      <c r="BB498"/>
      <c r="BC498"/>
      <c r="BD498"/>
      <c r="BE498"/>
      <c r="BF498"/>
      <c r="BG498"/>
      <c r="BH498"/>
      <c r="BI498"/>
      <c r="BJ498" s="3"/>
    </row>
    <row r="499" spans="1:62" ht="6" customHeight="1">
      <c r="A499" s="194"/>
      <c r="B499" s="194"/>
      <c r="C499" s="194"/>
      <c r="D499" s="194"/>
      <c r="E499" s="194"/>
      <c r="F499" s="194"/>
      <c r="G499" s="194"/>
      <c r="H499" s="194"/>
      <c r="I499" s="194"/>
      <c r="J499" s="194"/>
      <c r="K499" s="194"/>
      <c r="L499" s="194"/>
      <c r="M499" s="194"/>
      <c r="N499" s="52"/>
      <c r="O499" s="73"/>
      <c r="P499" s="36"/>
      <c r="Q499" s="72"/>
      <c r="R499" s="75"/>
      <c r="S499" s="166"/>
      <c r="T499" s="168"/>
      <c r="V499" s="2"/>
      <c r="AG499"/>
      <c r="AH499"/>
      <c r="AI499"/>
      <c r="AJ499"/>
      <c r="AK499" s="3"/>
      <c r="AL499" s="3"/>
      <c r="AM499" s="3"/>
      <c r="AN499" s="3"/>
      <c r="AO499"/>
      <c r="AP499"/>
      <c r="AQ499"/>
      <c r="AR499"/>
      <c r="AS499"/>
      <c r="AT499"/>
      <c r="AU499"/>
      <c r="AV499"/>
      <c r="AW499"/>
      <c r="AX499"/>
      <c r="AY499"/>
      <c r="AZ499"/>
      <c r="BA499"/>
      <c r="BB499"/>
      <c r="BC499"/>
      <c r="BD499"/>
      <c r="BE499"/>
      <c r="BF499"/>
      <c r="BG499"/>
      <c r="BH499"/>
      <c r="BI499"/>
      <c r="BJ499" s="3"/>
    </row>
    <row r="500" spans="1:62" ht="10.9" customHeight="1">
      <c r="A500" s="53"/>
      <c r="B500" s="53"/>
      <c r="C500" s="53"/>
      <c r="D500" s="54"/>
      <c r="E500" s="54"/>
      <c r="F500" s="54"/>
      <c r="G500" s="53"/>
      <c r="H500" s="53"/>
      <c r="I500" s="54"/>
      <c r="J500" s="54"/>
      <c r="K500" s="54"/>
      <c r="L500" s="54"/>
      <c r="M500" s="54"/>
      <c r="N500" s="54"/>
      <c r="P500" s="3"/>
      <c r="Q500" s="44"/>
      <c r="R500" s="3"/>
      <c r="S500" s="158"/>
      <c r="T500" s="158"/>
      <c r="U500" s="197"/>
      <c r="V500" s="197"/>
      <c r="W500" s="3"/>
      <c r="X500" s="3"/>
      <c r="Y500" s="3"/>
      <c r="Z500" s="3"/>
      <c r="AA500" s="3"/>
      <c r="AB500" s="3"/>
      <c r="AC500" s="197"/>
      <c r="AD500" s="197"/>
      <c r="AE500" s="3"/>
      <c r="AF500" s="3"/>
      <c r="AG500"/>
      <c r="AH500"/>
      <c r="AI500"/>
      <c r="AJ500"/>
      <c r="AK500" s="3"/>
      <c r="AL500" s="3"/>
      <c r="AM500" s="3"/>
      <c r="AN500" s="3"/>
      <c r="AO500"/>
      <c r="AP500"/>
      <c r="AQ500"/>
      <c r="AR500"/>
      <c r="AS500"/>
      <c r="AT500"/>
      <c r="AU500"/>
      <c r="AV500"/>
      <c r="AW500"/>
      <c r="AX500"/>
      <c r="AY500"/>
      <c r="AZ500"/>
      <c r="BA500"/>
      <c r="BB500"/>
      <c r="BC500"/>
      <c r="BD500"/>
      <c r="BE500"/>
      <c r="BF500"/>
      <c r="BG500"/>
      <c r="BH500"/>
      <c r="BI500"/>
      <c r="BJ500" s="3"/>
    </row>
    <row r="501" spans="1:62" ht="6" customHeight="1">
      <c r="A501" s="198">
        <v>48</v>
      </c>
      <c r="B501" s="51"/>
      <c r="C501" s="199" t="str">
        <f>INDEX(Riferimenti!$B$2:$B$60,A501)</f>
        <v>Ossalico</v>
      </c>
      <c r="D501" s="199"/>
      <c r="E501" s="199"/>
      <c r="F501" s="199"/>
      <c r="G501" s="199"/>
      <c r="H501" s="199"/>
      <c r="I501" s="199"/>
      <c r="J501" s="199"/>
      <c r="K501" s="199"/>
      <c r="L501" s="199"/>
      <c r="M501" s="199"/>
      <c r="N501" s="199"/>
      <c r="O501" s="195">
        <f>INDEX(Riferimenti!$C$2:$C$65,A501)</f>
        <v>0</v>
      </c>
      <c r="P501" s="200" t="s">
        <v>6</v>
      </c>
      <c r="Q501" s="196">
        <f>INDEX(Riferimenti!$E$2:$E$65,A501)</f>
        <v>35.1</v>
      </c>
      <c r="R501" s="201"/>
      <c r="S501" s="202"/>
      <c r="T501" s="202"/>
      <c r="V501" s="2"/>
      <c r="AG501" s="195">
        <f>INDEX(Riferimenti!$Q$2:$Q$61,A501)</f>
        <v>23.1</v>
      </c>
      <c r="AH501" s="195">
        <f>INDEX(Riferimenti!$R$2:$R$61,A501)</f>
        <v>34</v>
      </c>
      <c r="AI501"/>
      <c r="AJ501"/>
      <c r="AK501" s="222"/>
      <c r="AL501" s="222"/>
      <c r="AM501" s="222"/>
      <c r="AO501"/>
      <c r="AP501"/>
      <c r="AQ501"/>
      <c r="AR501"/>
      <c r="AS501"/>
      <c r="AT501"/>
      <c r="AU501"/>
      <c r="AV501"/>
      <c r="AW501"/>
      <c r="AX501"/>
      <c r="AY501"/>
      <c r="AZ501"/>
      <c r="BA501"/>
      <c r="BB501"/>
      <c r="BC501"/>
      <c r="BD501"/>
      <c r="BE501"/>
      <c r="BF501"/>
      <c r="BG501"/>
      <c r="BH501"/>
      <c r="BI501"/>
      <c r="BJ501" s="3"/>
    </row>
    <row r="502" spans="1:62" ht="5.45" customHeight="1">
      <c r="A502" s="198"/>
      <c r="B502" s="51"/>
      <c r="C502" s="199"/>
      <c r="D502" s="199"/>
      <c r="E502" s="199"/>
      <c r="F502" s="199"/>
      <c r="G502" s="199"/>
      <c r="H502" s="199"/>
      <c r="I502" s="199"/>
      <c r="J502" s="199"/>
      <c r="K502" s="199"/>
      <c r="L502" s="199"/>
      <c r="M502" s="199"/>
      <c r="N502" s="199"/>
      <c r="O502" s="195"/>
      <c r="P502" s="200"/>
      <c r="Q502" s="196"/>
      <c r="R502" s="201"/>
      <c r="S502" s="202"/>
      <c r="T502" s="202"/>
      <c r="U502"/>
      <c r="V502"/>
      <c r="W502"/>
      <c r="X502"/>
      <c r="Y502"/>
      <c r="Z502"/>
      <c r="AA502"/>
      <c r="AB502"/>
      <c r="AC502"/>
      <c r="AD502"/>
      <c r="AE502"/>
      <c r="AF502"/>
      <c r="AG502" s="195"/>
      <c r="AH502" s="195"/>
      <c r="AI502"/>
      <c r="AJ502"/>
      <c r="AK502" s="222"/>
      <c r="AL502" s="222"/>
      <c r="AM502" s="222"/>
      <c r="AN502" s="3"/>
      <c r="AO502"/>
      <c r="AP502"/>
      <c r="AQ502"/>
      <c r="AR502"/>
      <c r="AS502"/>
      <c r="AT502"/>
      <c r="AU502"/>
      <c r="AV502"/>
      <c r="AW502"/>
      <c r="AX502"/>
      <c r="AY502"/>
      <c r="AZ502"/>
      <c r="BA502"/>
      <c r="BB502"/>
      <c r="BC502"/>
      <c r="BD502"/>
      <c r="BE502"/>
      <c r="BF502"/>
      <c r="BG502"/>
      <c r="BH502"/>
      <c r="BI502"/>
      <c r="BJ502" s="3"/>
    </row>
    <row r="503" spans="1:62" ht="6" customHeight="1">
      <c r="A503" s="194"/>
      <c r="B503" s="194"/>
      <c r="C503" s="194"/>
      <c r="D503" s="194"/>
      <c r="E503" s="194"/>
      <c r="F503" s="194"/>
      <c r="G503" s="194"/>
      <c r="H503" s="194"/>
      <c r="I503" s="194"/>
      <c r="J503" s="194"/>
      <c r="K503" s="194"/>
      <c r="L503" s="194"/>
      <c r="M503" s="194"/>
      <c r="N503" s="52"/>
      <c r="O503" s="73"/>
      <c r="P503" s="36"/>
      <c r="Q503" s="72"/>
      <c r="R503" s="75"/>
      <c r="S503" s="166"/>
      <c r="T503" s="167"/>
      <c r="U503" s="24"/>
      <c r="V503" s="40"/>
      <c r="W503" s="40"/>
      <c r="X503" s="40"/>
      <c r="Y503" s="40"/>
      <c r="Z503" s="40"/>
      <c r="AA503" s="40"/>
      <c r="AB503" s="40"/>
      <c r="AC503" s="40"/>
      <c r="AD503" s="40"/>
      <c r="AE503" s="40"/>
      <c r="AF503" s="40"/>
      <c r="AG503"/>
      <c r="AH503"/>
      <c r="AI503"/>
      <c r="AJ503"/>
      <c r="AN503" s="40"/>
      <c r="AO503"/>
      <c r="AP503"/>
      <c r="AQ503"/>
      <c r="AR503"/>
      <c r="AS503"/>
      <c r="AT503"/>
      <c r="AU503"/>
      <c r="AV503"/>
      <c r="AW503"/>
      <c r="AX503"/>
      <c r="AY503"/>
      <c r="AZ503"/>
      <c r="BA503"/>
      <c r="BB503"/>
      <c r="BC503"/>
      <c r="BD503"/>
      <c r="BE503"/>
      <c r="BF503"/>
      <c r="BG503"/>
      <c r="BH503"/>
      <c r="BI503"/>
      <c r="BJ503" s="3"/>
    </row>
    <row r="504" spans="1:62" ht="6" customHeight="1">
      <c r="A504" s="194"/>
      <c r="B504" s="194"/>
      <c r="C504" s="194"/>
      <c r="D504" s="194"/>
      <c r="E504" s="194"/>
      <c r="F504" s="194"/>
      <c r="G504" s="194"/>
      <c r="H504" s="194"/>
      <c r="I504" s="194"/>
      <c r="J504" s="194"/>
      <c r="K504" s="194"/>
      <c r="L504" s="194"/>
      <c r="M504" s="194"/>
      <c r="N504" s="52"/>
      <c r="O504" s="73"/>
      <c r="P504" s="36"/>
      <c r="Q504" s="72"/>
      <c r="R504" s="75"/>
      <c r="S504" s="166"/>
      <c r="T504" s="168"/>
      <c r="V504" s="2"/>
      <c r="AG504"/>
      <c r="AH504"/>
      <c r="AI504"/>
      <c r="AJ504"/>
      <c r="AN504" s="3"/>
      <c r="AO504"/>
      <c r="AP504"/>
      <c r="AQ504"/>
      <c r="AR504"/>
      <c r="AS504"/>
      <c r="AT504"/>
      <c r="AU504"/>
      <c r="AV504"/>
      <c r="AW504"/>
      <c r="AX504"/>
      <c r="AY504"/>
      <c r="AZ504"/>
      <c r="BA504"/>
      <c r="BB504"/>
      <c r="BC504"/>
      <c r="BD504"/>
      <c r="BE504"/>
      <c r="BF504"/>
      <c r="BG504"/>
      <c r="BH504"/>
      <c r="BI504"/>
      <c r="BJ504" s="3"/>
    </row>
    <row r="505" spans="1:62" ht="6" customHeight="1">
      <c r="A505" s="173"/>
      <c r="B505" s="173"/>
      <c r="C505" s="173"/>
      <c r="D505" s="173"/>
      <c r="E505" s="173"/>
      <c r="F505" s="173"/>
      <c r="G505" s="173"/>
      <c r="H505" s="173"/>
      <c r="I505" s="173"/>
      <c r="J505" s="173"/>
      <c r="K505" s="173"/>
      <c r="L505" s="173"/>
      <c r="M505" s="173"/>
      <c r="N505" s="52"/>
      <c r="O505" s="73"/>
      <c r="P505" s="36"/>
      <c r="Q505" s="72"/>
      <c r="R505" s="75"/>
      <c r="S505" s="166"/>
      <c r="T505" s="168"/>
      <c r="V505" s="2"/>
      <c r="AG505"/>
      <c r="AH505"/>
      <c r="AI505"/>
      <c r="AJ505"/>
      <c r="AN505" s="3"/>
      <c r="AO505"/>
      <c r="AP505"/>
      <c r="AQ505"/>
      <c r="AR505"/>
      <c r="AS505"/>
      <c r="AT505"/>
      <c r="AU505"/>
      <c r="AV505"/>
      <c r="AW505"/>
      <c r="AX505"/>
      <c r="AY505"/>
      <c r="AZ505"/>
      <c r="BA505"/>
      <c r="BB505"/>
      <c r="BC505"/>
      <c r="BD505"/>
      <c r="BE505"/>
      <c r="BF505"/>
      <c r="BG505"/>
      <c r="BH505"/>
      <c r="BI505"/>
      <c r="BJ505" s="3"/>
    </row>
    <row r="506" spans="1:62" ht="6" customHeight="1">
      <c r="A506" s="173"/>
      <c r="B506" s="173"/>
      <c r="C506" s="173"/>
      <c r="D506" s="173"/>
      <c r="E506" s="173"/>
      <c r="F506" s="173"/>
      <c r="G506" s="173"/>
      <c r="H506" s="173"/>
      <c r="I506" s="173"/>
      <c r="J506" s="173"/>
      <c r="K506" s="173"/>
      <c r="L506" s="173"/>
      <c r="M506" s="173"/>
      <c r="N506" s="52"/>
      <c r="O506" s="73"/>
      <c r="P506" s="36"/>
      <c r="Q506" s="72"/>
      <c r="R506" s="75"/>
      <c r="S506" s="166"/>
      <c r="T506" s="168"/>
      <c r="V506" s="2"/>
      <c r="AG506"/>
      <c r="AH506"/>
      <c r="AI506"/>
      <c r="AJ506"/>
      <c r="AN506" s="3"/>
      <c r="AO506"/>
      <c r="AP506"/>
      <c r="AQ506"/>
      <c r="AR506"/>
      <c r="AS506"/>
      <c r="AT506"/>
      <c r="AU506"/>
      <c r="AV506"/>
      <c r="AW506"/>
      <c r="AX506"/>
      <c r="AY506"/>
      <c r="AZ506"/>
      <c r="BA506"/>
      <c r="BB506"/>
      <c r="BC506"/>
      <c r="BD506"/>
      <c r="BE506"/>
      <c r="BF506"/>
      <c r="BG506"/>
      <c r="BH506"/>
      <c r="BI506"/>
      <c r="BJ506" s="3"/>
    </row>
    <row r="507" spans="1:62" ht="15" customHeight="1">
      <c r="A507" s="220" t="s">
        <v>168</v>
      </c>
      <c r="B507" s="220"/>
      <c r="C507" s="220"/>
      <c r="D507" s="220"/>
      <c r="E507" s="220"/>
      <c r="F507" s="220"/>
      <c r="G507" s="220"/>
      <c r="H507" s="220"/>
      <c r="I507" s="220"/>
      <c r="J507" s="220"/>
      <c r="K507" s="220"/>
      <c r="L507" s="220"/>
      <c r="M507" s="220"/>
      <c r="N507" s="220"/>
      <c r="O507" s="220"/>
      <c r="P507" s="220"/>
      <c r="Q507" s="220"/>
      <c r="R507" s="220"/>
      <c r="S507" s="220"/>
      <c r="T507" s="220"/>
      <c r="U507" s="220"/>
      <c r="V507" s="220"/>
      <c r="W507" s="220"/>
      <c r="X507" s="220"/>
      <c r="Y507" s="220"/>
      <c r="Z507" s="220"/>
      <c r="AA507" s="220"/>
      <c r="AB507" s="220"/>
      <c r="AC507" s="220"/>
      <c r="AD507" s="220"/>
      <c r="AE507" s="220"/>
      <c r="AG507"/>
      <c r="AH507"/>
      <c r="AI507"/>
      <c r="AJ507" s="3"/>
      <c r="AK507" s="3"/>
      <c r="AL507" s="3"/>
      <c r="AM507" s="3"/>
      <c r="AN507" s="3"/>
      <c r="AV507"/>
      <c r="AW507"/>
      <c r="AX507"/>
      <c r="AY507"/>
      <c r="AZ507"/>
      <c r="BA507"/>
      <c r="BB507"/>
      <c r="BC507"/>
      <c r="BD507"/>
      <c r="BE507"/>
      <c r="BF507"/>
      <c r="BG507"/>
      <c r="BH507"/>
      <c r="BI507"/>
    </row>
    <row r="508" spans="1:62" customFormat="1" ht="9.9499999999999993" customHeight="1"/>
    <row r="509" spans="1:62" ht="6" customHeight="1">
      <c r="A509" s="198">
        <v>49</v>
      </c>
      <c r="B509" s="51"/>
      <c r="C509" s="199" t="str">
        <f>INDEX(Riferimenti!$B$2:$B$60,A509)</f>
        <v>Pantotenico (B5)</v>
      </c>
      <c r="D509" s="199"/>
      <c r="E509" s="199"/>
      <c r="F509" s="199"/>
      <c r="G509" s="199"/>
      <c r="H509" s="199"/>
      <c r="I509" s="199"/>
      <c r="J509" s="199"/>
      <c r="K509" s="199"/>
      <c r="L509" s="199"/>
      <c r="M509" s="199"/>
      <c r="N509" s="199"/>
      <c r="O509" s="195">
        <f>INDEX(Riferimenti!$C$2:$C$65,A509)</f>
        <v>0</v>
      </c>
      <c r="P509" s="200" t="s">
        <v>6</v>
      </c>
      <c r="Q509" s="196">
        <f>INDEX(Riferimenti!$E$2:$E$65,A509)</f>
        <v>3.4</v>
      </c>
      <c r="R509" s="201"/>
      <c r="S509" s="202"/>
      <c r="T509" s="202"/>
      <c r="V509" s="2"/>
      <c r="AG509"/>
      <c r="AH509"/>
      <c r="AI509"/>
      <c r="AV509"/>
      <c r="AW509"/>
      <c r="AX509"/>
      <c r="AY509"/>
      <c r="AZ509"/>
      <c r="BA509"/>
      <c r="BB509"/>
      <c r="BC509"/>
      <c r="BD509"/>
      <c r="BE509"/>
      <c r="BF509"/>
      <c r="BG509"/>
      <c r="BH509"/>
      <c r="BI509"/>
      <c r="BJ509" s="3"/>
    </row>
    <row r="510" spans="1:62" ht="5.45" customHeight="1">
      <c r="A510" s="198"/>
      <c r="B510" s="51"/>
      <c r="C510" s="199"/>
      <c r="D510" s="199"/>
      <c r="E510" s="199"/>
      <c r="F510" s="199"/>
      <c r="G510" s="199"/>
      <c r="H510" s="199"/>
      <c r="I510" s="199"/>
      <c r="J510" s="199"/>
      <c r="K510" s="199"/>
      <c r="L510" s="199"/>
      <c r="M510" s="199"/>
      <c r="N510" s="199"/>
      <c r="O510" s="195"/>
      <c r="P510" s="200"/>
      <c r="Q510" s="196"/>
      <c r="R510" s="201"/>
      <c r="S510" s="202"/>
      <c r="T510" s="202"/>
      <c r="U510"/>
      <c r="V510"/>
      <c r="W510"/>
      <c r="X510"/>
      <c r="Y510"/>
      <c r="Z510"/>
      <c r="AA510"/>
      <c r="AB510"/>
      <c r="AC510"/>
      <c r="AD510"/>
      <c r="AE510"/>
      <c r="AF510"/>
      <c r="AG510"/>
      <c r="AH510"/>
      <c r="AI510"/>
      <c r="AN510" s="3"/>
      <c r="AV510"/>
      <c r="AW510"/>
      <c r="AX510"/>
      <c r="AY510"/>
      <c r="AZ510"/>
      <c r="BA510"/>
      <c r="BB510"/>
      <c r="BC510"/>
      <c r="BD510"/>
      <c r="BE510"/>
      <c r="BF510"/>
      <c r="BG510"/>
      <c r="BH510"/>
      <c r="BI510"/>
      <c r="BJ510" s="3"/>
    </row>
    <row r="511" spans="1:62" ht="6" customHeight="1">
      <c r="A511" s="194"/>
      <c r="B511" s="194"/>
      <c r="C511" s="194"/>
      <c r="D511" s="194"/>
      <c r="E511" s="194"/>
      <c r="F511" s="194"/>
      <c r="G511" s="194"/>
      <c r="H511" s="194"/>
      <c r="I511" s="194"/>
      <c r="J511" s="194"/>
      <c r="K511" s="194"/>
      <c r="L511" s="194"/>
      <c r="M511" s="194"/>
      <c r="N511" s="52"/>
      <c r="O511" s="73"/>
      <c r="P511" s="36"/>
      <c r="Q511" s="72"/>
      <c r="R511" s="75"/>
      <c r="S511" s="166"/>
      <c r="T511" s="167"/>
      <c r="U511" s="24"/>
      <c r="V511" s="40"/>
      <c r="W511" s="40"/>
      <c r="X511" s="40"/>
      <c r="Y511" s="40"/>
      <c r="Z511" s="40"/>
      <c r="AA511" s="40"/>
      <c r="AB511" s="40"/>
      <c r="AC511" s="40"/>
      <c r="AD511" s="40"/>
      <c r="AE511" s="40"/>
      <c r="AF511" s="40"/>
      <c r="AG511"/>
      <c r="AH511"/>
      <c r="AI511"/>
      <c r="AJ511"/>
      <c r="AK511"/>
      <c r="AL511"/>
      <c r="AM511"/>
      <c r="AN511" s="40"/>
      <c r="AO511"/>
      <c r="AP511"/>
      <c r="AQ511"/>
      <c r="AR511"/>
      <c r="AS511"/>
      <c r="AT511"/>
      <c r="AU511"/>
      <c r="AV511"/>
      <c r="AW511"/>
      <c r="AX511"/>
      <c r="AY511"/>
      <c r="AZ511"/>
      <c r="BA511"/>
      <c r="BB511"/>
      <c r="BC511"/>
      <c r="BD511"/>
      <c r="BE511"/>
      <c r="BF511"/>
      <c r="BG511"/>
      <c r="BH511"/>
      <c r="BI511"/>
      <c r="BJ511" s="3"/>
    </row>
    <row r="512" spans="1:62" ht="6" customHeight="1">
      <c r="A512" s="194"/>
      <c r="B512" s="194"/>
      <c r="C512" s="194"/>
      <c r="D512" s="194"/>
      <c r="E512" s="194"/>
      <c r="F512" s="194"/>
      <c r="G512" s="194"/>
      <c r="H512" s="194"/>
      <c r="I512" s="194"/>
      <c r="J512" s="194"/>
      <c r="K512" s="194"/>
      <c r="L512" s="194"/>
      <c r="M512" s="194"/>
      <c r="N512" s="52"/>
      <c r="O512" s="73"/>
      <c r="P512" s="36"/>
      <c r="Q512" s="72"/>
      <c r="R512" s="75"/>
      <c r="S512" s="166"/>
      <c r="T512" s="168"/>
      <c r="V512" s="2"/>
      <c r="AG512"/>
      <c r="AH512"/>
      <c r="AI512"/>
      <c r="AJ512"/>
      <c r="AL512"/>
      <c r="AM512"/>
      <c r="AN512" s="3"/>
      <c r="AO512"/>
      <c r="AP512"/>
      <c r="AQ512"/>
      <c r="AR512"/>
      <c r="AS512"/>
      <c r="AT512"/>
      <c r="AU512"/>
      <c r="AV512"/>
      <c r="AW512"/>
      <c r="AX512"/>
      <c r="AY512"/>
      <c r="AZ512"/>
      <c r="BA512"/>
      <c r="BB512"/>
      <c r="BC512"/>
      <c r="BD512"/>
      <c r="BE512"/>
      <c r="BF512"/>
      <c r="BG512"/>
      <c r="BH512"/>
      <c r="BI512"/>
      <c r="BJ512" s="3"/>
    </row>
    <row r="513" spans="1:62" ht="10.9" customHeight="1">
      <c r="A513" s="53"/>
      <c r="B513" s="53"/>
      <c r="C513" s="53"/>
      <c r="D513" s="54"/>
      <c r="E513" s="54"/>
      <c r="F513" s="54"/>
      <c r="G513" s="53"/>
      <c r="H513" s="53"/>
      <c r="I513" s="54"/>
      <c r="J513" s="54"/>
      <c r="K513" s="54"/>
      <c r="L513" s="54"/>
      <c r="M513" s="54"/>
      <c r="N513" s="54"/>
      <c r="O513" s="37"/>
      <c r="P513" s="38"/>
      <c r="Q513" s="44"/>
      <c r="R513" s="3"/>
      <c r="S513" s="158"/>
      <c r="T513" s="158"/>
      <c r="U513" s="197"/>
      <c r="V513" s="197"/>
      <c r="W513" s="3"/>
      <c r="X513" s="3"/>
      <c r="Y513" s="3"/>
      <c r="Z513" s="3"/>
      <c r="AA513" s="3"/>
      <c r="AB513" s="3"/>
      <c r="AC513" s="197"/>
      <c r="AD513" s="197"/>
      <c r="AE513" s="3"/>
      <c r="AF513" s="3"/>
      <c r="AG513"/>
      <c r="AH513"/>
      <c r="AI513"/>
      <c r="AJ513"/>
      <c r="AL513" s="3"/>
      <c r="AM513" s="3"/>
      <c r="AN513" s="3"/>
      <c r="AO513"/>
      <c r="AP513"/>
      <c r="AQ513"/>
      <c r="AR513"/>
      <c r="AS513"/>
      <c r="AT513"/>
      <c r="AU513"/>
      <c r="AV513"/>
      <c r="AW513"/>
      <c r="AX513"/>
      <c r="AY513"/>
      <c r="AZ513"/>
      <c r="BA513"/>
      <c r="BB513"/>
      <c r="BC513"/>
      <c r="BD513"/>
      <c r="BE513"/>
      <c r="BF513"/>
      <c r="BG513"/>
      <c r="BH513"/>
      <c r="BI513"/>
      <c r="BJ513" s="3"/>
    </row>
    <row r="514" spans="1:62" ht="6" customHeight="1">
      <c r="A514" s="198">
        <v>50</v>
      </c>
      <c r="B514" s="51"/>
      <c r="C514" s="199" t="str">
        <f>INDEX(Riferimenti!$B$2:$B$60,A514)</f>
        <v>Glutarico*</v>
      </c>
      <c r="D514" s="199"/>
      <c r="E514" s="199"/>
      <c r="F514" s="199"/>
      <c r="G514" s="199"/>
      <c r="H514" s="199"/>
      <c r="I514" s="199"/>
      <c r="J514" s="199"/>
      <c r="K514" s="199"/>
      <c r="L514" s="199"/>
      <c r="M514" s="199"/>
      <c r="N514" s="199"/>
      <c r="O514" s="195">
        <f>INDEX(Riferimenti!$C$2:$C$65,A514)</f>
        <v>0</v>
      </c>
      <c r="P514" s="200" t="s">
        <v>6</v>
      </c>
      <c r="Q514" s="196">
        <f>INDEX(Riferimenti!$E$2:$E$65,A514)</f>
        <v>0.5</v>
      </c>
      <c r="R514" s="201"/>
      <c r="S514" s="202"/>
      <c r="T514" s="202"/>
      <c r="V514" s="2"/>
      <c r="AG514" s="195">
        <f>INDEX(Riferimenti!$Q$2:$Q$61,A514)</f>
        <v>7.9379090619381448E-2</v>
      </c>
      <c r="AH514" s="195">
        <f>INDEX(Riferimenti!$R$2:$R$61,A514)</f>
        <v>0.28077416608560035</v>
      </c>
      <c r="AI514"/>
      <c r="AJ514"/>
      <c r="AK514" s="222"/>
      <c r="AL514" s="222"/>
      <c r="AM514" s="222"/>
      <c r="AO514"/>
      <c r="AP514"/>
      <c r="AQ514"/>
      <c r="AR514"/>
      <c r="AS514"/>
      <c r="AT514"/>
      <c r="AU514"/>
      <c r="AV514"/>
      <c r="AW514"/>
      <c r="AX514"/>
      <c r="AY514"/>
      <c r="AZ514"/>
      <c r="BA514"/>
      <c r="BB514"/>
      <c r="BC514"/>
      <c r="BD514"/>
      <c r="BE514"/>
      <c r="BF514"/>
      <c r="BG514"/>
      <c r="BH514"/>
      <c r="BI514"/>
      <c r="BJ514" s="3"/>
    </row>
    <row r="515" spans="1:62" ht="5.45" customHeight="1">
      <c r="A515" s="198"/>
      <c r="B515" s="51"/>
      <c r="C515" s="199"/>
      <c r="D515" s="199"/>
      <c r="E515" s="199"/>
      <c r="F515" s="199"/>
      <c r="G515" s="199"/>
      <c r="H515" s="199"/>
      <c r="I515" s="199"/>
      <c r="J515" s="199"/>
      <c r="K515" s="199"/>
      <c r="L515" s="199"/>
      <c r="M515" s="199"/>
      <c r="N515" s="199"/>
      <c r="O515" s="195"/>
      <c r="P515" s="200"/>
      <c r="Q515" s="196"/>
      <c r="R515" s="201"/>
      <c r="S515" s="202"/>
      <c r="T515" s="202"/>
      <c r="U515"/>
      <c r="V515"/>
      <c r="W515"/>
      <c r="X515"/>
      <c r="Y515"/>
      <c r="Z515"/>
      <c r="AA515"/>
      <c r="AB515"/>
      <c r="AC515"/>
      <c r="AD515"/>
      <c r="AE515"/>
      <c r="AF515"/>
      <c r="AG515" s="195"/>
      <c r="AH515" s="195"/>
      <c r="AI515"/>
      <c r="AJ515"/>
      <c r="AK515" s="222"/>
      <c r="AL515" s="222"/>
      <c r="AM515" s="222"/>
      <c r="AN515" s="3"/>
      <c r="AO515"/>
      <c r="AP515"/>
      <c r="AQ515"/>
      <c r="AR515"/>
      <c r="AS515"/>
      <c r="AT515"/>
      <c r="AU515"/>
      <c r="AV515"/>
      <c r="AW515"/>
      <c r="AX515"/>
      <c r="AY515"/>
      <c r="AZ515"/>
      <c r="BA515"/>
      <c r="BB515"/>
      <c r="BC515"/>
      <c r="BD515"/>
      <c r="BE515"/>
      <c r="BF515"/>
      <c r="BG515"/>
      <c r="BH515"/>
      <c r="BI515"/>
      <c r="BJ515" s="3"/>
    </row>
    <row r="516" spans="1:62" ht="6" customHeight="1">
      <c r="A516" s="194"/>
      <c r="B516" s="194"/>
      <c r="C516" s="194"/>
      <c r="D516" s="194"/>
      <c r="E516" s="194"/>
      <c r="F516" s="194"/>
      <c r="G516" s="194"/>
      <c r="H516" s="194"/>
      <c r="I516" s="194"/>
      <c r="J516" s="194"/>
      <c r="K516" s="194"/>
      <c r="L516" s="194"/>
      <c r="M516" s="194"/>
      <c r="N516" s="52"/>
      <c r="O516" s="73"/>
      <c r="P516" s="36"/>
      <c r="Q516" s="72"/>
      <c r="R516" s="75"/>
      <c r="S516" s="166"/>
      <c r="T516" s="167"/>
      <c r="U516" s="24"/>
      <c r="V516" s="40"/>
      <c r="W516" s="40"/>
      <c r="X516" s="40"/>
      <c r="Y516" s="40"/>
      <c r="Z516" s="40"/>
      <c r="AA516" s="40"/>
      <c r="AB516" s="40"/>
      <c r="AC516" s="40"/>
      <c r="AD516" s="40"/>
      <c r="AE516" s="40"/>
      <c r="AF516" s="40"/>
      <c r="AG516"/>
      <c r="AH516"/>
      <c r="AI516"/>
      <c r="AJ516"/>
      <c r="AK516" s="3"/>
      <c r="AL516" s="3"/>
      <c r="AM516" s="3"/>
      <c r="AN516" s="40"/>
      <c r="AO516"/>
      <c r="AP516"/>
      <c r="AQ516"/>
      <c r="AR516"/>
      <c r="AS516"/>
      <c r="AT516"/>
      <c r="AU516"/>
      <c r="AV516"/>
      <c r="AW516"/>
      <c r="AX516"/>
      <c r="AY516"/>
      <c r="AZ516"/>
      <c r="BA516"/>
      <c r="BB516"/>
      <c r="BC516"/>
      <c r="BD516"/>
      <c r="BE516"/>
      <c r="BF516"/>
      <c r="BG516"/>
      <c r="BH516"/>
      <c r="BI516"/>
      <c r="BJ516" s="3"/>
    </row>
    <row r="517" spans="1:62" ht="6" customHeight="1">
      <c r="A517" s="194"/>
      <c r="B517" s="194"/>
      <c r="C517" s="194"/>
      <c r="D517" s="194"/>
      <c r="E517" s="194"/>
      <c r="F517" s="194"/>
      <c r="G517" s="194"/>
      <c r="H517" s="194"/>
      <c r="I517" s="194"/>
      <c r="J517" s="194"/>
      <c r="K517" s="194"/>
      <c r="L517" s="194"/>
      <c r="M517" s="194"/>
      <c r="N517" s="52"/>
      <c r="O517" s="73"/>
      <c r="P517" s="36"/>
      <c r="Q517" s="72"/>
      <c r="R517" s="75"/>
      <c r="S517" s="166"/>
      <c r="T517" s="168"/>
      <c r="V517" s="2"/>
      <c r="AG517"/>
      <c r="AH517"/>
      <c r="AI517"/>
      <c r="AJ517"/>
      <c r="AK517" s="3"/>
      <c r="AL517" s="3"/>
      <c r="AM517" s="3"/>
      <c r="AN517" s="3"/>
      <c r="AO517"/>
      <c r="AP517"/>
      <c r="AQ517"/>
      <c r="AR517"/>
      <c r="AS517"/>
      <c r="AT517"/>
      <c r="AU517"/>
      <c r="AV517"/>
      <c r="AW517"/>
      <c r="AX517"/>
      <c r="AY517"/>
      <c r="AZ517"/>
      <c r="BA517"/>
      <c r="BB517"/>
      <c r="BC517"/>
      <c r="BD517"/>
      <c r="BE517"/>
      <c r="BF517"/>
      <c r="BG517"/>
      <c r="BH517"/>
      <c r="BI517"/>
      <c r="BJ517" s="3"/>
    </row>
    <row r="518" spans="1:62" ht="10.9" customHeight="1">
      <c r="A518" s="53"/>
      <c r="B518" s="53"/>
      <c r="C518" s="53"/>
      <c r="D518" s="54"/>
      <c r="E518" s="54"/>
      <c r="F518" s="54"/>
      <c r="G518" s="53"/>
      <c r="H518" s="53"/>
      <c r="I518" s="54"/>
      <c r="J518" s="54"/>
      <c r="K518" s="54"/>
      <c r="L518" s="54"/>
      <c r="M518" s="54"/>
      <c r="N518" s="54"/>
      <c r="P518" s="3"/>
      <c r="Q518" s="44"/>
      <c r="R518" s="3"/>
      <c r="S518" s="158"/>
      <c r="T518" s="158"/>
      <c r="U518" s="197"/>
      <c r="V518" s="197"/>
      <c r="W518" s="3"/>
      <c r="X518" s="3"/>
      <c r="Y518" s="3"/>
      <c r="Z518" s="3"/>
      <c r="AA518" s="3"/>
      <c r="AB518" s="3"/>
      <c r="AC518" s="197"/>
      <c r="AD518" s="197"/>
      <c r="AE518" s="3"/>
      <c r="AF518" s="3"/>
      <c r="AG518"/>
      <c r="AH518"/>
      <c r="AI518"/>
      <c r="AJ518"/>
      <c r="AK518" s="3"/>
      <c r="AL518" s="3"/>
      <c r="AM518" s="3"/>
      <c r="AN518" s="3"/>
      <c r="AO518"/>
      <c r="AP518"/>
      <c r="AQ518"/>
      <c r="AR518"/>
      <c r="AS518"/>
      <c r="AT518"/>
      <c r="AU518"/>
      <c r="AV518"/>
      <c r="AW518"/>
      <c r="AX518"/>
      <c r="AY518"/>
      <c r="AZ518"/>
      <c r="BA518"/>
      <c r="BB518"/>
      <c r="BC518"/>
      <c r="BD518"/>
      <c r="BE518"/>
      <c r="BF518"/>
      <c r="BG518"/>
      <c r="BH518"/>
      <c r="BI518"/>
      <c r="BJ518" s="3"/>
    </row>
    <row r="519" spans="1:62" ht="6" customHeight="1">
      <c r="A519" s="198">
        <v>51</v>
      </c>
      <c r="B519" s="51"/>
      <c r="C519" s="199" t="str">
        <f>INDEX(Riferimenti!$B$2:$B$60,A519)</f>
        <v>Metilmalonico*</v>
      </c>
      <c r="D519" s="199"/>
      <c r="E519" s="199"/>
      <c r="F519" s="199"/>
      <c r="G519" s="199"/>
      <c r="H519" s="199"/>
      <c r="I519" s="199"/>
      <c r="J519" s="199"/>
      <c r="K519" s="199"/>
      <c r="L519" s="199"/>
      <c r="M519" s="199"/>
      <c r="N519" s="199"/>
      <c r="O519" s="195">
        <f>INDEX(Riferimenti!$C$2:$C$65,A519)</f>
        <v>0</v>
      </c>
      <c r="P519" s="200" t="s">
        <v>6</v>
      </c>
      <c r="Q519" s="196">
        <f>INDEX(Riferimenti!$E$2:$E$65,A519)</f>
        <v>3.43</v>
      </c>
      <c r="R519" s="201"/>
      <c r="S519" s="202"/>
      <c r="T519" s="202"/>
      <c r="V519" s="2"/>
      <c r="AG519" s="195">
        <f>INDEX(Riferimenti!$Q$2:$Q$61,A519)</f>
        <v>1.1533356232798688</v>
      </c>
      <c r="AH519" s="195">
        <f>INDEX(Riferimenti!$R$2:$R$61,A519)</f>
        <v>2.6695215195772719</v>
      </c>
      <c r="AI519"/>
      <c r="AJ519"/>
      <c r="AK519" s="222"/>
      <c r="AL519" s="222"/>
      <c r="AM519" s="222"/>
      <c r="AO519"/>
      <c r="AP519"/>
      <c r="AQ519"/>
      <c r="AR519"/>
      <c r="AS519"/>
      <c r="AT519"/>
      <c r="AU519"/>
      <c r="AV519"/>
      <c r="AW519"/>
      <c r="AX519"/>
      <c r="AY519"/>
      <c r="AZ519"/>
      <c r="BA519"/>
      <c r="BB519"/>
      <c r="BC519"/>
      <c r="BD519"/>
      <c r="BE519"/>
      <c r="BF519"/>
      <c r="BG519"/>
      <c r="BH519"/>
      <c r="BI519"/>
      <c r="BJ519" s="3"/>
    </row>
    <row r="520" spans="1:62" ht="5.45" customHeight="1">
      <c r="A520" s="198"/>
      <c r="B520" s="51"/>
      <c r="C520" s="199"/>
      <c r="D520" s="199"/>
      <c r="E520" s="199"/>
      <c r="F520" s="199"/>
      <c r="G520" s="199"/>
      <c r="H520" s="199"/>
      <c r="I520" s="199"/>
      <c r="J520" s="199"/>
      <c r="K520" s="199"/>
      <c r="L520" s="199"/>
      <c r="M520" s="199"/>
      <c r="N520" s="199"/>
      <c r="O520" s="195"/>
      <c r="P520" s="200"/>
      <c r="Q520" s="196"/>
      <c r="R520" s="201"/>
      <c r="S520" s="202"/>
      <c r="T520" s="202"/>
      <c r="U520"/>
      <c r="V520"/>
      <c r="W520"/>
      <c r="X520"/>
      <c r="Y520"/>
      <c r="Z520"/>
      <c r="AA520"/>
      <c r="AB520"/>
      <c r="AC520"/>
      <c r="AD520"/>
      <c r="AE520"/>
      <c r="AF520"/>
      <c r="AG520" s="195"/>
      <c r="AH520" s="195"/>
      <c r="AI520"/>
      <c r="AJ520"/>
      <c r="AK520" s="222"/>
      <c r="AL520" s="222"/>
      <c r="AM520" s="222"/>
      <c r="AN520" s="3"/>
      <c r="AO520"/>
      <c r="AP520"/>
      <c r="AQ520"/>
      <c r="AR520"/>
      <c r="AS520"/>
      <c r="AT520"/>
      <c r="AU520"/>
      <c r="AV520"/>
      <c r="AW520"/>
      <c r="AX520"/>
      <c r="AY520"/>
      <c r="AZ520"/>
      <c r="BA520"/>
      <c r="BB520"/>
      <c r="BC520"/>
      <c r="BD520"/>
      <c r="BE520"/>
      <c r="BF520"/>
      <c r="BG520"/>
      <c r="BH520"/>
      <c r="BI520"/>
      <c r="BJ520" s="3"/>
    </row>
    <row r="521" spans="1:62" ht="6" customHeight="1">
      <c r="A521" s="194"/>
      <c r="B521" s="194"/>
      <c r="C521" s="194"/>
      <c r="D521" s="194"/>
      <c r="E521" s="194"/>
      <c r="F521" s="194"/>
      <c r="G521" s="194"/>
      <c r="H521" s="194"/>
      <c r="I521" s="194"/>
      <c r="J521" s="194"/>
      <c r="K521" s="194"/>
      <c r="L521" s="194"/>
      <c r="M521" s="194"/>
      <c r="N521" s="52"/>
      <c r="O521" s="73"/>
      <c r="P521" s="36"/>
      <c r="Q521" s="72"/>
      <c r="R521" s="75"/>
      <c r="S521" s="166"/>
      <c r="T521" s="167"/>
      <c r="U521" s="24"/>
      <c r="V521" s="40"/>
      <c r="W521" s="40"/>
      <c r="X521" s="40"/>
      <c r="Y521" s="40"/>
      <c r="Z521" s="40"/>
      <c r="AA521" s="40"/>
      <c r="AB521" s="40"/>
      <c r="AC521" s="40"/>
      <c r="AD521" s="40"/>
      <c r="AE521" s="40"/>
      <c r="AF521" s="40"/>
      <c r="AG521"/>
      <c r="AH521"/>
      <c r="AI521"/>
      <c r="AJ521"/>
      <c r="AN521" s="40"/>
      <c r="AO521"/>
      <c r="AP521"/>
      <c r="AQ521"/>
      <c r="AR521"/>
      <c r="AS521"/>
      <c r="AT521"/>
      <c r="AU521"/>
      <c r="AV521"/>
      <c r="AW521"/>
      <c r="AX521"/>
      <c r="AY521"/>
      <c r="AZ521"/>
      <c r="BA521"/>
      <c r="BB521"/>
      <c r="BC521"/>
      <c r="BD521"/>
      <c r="BE521"/>
      <c r="BF521"/>
      <c r="BG521"/>
      <c r="BH521"/>
      <c r="BI521"/>
      <c r="BJ521" s="3"/>
    </row>
    <row r="522" spans="1:62" ht="6" customHeight="1">
      <c r="A522" s="194"/>
      <c r="B522" s="194"/>
      <c r="C522" s="194"/>
      <c r="D522" s="194"/>
      <c r="E522" s="194"/>
      <c r="F522" s="194"/>
      <c r="G522" s="194"/>
      <c r="H522" s="194"/>
      <c r="I522" s="194"/>
      <c r="J522" s="194"/>
      <c r="K522" s="194"/>
      <c r="L522" s="194"/>
      <c r="M522" s="194"/>
      <c r="N522" s="52"/>
      <c r="O522" s="73"/>
      <c r="P522" s="36"/>
      <c r="Q522" s="72"/>
      <c r="R522" s="75"/>
      <c r="S522" s="166"/>
      <c r="T522" s="168"/>
      <c r="V522" s="2"/>
      <c r="AG522"/>
      <c r="AH522"/>
      <c r="AI522"/>
      <c r="AJ522"/>
      <c r="AN522" s="3"/>
      <c r="AO522"/>
      <c r="AP522"/>
      <c r="AQ522"/>
      <c r="AR522"/>
      <c r="AS522"/>
      <c r="AT522"/>
      <c r="AU522"/>
      <c r="AV522"/>
      <c r="AW522"/>
      <c r="AX522"/>
      <c r="AY522"/>
      <c r="AZ522"/>
      <c r="BA522"/>
      <c r="BB522"/>
      <c r="BC522"/>
      <c r="BD522"/>
      <c r="BE522"/>
      <c r="BF522"/>
      <c r="BG522"/>
      <c r="BH522"/>
      <c r="BI522"/>
      <c r="BJ522" s="3"/>
    </row>
    <row r="523" spans="1:62" ht="11.1" customHeight="1">
      <c r="A523" s="173"/>
      <c r="B523" s="173"/>
      <c r="C523" s="173"/>
      <c r="D523" s="173"/>
      <c r="E523" s="173"/>
      <c r="F523" s="173"/>
      <c r="G523" s="173"/>
      <c r="H523" s="173"/>
      <c r="I523" s="173"/>
      <c r="J523" s="173"/>
      <c r="K523" s="173"/>
      <c r="L523" s="173"/>
      <c r="M523" s="173"/>
      <c r="N523" s="52"/>
      <c r="O523" s="73"/>
      <c r="P523" s="36"/>
      <c r="Q523" s="72"/>
      <c r="R523" s="75"/>
      <c r="S523" s="166"/>
      <c r="T523" s="168"/>
      <c r="V523" s="2"/>
      <c r="AG523"/>
      <c r="AH523"/>
      <c r="AI523"/>
      <c r="AJ523"/>
      <c r="AN523" s="3"/>
      <c r="AO523"/>
      <c r="AP523"/>
      <c r="AQ523"/>
      <c r="AR523"/>
      <c r="AS523"/>
      <c r="AT523"/>
      <c r="AU523"/>
      <c r="AV523"/>
      <c r="AW523"/>
      <c r="AX523"/>
      <c r="AY523"/>
      <c r="AZ523"/>
      <c r="BA523"/>
      <c r="BB523"/>
      <c r="BC523"/>
      <c r="BD523"/>
      <c r="BE523"/>
      <c r="BF523"/>
      <c r="BG523"/>
      <c r="BH523"/>
      <c r="BI523"/>
      <c r="BJ523" s="3"/>
    </row>
    <row r="524" spans="1:62" ht="6" customHeight="1">
      <c r="A524" s="198">
        <v>52</v>
      </c>
      <c r="B524" s="51"/>
      <c r="C524" s="199" t="str">
        <f>INDEX(Riferimenti!$B$2:$B$60,A524)</f>
        <v>N-Acetil-L-Cisteina (NAC)</v>
      </c>
      <c r="D524" s="199"/>
      <c r="E524" s="199"/>
      <c r="F524" s="199"/>
      <c r="G524" s="199"/>
      <c r="H524" s="199"/>
      <c r="I524" s="199"/>
      <c r="J524" s="199"/>
      <c r="K524" s="199"/>
      <c r="L524" s="199"/>
      <c r="M524" s="199"/>
      <c r="N524" s="199"/>
      <c r="O524" s="195">
        <f>INDEX(Riferimenti!$C$2:$C$65,A524)</f>
        <v>0</v>
      </c>
      <c r="P524" s="200" t="s">
        <v>6</v>
      </c>
      <c r="Q524" s="196">
        <f>INDEX(Riferimenti!$E$2:$E$65,A524)</f>
        <v>0.6</v>
      </c>
      <c r="R524" s="201"/>
      <c r="S524" s="202"/>
      <c r="T524" s="202"/>
      <c r="V524" s="2"/>
      <c r="AG524"/>
      <c r="AH524"/>
      <c r="AI524"/>
      <c r="AV524"/>
      <c r="AW524"/>
      <c r="AX524"/>
      <c r="AY524"/>
      <c r="AZ524"/>
      <c r="BA524"/>
      <c r="BB524"/>
      <c r="BC524"/>
      <c r="BD524"/>
      <c r="BE524"/>
      <c r="BF524"/>
      <c r="BG524"/>
      <c r="BH524"/>
      <c r="BI524"/>
      <c r="BJ524" s="3"/>
    </row>
    <row r="525" spans="1:62" ht="5.45" customHeight="1">
      <c r="A525" s="198"/>
      <c r="B525" s="51"/>
      <c r="C525" s="199"/>
      <c r="D525" s="199"/>
      <c r="E525" s="199"/>
      <c r="F525" s="199"/>
      <c r="G525" s="199"/>
      <c r="H525" s="199"/>
      <c r="I525" s="199"/>
      <c r="J525" s="199"/>
      <c r="K525" s="199"/>
      <c r="L525" s="199"/>
      <c r="M525" s="199"/>
      <c r="N525" s="199"/>
      <c r="O525" s="195"/>
      <c r="P525" s="200"/>
      <c r="Q525" s="196"/>
      <c r="R525" s="201"/>
      <c r="S525" s="202"/>
      <c r="T525" s="202"/>
      <c r="U525"/>
      <c r="V525"/>
      <c r="W525"/>
      <c r="X525"/>
      <c r="Y525"/>
      <c r="Z525"/>
      <c r="AA525"/>
      <c r="AB525"/>
      <c r="AC525"/>
      <c r="AD525"/>
      <c r="AE525"/>
      <c r="AF525"/>
      <c r="AG525"/>
      <c r="AH525"/>
      <c r="AI525"/>
      <c r="AN525" s="3"/>
      <c r="AV525"/>
      <c r="AW525"/>
      <c r="AX525"/>
      <c r="AY525"/>
      <c r="AZ525"/>
      <c r="BA525"/>
      <c r="BB525"/>
      <c r="BC525"/>
      <c r="BD525"/>
      <c r="BE525"/>
      <c r="BF525"/>
      <c r="BG525"/>
      <c r="BH525"/>
      <c r="BI525"/>
      <c r="BJ525" s="3"/>
    </row>
    <row r="526" spans="1:62" ht="6" customHeight="1">
      <c r="A526" s="194"/>
      <c r="B526" s="194"/>
      <c r="C526" s="194"/>
      <c r="D526" s="194"/>
      <c r="E526" s="194"/>
      <c r="F526" s="194"/>
      <c r="G526" s="194"/>
      <c r="H526" s="194"/>
      <c r="I526" s="194"/>
      <c r="J526" s="194"/>
      <c r="K526" s="194"/>
      <c r="L526" s="194"/>
      <c r="M526" s="194"/>
      <c r="N526" s="52"/>
      <c r="O526" s="73"/>
      <c r="P526" s="36"/>
      <c r="Q526" s="72"/>
      <c r="R526" s="75"/>
      <c r="S526" s="166"/>
      <c r="T526" s="167"/>
      <c r="U526" s="24"/>
      <c r="V526" s="40"/>
      <c r="W526" s="40"/>
      <c r="X526" s="40"/>
      <c r="Y526" s="40"/>
      <c r="Z526" s="40"/>
      <c r="AA526" s="40"/>
      <c r="AB526" s="40"/>
      <c r="AC526" s="40"/>
      <c r="AD526" s="40"/>
      <c r="AE526" s="40"/>
      <c r="AF526" s="40"/>
      <c r="AG526"/>
      <c r="AH526"/>
      <c r="AI526"/>
      <c r="AJ526"/>
      <c r="AK526"/>
      <c r="AL526"/>
      <c r="AM526"/>
      <c r="AN526" s="40"/>
      <c r="AO526"/>
      <c r="AP526"/>
      <c r="AQ526"/>
      <c r="AR526"/>
      <c r="AS526"/>
      <c r="AT526"/>
      <c r="AU526"/>
      <c r="AV526"/>
      <c r="AW526"/>
      <c r="AX526"/>
      <c r="AY526"/>
      <c r="AZ526"/>
      <c r="BA526"/>
      <c r="BB526"/>
      <c r="BC526"/>
      <c r="BD526"/>
      <c r="BE526"/>
      <c r="BF526"/>
      <c r="BG526"/>
      <c r="BH526"/>
      <c r="BI526"/>
      <c r="BJ526" s="3"/>
    </row>
    <row r="527" spans="1:62" ht="6" customHeight="1">
      <c r="A527" s="194"/>
      <c r="B527" s="194"/>
      <c r="C527" s="194"/>
      <c r="D527" s="194"/>
      <c r="E527" s="194"/>
      <c r="F527" s="194"/>
      <c r="G527" s="194"/>
      <c r="H527" s="194"/>
      <c r="I527" s="194"/>
      <c r="J527" s="194"/>
      <c r="K527" s="194"/>
      <c r="L527" s="194"/>
      <c r="M527" s="194"/>
      <c r="N527" s="52"/>
      <c r="O527" s="73"/>
      <c r="P527" s="36"/>
      <c r="Q527" s="72"/>
      <c r="R527" s="75"/>
      <c r="S527" s="166"/>
      <c r="T527" s="168"/>
      <c r="V527" s="2"/>
      <c r="AG527"/>
      <c r="AH527"/>
      <c r="AI527"/>
      <c r="AJ527"/>
      <c r="AL527"/>
      <c r="AM527"/>
      <c r="AN527" s="3"/>
      <c r="AO527"/>
      <c r="AP527"/>
      <c r="AQ527"/>
      <c r="AR527"/>
      <c r="AS527"/>
      <c r="AT527"/>
      <c r="AU527"/>
      <c r="AV527"/>
      <c r="AW527"/>
      <c r="AX527"/>
      <c r="AY527"/>
      <c r="AZ527"/>
      <c r="BA527"/>
      <c r="BB527"/>
      <c r="BC527"/>
      <c r="BD527"/>
      <c r="BE527"/>
      <c r="BF527"/>
      <c r="BG527"/>
      <c r="BH527"/>
      <c r="BI527"/>
      <c r="BJ527" s="3"/>
    </row>
    <row r="528" spans="1:62" ht="10.9" customHeight="1">
      <c r="A528" s="53"/>
      <c r="B528" s="53"/>
      <c r="C528" s="53"/>
      <c r="D528" s="54"/>
      <c r="E528" s="54"/>
      <c r="F528" s="54"/>
      <c r="G528" s="53"/>
      <c r="H528" s="53"/>
      <c r="I528" s="54"/>
      <c r="J528" s="54"/>
      <c r="K528" s="54"/>
      <c r="L528" s="54"/>
      <c r="M528" s="54"/>
      <c r="N528" s="54"/>
      <c r="O528" s="37"/>
      <c r="P528" s="38"/>
      <c r="Q528" s="44"/>
      <c r="R528" s="3"/>
      <c r="S528" s="158"/>
      <c r="T528" s="158"/>
      <c r="U528" s="197"/>
      <c r="V528" s="197"/>
      <c r="W528" s="3"/>
      <c r="X528" s="3"/>
      <c r="Y528" s="3"/>
      <c r="Z528" s="3"/>
      <c r="AA528" s="3"/>
      <c r="AB528" s="3"/>
      <c r="AC528" s="197"/>
      <c r="AD528" s="197"/>
      <c r="AE528" s="3"/>
      <c r="AF528" s="3"/>
      <c r="AG528"/>
      <c r="AH528"/>
      <c r="AI528"/>
      <c r="AJ528"/>
      <c r="AL528" s="3"/>
      <c r="AM528" s="3"/>
      <c r="AN528" s="3"/>
      <c r="AO528"/>
      <c r="AP528"/>
      <c r="AQ528"/>
      <c r="AR528"/>
      <c r="AS528"/>
      <c r="AT528"/>
      <c r="AU528"/>
      <c r="AV528"/>
      <c r="AW528"/>
      <c r="AX528"/>
      <c r="AY528"/>
      <c r="AZ528"/>
      <c r="BA528"/>
      <c r="BB528"/>
      <c r="BC528"/>
      <c r="BD528"/>
      <c r="BE528"/>
      <c r="BF528"/>
      <c r="BG528"/>
      <c r="BH528"/>
      <c r="BI528"/>
      <c r="BJ528" s="3"/>
    </row>
    <row r="529" spans="1:62" ht="6" customHeight="1">
      <c r="A529" s="198">
        <v>53</v>
      </c>
      <c r="B529" s="51"/>
      <c r="C529" s="199" t="str">
        <f>INDEX(Riferimenti!$B$2:$B$60,A529)</f>
        <v>Ascorbico ( C )</v>
      </c>
      <c r="D529" s="199"/>
      <c r="E529" s="199"/>
      <c r="F529" s="199"/>
      <c r="G529" s="199"/>
      <c r="H529" s="199"/>
      <c r="I529" s="199"/>
      <c r="J529" s="199"/>
      <c r="K529" s="199"/>
      <c r="L529" s="199"/>
      <c r="M529" s="199"/>
      <c r="N529" s="199"/>
      <c r="O529" s="195">
        <f>INDEX(Riferimenti!$C$2:$C$65,A529)</f>
        <v>4.8</v>
      </c>
      <c r="P529" s="200" t="s">
        <v>6</v>
      </c>
      <c r="Q529" s="196">
        <f>INDEX(Riferimenti!$E$2:$E$65,A529)</f>
        <v>78.5</v>
      </c>
      <c r="R529" s="201"/>
      <c r="S529" s="202"/>
      <c r="T529" s="202"/>
      <c r="V529" s="2"/>
      <c r="AG529" s="195">
        <f>INDEX(Riferimenti!$Q$2:$Q$61,A529)</f>
        <v>5.3484271580276683</v>
      </c>
      <c r="AH529" s="195">
        <f>INDEX(Riferimenti!$R$2:$R$61,A529)</f>
        <v>41.90753139119515</v>
      </c>
      <c r="AI529"/>
      <c r="AJ529"/>
      <c r="AK529" s="222"/>
      <c r="AL529" s="222"/>
      <c r="AM529" s="222"/>
      <c r="AO529"/>
      <c r="AP529"/>
      <c r="AQ529"/>
      <c r="AR529"/>
      <c r="AS529"/>
      <c r="AT529"/>
      <c r="AU529"/>
      <c r="AV529"/>
      <c r="AW529"/>
      <c r="AX529"/>
      <c r="AY529"/>
      <c r="AZ529"/>
      <c r="BA529"/>
      <c r="BB529"/>
      <c r="BC529"/>
      <c r="BD529"/>
      <c r="BE529"/>
      <c r="BF529"/>
      <c r="BG529"/>
      <c r="BH529"/>
      <c r="BI529"/>
      <c r="BJ529" s="3"/>
    </row>
    <row r="530" spans="1:62" ht="5.45" customHeight="1">
      <c r="A530" s="198"/>
      <c r="B530" s="51"/>
      <c r="C530" s="199"/>
      <c r="D530" s="199"/>
      <c r="E530" s="199"/>
      <c r="F530" s="199"/>
      <c r="G530" s="199"/>
      <c r="H530" s="199"/>
      <c r="I530" s="199"/>
      <c r="J530" s="199"/>
      <c r="K530" s="199"/>
      <c r="L530" s="199"/>
      <c r="M530" s="199"/>
      <c r="N530" s="199"/>
      <c r="O530" s="195"/>
      <c r="P530" s="200"/>
      <c r="Q530" s="196"/>
      <c r="R530" s="201"/>
      <c r="S530" s="202"/>
      <c r="T530" s="202"/>
      <c r="U530"/>
      <c r="V530"/>
      <c r="W530"/>
      <c r="X530"/>
      <c r="Y530"/>
      <c r="Z530"/>
      <c r="AA530"/>
      <c r="AB530"/>
      <c r="AC530"/>
      <c r="AD530"/>
      <c r="AE530"/>
      <c r="AF530"/>
      <c r="AG530" s="195"/>
      <c r="AH530" s="195"/>
      <c r="AI530"/>
      <c r="AJ530"/>
      <c r="AK530" s="222"/>
      <c r="AL530" s="222"/>
      <c r="AM530" s="222"/>
      <c r="AN530" s="3"/>
      <c r="AO530"/>
      <c r="AP530"/>
      <c r="AQ530"/>
      <c r="AR530"/>
      <c r="AS530"/>
      <c r="AT530"/>
      <c r="AU530"/>
      <c r="AV530"/>
      <c r="AW530"/>
      <c r="AX530"/>
      <c r="AY530"/>
      <c r="AZ530"/>
      <c r="BA530"/>
      <c r="BB530"/>
      <c r="BC530"/>
      <c r="BD530"/>
      <c r="BE530"/>
      <c r="BF530"/>
      <c r="BG530"/>
      <c r="BH530"/>
      <c r="BI530"/>
      <c r="BJ530" s="3"/>
    </row>
    <row r="531" spans="1:62" ht="6" customHeight="1">
      <c r="A531" s="194"/>
      <c r="B531" s="194"/>
      <c r="C531" s="194"/>
      <c r="D531" s="194"/>
      <c r="E531" s="194"/>
      <c r="F531" s="194"/>
      <c r="G531" s="194"/>
      <c r="H531" s="194"/>
      <c r="I531" s="194"/>
      <c r="J531" s="194"/>
      <c r="K531" s="194"/>
      <c r="L531" s="194"/>
      <c r="M531" s="194"/>
      <c r="N531" s="52"/>
      <c r="O531" s="73"/>
      <c r="P531" s="36"/>
      <c r="Q531" s="72"/>
      <c r="R531" s="75"/>
      <c r="S531" s="166"/>
      <c r="T531" s="167"/>
      <c r="U531" s="24"/>
      <c r="V531" s="40"/>
      <c r="W531" s="40"/>
      <c r="X531" s="40"/>
      <c r="Y531" s="40"/>
      <c r="Z531" s="40"/>
      <c r="AA531" s="40"/>
      <c r="AB531" s="40"/>
      <c r="AC531" s="40"/>
      <c r="AD531" s="40"/>
      <c r="AE531" s="40"/>
      <c r="AF531" s="40"/>
      <c r="AG531"/>
      <c r="AH531"/>
      <c r="AI531"/>
      <c r="AJ531"/>
      <c r="AK531" s="3"/>
      <c r="AL531" s="3"/>
      <c r="AM531" s="3"/>
      <c r="AN531" s="40"/>
      <c r="AO531"/>
      <c r="AP531"/>
      <c r="AQ531"/>
      <c r="AR531"/>
      <c r="AS531"/>
      <c r="AT531"/>
      <c r="AU531"/>
      <c r="AV531"/>
      <c r="AW531"/>
      <c r="AX531"/>
      <c r="AY531"/>
      <c r="AZ531"/>
      <c r="BA531"/>
      <c r="BB531"/>
      <c r="BC531"/>
      <c r="BD531"/>
      <c r="BE531"/>
      <c r="BF531"/>
      <c r="BG531"/>
      <c r="BH531"/>
      <c r="BI531"/>
      <c r="BJ531" s="3"/>
    </row>
    <row r="532" spans="1:62" ht="6" customHeight="1">
      <c r="A532" s="194"/>
      <c r="B532" s="194"/>
      <c r="C532" s="194"/>
      <c r="D532" s="194"/>
      <c r="E532" s="194"/>
      <c r="F532" s="194"/>
      <c r="G532" s="194"/>
      <c r="H532" s="194"/>
      <c r="I532" s="194"/>
      <c r="J532" s="194"/>
      <c r="K532" s="194"/>
      <c r="L532" s="194"/>
      <c r="M532" s="194"/>
      <c r="N532" s="52"/>
      <c r="O532" s="73"/>
      <c r="P532" s="36"/>
      <c r="Q532" s="72"/>
      <c r="R532" s="75"/>
      <c r="S532" s="166"/>
      <c r="T532" s="168"/>
      <c r="V532" s="2"/>
      <c r="AG532"/>
      <c r="AH532"/>
      <c r="AI532"/>
      <c r="AJ532"/>
      <c r="AK532" s="3"/>
      <c r="AL532" s="3"/>
      <c r="AM532" s="3"/>
      <c r="AN532" s="3"/>
      <c r="AO532"/>
      <c r="AP532"/>
      <c r="AQ532"/>
      <c r="AR532"/>
      <c r="AS532"/>
      <c r="AT532"/>
      <c r="AU532"/>
      <c r="AV532"/>
      <c r="AW532"/>
      <c r="AX532"/>
      <c r="AY532"/>
      <c r="AZ532"/>
      <c r="BA532"/>
      <c r="BB532"/>
      <c r="BC532"/>
      <c r="BD532"/>
      <c r="BE532"/>
      <c r="BF532"/>
      <c r="BG532"/>
      <c r="BH532"/>
      <c r="BI532"/>
      <c r="BJ532" s="3"/>
    </row>
    <row r="533" spans="1:62" ht="10.9" customHeight="1">
      <c r="A533" s="53"/>
      <c r="B533" s="53"/>
      <c r="C533" s="53"/>
      <c r="D533" s="54"/>
      <c r="E533" s="54"/>
      <c r="F533" s="54"/>
      <c r="G533" s="53"/>
      <c r="H533" s="53"/>
      <c r="I533" s="54"/>
      <c r="J533" s="54"/>
      <c r="K533" s="54"/>
      <c r="L533" s="54"/>
      <c r="M533" s="54"/>
      <c r="N533" s="54"/>
      <c r="P533" s="3"/>
      <c r="Q533" s="44"/>
      <c r="R533" s="3"/>
      <c r="S533" s="158"/>
      <c r="T533" s="158"/>
      <c r="U533" s="197"/>
      <c r="V533" s="197"/>
      <c r="W533" s="3"/>
      <c r="X533" s="3"/>
      <c r="Y533" s="3"/>
      <c r="Z533" s="3"/>
      <c r="AA533" s="3"/>
      <c r="AB533" s="3"/>
      <c r="AC533" s="197"/>
      <c r="AD533" s="197"/>
      <c r="AE533" s="3"/>
      <c r="AF533" s="3"/>
      <c r="AG533"/>
      <c r="AH533"/>
      <c r="AI533"/>
      <c r="AJ533"/>
      <c r="AK533" s="3"/>
      <c r="AL533" s="3"/>
      <c r="AM533" s="3"/>
      <c r="AN533" s="3"/>
      <c r="AO533"/>
      <c r="AP533"/>
      <c r="AQ533"/>
      <c r="AR533"/>
      <c r="AS533"/>
      <c r="AT533"/>
      <c r="AU533"/>
      <c r="AV533"/>
      <c r="AW533"/>
      <c r="AX533"/>
      <c r="AY533"/>
      <c r="AZ533"/>
      <c r="BA533"/>
      <c r="BB533"/>
      <c r="BC533"/>
      <c r="BD533"/>
      <c r="BE533"/>
      <c r="BF533"/>
      <c r="BG533"/>
      <c r="BH533"/>
      <c r="BI533"/>
      <c r="BJ533" s="3"/>
    </row>
    <row r="534" spans="1:62" ht="6" customHeight="1">
      <c r="A534" s="198">
        <v>54</v>
      </c>
      <c r="B534" s="51"/>
      <c r="C534" s="199" t="str">
        <f>INDEX(Riferimenti!$B$2:$B$60,A534)</f>
        <v>4-Piridossico (B6)</v>
      </c>
      <c r="D534" s="199"/>
      <c r="E534" s="199"/>
      <c r="F534" s="199"/>
      <c r="G534" s="199"/>
      <c r="H534" s="199"/>
      <c r="I534" s="199"/>
      <c r="J534" s="199"/>
      <c r="K534" s="199"/>
      <c r="L534" s="199"/>
      <c r="M534" s="199"/>
      <c r="N534" s="199"/>
      <c r="O534" s="195">
        <f>INDEX(Riferimenti!$C$2:$C$65,A534)</f>
        <v>0.4</v>
      </c>
      <c r="P534" s="200" t="s">
        <v>6</v>
      </c>
      <c r="Q534" s="196">
        <f>INDEX(Riferimenti!$E$2:$E$65,A534)</f>
        <v>7.5</v>
      </c>
      <c r="R534" s="201"/>
      <c r="S534" s="202"/>
      <c r="T534" s="202"/>
      <c r="V534" s="2"/>
      <c r="AG534" s="195">
        <f>INDEX(Riferimenti!$Q$2:$Q$61,A534)</f>
        <v>13.777115166580259</v>
      </c>
      <c r="AH534" s="195">
        <f>INDEX(Riferimenti!$R$2:$R$61,A534)</f>
        <v>46.556218166753055</v>
      </c>
      <c r="AI534"/>
      <c r="AJ534"/>
      <c r="AK534" s="222"/>
      <c r="AL534" s="222"/>
      <c r="AM534" s="222"/>
      <c r="AO534"/>
      <c r="AP534"/>
      <c r="AQ534"/>
      <c r="AR534"/>
      <c r="AS534"/>
      <c r="AT534"/>
      <c r="AU534"/>
      <c r="AV534"/>
      <c r="AW534"/>
      <c r="AX534"/>
      <c r="AY534"/>
      <c r="AZ534"/>
      <c r="BA534"/>
      <c r="BB534"/>
      <c r="BC534"/>
      <c r="BD534"/>
      <c r="BE534"/>
      <c r="BF534"/>
      <c r="BG534"/>
      <c r="BH534"/>
      <c r="BI534"/>
      <c r="BJ534" s="3"/>
    </row>
    <row r="535" spans="1:62" ht="5.45" customHeight="1">
      <c r="A535" s="198"/>
      <c r="B535" s="51"/>
      <c r="C535" s="199"/>
      <c r="D535" s="199"/>
      <c r="E535" s="199"/>
      <c r="F535" s="199"/>
      <c r="G535" s="199"/>
      <c r="H535" s="199"/>
      <c r="I535" s="199"/>
      <c r="J535" s="199"/>
      <c r="K535" s="199"/>
      <c r="L535" s="199"/>
      <c r="M535" s="199"/>
      <c r="N535" s="199"/>
      <c r="O535" s="195"/>
      <c r="P535" s="200"/>
      <c r="Q535" s="196"/>
      <c r="R535" s="201"/>
      <c r="S535" s="202"/>
      <c r="T535" s="202"/>
      <c r="U535"/>
      <c r="V535"/>
      <c r="W535"/>
      <c r="X535"/>
      <c r="Y535"/>
      <c r="Z535"/>
      <c r="AA535"/>
      <c r="AB535"/>
      <c r="AC535"/>
      <c r="AD535"/>
      <c r="AE535"/>
      <c r="AF535"/>
      <c r="AG535" s="195"/>
      <c r="AH535" s="195"/>
      <c r="AI535"/>
      <c r="AJ535"/>
      <c r="AK535" s="222"/>
      <c r="AL535" s="222"/>
      <c r="AM535" s="222"/>
      <c r="AN535" s="3"/>
      <c r="AO535"/>
      <c r="AP535"/>
      <c r="AQ535"/>
      <c r="AR535"/>
      <c r="AS535"/>
      <c r="AT535"/>
      <c r="AU535"/>
      <c r="AV535"/>
      <c r="AW535"/>
      <c r="AX535"/>
      <c r="AY535"/>
      <c r="AZ535"/>
      <c r="BA535"/>
      <c r="BB535"/>
      <c r="BC535"/>
      <c r="BD535"/>
      <c r="BE535"/>
      <c r="BF535"/>
      <c r="BG535"/>
      <c r="BH535"/>
      <c r="BI535"/>
      <c r="BJ535" s="3"/>
    </row>
    <row r="536" spans="1:62" ht="6" customHeight="1">
      <c r="A536" s="194"/>
      <c r="B536" s="194"/>
      <c r="C536" s="194"/>
      <c r="D536" s="194"/>
      <c r="E536" s="194"/>
      <c r="F536" s="194"/>
      <c r="G536" s="194"/>
      <c r="H536" s="194"/>
      <c r="I536" s="194"/>
      <c r="J536" s="194"/>
      <c r="K536" s="194"/>
      <c r="L536" s="194"/>
      <c r="M536" s="194"/>
      <c r="N536" s="52"/>
      <c r="O536" s="73"/>
      <c r="P536" s="36"/>
      <c r="Q536" s="72"/>
      <c r="R536" s="75"/>
      <c r="S536" s="166"/>
      <c r="T536" s="167"/>
      <c r="U536" s="24"/>
      <c r="V536" s="40"/>
      <c r="W536" s="40"/>
      <c r="X536" s="40"/>
      <c r="Y536" s="40"/>
      <c r="Z536" s="40"/>
      <c r="AA536" s="40"/>
      <c r="AB536" s="40"/>
      <c r="AC536" s="40"/>
      <c r="AD536" s="40"/>
      <c r="AE536" s="40"/>
      <c r="AF536" s="40"/>
      <c r="AG536"/>
      <c r="AH536"/>
      <c r="AI536"/>
      <c r="AJ536"/>
      <c r="AN536" s="40"/>
      <c r="AO536"/>
      <c r="AP536"/>
      <c r="AQ536"/>
      <c r="AR536"/>
      <c r="AS536"/>
      <c r="AT536"/>
      <c r="AU536"/>
      <c r="AV536"/>
      <c r="AW536"/>
      <c r="AX536"/>
      <c r="AY536"/>
      <c r="AZ536"/>
      <c r="BA536"/>
      <c r="BB536"/>
      <c r="BC536"/>
      <c r="BD536"/>
      <c r="BE536"/>
      <c r="BF536"/>
      <c r="BG536"/>
      <c r="BH536"/>
      <c r="BI536"/>
      <c r="BJ536" s="3"/>
    </row>
    <row r="537" spans="1:62" ht="6" customHeight="1">
      <c r="A537" s="194"/>
      <c r="B537" s="194"/>
      <c r="C537" s="194"/>
      <c r="D537" s="194"/>
      <c r="E537" s="194"/>
      <c r="F537" s="194"/>
      <c r="G537" s="194"/>
      <c r="H537" s="194"/>
      <c r="I537" s="194"/>
      <c r="J537" s="194"/>
      <c r="K537" s="194"/>
      <c r="L537" s="194"/>
      <c r="M537" s="194"/>
      <c r="N537" s="52"/>
      <c r="O537" s="73"/>
      <c r="P537" s="36"/>
      <c r="Q537" s="72"/>
      <c r="R537" s="75"/>
      <c r="S537" s="166"/>
      <c r="T537" s="168"/>
      <c r="V537" s="2"/>
      <c r="AG537"/>
      <c r="AH537"/>
      <c r="AI537"/>
      <c r="AJ537"/>
      <c r="AN537" s="3"/>
      <c r="AO537"/>
      <c r="AP537"/>
      <c r="AQ537"/>
      <c r="AR537"/>
      <c r="AS537"/>
      <c r="AT537"/>
      <c r="AU537"/>
      <c r="AV537"/>
      <c r="AW537"/>
      <c r="AX537"/>
      <c r="AY537"/>
      <c r="AZ537"/>
      <c r="BA537"/>
      <c r="BB537"/>
      <c r="BC537"/>
      <c r="BD537"/>
      <c r="BE537"/>
      <c r="BF537"/>
      <c r="BG537"/>
      <c r="BH537"/>
      <c r="BI537"/>
      <c r="BJ537" s="3"/>
    </row>
    <row r="538" spans="1:62" ht="11.1" customHeight="1">
      <c r="A538" s="173"/>
      <c r="B538" s="173"/>
      <c r="C538" s="173"/>
      <c r="D538" s="173"/>
      <c r="E538" s="173"/>
      <c r="F538" s="173"/>
      <c r="G538" s="173"/>
      <c r="H538" s="173"/>
      <c r="I538" s="173"/>
      <c r="J538" s="173"/>
      <c r="K538" s="173"/>
      <c r="L538" s="173"/>
      <c r="M538" s="173"/>
      <c r="N538" s="52"/>
      <c r="O538" s="73"/>
      <c r="P538" s="36"/>
      <c r="Q538" s="72"/>
      <c r="R538" s="75"/>
      <c r="S538" s="166"/>
      <c r="T538" s="168"/>
      <c r="V538" s="2"/>
      <c r="AG538"/>
      <c r="AH538"/>
      <c r="AI538"/>
      <c r="AJ538"/>
      <c r="AN538" s="3"/>
      <c r="AO538"/>
      <c r="AP538"/>
      <c r="AQ538"/>
      <c r="AR538"/>
      <c r="AS538"/>
      <c r="AT538"/>
      <c r="AU538"/>
      <c r="AV538"/>
      <c r="AW538"/>
      <c r="AX538"/>
      <c r="AY538"/>
      <c r="AZ538"/>
      <c r="BA538"/>
      <c r="BB538"/>
      <c r="BC538"/>
      <c r="BD538"/>
      <c r="BE538"/>
      <c r="BF538"/>
      <c r="BG538"/>
      <c r="BH538"/>
      <c r="BI538"/>
      <c r="BJ538" s="3"/>
    </row>
    <row r="539" spans="1:62" ht="6" customHeight="1">
      <c r="A539" s="198">
        <v>55</v>
      </c>
      <c r="B539" s="51"/>
      <c r="C539" s="199" t="str">
        <f>INDEX(Riferimenti!$B$2:$B$60,A539)</f>
        <v>3-Idrossi-3-Metilglutarico*</v>
      </c>
      <c r="D539" s="199"/>
      <c r="E539" s="199"/>
      <c r="F539" s="199"/>
      <c r="G539" s="199"/>
      <c r="H539" s="199"/>
      <c r="I539" s="199"/>
      <c r="J539" s="199"/>
      <c r="K539" s="199"/>
      <c r="L539" s="199"/>
      <c r="M539" s="199"/>
      <c r="N539" s="199"/>
      <c r="O539" s="195">
        <f>INDEX(Riferimenti!$C$2:$C$65,A539)</f>
        <v>1.2</v>
      </c>
      <c r="P539" s="200" t="s">
        <v>6</v>
      </c>
      <c r="Q539" s="196">
        <f>INDEX(Riferimenti!$E$2:$E$65,A539)</f>
        <v>5.2</v>
      </c>
      <c r="R539" s="201"/>
      <c r="S539" s="202"/>
      <c r="T539" s="202"/>
      <c r="V539" s="2"/>
      <c r="AG539" s="195">
        <f>INDEX(Riferimenti!$Q$2:$Q$61,A539)</f>
        <v>1.1864662538476092</v>
      </c>
      <c r="AH539" s="195">
        <f>INDEX(Riferimenti!$R$2:$R$61,A539)</f>
        <v>3.2067668288591555</v>
      </c>
      <c r="AI539"/>
      <c r="AJ539"/>
      <c r="AK539" s="222"/>
      <c r="AL539" s="222"/>
      <c r="AM539" s="222"/>
      <c r="AO539"/>
      <c r="AP539"/>
      <c r="AQ539"/>
      <c r="AR539"/>
      <c r="AS539"/>
      <c r="AT539"/>
      <c r="AU539"/>
      <c r="AV539"/>
      <c r="AW539"/>
      <c r="AX539"/>
      <c r="AY539"/>
      <c r="AZ539"/>
      <c r="BA539"/>
      <c r="BB539"/>
      <c r="BC539"/>
      <c r="BD539"/>
      <c r="BE539"/>
      <c r="BF539"/>
      <c r="BG539"/>
      <c r="BH539"/>
      <c r="BI539"/>
      <c r="BJ539" s="3"/>
    </row>
    <row r="540" spans="1:62" ht="5.45" customHeight="1">
      <c r="A540" s="198"/>
      <c r="B540" s="51"/>
      <c r="C540" s="199"/>
      <c r="D540" s="199"/>
      <c r="E540" s="199"/>
      <c r="F540" s="199"/>
      <c r="G540" s="199"/>
      <c r="H540" s="199"/>
      <c r="I540" s="199"/>
      <c r="J540" s="199"/>
      <c r="K540" s="199"/>
      <c r="L540" s="199"/>
      <c r="M540" s="199"/>
      <c r="N540" s="199"/>
      <c r="O540" s="195"/>
      <c r="P540" s="200"/>
      <c r="Q540" s="196"/>
      <c r="R540" s="201"/>
      <c r="S540" s="202"/>
      <c r="T540" s="202"/>
      <c r="U540"/>
      <c r="V540"/>
      <c r="W540"/>
      <c r="X540"/>
      <c r="Y540"/>
      <c r="Z540"/>
      <c r="AA540"/>
      <c r="AB540"/>
      <c r="AC540"/>
      <c r="AD540"/>
      <c r="AE540"/>
      <c r="AF540"/>
      <c r="AG540" s="195"/>
      <c r="AH540" s="195"/>
      <c r="AI540"/>
      <c r="AJ540"/>
      <c r="AK540" s="222"/>
      <c r="AL540" s="222"/>
      <c r="AM540" s="222"/>
      <c r="AN540" s="3"/>
      <c r="AO540"/>
      <c r="AP540"/>
      <c r="AQ540"/>
      <c r="AR540"/>
      <c r="AS540"/>
      <c r="AT540"/>
      <c r="AU540"/>
      <c r="AV540"/>
      <c r="AW540"/>
      <c r="AX540"/>
      <c r="AY540"/>
      <c r="AZ540"/>
      <c r="BA540"/>
      <c r="BB540"/>
      <c r="BC540"/>
      <c r="BD540"/>
      <c r="BE540"/>
      <c r="BF540"/>
      <c r="BG540"/>
      <c r="BH540"/>
      <c r="BI540"/>
      <c r="BJ540" s="3"/>
    </row>
    <row r="541" spans="1:62" ht="6" customHeight="1">
      <c r="A541" s="194"/>
      <c r="B541" s="194"/>
      <c r="C541" s="194"/>
      <c r="D541" s="194"/>
      <c r="E541" s="194"/>
      <c r="F541" s="194"/>
      <c r="G541" s="194"/>
      <c r="H541" s="194"/>
      <c r="I541" s="194"/>
      <c r="J541" s="194"/>
      <c r="K541" s="194"/>
      <c r="L541" s="194"/>
      <c r="M541" s="194"/>
      <c r="N541" s="52"/>
      <c r="O541" s="73"/>
      <c r="P541" s="36"/>
      <c r="Q541" s="72"/>
      <c r="R541" s="75"/>
      <c r="S541" s="166"/>
      <c r="T541" s="167"/>
      <c r="U541" s="24"/>
      <c r="V541" s="40"/>
      <c r="W541" s="40"/>
      <c r="X541" s="40"/>
      <c r="Y541" s="40"/>
      <c r="Z541" s="40"/>
      <c r="AA541" s="40"/>
      <c r="AB541" s="40"/>
      <c r="AC541" s="40"/>
      <c r="AD541" s="40"/>
      <c r="AE541" s="40"/>
      <c r="AF541" s="40"/>
      <c r="AG541"/>
      <c r="AH541"/>
      <c r="AI541"/>
      <c r="AJ541"/>
      <c r="AN541" s="40"/>
      <c r="AO541"/>
      <c r="AP541"/>
      <c r="AQ541"/>
      <c r="AR541"/>
      <c r="AS541"/>
      <c r="AT541"/>
      <c r="AU541"/>
      <c r="AV541"/>
      <c r="AW541"/>
      <c r="AX541"/>
      <c r="AY541"/>
      <c r="AZ541"/>
      <c r="BA541"/>
      <c r="BB541"/>
      <c r="BC541"/>
      <c r="BD541"/>
      <c r="BE541"/>
      <c r="BF541"/>
      <c r="BG541"/>
      <c r="BH541"/>
      <c r="BI541"/>
      <c r="BJ541" s="3"/>
    </row>
    <row r="542" spans="1:62" ht="6" customHeight="1">
      <c r="A542" s="194"/>
      <c r="B542" s="194"/>
      <c r="C542" s="194"/>
      <c r="D542" s="194"/>
      <c r="E542" s="194"/>
      <c r="F542" s="194"/>
      <c r="G542" s="194"/>
      <c r="H542" s="194"/>
      <c r="I542" s="194"/>
      <c r="J542" s="194"/>
      <c r="K542" s="194"/>
      <c r="L542" s="194"/>
      <c r="M542" s="194"/>
      <c r="N542" s="52"/>
      <c r="O542" s="73"/>
      <c r="P542" s="36"/>
      <c r="Q542" s="72"/>
      <c r="R542" s="75"/>
      <c r="S542" s="166"/>
      <c r="T542" s="168"/>
      <c r="V542" s="2"/>
      <c r="AG542"/>
      <c r="AH542"/>
      <c r="AI542"/>
      <c r="AJ542"/>
      <c r="AN542" s="3"/>
      <c r="AO542"/>
      <c r="AP542"/>
      <c r="AQ542"/>
      <c r="AR542"/>
      <c r="AS542"/>
      <c r="AT542"/>
      <c r="AU542"/>
      <c r="AV542"/>
      <c r="AW542"/>
      <c r="AX542"/>
      <c r="AY542"/>
      <c r="AZ542"/>
      <c r="BA542"/>
      <c r="BB542"/>
      <c r="BC542"/>
      <c r="BD542"/>
      <c r="BE542"/>
      <c r="BF542"/>
      <c r="BG542"/>
      <c r="BH542"/>
      <c r="BI542"/>
      <c r="BJ542" s="3"/>
    </row>
    <row r="543" spans="1:62" customFormat="1" ht="6" customHeight="1"/>
    <row r="544" spans="1:62" customFormat="1" ht="5.45" customHeight="1"/>
    <row r="545" spans="1:62" ht="15" customHeight="1">
      <c r="A545" s="220" t="s">
        <v>168</v>
      </c>
      <c r="B545" s="220"/>
      <c r="C545" s="220"/>
      <c r="D545" s="220"/>
      <c r="E545" s="220"/>
      <c r="F545" s="220"/>
      <c r="G545" s="220"/>
      <c r="H545" s="220"/>
      <c r="I545" s="220"/>
      <c r="J545" s="220"/>
      <c r="K545" s="220"/>
      <c r="L545" s="220"/>
      <c r="M545" s="220"/>
      <c r="N545" s="220"/>
      <c r="O545" s="220"/>
      <c r="P545" s="220"/>
      <c r="Q545" s="220"/>
      <c r="R545" s="220"/>
      <c r="S545" s="220"/>
      <c r="T545" s="220"/>
      <c r="U545" s="220"/>
      <c r="V545" s="220"/>
      <c r="W545" s="220"/>
      <c r="X545" s="220"/>
      <c r="Y545" s="220"/>
      <c r="Z545" s="220"/>
      <c r="AA545" s="220"/>
      <c r="AB545" s="220"/>
      <c r="AC545" s="220"/>
      <c r="AD545" s="220"/>
      <c r="AE545" s="220"/>
      <c r="AG545"/>
      <c r="AH545"/>
      <c r="AI545"/>
      <c r="AJ545" s="3"/>
      <c r="AK545" s="3"/>
      <c r="AL545" s="3"/>
      <c r="AM545" s="3"/>
      <c r="AN545" s="3"/>
      <c r="AV545"/>
      <c r="AW545"/>
      <c r="AX545"/>
      <c r="AY545"/>
      <c r="AZ545"/>
      <c r="BA545"/>
      <c r="BB545"/>
      <c r="BC545"/>
      <c r="BD545"/>
      <c r="BE545"/>
      <c r="BF545"/>
      <c r="BG545"/>
      <c r="BH545"/>
      <c r="BI545"/>
    </row>
    <row r="546" spans="1:62" customFormat="1" ht="9.9499999999999993" customHeight="1"/>
    <row r="547" spans="1:62" ht="6" customHeight="1">
      <c r="A547" s="198">
        <v>56</v>
      </c>
      <c r="B547" s="51"/>
      <c r="C547" s="199" t="str">
        <f>INDEX(Riferimenti!$B$2:$B$60,A547)</f>
        <v>Uracile</v>
      </c>
      <c r="D547" s="199"/>
      <c r="E547" s="199"/>
      <c r="F547" s="199"/>
      <c r="G547" s="199"/>
      <c r="H547" s="199"/>
      <c r="I547" s="199"/>
      <c r="J547" s="199"/>
      <c r="K547" s="199"/>
      <c r="L547" s="199"/>
      <c r="M547" s="199"/>
      <c r="N547" s="199"/>
      <c r="O547" s="195">
        <f>INDEX(Riferimenti!$C$2:$C$65,A547)</f>
        <v>0</v>
      </c>
      <c r="P547" s="200" t="s">
        <v>6</v>
      </c>
      <c r="Q547" s="196">
        <f>INDEX(Riferimenti!$E$2:$E$65,A547)</f>
        <v>4.3</v>
      </c>
      <c r="R547" s="201"/>
      <c r="S547" s="202"/>
      <c r="T547" s="202"/>
      <c r="V547" s="2"/>
      <c r="AG547"/>
      <c r="AH547"/>
      <c r="AI547"/>
      <c r="AV547"/>
      <c r="AW547"/>
      <c r="AX547"/>
      <c r="AY547"/>
      <c r="AZ547"/>
      <c r="BA547"/>
      <c r="BB547"/>
      <c r="BC547"/>
      <c r="BD547"/>
      <c r="BE547"/>
      <c r="BF547"/>
      <c r="BG547"/>
      <c r="BH547"/>
      <c r="BI547"/>
      <c r="BJ547" s="3"/>
    </row>
    <row r="548" spans="1:62" ht="5.45" customHeight="1">
      <c r="A548" s="198"/>
      <c r="B548" s="51"/>
      <c r="C548" s="199"/>
      <c r="D548" s="199"/>
      <c r="E548" s="199"/>
      <c r="F548" s="199"/>
      <c r="G548" s="199"/>
      <c r="H548" s="199"/>
      <c r="I548" s="199"/>
      <c r="J548" s="199"/>
      <c r="K548" s="199"/>
      <c r="L548" s="199"/>
      <c r="M548" s="199"/>
      <c r="N548" s="199"/>
      <c r="O548" s="195"/>
      <c r="P548" s="200"/>
      <c r="Q548" s="196"/>
      <c r="R548" s="201"/>
      <c r="S548" s="202"/>
      <c r="T548" s="202"/>
      <c r="U548"/>
      <c r="V548"/>
      <c r="W548"/>
      <c r="X548"/>
      <c r="Y548"/>
      <c r="Z548"/>
      <c r="AA548"/>
      <c r="AB548"/>
      <c r="AC548"/>
      <c r="AD548"/>
      <c r="AE548"/>
      <c r="AF548"/>
      <c r="AG548"/>
      <c r="AH548"/>
      <c r="AI548"/>
      <c r="AN548" s="3"/>
      <c r="AV548"/>
      <c r="AW548"/>
      <c r="AX548"/>
      <c r="AY548"/>
      <c r="AZ548"/>
      <c r="BA548"/>
      <c r="BB548"/>
      <c r="BC548"/>
      <c r="BD548"/>
      <c r="BE548"/>
      <c r="BF548"/>
      <c r="BG548"/>
      <c r="BH548"/>
      <c r="BI548"/>
      <c r="BJ548" s="3"/>
    </row>
    <row r="549" spans="1:62" ht="6" customHeight="1">
      <c r="A549" s="194"/>
      <c r="B549" s="194"/>
      <c r="C549" s="194"/>
      <c r="D549" s="194"/>
      <c r="E549" s="194"/>
      <c r="F549" s="194"/>
      <c r="G549" s="194"/>
      <c r="H549" s="194"/>
      <c r="I549" s="194"/>
      <c r="J549" s="194"/>
      <c r="K549" s="194"/>
      <c r="L549" s="194"/>
      <c r="M549" s="194"/>
      <c r="N549" s="52"/>
      <c r="O549" s="73"/>
      <c r="P549" s="36"/>
      <c r="Q549" s="72"/>
      <c r="R549" s="75"/>
      <c r="S549" s="166"/>
      <c r="T549" s="167"/>
      <c r="U549" s="24"/>
      <c r="V549" s="40"/>
      <c r="W549" s="40"/>
      <c r="X549" s="40"/>
      <c r="Y549" s="40"/>
      <c r="Z549" s="40"/>
      <c r="AA549" s="40"/>
      <c r="AB549" s="40"/>
      <c r="AC549" s="40"/>
      <c r="AD549" s="40"/>
      <c r="AE549" s="40"/>
      <c r="AF549" s="40"/>
      <c r="AG549"/>
      <c r="AH549"/>
      <c r="AI549"/>
      <c r="AJ549"/>
      <c r="AK549"/>
      <c r="AL549"/>
      <c r="AM549"/>
      <c r="AN549" s="40"/>
      <c r="AO549"/>
      <c r="AP549"/>
      <c r="AQ549"/>
      <c r="AR549"/>
      <c r="AS549"/>
      <c r="AT549"/>
      <c r="AU549"/>
      <c r="AV549"/>
      <c r="AW549"/>
      <c r="AX549"/>
      <c r="AY549"/>
      <c r="AZ549"/>
      <c r="BA549"/>
      <c r="BB549"/>
      <c r="BC549"/>
      <c r="BD549"/>
      <c r="BE549"/>
      <c r="BF549"/>
      <c r="BG549"/>
      <c r="BH549"/>
      <c r="BI549"/>
      <c r="BJ549" s="3"/>
    </row>
    <row r="550" spans="1:62" ht="6" customHeight="1">
      <c r="A550" s="194"/>
      <c r="B550" s="194"/>
      <c r="C550" s="194"/>
      <c r="D550" s="194"/>
      <c r="E550" s="194"/>
      <c r="F550" s="194"/>
      <c r="G550" s="194"/>
      <c r="H550" s="194"/>
      <c r="I550" s="194"/>
      <c r="J550" s="194"/>
      <c r="K550" s="194"/>
      <c r="L550" s="194"/>
      <c r="M550" s="194"/>
      <c r="N550" s="52"/>
      <c r="O550" s="73"/>
      <c r="P550" s="36"/>
      <c r="Q550" s="72"/>
      <c r="R550" s="75"/>
      <c r="S550" s="166"/>
      <c r="T550" s="168"/>
      <c r="V550" s="2"/>
      <c r="AG550"/>
      <c r="AH550"/>
      <c r="AI550"/>
      <c r="AJ550"/>
      <c r="AL550"/>
      <c r="AM550"/>
      <c r="AN550" s="3"/>
      <c r="AO550"/>
      <c r="AP550"/>
      <c r="AQ550"/>
      <c r="AR550"/>
      <c r="AS550"/>
      <c r="AT550"/>
      <c r="AU550"/>
      <c r="AV550"/>
      <c r="AW550"/>
      <c r="AX550"/>
      <c r="AY550"/>
      <c r="AZ550"/>
      <c r="BA550"/>
      <c r="BB550"/>
      <c r="BC550"/>
      <c r="BD550"/>
      <c r="BE550"/>
      <c r="BF550"/>
      <c r="BG550"/>
      <c r="BH550"/>
      <c r="BI550"/>
      <c r="BJ550" s="3"/>
    </row>
    <row r="551" spans="1:62" ht="10.9" customHeight="1">
      <c r="A551" s="53"/>
      <c r="B551" s="53"/>
      <c r="C551" s="53"/>
      <c r="D551" s="54"/>
      <c r="E551" s="54"/>
      <c r="F551" s="54"/>
      <c r="G551" s="53"/>
      <c r="H551" s="53"/>
      <c r="I551" s="54"/>
      <c r="J551" s="54"/>
      <c r="K551" s="54"/>
      <c r="L551" s="54"/>
      <c r="M551" s="54"/>
      <c r="N551" s="54"/>
      <c r="O551" s="37"/>
      <c r="P551" s="38"/>
      <c r="Q551" s="44"/>
      <c r="R551" s="3"/>
      <c r="S551" s="158"/>
      <c r="T551" s="158"/>
      <c r="U551" s="197"/>
      <c r="V551" s="197"/>
      <c r="W551" s="3"/>
      <c r="X551" s="3"/>
      <c r="Y551" s="3"/>
      <c r="Z551" s="3"/>
      <c r="AA551" s="3"/>
      <c r="AB551" s="3"/>
      <c r="AC551" s="197"/>
      <c r="AD551" s="197"/>
      <c r="AE551" s="3"/>
      <c r="AF551" s="3"/>
      <c r="AG551"/>
      <c r="AH551"/>
      <c r="AI551"/>
      <c r="AJ551"/>
      <c r="AL551" s="3"/>
      <c r="AM551" s="3"/>
      <c r="AN551" s="3"/>
      <c r="AO551"/>
      <c r="AP551"/>
      <c r="AQ551"/>
      <c r="AR551"/>
      <c r="AS551"/>
      <c r="AT551"/>
      <c r="AU551"/>
      <c r="AV551"/>
      <c r="AW551"/>
      <c r="AX551"/>
      <c r="AY551"/>
      <c r="AZ551"/>
      <c r="BA551"/>
      <c r="BB551"/>
      <c r="BC551"/>
      <c r="BD551"/>
      <c r="BE551"/>
      <c r="BF551"/>
      <c r="BG551"/>
      <c r="BH551"/>
      <c r="BI551"/>
      <c r="BJ551" s="3"/>
    </row>
    <row r="552" spans="1:62" ht="6" customHeight="1">
      <c r="A552" s="198">
        <v>57</v>
      </c>
      <c r="B552" s="51"/>
      <c r="C552" s="199" t="str">
        <f>INDEX(Riferimenti!$B$2:$B$60,A552)</f>
        <v>Timina</v>
      </c>
      <c r="D552" s="199"/>
      <c r="E552" s="199"/>
      <c r="F552" s="199"/>
      <c r="G552" s="199"/>
      <c r="H552" s="199"/>
      <c r="I552" s="199"/>
      <c r="J552" s="199"/>
      <c r="K552" s="199"/>
      <c r="L552" s="199"/>
      <c r="M552" s="199"/>
      <c r="N552" s="199"/>
      <c r="O552" s="195">
        <f>INDEX(Riferimenti!$C$2:$C$65,A552)</f>
        <v>0</v>
      </c>
      <c r="P552" s="200" t="s">
        <v>6</v>
      </c>
      <c r="Q552" s="196">
        <f>INDEX(Riferimenti!$E$2:$E$65,A552)</f>
        <v>0.2</v>
      </c>
      <c r="R552" s="201"/>
      <c r="S552" s="202"/>
      <c r="T552" s="202"/>
      <c r="V552" s="2"/>
      <c r="AG552" s="195">
        <f>INDEX(Riferimenti!$Q$2:$Q$61,A552)</f>
        <v>7.501086571400456E-2</v>
      </c>
      <c r="AH552" s="195">
        <f>INDEX(Riferimenti!$R$2:$R$61,A552)</f>
        <v>0.15522992429045387</v>
      </c>
      <c r="AI552"/>
      <c r="AJ552"/>
      <c r="AK552" s="222"/>
      <c r="AL552" s="222"/>
      <c r="AM552" s="222"/>
      <c r="AO552"/>
      <c r="AP552"/>
      <c r="AQ552"/>
      <c r="AR552"/>
      <c r="AS552"/>
      <c r="AT552"/>
      <c r="AU552"/>
      <c r="AV552"/>
      <c r="AW552"/>
      <c r="AX552"/>
      <c r="AY552"/>
      <c r="AZ552"/>
      <c r="BA552"/>
      <c r="BB552"/>
      <c r="BC552"/>
      <c r="BD552"/>
      <c r="BE552"/>
      <c r="BF552"/>
      <c r="BG552"/>
      <c r="BH552"/>
      <c r="BI552"/>
      <c r="BJ552" s="3"/>
    </row>
    <row r="553" spans="1:62" ht="5.45" customHeight="1">
      <c r="A553" s="198"/>
      <c r="B553" s="51"/>
      <c r="C553" s="199"/>
      <c r="D553" s="199"/>
      <c r="E553" s="199"/>
      <c r="F553" s="199"/>
      <c r="G553" s="199"/>
      <c r="H553" s="199"/>
      <c r="I553" s="199"/>
      <c r="J553" s="199"/>
      <c r="K553" s="199"/>
      <c r="L553" s="199"/>
      <c r="M553" s="199"/>
      <c r="N553" s="199"/>
      <c r="O553" s="195"/>
      <c r="P553" s="200"/>
      <c r="Q553" s="196"/>
      <c r="R553" s="201"/>
      <c r="S553" s="202"/>
      <c r="T553" s="202"/>
      <c r="U553"/>
      <c r="V553"/>
      <c r="W553"/>
      <c r="X553"/>
      <c r="Y553"/>
      <c r="Z553"/>
      <c r="AA553"/>
      <c r="AB553"/>
      <c r="AC553"/>
      <c r="AD553"/>
      <c r="AE553"/>
      <c r="AF553"/>
      <c r="AG553" s="195"/>
      <c r="AH553" s="195"/>
      <c r="AI553"/>
      <c r="AJ553"/>
      <c r="AK553" s="222"/>
      <c r="AL553" s="222"/>
      <c r="AM553" s="222"/>
      <c r="AN553" s="3"/>
      <c r="AO553"/>
      <c r="AP553"/>
      <c r="AQ553"/>
      <c r="AR553"/>
      <c r="AS553"/>
      <c r="AT553"/>
      <c r="AU553"/>
      <c r="AV553"/>
      <c r="AW553"/>
      <c r="AX553"/>
      <c r="AY553"/>
      <c r="AZ553"/>
      <c r="BA553"/>
      <c r="BB553"/>
      <c r="BC553"/>
      <c r="BD553"/>
      <c r="BE553"/>
      <c r="BF553"/>
      <c r="BG553"/>
      <c r="BH553"/>
      <c r="BI553"/>
      <c r="BJ553" s="3"/>
    </row>
    <row r="554" spans="1:62" ht="6" customHeight="1">
      <c r="A554" s="194"/>
      <c r="B554" s="194"/>
      <c r="C554" s="194"/>
      <c r="D554" s="194"/>
      <c r="E554" s="194"/>
      <c r="F554" s="194"/>
      <c r="G554" s="194"/>
      <c r="H554" s="194"/>
      <c r="I554" s="194"/>
      <c r="J554" s="194"/>
      <c r="K554" s="194"/>
      <c r="L554" s="194"/>
      <c r="M554" s="194"/>
      <c r="N554" s="52"/>
      <c r="O554" s="73"/>
      <c r="P554" s="36"/>
      <c r="Q554" s="72"/>
      <c r="R554" s="75"/>
      <c r="S554" s="166"/>
      <c r="T554" s="167"/>
      <c r="U554" s="24"/>
      <c r="V554" s="40"/>
      <c r="W554" s="40"/>
      <c r="X554" s="40"/>
      <c r="Y554" s="40"/>
      <c r="Z554" s="40"/>
      <c r="AA554" s="40"/>
      <c r="AB554" s="40"/>
      <c r="AC554" s="40"/>
      <c r="AD554" s="40"/>
      <c r="AE554" s="40"/>
      <c r="AF554" s="40"/>
      <c r="AG554"/>
      <c r="AH554"/>
      <c r="AI554"/>
      <c r="AJ554"/>
      <c r="AK554" s="3"/>
      <c r="AL554" s="3"/>
      <c r="AM554" s="3"/>
      <c r="AN554" s="40"/>
      <c r="AO554"/>
      <c r="AP554"/>
      <c r="AQ554"/>
      <c r="AR554"/>
      <c r="AS554"/>
      <c r="AT554"/>
      <c r="AU554"/>
      <c r="AV554"/>
      <c r="AW554"/>
      <c r="AX554"/>
      <c r="AY554"/>
      <c r="AZ554"/>
      <c r="BA554"/>
      <c r="BB554"/>
      <c r="BC554"/>
      <c r="BD554"/>
      <c r="BE554"/>
      <c r="BF554"/>
      <c r="BG554"/>
      <c r="BH554"/>
      <c r="BI554"/>
      <c r="BJ554" s="3"/>
    </row>
    <row r="555" spans="1:62" ht="6" customHeight="1">
      <c r="A555" s="194"/>
      <c r="B555" s="194"/>
      <c r="C555" s="194"/>
      <c r="D555" s="194"/>
      <c r="E555" s="194"/>
      <c r="F555" s="194"/>
      <c r="G555" s="194"/>
      <c r="H555" s="194"/>
      <c r="I555" s="194"/>
      <c r="J555" s="194"/>
      <c r="K555" s="194"/>
      <c r="L555" s="194"/>
      <c r="M555" s="194"/>
      <c r="N555" s="52"/>
      <c r="O555" s="73"/>
      <c r="P555" s="36"/>
      <c r="Q555" s="72"/>
      <c r="R555" s="75"/>
      <c r="S555" s="166"/>
      <c r="T555" s="168"/>
      <c r="V555" s="2"/>
      <c r="AG555"/>
      <c r="AH555"/>
      <c r="AI555"/>
      <c r="AJ555"/>
      <c r="AK555" s="3"/>
      <c r="AL555" s="3"/>
      <c r="AM555" s="3"/>
      <c r="AN555" s="3"/>
      <c r="AO555"/>
      <c r="AP555"/>
      <c r="AQ555"/>
      <c r="AR555"/>
      <c r="AS555"/>
      <c r="AT555"/>
      <c r="AU555"/>
      <c r="AV555"/>
      <c r="AW555"/>
      <c r="AX555"/>
      <c r="AY555"/>
      <c r="AZ555"/>
      <c r="BA555"/>
      <c r="BB555"/>
      <c r="BC555"/>
      <c r="BD555"/>
      <c r="BE555"/>
      <c r="BF555"/>
      <c r="BG555"/>
      <c r="BH555"/>
      <c r="BI555"/>
      <c r="BJ555" s="3"/>
    </row>
    <row r="556" spans="1:62" ht="16.5" customHeight="1">
      <c r="A556" s="177" t="s">
        <v>452</v>
      </c>
      <c r="K556" s="207">
        <v>1</v>
      </c>
      <c r="L556" s="207"/>
    </row>
    <row r="557" spans="1:62" ht="12.75" customHeight="1">
      <c r="A557" t="s">
        <v>442</v>
      </c>
      <c r="B557" s="74"/>
      <c r="C557" s="74"/>
      <c r="D557" s="74"/>
      <c r="E557" s="74"/>
      <c r="F557" s="74"/>
      <c r="G557" s="74"/>
      <c r="H557" s="74"/>
      <c r="I557" s="74"/>
      <c r="J557" s="74"/>
      <c r="K557" s="207">
        <v>2</v>
      </c>
      <c r="L557" s="207"/>
      <c r="M557" s="74"/>
      <c r="N557" s="25"/>
      <c r="O557" s="77"/>
      <c r="P557" s="35"/>
      <c r="Q557" s="34"/>
      <c r="R557" s="40"/>
      <c r="S557" s="23"/>
      <c r="V557" s="2"/>
      <c r="AN557" s="3"/>
      <c r="AO557" s="3"/>
      <c r="AP557" s="3"/>
      <c r="AQ557" s="3"/>
      <c r="AR557" s="3"/>
      <c r="AS557" s="3"/>
      <c r="AT557" s="3"/>
      <c r="AU557" s="3"/>
      <c r="AV557" s="3"/>
      <c r="AW557" s="3"/>
      <c r="AX557" s="3"/>
      <c r="AY557" s="3"/>
      <c r="AZ557" s="3"/>
      <c r="BA557" s="3"/>
      <c r="BB557" s="3"/>
      <c r="BC557" s="3"/>
      <c r="BD557" s="3"/>
      <c r="BE557" s="3"/>
      <c r="BF557" s="3"/>
      <c r="BG557" s="3"/>
      <c r="BH557" s="3"/>
      <c r="BI557" s="3"/>
      <c r="BJ557" s="3"/>
    </row>
    <row r="558" spans="1:62" ht="12.75" customHeight="1">
      <c r="A558"/>
      <c r="B558"/>
      <c r="C558"/>
      <c r="D558"/>
      <c r="E558"/>
      <c r="F558"/>
      <c r="G558"/>
      <c r="H558"/>
      <c r="I558"/>
      <c r="J558"/>
      <c r="K558" s="207">
        <v>3</v>
      </c>
      <c r="L558" s="207"/>
      <c r="M558"/>
      <c r="N558"/>
      <c r="O558"/>
      <c r="P558"/>
      <c r="Q558"/>
      <c r="R558" s="40"/>
      <c r="S558" s="23"/>
      <c r="V558" s="2"/>
      <c r="AN558" s="3"/>
      <c r="AO558" s="3"/>
      <c r="AP558" s="3"/>
      <c r="AQ558" s="3"/>
      <c r="AR558" s="3"/>
      <c r="AS558" s="3"/>
      <c r="AT558" s="3"/>
      <c r="AU558" s="3"/>
      <c r="AV558" s="3"/>
      <c r="AW558" s="3"/>
      <c r="AX558" s="3"/>
      <c r="AY558" s="3"/>
      <c r="AZ558" s="3"/>
      <c r="BA558" s="3"/>
      <c r="BB558" s="3"/>
      <c r="BC558" s="3"/>
      <c r="BD558" s="3"/>
      <c r="BE558" s="3"/>
      <c r="BF558" s="3"/>
      <c r="BG558" s="3"/>
      <c r="BH558" s="3"/>
      <c r="BI558" s="3"/>
      <c r="BJ558" s="3"/>
    </row>
    <row r="559" spans="1:62" ht="12.75" customHeight="1">
      <c r="A559"/>
      <c r="B559"/>
      <c r="C559"/>
      <c r="D559"/>
      <c r="E559"/>
      <c r="F559"/>
      <c r="G559"/>
      <c r="H559"/>
      <c r="I559"/>
      <c r="J559"/>
      <c r="K559" s="207">
        <v>4</v>
      </c>
      <c r="L559" s="207"/>
      <c r="M559"/>
      <c r="N559"/>
      <c r="O559"/>
      <c r="P559"/>
      <c r="Q559"/>
      <c r="R559" s="40"/>
      <c r="S559" s="23"/>
      <c r="V559" s="2"/>
      <c r="AN559" s="3"/>
      <c r="AO559" s="3"/>
      <c r="AP559" s="3"/>
      <c r="AQ559" s="3"/>
      <c r="AR559" s="3"/>
      <c r="AS559" s="3"/>
      <c r="AT559" s="3"/>
      <c r="AU559" s="3"/>
      <c r="AV559" s="3"/>
      <c r="AW559" s="3"/>
      <c r="AX559" s="3"/>
      <c r="AY559" s="3"/>
      <c r="AZ559" s="3"/>
      <c r="BA559" s="3"/>
      <c r="BB559" s="3"/>
      <c r="BC559" s="3"/>
      <c r="BD559" s="3"/>
      <c r="BE559" s="3"/>
      <c r="BF559" s="3"/>
      <c r="BG559" s="3"/>
      <c r="BH559" s="3"/>
      <c r="BI559" s="3"/>
      <c r="BJ559" s="3"/>
    </row>
    <row r="560" spans="1:62" ht="12.75" customHeight="1">
      <c r="A560"/>
      <c r="B560"/>
      <c r="C560"/>
      <c r="D560"/>
      <c r="E560"/>
      <c r="F560"/>
      <c r="G560"/>
      <c r="H560"/>
      <c r="I560"/>
      <c r="J560"/>
      <c r="K560" s="207">
        <v>5</v>
      </c>
      <c r="L560" s="207"/>
      <c r="M560"/>
      <c r="N560"/>
      <c r="O560"/>
      <c r="P560"/>
      <c r="Q560"/>
      <c r="R560" s="40"/>
      <c r="S560" s="23"/>
      <c r="V560" s="2"/>
      <c r="AN560" s="3"/>
      <c r="AO560" s="3"/>
      <c r="AP560" s="3"/>
      <c r="AQ560" s="3"/>
      <c r="AR560" s="3"/>
      <c r="AS560" s="3"/>
      <c r="AT560" s="3"/>
      <c r="AU560" s="3"/>
      <c r="AV560" s="3"/>
      <c r="AW560" s="3"/>
      <c r="AX560" s="3"/>
      <c r="AY560" s="3"/>
      <c r="AZ560" s="3"/>
      <c r="BA560" s="3"/>
      <c r="BB560" s="3"/>
      <c r="BC560" s="3"/>
      <c r="BD560" s="3"/>
      <c r="BE560" s="3"/>
      <c r="BF560" s="3"/>
      <c r="BG560" s="3"/>
      <c r="BH560" s="3"/>
      <c r="BI560" s="3"/>
      <c r="BJ560" s="3"/>
    </row>
    <row r="561" spans="1:62" ht="12.75" customHeight="1">
      <c r="A561"/>
      <c r="B561"/>
      <c r="C561"/>
      <c r="D561"/>
      <c r="E561"/>
      <c r="F561"/>
      <c r="G561"/>
      <c r="H561"/>
      <c r="I561"/>
      <c r="J561"/>
      <c r="K561" s="207">
        <v>6</v>
      </c>
      <c r="L561" s="207"/>
      <c r="M561"/>
      <c r="N561"/>
      <c r="O561"/>
      <c r="P561"/>
      <c r="Q561"/>
      <c r="R561" s="40"/>
      <c r="S561" s="23"/>
      <c r="V561" s="2"/>
      <c r="AN561" s="3"/>
      <c r="AO561" s="3"/>
      <c r="AP561" s="3"/>
      <c r="AQ561" s="3"/>
      <c r="AR561" s="3"/>
      <c r="AS561" s="3"/>
      <c r="AT561" s="3"/>
      <c r="AU561" s="3"/>
      <c r="AV561" s="3"/>
      <c r="AW561" s="3"/>
      <c r="AX561" s="3"/>
      <c r="AY561" s="3"/>
      <c r="AZ561" s="3"/>
      <c r="BA561" s="3"/>
      <c r="BB561" s="3"/>
      <c r="BC561" s="3"/>
      <c r="BD561" s="3"/>
      <c r="BE561" s="3"/>
      <c r="BF561" s="3"/>
      <c r="BG561" s="3"/>
      <c r="BH561" s="3"/>
      <c r="BI561" s="3"/>
      <c r="BJ561" s="3"/>
    </row>
    <row r="562" spans="1:62" ht="12.75" customHeight="1">
      <c r="A562"/>
      <c r="B562"/>
      <c r="C562"/>
      <c r="D562"/>
      <c r="E562"/>
      <c r="F562"/>
      <c r="G562"/>
      <c r="H562"/>
      <c r="I562"/>
      <c r="J562"/>
      <c r="K562" s="207">
        <v>7</v>
      </c>
      <c r="L562" s="207"/>
      <c r="M562"/>
      <c r="N562"/>
      <c r="O562"/>
      <c r="P562"/>
      <c r="Q562"/>
      <c r="R562" s="40"/>
      <c r="S562" s="23"/>
      <c r="V562" s="2"/>
      <c r="AN562" s="3"/>
      <c r="AO562" s="3"/>
      <c r="AP562" s="3"/>
      <c r="AQ562" s="3"/>
      <c r="AR562" s="3"/>
      <c r="AS562" s="3"/>
      <c r="AT562" s="3"/>
      <c r="AU562" s="3"/>
      <c r="AV562" s="3"/>
      <c r="AW562" s="3"/>
      <c r="AX562" s="3"/>
      <c r="AY562" s="3"/>
      <c r="AZ562" s="3"/>
      <c r="BA562" s="3"/>
      <c r="BB562" s="3"/>
      <c r="BC562" s="3"/>
      <c r="BD562" s="3"/>
      <c r="BE562" s="3"/>
      <c r="BF562" s="3"/>
      <c r="BG562" s="3"/>
      <c r="BH562" s="3"/>
      <c r="BI562" s="3"/>
      <c r="BJ562" s="3"/>
    </row>
    <row r="563" spans="1:62" ht="12.75" customHeight="1">
      <c r="A563"/>
      <c r="B563"/>
      <c r="C563"/>
      <c r="D563"/>
      <c r="E563"/>
      <c r="F563"/>
      <c r="G563"/>
      <c r="H563"/>
      <c r="I563"/>
      <c r="J563"/>
      <c r="K563" s="207">
        <v>8</v>
      </c>
      <c r="L563" s="207"/>
      <c r="M563"/>
      <c r="N563"/>
      <c r="O563"/>
      <c r="P563"/>
      <c r="Q563"/>
      <c r="R563" s="40"/>
      <c r="S563" s="23"/>
      <c r="V563" s="2"/>
      <c r="AN563" s="3"/>
      <c r="AO563" s="3"/>
      <c r="AP563" s="3"/>
      <c r="AQ563" s="3"/>
      <c r="AR563" s="3"/>
      <c r="AS563" s="3"/>
      <c r="AT563" s="3"/>
      <c r="AU563" s="3"/>
      <c r="AV563" s="3"/>
      <c r="AW563" s="3"/>
      <c r="AX563" s="3"/>
      <c r="AY563" s="3"/>
      <c r="AZ563" s="3"/>
      <c r="BA563" s="3"/>
      <c r="BB563" s="3"/>
      <c r="BC563" s="3"/>
      <c r="BD563" s="3"/>
      <c r="BE563" s="3"/>
      <c r="BF563" s="3"/>
      <c r="BG563" s="3"/>
      <c r="BH563" s="3"/>
      <c r="BI563" s="3"/>
      <c r="BJ563" s="3"/>
    </row>
    <row r="564" spans="1:62" ht="12.75" customHeight="1">
      <c r="A564"/>
      <c r="B564"/>
      <c r="C564"/>
      <c r="D564"/>
      <c r="E564"/>
      <c r="F564"/>
      <c r="G564"/>
      <c r="H564"/>
      <c r="I564"/>
      <c r="J564"/>
      <c r="K564" s="207">
        <v>9</v>
      </c>
      <c r="L564" s="207"/>
      <c r="M564"/>
      <c r="N564"/>
      <c r="O564"/>
      <c r="P564"/>
      <c r="Q564"/>
      <c r="R564" s="40"/>
      <c r="S564" s="23"/>
      <c r="V564" s="2"/>
      <c r="AN564" s="3"/>
      <c r="AO564" s="3"/>
      <c r="AP564" s="3"/>
      <c r="AQ564" s="3"/>
      <c r="AR564" s="3"/>
      <c r="AS564" s="3"/>
      <c r="AT564" s="3"/>
      <c r="AU564" s="3"/>
      <c r="AV564" s="3"/>
      <c r="AW564" s="3"/>
      <c r="AX564" s="3"/>
      <c r="AY564" s="3"/>
      <c r="AZ564" s="3"/>
      <c r="BA564" s="3"/>
      <c r="BB564" s="3"/>
      <c r="BC564" s="3"/>
      <c r="BD564" s="3"/>
      <c r="BE564" s="3"/>
      <c r="BF564" s="3"/>
      <c r="BG564" s="3"/>
      <c r="BH564" s="3"/>
      <c r="BI564" s="3"/>
      <c r="BJ564" s="3"/>
    </row>
    <row r="565" spans="1:62" ht="12.75" customHeight="1">
      <c r="A565"/>
      <c r="B565"/>
      <c r="C565"/>
      <c r="D565"/>
      <c r="E565"/>
      <c r="F565"/>
      <c r="G565"/>
      <c r="H565"/>
      <c r="I565"/>
      <c r="J565"/>
      <c r="K565" s="207">
        <v>10</v>
      </c>
      <c r="L565" s="207"/>
      <c r="M565"/>
      <c r="N565"/>
      <c r="O565"/>
      <c r="P565"/>
      <c r="Q565"/>
      <c r="R565" s="40"/>
      <c r="S565" s="23"/>
      <c r="V565" s="2"/>
      <c r="AN565" s="3"/>
      <c r="AO565" s="3"/>
      <c r="AP565" s="3"/>
      <c r="AQ565" s="3"/>
      <c r="AR565" s="3"/>
      <c r="AS565" s="3"/>
      <c r="AT565" s="3"/>
      <c r="AU565" s="3"/>
      <c r="AV565" s="3"/>
      <c r="AW565" s="3"/>
      <c r="AX565" s="3"/>
      <c r="AY565" s="3"/>
      <c r="AZ565" s="3"/>
      <c r="BA565" s="3"/>
      <c r="BB565" s="3"/>
      <c r="BC565" s="3"/>
      <c r="BD565" s="3"/>
      <c r="BE565" s="3"/>
      <c r="BF565" s="3"/>
      <c r="BG565" s="3"/>
      <c r="BH565" s="3"/>
      <c r="BI565" s="3"/>
      <c r="BJ565" s="3"/>
    </row>
    <row r="566" spans="1:62" ht="12.75" customHeight="1">
      <c r="A566"/>
      <c r="B566"/>
      <c r="C566"/>
      <c r="D566"/>
      <c r="E566"/>
      <c r="F566"/>
      <c r="G566"/>
      <c r="H566"/>
      <c r="I566"/>
      <c r="J566"/>
      <c r="K566" s="207">
        <v>11</v>
      </c>
      <c r="L566" s="207"/>
      <c r="M566"/>
      <c r="N566"/>
      <c r="O566"/>
      <c r="P566"/>
      <c r="Q566"/>
      <c r="R566" s="40"/>
      <c r="S566" s="23"/>
      <c r="V566" s="2"/>
      <c r="AN566" s="3"/>
      <c r="AO566" s="3"/>
      <c r="AP566" s="3"/>
      <c r="AQ566" s="3"/>
      <c r="AR566" s="3"/>
      <c r="AS566" s="3"/>
      <c r="AT566" s="3"/>
      <c r="AU566" s="3"/>
      <c r="AV566" s="3"/>
      <c r="AW566" s="3"/>
      <c r="AX566" s="3"/>
      <c r="AY566" s="3"/>
      <c r="AZ566" s="3"/>
      <c r="BA566" s="3"/>
      <c r="BB566" s="3"/>
      <c r="BC566" s="3"/>
      <c r="BD566" s="3"/>
      <c r="BE566" s="3"/>
      <c r="BF566" s="3"/>
      <c r="BG566" s="3"/>
      <c r="BH566" s="3"/>
      <c r="BI566" s="3"/>
      <c r="BJ566" s="3"/>
    </row>
    <row r="567" spans="1:62" ht="12.75" customHeight="1">
      <c r="A567"/>
      <c r="B567"/>
      <c r="C567"/>
      <c r="D567"/>
      <c r="E567"/>
      <c r="F567"/>
      <c r="G567"/>
      <c r="H567"/>
      <c r="I567"/>
      <c r="J567"/>
      <c r="K567" s="207">
        <v>12</v>
      </c>
      <c r="L567" s="207"/>
      <c r="M567"/>
      <c r="N567"/>
      <c r="O567"/>
      <c r="P567"/>
      <c r="Q567"/>
      <c r="R567" s="40"/>
      <c r="S567" s="23"/>
      <c r="V567" s="2"/>
      <c r="AN567" s="3"/>
      <c r="AO567" s="3"/>
      <c r="AP567" s="3"/>
      <c r="AQ567" s="3"/>
      <c r="AR567" s="3"/>
      <c r="AS567" s="3"/>
      <c r="AT567" s="3"/>
      <c r="AU567" s="3"/>
      <c r="AV567" s="3"/>
      <c r="AW567" s="3"/>
      <c r="AX567" s="3"/>
      <c r="AY567" s="3"/>
      <c r="AZ567" s="3"/>
      <c r="BA567" s="3"/>
      <c r="BB567" s="3"/>
      <c r="BC567" s="3"/>
      <c r="BD567" s="3"/>
      <c r="BE567" s="3"/>
      <c r="BF567" s="3"/>
      <c r="BG567" s="3"/>
      <c r="BH567" s="3"/>
      <c r="BI567" s="3"/>
      <c r="BJ567" s="3"/>
    </row>
    <row r="568" spans="1:62" ht="12.75" customHeight="1">
      <c r="A568"/>
      <c r="B568"/>
      <c r="C568"/>
      <c r="D568"/>
      <c r="E568"/>
      <c r="F568"/>
      <c r="G568"/>
      <c r="H568"/>
      <c r="I568"/>
      <c r="J568"/>
      <c r="K568" s="207">
        <v>13</v>
      </c>
      <c r="L568" s="207"/>
      <c r="M568"/>
      <c r="N568"/>
      <c r="O568"/>
      <c r="P568"/>
      <c r="Q568"/>
      <c r="R568" s="40"/>
      <c r="S568" s="23"/>
      <c r="V568" s="2"/>
      <c r="AN568" s="3"/>
      <c r="AO568" s="3"/>
      <c r="AP568" s="3"/>
      <c r="AQ568" s="3"/>
      <c r="AR568" s="3"/>
      <c r="AS568" s="3"/>
      <c r="AT568" s="3"/>
      <c r="AU568" s="3"/>
      <c r="AV568" s="3"/>
      <c r="AW568" s="3"/>
      <c r="AX568" s="3"/>
      <c r="AY568" s="3"/>
      <c r="AZ568" s="3"/>
      <c r="BA568" s="3"/>
      <c r="BB568" s="3"/>
      <c r="BC568" s="3"/>
      <c r="BD568" s="3"/>
      <c r="BE568" s="3"/>
      <c r="BF568" s="3"/>
      <c r="BG568" s="3"/>
      <c r="BH568" s="3"/>
      <c r="BI568" s="3"/>
      <c r="BJ568" s="3"/>
    </row>
    <row r="569" spans="1:62" ht="12.75" customHeight="1">
      <c r="A569"/>
      <c r="B569"/>
      <c r="C569"/>
      <c r="D569"/>
      <c r="E569"/>
      <c r="F569"/>
      <c r="G569"/>
      <c r="H569"/>
      <c r="I569"/>
      <c r="J569"/>
      <c r="K569" s="207">
        <v>14</v>
      </c>
      <c r="L569" s="207"/>
      <c r="M569"/>
      <c r="N569"/>
      <c r="O569"/>
      <c r="P569"/>
      <c r="Q569"/>
      <c r="R569" s="40"/>
      <c r="S569" s="23"/>
      <c r="V569" s="2"/>
      <c r="AN569" s="3"/>
      <c r="AO569" s="3"/>
      <c r="AP569" s="3"/>
      <c r="AQ569" s="3"/>
      <c r="AR569" s="3"/>
      <c r="AS569" s="3"/>
      <c r="AT569" s="3"/>
      <c r="AU569" s="3"/>
      <c r="AV569" s="3"/>
      <c r="AW569" s="3"/>
      <c r="AX569" s="3"/>
      <c r="AY569" s="3"/>
      <c r="AZ569" s="3"/>
      <c r="BA569" s="3"/>
      <c r="BB569" s="3"/>
      <c r="BC569" s="3"/>
      <c r="BD569" s="3"/>
      <c r="BE569" s="3"/>
      <c r="BF569" s="3"/>
      <c r="BG569" s="3"/>
      <c r="BH569" s="3"/>
      <c r="BI569" s="3"/>
      <c r="BJ569" s="3"/>
    </row>
    <row r="570" spans="1:62" ht="12.75" customHeight="1">
      <c r="A570"/>
      <c r="B570"/>
      <c r="C570"/>
      <c r="D570"/>
      <c r="E570"/>
      <c r="F570"/>
      <c r="G570"/>
      <c r="H570"/>
      <c r="I570"/>
      <c r="J570"/>
      <c r="K570" s="207">
        <v>15</v>
      </c>
      <c r="L570" s="207"/>
      <c r="M570"/>
      <c r="N570"/>
      <c r="O570"/>
      <c r="P570"/>
      <c r="Q570"/>
      <c r="R570" s="40"/>
      <c r="S570" s="23"/>
      <c r="V570" s="2"/>
      <c r="AN570" s="3"/>
      <c r="AO570" s="3"/>
      <c r="AP570" s="3"/>
      <c r="AQ570" s="3"/>
      <c r="AR570" s="3"/>
      <c r="AS570" s="3"/>
      <c r="AT570" s="3"/>
      <c r="AU570" s="3"/>
      <c r="AV570" s="3"/>
      <c r="AW570" s="3"/>
      <c r="AX570" s="3"/>
      <c r="AY570" s="3"/>
      <c r="AZ570" s="3"/>
      <c r="BA570" s="3"/>
      <c r="BB570" s="3"/>
      <c r="BC570" s="3"/>
      <c r="BD570" s="3"/>
      <c r="BE570" s="3"/>
      <c r="BF570" s="3"/>
      <c r="BG570" s="3"/>
      <c r="BH570" s="3"/>
      <c r="BI570" s="3"/>
      <c r="BJ570" s="3"/>
    </row>
    <row r="571" spans="1:62" ht="12.75" customHeight="1">
      <c r="A571"/>
      <c r="B571"/>
      <c r="C571"/>
      <c r="D571"/>
      <c r="E571"/>
      <c r="F571"/>
      <c r="G571"/>
      <c r="H571"/>
      <c r="I571"/>
      <c r="J571"/>
      <c r="K571" s="207">
        <v>16</v>
      </c>
      <c r="L571" s="207"/>
      <c r="M571"/>
      <c r="N571"/>
      <c r="O571"/>
      <c r="P571"/>
      <c r="Q571"/>
      <c r="R571" s="40"/>
      <c r="S571" s="23"/>
      <c r="V571" s="2"/>
      <c r="AN571" s="3"/>
      <c r="AO571" s="3"/>
      <c r="AP571" s="3"/>
      <c r="AQ571" s="3"/>
      <c r="AR571" s="3"/>
      <c r="AS571" s="3"/>
      <c r="AT571" s="3"/>
      <c r="AU571" s="3"/>
      <c r="AV571" s="3"/>
      <c r="AW571" s="3"/>
      <c r="AX571" s="3"/>
      <c r="AY571" s="3"/>
      <c r="AZ571" s="3"/>
      <c r="BA571" s="3"/>
      <c r="BB571" s="3"/>
      <c r="BC571" s="3"/>
      <c r="BD571" s="3"/>
      <c r="BE571" s="3"/>
      <c r="BF571" s="3"/>
      <c r="BG571" s="3"/>
      <c r="BH571" s="3"/>
      <c r="BI571" s="3"/>
      <c r="BJ571" s="3"/>
    </row>
    <row r="572" spans="1:62" ht="12.75" customHeight="1">
      <c r="A572"/>
      <c r="B572"/>
      <c r="C572"/>
      <c r="D572"/>
      <c r="E572"/>
      <c r="F572"/>
      <c r="G572"/>
      <c r="H572"/>
      <c r="I572"/>
      <c r="J572"/>
      <c r="K572" s="207">
        <v>17</v>
      </c>
      <c r="L572" s="207"/>
      <c r="M572"/>
      <c r="N572"/>
      <c r="O572"/>
      <c r="P572"/>
      <c r="Q572"/>
      <c r="R572" s="40"/>
      <c r="S572" s="23"/>
      <c r="V572" s="2"/>
      <c r="AN572" s="3"/>
      <c r="AO572" s="3"/>
      <c r="AP572" s="3"/>
      <c r="AQ572" s="3"/>
      <c r="AR572" s="3"/>
      <c r="AS572" s="3"/>
      <c r="AT572" s="3"/>
      <c r="AU572" s="3"/>
      <c r="AV572" s="3"/>
      <c r="AW572" s="3"/>
      <c r="AX572" s="3"/>
      <c r="AY572" s="3"/>
      <c r="AZ572" s="3"/>
      <c r="BA572" s="3"/>
      <c r="BB572" s="3"/>
      <c r="BC572" s="3"/>
      <c r="BD572" s="3"/>
      <c r="BE572" s="3"/>
      <c r="BF572" s="3"/>
      <c r="BG572" s="3"/>
      <c r="BH572" s="3"/>
      <c r="BI572" s="3"/>
      <c r="BJ572" s="3"/>
    </row>
    <row r="573" spans="1:62" ht="12.75" customHeight="1">
      <c r="A573"/>
      <c r="B573"/>
      <c r="C573"/>
      <c r="D573"/>
      <c r="E573"/>
      <c r="F573"/>
      <c r="G573"/>
      <c r="H573"/>
      <c r="I573"/>
      <c r="J573"/>
      <c r="K573" s="207">
        <v>18</v>
      </c>
      <c r="L573" s="207"/>
      <c r="M573"/>
      <c r="N573"/>
      <c r="O573"/>
      <c r="P573"/>
      <c r="Q573"/>
      <c r="R573" s="40"/>
      <c r="S573" s="23"/>
      <c r="V573" s="2"/>
      <c r="AN573" s="3"/>
      <c r="AO573" s="3"/>
      <c r="AP573" s="3"/>
      <c r="AQ573" s="3"/>
      <c r="AR573" s="3"/>
      <c r="AS573" s="3"/>
      <c r="AT573" s="3"/>
      <c r="AU573" s="3"/>
      <c r="AV573" s="3"/>
      <c r="AW573" s="3"/>
      <c r="AX573" s="3"/>
      <c r="AY573" s="3"/>
      <c r="AZ573" s="3"/>
      <c r="BA573" s="3"/>
      <c r="BB573" s="3"/>
      <c r="BC573" s="3"/>
      <c r="BD573" s="3"/>
      <c r="BE573" s="3"/>
      <c r="BF573" s="3"/>
      <c r="BG573" s="3"/>
      <c r="BH573" s="3"/>
      <c r="BI573" s="3"/>
      <c r="BJ573" s="3"/>
    </row>
    <row r="574" spans="1:62" ht="12.75" customHeight="1">
      <c r="A574"/>
      <c r="B574"/>
      <c r="C574"/>
      <c r="D574"/>
      <c r="E574"/>
      <c r="F574"/>
      <c r="G574"/>
      <c r="H574"/>
      <c r="I574"/>
      <c r="J574"/>
      <c r="K574" s="207">
        <v>19</v>
      </c>
      <c r="L574" s="207"/>
      <c r="M574"/>
      <c r="N574"/>
      <c r="O574"/>
      <c r="P574"/>
      <c r="Q574"/>
      <c r="R574" s="40"/>
      <c r="S574" s="23"/>
      <c r="V574" s="2"/>
      <c r="AN574" s="3"/>
      <c r="AO574" s="3"/>
      <c r="AP574" s="3"/>
      <c r="AQ574" s="3"/>
      <c r="AR574" s="3"/>
      <c r="AS574" s="3"/>
      <c r="AT574" s="3"/>
      <c r="AU574" s="3"/>
      <c r="AV574" s="3"/>
      <c r="AW574" s="3"/>
      <c r="AX574" s="3"/>
      <c r="AY574" s="3"/>
      <c r="AZ574" s="3"/>
      <c r="BA574" s="3"/>
      <c r="BB574" s="3"/>
      <c r="BC574" s="3"/>
      <c r="BD574" s="3"/>
      <c r="BE574" s="3"/>
      <c r="BF574" s="3"/>
      <c r="BG574" s="3"/>
      <c r="BH574" s="3"/>
      <c r="BI574" s="3"/>
      <c r="BJ574" s="3"/>
    </row>
    <row r="575" spans="1:62" ht="12.75" customHeight="1">
      <c r="A575"/>
      <c r="B575"/>
      <c r="C575"/>
      <c r="D575"/>
      <c r="E575"/>
      <c r="F575"/>
      <c r="G575"/>
      <c r="H575"/>
      <c r="I575"/>
      <c r="J575"/>
      <c r="K575" s="207">
        <v>20</v>
      </c>
      <c r="L575" s="207"/>
      <c r="M575"/>
      <c r="N575"/>
      <c r="O575"/>
      <c r="P575"/>
      <c r="Q575"/>
      <c r="R575" s="40"/>
      <c r="S575" s="23"/>
      <c r="V575" s="2"/>
      <c r="AN575" s="3"/>
      <c r="AO575" s="3"/>
      <c r="AP575" s="3"/>
      <c r="AQ575" s="3"/>
      <c r="AR575" s="3"/>
      <c r="AS575" s="3"/>
      <c r="AT575" s="3"/>
      <c r="AU575" s="3"/>
      <c r="AV575" s="3"/>
      <c r="AW575" s="3"/>
      <c r="AX575" s="3"/>
      <c r="AY575" s="3"/>
      <c r="AZ575" s="3"/>
      <c r="BA575" s="3"/>
      <c r="BB575" s="3"/>
      <c r="BC575" s="3"/>
      <c r="BD575" s="3"/>
      <c r="BE575" s="3"/>
      <c r="BF575" s="3"/>
      <c r="BG575" s="3"/>
      <c r="BH575" s="3"/>
      <c r="BI575" s="3"/>
      <c r="BJ575" s="3"/>
    </row>
    <row r="576" spans="1:62" ht="12.75" customHeight="1">
      <c r="A576"/>
      <c r="B576"/>
      <c r="C576"/>
      <c r="D576"/>
      <c r="E576"/>
      <c r="F576"/>
      <c r="G576"/>
      <c r="H576"/>
      <c r="I576"/>
      <c r="J576"/>
      <c r="K576" s="207">
        <v>21</v>
      </c>
      <c r="L576" s="207"/>
      <c r="M576"/>
      <c r="N576"/>
      <c r="O576"/>
      <c r="P576"/>
      <c r="Q576"/>
      <c r="R576" s="40"/>
      <c r="S576" s="23"/>
      <c r="V576" s="2"/>
      <c r="AN576" s="3"/>
      <c r="AO576" s="3"/>
      <c r="AP576" s="3"/>
      <c r="AQ576" s="3"/>
      <c r="AR576" s="3"/>
      <c r="AS576" s="3"/>
      <c r="AT576" s="3"/>
      <c r="AU576" s="3"/>
      <c r="AV576" s="3"/>
      <c r="AW576" s="3"/>
      <c r="AX576" s="3"/>
      <c r="AY576" s="3"/>
      <c r="AZ576" s="3"/>
      <c r="BA576" s="3"/>
      <c r="BB576" s="3"/>
      <c r="BC576" s="3"/>
      <c r="BD576" s="3"/>
      <c r="BE576" s="3"/>
      <c r="BF576" s="3"/>
      <c r="BG576" s="3"/>
      <c r="BH576" s="3"/>
      <c r="BI576" s="3"/>
      <c r="BJ576" s="3"/>
    </row>
    <row r="577" spans="1:62" ht="12.75" customHeight="1">
      <c r="A577"/>
      <c r="B577"/>
      <c r="C577"/>
      <c r="D577"/>
      <c r="E577"/>
      <c r="F577"/>
      <c r="G577"/>
      <c r="H577"/>
      <c r="I577"/>
      <c r="J577"/>
      <c r="K577" s="207">
        <v>22</v>
      </c>
      <c r="L577" s="207"/>
      <c r="M577"/>
      <c r="N577"/>
      <c r="O577"/>
      <c r="P577"/>
      <c r="Q577"/>
      <c r="R577" s="40"/>
      <c r="S577" s="23"/>
      <c r="V577" s="2"/>
      <c r="AN577" s="3"/>
      <c r="AO577" s="3"/>
      <c r="AP577" s="3"/>
      <c r="AQ577" s="3"/>
      <c r="AR577" s="3"/>
      <c r="AS577" s="3"/>
      <c r="AT577" s="3"/>
      <c r="AU577" s="3"/>
      <c r="AV577" s="3"/>
      <c r="AW577" s="3"/>
      <c r="AX577" s="3"/>
      <c r="AY577" s="3"/>
      <c r="AZ577" s="3"/>
      <c r="BA577" s="3"/>
      <c r="BB577" s="3"/>
      <c r="BC577" s="3"/>
      <c r="BD577" s="3"/>
      <c r="BE577" s="3"/>
      <c r="BF577" s="3"/>
      <c r="BG577" s="3"/>
      <c r="BH577" s="3"/>
      <c r="BI577" s="3"/>
      <c r="BJ577" s="3"/>
    </row>
    <row r="578" spans="1:62" ht="12.75" customHeight="1">
      <c r="A578"/>
      <c r="B578"/>
      <c r="C578"/>
      <c r="D578"/>
      <c r="E578"/>
      <c r="F578"/>
      <c r="G578"/>
      <c r="H578"/>
      <c r="I578"/>
      <c r="J578"/>
      <c r="K578" s="207">
        <v>23</v>
      </c>
      <c r="L578" s="207"/>
      <c r="M578"/>
      <c r="N578"/>
      <c r="O578"/>
      <c r="P578"/>
      <c r="Q578"/>
      <c r="R578" s="40"/>
      <c r="S578" s="23"/>
      <c r="V578" s="2"/>
      <c r="AN578" s="3"/>
      <c r="AO578" s="3"/>
      <c r="AP578" s="3"/>
      <c r="AQ578" s="3"/>
      <c r="AR578" s="3"/>
      <c r="AS578" s="3"/>
      <c r="AT578" s="3"/>
      <c r="AU578" s="3"/>
      <c r="AV578" s="3"/>
      <c r="AW578" s="3"/>
      <c r="AX578" s="3"/>
      <c r="AY578" s="3"/>
      <c r="AZ578" s="3"/>
      <c r="BA578" s="3"/>
      <c r="BB578" s="3"/>
      <c r="BC578" s="3"/>
      <c r="BD578" s="3"/>
      <c r="BE578" s="3"/>
      <c r="BF578" s="3"/>
      <c r="BG578" s="3"/>
      <c r="BH578" s="3"/>
      <c r="BI578" s="3"/>
      <c r="BJ578" s="3"/>
    </row>
    <row r="579" spans="1:62" ht="12.75" customHeight="1">
      <c r="A579"/>
      <c r="B579"/>
      <c r="C579"/>
      <c r="D579"/>
      <c r="E579"/>
      <c r="F579"/>
      <c r="G579"/>
      <c r="H579"/>
      <c r="I579"/>
      <c r="J579"/>
      <c r="K579" s="207">
        <v>24</v>
      </c>
      <c r="L579" s="207"/>
      <c r="M579"/>
      <c r="N579"/>
      <c r="O579"/>
      <c r="P579"/>
      <c r="Q579"/>
      <c r="R579" s="40"/>
      <c r="S579" s="23"/>
      <c r="V579" s="2"/>
      <c r="AN579" s="3"/>
      <c r="AO579" s="3"/>
      <c r="AP579" s="3"/>
      <c r="AQ579" s="3"/>
      <c r="AR579" s="3"/>
      <c r="AS579" s="3"/>
      <c r="AT579" s="3"/>
      <c r="AU579" s="3"/>
      <c r="AV579" s="3"/>
      <c r="AW579" s="3"/>
      <c r="AX579" s="3"/>
      <c r="AY579" s="3"/>
      <c r="AZ579" s="3"/>
      <c r="BA579" s="3"/>
      <c r="BB579" s="3"/>
      <c r="BC579" s="3"/>
      <c r="BD579" s="3"/>
      <c r="BE579" s="3"/>
      <c r="BF579" s="3"/>
      <c r="BG579" s="3"/>
      <c r="BH579" s="3"/>
      <c r="BI579" s="3"/>
      <c r="BJ579" s="3"/>
    </row>
    <row r="580" spans="1:62" ht="12.75" customHeight="1">
      <c r="A580"/>
      <c r="B580"/>
      <c r="C580"/>
      <c r="D580"/>
      <c r="E580"/>
      <c r="F580"/>
      <c r="G580"/>
      <c r="H580"/>
      <c r="I580"/>
      <c r="J580"/>
      <c r="K580" s="207">
        <v>25</v>
      </c>
      <c r="L580" s="207"/>
      <c r="M580"/>
      <c r="N580"/>
      <c r="O580"/>
      <c r="P580"/>
      <c r="Q580"/>
      <c r="R580" s="40"/>
      <c r="S580" s="23"/>
      <c r="V580" s="2"/>
      <c r="AN580" s="3"/>
      <c r="AO580" s="3"/>
      <c r="AP580" s="3"/>
      <c r="AQ580" s="3"/>
      <c r="AR580" s="3"/>
      <c r="AS580" s="3"/>
      <c r="AT580" s="3"/>
      <c r="AU580" s="3"/>
      <c r="AV580" s="3"/>
      <c r="AW580" s="3"/>
      <c r="AX580" s="3"/>
      <c r="AY580" s="3"/>
      <c r="AZ580" s="3"/>
      <c r="BA580" s="3"/>
      <c r="BB580" s="3"/>
      <c r="BC580" s="3"/>
      <c r="BD580" s="3"/>
      <c r="BE580" s="3"/>
      <c r="BF580" s="3"/>
      <c r="BG580" s="3"/>
      <c r="BH580" s="3"/>
      <c r="BI580" s="3"/>
      <c r="BJ580" s="3"/>
    </row>
    <row r="581" spans="1:62" ht="12.75" customHeight="1">
      <c r="A581"/>
      <c r="B581"/>
      <c r="C581"/>
      <c r="D581"/>
      <c r="E581"/>
      <c r="F581"/>
      <c r="G581"/>
      <c r="H581"/>
      <c r="I581"/>
      <c r="J581"/>
      <c r="K581" s="207">
        <v>26</v>
      </c>
      <c r="L581" s="207"/>
      <c r="M581"/>
      <c r="N581"/>
      <c r="O581"/>
      <c r="P581"/>
      <c r="Q581"/>
      <c r="R581" s="40"/>
      <c r="S581" s="23"/>
      <c r="V581" s="2"/>
      <c r="AN581" s="3"/>
      <c r="AO581" s="3"/>
      <c r="AP581" s="3"/>
      <c r="AQ581" s="3"/>
      <c r="AR581" s="3"/>
      <c r="AS581" s="3"/>
      <c r="AT581" s="3"/>
      <c r="AU581" s="3"/>
      <c r="AV581" s="3"/>
      <c r="AW581" s="3"/>
      <c r="AX581" s="3"/>
      <c r="AY581" s="3"/>
      <c r="AZ581" s="3"/>
      <c r="BA581" s="3"/>
      <c r="BB581" s="3"/>
      <c r="BC581" s="3"/>
      <c r="BD581" s="3"/>
      <c r="BE581" s="3"/>
      <c r="BF581" s="3"/>
      <c r="BG581" s="3"/>
      <c r="BH581" s="3"/>
      <c r="BI581" s="3"/>
      <c r="BJ581" s="3"/>
    </row>
    <row r="582" spans="1:62" ht="12.75" customHeight="1">
      <c r="A582"/>
      <c r="B582"/>
      <c r="C582"/>
      <c r="D582"/>
      <c r="E582"/>
      <c r="F582"/>
      <c r="G582"/>
      <c r="H582"/>
      <c r="I582"/>
      <c r="J582"/>
      <c r="K582" s="207">
        <v>27</v>
      </c>
      <c r="L582" s="207"/>
      <c r="M582"/>
      <c r="N582"/>
      <c r="O582"/>
      <c r="P582"/>
      <c r="Q582"/>
      <c r="R582" s="40"/>
      <c r="S582" s="23"/>
      <c r="V582" s="2"/>
      <c r="AN582" s="3"/>
      <c r="AO582" s="3"/>
      <c r="AP582" s="3"/>
      <c r="AQ582" s="3"/>
      <c r="AR582" s="3"/>
      <c r="AS582" s="3"/>
      <c r="AT582" s="3"/>
      <c r="AU582" s="3"/>
      <c r="AV582" s="3"/>
      <c r="AW582" s="3"/>
      <c r="AX582" s="3"/>
      <c r="AY582" s="3"/>
      <c r="AZ582" s="3"/>
      <c r="BA582" s="3"/>
      <c r="BB582" s="3"/>
      <c r="BC582" s="3"/>
      <c r="BD582" s="3"/>
      <c r="BE582" s="3"/>
      <c r="BF582" s="3"/>
      <c r="BG582" s="3"/>
      <c r="BH582" s="3"/>
      <c r="BI582" s="3"/>
      <c r="BJ582" s="3"/>
    </row>
    <row r="583" spans="1:62" ht="12.75" customHeight="1">
      <c r="A583"/>
      <c r="B583"/>
      <c r="C583"/>
      <c r="D583"/>
      <c r="E583"/>
      <c r="F583"/>
      <c r="G583"/>
      <c r="H583"/>
      <c r="I583"/>
      <c r="J583"/>
      <c r="K583" s="207">
        <v>28</v>
      </c>
      <c r="L583" s="207"/>
      <c r="M583"/>
      <c r="N583"/>
      <c r="O583"/>
      <c r="P583"/>
      <c r="Q583"/>
      <c r="R583" s="40"/>
      <c r="S583" s="23"/>
      <c r="V583" s="2"/>
      <c r="AN583" s="3"/>
      <c r="AO583" s="3"/>
      <c r="AP583" s="3"/>
      <c r="AQ583" s="3"/>
      <c r="AR583" s="3"/>
      <c r="AS583" s="3"/>
      <c r="AT583" s="3"/>
      <c r="AU583" s="3"/>
      <c r="AV583" s="3"/>
      <c r="AW583" s="3"/>
      <c r="AX583" s="3"/>
      <c r="AY583" s="3"/>
      <c r="AZ583" s="3"/>
      <c r="BA583" s="3"/>
      <c r="BB583" s="3"/>
      <c r="BC583" s="3"/>
      <c r="BD583" s="3"/>
      <c r="BE583" s="3"/>
      <c r="BF583" s="3"/>
      <c r="BG583" s="3"/>
      <c r="BH583" s="3"/>
      <c r="BI583" s="3"/>
      <c r="BJ583" s="3"/>
    </row>
    <row r="584" spans="1:62" ht="12.75" customHeight="1">
      <c r="A584"/>
      <c r="B584"/>
      <c r="C584"/>
      <c r="D584"/>
      <c r="E584"/>
      <c r="F584"/>
      <c r="G584"/>
      <c r="H584"/>
      <c r="I584"/>
      <c r="J584"/>
      <c r="K584" s="207">
        <v>29</v>
      </c>
      <c r="L584" s="207"/>
      <c r="M584"/>
      <c r="N584"/>
      <c r="O584"/>
      <c r="P584"/>
      <c r="Q584"/>
      <c r="R584" s="40"/>
      <c r="S584" s="23"/>
      <c r="V584" s="2"/>
      <c r="AN584" s="3"/>
      <c r="AO584" s="3"/>
      <c r="AP584" s="3"/>
      <c r="AQ584" s="3"/>
      <c r="AR584" s="3"/>
      <c r="AS584" s="3"/>
      <c r="AT584" s="3"/>
      <c r="AU584" s="3"/>
      <c r="AV584" s="3"/>
      <c r="AW584" s="3"/>
      <c r="AX584" s="3"/>
      <c r="AY584" s="3"/>
      <c r="AZ584" s="3"/>
      <c r="BA584" s="3"/>
      <c r="BB584" s="3"/>
      <c r="BC584" s="3"/>
      <c r="BD584" s="3"/>
      <c r="BE584" s="3"/>
      <c r="BF584" s="3"/>
      <c r="BG584" s="3"/>
      <c r="BH584" s="3"/>
      <c r="BI584" s="3"/>
      <c r="BJ584" s="3"/>
    </row>
    <row r="585" spans="1:62" ht="12.75" customHeight="1">
      <c r="A585"/>
      <c r="B585"/>
      <c r="C585"/>
      <c r="D585"/>
      <c r="E585"/>
      <c r="F585"/>
      <c r="G585"/>
      <c r="H585"/>
      <c r="I585"/>
      <c r="J585"/>
      <c r="K585" s="207">
        <v>30</v>
      </c>
      <c r="L585" s="207"/>
      <c r="M585"/>
      <c r="N585"/>
      <c r="O585"/>
      <c r="P585"/>
      <c r="Q585"/>
      <c r="R585" s="40"/>
      <c r="S585" s="23"/>
      <c r="V585" s="2"/>
      <c r="AN585" s="3"/>
      <c r="AO585" s="3"/>
      <c r="AP585" s="3"/>
      <c r="AQ585" s="3"/>
      <c r="AR585" s="3"/>
      <c r="AS585" s="3"/>
      <c r="AT585" s="3"/>
      <c r="AU585" s="3"/>
      <c r="AV585" s="3"/>
      <c r="AW585" s="3"/>
      <c r="AX585" s="3"/>
      <c r="AY585" s="3"/>
      <c r="AZ585" s="3"/>
      <c r="BA585" s="3"/>
      <c r="BB585" s="3"/>
      <c r="BC585" s="3"/>
      <c r="BD585" s="3"/>
      <c r="BE585" s="3"/>
      <c r="BF585" s="3"/>
      <c r="BG585" s="3"/>
      <c r="BH585" s="3"/>
      <c r="BI585" s="3"/>
      <c r="BJ585" s="3"/>
    </row>
    <row r="586" spans="1:62" ht="12.75" customHeight="1">
      <c r="A586"/>
      <c r="B586"/>
      <c r="C586"/>
      <c r="D586"/>
      <c r="E586"/>
      <c r="F586"/>
      <c r="G586"/>
      <c r="H586"/>
      <c r="I586"/>
      <c r="J586"/>
      <c r="K586" s="207">
        <v>31</v>
      </c>
      <c r="L586" s="207"/>
      <c r="M586"/>
      <c r="N586"/>
      <c r="O586"/>
      <c r="P586"/>
      <c r="Q586"/>
      <c r="R586" s="40"/>
      <c r="S586" s="23"/>
      <c r="V586" s="2"/>
      <c r="AN586" s="3"/>
      <c r="AO586" s="3"/>
      <c r="AP586" s="3"/>
      <c r="AQ586" s="3"/>
      <c r="AR586" s="3"/>
      <c r="AS586" s="3"/>
      <c r="AT586" s="3"/>
      <c r="AU586" s="3"/>
      <c r="AV586" s="3"/>
      <c r="AW586" s="3"/>
      <c r="AX586" s="3"/>
      <c r="AY586" s="3"/>
      <c r="AZ586" s="3"/>
      <c r="BA586" s="3"/>
      <c r="BB586" s="3"/>
      <c r="BC586" s="3"/>
      <c r="BD586" s="3"/>
      <c r="BE586" s="3"/>
      <c r="BF586" s="3"/>
      <c r="BG586" s="3"/>
      <c r="BH586" s="3"/>
      <c r="BI586" s="3"/>
      <c r="BJ586" s="3"/>
    </row>
    <row r="587" spans="1:62" ht="12.75" customHeight="1">
      <c r="A587"/>
      <c r="B587"/>
      <c r="C587"/>
      <c r="D587"/>
      <c r="E587"/>
      <c r="F587"/>
      <c r="G587"/>
      <c r="H587"/>
      <c r="I587"/>
      <c r="J587"/>
      <c r="K587" s="207">
        <v>32</v>
      </c>
      <c r="L587" s="207"/>
      <c r="M587"/>
      <c r="N587"/>
      <c r="O587"/>
      <c r="P587"/>
      <c r="Q587"/>
      <c r="R587" s="40"/>
      <c r="S587" s="23"/>
      <c r="V587" s="2"/>
      <c r="AN587" s="3"/>
      <c r="AO587" s="3"/>
      <c r="AP587" s="3"/>
      <c r="AQ587" s="3"/>
      <c r="AR587" s="3"/>
      <c r="AS587" s="3"/>
      <c r="AT587" s="3"/>
      <c r="AU587" s="3"/>
      <c r="AV587" s="3"/>
      <c r="AW587" s="3"/>
      <c r="AX587" s="3"/>
      <c r="AY587" s="3"/>
      <c r="AZ587" s="3"/>
      <c r="BA587" s="3"/>
      <c r="BB587" s="3"/>
      <c r="BC587" s="3"/>
      <c r="BD587" s="3"/>
      <c r="BE587" s="3"/>
      <c r="BF587" s="3"/>
      <c r="BG587" s="3"/>
      <c r="BH587" s="3"/>
      <c r="BI587" s="3"/>
      <c r="BJ587" s="3"/>
    </row>
    <row r="588" spans="1:62" ht="12.75" customHeight="1">
      <c r="A588"/>
      <c r="B588"/>
      <c r="C588"/>
      <c r="D588"/>
      <c r="E588"/>
      <c r="F588"/>
      <c r="G588"/>
      <c r="H588"/>
      <c r="I588"/>
      <c r="J588"/>
      <c r="K588" s="207">
        <v>33</v>
      </c>
      <c r="L588" s="207"/>
      <c r="M588"/>
      <c r="N588"/>
      <c r="O588"/>
      <c r="P588"/>
      <c r="Q588"/>
      <c r="R588" s="40"/>
      <c r="S588" s="23"/>
      <c r="V588" s="2"/>
      <c r="AN588" s="3"/>
      <c r="AO588" s="3"/>
      <c r="AP588" s="3"/>
      <c r="AQ588" s="3"/>
      <c r="AR588" s="3"/>
      <c r="AS588" s="3"/>
      <c r="AT588" s="3"/>
      <c r="AU588" s="3"/>
      <c r="AV588" s="3"/>
      <c r="AW588" s="3"/>
      <c r="AX588" s="3"/>
      <c r="AY588" s="3"/>
      <c r="AZ588" s="3"/>
      <c r="BA588" s="3"/>
      <c r="BB588" s="3"/>
      <c r="BC588" s="3"/>
      <c r="BD588" s="3"/>
      <c r="BE588" s="3"/>
      <c r="BF588" s="3"/>
      <c r="BG588" s="3"/>
      <c r="BH588" s="3"/>
      <c r="BI588" s="3"/>
      <c r="BJ588" s="3"/>
    </row>
    <row r="589" spans="1:62" ht="12.75" customHeight="1">
      <c r="A589"/>
      <c r="B589"/>
      <c r="C589"/>
      <c r="D589"/>
      <c r="E589"/>
      <c r="F589"/>
      <c r="G589"/>
      <c r="H589"/>
      <c r="I589"/>
      <c r="J589"/>
      <c r="K589" s="207">
        <v>34</v>
      </c>
      <c r="L589" s="207"/>
      <c r="M589"/>
      <c r="N589"/>
      <c r="O589"/>
      <c r="P589"/>
      <c r="Q589"/>
      <c r="R589" s="40"/>
      <c r="S589" s="23"/>
      <c r="V589" s="2"/>
      <c r="AN589" s="3"/>
      <c r="AO589" s="3"/>
      <c r="AP589" s="3"/>
      <c r="AQ589" s="3"/>
      <c r="AR589" s="3"/>
      <c r="AS589" s="3"/>
      <c r="AT589" s="3"/>
      <c r="AU589" s="3"/>
      <c r="AV589" s="3"/>
      <c r="AW589" s="3"/>
      <c r="AX589" s="3"/>
      <c r="AY589" s="3"/>
      <c r="AZ589" s="3"/>
      <c r="BA589" s="3"/>
      <c r="BB589" s="3"/>
      <c r="BC589" s="3"/>
      <c r="BD589" s="3"/>
      <c r="BE589" s="3"/>
      <c r="BF589" s="3"/>
      <c r="BG589" s="3"/>
      <c r="BH589" s="3"/>
      <c r="BI589" s="3"/>
      <c r="BJ589" s="3"/>
    </row>
    <row r="590" spans="1:62" ht="12.75" customHeight="1">
      <c r="A590"/>
      <c r="B590"/>
      <c r="C590"/>
      <c r="D590"/>
      <c r="E590"/>
      <c r="F590"/>
      <c r="G590"/>
      <c r="H590"/>
      <c r="I590"/>
      <c r="J590"/>
      <c r="K590" s="207">
        <v>35</v>
      </c>
      <c r="L590" s="207"/>
      <c r="M590"/>
      <c r="N590"/>
      <c r="O590"/>
      <c r="P590"/>
      <c r="Q590"/>
      <c r="R590" s="40"/>
      <c r="S590" s="23"/>
      <c r="V590" s="2"/>
      <c r="AN590" s="3"/>
      <c r="AO590" s="3"/>
      <c r="AP590" s="3"/>
      <c r="AQ590" s="3"/>
      <c r="AR590" s="3"/>
      <c r="AS590" s="3"/>
      <c r="AT590" s="3"/>
      <c r="AU590" s="3"/>
      <c r="AV590" s="3"/>
      <c r="AW590" s="3"/>
      <c r="AX590" s="3"/>
      <c r="AY590" s="3"/>
      <c r="AZ590" s="3"/>
      <c r="BA590" s="3"/>
      <c r="BB590" s="3"/>
      <c r="BC590" s="3"/>
      <c r="BD590" s="3"/>
      <c r="BE590" s="3"/>
      <c r="BF590" s="3"/>
      <c r="BG590" s="3"/>
      <c r="BH590" s="3"/>
      <c r="BI590" s="3"/>
      <c r="BJ590" s="3"/>
    </row>
    <row r="591" spans="1:62" ht="12.75" customHeight="1">
      <c r="A591"/>
      <c r="B591"/>
      <c r="C591"/>
      <c r="D591"/>
      <c r="E591"/>
      <c r="F591"/>
      <c r="G591"/>
      <c r="H591"/>
      <c r="I591"/>
      <c r="J591"/>
      <c r="K591" s="207">
        <v>36</v>
      </c>
      <c r="L591" s="207"/>
      <c r="M591"/>
      <c r="N591"/>
      <c r="O591"/>
      <c r="P591"/>
      <c r="Q591"/>
      <c r="R591" s="40"/>
      <c r="S591" s="23"/>
      <c r="V591" s="2"/>
      <c r="AN591" s="3"/>
      <c r="AO591" s="3"/>
      <c r="AP591" s="3"/>
      <c r="AQ591" s="3"/>
      <c r="AR591" s="3"/>
      <c r="AS591" s="3"/>
      <c r="AT591" s="3"/>
      <c r="AU591" s="3"/>
      <c r="AV591" s="3"/>
      <c r="AW591" s="3"/>
      <c r="AX591" s="3"/>
      <c r="AY591" s="3"/>
      <c r="AZ591" s="3"/>
      <c r="BA591" s="3"/>
      <c r="BB591" s="3"/>
      <c r="BC591" s="3"/>
      <c r="BD591" s="3"/>
      <c r="BE591" s="3"/>
      <c r="BF591" s="3"/>
      <c r="BG591" s="3"/>
      <c r="BH591" s="3"/>
      <c r="BI591" s="3"/>
      <c r="BJ591" s="3"/>
    </row>
    <row r="592" spans="1:62" ht="12.75" customHeight="1">
      <c r="A592"/>
      <c r="B592"/>
      <c r="C592"/>
      <c r="D592"/>
      <c r="E592"/>
      <c r="F592"/>
      <c r="G592"/>
      <c r="H592"/>
      <c r="I592"/>
      <c r="J592"/>
      <c r="K592" s="207">
        <v>37</v>
      </c>
      <c r="L592" s="207"/>
      <c r="M592"/>
      <c r="N592"/>
      <c r="O592"/>
      <c r="P592"/>
      <c r="Q592"/>
      <c r="R592" s="40"/>
      <c r="S592" s="23"/>
      <c r="V592" s="2"/>
      <c r="AN592" s="3"/>
      <c r="AO592" s="3"/>
      <c r="AP592" s="3"/>
      <c r="AQ592" s="3"/>
      <c r="AR592" s="3"/>
      <c r="AS592" s="3"/>
      <c r="AT592" s="3"/>
      <c r="AU592" s="3"/>
      <c r="AV592" s="3"/>
      <c r="AW592" s="3"/>
      <c r="AX592" s="3"/>
      <c r="AY592" s="3"/>
      <c r="AZ592" s="3"/>
      <c r="BA592" s="3"/>
      <c r="BB592" s="3"/>
      <c r="BC592" s="3"/>
      <c r="BD592" s="3"/>
      <c r="BE592" s="3"/>
      <c r="BF592" s="3"/>
      <c r="BG592" s="3"/>
      <c r="BH592" s="3"/>
      <c r="BI592" s="3"/>
      <c r="BJ592" s="3"/>
    </row>
    <row r="593" spans="1:62" ht="12.75" customHeight="1">
      <c r="A593"/>
      <c r="B593"/>
      <c r="C593"/>
      <c r="D593"/>
      <c r="E593"/>
      <c r="F593"/>
      <c r="G593"/>
      <c r="H593"/>
      <c r="I593"/>
      <c r="J593"/>
      <c r="K593" s="207">
        <v>38</v>
      </c>
      <c r="L593" s="207"/>
      <c r="M593"/>
      <c r="N593"/>
      <c r="O593"/>
      <c r="P593"/>
      <c r="Q593"/>
      <c r="R593" s="40"/>
      <c r="S593" s="23"/>
      <c r="V593" s="2"/>
      <c r="AN593" s="3"/>
      <c r="AO593" s="3"/>
      <c r="AP593" s="3"/>
      <c r="AQ593" s="3"/>
      <c r="AR593" s="3"/>
      <c r="AS593" s="3"/>
      <c r="AT593" s="3"/>
      <c r="AU593" s="3"/>
      <c r="AV593" s="3"/>
      <c r="AW593" s="3"/>
      <c r="AX593" s="3"/>
      <c r="AY593" s="3"/>
      <c r="AZ593" s="3"/>
      <c r="BA593" s="3"/>
      <c r="BB593" s="3"/>
      <c r="BC593" s="3"/>
      <c r="BD593" s="3"/>
      <c r="BE593" s="3"/>
      <c r="BF593" s="3"/>
      <c r="BG593" s="3"/>
      <c r="BH593" s="3"/>
      <c r="BI593" s="3"/>
      <c r="BJ593" s="3"/>
    </row>
    <row r="594" spans="1:62" ht="12.75" customHeight="1">
      <c r="A594"/>
      <c r="B594"/>
      <c r="C594"/>
      <c r="D594"/>
      <c r="E594"/>
      <c r="F594"/>
      <c r="G594"/>
      <c r="H594"/>
      <c r="I594"/>
      <c r="J594"/>
      <c r="K594" s="207">
        <v>39</v>
      </c>
      <c r="L594" s="207"/>
      <c r="M594"/>
      <c r="N594"/>
      <c r="O594"/>
      <c r="P594"/>
      <c r="Q594"/>
      <c r="R594" s="40"/>
      <c r="S594" s="23"/>
      <c r="V594" s="2"/>
      <c r="AN594" s="3"/>
      <c r="AO594" s="3"/>
      <c r="AP594" s="3"/>
      <c r="AQ594" s="3"/>
      <c r="AR594" s="3"/>
      <c r="AS594" s="3"/>
      <c r="AT594" s="3"/>
      <c r="AU594" s="3"/>
      <c r="AV594" s="3"/>
      <c r="AW594" s="3"/>
      <c r="AX594" s="3"/>
      <c r="AY594" s="3"/>
      <c r="AZ594" s="3"/>
      <c r="BA594" s="3"/>
      <c r="BB594" s="3"/>
      <c r="BC594" s="3"/>
      <c r="BD594" s="3"/>
      <c r="BE594" s="3"/>
      <c r="BF594" s="3"/>
      <c r="BG594" s="3"/>
      <c r="BH594" s="3"/>
      <c r="BI594" s="3"/>
      <c r="BJ594" s="3"/>
    </row>
    <row r="595" spans="1:62" ht="12.75" customHeight="1">
      <c r="A595"/>
      <c r="B595"/>
      <c r="C595"/>
      <c r="D595"/>
      <c r="E595"/>
      <c r="F595"/>
      <c r="G595"/>
      <c r="H595"/>
      <c r="I595"/>
      <c r="J595"/>
      <c r="K595" s="207">
        <v>40</v>
      </c>
      <c r="L595" s="207"/>
      <c r="M595"/>
      <c r="N595"/>
      <c r="O595"/>
      <c r="P595"/>
      <c r="Q595"/>
      <c r="R595" s="40"/>
      <c r="S595" s="23"/>
      <c r="V595" s="2"/>
      <c r="AN595" s="3"/>
      <c r="AO595" s="3"/>
      <c r="AP595" s="3"/>
      <c r="AQ595" s="3"/>
      <c r="AR595" s="3"/>
      <c r="AS595" s="3"/>
      <c r="AT595" s="3"/>
      <c r="AU595" s="3"/>
      <c r="AV595" s="3"/>
      <c r="AW595" s="3"/>
      <c r="AX595" s="3"/>
      <c r="AY595" s="3"/>
      <c r="AZ595" s="3"/>
      <c r="BA595" s="3"/>
      <c r="BB595" s="3"/>
      <c r="BC595" s="3"/>
      <c r="BD595" s="3"/>
      <c r="BE595" s="3"/>
      <c r="BF595" s="3"/>
      <c r="BG595" s="3"/>
      <c r="BH595" s="3"/>
      <c r="BI595" s="3"/>
      <c r="BJ595" s="3"/>
    </row>
    <row r="596" spans="1:62" ht="12.75" customHeight="1">
      <c r="A596"/>
      <c r="B596"/>
      <c r="C596"/>
      <c r="D596"/>
      <c r="E596"/>
      <c r="F596"/>
      <c r="G596"/>
      <c r="H596"/>
      <c r="I596"/>
      <c r="J596"/>
      <c r="K596" s="207">
        <v>41</v>
      </c>
      <c r="L596" s="207"/>
      <c r="M596"/>
      <c r="N596"/>
      <c r="O596"/>
      <c r="P596"/>
      <c r="Q596"/>
      <c r="R596" s="40"/>
      <c r="S596" s="23"/>
      <c r="V596" s="2"/>
      <c r="AN596" s="3"/>
      <c r="AO596" s="3"/>
      <c r="AP596" s="3"/>
      <c r="AQ596" s="3"/>
      <c r="AR596" s="3"/>
      <c r="AS596" s="3"/>
      <c r="AT596" s="3"/>
      <c r="AU596" s="3"/>
      <c r="AV596" s="3"/>
      <c r="AW596" s="3"/>
      <c r="AX596" s="3"/>
      <c r="AY596" s="3"/>
      <c r="AZ596" s="3"/>
      <c r="BA596" s="3"/>
      <c r="BB596" s="3"/>
      <c r="BC596" s="3"/>
      <c r="BD596" s="3"/>
      <c r="BE596" s="3"/>
      <c r="BF596" s="3"/>
      <c r="BG596" s="3"/>
      <c r="BH596" s="3"/>
      <c r="BI596" s="3"/>
      <c r="BJ596" s="3"/>
    </row>
    <row r="597" spans="1:62" ht="12.75" customHeight="1">
      <c r="A597"/>
      <c r="B597"/>
      <c r="C597"/>
      <c r="D597"/>
      <c r="E597"/>
      <c r="F597"/>
      <c r="G597"/>
      <c r="H597"/>
      <c r="I597"/>
      <c r="J597"/>
      <c r="K597" s="207">
        <v>42</v>
      </c>
      <c r="L597" s="207"/>
      <c r="M597"/>
      <c r="N597"/>
      <c r="O597"/>
      <c r="P597"/>
      <c r="Q597"/>
      <c r="R597" s="40"/>
      <c r="S597" s="23"/>
      <c r="V597" s="2"/>
      <c r="AN597" s="3"/>
      <c r="AO597" s="3"/>
      <c r="AP597" s="3"/>
      <c r="AQ597" s="3"/>
      <c r="AR597" s="3"/>
      <c r="AS597" s="3"/>
      <c r="AT597" s="3"/>
      <c r="AU597" s="3"/>
      <c r="AV597" s="3"/>
      <c r="AW597" s="3"/>
      <c r="AX597" s="3"/>
      <c r="AY597" s="3"/>
      <c r="AZ597" s="3"/>
      <c r="BA597" s="3"/>
      <c r="BB597" s="3"/>
      <c r="BC597" s="3"/>
      <c r="BD597" s="3"/>
      <c r="BE597" s="3"/>
      <c r="BF597" s="3"/>
      <c r="BG597" s="3"/>
      <c r="BH597" s="3"/>
      <c r="BI597" s="3"/>
      <c r="BJ597" s="3"/>
    </row>
    <row r="598" spans="1:62" ht="12.75" customHeight="1">
      <c r="A598"/>
      <c r="B598"/>
      <c r="C598"/>
      <c r="D598"/>
      <c r="E598"/>
      <c r="F598"/>
      <c r="G598"/>
      <c r="H598"/>
      <c r="I598"/>
      <c r="J598"/>
      <c r="K598" s="207">
        <v>43</v>
      </c>
      <c r="L598" s="207"/>
      <c r="M598"/>
      <c r="N598"/>
      <c r="O598"/>
      <c r="P598"/>
      <c r="Q598"/>
      <c r="R598" s="40"/>
      <c r="S598" s="23"/>
      <c r="V598" s="2"/>
      <c r="AN598" s="3"/>
      <c r="AO598" s="3"/>
      <c r="AP598" s="3"/>
      <c r="AQ598" s="3"/>
      <c r="AR598" s="3"/>
      <c r="AS598" s="3"/>
      <c r="AT598" s="3"/>
      <c r="AU598" s="3"/>
      <c r="AV598" s="3"/>
      <c r="AW598" s="3"/>
      <c r="AX598" s="3"/>
      <c r="AY598" s="3"/>
      <c r="AZ598" s="3"/>
      <c r="BA598" s="3"/>
      <c r="BB598" s="3"/>
      <c r="BC598" s="3"/>
      <c r="BD598" s="3"/>
      <c r="BE598" s="3"/>
      <c r="BF598" s="3"/>
      <c r="BG598" s="3"/>
      <c r="BH598" s="3"/>
      <c r="BI598" s="3"/>
      <c r="BJ598" s="3"/>
    </row>
    <row r="599" spans="1:62" ht="12.75" customHeight="1">
      <c r="A599"/>
      <c r="B599"/>
      <c r="C599"/>
      <c r="D599"/>
      <c r="E599"/>
      <c r="F599"/>
      <c r="G599"/>
      <c r="H599"/>
      <c r="I599"/>
      <c r="J599"/>
      <c r="K599" s="207">
        <v>44</v>
      </c>
      <c r="L599" s="207"/>
      <c r="M599"/>
      <c r="N599"/>
      <c r="O599"/>
      <c r="P599"/>
      <c r="Q599"/>
      <c r="R599" s="40"/>
      <c r="S599" s="23"/>
      <c r="V599" s="2"/>
      <c r="AN599" s="3"/>
      <c r="AO599" s="3"/>
      <c r="AP599" s="3"/>
      <c r="AQ599" s="3"/>
      <c r="AR599" s="3"/>
      <c r="AS599" s="3"/>
      <c r="AT599" s="3"/>
      <c r="AU599" s="3"/>
      <c r="AV599" s="3"/>
      <c r="AW599" s="3"/>
      <c r="AX599" s="3"/>
      <c r="AY599" s="3"/>
      <c r="AZ599" s="3"/>
      <c r="BA599" s="3"/>
      <c r="BB599" s="3"/>
      <c r="BC599" s="3"/>
      <c r="BD599" s="3"/>
      <c r="BE599" s="3"/>
      <c r="BF599" s="3"/>
      <c r="BG599" s="3"/>
      <c r="BH599" s="3"/>
      <c r="BI599" s="3"/>
      <c r="BJ599" s="3"/>
    </row>
    <row r="600" spans="1:62" ht="12.75" customHeight="1">
      <c r="A600"/>
      <c r="B600"/>
      <c r="C600"/>
      <c r="D600"/>
      <c r="E600"/>
      <c r="F600"/>
      <c r="G600"/>
      <c r="H600"/>
      <c r="I600"/>
      <c r="J600"/>
      <c r="K600" s="207">
        <v>45</v>
      </c>
      <c r="L600" s="207"/>
      <c r="M600"/>
      <c r="N600"/>
      <c r="O600"/>
      <c r="P600"/>
      <c r="Q600"/>
      <c r="R600" s="40"/>
      <c r="S600" s="23"/>
      <c r="V600" s="2"/>
      <c r="AN600" s="3"/>
      <c r="AO600" s="3"/>
      <c r="AP600" s="3"/>
      <c r="AQ600" s="3"/>
      <c r="AR600" s="3"/>
      <c r="AS600" s="3"/>
      <c r="AT600" s="3"/>
      <c r="AU600" s="3"/>
      <c r="AV600" s="3"/>
      <c r="AW600" s="3"/>
      <c r="AX600" s="3"/>
      <c r="AY600" s="3"/>
      <c r="AZ600" s="3"/>
      <c r="BA600" s="3"/>
      <c r="BB600" s="3"/>
      <c r="BC600" s="3"/>
      <c r="BD600" s="3"/>
      <c r="BE600" s="3"/>
      <c r="BF600" s="3"/>
      <c r="BG600" s="3"/>
      <c r="BH600" s="3"/>
      <c r="BI600" s="3"/>
      <c r="BJ600" s="3"/>
    </row>
    <row r="601" spans="1:62" ht="12.75" customHeight="1">
      <c r="A601"/>
      <c r="B601"/>
      <c r="C601"/>
      <c r="D601"/>
      <c r="E601"/>
      <c r="F601"/>
      <c r="G601"/>
      <c r="H601"/>
      <c r="I601"/>
      <c r="J601"/>
      <c r="K601" s="207">
        <v>46</v>
      </c>
      <c r="L601" s="207"/>
      <c r="M601"/>
      <c r="N601"/>
      <c r="O601"/>
      <c r="P601"/>
      <c r="Q601"/>
      <c r="R601" s="40"/>
      <c r="S601" s="23"/>
      <c r="V601" s="2"/>
      <c r="AN601" s="3"/>
      <c r="AO601" s="3"/>
      <c r="AP601" s="3"/>
      <c r="AQ601" s="3"/>
      <c r="AR601" s="3"/>
      <c r="AS601" s="3"/>
      <c r="AT601" s="3"/>
      <c r="AU601" s="3"/>
      <c r="AV601" s="3"/>
      <c r="AW601" s="3"/>
      <c r="AX601" s="3"/>
      <c r="AY601" s="3"/>
      <c r="AZ601" s="3"/>
      <c r="BA601" s="3"/>
      <c r="BB601" s="3"/>
      <c r="BC601" s="3"/>
      <c r="BD601" s="3"/>
      <c r="BE601" s="3"/>
      <c r="BF601" s="3"/>
      <c r="BG601" s="3"/>
      <c r="BH601" s="3"/>
      <c r="BI601" s="3"/>
      <c r="BJ601" s="3"/>
    </row>
    <row r="602" spans="1:62" ht="12.75" customHeight="1">
      <c r="A602"/>
      <c r="B602"/>
      <c r="C602"/>
      <c r="D602"/>
      <c r="E602"/>
      <c r="F602"/>
      <c r="G602"/>
      <c r="H602"/>
      <c r="I602"/>
      <c r="J602"/>
      <c r="K602" s="207">
        <v>47</v>
      </c>
      <c r="L602" s="207"/>
      <c r="M602"/>
      <c r="N602"/>
      <c r="O602"/>
      <c r="P602"/>
      <c r="Q602"/>
      <c r="R602" s="40"/>
      <c r="S602" s="23"/>
      <c r="V602" s="2"/>
      <c r="AN602" s="3"/>
      <c r="AO602" s="3"/>
      <c r="AP602" s="3"/>
      <c r="AQ602" s="3"/>
      <c r="AR602" s="3"/>
      <c r="AS602" s="3"/>
      <c r="AT602" s="3"/>
      <c r="AU602" s="3"/>
      <c r="AV602" s="3"/>
      <c r="AW602" s="3"/>
      <c r="AX602" s="3"/>
      <c r="AY602" s="3"/>
      <c r="AZ602" s="3"/>
      <c r="BA602" s="3"/>
      <c r="BB602" s="3"/>
      <c r="BC602" s="3"/>
      <c r="BD602" s="3"/>
      <c r="BE602" s="3"/>
      <c r="BF602" s="3"/>
      <c r="BG602" s="3"/>
      <c r="BH602" s="3"/>
      <c r="BI602" s="3"/>
      <c r="BJ602" s="3"/>
    </row>
    <row r="603" spans="1:62" ht="12.75" customHeight="1">
      <c r="A603"/>
      <c r="B603"/>
      <c r="C603"/>
      <c r="D603"/>
      <c r="E603"/>
      <c r="F603"/>
      <c r="G603"/>
      <c r="H603"/>
      <c r="I603"/>
      <c r="J603"/>
      <c r="K603" s="207">
        <v>48</v>
      </c>
      <c r="L603" s="207"/>
      <c r="M603"/>
      <c r="N603"/>
      <c r="O603"/>
      <c r="P603"/>
      <c r="Q603"/>
      <c r="R603" s="40"/>
      <c r="S603" s="23"/>
      <c r="V603" s="2"/>
      <c r="AN603" s="3"/>
      <c r="AO603" s="3"/>
      <c r="AP603" s="3"/>
      <c r="AQ603" s="3"/>
      <c r="AR603" s="3"/>
      <c r="AS603" s="3"/>
      <c r="AT603" s="3"/>
      <c r="AU603" s="3"/>
      <c r="AV603" s="3"/>
      <c r="AW603" s="3"/>
      <c r="AX603" s="3"/>
      <c r="AY603" s="3"/>
      <c r="AZ603" s="3"/>
      <c r="BA603" s="3"/>
      <c r="BB603" s="3"/>
      <c r="BC603" s="3"/>
      <c r="BD603" s="3"/>
      <c r="BE603" s="3"/>
      <c r="BF603" s="3"/>
      <c r="BG603" s="3"/>
      <c r="BH603" s="3"/>
      <c r="BI603" s="3"/>
      <c r="BJ603" s="3"/>
    </row>
    <row r="604" spans="1:62" ht="12.75" customHeight="1">
      <c r="A604"/>
      <c r="B604"/>
      <c r="C604"/>
      <c r="D604"/>
      <c r="E604"/>
      <c r="F604"/>
      <c r="G604"/>
      <c r="H604"/>
      <c r="I604"/>
      <c r="J604"/>
      <c r="K604" s="207">
        <v>49</v>
      </c>
      <c r="L604" s="207"/>
      <c r="M604"/>
      <c r="N604"/>
      <c r="O604"/>
      <c r="P604"/>
      <c r="Q604"/>
      <c r="R604" s="40"/>
      <c r="S604" s="23"/>
      <c r="V604" s="2"/>
      <c r="AN604" s="3"/>
      <c r="AO604" s="3"/>
      <c r="AP604" s="3"/>
      <c r="AQ604" s="3"/>
      <c r="AR604" s="3"/>
      <c r="AS604" s="3"/>
      <c r="AT604" s="3"/>
      <c r="AU604" s="3"/>
      <c r="AV604" s="3"/>
      <c r="AW604" s="3"/>
      <c r="AX604" s="3"/>
      <c r="AY604" s="3"/>
      <c r="AZ604" s="3"/>
      <c r="BA604" s="3"/>
      <c r="BB604" s="3"/>
      <c r="BC604" s="3"/>
      <c r="BD604" s="3"/>
      <c r="BE604" s="3"/>
      <c r="BF604" s="3"/>
      <c r="BG604" s="3"/>
      <c r="BH604" s="3"/>
      <c r="BI604" s="3"/>
      <c r="BJ604" s="3"/>
    </row>
    <row r="605" spans="1:62" ht="12.75" customHeight="1">
      <c r="A605"/>
      <c r="B605"/>
      <c r="C605"/>
      <c r="D605"/>
      <c r="E605"/>
      <c r="F605"/>
      <c r="G605"/>
      <c r="H605"/>
      <c r="I605"/>
      <c r="J605"/>
      <c r="K605" s="207">
        <v>50</v>
      </c>
      <c r="L605" s="207"/>
      <c r="M605"/>
      <c r="N605"/>
      <c r="O605"/>
      <c r="P605"/>
      <c r="Q605"/>
      <c r="R605" s="40"/>
      <c r="S605" s="23"/>
      <c r="V605" s="2"/>
      <c r="AN605" s="3"/>
      <c r="AO605" s="3"/>
      <c r="AP605" s="3"/>
      <c r="AQ605" s="3"/>
      <c r="AR605" s="3"/>
      <c r="AS605" s="3"/>
      <c r="AT605" s="3"/>
      <c r="AU605" s="3"/>
      <c r="AV605" s="3"/>
      <c r="AW605" s="3"/>
      <c r="AX605" s="3"/>
      <c r="AY605" s="3"/>
      <c r="AZ605" s="3"/>
      <c r="BA605" s="3"/>
      <c r="BB605" s="3"/>
      <c r="BC605" s="3"/>
      <c r="BD605" s="3"/>
      <c r="BE605" s="3"/>
      <c r="BF605" s="3"/>
      <c r="BG605" s="3"/>
      <c r="BH605" s="3"/>
      <c r="BI605" s="3"/>
      <c r="BJ605" s="3"/>
    </row>
    <row r="606" spans="1:62" ht="12.75" customHeight="1">
      <c r="A606"/>
      <c r="B606"/>
      <c r="C606"/>
      <c r="D606"/>
      <c r="E606"/>
      <c r="F606"/>
      <c r="G606"/>
      <c r="H606"/>
      <c r="I606"/>
      <c r="J606"/>
      <c r="K606" s="207">
        <v>51</v>
      </c>
      <c r="L606" s="207"/>
      <c r="M606"/>
      <c r="N606"/>
      <c r="O606"/>
      <c r="P606"/>
      <c r="Q606"/>
      <c r="R606" s="40"/>
      <c r="S606" s="23"/>
      <c r="V606" s="2"/>
      <c r="AN606" s="3"/>
      <c r="AO606" s="3"/>
      <c r="AP606" s="3"/>
      <c r="AQ606" s="3"/>
      <c r="AR606" s="3"/>
      <c r="AS606" s="3"/>
      <c r="AT606" s="3"/>
      <c r="AU606" s="3"/>
      <c r="AV606" s="3"/>
      <c r="AW606" s="3"/>
      <c r="AX606" s="3"/>
      <c r="AY606" s="3"/>
      <c r="AZ606" s="3"/>
      <c r="BA606" s="3"/>
      <c r="BB606" s="3"/>
      <c r="BC606" s="3"/>
      <c r="BD606" s="3"/>
      <c r="BE606" s="3"/>
      <c r="BF606" s="3"/>
      <c r="BG606" s="3"/>
      <c r="BH606" s="3"/>
      <c r="BI606" s="3"/>
      <c r="BJ606" s="3"/>
    </row>
    <row r="607" spans="1:62" ht="12.75" customHeight="1">
      <c r="A607"/>
      <c r="B607"/>
      <c r="C607"/>
      <c r="D607"/>
      <c r="E607"/>
      <c r="F607"/>
      <c r="G607"/>
      <c r="H607"/>
      <c r="I607"/>
      <c r="J607"/>
      <c r="K607" s="207">
        <v>52</v>
      </c>
      <c r="L607" s="207"/>
      <c r="M607"/>
      <c r="N607"/>
      <c r="O607"/>
      <c r="P607"/>
      <c r="Q607"/>
      <c r="R607" s="40"/>
      <c r="S607" s="23"/>
      <c r="V607" s="2"/>
      <c r="AN607" s="3"/>
      <c r="AO607" s="3"/>
      <c r="AP607" s="3"/>
      <c r="AQ607" s="3"/>
      <c r="AR607" s="3"/>
      <c r="AS607" s="3"/>
      <c r="AT607" s="3"/>
      <c r="AU607" s="3"/>
      <c r="AV607" s="3"/>
      <c r="AW607" s="3"/>
      <c r="AX607" s="3"/>
      <c r="AY607" s="3"/>
      <c r="AZ607" s="3"/>
      <c r="BA607" s="3"/>
      <c r="BB607" s="3"/>
      <c r="BC607" s="3"/>
      <c r="BD607" s="3"/>
      <c r="BE607" s="3"/>
      <c r="BF607" s="3"/>
      <c r="BG607" s="3"/>
      <c r="BH607" s="3"/>
      <c r="BI607" s="3"/>
      <c r="BJ607" s="3"/>
    </row>
    <row r="608" spans="1:62" ht="12.75" customHeight="1">
      <c r="A608"/>
      <c r="B608"/>
      <c r="C608"/>
      <c r="D608"/>
      <c r="E608"/>
      <c r="F608"/>
      <c r="G608"/>
      <c r="H608"/>
      <c r="I608"/>
      <c r="J608"/>
      <c r="K608" s="207">
        <v>53</v>
      </c>
      <c r="L608" s="207"/>
      <c r="M608"/>
      <c r="N608"/>
      <c r="O608"/>
      <c r="P608"/>
      <c r="Q608"/>
      <c r="R608" s="40"/>
      <c r="S608" s="23"/>
      <c r="V608" s="2"/>
      <c r="AN608" s="3"/>
      <c r="AO608" s="3"/>
      <c r="AP608" s="3"/>
      <c r="AQ608" s="3"/>
      <c r="AR608" s="3"/>
      <c r="AS608" s="3"/>
      <c r="AT608" s="3"/>
      <c r="AU608" s="3"/>
      <c r="AV608" s="3"/>
      <c r="AW608" s="3"/>
      <c r="AX608" s="3"/>
      <c r="AY608" s="3"/>
      <c r="AZ608" s="3"/>
      <c r="BA608" s="3"/>
      <c r="BB608" s="3"/>
      <c r="BC608" s="3"/>
      <c r="BD608" s="3"/>
      <c r="BE608" s="3"/>
      <c r="BF608" s="3"/>
      <c r="BG608" s="3"/>
      <c r="BH608" s="3"/>
      <c r="BI608" s="3"/>
      <c r="BJ608" s="3"/>
    </row>
    <row r="609" spans="1:62" ht="12.75" customHeight="1">
      <c r="A609"/>
      <c r="B609"/>
      <c r="C609"/>
      <c r="D609"/>
      <c r="E609"/>
      <c r="F609"/>
      <c r="G609"/>
      <c r="H609"/>
      <c r="I609"/>
      <c r="J609"/>
      <c r="K609" s="207">
        <v>54</v>
      </c>
      <c r="L609" s="207"/>
      <c r="M609"/>
      <c r="N609"/>
      <c r="O609"/>
      <c r="P609"/>
      <c r="Q609"/>
      <c r="R609" s="40"/>
      <c r="S609" s="23"/>
      <c r="V609" s="2"/>
      <c r="AN609" s="3"/>
      <c r="AO609" s="3"/>
      <c r="AP609" s="3"/>
      <c r="AQ609" s="3"/>
      <c r="AR609" s="3"/>
      <c r="AS609" s="3"/>
      <c r="AT609" s="3"/>
      <c r="AU609" s="3"/>
      <c r="AV609" s="3"/>
      <c r="AW609" s="3"/>
      <c r="AX609" s="3"/>
      <c r="AY609" s="3"/>
      <c r="AZ609" s="3"/>
      <c r="BA609" s="3"/>
      <c r="BB609" s="3"/>
      <c r="BC609" s="3"/>
      <c r="BD609" s="3"/>
      <c r="BE609" s="3"/>
      <c r="BF609" s="3"/>
      <c r="BG609" s="3"/>
      <c r="BH609" s="3"/>
      <c r="BI609" s="3"/>
      <c r="BJ609" s="3"/>
    </row>
    <row r="610" spans="1:62" ht="12.75" customHeight="1">
      <c r="A610"/>
      <c r="B610"/>
      <c r="C610"/>
      <c r="D610"/>
      <c r="E610"/>
      <c r="F610"/>
      <c r="G610"/>
      <c r="H610"/>
      <c r="I610"/>
      <c r="J610"/>
      <c r="K610" s="207">
        <v>55</v>
      </c>
      <c r="L610" s="207"/>
      <c r="M610"/>
      <c r="N610"/>
      <c r="O610"/>
      <c r="P610"/>
      <c r="Q610"/>
      <c r="R610" s="40"/>
      <c r="S610" s="23"/>
      <c r="V610" s="2"/>
      <c r="AN610" s="3"/>
      <c r="AO610" s="3"/>
      <c r="AP610" s="3"/>
      <c r="AQ610" s="3"/>
      <c r="AR610" s="3"/>
      <c r="AS610" s="3"/>
      <c r="AT610" s="3"/>
      <c r="AU610" s="3"/>
      <c r="AV610" s="3"/>
      <c r="AW610" s="3"/>
      <c r="AX610" s="3"/>
      <c r="AY610" s="3"/>
      <c r="AZ610" s="3"/>
      <c r="BA610" s="3"/>
      <c r="BB610" s="3"/>
      <c r="BC610" s="3"/>
      <c r="BD610" s="3"/>
      <c r="BE610" s="3"/>
      <c r="BF610" s="3"/>
      <c r="BG610" s="3"/>
      <c r="BH610" s="3"/>
      <c r="BI610" s="3"/>
      <c r="BJ610" s="3"/>
    </row>
    <row r="611" spans="1:62" ht="12.75" customHeight="1">
      <c r="A611"/>
      <c r="B611"/>
      <c r="C611"/>
      <c r="D611"/>
      <c r="E611"/>
      <c r="F611"/>
      <c r="G611"/>
      <c r="H611"/>
      <c r="I611"/>
      <c r="J611"/>
      <c r="K611" s="207">
        <v>56</v>
      </c>
      <c r="L611" s="207"/>
      <c r="M611"/>
      <c r="N611"/>
      <c r="O611"/>
      <c r="P611"/>
      <c r="Q611"/>
      <c r="R611" s="40"/>
      <c r="S611" s="23"/>
      <c r="V611" s="2"/>
      <c r="AN611" s="3"/>
      <c r="AO611" s="3"/>
      <c r="AP611" s="3"/>
      <c r="AQ611" s="3"/>
      <c r="AR611" s="3"/>
      <c r="AS611" s="3"/>
      <c r="AT611" s="3"/>
      <c r="AU611" s="3"/>
      <c r="AV611" s="3"/>
      <c r="AW611" s="3"/>
      <c r="AX611" s="3"/>
      <c r="AY611" s="3"/>
      <c r="AZ611" s="3"/>
      <c r="BA611" s="3"/>
      <c r="BB611" s="3"/>
      <c r="BC611" s="3"/>
      <c r="BD611" s="3"/>
      <c r="BE611" s="3"/>
      <c r="BF611" s="3"/>
      <c r="BG611" s="3"/>
      <c r="BH611" s="3"/>
      <c r="BI611" s="3"/>
      <c r="BJ611" s="3"/>
    </row>
    <row r="612" spans="1:62" ht="12.75" customHeight="1">
      <c r="A612"/>
      <c r="B612"/>
      <c r="C612"/>
      <c r="D612"/>
      <c r="E612"/>
      <c r="F612"/>
      <c r="G612"/>
      <c r="H612"/>
      <c r="I612"/>
      <c r="J612"/>
      <c r="K612" s="207">
        <v>57</v>
      </c>
      <c r="L612" s="207"/>
      <c r="M612"/>
      <c r="N612"/>
      <c r="O612"/>
      <c r="P612"/>
      <c r="Q612"/>
      <c r="R612" s="40"/>
      <c r="S612" s="23"/>
      <c r="V612" s="2"/>
      <c r="AN612" s="3"/>
      <c r="AO612" s="3"/>
      <c r="AP612" s="3"/>
      <c r="AQ612" s="3"/>
      <c r="AR612" s="3"/>
      <c r="AS612" s="3"/>
      <c r="AT612" s="3"/>
      <c r="AU612" s="3"/>
      <c r="AV612" s="3"/>
      <c r="AW612" s="3"/>
      <c r="AX612" s="3"/>
      <c r="AY612" s="3"/>
      <c r="AZ612" s="3"/>
      <c r="BA612" s="3"/>
      <c r="BB612" s="3"/>
      <c r="BC612" s="3"/>
      <c r="BD612" s="3"/>
      <c r="BE612" s="3"/>
      <c r="BF612" s="3"/>
      <c r="BG612" s="3"/>
      <c r="BH612" s="3"/>
      <c r="BI612" s="3"/>
      <c r="BJ612" s="3"/>
    </row>
    <row r="613" spans="1:62" ht="12.75" customHeight="1">
      <c r="A613"/>
      <c r="B613"/>
      <c r="C613"/>
      <c r="D613"/>
      <c r="E613"/>
      <c r="F613"/>
      <c r="G613"/>
      <c r="H613"/>
      <c r="I613"/>
      <c r="J613"/>
      <c r="K613" s="207">
        <v>58</v>
      </c>
      <c r="L613" s="207"/>
      <c r="M613"/>
      <c r="N613"/>
      <c r="O613"/>
      <c r="P613"/>
      <c r="Q613"/>
      <c r="R613" s="40"/>
      <c r="S613" s="23"/>
      <c r="V613" s="2"/>
      <c r="AN613" s="3"/>
      <c r="AO613" s="3"/>
      <c r="AP613" s="3"/>
      <c r="AQ613" s="3"/>
      <c r="AR613" s="3"/>
      <c r="AS613" s="3"/>
      <c r="AT613" s="3"/>
      <c r="AU613" s="3"/>
      <c r="AV613" s="3"/>
      <c r="AW613" s="3"/>
      <c r="AX613" s="3"/>
      <c r="AY613" s="3"/>
      <c r="AZ613" s="3"/>
      <c r="BA613" s="3"/>
      <c r="BB613" s="3"/>
      <c r="BC613" s="3"/>
      <c r="BD613" s="3"/>
      <c r="BE613" s="3"/>
      <c r="BF613" s="3"/>
      <c r="BG613" s="3"/>
      <c r="BH613" s="3"/>
      <c r="BI613" s="3"/>
      <c r="BJ613" s="3"/>
    </row>
    <row r="614" spans="1:62" ht="12.75" customHeight="1">
      <c r="A614"/>
      <c r="B614"/>
      <c r="C614"/>
      <c r="D614"/>
      <c r="E614"/>
      <c r="F614"/>
      <c r="G614"/>
      <c r="H614"/>
      <c r="I614"/>
      <c r="J614"/>
      <c r="K614" s="207">
        <v>59</v>
      </c>
      <c r="L614" s="207"/>
      <c r="M614"/>
      <c r="N614"/>
      <c r="O614"/>
      <c r="P614"/>
      <c r="Q614"/>
      <c r="R614" s="40"/>
      <c r="S614" s="23"/>
      <c r="V614" s="2"/>
      <c r="AN614" s="3"/>
      <c r="AO614" s="3"/>
      <c r="AP614" s="3"/>
      <c r="AQ614" s="3"/>
      <c r="AR614" s="3"/>
      <c r="AS614" s="3"/>
      <c r="AT614" s="3"/>
      <c r="AU614" s="3"/>
      <c r="AV614" s="3"/>
      <c r="AW614" s="3"/>
      <c r="AX614" s="3"/>
      <c r="AY614" s="3"/>
      <c r="AZ614" s="3"/>
      <c r="BA614" s="3"/>
      <c r="BB614" s="3"/>
      <c r="BC614" s="3"/>
      <c r="BD614" s="3"/>
      <c r="BE614" s="3"/>
      <c r="BF614" s="3"/>
      <c r="BG614" s="3"/>
      <c r="BH614" s="3"/>
      <c r="BI614" s="3"/>
      <c r="BJ614" s="3"/>
    </row>
    <row r="615" spans="1:62" ht="12.75" customHeight="1">
      <c r="A615"/>
      <c r="B615"/>
      <c r="C615"/>
      <c r="D615"/>
      <c r="E615"/>
      <c r="F615"/>
      <c r="G615"/>
      <c r="H615"/>
      <c r="I615"/>
      <c r="J615"/>
      <c r="K615" s="207">
        <v>60</v>
      </c>
      <c r="L615" s="207"/>
      <c r="M615"/>
      <c r="N615"/>
      <c r="O615"/>
      <c r="P615"/>
      <c r="Q615"/>
      <c r="R615" s="40"/>
      <c r="S615" s="23"/>
      <c r="V615" s="2"/>
      <c r="AN615" s="3"/>
      <c r="AO615" s="3"/>
      <c r="AP615" s="3"/>
      <c r="AQ615" s="3"/>
      <c r="AR615" s="3"/>
      <c r="AS615" s="3"/>
      <c r="AT615" s="3"/>
      <c r="AU615" s="3"/>
      <c r="AV615" s="3"/>
      <c r="AW615" s="3"/>
      <c r="AX615" s="3"/>
      <c r="AY615" s="3"/>
      <c r="AZ615" s="3"/>
      <c r="BA615" s="3"/>
      <c r="BB615" s="3"/>
      <c r="BC615" s="3"/>
      <c r="BD615" s="3"/>
      <c r="BE615" s="3"/>
      <c r="BF615" s="3"/>
      <c r="BG615" s="3"/>
      <c r="BH615" s="3"/>
      <c r="BI615" s="3"/>
      <c r="BJ615" s="3"/>
    </row>
    <row r="616" spans="1:62" ht="12.75" customHeight="1">
      <c r="A616"/>
      <c r="B616"/>
      <c r="C616"/>
      <c r="D616"/>
      <c r="E616"/>
      <c r="F616"/>
      <c r="G616"/>
      <c r="H616"/>
      <c r="I616"/>
      <c r="J616"/>
      <c r="K616" s="207">
        <v>61</v>
      </c>
      <c r="L616" s="207"/>
      <c r="M616"/>
      <c r="N616"/>
      <c r="O616"/>
      <c r="P616"/>
      <c r="Q616"/>
      <c r="R616" s="40"/>
      <c r="S616" s="23"/>
      <c r="V616" s="2"/>
      <c r="AN616" s="3"/>
      <c r="AO616" s="3"/>
      <c r="AP616" s="3"/>
      <c r="AQ616" s="3"/>
      <c r="AR616" s="3"/>
      <c r="AS616" s="3"/>
      <c r="AT616" s="3"/>
      <c r="AU616" s="3"/>
      <c r="AV616" s="3"/>
      <c r="AW616" s="3"/>
      <c r="AX616" s="3"/>
      <c r="AY616" s="3"/>
      <c r="AZ616" s="3"/>
      <c r="BA616" s="3"/>
      <c r="BB616" s="3"/>
      <c r="BC616" s="3"/>
      <c r="BD616" s="3"/>
      <c r="BE616" s="3"/>
      <c r="BF616" s="3"/>
      <c r="BG616" s="3"/>
      <c r="BH616" s="3"/>
      <c r="BI616" s="3"/>
      <c r="BJ616" s="3"/>
    </row>
    <row r="617" spans="1:62" ht="12.75" customHeight="1">
      <c r="A617"/>
      <c r="B617"/>
      <c r="C617"/>
      <c r="D617"/>
      <c r="E617"/>
      <c r="F617"/>
      <c r="G617"/>
      <c r="H617"/>
      <c r="I617"/>
      <c r="J617"/>
      <c r="K617" s="207">
        <v>62</v>
      </c>
      <c r="L617" s="207"/>
      <c r="M617"/>
      <c r="N617"/>
      <c r="O617"/>
      <c r="P617"/>
      <c r="Q617"/>
      <c r="R617" s="40"/>
      <c r="S617" s="23"/>
      <c r="V617" s="2"/>
      <c r="AN617" s="3"/>
      <c r="AO617" s="3"/>
      <c r="AP617" s="3"/>
      <c r="AQ617" s="3"/>
      <c r="AR617" s="3"/>
      <c r="AS617" s="3"/>
      <c r="AT617" s="3"/>
      <c r="AU617" s="3"/>
      <c r="AV617" s="3"/>
      <c r="AW617" s="3"/>
      <c r="AX617" s="3"/>
      <c r="AY617" s="3"/>
      <c r="AZ617" s="3"/>
      <c r="BA617" s="3"/>
      <c r="BB617" s="3"/>
      <c r="BC617" s="3"/>
      <c r="BD617" s="3"/>
      <c r="BE617" s="3"/>
      <c r="BF617" s="3"/>
      <c r="BG617" s="3"/>
      <c r="BH617" s="3"/>
      <c r="BI617" s="3"/>
      <c r="BJ617" s="3"/>
    </row>
    <row r="618" spans="1:62" ht="12.75" customHeight="1">
      <c r="A618"/>
      <c r="B618"/>
      <c r="C618"/>
      <c r="D618"/>
      <c r="E618"/>
      <c r="F618"/>
      <c r="G618"/>
      <c r="H618"/>
      <c r="I618"/>
      <c r="J618"/>
      <c r="K618" s="207">
        <v>63</v>
      </c>
      <c r="L618" s="207"/>
      <c r="M618"/>
      <c r="N618"/>
      <c r="O618"/>
      <c r="P618"/>
      <c r="Q618"/>
      <c r="R618" s="40"/>
      <c r="S618" s="23"/>
      <c r="V618" s="2"/>
      <c r="AN618" s="3"/>
      <c r="AO618" s="3"/>
      <c r="AP618" s="3"/>
      <c r="AQ618" s="3"/>
      <c r="AR618" s="3"/>
      <c r="AS618" s="3"/>
      <c r="AT618" s="3"/>
      <c r="AU618" s="3"/>
      <c r="AV618" s="3"/>
      <c r="AW618" s="3"/>
      <c r="AX618" s="3"/>
      <c r="AY618" s="3"/>
      <c r="AZ618" s="3"/>
      <c r="BA618" s="3"/>
      <c r="BB618" s="3"/>
      <c r="BC618" s="3"/>
      <c r="BD618" s="3"/>
      <c r="BE618" s="3"/>
      <c r="BF618" s="3"/>
      <c r="BG618" s="3"/>
      <c r="BH618" s="3"/>
      <c r="BI618" s="3"/>
      <c r="BJ618" s="3"/>
    </row>
    <row r="619" spans="1:62" ht="12.75" customHeight="1">
      <c r="A619"/>
      <c r="B619"/>
      <c r="C619"/>
      <c r="D619"/>
      <c r="E619"/>
      <c r="F619"/>
      <c r="G619"/>
      <c r="H619"/>
      <c r="I619"/>
      <c r="J619"/>
      <c r="K619" s="207">
        <v>64</v>
      </c>
      <c r="L619" s="207"/>
      <c r="M619"/>
      <c r="N619"/>
      <c r="O619"/>
      <c r="P619"/>
      <c r="Q619"/>
      <c r="R619" s="40"/>
      <c r="S619" s="23"/>
      <c r="V619" s="2"/>
      <c r="AN619" s="3"/>
      <c r="AO619" s="3"/>
      <c r="AP619" s="3"/>
      <c r="AQ619" s="3"/>
      <c r="AR619" s="3"/>
      <c r="AS619" s="3"/>
      <c r="AT619" s="3"/>
      <c r="AU619" s="3"/>
      <c r="AV619" s="3"/>
      <c r="AW619" s="3"/>
      <c r="AX619" s="3"/>
      <c r="AY619" s="3"/>
      <c r="AZ619" s="3"/>
      <c r="BA619" s="3"/>
      <c r="BB619" s="3"/>
      <c r="BC619" s="3"/>
      <c r="BD619" s="3"/>
      <c r="BE619" s="3"/>
      <c r="BF619" s="3"/>
      <c r="BG619" s="3"/>
      <c r="BH619" s="3"/>
      <c r="BI619" s="3"/>
      <c r="BJ619" s="3"/>
    </row>
    <row r="620" spans="1:62" ht="12.75" customHeight="1">
      <c r="A620"/>
      <c r="B620"/>
      <c r="C620"/>
      <c r="D620"/>
      <c r="E620"/>
      <c r="F620"/>
      <c r="G620"/>
      <c r="H620"/>
      <c r="I620"/>
      <c r="J620"/>
      <c r="K620" s="207">
        <v>65</v>
      </c>
      <c r="L620" s="207"/>
      <c r="M620"/>
      <c r="N620"/>
      <c r="O620"/>
      <c r="P620"/>
      <c r="Q620"/>
      <c r="R620" s="40"/>
      <c r="S620" s="23"/>
      <c r="V620" s="2"/>
      <c r="AN620" s="3"/>
      <c r="AO620" s="3"/>
      <c r="AP620" s="3"/>
      <c r="AQ620" s="3"/>
      <c r="AR620" s="3"/>
      <c r="AS620" s="3"/>
      <c r="AT620" s="3"/>
      <c r="AU620" s="3"/>
      <c r="AV620" s="3"/>
      <c r="AW620" s="3"/>
      <c r="AX620" s="3"/>
      <c r="AY620" s="3"/>
      <c r="AZ620" s="3"/>
      <c r="BA620" s="3"/>
      <c r="BB620" s="3"/>
      <c r="BC620" s="3"/>
      <c r="BD620" s="3"/>
      <c r="BE620" s="3"/>
      <c r="BF620" s="3"/>
      <c r="BG620" s="3"/>
      <c r="BH620" s="3"/>
      <c r="BI620" s="3"/>
      <c r="BJ620" s="3"/>
    </row>
    <row r="621" spans="1:62" ht="12.75" customHeight="1">
      <c r="A621"/>
      <c r="B621"/>
      <c r="C621"/>
      <c r="D621"/>
      <c r="E621"/>
      <c r="F621"/>
      <c r="G621"/>
      <c r="H621"/>
      <c r="I621"/>
      <c r="J621"/>
      <c r="K621" s="207">
        <v>66</v>
      </c>
      <c r="L621" s="207"/>
      <c r="M621"/>
      <c r="N621"/>
      <c r="O621"/>
      <c r="P621"/>
      <c r="Q621"/>
      <c r="R621" s="40"/>
      <c r="S621" s="23"/>
      <c r="V621" s="2"/>
      <c r="AN621" s="3"/>
      <c r="AO621" s="3"/>
      <c r="AP621" s="3"/>
      <c r="AQ621" s="3"/>
      <c r="AR621" s="3"/>
      <c r="AS621" s="3"/>
      <c r="AT621" s="3"/>
      <c r="AU621" s="3"/>
      <c r="AV621" s="3"/>
      <c r="AW621" s="3"/>
      <c r="AX621" s="3"/>
      <c r="AY621" s="3"/>
      <c r="AZ621" s="3"/>
      <c r="BA621" s="3"/>
      <c r="BB621" s="3"/>
      <c r="BC621" s="3"/>
      <c r="BD621" s="3"/>
      <c r="BE621" s="3"/>
      <c r="BF621" s="3"/>
      <c r="BG621" s="3"/>
      <c r="BH621" s="3"/>
      <c r="BI621" s="3"/>
      <c r="BJ621" s="3"/>
    </row>
    <row r="622" spans="1:62" ht="12.75" customHeight="1">
      <c r="A622"/>
      <c r="B622"/>
      <c r="C622"/>
      <c r="D622"/>
      <c r="E622"/>
      <c r="F622"/>
      <c r="G622"/>
      <c r="H622"/>
      <c r="I622"/>
      <c r="J622"/>
      <c r="K622" s="207">
        <v>67</v>
      </c>
      <c r="L622" s="207"/>
      <c r="M622"/>
      <c r="N622"/>
      <c r="O622"/>
      <c r="P622"/>
      <c r="Q622"/>
      <c r="R622" s="40"/>
      <c r="S622" s="23"/>
      <c r="V622" s="2"/>
      <c r="AN622" s="3"/>
      <c r="AO622" s="3"/>
      <c r="AP622" s="3"/>
      <c r="AQ622" s="3"/>
      <c r="AR622" s="3"/>
      <c r="AS622" s="3"/>
      <c r="AT622" s="3"/>
      <c r="AU622" s="3"/>
      <c r="AV622" s="3"/>
      <c r="AW622" s="3"/>
      <c r="AX622" s="3"/>
      <c r="AY622" s="3"/>
      <c r="AZ622" s="3"/>
      <c r="BA622" s="3"/>
      <c r="BB622" s="3"/>
      <c r="BC622" s="3"/>
      <c r="BD622" s="3"/>
      <c r="BE622" s="3"/>
      <c r="BF622" s="3"/>
      <c r="BG622" s="3"/>
      <c r="BH622" s="3"/>
      <c r="BI622" s="3"/>
      <c r="BJ622" s="3"/>
    </row>
    <row r="623" spans="1:62" ht="12.75" customHeight="1">
      <c r="A623" t="s">
        <v>443</v>
      </c>
      <c r="B623"/>
      <c r="C623"/>
      <c r="D623"/>
      <c r="E623"/>
      <c r="F623"/>
      <c r="G623"/>
      <c r="H623"/>
      <c r="I623"/>
      <c r="J623"/>
      <c r="K623" s="207">
        <v>68</v>
      </c>
      <c r="L623" s="207"/>
      <c r="M623"/>
      <c r="N623"/>
      <c r="O623"/>
      <c r="P623"/>
      <c r="Q623"/>
      <c r="R623" s="40"/>
      <c r="S623" s="23"/>
      <c r="V623" s="2"/>
      <c r="AN623" s="3"/>
      <c r="AO623" s="3"/>
      <c r="AP623" s="3"/>
      <c r="AQ623" s="3"/>
      <c r="AR623" s="3"/>
      <c r="AS623" s="3"/>
      <c r="AT623" s="3"/>
      <c r="AU623" s="3"/>
      <c r="AV623" s="3"/>
      <c r="AW623" s="3"/>
      <c r="AX623" s="3"/>
      <c r="AY623" s="3"/>
      <c r="AZ623" s="3"/>
      <c r="BA623" s="3"/>
      <c r="BB623" s="3"/>
      <c r="BC623" s="3"/>
      <c r="BD623" s="3"/>
      <c r="BE623" s="3"/>
      <c r="BF623" s="3"/>
      <c r="BG623" s="3"/>
      <c r="BH623" s="3"/>
      <c r="BI623" s="3"/>
      <c r="BJ623" s="3"/>
    </row>
    <row r="624" spans="1:62" ht="13.9" customHeight="1">
      <c r="B624" s="2"/>
      <c r="G624" s="2"/>
      <c r="H624" s="2"/>
      <c r="Q624" s="3"/>
      <c r="T624" s="3"/>
      <c r="U624" s="3"/>
      <c r="V624" s="2"/>
      <c r="W624" s="3"/>
      <c r="Z624" s="3"/>
      <c r="AB624" s="3"/>
      <c r="AK624" s="3"/>
      <c r="AL624" s="3"/>
      <c r="AM624" s="3"/>
      <c r="AN624" s="3"/>
    </row>
    <row r="625" spans="1:62" ht="40.9" customHeight="1">
      <c r="B625" s="2"/>
      <c r="F625" s="3"/>
      <c r="H625" s="2"/>
      <c r="I625" s="3"/>
      <c r="J625" s="235" t="s">
        <v>1</v>
      </c>
      <c r="K625" s="235"/>
      <c r="L625" s="235"/>
      <c r="M625" s="235"/>
      <c r="N625" s="235"/>
      <c r="O625" s="235"/>
      <c r="P625" s="235"/>
      <c r="Q625" s="235"/>
      <c r="R625" s="235"/>
      <c r="S625" s="235"/>
      <c r="T625" s="235"/>
      <c r="U625" s="235"/>
      <c r="V625" s="235"/>
      <c r="W625" s="235"/>
      <c r="X625" s="235"/>
      <c r="Y625" s="235"/>
      <c r="Z625" s="235"/>
      <c r="AA625" s="235"/>
      <c r="AB625" s="235"/>
      <c r="AC625" s="235"/>
      <c r="AD625" s="235"/>
      <c r="AK625" s="227"/>
      <c r="AL625" s="227"/>
      <c r="AM625" s="227"/>
      <c r="AN625" s="227"/>
      <c r="AO625" s="227"/>
      <c r="AP625" s="227"/>
      <c r="AQ625" s="227"/>
      <c r="AR625" s="227"/>
      <c r="AS625" s="227"/>
      <c r="AT625" s="227"/>
      <c r="AU625" s="227"/>
    </row>
    <row r="626" spans="1:62" ht="12.6" customHeight="1">
      <c r="B626" s="2"/>
      <c r="G626" s="2"/>
      <c r="H626" s="2"/>
      <c r="J626" s="235"/>
      <c r="K626" s="235"/>
      <c r="L626" s="235"/>
      <c r="M626" s="235"/>
      <c r="N626" s="235"/>
      <c r="O626" s="235"/>
      <c r="P626" s="235"/>
      <c r="Q626" s="235"/>
      <c r="R626" s="235"/>
      <c r="S626" s="235"/>
      <c r="T626" s="235"/>
      <c r="U626" s="235"/>
      <c r="V626" s="235"/>
      <c r="W626" s="235"/>
      <c r="X626" s="235"/>
      <c r="Y626" s="235"/>
      <c r="Z626" s="235"/>
      <c r="AA626" s="235"/>
      <c r="AB626" s="235"/>
      <c r="AC626" s="235"/>
      <c r="AD626" s="235"/>
      <c r="AK626" s="3"/>
      <c r="AL626" s="3"/>
      <c r="AM626" s="3"/>
      <c r="AN626" s="3"/>
    </row>
    <row r="627" spans="1:62" ht="21" customHeight="1" thickBot="1">
      <c r="A627" s="4"/>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K627" s="3"/>
      <c r="AL627" s="3"/>
      <c r="AM627" s="3"/>
      <c r="AN627" s="3"/>
    </row>
    <row r="628" spans="1:62" ht="16.5" thickTop="1">
      <c r="A628" s="240" t="str">
        <f>IF(LEN(nPaz)&gt;0,nPaz,"")</f>
        <v>GIOVANNI BUI</v>
      </c>
      <c r="B628" s="240"/>
      <c r="C628" s="240"/>
      <c r="D628" s="240"/>
      <c r="E628" s="240"/>
      <c r="F628" s="240"/>
      <c r="G628" s="240"/>
      <c r="H628" s="240"/>
      <c r="I628" s="240"/>
      <c r="J628" s="240"/>
      <c r="K628" s="240"/>
      <c r="L628" s="240"/>
      <c r="M628" s="240"/>
      <c r="N628" s="240"/>
      <c r="O628" s="240"/>
      <c r="P628" s="126"/>
      <c r="Q628" s="127" t="s">
        <v>8</v>
      </c>
      <c r="R628" s="128" t="str">
        <f>IF(codfisc&lt;&gt;"",codfisc,"")</f>
        <v>VFSDRT68R23O944K</v>
      </c>
      <c r="S628" s="129"/>
      <c r="T628" s="125"/>
      <c r="U628" s="125"/>
      <c r="V628" s="125"/>
      <c r="W628" s="125"/>
      <c r="X628" s="130" t="s">
        <v>352</v>
      </c>
      <c r="Y628" s="238">
        <f>IF(nacc&lt;&gt;"",nacc,"")</f>
        <v>6543</v>
      </c>
      <c r="Z628" s="238"/>
      <c r="AA628" s="131" t="s">
        <v>353</v>
      </c>
      <c r="AB628" s="239">
        <f>IF(dref&lt;&gt;"",dref,"")</f>
        <v>46003</v>
      </c>
      <c r="AC628" s="239"/>
      <c r="AD628" s="239"/>
      <c r="AE628" s="132"/>
      <c r="AF628"/>
      <c r="AG628"/>
      <c r="AH628"/>
      <c r="AI628"/>
      <c r="AJ628"/>
      <c r="AK628"/>
      <c r="AL628"/>
      <c r="AM628"/>
      <c r="AN628"/>
      <c r="AO628"/>
      <c r="AP628" s="16"/>
      <c r="AQ628" s="3"/>
      <c r="AR628" s="3"/>
      <c r="AS628" s="3"/>
      <c r="AT628" s="3"/>
      <c r="AV628" s="3"/>
    </row>
    <row r="629" spans="1:62" ht="13.9" customHeight="1">
      <c r="A629" s="217" t="s">
        <v>88</v>
      </c>
      <c r="B629" s="217"/>
      <c r="C629" s="217"/>
      <c r="D629" s="217"/>
      <c r="E629" s="217"/>
      <c r="F629" s="217"/>
      <c r="G629" s="217"/>
      <c r="H629" s="217"/>
      <c r="I629" s="217"/>
      <c r="J629" s="217"/>
      <c r="K629" s="217"/>
      <c r="L629" s="217"/>
      <c r="M629" s="59"/>
      <c r="N629" s="59"/>
      <c r="O629" s="217" t="s">
        <v>89</v>
      </c>
      <c r="P629" s="217"/>
      <c r="Q629" s="217"/>
      <c r="R629" s="57"/>
      <c r="S629" s="218" t="s">
        <v>90</v>
      </c>
      <c r="T629" s="218"/>
      <c r="U629" s="58"/>
      <c r="V629" s="219" t="s">
        <v>157</v>
      </c>
      <c r="W629" s="219"/>
      <c r="X629" s="219"/>
      <c r="Y629" s="219"/>
      <c r="Z629" s="219"/>
      <c r="AA629" s="219"/>
      <c r="AB629" s="219"/>
      <c r="AC629" s="219"/>
      <c r="AD629" s="69"/>
      <c r="AE629" s="6"/>
      <c r="AF629" s="6"/>
      <c r="AG629" s="6"/>
      <c r="AH629" s="6"/>
      <c r="AI629" s="6"/>
      <c r="AJ629" s="6"/>
      <c r="AK629" s="6"/>
      <c r="AL629" s="6"/>
      <c r="AM629" s="6"/>
      <c r="AN629" s="3"/>
      <c r="AP629" s="3"/>
      <c r="AQ629" s="3"/>
      <c r="AR629" s="3"/>
      <c r="AS629" s="3"/>
    </row>
    <row r="630" spans="1:62" ht="13.9" customHeight="1">
      <c r="A630" s="217"/>
      <c r="B630" s="217"/>
      <c r="C630" s="217"/>
      <c r="D630" s="217"/>
      <c r="E630" s="217"/>
      <c r="F630" s="217"/>
      <c r="G630" s="217"/>
      <c r="H630" s="217"/>
      <c r="I630" s="217"/>
      <c r="J630" s="217"/>
      <c r="K630" s="217"/>
      <c r="L630" s="217"/>
      <c r="M630" s="59"/>
      <c r="N630" s="59"/>
      <c r="O630" s="205" t="s">
        <v>92</v>
      </c>
      <c r="P630" s="205"/>
      <c r="Q630" s="205"/>
      <c r="R630" s="58"/>
      <c r="S630" s="206" t="s">
        <v>93</v>
      </c>
      <c r="T630" s="206"/>
      <c r="U630" s="58"/>
      <c r="V630" s="219" t="s">
        <v>419</v>
      </c>
      <c r="W630" s="219"/>
      <c r="X630" s="219"/>
      <c r="Y630" s="219"/>
      <c r="Z630" s="219"/>
      <c r="AA630" s="219"/>
      <c r="AB630" s="219"/>
      <c r="AC630" s="219"/>
      <c r="AD630" s="67"/>
      <c r="AF630"/>
      <c r="AG630"/>
      <c r="AH630"/>
      <c r="AI630"/>
      <c r="AJ630"/>
      <c r="AK630"/>
      <c r="AL630"/>
      <c r="AM630"/>
      <c r="AN630"/>
      <c r="AO630"/>
    </row>
    <row r="631" spans="1:62" ht="13.9" customHeight="1" thickBot="1">
      <c r="A631" s="49"/>
      <c r="B631" s="49"/>
      <c r="C631" s="49"/>
      <c r="D631" s="49"/>
      <c r="E631" s="49"/>
      <c r="F631" s="49"/>
      <c r="G631" s="49"/>
      <c r="H631" s="49"/>
      <c r="I631" s="49"/>
      <c r="J631" s="49"/>
      <c r="K631" s="49"/>
      <c r="L631" s="49"/>
      <c r="M631" s="49"/>
      <c r="N631" s="49"/>
      <c r="O631" s="8"/>
      <c r="P631" s="50" t="s">
        <v>144</v>
      </c>
      <c r="Q631" s="8"/>
      <c r="R631" s="8"/>
      <c r="S631" s="8"/>
      <c r="T631" s="8"/>
      <c r="U631" s="8"/>
      <c r="V631" s="8"/>
      <c r="W631" s="8"/>
      <c r="X631" s="8"/>
      <c r="Y631" s="8"/>
      <c r="Z631" s="8"/>
      <c r="AA631" s="8"/>
      <c r="AB631" s="8"/>
      <c r="AC631" s="8"/>
      <c r="AD631" s="7"/>
      <c r="AE631" s="7"/>
      <c r="AF631"/>
      <c r="AG631"/>
      <c r="AH631"/>
      <c r="AI631"/>
      <c r="AJ631"/>
      <c r="AK631"/>
      <c r="AL631"/>
      <c r="AM631"/>
      <c r="AN631"/>
      <c r="AO631"/>
      <c r="AP631"/>
      <c r="AQ631"/>
      <c r="AR631" s="3"/>
      <c r="AS631" s="3"/>
    </row>
    <row r="632" spans="1:62" ht="9.9499999999999993" customHeight="1" thickTop="1">
      <c r="A632" s="174"/>
      <c r="B632" s="174"/>
      <c r="C632" s="174"/>
      <c r="D632" s="174"/>
      <c r="E632" s="174"/>
      <c r="F632" s="174"/>
      <c r="G632" s="174"/>
      <c r="H632" s="174"/>
      <c r="I632" s="174"/>
      <c r="J632" s="174"/>
      <c r="K632" s="174"/>
      <c r="L632" s="174"/>
      <c r="M632" s="174"/>
      <c r="N632" s="174"/>
      <c r="O632" s="3"/>
      <c r="P632" s="175"/>
      <c r="Q632" s="3"/>
      <c r="R632" s="3"/>
      <c r="S632" s="3"/>
      <c r="T632" s="3"/>
      <c r="U632" s="3"/>
      <c r="V632" s="3"/>
      <c r="W632" s="3"/>
      <c r="X632" s="3"/>
      <c r="Y632" s="3"/>
      <c r="Z632" s="3"/>
      <c r="AA632" s="3"/>
      <c r="AB632" s="3"/>
      <c r="AC632" s="3"/>
      <c r="AF632"/>
      <c r="AG632"/>
      <c r="AH632"/>
      <c r="AI632"/>
      <c r="AJ632"/>
      <c r="AK632"/>
      <c r="AL632"/>
      <c r="AM632"/>
      <c r="AN632"/>
      <c r="AO632"/>
      <c r="AP632"/>
      <c r="AQ632"/>
      <c r="AR632" s="3"/>
      <c r="AS632" s="3"/>
    </row>
    <row r="633" spans="1:62" ht="15" customHeight="1">
      <c r="A633" s="220" t="s">
        <v>446</v>
      </c>
      <c r="B633" s="220"/>
      <c r="C633" s="220"/>
      <c r="D633" s="220"/>
      <c r="E633" s="220"/>
      <c r="F633" s="220"/>
      <c r="G633" s="220"/>
      <c r="H633" s="220"/>
      <c r="I633" s="220"/>
      <c r="J633" s="220"/>
      <c r="K633" s="220"/>
      <c r="L633" s="220"/>
      <c r="M633" s="220"/>
      <c r="N633" s="220"/>
      <c r="O633" s="220"/>
      <c r="P633" s="220"/>
      <c r="Q633" s="220"/>
      <c r="R633" s="220"/>
      <c r="S633" s="220"/>
      <c r="T633" s="220"/>
      <c r="U633" s="220"/>
      <c r="V633" s="220"/>
      <c r="W633" s="220"/>
      <c r="X633" s="220"/>
      <c r="Y633" s="220"/>
      <c r="Z633" s="220"/>
      <c r="AA633" s="220"/>
      <c r="AB633" s="220"/>
      <c r="AC633" s="220"/>
      <c r="AD633" s="220"/>
      <c r="AE633" s="220"/>
      <c r="AG633"/>
      <c r="AH633"/>
      <c r="AI633"/>
      <c r="AJ633" s="3"/>
      <c r="AK633" s="3"/>
      <c r="AL633" s="3"/>
      <c r="AM633" s="3"/>
      <c r="AN633" s="3"/>
      <c r="AV633"/>
      <c r="AW633"/>
      <c r="AX633"/>
      <c r="AY633"/>
      <c r="AZ633"/>
      <c r="BA633"/>
      <c r="BB633"/>
      <c r="BC633"/>
      <c r="BD633"/>
      <c r="BE633"/>
      <c r="BF633"/>
      <c r="BG633"/>
      <c r="BH633"/>
      <c r="BI633"/>
    </row>
    <row r="634" spans="1:62" customFormat="1" ht="9.9499999999999993" customHeight="1"/>
    <row r="635" spans="1:62" ht="12.95" customHeight="1">
      <c r="A635" s="173"/>
      <c r="B635" s="173"/>
      <c r="C635" s="176" t="s">
        <v>128</v>
      </c>
      <c r="D635" s="176"/>
      <c r="E635" s="176"/>
      <c r="F635" s="176"/>
      <c r="G635" s="176"/>
      <c r="H635" s="176"/>
      <c r="I635" s="176"/>
      <c r="J635" s="176"/>
      <c r="K635" s="176"/>
      <c r="L635" s="176"/>
      <c r="M635" s="176"/>
      <c r="N635" s="176"/>
      <c r="O635" s="176"/>
      <c r="P635" s="176"/>
      <c r="Q635" s="168"/>
      <c r="R635" s="168"/>
      <c r="S635" s="168"/>
      <c r="T635" s="168"/>
      <c r="V635" s="2"/>
      <c r="AG635" s="73"/>
      <c r="AH635" s="73"/>
      <c r="AI635"/>
      <c r="AJ635"/>
      <c r="AL635"/>
      <c r="AM635"/>
      <c r="AN635" s="3"/>
      <c r="AO635"/>
      <c r="AP635"/>
      <c r="AQ635"/>
      <c r="AR635"/>
      <c r="AS635"/>
      <c r="AT635"/>
      <c r="AU635"/>
      <c r="AV635"/>
      <c r="AW635"/>
      <c r="AX635"/>
      <c r="AY635"/>
      <c r="AZ635"/>
      <c r="BA635"/>
      <c r="BB635"/>
      <c r="BC635"/>
      <c r="BD635"/>
      <c r="BE635"/>
      <c r="BF635"/>
      <c r="BG635"/>
      <c r="BH635"/>
      <c r="BI635"/>
      <c r="BJ635" s="3"/>
    </row>
    <row r="636" spans="1:62" ht="10.5" customHeight="1">
      <c r="A636" s="53"/>
      <c r="B636" s="53"/>
      <c r="C636" s="53"/>
      <c r="D636" s="54"/>
      <c r="E636" s="54"/>
      <c r="F636" s="54"/>
      <c r="G636" s="53"/>
      <c r="H636" s="53"/>
      <c r="I636" s="54"/>
      <c r="J636" s="54"/>
      <c r="K636" s="54"/>
      <c r="L636" s="54"/>
      <c r="M636" s="54"/>
      <c r="N636" s="54"/>
      <c r="P636" s="3"/>
      <c r="Q636" s="44"/>
      <c r="R636" s="3"/>
      <c r="S636" s="169"/>
      <c r="T636" s="158"/>
      <c r="U636" s="197"/>
      <c r="V636" s="197"/>
      <c r="W636" s="3"/>
      <c r="X636" s="3"/>
      <c r="Y636" s="3"/>
      <c r="Z636" s="3"/>
      <c r="AA636" s="3"/>
      <c r="AB636" s="3"/>
      <c r="AC636" s="197"/>
      <c r="AD636" s="197"/>
      <c r="AF636" s="3"/>
      <c r="AG636" s="3"/>
      <c r="AH636" s="3"/>
      <c r="AI636" s="22"/>
      <c r="AJ636" s="22"/>
      <c r="AK636" s="22"/>
      <c r="AL636" s="22"/>
      <c r="AN636" s="3"/>
      <c r="AP636" s="3"/>
      <c r="AQ636" s="3"/>
      <c r="AR636" s="3"/>
      <c r="AS636" s="3"/>
      <c r="AT636" s="3"/>
      <c r="AU636" s="3"/>
      <c r="AV636" s="3"/>
      <c r="AW636" s="3"/>
      <c r="AX636" s="3"/>
      <c r="AY636" s="3"/>
      <c r="AZ636" s="3"/>
      <c r="BA636" s="3"/>
      <c r="BB636" s="3"/>
      <c r="BC636" s="3"/>
      <c r="BD636" s="3"/>
      <c r="BE636" s="3"/>
      <c r="BF636" s="3"/>
      <c r="BG636" s="3"/>
      <c r="BH636" s="3"/>
      <c r="BI636" s="3"/>
      <c r="BJ636" s="3"/>
    </row>
    <row r="637" spans="1:62" ht="6" customHeight="1">
      <c r="A637" s="221">
        <v>58</v>
      </c>
      <c r="B637" s="51"/>
      <c r="C637" s="199" t="str">
        <f>INDEX(Riferimenti!$B$2:$B$71,A637)</f>
        <v>2-Idrossiippurico</v>
      </c>
      <c r="D637" s="199"/>
      <c r="E637" s="199"/>
      <c r="F637" s="199"/>
      <c r="G637" s="199"/>
      <c r="H637" s="199"/>
      <c r="I637" s="199"/>
      <c r="J637" s="199"/>
      <c r="K637" s="199"/>
      <c r="L637" s="199"/>
      <c r="M637" s="199"/>
      <c r="N637" s="199"/>
      <c r="O637" s="195">
        <f>INDEX(Riferimenti!$C$2:$C$71,A637)</f>
        <v>0</v>
      </c>
      <c r="P637" s="195" t="str">
        <f>INDEX(Riferimenti!$D$2:$D$71,A637)</f>
        <v>≤</v>
      </c>
      <c r="Q637" s="195">
        <f>INDEX(Riferimenti!$E$2:$E$71,A637)</f>
        <v>4.4000000000000004</v>
      </c>
      <c r="R637" s="201"/>
      <c r="S637" s="202"/>
      <c r="T637" s="202"/>
      <c r="V637" s="2"/>
      <c r="AG637" s="195">
        <f>INDEX(Riferimenti!$Q$2:$Q$61,A637)</f>
        <v>0.11475256296376513</v>
      </c>
      <c r="AH637" s="195">
        <f>INDEX(Riferimenti!$R$2:$R$61,A637)</f>
        <v>2.2331073592152237</v>
      </c>
      <c r="AI637" s="3"/>
      <c r="AN637" s="3"/>
      <c r="AT637" s="3"/>
      <c r="AU637" s="3"/>
      <c r="AV637" s="3"/>
      <c r="AW637" s="3"/>
      <c r="AX637" s="3"/>
      <c r="AY637" s="3"/>
      <c r="AZ637" s="3"/>
      <c r="BA637" s="3"/>
      <c r="BB637" s="3"/>
      <c r="BC637" s="3"/>
      <c r="BD637" s="3"/>
      <c r="BE637" s="3"/>
      <c r="BF637" s="3"/>
      <c r="BG637" s="3"/>
      <c r="BH637" s="3"/>
      <c r="BI637" s="3"/>
      <c r="BJ637" s="3"/>
    </row>
    <row r="638" spans="1:62" ht="5.45" customHeight="1">
      <c r="A638" s="221"/>
      <c r="B638" s="51"/>
      <c r="C638" s="199"/>
      <c r="D638" s="199"/>
      <c r="E638" s="199"/>
      <c r="F638" s="199"/>
      <c r="G638" s="199"/>
      <c r="H638" s="199"/>
      <c r="I638" s="199"/>
      <c r="J638" s="199"/>
      <c r="K638" s="199"/>
      <c r="L638" s="199"/>
      <c r="M638" s="199"/>
      <c r="N638" s="199"/>
      <c r="O638" s="195"/>
      <c r="P638" s="195"/>
      <c r="Q638" s="195"/>
      <c r="R638" s="201"/>
      <c r="S638" s="202"/>
      <c r="T638" s="202"/>
      <c r="U638"/>
      <c r="V638"/>
      <c r="W638"/>
      <c r="X638"/>
      <c r="Y638"/>
      <c r="Z638"/>
      <c r="AA638"/>
      <c r="AB638"/>
      <c r="AC638"/>
      <c r="AD638"/>
      <c r="AF638"/>
      <c r="AG638" s="195"/>
      <c r="AH638" s="195"/>
      <c r="AN638" s="3"/>
      <c r="AO638" s="3"/>
      <c r="AP638" s="3"/>
      <c r="AQ638" s="3"/>
      <c r="AR638" s="3"/>
      <c r="AS638" s="3"/>
      <c r="AT638" s="3"/>
      <c r="AU638" s="3"/>
      <c r="AV638" s="3"/>
      <c r="AW638" s="3"/>
      <c r="AX638" s="3"/>
      <c r="AY638" s="3"/>
      <c r="AZ638" s="3"/>
      <c r="BA638" s="3"/>
      <c r="BB638" s="3"/>
      <c r="BC638" s="3"/>
      <c r="BD638" s="3"/>
      <c r="BE638" s="3"/>
      <c r="BF638" s="3"/>
      <c r="BG638" s="3"/>
      <c r="BH638" s="3"/>
      <c r="BI638" s="3"/>
      <c r="BJ638" s="3"/>
    </row>
    <row r="639" spans="1:62" ht="6" customHeight="1">
      <c r="A639" s="216"/>
      <c r="B639" s="216"/>
      <c r="C639" s="216"/>
      <c r="D639" s="216"/>
      <c r="E639" s="216"/>
      <c r="F639" s="216"/>
      <c r="G639" s="216"/>
      <c r="H639" s="216"/>
      <c r="I639" s="216"/>
      <c r="J639" s="216"/>
      <c r="K639" s="216"/>
      <c r="L639" s="216"/>
      <c r="M639" s="216"/>
      <c r="N639" s="25"/>
      <c r="O639" s="77"/>
      <c r="P639" s="35"/>
      <c r="Q639" s="34"/>
      <c r="R639" s="40"/>
      <c r="S639" s="40"/>
      <c r="T639" s="40"/>
      <c r="U639" s="40"/>
      <c r="V639" s="40"/>
      <c r="W639" s="40"/>
      <c r="X639" s="40"/>
      <c r="Y639" s="40"/>
      <c r="Z639" s="40"/>
      <c r="AA639" s="40"/>
      <c r="AB639" s="40"/>
      <c r="AC639" s="40"/>
      <c r="AD639" s="40"/>
      <c r="AF639" s="40"/>
      <c r="AG639" s="40"/>
      <c r="AH639" s="40"/>
      <c r="AI639" s="40"/>
      <c r="AJ639" s="40"/>
      <c r="AK639" s="40"/>
      <c r="AL639" s="40"/>
      <c r="AM639" s="40"/>
      <c r="AN639" s="40"/>
      <c r="AO639" s="40"/>
      <c r="AP639" s="40"/>
      <c r="AQ639" s="40"/>
      <c r="AR639" s="3"/>
      <c r="AS639" s="3"/>
      <c r="AT639" s="3"/>
      <c r="AU639" s="3"/>
      <c r="AV639" s="3"/>
      <c r="AW639" s="3"/>
      <c r="AX639" s="3"/>
      <c r="AY639" s="3"/>
      <c r="AZ639" s="3"/>
      <c r="BA639" s="3"/>
      <c r="BB639" s="3"/>
      <c r="BC639" s="3"/>
      <c r="BD639" s="3"/>
      <c r="BE639" s="3"/>
      <c r="BF639" s="3"/>
      <c r="BG639" s="3"/>
      <c r="BH639" s="3"/>
      <c r="BI639" s="3"/>
      <c r="BJ639" s="3"/>
    </row>
    <row r="640" spans="1:62" ht="6" customHeight="1">
      <c r="A640" s="216"/>
      <c r="B640" s="216"/>
      <c r="C640" s="216"/>
      <c r="D640" s="216"/>
      <c r="E640" s="216"/>
      <c r="F640" s="216"/>
      <c r="G640" s="216"/>
      <c r="H640" s="216"/>
      <c r="I640" s="216"/>
      <c r="J640" s="216"/>
      <c r="K640" s="216"/>
      <c r="L640" s="216"/>
      <c r="M640" s="216"/>
      <c r="N640" s="25"/>
      <c r="O640" s="77"/>
      <c r="P640" s="35"/>
      <c r="Q640" s="34"/>
      <c r="R640" s="40"/>
      <c r="S640" s="23"/>
      <c r="V640" s="2"/>
      <c r="AN640" s="3"/>
      <c r="AO640" s="3"/>
      <c r="AP640" s="3"/>
      <c r="AQ640" s="3"/>
      <c r="AR640" s="3"/>
      <c r="AS640" s="3"/>
      <c r="AT640" s="3"/>
      <c r="AU640" s="3"/>
      <c r="AV640" s="3"/>
      <c r="AW640" s="3"/>
      <c r="AX640" s="3"/>
      <c r="AY640" s="3"/>
      <c r="AZ640" s="3"/>
      <c r="BA640" s="3"/>
      <c r="BB640" s="3"/>
      <c r="BC640" s="3"/>
      <c r="BD640" s="3"/>
      <c r="BE640" s="3"/>
      <c r="BF640" s="3"/>
      <c r="BG640" s="3"/>
      <c r="BH640" s="3"/>
      <c r="BI640" s="3"/>
      <c r="BJ640" s="3"/>
    </row>
    <row r="641" spans="1:62" ht="12.95" customHeight="1">
      <c r="A641" s="3"/>
      <c r="C641" s="215" t="s">
        <v>129</v>
      </c>
      <c r="D641" s="215"/>
      <c r="E641" s="215"/>
      <c r="F641" s="215"/>
      <c r="G641" s="215"/>
      <c r="H641" s="215"/>
      <c r="I641" s="215"/>
      <c r="J641" s="215"/>
      <c r="K641" s="215"/>
      <c r="L641" s="215"/>
      <c r="M641" s="215"/>
      <c r="N641" s="215"/>
      <c r="O641" s="215"/>
      <c r="P641" s="215"/>
      <c r="Q641" s="3"/>
      <c r="R641" s="3"/>
      <c r="S641" s="3"/>
      <c r="T641" s="3"/>
      <c r="U641" s="197"/>
      <c r="V641" s="197"/>
      <c r="W641" s="3"/>
      <c r="X641" s="3"/>
      <c r="Y641" s="3"/>
      <c r="Z641" s="3"/>
      <c r="AA641" s="3"/>
      <c r="AB641" s="3"/>
      <c r="AC641" s="197"/>
      <c r="AD641" s="197"/>
      <c r="AF641"/>
      <c r="AG641" s="73"/>
      <c r="AH641" s="73"/>
      <c r="AN641" s="3"/>
      <c r="AO641" s="3"/>
      <c r="AP641" s="3"/>
      <c r="AQ641" s="3"/>
      <c r="AR641" s="3"/>
      <c r="AS641" s="3"/>
      <c r="AT641" s="3"/>
      <c r="AU641" s="3"/>
      <c r="AV641" s="3"/>
      <c r="AW641" s="3"/>
      <c r="AX641" s="3"/>
      <c r="AY641" s="3"/>
      <c r="AZ641" s="3"/>
      <c r="BA641" s="3"/>
      <c r="BB641" s="3"/>
      <c r="BC641" s="3"/>
      <c r="BD641" s="3"/>
      <c r="BE641" s="3"/>
      <c r="BF641" s="3"/>
      <c r="BG641" s="3"/>
      <c r="BH641" s="3"/>
      <c r="BI641" s="3"/>
      <c r="BJ641" s="3"/>
    </row>
    <row r="642" spans="1:62" ht="10.5" customHeight="1">
      <c r="A642" s="53"/>
      <c r="B642" s="53"/>
      <c r="C642" s="53"/>
      <c r="D642" s="54"/>
      <c r="E642" s="54"/>
      <c r="F642" s="54"/>
      <c r="G642" s="53"/>
      <c r="H642" s="53"/>
      <c r="I642" s="54"/>
      <c r="J642" s="54"/>
      <c r="K642" s="54"/>
      <c r="L642" s="54"/>
      <c r="M642" s="54"/>
      <c r="N642" s="54"/>
      <c r="P642" s="3"/>
      <c r="Q642" s="44"/>
      <c r="R642" s="3"/>
      <c r="S642" s="169"/>
      <c r="T642" s="158"/>
      <c r="U642" s="197"/>
      <c r="V642" s="197"/>
      <c r="W642" s="3"/>
      <c r="X642" s="3"/>
      <c r="Y642" s="3"/>
      <c r="Z642" s="3"/>
      <c r="AA642" s="3"/>
      <c r="AB642" s="3"/>
      <c r="AC642" s="197"/>
      <c r="AD642" s="197"/>
      <c r="AF642" s="3"/>
      <c r="AG642" s="3"/>
      <c r="AH642" s="3"/>
      <c r="AI642" s="22"/>
      <c r="AJ642" s="22"/>
      <c r="AK642" s="22"/>
      <c r="AL642" s="22"/>
      <c r="AN642" s="3"/>
      <c r="AP642" s="3"/>
      <c r="AQ642" s="3"/>
      <c r="AR642" s="3"/>
      <c r="AS642" s="3"/>
      <c r="AT642" s="3"/>
      <c r="AU642" s="3"/>
      <c r="AV642" s="3"/>
      <c r="AW642" s="3"/>
      <c r="AX642" s="3"/>
      <c r="AY642" s="3"/>
      <c r="AZ642" s="3"/>
      <c r="BA642" s="3"/>
      <c r="BB642" s="3"/>
      <c r="BC642" s="3"/>
      <c r="BD642" s="3"/>
      <c r="BE642" s="3"/>
      <c r="BF642" s="3"/>
      <c r="BG642" s="3"/>
      <c r="BH642" s="3"/>
      <c r="BI642" s="3"/>
      <c r="BJ642" s="3"/>
    </row>
    <row r="643" spans="1:62" ht="6" customHeight="1">
      <c r="A643" s="221">
        <v>59</v>
      </c>
      <c r="B643" s="51"/>
      <c r="C643" s="199" t="str">
        <f>INDEX(Riferimenti!$B$2:$B$71,A643)</f>
        <v>Orotico</v>
      </c>
      <c r="D643" s="199"/>
      <c r="E643" s="199"/>
      <c r="F643" s="199"/>
      <c r="G643" s="199"/>
      <c r="H643" s="199"/>
      <c r="I643" s="199"/>
      <c r="J643" s="199"/>
      <c r="K643" s="199"/>
      <c r="L643" s="199"/>
      <c r="M643" s="199"/>
      <c r="N643" s="199"/>
      <c r="O643" s="195">
        <f>INDEX(Riferimenti!$C$2:$C$71,A643)</f>
        <v>0</v>
      </c>
      <c r="P643" s="195" t="str">
        <f>INDEX(Riferimenti!$D$2:$D$71,A643)</f>
        <v>≤</v>
      </c>
      <c r="Q643" s="195">
        <f>INDEX(Riferimenti!$E$2:$E$71,A643)</f>
        <v>0.5</v>
      </c>
      <c r="R643" s="201"/>
      <c r="S643" s="202"/>
      <c r="T643" s="202"/>
      <c r="V643" s="2"/>
      <c r="AG643" s="195">
        <f>INDEX(Riferimenti!$Q$2:$Q$61,A643)</f>
        <v>6.6971542429518693E-2</v>
      </c>
      <c r="AH643" s="195">
        <f>INDEX(Riferimenti!$R$2:$R$61,A643)</f>
        <v>0.26439377122361862</v>
      </c>
      <c r="AI643" s="3"/>
      <c r="AN643" s="3"/>
      <c r="AT643" s="3"/>
      <c r="AU643" s="3"/>
      <c r="AV643" s="3"/>
      <c r="AW643" s="3"/>
      <c r="AX643" s="3"/>
      <c r="AY643" s="3"/>
      <c r="AZ643" s="3"/>
      <c r="BA643" s="3"/>
      <c r="BB643" s="3"/>
      <c r="BC643" s="3"/>
      <c r="BD643" s="3"/>
      <c r="BE643" s="3"/>
      <c r="BF643" s="3"/>
      <c r="BG643" s="3"/>
      <c r="BH643" s="3"/>
      <c r="BI643" s="3"/>
      <c r="BJ643" s="3"/>
    </row>
    <row r="644" spans="1:62" ht="5.45" customHeight="1">
      <c r="A644" s="221"/>
      <c r="B644" s="51"/>
      <c r="C644" s="199"/>
      <c r="D644" s="199"/>
      <c r="E644" s="199"/>
      <c r="F644" s="199"/>
      <c r="G644" s="199"/>
      <c r="H644" s="199"/>
      <c r="I644" s="199"/>
      <c r="J644" s="199"/>
      <c r="K644" s="199"/>
      <c r="L644" s="199"/>
      <c r="M644" s="199"/>
      <c r="N644" s="199"/>
      <c r="O644" s="195"/>
      <c r="P644" s="195"/>
      <c r="Q644" s="195"/>
      <c r="R644" s="201"/>
      <c r="S644" s="202"/>
      <c r="T644" s="202"/>
      <c r="U644"/>
      <c r="V644"/>
      <c r="W644"/>
      <c r="X644"/>
      <c r="Y644"/>
      <c r="Z644"/>
      <c r="AA644"/>
      <c r="AB644"/>
      <c r="AC644"/>
      <c r="AD644"/>
      <c r="AF644"/>
      <c r="AG644" s="195"/>
      <c r="AH644" s="195"/>
      <c r="AN644" s="3"/>
      <c r="AO644" s="3"/>
      <c r="AP644" s="3"/>
      <c r="AQ644" s="3"/>
      <c r="AR644" s="3"/>
      <c r="AS644" s="3"/>
      <c r="AT644" s="3"/>
      <c r="AU644" s="3"/>
      <c r="AV644" s="3"/>
      <c r="AW644" s="3"/>
      <c r="AX644" s="3"/>
      <c r="AY644" s="3"/>
      <c r="AZ644" s="3"/>
      <c r="BA644" s="3"/>
      <c r="BB644" s="3"/>
      <c r="BC644" s="3"/>
      <c r="BD644" s="3"/>
      <c r="BE644" s="3"/>
      <c r="BF644" s="3"/>
      <c r="BG644" s="3"/>
      <c r="BH644" s="3"/>
      <c r="BI644" s="3"/>
      <c r="BJ644" s="3"/>
    </row>
    <row r="645" spans="1:62" ht="6" customHeight="1">
      <c r="A645" s="216"/>
      <c r="B645" s="216"/>
      <c r="C645" s="216"/>
      <c r="D645" s="216"/>
      <c r="E645" s="216"/>
      <c r="F645" s="216"/>
      <c r="G645" s="216"/>
      <c r="H645" s="216"/>
      <c r="I645" s="216"/>
      <c r="J645" s="216"/>
      <c r="K645" s="216"/>
      <c r="L645" s="216"/>
      <c r="M645" s="216"/>
      <c r="N645" s="25"/>
      <c r="O645" s="77"/>
      <c r="P645" s="35"/>
      <c r="Q645" s="34"/>
      <c r="R645" s="40"/>
      <c r="S645" s="40"/>
      <c r="T645" s="40"/>
      <c r="U645" s="40"/>
      <c r="V645" s="40"/>
      <c r="W645" s="40"/>
      <c r="X645" s="40"/>
      <c r="Y645" s="40"/>
      <c r="Z645" s="40"/>
      <c r="AA645" s="40"/>
      <c r="AB645" s="40"/>
      <c r="AC645" s="40"/>
      <c r="AD645" s="40"/>
      <c r="AF645" s="40"/>
      <c r="AG645" s="40"/>
      <c r="AH645" s="40"/>
      <c r="AI645" s="40"/>
      <c r="AJ645" s="40"/>
      <c r="AK645" s="40"/>
      <c r="AL645" s="40"/>
      <c r="AM645" s="40"/>
      <c r="AN645" s="40"/>
      <c r="AO645" s="40"/>
      <c r="AP645" s="40"/>
      <c r="AQ645" s="40"/>
      <c r="AR645" s="3"/>
      <c r="AS645" s="3"/>
      <c r="AT645" s="3"/>
      <c r="AU645" s="3"/>
      <c r="AV645" s="3"/>
      <c r="AW645" s="3"/>
      <c r="AX645" s="3"/>
      <c r="AY645" s="3"/>
      <c r="AZ645" s="3"/>
      <c r="BA645" s="3"/>
      <c r="BB645" s="3"/>
      <c r="BC645" s="3"/>
      <c r="BD645" s="3"/>
      <c r="BE645" s="3"/>
      <c r="BF645" s="3"/>
      <c r="BG645" s="3"/>
      <c r="BH645" s="3"/>
      <c r="BI645" s="3"/>
      <c r="BJ645" s="3"/>
    </row>
    <row r="646" spans="1:62" ht="6" customHeight="1">
      <c r="A646" s="216"/>
      <c r="B646" s="216"/>
      <c r="C646" s="216"/>
      <c r="D646" s="216"/>
      <c r="E646" s="216"/>
      <c r="F646" s="216"/>
      <c r="G646" s="216"/>
      <c r="H646" s="216"/>
      <c r="I646" s="216"/>
      <c r="J646" s="216"/>
      <c r="K646" s="216"/>
      <c r="L646" s="216"/>
      <c r="M646" s="216"/>
      <c r="N646" s="25"/>
      <c r="O646" s="77"/>
      <c r="P646" s="35"/>
      <c r="Q646" s="34"/>
      <c r="R646" s="40"/>
      <c r="S646" s="23"/>
      <c r="V646" s="2"/>
      <c r="AN646" s="3"/>
      <c r="AO646" s="3"/>
      <c r="AP646" s="3"/>
      <c r="AQ646" s="3"/>
      <c r="AR646" s="3"/>
      <c r="AS646" s="3"/>
      <c r="AT646" s="3"/>
      <c r="AU646" s="3"/>
      <c r="AV646" s="3"/>
      <c r="AW646" s="3"/>
      <c r="AX646" s="3"/>
      <c r="AY646" s="3"/>
      <c r="AZ646" s="3"/>
      <c r="BA646" s="3"/>
      <c r="BB646" s="3"/>
      <c r="BC646" s="3"/>
      <c r="BD646" s="3"/>
      <c r="BE646" s="3"/>
      <c r="BF646" s="3"/>
      <c r="BG646" s="3"/>
      <c r="BH646" s="3"/>
      <c r="BI646" s="3"/>
      <c r="BJ646" s="3"/>
    </row>
    <row r="647" spans="1:62" ht="12.95" customHeight="1">
      <c r="A647" s="3"/>
      <c r="C647" s="215" t="s">
        <v>131</v>
      </c>
      <c r="D647" s="215"/>
      <c r="E647" s="215"/>
      <c r="F647" s="215"/>
      <c r="G647" s="215"/>
      <c r="H647" s="215"/>
      <c r="I647" s="215"/>
      <c r="J647" s="215"/>
      <c r="K647" s="215"/>
      <c r="L647" s="215"/>
      <c r="M647" s="215"/>
      <c r="N647" s="215"/>
      <c r="O647" s="215"/>
      <c r="P647" s="215"/>
      <c r="Q647" s="3"/>
      <c r="R647" s="3"/>
      <c r="S647" s="3"/>
      <c r="T647" s="3"/>
      <c r="U647" s="197"/>
      <c r="V647" s="197"/>
      <c r="W647" s="3"/>
      <c r="X647" s="3"/>
      <c r="Y647" s="3"/>
      <c r="Z647" s="3"/>
      <c r="AA647" s="3"/>
      <c r="AB647" s="3"/>
      <c r="AC647" s="197"/>
      <c r="AD647" s="197"/>
      <c r="AF647"/>
      <c r="AG647" s="73"/>
      <c r="AH647" s="73"/>
      <c r="AN647" s="3"/>
      <c r="AO647" s="3"/>
      <c r="AP647" s="3"/>
      <c r="AQ647" s="3"/>
      <c r="AR647" s="3"/>
      <c r="AS647" s="3"/>
      <c r="AT647" s="3"/>
      <c r="AU647" s="3"/>
      <c r="AV647" s="3"/>
      <c r="AW647" s="3"/>
      <c r="AX647" s="3"/>
      <c r="AY647" s="3"/>
      <c r="AZ647" s="3"/>
      <c r="BA647" s="3"/>
      <c r="BB647" s="3"/>
      <c r="BC647" s="3"/>
      <c r="BD647" s="3"/>
      <c r="BE647" s="3"/>
      <c r="BF647" s="3"/>
      <c r="BG647" s="3"/>
      <c r="BH647" s="3"/>
      <c r="BI647" s="3"/>
      <c r="BJ647" s="3"/>
    </row>
    <row r="648" spans="1:62" ht="10.5" customHeight="1">
      <c r="A648" s="53"/>
      <c r="B648" s="53"/>
      <c r="C648" s="53"/>
      <c r="D648" s="54"/>
      <c r="E648" s="54"/>
      <c r="F648" s="54"/>
      <c r="G648" s="53"/>
      <c r="H648" s="53"/>
      <c r="I648" s="54"/>
      <c r="J648" s="54"/>
      <c r="K648" s="54"/>
      <c r="L648" s="54"/>
      <c r="M648" s="54"/>
      <c r="N648" s="54"/>
      <c r="P648" s="3"/>
      <c r="Q648" s="44"/>
      <c r="R648" s="3"/>
      <c r="S648" s="169"/>
      <c r="T648" s="158"/>
      <c r="U648" s="197"/>
      <c r="V648" s="197"/>
      <c r="W648" s="3"/>
      <c r="X648" s="3"/>
      <c r="Y648" s="3"/>
      <c r="Z648" s="3"/>
      <c r="AA648" s="3"/>
      <c r="AB648" s="3"/>
      <c r="AC648" s="197"/>
      <c r="AD648" s="197"/>
      <c r="AF648" s="3"/>
      <c r="AG648" s="3"/>
      <c r="AH648" s="3"/>
      <c r="AI648" s="22"/>
      <c r="AJ648" s="22"/>
      <c r="AK648" s="22"/>
      <c r="AL648" s="22"/>
      <c r="AN648" s="3"/>
      <c r="AP648" s="3"/>
      <c r="AQ648" s="3"/>
      <c r="AR648" s="3"/>
      <c r="AS648" s="3"/>
      <c r="AT648" s="3"/>
      <c r="AU648" s="3"/>
      <c r="AV648" s="3"/>
      <c r="AW648" s="3"/>
      <c r="AX648" s="3"/>
      <c r="AY648" s="3"/>
      <c r="AZ648" s="3"/>
      <c r="BA648" s="3"/>
      <c r="BB648" s="3"/>
      <c r="BC648" s="3"/>
      <c r="BD648" s="3"/>
      <c r="BE648" s="3"/>
      <c r="BF648" s="3"/>
      <c r="BG648" s="3"/>
      <c r="BH648" s="3"/>
      <c r="BI648" s="3"/>
      <c r="BJ648" s="3"/>
    </row>
    <row r="649" spans="1:62" ht="6" customHeight="1">
      <c r="A649" s="221">
        <v>60</v>
      </c>
      <c r="B649" s="51"/>
      <c r="C649" s="199" t="str">
        <f>INDEX(Riferimenti!$B$2:$B$71,A649)</f>
        <v>Piroglutammico</v>
      </c>
      <c r="D649" s="199"/>
      <c r="E649" s="199"/>
      <c r="F649" s="199"/>
      <c r="G649" s="199"/>
      <c r="H649" s="199"/>
      <c r="I649" s="199"/>
      <c r="J649" s="199"/>
      <c r="K649" s="199"/>
      <c r="L649" s="199"/>
      <c r="M649" s="199"/>
      <c r="N649" s="199"/>
      <c r="O649" s="195">
        <f>INDEX(Riferimenti!$C$2:$C$71,A649)</f>
        <v>10</v>
      </c>
      <c r="P649" s="195" t="str">
        <f>INDEX(Riferimenti!$D$2:$D$71,A649)</f>
        <v>-</v>
      </c>
      <c r="Q649" s="195">
        <f>INDEX(Riferimenti!$E$2:$E$71,A649)</f>
        <v>32.4</v>
      </c>
      <c r="R649" s="201"/>
      <c r="S649" s="202"/>
      <c r="T649" s="202"/>
      <c r="V649" s="2"/>
      <c r="AG649" s="195">
        <f>INDEX(Riferimenti!$Q$2:$Q$61,A649)</f>
        <v>11.825808172170664</v>
      </c>
      <c r="AH649" s="195">
        <f>INDEX(Riferimenti!$R$2:$R$61,A649)</f>
        <v>21.895799868030327</v>
      </c>
      <c r="AI649" s="3"/>
      <c r="AN649" s="3"/>
      <c r="AT649" s="3"/>
      <c r="AU649" s="3"/>
      <c r="AV649" s="3"/>
      <c r="AW649" s="3"/>
      <c r="AX649" s="3"/>
      <c r="AY649" s="3"/>
      <c r="AZ649" s="3"/>
      <c r="BA649" s="3"/>
      <c r="BB649" s="3"/>
      <c r="BC649" s="3"/>
      <c r="BD649" s="3"/>
      <c r="BE649" s="3"/>
      <c r="BF649" s="3"/>
      <c r="BG649" s="3"/>
      <c r="BH649" s="3"/>
      <c r="BI649" s="3"/>
      <c r="BJ649" s="3"/>
    </row>
    <row r="650" spans="1:62" ht="5.45" customHeight="1">
      <c r="A650" s="221"/>
      <c r="B650" s="51"/>
      <c r="C650" s="199"/>
      <c r="D650" s="199"/>
      <c r="E650" s="199"/>
      <c r="F650" s="199"/>
      <c r="G650" s="199"/>
      <c r="H650" s="199"/>
      <c r="I650" s="199"/>
      <c r="J650" s="199"/>
      <c r="K650" s="199"/>
      <c r="L650" s="199"/>
      <c r="M650" s="199"/>
      <c r="N650" s="199"/>
      <c r="O650" s="195"/>
      <c r="P650" s="195"/>
      <c r="Q650" s="195"/>
      <c r="R650" s="201"/>
      <c r="S650" s="202"/>
      <c r="T650" s="202"/>
      <c r="U650"/>
      <c r="V650"/>
      <c r="W650"/>
      <c r="X650"/>
      <c r="Y650"/>
      <c r="Z650"/>
      <c r="AA650"/>
      <c r="AB650"/>
      <c r="AC650"/>
      <c r="AD650"/>
      <c r="AF650"/>
      <c r="AG650" s="195"/>
      <c r="AH650" s="195"/>
      <c r="AN650" s="3"/>
      <c r="AO650" s="3"/>
      <c r="AP650" s="3"/>
      <c r="AQ650" s="3"/>
      <c r="AR650" s="3"/>
      <c r="AS650" s="3"/>
      <c r="AT650" s="3"/>
      <c r="AU650" s="3"/>
      <c r="AV650" s="3"/>
      <c r="AW650" s="3"/>
      <c r="AX650" s="3"/>
      <c r="AY650" s="3"/>
      <c r="AZ650" s="3"/>
      <c r="BA650" s="3"/>
      <c r="BB650" s="3"/>
      <c r="BC650" s="3"/>
      <c r="BD650" s="3"/>
      <c r="BE650" s="3"/>
      <c r="BF650" s="3"/>
      <c r="BG650" s="3"/>
      <c r="BH650" s="3"/>
      <c r="BI650" s="3"/>
      <c r="BJ650" s="3"/>
    </row>
    <row r="651" spans="1:62" ht="6" customHeight="1">
      <c r="A651" s="216"/>
      <c r="B651" s="216"/>
      <c r="C651" s="216"/>
      <c r="D651" s="216"/>
      <c r="E651" s="216"/>
      <c r="F651" s="216"/>
      <c r="G651" s="216"/>
      <c r="H651" s="216"/>
      <c r="I651" s="216"/>
      <c r="J651" s="216"/>
      <c r="K651" s="216"/>
      <c r="L651" s="216"/>
      <c r="M651" s="216"/>
      <c r="N651" s="25"/>
      <c r="O651" s="77"/>
      <c r="P651" s="35"/>
      <c r="Q651" s="34"/>
      <c r="R651" s="40"/>
      <c r="S651" s="40"/>
      <c r="T651" s="40"/>
      <c r="U651" s="40"/>
      <c r="V651" s="40"/>
      <c r="W651" s="40"/>
      <c r="X651" s="40"/>
      <c r="Y651" s="40"/>
      <c r="Z651" s="40"/>
      <c r="AA651" s="40"/>
      <c r="AB651" s="40"/>
      <c r="AC651" s="40"/>
      <c r="AD651" s="40"/>
      <c r="AF651" s="40"/>
      <c r="AG651" s="40"/>
      <c r="AH651" s="40"/>
      <c r="AI651" s="40"/>
      <c r="AJ651" s="40"/>
      <c r="AK651" s="40"/>
      <c r="AL651" s="40"/>
      <c r="AM651" s="40"/>
      <c r="AN651" s="40"/>
      <c r="AO651" s="40"/>
      <c r="AP651" s="40"/>
      <c r="AQ651" s="40"/>
      <c r="AR651" s="3"/>
      <c r="AS651" s="3"/>
      <c r="AT651" s="3"/>
      <c r="AU651" s="3"/>
      <c r="AV651" s="3"/>
      <c r="AW651" s="3"/>
      <c r="AX651" s="3"/>
      <c r="AY651" s="3"/>
      <c r="AZ651" s="3"/>
      <c r="BA651" s="3"/>
      <c r="BB651" s="3"/>
      <c r="BC651" s="3"/>
      <c r="BD651" s="3"/>
      <c r="BE651" s="3"/>
      <c r="BF651" s="3"/>
      <c r="BG651" s="3"/>
      <c r="BH651" s="3"/>
      <c r="BI651" s="3"/>
      <c r="BJ651" s="3"/>
    </row>
    <row r="652" spans="1:62" ht="6" customHeight="1">
      <c r="A652" s="216"/>
      <c r="B652" s="216"/>
      <c r="C652" s="216"/>
      <c r="D652" s="216"/>
      <c r="E652" s="216"/>
      <c r="F652" s="216"/>
      <c r="G652" s="216"/>
      <c r="H652" s="216"/>
      <c r="I652" s="216"/>
      <c r="J652" s="216"/>
      <c r="K652" s="216"/>
      <c r="L652" s="216"/>
      <c r="M652" s="216"/>
      <c r="N652" s="25"/>
      <c r="O652" s="77"/>
      <c r="P652" s="35"/>
      <c r="Q652" s="34"/>
      <c r="R652" s="40"/>
      <c r="S652" s="23"/>
      <c r="V652" s="2"/>
      <c r="AN652" s="3"/>
      <c r="AO652" s="3"/>
      <c r="AP652" s="3"/>
      <c r="AQ652" s="3"/>
      <c r="AR652" s="3"/>
      <c r="AS652" s="3"/>
      <c r="AT652" s="3"/>
      <c r="AU652" s="3"/>
      <c r="AV652" s="3"/>
      <c r="AW652" s="3"/>
      <c r="AX652" s="3"/>
      <c r="AY652" s="3"/>
      <c r="AZ652" s="3"/>
      <c r="BA652" s="3"/>
      <c r="BB652" s="3"/>
      <c r="BC652" s="3"/>
      <c r="BD652" s="3"/>
      <c r="BE652" s="3"/>
      <c r="BF652" s="3"/>
      <c r="BG652" s="3"/>
      <c r="BH652" s="3"/>
      <c r="BI652" s="3"/>
      <c r="BJ652" s="3"/>
    </row>
    <row r="653" spans="1:62" ht="10.5" customHeight="1">
      <c r="A653"/>
      <c r="B653"/>
      <c r="C653"/>
      <c r="D653"/>
      <c r="E653"/>
      <c r="F653"/>
      <c r="G653"/>
      <c r="H653"/>
      <c r="I653"/>
      <c r="J653"/>
      <c r="K653"/>
      <c r="L653"/>
      <c r="M653"/>
      <c r="N653"/>
      <c r="O653"/>
      <c r="P653"/>
      <c r="Q653"/>
      <c r="R653" s="75"/>
      <c r="S653" s="202"/>
      <c r="T653" s="202"/>
      <c r="V653" s="2"/>
      <c r="AF653" s="40"/>
      <c r="AG653" s="40"/>
      <c r="AH653" s="40"/>
      <c r="AI653" s="40"/>
      <c r="AJ653" s="40"/>
      <c r="AK653" s="40"/>
      <c r="AL653" s="40"/>
      <c r="AM653" s="40"/>
      <c r="AN653" s="40"/>
      <c r="AO653" s="40"/>
      <c r="AP653" s="40"/>
      <c r="AQ653" s="40"/>
      <c r="AR653" s="3"/>
      <c r="AS653" s="3"/>
      <c r="AT653" s="3"/>
      <c r="AU653" s="3"/>
      <c r="AV653" s="3"/>
      <c r="AW653" s="3"/>
      <c r="AX653" s="3"/>
      <c r="AY653" s="3"/>
      <c r="AZ653" s="3"/>
      <c r="BA653" s="3"/>
      <c r="BB653" s="3"/>
      <c r="BC653" s="3"/>
      <c r="BD653" s="3"/>
      <c r="BE653" s="3"/>
      <c r="BF653" s="3"/>
      <c r="BG653" s="3"/>
      <c r="BH653" s="3"/>
      <c r="BI653" s="3"/>
      <c r="BJ653" s="3"/>
    </row>
    <row r="654" spans="1:62" ht="6" customHeight="1">
      <c r="A654" s="198">
        <v>61</v>
      </c>
      <c r="B654" s="51"/>
      <c r="C654" s="199" t="str">
        <f>INDEX(Riferimenti!$B$2:$B$71,A654)</f>
        <v>2-Idrossibutirrico</v>
      </c>
      <c r="D654" s="199"/>
      <c r="E654" s="199"/>
      <c r="F654" s="199"/>
      <c r="G654" s="199"/>
      <c r="H654" s="199"/>
      <c r="I654" s="199"/>
      <c r="J654" s="199"/>
      <c r="K654" s="199"/>
      <c r="L654" s="199"/>
      <c r="M654" s="199"/>
      <c r="N654" s="199"/>
      <c r="O654" s="195">
        <f>INDEX(Riferimenti!$C$2:$C$71,A654)</f>
        <v>0</v>
      </c>
      <c r="P654" s="195" t="str">
        <f>INDEX(Riferimenti!$D$2:$D$71,A654)</f>
        <v>≤</v>
      </c>
      <c r="Q654" s="195">
        <f>INDEX(Riferimenti!$E$2:$E$71,A654)</f>
        <v>1.6</v>
      </c>
      <c r="R654" s="213"/>
      <c r="S654" s="202"/>
      <c r="T654" s="202"/>
      <c r="V654" s="2"/>
      <c r="AF654" s="40"/>
      <c r="AG654" s="40"/>
      <c r="AH654" s="40"/>
      <c r="AI654" s="40"/>
      <c r="AJ654" s="40"/>
      <c r="AK654" s="40"/>
      <c r="AL654" s="40"/>
      <c r="AM654" s="40"/>
      <c r="AN654" s="40"/>
      <c r="AO654" s="40"/>
      <c r="AP654" s="40"/>
      <c r="AQ654" s="40"/>
      <c r="AR654" s="3"/>
      <c r="AS654" s="3"/>
      <c r="AT654" s="3"/>
      <c r="AU654" s="3"/>
      <c r="AV654" s="3"/>
      <c r="AW654" s="3"/>
      <c r="AX654" s="3"/>
      <c r="AY654" s="3"/>
      <c r="AZ654" s="3"/>
      <c r="BA654" s="3"/>
      <c r="BB654" s="3"/>
      <c r="BC654" s="3"/>
      <c r="BD654" s="3"/>
      <c r="BE654" s="3"/>
      <c r="BF654" s="3"/>
      <c r="BG654" s="3"/>
      <c r="BH654" s="3"/>
      <c r="BI654" s="3"/>
      <c r="BJ654" s="3"/>
    </row>
    <row r="655" spans="1:62" ht="6" customHeight="1">
      <c r="A655" s="198"/>
      <c r="B655" s="51"/>
      <c r="C655" s="199"/>
      <c r="D655" s="199"/>
      <c r="E655" s="199"/>
      <c r="F655" s="199"/>
      <c r="G655" s="199"/>
      <c r="H655" s="199"/>
      <c r="I655" s="199"/>
      <c r="J655" s="199"/>
      <c r="K655" s="199"/>
      <c r="L655" s="199"/>
      <c r="M655" s="199"/>
      <c r="N655" s="199"/>
      <c r="O655" s="195"/>
      <c r="P655" s="195"/>
      <c r="Q655" s="195"/>
      <c r="R655" s="213"/>
      <c r="S655" s="202"/>
      <c r="T655" s="202"/>
      <c r="U655"/>
      <c r="V655"/>
      <c r="W655"/>
      <c r="X655"/>
      <c r="Y655"/>
      <c r="Z655"/>
      <c r="AA655"/>
      <c r="AB655"/>
      <c r="AC655"/>
      <c r="AD655"/>
      <c r="AN655" s="3"/>
      <c r="AO655" s="3"/>
      <c r="AP655" s="3"/>
      <c r="AQ655" s="3"/>
      <c r="AR655" s="3"/>
      <c r="AS655" s="3"/>
      <c r="AT655" s="3"/>
      <c r="AU655" s="3"/>
      <c r="AV655" s="3"/>
      <c r="AW655" s="3"/>
      <c r="AX655" s="3"/>
      <c r="AY655" s="3"/>
      <c r="AZ655" s="3"/>
      <c r="BA655" s="3"/>
      <c r="BB655" s="3"/>
      <c r="BC655" s="3"/>
      <c r="BD655" s="3"/>
      <c r="BE655" s="3"/>
      <c r="BF655" s="3"/>
      <c r="BG655" s="3"/>
      <c r="BH655" s="3"/>
      <c r="BI655" s="3"/>
      <c r="BJ655" s="3"/>
    </row>
    <row r="656" spans="1:62" ht="6" customHeight="1">
      <c r="A656" s="216"/>
      <c r="B656" s="216"/>
      <c r="C656" s="216"/>
      <c r="D656" s="216"/>
      <c r="E656" s="216"/>
      <c r="F656" s="216"/>
      <c r="G656" s="216"/>
      <c r="H656" s="216"/>
      <c r="I656" s="216"/>
      <c r="J656" s="216"/>
      <c r="K656" s="216"/>
      <c r="L656" s="216"/>
      <c r="M656" s="216"/>
      <c r="N656" s="25"/>
      <c r="O656" s="73"/>
      <c r="P656" s="36"/>
      <c r="Q656" s="72"/>
      <c r="R656" s="40"/>
      <c r="S656" s="40"/>
      <c r="T656" s="40"/>
      <c r="U656" s="40"/>
      <c r="V656" s="40"/>
      <c r="W656" s="40"/>
      <c r="X656" s="40"/>
      <c r="Y656" s="40"/>
      <c r="Z656" s="40"/>
      <c r="AA656" s="40"/>
      <c r="AB656" s="40"/>
      <c r="AC656" s="40"/>
      <c r="AD656" s="40"/>
      <c r="AF656"/>
      <c r="AG656"/>
      <c r="AH656"/>
      <c r="AI656"/>
      <c r="AJ656"/>
      <c r="AK656"/>
      <c r="AL656"/>
      <c r="AM656"/>
      <c r="AN656"/>
      <c r="AO656"/>
      <c r="AP656"/>
      <c r="AQ656"/>
      <c r="AR656"/>
      <c r="AS656"/>
      <c r="AT656"/>
    </row>
    <row r="657" spans="1:62" ht="6" customHeight="1">
      <c r="A657" s="216"/>
      <c r="B657" s="216"/>
      <c r="C657" s="216"/>
      <c r="D657" s="216"/>
      <c r="E657" s="216"/>
      <c r="F657" s="216"/>
      <c r="G657" s="216"/>
      <c r="H657" s="216"/>
      <c r="I657" s="216"/>
      <c r="J657" s="216"/>
      <c r="K657" s="216"/>
      <c r="L657" s="216"/>
      <c r="M657" s="216"/>
      <c r="N657" s="25"/>
      <c r="O657" s="77"/>
      <c r="P657" s="35"/>
      <c r="Q657" s="34"/>
      <c r="R657" s="40"/>
      <c r="S657" s="23"/>
      <c r="V657" s="2"/>
      <c r="AF657"/>
      <c r="AG657"/>
      <c r="AH657"/>
      <c r="AI657"/>
      <c r="AJ657"/>
      <c r="AK657"/>
      <c r="AL657"/>
      <c r="AM657"/>
      <c r="AN657"/>
      <c r="AO657"/>
      <c r="AP657"/>
      <c r="AQ657"/>
      <c r="AR657"/>
      <c r="AS657"/>
      <c r="AT657"/>
    </row>
    <row r="658" spans="1:62" ht="11.1" customHeight="1">
      <c r="A658" s="10"/>
      <c r="B658" s="9"/>
      <c r="D658" s="3"/>
      <c r="G658" s="2"/>
      <c r="H658" s="2"/>
      <c r="O658" s="42"/>
      <c r="P658" s="42"/>
      <c r="Q658" s="42"/>
      <c r="S658" s="42"/>
      <c r="T658" s="3"/>
      <c r="U658" s="3"/>
      <c r="V658" s="2"/>
      <c r="W658" s="3"/>
      <c r="Z658" s="11"/>
      <c r="AB658" s="3"/>
      <c r="AF658"/>
      <c r="AG658"/>
      <c r="AH658"/>
      <c r="AI658"/>
      <c r="AJ658"/>
      <c r="AK658"/>
      <c r="AL658"/>
      <c r="AM658"/>
      <c r="AN658"/>
      <c r="AO658"/>
      <c r="AP658"/>
      <c r="AQ658"/>
      <c r="AR658"/>
      <c r="AS658"/>
      <c r="AT658"/>
    </row>
    <row r="659" spans="1:62" ht="15" customHeight="1">
      <c r="A659" s="220" t="s">
        <v>449</v>
      </c>
      <c r="B659" s="220"/>
      <c r="C659" s="220"/>
      <c r="D659" s="220"/>
      <c r="E659" s="220"/>
      <c r="F659" s="220"/>
      <c r="G659" s="220"/>
      <c r="H659" s="220"/>
      <c r="I659" s="220"/>
      <c r="J659" s="220"/>
      <c r="K659" s="220"/>
      <c r="L659" s="220"/>
      <c r="M659" s="220"/>
      <c r="N659" s="220"/>
      <c r="O659" s="220"/>
      <c r="P659" s="220"/>
      <c r="Q659" s="220"/>
      <c r="R659" s="220"/>
      <c r="S659" s="220"/>
      <c r="T659" s="220"/>
      <c r="U659" s="220"/>
      <c r="V659" s="220"/>
      <c r="W659" s="220"/>
      <c r="X659" s="220"/>
      <c r="Y659" s="220"/>
      <c r="Z659" s="220"/>
      <c r="AA659" s="220"/>
      <c r="AB659" s="220"/>
      <c r="AC659" s="220"/>
      <c r="AD659" s="220"/>
      <c r="AE659" s="220"/>
      <c r="AG659"/>
      <c r="AH659"/>
      <c r="AI659"/>
      <c r="AJ659" s="3"/>
      <c r="AK659" s="3"/>
      <c r="AL659" s="3"/>
      <c r="AM659" s="3"/>
      <c r="AN659" s="3"/>
      <c r="AV659"/>
      <c r="AW659"/>
      <c r="AX659"/>
      <c r="AY659"/>
      <c r="AZ659"/>
      <c r="BA659"/>
      <c r="BB659"/>
      <c r="BC659"/>
      <c r="BD659"/>
      <c r="BE659"/>
      <c r="BF659"/>
      <c r="BG659"/>
      <c r="BH659"/>
      <c r="BI659"/>
    </row>
    <row r="660" spans="1:62" customFormat="1" ht="11.1" customHeight="1"/>
    <row r="661" spans="1:62" ht="6" customHeight="1">
      <c r="A661" s="198">
        <v>62</v>
      </c>
      <c r="B661" s="51"/>
      <c r="C661" s="199" t="str">
        <f>INDEX(Riferimenti!$B$2:$B$71,A661)</f>
        <v>4-Metil-2-Ossovalerico</v>
      </c>
      <c r="D661" s="199"/>
      <c r="E661" s="199"/>
      <c r="F661" s="199"/>
      <c r="G661" s="199"/>
      <c r="H661" s="199"/>
      <c r="I661" s="199"/>
      <c r="J661" s="199"/>
      <c r="K661" s="199"/>
      <c r="L661" s="199"/>
      <c r="M661" s="199"/>
      <c r="N661" s="199"/>
      <c r="O661" s="195">
        <f>INDEX(Riferimenti!$C$2:$C$71,A661)</f>
        <v>0</v>
      </c>
      <c r="P661" s="195" t="str">
        <f>INDEX(Riferimenti!$D$2:$D$71,A661)</f>
        <v>≤</v>
      </c>
      <c r="Q661" s="195">
        <f>INDEX(Riferimenti!$E$2:$E$71,A661)</f>
        <v>0.2</v>
      </c>
      <c r="R661" s="201"/>
      <c r="S661" s="202"/>
      <c r="T661" s="202"/>
      <c r="V661" s="2"/>
      <c r="AG661"/>
      <c r="AH661"/>
      <c r="AI661"/>
      <c r="AV661"/>
      <c r="AW661"/>
      <c r="AX661"/>
      <c r="AY661"/>
      <c r="AZ661"/>
      <c r="BA661"/>
      <c r="BB661"/>
      <c r="BC661"/>
      <c r="BD661"/>
      <c r="BE661"/>
      <c r="BF661"/>
      <c r="BG661"/>
      <c r="BH661"/>
      <c r="BI661"/>
      <c r="BJ661" s="3"/>
    </row>
    <row r="662" spans="1:62" ht="5.45" customHeight="1">
      <c r="A662" s="198"/>
      <c r="B662" s="51"/>
      <c r="C662" s="199"/>
      <c r="D662" s="199"/>
      <c r="E662" s="199"/>
      <c r="F662" s="199"/>
      <c r="G662" s="199"/>
      <c r="H662" s="199"/>
      <c r="I662" s="199"/>
      <c r="J662" s="199"/>
      <c r="K662" s="199"/>
      <c r="L662" s="199"/>
      <c r="M662" s="199"/>
      <c r="N662" s="199"/>
      <c r="O662" s="195"/>
      <c r="P662" s="195"/>
      <c r="Q662" s="195"/>
      <c r="R662" s="201"/>
      <c r="S662" s="202"/>
      <c r="T662" s="202"/>
      <c r="U662"/>
      <c r="V662"/>
      <c r="W662"/>
      <c r="X662"/>
      <c r="Y662"/>
      <c r="Z662"/>
      <c r="AA662"/>
      <c r="AB662"/>
      <c r="AC662"/>
      <c r="AD662"/>
      <c r="AE662"/>
      <c r="AF662"/>
      <c r="AG662"/>
      <c r="AH662"/>
      <c r="AI662"/>
      <c r="AN662" s="3"/>
      <c r="AV662"/>
      <c r="AW662"/>
      <c r="AX662"/>
      <c r="AY662"/>
      <c r="AZ662"/>
      <c r="BA662"/>
      <c r="BB662"/>
      <c r="BC662"/>
      <c r="BD662"/>
      <c r="BE662"/>
      <c r="BF662"/>
      <c r="BG662"/>
      <c r="BH662"/>
      <c r="BI662"/>
      <c r="BJ662" s="3"/>
    </row>
    <row r="663" spans="1:62" ht="6" customHeight="1">
      <c r="A663" s="194"/>
      <c r="B663" s="194"/>
      <c r="C663" s="194"/>
      <c r="D663" s="194"/>
      <c r="E663" s="194"/>
      <c r="F663" s="194"/>
      <c r="G663" s="194"/>
      <c r="H663" s="194"/>
      <c r="I663" s="194"/>
      <c r="J663" s="194"/>
      <c r="K663" s="194"/>
      <c r="L663" s="194"/>
      <c r="M663" s="194"/>
      <c r="N663" s="52"/>
      <c r="O663" s="73"/>
      <c r="P663" s="36"/>
      <c r="Q663" s="72"/>
      <c r="R663" s="75"/>
      <c r="S663" s="166"/>
      <c r="T663" s="167"/>
      <c r="U663" s="24"/>
      <c r="V663" s="40"/>
      <c r="W663" s="40"/>
      <c r="X663" s="40"/>
      <c r="Y663" s="40"/>
      <c r="Z663" s="40"/>
      <c r="AA663" s="40"/>
      <c r="AB663" s="40"/>
      <c r="AC663" s="40"/>
      <c r="AD663" s="40"/>
      <c r="AE663" s="40"/>
      <c r="AF663" s="40"/>
      <c r="AG663"/>
      <c r="AH663"/>
      <c r="AI663"/>
      <c r="AJ663"/>
      <c r="AK663"/>
      <c r="AL663"/>
      <c r="AM663"/>
      <c r="AN663" s="40"/>
      <c r="AO663"/>
      <c r="AP663"/>
      <c r="AQ663"/>
      <c r="AR663"/>
      <c r="AS663"/>
      <c r="AT663"/>
      <c r="AU663"/>
      <c r="AV663"/>
      <c r="AW663"/>
      <c r="AX663"/>
      <c r="AY663"/>
      <c r="AZ663"/>
      <c r="BA663"/>
      <c r="BB663"/>
      <c r="BC663"/>
      <c r="BD663"/>
      <c r="BE663"/>
      <c r="BF663"/>
      <c r="BG663"/>
      <c r="BH663"/>
      <c r="BI663"/>
      <c r="BJ663" s="3"/>
    </row>
    <row r="664" spans="1:62" ht="6" customHeight="1">
      <c r="A664" s="194"/>
      <c r="B664" s="194"/>
      <c r="C664" s="194"/>
      <c r="D664" s="194"/>
      <c r="E664" s="194"/>
      <c r="F664" s="194"/>
      <c r="G664" s="194"/>
      <c r="H664" s="194"/>
      <c r="I664" s="194"/>
      <c r="J664" s="194"/>
      <c r="K664" s="194"/>
      <c r="L664" s="194"/>
      <c r="M664" s="194"/>
      <c r="N664" s="52"/>
      <c r="O664" s="73"/>
      <c r="P664" s="36"/>
      <c r="Q664" s="72"/>
      <c r="R664" s="75"/>
      <c r="S664" s="166"/>
      <c r="T664" s="168"/>
      <c r="V664" s="2"/>
      <c r="AG664"/>
      <c r="AH664"/>
      <c r="AI664"/>
      <c r="AJ664"/>
      <c r="AL664"/>
      <c r="AM664"/>
      <c r="AN664" s="3"/>
      <c r="AO664"/>
      <c r="AP664"/>
      <c r="AQ664"/>
      <c r="AR664"/>
      <c r="AS664"/>
      <c r="AT664"/>
      <c r="AU664"/>
      <c r="AV664"/>
      <c r="AW664"/>
      <c r="AX664"/>
      <c r="AY664"/>
      <c r="AZ664"/>
      <c r="BA664"/>
      <c r="BB664"/>
      <c r="BC664"/>
      <c r="BD664"/>
      <c r="BE664"/>
      <c r="BF664"/>
      <c r="BG664"/>
      <c r="BH664"/>
      <c r="BI664"/>
      <c r="BJ664" s="3"/>
    </row>
    <row r="665" spans="1:62" ht="10.9" customHeight="1">
      <c r="A665" s="53"/>
      <c r="B665" s="53"/>
      <c r="C665" s="53"/>
      <c r="D665" s="54"/>
      <c r="E665" s="54"/>
      <c r="F665" s="54"/>
      <c r="G665" s="53"/>
      <c r="H665" s="53"/>
      <c r="I665" s="54"/>
      <c r="J665" s="54"/>
      <c r="K665" s="54"/>
      <c r="L665" s="54"/>
      <c r="M665" s="54"/>
      <c r="N665" s="54"/>
      <c r="O665" s="37"/>
      <c r="P665" s="38"/>
      <c r="Q665" s="44"/>
      <c r="R665" s="3"/>
      <c r="S665" s="158"/>
      <c r="T665" s="158"/>
      <c r="U665" s="197"/>
      <c r="V665" s="197"/>
      <c r="W665" s="3"/>
      <c r="X665" s="3"/>
      <c r="Y665" s="3"/>
      <c r="Z665" s="3"/>
      <c r="AA665" s="3"/>
      <c r="AB665" s="3"/>
      <c r="AC665" s="197"/>
      <c r="AD665" s="197"/>
      <c r="AE665" s="3"/>
      <c r="AF665" s="3"/>
      <c r="AG665"/>
      <c r="AH665"/>
      <c r="AI665"/>
      <c r="AJ665"/>
      <c r="AL665" s="3"/>
      <c r="AM665" s="3"/>
      <c r="AN665" s="3"/>
      <c r="AO665"/>
      <c r="AP665"/>
      <c r="AQ665"/>
      <c r="AR665"/>
      <c r="AS665"/>
      <c r="AT665"/>
      <c r="AU665"/>
      <c r="AV665"/>
      <c r="AW665"/>
      <c r="AX665"/>
      <c r="AY665"/>
      <c r="AZ665"/>
      <c r="BA665"/>
      <c r="BB665"/>
      <c r="BC665"/>
      <c r="BD665"/>
      <c r="BE665"/>
      <c r="BF665"/>
      <c r="BG665"/>
      <c r="BH665"/>
      <c r="BI665"/>
      <c r="BJ665" s="3"/>
    </row>
    <row r="666" spans="1:62" ht="6" customHeight="1">
      <c r="A666" s="198">
        <v>63</v>
      </c>
      <c r="B666" s="51"/>
      <c r="C666" s="199" t="str">
        <f>INDEX(Riferimenti!$B$2:$B$71,A666)</f>
        <v>Mandelico</v>
      </c>
      <c r="D666" s="199"/>
      <c r="E666" s="199"/>
      <c r="F666" s="199"/>
      <c r="G666" s="199"/>
      <c r="H666" s="199"/>
      <c r="I666" s="199"/>
      <c r="J666" s="199"/>
      <c r="K666" s="199"/>
      <c r="L666" s="199"/>
      <c r="M666" s="199"/>
      <c r="N666" s="199"/>
      <c r="O666" s="195">
        <f>INDEX(Riferimenti!$C$2:$C$71,A666)</f>
        <v>0</v>
      </c>
      <c r="P666" s="195" t="str">
        <f>INDEX(Riferimenti!$D$2:$D$71,A666)</f>
        <v>≤</v>
      </c>
      <c r="Q666" s="195">
        <f>INDEX(Riferimenti!$E$2:$E$71,A666)</f>
        <v>2</v>
      </c>
      <c r="R666" s="201"/>
      <c r="S666" s="202"/>
      <c r="T666" s="202"/>
      <c r="V666" s="2"/>
      <c r="AG666" s="195" t="e">
        <f>INDEX(Riferimenti!$Q$2:$Q$61,A666)</f>
        <v>#REF!</v>
      </c>
      <c r="AH666" s="195" t="e">
        <f>INDEX(Riferimenti!$R$2:$R$61,A666)</f>
        <v>#REF!</v>
      </c>
      <c r="AI666"/>
      <c r="AJ666"/>
      <c r="AK666" s="222"/>
      <c r="AL666" s="222"/>
      <c r="AM666" s="222"/>
      <c r="AO666"/>
      <c r="AP666"/>
      <c r="AQ666"/>
      <c r="AR666"/>
      <c r="AS666"/>
      <c r="AT666"/>
      <c r="AU666"/>
      <c r="AV666"/>
      <c r="AW666"/>
      <c r="AX666"/>
      <c r="AY666"/>
      <c r="AZ666"/>
      <c r="BA666"/>
      <c r="BB666"/>
      <c r="BC666"/>
      <c r="BD666"/>
      <c r="BE666"/>
      <c r="BF666"/>
      <c r="BG666"/>
      <c r="BH666"/>
      <c r="BI666"/>
      <c r="BJ666" s="3"/>
    </row>
    <row r="667" spans="1:62" ht="5.45" customHeight="1">
      <c r="A667" s="198"/>
      <c r="B667" s="51"/>
      <c r="C667" s="199"/>
      <c r="D667" s="199"/>
      <c r="E667" s="199"/>
      <c r="F667" s="199"/>
      <c r="G667" s="199"/>
      <c r="H667" s="199"/>
      <c r="I667" s="199"/>
      <c r="J667" s="199"/>
      <c r="K667" s="199"/>
      <c r="L667" s="199"/>
      <c r="M667" s="199"/>
      <c r="N667" s="199"/>
      <c r="O667" s="195"/>
      <c r="P667" s="195"/>
      <c r="Q667" s="195"/>
      <c r="R667" s="201"/>
      <c r="S667" s="202"/>
      <c r="T667" s="202"/>
      <c r="U667"/>
      <c r="V667"/>
      <c r="W667"/>
      <c r="X667"/>
      <c r="Y667"/>
      <c r="Z667"/>
      <c r="AA667"/>
      <c r="AB667"/>
      <c r="AC667"/>
      <c r="AD667"/>
      <c r="AE667"/>
      <c r="AF667"/>
      <c r="AG667" s="195"/>
      <c r="AH667" s="195"/>
      <c r="AI667"/>
      <c r="AJ667"/>
      <c r="AK667" s="222"/>
      <c r="AL667" s="222"/>
      <c r="AM667" s="222"/>
      <c r="AN667" s="3"/>
      <c r="AO667"/>
      <c r="AP667"/>
      <c r="AQ667"/>
      <c r="AR667"/>
      <c r="AS667"/>
      <c r="AT667"/>
      <c r="AU667"/>
      <c r="AV667"/>
      <c r="AW667"/>
      <c r="AX667"/>
      <c r="AY667"/>
      <c r="AZ667"/>
      <c r="BA667"/>
      <c r="BB667"/>
      <c r="BC667"/>
      <c r="BD667"/>
      <c r="BE667"/>
      <c r="BF667"/>
      <c r="BG667"/>
      <c r="BH667"/>
      <c r="BI667"/>
      <c r="BJ667" s="3"/>
    </row>
    <row r="668" spans="1:62" ht="6" customHeight="1">
      <c r="A668" s="194"/>
      <c r="B668" s="194"/>
      <c r="C668" s="194"/>
      <c r="D668" s="194"/>
      <c r="E668" s="194"/>
      <c r="F668" s="194"/>
      <c r="G668" s="194"/>
      <c r="H668" s="194"/>
      <c r="I668" s="194"/>
      <c r="J668" s="194"/>
      <c r="K668" s="194"/>
      <c r="L668" s="194"/>
      <c r="M668" s="194"/>
      <c r="N668" s="52"/>
      <c r="O668" s="73"/>
      <c r="P668" s="36"/>
      <c r="Q668" s="72"/>
      <c r="R668" s="75"/>
      <c r="S668" s="166"/>
      <c r="T668" s="167"/>
      <c r="U668" s="24"/>
      <c r="V668" s="40"/>
      <c r="W668" s="40"/>
      <c r="X668" s="40"/>
      <c r="Y668" s="40"/>
      <c r="Z668" s="40"/>
      <c r="AA668" s="40"/>
      <c r="AB668" s="40"/>
      <c r="AC668" s="40"/>
      <c r="AD668" s="40"/>
      <c r="AE668" s="40"/>
      <c r="AF668" s="40"/>
      <c r="AG668"/>
      <c r="AH668"/>
      <c r="AI668"/>
      <c r="AJ668"/>
      <c r="AK668" s="3"/>
      <c r="AL668" s="3"/>
      <c r="AM668" s="3"/>
      <c r="AN668" s="40"/>
      <c r="AO668"/>
      <c r="AP668"/>
      <c r="AQ668"/>
      <c r="AR668"/>
      <c r="AS668"/>
      <c r="AT668"/>
      <c r="AU668"/>
      <c r="AV668"/>
      <c r="AW668"/>
      <c r="AX668"/>
      <c r="AY668"/>
      <c r="AZ668"/>
      <c r="BA668"/>
      <c r="BB668"/>
      <c r="BC668"/>
      <c r="BD668"/>
      <c r="BE668"/>
      <c r="BF668"/>
      <c r="BG668"/>
      <c r="BH668"/>
      <c r="BI668"/>
      <c r="BJ668" s="3"/>
    </row>
    <row r="669" spans="1:62" ht="6" customHeight="1">
      <c r="A669" s="194"/>
      <c r="B669" s="194"/>
      <c r="C669" s="194"/>
      <c r="D669" s="194"/>
      <c r="E669" s="194"/>
      <c r="F669" s="194"/>
      <c r="G669" s="194"/>
      <c r="H669" s="194"/>
      <c r="I669" s="194"/>
      <c r="J669" s="194"/>
      <c r="K669" s="194"/>
      <c r="L669" s="194"/>
      <c r="M669" s="194"/>
      <c r="N669" s="52"/>
      <c r="O669" s="73"/>
      <c r="P669" s="36"/>
      <c r="Q669" s="72"/>
      <c r="R669" s="75"/>
      <c r="S669" s="166"/>
      <c r="T669" s="168"/>
      <c r="V669" s="2"/>
      <c r="AG669"/>
      <c r="AH669"/>
      <c r="AI669"/>
      <c r="AJ669"/>
      <c r="AK669" s="3"/>
      <c r="AL669" s="3"/>
      <c r="AM669" s="3"/>
      <c r="AN669" s="3"/>
      <c r="AO669"/>
      <c r="AP669"/>
      <c r="AQ669"/>
      <c r="AR669"/>
      <c r="AS669"/>
      <c r="AT669"/>
      <c r="AU669"/>
      <c r="AV669"/>
      <c r="AW669"/>
      <c r="AX669"/>
      <c r="AY669"/>
      <c r="AZ669"/>
      <c r="BA669"/>
      <c r="BB669"/>
      <c r="BC669"/>
      <c r="BD669"/>
      <c r="BE669"/>
      <c r="BF669"/>
      <c r="BG669"/>
      <c r="BH669"/>
      <c r="BI669"/>
      <c r="BJ669" s="3"/>
    </row>
    <row r="670" spans="1:62" ht="10.9" customHeight="1">
      <c r="A670" s="53"/>
      <c r="B670" s="53"/>
      <c r="C670" s="53"/>
      <c r="D670" s="54"/>
      <c r="E670" s="54"/>
      <c r="F670" s="54"/>
      <c r="G670" s="53"/>
      <c r="H670" s="53"/>
      <c r="I670" s="54"/>
      <c r="J670" s="54"/>
      <c r="K670" s="54"/>
      <c r="L670" s="54"/>
      <c r="M670" s="54"/>
      <c r="N670" s="54"/>
      <c r="P670" s="3"/>
      <c r="Q670" s="44"/>
      <c r="R670" s="3"/>
      <c r="S670" s="158"/>
      <c r="T670" s="158"/>
      <c r="U670" s="197"/>
      <c r="V670" s="197"/>
      <c r="W670" s="3"/>
      <c r="X670" s="3"/>
      <c r="Y670" s="3"/>
      <c r="Z670" s="3"/>
      <c r="AA670" s="3"/>
      <c r="AB670" s="3"/>
      <c r="AC670" s="197"/>
      <c r="AD670" s="197"/>
      <c r="AE670" s="3"/>
      <c r="AF670" s="3"/>
      <c r="AG670"/>
      <c r="AH670"/>
      <c r="AI670"/>
      <c r="AJ670"/>
      <c r="AK670" s="3"/>
      <c r="AL670" s="3"/>
      <c r="AM670" s="3"/>
      <c r="AN670" s="3"/>
      <c r="AO670"/>
      <c r="AP670"/>
      <c r="AQ670"/>
      <c r="AR670"/>
      <c r="AS670"/>
      <c r="AT670"/>
      <c r="AU670"/>
      <c r="AV670"/>
      <c r="AW670"/>
      <c r="AX670"/>
      <c r="AY670"/>
      <c r="AZ670"/>
      <c r="BA670"/>
      <c r="BB670"/>
      <c r="BC670"/>
      <c r="BD670"/>
      <c r="BE670"/>
      <c r="BF670"/>
      <c r="BG670"/>
      <c r="BH670"/>
      <c r="BI670"/>
      <c r="BJ670" s="3"/>
    </row>
    <row r="671" spans="1:62" ht="6" customHeight="1">
      <c r="A671" s="198">
        <v>64</v>
      </c>
      <c r="B671" s="51"/>
      <c r="C671" s="199" t="str">
        <f>INDEX(Riferimenti!$B$2:$B$71,A671)</f>
        <v>Omogentisico</v>
      </c>
      <c r="D671" s="199"/>
      <c r="E671" s="199"/>
      <c r="F671" s="199"/>
      <c r="G671" s="199"/>
      <c r="H671" s="199"/>
      <c r="I671" s="199"/>
      <c r="J671" s="199"/>
      <c r="K671" s="199"/>
      <c r="L671" s="199"/>
      <c r="M671" s="199"/>
      <c r="N671" s="199"/>
      <c r="O671" s="195">
        <f>INDEX(Riferimenti!$C$2:$C$71,A671)</f>
        <v>0</v>
      </c>
      <c r="P671" s="195" t="str">
        <f>INDEX(Riferimenti!$D$2:$D$71,A671)</f>
        <v>≤</v>
      </c>
      <c r="Q671" s="195">
        <f>INDEX(Riferimenti!$E$2:$E$71,A671)</f>
        <v>0.7</v>
      </c>
      <c r="R671" s="201"/>
      <c r="S671" s="202"/>
      <c r="T671" s="202"/>
      <c r="V671" s="2"/>
      <c r="AG671" s="195" t="e">
        <f>INDEX(Riferimenti!$Q$2:$Q$61,A671)</f>
        <v>#REF!</v>
      </c>
      <c r="AH671" s="195" t="e">
        <f>INDEX(Riferimenti!$R$2:$R$61,A671)</f>
        <v>#REF!</v>
      </c>
      <c r="AI671"/>
      <c r="AJ671"/>
      <c r="AK671" s="222"/>
      <c r="AL671" s="222"/>
      <c r="AM671" s="222"/>
      <c r="AO671"/>
      <c r="AP671"/>
      <c r="AQ671"/>
      <c r="AR671"/>
      <c r="AS671"/>
      <c r="AT671"/>
      <c r="AU671"/>
      <c r="AV671"/>
      <c r="AW671"/>
      <c r="AX671"/>
      <c r="AY671"/>
      <c r="AZ671"/>
      <c r="BA671"/>
      <c r="BB671"/>
      <c r="BC671"/>
      <c r="BD671"/>
      <c r="BE671"/>
      <c r="BF671"/>
      <c r="BG671"/>
      <c r="BH671"/>
      <c r="BI671"/>
      <c r="BJ671" s="3"/>
    </row>
    <row r="672" spans="1:62" ht="5.45" customHeight="1">
      <c r="A672" s="198"/>
      <c r="B672" s="51"/>
      <c r="C672" s="199"/>
      <c r="D672" s="199"/>
      <c r="E672" s="199"/>
      <c r="F672" s="199"/>
      <c r="G672" s="199"/>
      <c r="H672" s="199"/>
      <c r="I672" s="199"/>
      <c r="J672" s="199"/>
      <c r="K672" s="199"/>
      <c r="L672" s="199"/>
      <c r="M672" s="199"/>
      <c r="N672" s="199"/>
      <c r="O672" s="195"/>
      <c r="P672" s="195"/>
      <c r="Q672" s="195"/>
      <c r="R672" s="201"/>
      <c r="S672" s="202"/>
      <c r="T672" s="202"/>
      <c r="U672"/>
      <c r="V672"/>
      <c r="W672"/>
      <c r="X672"/>
      <c r="Y672"/>
      <c r="Z672"/>
      <c r="AA672"/>
      <c r="AB672"/>
      <c r="AC672"/>
      <c r="AD672"/>
      <c r="AE672"/>
      <c r="AF672"/>
      <c r="AG672" s="195"/>
      <c r="AH672" s="195"/>
      <c r="AI672"/>
      <c r="AJ672"/>
      <c r="AK672" s="222"/>
      <c r="AL672" s="222"/>
      <c r="AM672" s="222"/>
      <c r="AN672" s="3"/>
      <c r="AO672"/>
      <c r="AP672"/>
      <c r="AQ672"/>
      <c r="AR672"/>
      <c r="AS672"/>
      <c r="AT672"/>
      <c r="AU672"/>
      <c r="AV672"/>
      <c r="AW672"/>
      <c r="AX672"/>
      <c r="AY672"/>
      <c r="AZ672"/>
      <c r="BA672"/>
      <c r="BB672"/>
      <c r="BC672"/>
      <c r="BD672"/>
      <c r="BE672"/>
      <c r="BF672"/>
      <c r="BG672"/>
      <c r="BH672"/>
      <c r="BI672"/>
      <c r="BJ672" s="3"/>
    </row>
    <row r="673" spans="1:62" ht="6" customHeight="1">
      <c r="A673" s="194"/>
      <c r="B673" s="194"/>
      <c r="C673" s="194"/>
      <c r="D673" s="194"/>
      <c r="E673" s="194"/>
      <c r="F673" s="194"/>
      <c r="G673" s="194"/>
      <c r="H673" s="194"/>
      <c r="I673" s="194"/>
      <c r="J673" s="194"/>
      <c r="K673" s="194"/>
      <c r="L673" s="194"/>
      <c r="M673" s="194"/>
      <c r="N673" s="52"/>
      <c r="O673" s="73"/>
      <c r="P673" s="36"/>
      <c r="Q673" s="72"/>
      <c r="R673" s="75"/>
      <c r="S673" s="166"/>
      <c r="T673" s="167"/>
      <c r="U673" s="24"/>
      <c r="V673" s="40"/>
      <c r="W673" s="40"/>
      <c r="X673" s="40"/>
      <c r="Y673" s="40"/>
      <c r="Z673" s="40"/>
      <c r="AA673" s="40"/>
      <c r="AB673" s="40"/>
      <c r="AC673" s="40"/>
      <c r="AD673" s="40"/>
      <c r="AE673" s="40"/>
      <c r="AF673" s="40"/>
      <c r="AG673"/>
      <c r="AH673"/>
      <c r="AI673"/>
      <c r="AJ673"/>
      <c r="AN673" s="40"/>
      <c r="AO673"/>
      <c r="AP673"/>
      <c r="AQ673"/>
      <c r="AR673"/>
      <c r="AS673"/>
      <c r="AT673"/>
      <c r="AU673"/>
      <c r="AV673"/>
      <c r="AW673"/>
      <c r="AX673"/>
      <c r="AY673"/>
      <c r="AZ673"/>
      <c r="BA673"/>
      <c r="BB673"/>
      <c r="BC673"/>
      <c r="BD673"/>
      <c r="BE673"/>
      <c r="BF673"/>
      <c r="BG673"/>
      <c r="BH673"/>
      <c r="BI673"/>
      <c r="BJ673" s="3"/>
    </row>
    <row r="674" spans="1:62" ht="6" customHeight="1">
      <c r="A674" s="194"/>
      <c r="B674" s="194"/>
      <c r="C674" s="194"/>
      <c r="D674" s="194"/>
      <c r="E674" s="194"/>
      <c r="F674" s="194"/>
      <c r="G674" s="194"/>
      <c r="H674" s="194"/>
      <c r="I674" s="194"/>
      <c r="J674" s="194"/>
      <c r="K674" s="194"/>
      <c r="L674" s="194"/>
      <c r="M674" s="194"/>
      <c r="N674" s="52"/>
      <c r="O674" s="73"/>
      <c r="P674" s="36"/>
      <c r="Q674" s="72"/>
      <c r="R674" s="75"/>
      <c r="S674" s="166"/>
      <c r="T674" s="168"/>
      <c r="V674" s="2"/>
      <c r="AG674"/>
      <c r="AH674"/>
      <c r="AI674"/>
      <c r="AJ674"/>
      <c r="AN674" s="3"/>
      <c r="AO674"/>
      <c r="AP674"/>
      <c r="AQ674"/>
      <c r="AR674"/>
      <c r="AS674"/>
      <c r="AT674"/>
      <c r="AU674"/>
      <c r="AV674"/>
      <c r="AW674"/>
      <c r="AX674"/>
      <c r="AY674"/>
      <c r="AZ674"/>
      <c r="BA674"/>
      <c r="BB674"/>
      <c r="BC674"/>
      <c r="BD674"/>
      <c r="BE674"/>
      <c r="BF674"/>
      <c r="BG674"/>
      <c r="BH674"/>
      <c r="BI674"/>
      <c r="BJ674" s="3"/>
    </row>
    <row r="675" spans="1:62" ht="10.9" customHeight="1">
      <c r="A675" s="53"/>
      <c r="B675" s="53"/>
      <c r="C675" s="53"/>
      <c r="D675" s="54"/>
      <c r="E675" s="54"/>
      <c r="F675" s="54"/>
      <c r="G675" s="53"/>
      <c r="H675" s="53"/>
      <c r="I675" s="54"/>
      <c r="J675" s="54"/>
      <c r="K675" s="54"/>
      <c r="L675" s="54"/>
      <c r="M675" s="54"/>
      <c r="N675" s="54"/>
      <c r="P675" s="3"/>
      <c r="Q675" s="44"/>
      <c r="R675" s="3"/>
      <c r="S675" s="158"/>
      <c r="T675" s="158"/>
      <c r="U675" s="197"/>
      <c r="V675" s="197"/>
      <c r="W675" s="3"/>
      <c r="X675" s="3"/>
      <c r="Y675" s="3"/>
      <c r="Z675" s="3"/>
      <c r="AA675" s="3"/>
      <c r="AB675" s="3"/>
      <c r="AC675" s="197"/>
      <c r="AD675" s="197"/>
      <c r="AE675" s="3"/>
      <c r="AF675" s="3"/>
      <c r="AG675"/>
      <c r="AH675"/>
      <c r="AI675"/>
      <c r="AJ675"/>
      <c r="AN675" s="3"/>
      <c r="AO675"/>
      <c r="AP675"/>
      <c r="AQ675"/>
      <c r="AR675"/>
      <c r="AS675"/>
      <c r="AT675"/>
      <c r="AU675"/>
      <c r="AV675"/>
      <c r="AW675"/>
      <c r="AX675"/>
      <c r="AY675"/>
      <c r="AZ675"/>
      <c r="BA675"/>
      <c r="BB675"/>
      <c r="BC675"/>
      <c r="BD675"/>
      <c r="BE675"/>
      <c r="BF675"/>
      <c r="BG675"/>
      <c r="BH675"/>
      <c r="BI675"/>
      <c r="BJ675" s="3"/>
    </row>
    <row r="676" spans="1:62" ht="6" customHeight="1">
      <c r="A676" s="198">
        <v>65</v>
      </c>
      <c r="B676" s="51"/>
      <c r="C676" s="199" t="str">
        <f>INDEX(Riferimenti!$B$2:$B$71,A676)</f>
        <v>2-Idrossiisocaproico</v>
      </c>
      <c r="D676" s="199"/>
      <c r="E676" s="199"/>
      <c r="F676" s="199"/>
      <c r="G676" s="199"/>
      <c r="H676" s="199"/>
      <c r="I676" s="199"/>
      <c r="J676" s="199"/>
      <c r="K676" s="199"/>
      <c r="L676" s="199"/>
      <c r="M676" s="199"/>
      <c r="N676" s="199"/>
      <c r="O676" s="195">
        <f>INDEX(Riferimenti!$C$2:$C$71,A676)</f>
        <v>0</v>
      </c>
      <c r="P676" s="195" t="str">
        <f>INDEX(Riferimenti!$D$2:$D$71,A676)</f>
        <v>≤</v>
      </c>
      <c r="Q676" s="195">
        <f>INDEX(Riferimenti!$E$2:$E$71,A676)</f>
        <v>0.5</v>
      </c>
      <c r="R676" s="201"/>
      <c r="S676" s="202"/>
      <c r="T676" s="202"/>
      <c r="V676" s="2"/>
      <c r="AG676" s="195" t="e">
        <f>INDEX(Riferimenti!$Q$2:$Q$61,A676)</f>
        <v>#REF!</v>
      </c>
      <c r="AH676" s="195" t="e">
        <f>INDEX(Riferimenti!$R$2:$R$61,A676)</f>
        <v>#REF!</v>
      </c>
      <c r="AI676"/>
      <c r="AJ676"/>
      <c r="AK676" s="222"/>
      <c r="AL676" s="222"/>
      <c r="AM676" s="222"/>
      <c r="AO676"/>
      <c r="AP676"/>
      <c r="AQ676"/>
      <c r="AR676"/>
      <c r="AS676"/>
      <c r="AT676"/>
      <c r="AU676"/>
      <c r="AV676"/>
      <c r="AW676"/>
      <c r="AX676"/>
      <c r="AY676"/>
      <c r="AZ676"/>
      <c r="BA676"/>
      <c r="BB676"/>
      <c r="BC676"/>
      <c r="BD676"/>
      <c r="BE676"/>
      <c r="BF676"/>
      <c r="BG676"/>
      <c r="BH676"/>
      <c r="BI676"/>
      <c r="BJ676" s="3"/>
    </row>
    <row r="677" spans="1:62" ht="5.45" customHeight="1">
      <c r="A677" s="198"/>
      <c r="B677" s="51"/>
      <c r="C677" s="199"/>
      <c r="D677" s="199"/>
      <c r="E677" s="199"/>
      <c r="F677" s="199"/>
      <c r="G677" s="199"/>
      <c r="H677" s="199"/>
      <c r="I677" s="199"/>
      <c r="J677" s="199"/>
      <c r="K677" s="199"/>
      <c r="L677" s="199"/>
      <c r="M677" s="199"/>
      <c r="N677" s="199"/>
      <c r="O677" s="195"/>
      <c r="P677" s="195"/>
      <c r="Q677" s="195"/>
      <c r="R677" s="201"/>
      <c r="S677" s="202"/>
      <c r="T677" s="202"/>
      <c r="U677"/>
      <c r="V677"/>
      <c r="W677"/>
      <c r="X677"/>
      <c r="Y677"/>
      <c r="Z677"/>
      <c r="AA677"/>
      <c r="AB677"/>
      <c r="AC677"/>
      <c r="AD677"/>
      <c r="AE677"/>
      <c r="AF677"/>
      <c r="AG677" s="195"/>
      <c r="AH677" s="195"/>
      <c r="AI677"/>
      <c r="AJ677"/>
      <c r="AK677" s="222"/>
      <c r="AL677" s="222"/>
      <c r="AM677" s="222"/>
      <c r="AN677" s="3"/>
      <c r="AO677"/>
      <c r="AP677"/>
      <c r="AQ677"/>
      <c r="AR677"/>
      <c r="AS677"/>
      <c r="AT677"/>
      <c r="AU677"/>
      <c r="AV677"/>
      <c r="AW677"/>
      <c r="AX677"/>
      <c r="AY677"/>
      <c r="AZ677"/>
      <c r="BA677"/>
      <c r="BB677"/>
      <c r="BC677"/>
      <c r="BD677"/>
      <c r="BE677"/>
      <c r="BF677"/>
      <c r="BG677"/>
      <c r="BH677"/>
      <c r="BI677"/>
      <c r="BJ677" s="3"/>
    </row>
    <row r="678" spans="1:62" ht="6" customHeight="1">
      <c r="A678" s="194"/>
      <c r="B678" s="194"/>
      <c r="C678" s="194"/>
      <c r="D678" s="194"/>
      <c r="E678" s="194"/>
      <c r="F678" s="194"/>
      <c r="G678" s="194"/>
      <c r="H678" s="194"/>
      <c r="I678" s="194"/>
      <c r="J678" s="194"/>
      <c r="K678" s="194"/>
      <c r="L678" s="194"/>
      <c r="M678" s="194"/>
      <c r="N678" s="52"/>
      <c r="O678" s="73"/>
      <c r="P678" s="36"/>
      <c r="Q678" s="72"/>
      <c r="R678" s="75"/>
      <c r="S678" s="166"/>
      <c r="T678" s="167"/>
      <c r="U678" s="24"/>
      <c r="V678" s="40"/>
      <c r="W678" s="40"/>
      <c r="X678" s="40"/>
      <c r="Y678" s="40"/>
      <c r="Z678" s="40"/>
      <c r="AA678" s="40"/>
      <c r="AB678" s="40"/>
      <c r="AC678" s="40"/>
      <c r="AD678" s="40"/>
      <c r="AE678" s="40"/>
      <c r="AF678" s="40"/>
      <c r="AG678"/>
      <c r="AH678"/>
      <c r="AI678"/>
      <c r="AJ678"/>
      <c r="AN678" s="40"/>
      <c r="AO678"/>
      <c r="AP678"/>
      <c r="AQ678"/>
      <c r="AR678"/>
      <c r="AS678"/>
      <c r="AT678"/>
      <c r="AU678"/>
      <c r="AV678"/>
      <c r="AW678"/>
      <c r="AX678"/>
      <c r="AY678"/>
      <c r="AZ678"/>
      <c r="BA678"/>
      <c r="BB678"/>
      <c r="BC678"/>
      <c r="BD678"/>
      <c r="BE678"/>
      <c r="BF678"/>
      <c r="BG678"/>
      <c r="BH678"/>
      <c r="BI678"/>
      <c r="BJ678" s="3"/>
    </row>
    <row r="679" spans="1:62" ht="6" customHeight="1">
      <c r="A679" s="194"/>
      <c r="B679" s="194"/>
      <c r="C679" s="194"/>
      <c r="D679" s="194"/>
      <c r="E679" s="194"/>
      <c r="F679" s="194"/>
      <c r="G679" s="194"/>
      <c r="H679" s="194"/>
      <c r="I679" s="194"/>
      <c r="J679" s="194"/>
      <c r="K679" s="194"/>
      <c r="L679" s="194"/>
      <c r="M679" s="194"/>
      <c r="N679" s="52"/>
      <c r="O679" s="73"/>
      <c r="P679" s="36"/>
      <c r="Q679" s="72"/>
      <c r="R679" s="75"/>
      <c r="S679" s="166"/>
      <c r="T679" s="168"/>
      <c r="V679" s="2"/>
      <c r="AF679"/>
      <c r="AG679"/>
      <c r="AH679"/>
      <c r="AI679"/>
      <c r="AJ679"/>
      <c r="AN679" s="3"/>
      <c r="AO679"/>
      <c r="AP679"/>
      <c r="AQ679"/>
      <c r="AR679"/>
      <c r="AS679"/>
      <c r="AT679"/>
      <c r="AU679"/>
      <c r="AV679"/>
      <c r="AW679"/>
      <c r="AX679"/>
      <c r="AY679"/>
      <c r="AZ679"/>
      <c r="BA679"/>
      <c r="BB679"/>
      <c r="BC679"/>
      <c r="BD679"/>
      <c r="BE679"/>
      <c r="BF679"/>
      <c r="BG679"/>
      <c r="BH679"/>
      <c r="BI679"/>
      <c r="BJ679" s="3"/>
    </row>
    <row r="680" spans="1:62" ht="10.9" customHeight="1">
      <c r="A680" s="3"/>
      <c r="C680" s="3"/>
      <c r="P680" s="3"/>
      <c r="Q680" s="3"/>
      <c r="R680" s="3"/>
      <c r="S680" s="3"/>
      <c r="T680" s="3"/>
      <c r="U680" s="209"/>
      <c r="V680" s="209"/>
      <c r="W680" s="3"/>
      <c r="X680" s="3"/>
      <c r="Y680" s="3"/>
      <c r="Z680" s="3"/>
      <c r="AA680" s="3"/>
      <c r="AB680" s="3"/>
      <c r="AC680" s="197"/>
      <c r="AD680" s="197"/>
      <c r="AE680" s="3"/>
      <c r="AF680" s="3"/>
      <c r="AG680" s="40"/>
      <c r="AH680" s="40"/>
      <c r="AN680" s="3"/>
      <c r="AO680" s="3"/>
      <c r="AP680" s="3"/>
      <c r="AQ680" s="3"/>
      <c r="AR680" s="3"/>
      <c r="AS680" s="3"/>
      <c r="AT680" s="3"/>
      <c r="AU680" s="3"/>
      <c r="AV680"/>
      <c r="AW680"/>
      <c r="AX680"/>
      <c r="AY680"/>
      <c r="AZ680"/>
      <c r="BA680"/>
      <c r="BB680"/>
      <c r="BC680"/>
      <c r="BD680"/>
      <c r="BE680"/>
      <c r="BF680"/>
      <c r="BG680"/>
      <c r="BH680"/>
      <c r="BI680"/>
      <c r="BJ680" s="3"/>
    </row>
    <row r="681" spans="1:62" ht="6" customHeight="1">
      <c r="A681" s="198">
        <v>66</v>
      </c>
      <c r="B681" s="51"/>
      <c r="C681" s="199" t="str">
        <f>INDEX(Riferimenti!$B$2:$B$71,A681)</f>
        <v>N-Acetilaspartico</v>
      </c>
      <c r="D681" s="199"/>
      <c r="E681" s="199"/>
      <c r="F681" s="199"/>
      <c r="G681" s="199"/>
      <c r="H681" s="199"/>
      <c r="I681" s="199"/>
      <c r="J681" s="199"/>
      <c r="K681" s="199"/>
      <c r="L681" s="199"/>
      <c r="M681" s="199"/>
      <c r="N681" s="199"/>
      <c r="O681" s="195">
        <f>INDEX(Riferimenti!$C$2:$C$71,A681)</f>
        <v>0</v>
      </c>
      <c r="P681" s="195" t="str">
        <f>INDEX(Riferimenti!$D$2:$D$71,A681)</f>
        <v>≤</v>
      </c>
      <c r="Q681" s="195">
        <f>INDEX(Riferimenti!$E$2:$E$71,A681)</f>
        <v>7</v>
      </c>
      <c r="R681" s="201"/>
      <c r="S681" s="202"/>
      <c r="T681" s="202"/>
      <c r="V681" s="2"/>
      <c r="AV681"/>
      <c r="AW681"/>
      <c r="AX681"/>
      <c r="AY681"/>
      <c r="AZ681"/>
      <c r="BA681"/>
      <c r="BB681"/>
      <c r="BC681"/>
      <c r="BD681"/>
      <c r="BE681"/>
      <c r="BF681"/>
      <c r="BG681"/>
      <c r="BH681"/>
      <c r="BI681"/>
      <c r="BJ681" s="3"/>
    </row>
    <row r="682" spans="1:62" ht="5.45" customHeight="1">
      <c r="A682" s="198"/>
      <c r="B682" s="51"/>
      <c r="C682" s="199"/>
      <c r="D682" s="199"/>
      <c r="E682" s="199"/>
      <c r="F682" s="199"/>
      <c r="G682" s="199"/>
      <c r="H682" s="199"/>
      <c r="I682" s="199"/>
      <c r="J682" s="199"/>
      <c r="K682" s="199"/>
      <c r="L682" s="199"/>
      <c r="M682" s="199"/>
      <c r="N682" s="199"/>
      <c r="O682" s="195"/>
      <c r="P682" s="195"/>
      <c r="Q682" s="195"/>
      <c r="R682" s="201"/>
      <c r="S682" s="202"/>
      <c r="T682" s="202"/>
      <c r="U682"/>
      <c r="V682"/>
      <c r="W682"/>
      <c r="X682"/>
      <c r="Y682"/>
      <c r="Z682"/>
      <c r="AA682"/>
      <c r="AB682"/>
      <c r="AC682"/>
      <c r="AD682"/>
      <c r="AE682"/>
      <c r="AF682"/>
      <c r="AG682" s="3"/>
      <c r="AH682" s="3"/>
      <c r="AN682" s="3"/>
      <c r="AV682"/>
      <c r="AW682"/>
      <c r="AX682"/>
      <c r="AY682"/>
      <c r="AZ682"/>
      <c r="BA682"/>
      <c r="BB682"/>
      <c r="BC682"/>
      <c r="BD682"/>
      <c r="BE682"/>
      <c r="BF682"/>
      <c r="BG682"/>
      <c r="BH682"/>
      <c r="BI682"/>
      <c r="BJ682" s="3"/>
    </row>
    <row r="683" spans="1:62" ht="6" customHeight="1">
      <c r="A683" s="194"/>
      <c r="B683" s="194"/>
      <c r="C683" s="194"/>
      <c r="D683" s="194"/>
      <c r="E683" s="194"/>
      <c r="F683" s="194"/>
      <c r="G683" s="194"/>
      <c r="H683" s="194"/>
      <c r="I683" s="194"/>
      <c r="J683" s="194"/>
      <c r="K683" s="194"/>
      <c r="L683" s="194"/>
      <c r="M683" s="194"/>
      <c r="N683" s="52"/>
      <c r="O683" s="73"/>
      <c r="P683" s="36"/>
      <c r="Q683" s="72"/>
      <c r="R683" s="75"/>
      <c r="S683" s="166"/>
      <c r="T683" s="167"/>
      <c r="U683" s="24"/>
      <c r="V683" s="40"/>
      <c r="W683" s="40"/>
      <c r="X683" s="40"/>
      <c r="Y683" s="40"/>
      <c r="Z683" s="40"/>
      <c r="AA683" s="40"/>
      <c r="AB683" s="40"/>
      <c r="AC683" s="40"/>
      <c r="AD683" s="40"/>
      <c r="AE683" s="40"/>
      <c r="AF683" s="40"/>
      <c r="AG683" s="73" t="e">
        <f>INDEX(Riferimenti!$Q$2:$Q$61,A685)</f>
        <v>#VALUE!</v>
      </c>
      <c r="AH683" s="73" t="e">
        <f>INDEX(Riferimenti!$R$2:$R$61,A685)</f>
        <v>#VALUE!</v>
      </c>
      <c r="AI683"/>
      <c r="AJ683"/>
      <c r="AK683"/>
      <c r="AL683"/>
      <c r="AM683"/>
      <c r="AN683" s="40"/>
      <c r="AO683"/>
      <c r="AP683"/>
      <c r="AQ683"/>
      <c r="AR683"/>
      <c r="AS683"/>
      <c r="AT683"/>
      <c r="AU683"/>
      <c r="AV683"/>
      <c r="AW683"/>
      <c r="AX683"/>
      <c r="AY683"/>
      <c r="AZ683"/>
      <c r="BA683"/>
      <c r="BB683"/>
      <c r="BC683"/>
      <c r="BD683"/>
      <c r="BE683"/>
      <c r="BF683"/>
      <c r="BG683"/>
      <c r="BH683"/>
      <c r="BI683"/>
      <c r="BJ683" s="3"/>
    </row>
    <row r="684" spans="1:62" ht="6" customHeight="1">
      <c r="A684" s="194"/>
      <c r="B684" s="194"/>
      <c r="C684" s="194"/>
      <c r="D684" s="194"/>
      <c r="E684" s="194"/>
      <c r="F684" s="194"/>
      <c r="G684" s="194"/>
      <c r="H684" s="194"/>
      <c r="I684" s="194"/>
      <c r="J684" s="194"/>
      <c r="K684" s="194"/>
      <c r="L684" s="194"/>
      <c r="M684" s="194"/>
      <c r="N684" s="52"/>
      <c r="O684" s="73"/>
      <c r="P684" s="36"/>
      <c r="Q684" s="72"/>
      <c r="R684" s="75"/>
      <c r="S684" s="166"/>
      <c r="T684" s="168"/>
      <c r="V684" s="2"/>
      <c r="AG684" s="73"/>
      <c r="AH684" s="73"/>
      <c r="AI684"/>
      <c r="AJ684"/>
      <c r="AL684"/>
      <c r="AM684"/>
      <c r="AN684" s="3"/>
      <c r="AO684"/>
      <c r="AP684"/>
      <c r="AQ684"/>
      <c r="AR684"/>
      <c r="AS684"/>
      <c r="AT684"/>
      <c r="AU684"/>
      <c r="AV684"/>
      <c r="AW684"/>
      <c r="AX684"/>
      <c r="AY684"/>
      <c r="AZ684"/>
      <c r="BA684"/>
      <c r="BB684"/>
      <c r="BC684"/>
      <c r="BD684"/>
      <c r="BE684"/>
      <c r="BF684"/>
      <c r="BG684"/>
      <c r="BH684"/>
      <c r="BI684"/>
      <c r="BJ684" s="3"/>
    </row>
    <row r="685" spans="1:62" ht="10.9" customHeight="1">
      <c r="A685" s="53"/>
      <c r="B685" s="53"/>
      <c r="C685" s="53"/>
      <c r="D685" s="54"/>
      <c r="E685" s="54"/>
      <c r="F685" s="54"/>
      <c r="G685" s="53"/>
      <c r="H685" s="53"/>
      <c r="I685" s="54"/>
      <c r="J685" s="54"/>
      <c r="K685" s="54"/>
      <c r="L685" s="54"/>
      <c r="M685" s="54"/>
      <c r="N685" s="54"/>
      <c r="O685" s="37"/>
      <c r="P685" s="38"/>
      <c r="Q685" s="44"/>
      <c r="R685" s="3"/>
      <c r="S685" s="158"/>
      <c r="T685" s="158"/>
      <c r="U685" s="197"/>
      <c r="V685" s="197"/>
      <c r="W685" s="3"/>
      <c r="X685" s="3"/>
      <c r="Y685" s="3"/>
      <c r="Z685" s="3"/>
      <c r="AA685" s="3"/>
      <c r="AB685" s="3"/>
      <c r="AC685" s="197"/>
      <c r="AD685" s="197"/>
      <c r="AE685" s="3"/>
      <c r="AF685" s="3"/>
      <c r="AG685"/>
      <c r="AH685"/>
      <c r="AI685"/>
      <c r="AJ685"/>
      <c r="AL685" s="3"/>
      <c r="AM685" s="3"/>
      <c r="AN685" s="3"/>
      <c r="AO685"/>
      <c r="AP685"/>
      <c r="AQ685"/>
      <c r="AR685"/>
      <c r="AS685"/>
      <c r="AT685"/>
      <c r="AU685"/>
      <c r="AV685"/>
      <c r="AW685"/>
      <c r="AX685"/>
      <c r="AY685"/>
      <c r="AZ685"/>
      <c r="BA685"/>
      <c r="BB685"/>
      <c r="BC685"/>
      <c r="BD685"/>
      <c r="BE685"/>
      <c r="BF685"/>
      <c r="BG685"/>
      <c r="BH685"/>
      <c r="BI685"/>
      <c r="BJ685" s="3"/>
    </row>
    <row r="686" spans="1:62" ht="6" customHeight="1">
      <c r="A686" s="198">
        <v>67</v>
      </c>
      <c r="B686" s="51"/>
      <c r="C686" s="199" t="str">
        <f>INDEX(Riferimenti!$B$2:$B$71,A686)</f>
        <v>Malonico</v>
      </c>
      <c r="D686" s="199"/>
      <c r="E686" s="199"/>
      <c r="F686" s="199"/>
      <c r="G686" s="199"/>
      <c r="H686" s="199"/>
      <c r="I686" s="199"/>
      <c r="J686" s="199"/>
      <c r="K686" s="199"/>
      <c r="L686" s="199"/>
      <c r="M686" s="199"/>
      <c r="N686" s="199"/>
      <c r="O686" s="195">
        <f>INDEX(Riferimenti!$C$2:$C$71,A686)</f>
        <v>0</v>
      </c>
      <c r="P686" s="195" t="str">
        <f>INDEX(Riferimenti!$D$2:$D$71,A686)</f>
        <v>≤</v>
      </c>
      <c r="Q686" s="195">
        <f>INDEX(Riferimenti!$E$2:$E$71,A686)</f>
        <v>1.1000000000000001</v>
      </c>
      <c r="R686" s="201"/>
      <c r="S686" s="202"/>
      <c r="T686" s="202"/>
      <c r="V686" s="2"/>
      <c r="AG686" s="195" t="e">
        <f>INDEX(Riferimenti!$Q$2:$Q$61,A686)</f>
        <v>#REF!</v>
      </c>
      <c r="AH686" s="195" t="e">
        <f>INDEX(Riferimenti!$R$2:$R$61,A686)</f>
        <v>#REF!</v>
      </c>
      <c r="AI686"/>
      <c r="AJ686"/>
      <c r="AK686" s="222"/>
      <c r="AL686" s="222"/>
      <c r="AM686" s="222"/>
      <c r="AO686"/>
      <c r="AP686"/>
      <c r="AQ686"/>
      <c r="AR686"/>
      <c r="AS686"/>
      <c r="AT686"/>
      <c r="AU686"/>
      <c r="AV686"/>
      <c r="AW686"/>
      <c r="AX686"/>
      <c r="AY686"/>
      <c r="AZ686"/>
      <c r="BA686"/>
      <c r="BB686"/>
      <c r="BC686"/>
      <c r="BD686"/>
      <c r="BE686"/>
      <c r="BF686"/>
      <c r="BG686"/>
      <c r="BH686"/>
      <c r="BI686"/>
      <c r="BJ686" s="3"/>
    </row>
    <row r="687" spans="1:62" ht="5.45" customHeight="1">
      <c r="A687" s="198"/>
      <c r="B687" s="51"/>
      <c r="C687" s="199"/>
      <c r="D687" s="199"/>
      <c r="E687" s="199"/>
      <c r="F687" s="199"/>
      <c r="G687" s="199"/>
      <c r="H687" s="199"/>
      <c r="I687" s="199"/>
      <c r="J687" s="199"/>
      <c r="K687" s="199"/>
      <c r="L687" s="199"/>
      <c r="M687" s="199"/>
      <c r="N687" s="199"/>
      <c r="O687" s="195"/>
      <c r="P687" s="195"/>
      <c r="Q687" s="195"/>
      <c r="R687" s="201"/>
      <c r="S687" s="202"/>
      <c r="T687" s="202"/>
      <c r="U687"/>
      <c r="V687"/>
      <c r="W687"/>
      <c r="X687"/>
      <c r="Y687"/>
      <c r="Z687"/>
      <c r="AA687"/>
      <c r="AB687"/>
      <c r="AC687"/>
      <c r="AD687"/>
      <c r="AE687"/>
      <c r="AF687"/>
      <c r="AG687" s="195"/>
      <c r="AH687" s="195"/>
      <c r="AI687"/>
      <c r="AJ687"/>
      <c r="AK687" s="222"/>
      <c r="AL687" s="222"/>
      <c r="AM687" s="222"/>
      <c r="AN687" s="3"/>
      <c r="AO687"/>
      <c r="AP687"/>
      <c r="AQ687"/>
      <c r="AR687"/>
      <c r="AS687"/>
      <c r="AT687"/>
      <c r="AU687"/>
      <c r="AV687"/>
      <c r="AW687"/>
      <c r="AX687"/>
      <c r="AY687"/>
      <c r="AZ687"/>
      <c r="BA687"/>
      <c r="BB687"/>
      <c r="BC687"/>
      <c r="BD687"/>
      <c r="BE687"/>
      <c r="BF687"/>
      <c r="BG687"/>
      <c r="BH687"/>
      <c r="BI687"/>
      <c r="BJ687" s="3"/>
    </row>
    <row r="688" spans="1:62" ht="6" customHeight="1">
      <c r="A688" s="194"/>
      <c r="B688" s="194"/>
      <c r="C688" s="194"/>
      <c r="D688" s="194"/>
      <c r="E688" s="194"/>
      <c r="F688" s="194"/>
      <c r="G688" s="194"/>
      <c r="H688" s="194"/>
      <c r="I688" s="194"/>
      <c r="J688" s="194"/>
      <c r="K688" s="194"/>
      <c r="L688" s="194"/>
      <c r="M688" s="194"/>
      <c r="N688" s="52"/>
      <c r="O688" s="73"/>
      <c r="P688" s="36"/>
      <c r="Q688" s="72"/>
      <c r="R688" s="75"/>
      <c r="S688" s="166"/>
      <c r="T688" s="167"/>
      <c r="U688" s="24"/>
      <c r="V688" s="40"/>
      <c r="W688" s="40"/>
      <c r="X688" s="40"/>
      <c r="Y688" s="40"/>
      <c r="Z688" s="40"/>
      <c r="AA688" s="40"/>
      <c r="AB688" s="40"/>
      <c r="AC688" s="40"/>
      <c r="AD688" s="40"/>
      <c r="AE688" s="40"/>
      <c r="AF688" s="40"/>
      <c r="AG688"/>
      <c r="AH688"/>
      <c r="AI688"/>
      <c r="AJ688"/>
      <c r="AK688" s="3"/>
      <c r="AL688" s="3"/>
      <c r="AM688" s="3"/>
      <c r="AN688" s="40"/>
      <c r="AO688"/>
      <c r="AP688"/>
      <c r="AQ688"/>
      <c r="AR688"/>
      <c r="AS688"/>
      <c r="AT688"/>
      <c r="AU688"/>
      <c r="AV688"/>
      <c r="AW688"/>
      <c r="AX688"/>
      <c r="AY688"/>
      <c r="AZ688"/>
      <c r="BA688"/>
      <c r="BB688"/>
      <c r="BC688"/>
      <c r="BD688"/>
      <c r="BE688"/>
      <c r="BF688"/>
      <c r="BG688"/>
      <c r="BH688"/>
      <c r="BI688"/>
      <c r="BJ688" s="3"/>
    </row>
    <row r="689" spans="1:62" ht="6" customHeight="1">
      <c r="A689" s="194"/>
      <c r="B689" s="194"/>
      <c r="C689" s="194"/>
      <c r="D689" s="194"/>
      <c r="E689" s="194"/>
      <c r="F689" s="194"/>
      <c r="G689" s="194"/>
      <c r="H689" s="194"/>
      <c r="I689" s="194"/>
      <c r="J689" s="194"/>
      <c r="K689" s="194"/>
      <c r="L689" s="194"/>
      <c r="M689" s="194"/>
      <c r="N689" s="52"/>
      <c r="O689" s="73"/>
      <c r="P689" s="36"/>
      <c r="Q689" s="72"/>
      <c r="R689" s="75"/>
      <c r="S689" s="166"/>
      <c r="T689" s="168"/>
      <c r="V689" s="2"/>
      <c r="AG689"/>
      <c r="AH689"/>
      <c r="AI689"/>
      <c r="AJ689"/>
      <c r="AK689" s="3"/>
      <c r="AL689" s="3"/>
      <c r="AM689" s="3"/>
      <c r="AN689" s="3"/>
      <c r="AO689"/>
      <c r="AP689"/>
      <c r="AQ689"/>
      <c r="AR689"/>
      <c r="AS689"/>
      <c r="AT689"/>
      <c r="AU689"/>
      <c r="AV689"/>
      <c r="AW689"/>
      <c r="AX689"/>
      <c r="AY689"/>
      <c r="AZ689"/>
      <c r="BA689"/>
      <c r="BB689"/>
      <c r="BC689"/>
      <c r="BD689"/>
      <c r="BE689"/>
      <c r="BF689"/>
      <c r="BG689"/>
      <c r="BH689"/>
      <c r="BI689"/>
      <c r="BJ689" s="3"/>
    </row>
    <row r="690" spans="1:62" ht="10.9" customHeight="1">
      <c r="A690" s="53"/>
      <c r="B690" s="53"/>
      <c r="C690" s="53"/>
      <c r="D690" s="54"/>
      <c r="E690" s="54"/>
      <c r="F690" s="54"/>
      <c r="G690" s="53"/>
      <c r="H690" s="53"/>
      <c r="I690" s="54"/>
      <c r="J690" s="54"/>
      <c r="K690" s="54"/>
      <c r="L690" s="54"/>
      <c r="M690" s="54"/>
      <c r="N690" s="54"/>
      <c r="P690" s="3"/>
      <c r="Q690" s="44"/>
      <c r="R690" s="3"/>
      <c r="S690" s="158"/>
      <c r="T690" s="158"/>
      <c r="U690" s="197"/>
      <c r="V690" s="197"/>
      <c r="W690" s="3"/>
      <c r="X690" s="3"/>
      <c r="Y690" s="3"/>
      <c r="Z690" s="3"/>
      <c r="AA690" s="3"/>
      <c r="AB690" s="3"/>
      <c r="AC690" s="197"/>
      <c r="AD690" s="197"/>
      <c r="AE690" s="3"/>
      <c r="AF690" s="3"/>
      <c r="AG690"/>
      <c r="AH690"/>
      <c r="AI690"/>
      <c r="AJ690"/>
      <c r="AK690" s="3"/>
      <c r="AL690" s="3"/>
      <c r="AM690" s="3"/>
      <c r="AN690" s="3"/>
      <c r="AO690"/>
      <c r="AP690"/>
      <c r="AQ690"/>
      <c r="AR690"/>
      <c r="AS690"/>
      <c r="AT690"/>
      <c r="AU690"/>
      <c r="AV690"/>
      <c r="AW690"/>
      <c r="AX690"/>
      <c r="AY690"/>
      <c r="AZ690"/>
      <c r="BA690"/>
      <c r="BB690"/>
      <c r="BC690"/>
      <c r="BD690"/>
      <c r="BE690"/>
      <c r="BF690"/>
      <c r="BG690"/>
      <c r="BH690"/>
      <c r="BI690"/>
      <c r="BJ690" s="3"/>
    </row>
    <row r="691" spans="1:62" ht="6" customHeight="1">
      <c r="A691" s="198">
        <v>68</v>
      </c>
      <c r="B691" s="51"/>
      <c r="C691" s="199" t="str">
        <f>INDEX(Riferimenti!$B$2:$B$71,A691)</f>
        <v>4-Idrossifenilpiruvico</v>
      </c>
      <c r="D691" s="199"/>
      <c r="E691" s="199"/>
      <c r="F691" s="199"/>
      <c r="G691" s="199"/>
      <c r="H691" s="199"/>
      <c r="I691" s="199"/>
      <c r="J691" s="199"/>
      <c r="K691" s="199"/>
      <c r="L691" s="199"/>
      <c r="M691" s="199"/>
      <c r="N691" s="199"/>
      <c r="O691" s="195">
        <f>INDEX(Riferimenti!$C$2:$C$71,A691)</f>
        <v>0</v>
      </c>
      <c r="P691" s="195" t="str">
        <f>INDEX(Riferimenti!$D$2:$D$71,A691)</f>
        <v>≤</v>
      </c>
      <c r="Q691" s="195">
        <f>INDEX(Riferimenti!$E$2:$E$71,A691)</f>
        <v>2.4</v>
      </c>
      <c r="R691" s="201"/>
      <c r="S691" s="202"/>
      <c r="T691" s="202"/>
      <c r="V691" s="2"/>
      <c r="AG691" s="195" t="e">
        <f>INDEX(Riferimenti!$Q$2:$Q$61,A691)</f>
        <v>#REF!</v>
      </c>
      <c r="AH691" s="195" t="e">
        <f>INDEX(Riferimenti!$R$2:$R$61,A691)</f>
        <v>#REF!</v>
      </c>
      <c r="AI691"/>
      <c r="AJ691"/>
      <c r="AK691" s="222"/>
      <c r="AL691" s="222"/>
      <c r="AM691" s="222"/>
      <c r="AO691"/>
      <c r="AP691"/>
      <c r="AQ691"/>
      <c r="AR691"/>
      <c r="AS691"/>
      <c r="AT691"/>
      <c r="AU691"/>
      <c r="AV691"/>
      <c r="AW691"/>
      <c r="AX691"/>
      <c r="AY691"/>
      <c r="AZ691"/>
      <c r="BA691"/>
      <c r="BB691"/>
      <c r="BC691"/>
      <c r="BD691"/>
      <c r="BE691"/>
      <c r="BF691"/>
      <c r="BG691"/>
      <c r="BH691"/>
      <c r="BI691"/>
      <c r="BJ691" s="3"/>
    </row>
    <row r="692" spans="1:62" ht="5.25" customHeight="1">
      <c r="A692" s="198"/>
      <c r="B692" s="51"/>
      <c r="C692" s="199"/>
      <c r="D692" s="199"/>
      <c r="E692" s="199"/>
      <c r="F692" s="199"/>
      <c r="G692" s="199"/>
      <c r="H692" s="199"/>
      <c r="I692" s="199"/>
      <c r="J692" s="199"/>
      <c r="K692" s="199"/>
      <c r="L692" s="199"/>
      <c r="M692" s="199"/>
      <c r="N692" s="199"/>
      <c r="O692" s="195"/>
      <c r="P692" s="195"/>
      <c r="Q692" s="195"/>
      <c r="R692" s="201"/>
      <c r="S692" s="202"/>
      <c r="T692" s="202"/>
      <c r="U692"/>
      <c r="V692"/>
      <c r="W692"/>
      <c r="X692"/>
      <c r="Y692"/>
      <c r="Z692"/>
      <c r="AA692"/>
      <c r="AB692"/>
      <c r="AC692"/>
      <c r="AD692"/>
      <c r="AE692"/>
      <c r="AF692"/>
      <c r="AG692" s="195"/>
      <c r="AH692" s="195"/>
      <c r="AI692"/>
      <c r="AJ692"/>
      <c r="AK692" s="222"/>
      <c r="AL692" s="222"/>
      <c r="AM692" s="222"/>
      <c r="AN692" s="3"/>
      <c r="AO692"/>
      <c r="AP692"/>
      <c r="AQ692"/>
      <c r="AR692"/>
      <c r="AS692"/>
      <c r="AT692"/>
      <c r="AU692"/>
      <c r="AV692"/>
      <c r="AW692"/>
      <c r="AX692"/>
      <c r="AY692"/>
      <c r="AZ692"/>
      <c r="BA692"/>
      <c r="BB692"/>
      <c r="BC692"/>
      <c r="BD692"/>
      <c r="BE692"/>
      <c r="BF692"/>
      <c r="BG692"/>
      <c r="BH692"/>
      <c r="BI692"/>
      <c r="BJ692" s="3"/>
    </row>
    <row r="693" spans="1:62" ht="6" customHeight="1">
      <c r="A693" s="194"/>
      <c r="B693" s="194"/>
      <c r="C693" s="194"/>
      <c r="D693" s="194"/>
      <c r="E693" s="194"/>
      <c r="F693" s="194"/>
      <c r="G693" s="194"/>
      <c r="H693" s="194"/>
      <c r="I693" s="194"/>
      <c r="J693" s="194"/>
      <c r="K693" s="194"/>
      <c r="L693" s="194"/>
      <c r="M693" s="194"/>
      <c r="N693" s="52"/>
      <c r="O693" s="73"/>
      <c r="P693" s="36"/>
      <c r="Q693" s="72"/>
      <c r="R693" s="75"/>
      <c r="S693" s="166"/>
      <c r="T693" s="167"/>
      <c r="U693" s="24"/>
      <c r="V693" s="40"/>
      <c r="W693" s="40"/>
      <c r="X693" s="40"/>
      <c r="Y693" s="40"/>
      <c r="Z693" s="40"/>
      <c r="AA693" s="40"/>
      <c r="AB693" s="40"/>
      <c r="AC693" s="40"/>
      <c r="AD693" s="40"/>
      <c r="AE693" s="40"/>
      <c r="AF693" s="40"/>
      <c r="AG693"/>
      <c r="AH693"/>
      <c r="AI693"/>
      <c r="AJ693"/>
      <c r="AN693" s="40"/>
      <c r="AO693"/>
      <c r="AP693"/>
      <c r="AQ693"/>
      <c r="AR693"/>
      <c r="AS693"/>
      <c r="AT693"/>
      <c r="AU693"/>
      <c r="AV693"/>
      <c r="AW693"/>
      <c r="AX693"/>
      <c r="AY693"/>
      <c r="AZ693"/>
      <c r="BA693"/>
      <c r="BB693"/>
      <c r="BC693"/>
      <c r="BD693"/>
      <c r="BE693"/>
      <c r="BF693"/>
      <c r="BG693"/>
      <c r="BH693"/>
      <c r="BI693"/>
      <c r="BJ693" s="3"/>
    </row>
    <row r="694" spans="1:62" ht="6" customHeight="1">
      <c r="A694" s="194"/>
      <c r="B694" s="194"/>
      <c r="C694" s="194"/>
      <c r="D694" s="194"/>
      <c r="E694" s="194"/>
      <c r="F694" s="194"/>
      <c r="G694" s="194"/>
      <c r="H694" s="194"/>
      <c r="I694" s="194"/>
      <c r="J694" s="194"/>
      <c r="K694" s="194"/>
      <c r="L694" s="194"/>
      <c r="M694" s="194"/>
      <c r="N694" s="52"/>
      <c r="O694" s="73"/>
      <c r="P694" s="36"/>
      <c r="Q694" s="72"/>
      <c r="R694" s="75"/>
      <c r="S694" s="166"/>
      <c r="T694" s="168"/>
      <c r="V694" s="2"/>
      <c r="AG694"/>
      <c r="AH694"/>
      <c r="AI694"/>
      <c r="AJ694"/>
      <c r="AN694" s="3"/>
      <c r="AO694"/>
      <c r="AP694"/>
      <c r="AQ694"/>
      <c r="AR694"/>
      <c r="AS694"/>
      <c r="AT694"/>
      <c r="AU694"/>
      <c r="AV694"/>
      <c r="AW694"/>
      <c r="AX694"/>
      <c r="AY694"/>
      <c r="AZ694"/>
      <c r="BA694"/>
      <c r="BB694"/>
      <c r="BC694"/>
      <c r="BD694"/>
      <c r="BE694"/>
      <c r="BF694"/>
      <c r="BG694"/>
      <c r="BH694"/>
      <c r="BI694"/>
      <c r="BJ694" s="3"/>
    </row>
    <row r="695" spans="1:62" ht="10.9" customHeight="1">
      <c r="A695" s="3"/>
      <c r="C695" s="3"/>
      <c r="P695" s="3"/>
      <c r="Q695" s="3"/>
      <c r="R695" s="3"/>
      <c r="S695" s="3"/>
      <c r="T695" s="3"/>
      <c r="U695" s="209"/>
      <c r="V695" s="209"/>
      <c r="W695" s="3"/>
      <c r="X695" s="3"/>
      <c r="Y695" s="3"/>
      <c r="Z695" s="3"/>
      <c r="AA695" s="3"/>
      <c r="AB695" s="3"/>
      <c r="AC695" s="197"/>
      <c r="AD695" s="197"/>
      <c r="AE695" s="3"/>
      <c r="AF695" s="3"/>
      <c r="AG695" s="40"/>
      <c r="AH695" s="40"/>
      <c r="AN695" s="3"/>
      <c r="AO695" s="3"/>
      <c r="AP695" s="3"/>
      <c r="AQ695" s="3"/>
      <c r="AR695" s="3"/>
      <c r="AS695" s="3"/>
      <c r="AT695" s="3"/>
      <c r="AU695" s="3"/>
      <c r="AV695"/>
      <c r="AW695"/>
      <c r="AX695"/>
      <c r="AY695"/>
      <c r="AZ695"/>
      <c r="BA695"/>
      <c r="BB695"/>
      <c r="BC695"/>
      <c r="BD695"/>
      <c r="BE695"/>
      <c r="BF695"/>
      <c r="BG695"/>
      <c r="BH695"/>
      <c r="BI695"/>
      <c r="BJ695" s="3"/>
    </row>
    <row r="696" spans="1:62" ht="6" customHeight="1">
      <c r="A696" s="198">
        <v>69</v>
      </c>
      <c r="B696" s="51"/>
      <c r="C696" s="199" t="str">
        <f>INDEX(Riferimenti!$B$2:$B$71,A696)</f>
        <v>2-Idrossi-3-Metilbutirrico</v>
      </c>
      <c r="D696" s="199"/>
      <c r="E696" s="199"/>
      <c r="F696" s="199"/>
      <c r="G696" s="199"/>
      <c r="H696" s="199"/>
      <c r="I696" s="199"/>
      <c r="J696" s="199"/>
      <c r="K696" s="199"/>
      <c r="L696" s="199"/>
      <c r="M696" s="199"/>
      <c r="N696" s="199"/>
      <c r="O696" s="195">
        <f>INDEX(Riferimenti!$C$2:$C$71,A696)</f>
        <v>0</v>
      </c>
      <c r="P696" s="195" t="str">
        <f>INDEX(Riferimenti!$D$2:$D$71,A696)</f>
        <v>≤</v>
      </c>
      <c r="Q696" s="195">
        <f>INDEX(Riferimenti!$E$2:$E$71,A696)</f>
        <v>0.4</v>
      </c>
      <c r="R696" s="201"/>
      <c r="S696" s="202"/>
      <c r="T696" s="202"/>
      <c r="V696" s="2"/>
      <c r="AV696"/>
      <c r="AW696"/>
      <c r="AX696"/>
      <c r="AY696"/>
      <c r="AZ696"/>
      <c r="BA696"/>
      <c r="BB696"/>
      <c r="BC696"/>
      <c r="BD696"/>
      <c r="BE696"/>
      <c r="BF696"/>
      <c r="BG696"/>
      <c r="BH696"/>
      <c r="BI696"/>
      <c r="BJ696" s="3"/>
    </row>
    <row r="697" spans="1:62" ht="5.45" customHeight="1">
      <c r="A697" s="198"/>
      <c r="B697" s="51"/>
      <c r="C697" s="199"/>
      <c r="D697" s="199"/>
      <c r="E697" s="199"/>
      <c r="F697" s="199"/>
      <c r="G697" s="199"/>
      <c r="H697" s="199"/>
      <c r="I697" s="199"/>
      <c r="J697" s="199"/>
      <c r="K697" s="199"/>
      <c r="L697" s="199"/>
      <c r="M697" s="199"/>
      <c r="N697" s="199"/>
      <c r="O697" s="195"/>
      <c r="P697" s="195"/>
      <c r="Q697" s="195"/>
      <c r="R697" s="201"/>
      <c r="S697" s="202"/>
      <c r="T697" s="202"/>
      <c r="U697"/>
      <c r="V697"/>
      <c r="W697"/>
      <c r="X697"/>
      <c r="Y697"/>
      <c r="Z697"/>
      <c r="AA697"/>
      <c r="AB697"/>
      <c r="AC697"/>
      <c r="AD697"/>
      <c r="AE697"/>
      <c r="AF697"/>
      <c r="AG697" s="3"/>
      <c r="AH697" s="3"/>
      <c r="AN697" s="3"/>
      <c r="AV697"/>
      <c r="AW697"/>
      <c r="AX697"/>
      <c r="AY697"/>
      <c r="AZ697"/>
      <c r="BA697"/>
      <c r="BB697"/>
      <c r="BC697"/>
      <c r="BD697"/>
      <c r="BE697"/>
      <c r="BF697"/>
      <c r="BG697"/>
      <c r="BH697"/>
      <c r="BI697"/>
      <c r="BJ697" s="3"/>
    </row>
    <row r="698" spans="1:62" ht="6" customHeight="1">
      <c r="A698" s="194"/>
      <c r="B698" s="194"/>
      <c r="C698" s="194"/>
      <c r="D698" s="194"/>
      <c r="E698" s="194"/>
      <c r="F698" s="194"/>
      <c r="G698" s="194"/>
      <c r="H698" s="194"/>
      <c r="I698" s="194"/>
      <c r="J698" s="194"/>
      <c r="K698" s="194"/>
      <c r="L698" s="194"/>
      <c r="M698" s="194"/>
      <c r="N698" s="52"/>
      <c r="O698" s="73"/>
      <c r="P698" s="36"/>
      <c r="Q698" s="72"/>
      <c r="R698" s="75"/>
      <c r="S698" s="166"/>
      <c r="T698" s="167"/>
      <c r="U698" s="24"/>
      <c r="V698" s="40"/>
      <c r="W698" s="40"/>
      <c r="X698" s="40"/>
      <c r="Y698" s="40"/>
      <c r="Z698" s="40"/>
      <c r="AA698" s="40"/>
      <c r="AB698" s="40"/>
      <c r="AC698" s="40"/>
      <c r="AD698" s="40"/>
      <c r="AE698" s="40"/>
      <c r="AF698" s="40"/>
      <c r="AG698"/>
      <c r="AH698"/>
      <c r="AI698"/>
      <c r="AJ698"/>
      <c r="AN698" s="40"/>
      <c r="AO698"/>
      <c r="AP698"/>
      <c r="AQ698"/>
      <c r="AR698"/>
      <c r="AS698"/>
      <c r="AT698"/>
      <c r="AU698"/>
      <c r="AV698"/>
      <c r="AW698"/>
      <c r="AX698"/>
      <c r="AY698"/>
      <c r="AZ698"/>
      <c r="BA698"/>
      <c r="BB698"/>
      <c r="BC698"/>
      <c r="BD698"/>
      <c r="BE698"/>
      <c r="BF698"/>
      <c r="BG698"/>
      <c r="BH698"/>
      <c r="BI698"/>
      <c r="BJ698" s="3"/>
    </row>
    <row r="699" spans="1:62" ht="6" customHeight="1">
      <c r="A699" s="194"/>
      <c r="B699" s="194"/>
      <c r="C699" s="194"/>
      <c r="D699" s="194"/>
      <c r="E699" s="194"/>
      <c r="F699" s="194"/>
      <c r="G699" s="194"/>
      <c r="H699" s="194"/>
      <c r="I699" s="194"/>
      <c r="J699" s="194"/>
      <c r="K699" s="194"/>
      <c r="L699" s="194"/>
      <c r="M699" s="194"/>
      <c r="N699" s="52"/>
      <c r="O699" s="73"/>
      <c r="P699" s="36"/>
      <c r="Q699" s="72"/>
      <c r="R699" s="75"/>
      <c r="S699" s="166"/>
      <c r="T699" s="168"/>
      <c r="V699" s="2"/>
      <c r="AG699"/>
      <c r="AH699"/>
      <c r="AI699"/>
      <c r="AJ699"/>
      <c r="AN699" s="3"/>
      <c r="AO699"/>
      <c r="AP699"/>
      <c r="AQ699"/>
      <c r="AR699"/>
      <c r="AS699"/>
      <c r="AT699"/>
      <c r="AU699"/>
      <c r="AV699"/>
      <c r="AW699"/>
      <c r="AX699"/>
      <c r="AY699"/>
      <c r="AZ699"/>
      <c r="BA699"/>
      <c r="BB699"/>
      <c r="BC699"/>
      <c r="BD699"/>
      <c r="BE699"/>
      <c r="BF699"/>
      <c r="BG699"/>
      <c r="BH699"/>
      <c r="BI699"/>
      <c r="BJ699" s="3"/>
    </row>
    <row r="700" spans="1:62" ht="11.1" customHeight="1">
      <c r="A700" s="3"/>
      <c r="C700" s="3"/>
      <c r="P700" s="3"/>
      <c r="Q700" s="3"/>
      <c r="R700" s="3"/>
      <c r="S700" s="3"/>
      <c r="T700" s="3"/>
      <c r="U700" s="209"/>
      <c r="V700" s="209"/>
      <c r="W700" s="3"/>
      <c r="X700" s="3"/>
      <c r="Y700" s="3"/>
      <c r="Z700" s="3"/>
      <c r="AA700" s="3"/>
      <c r="AB700" s="3"/>
      <c r="AC700" s="197"/>
      <c r="AD700" s="197"/>
      <c r="AE700" s="3"/>
      <c r="AF700" s="3"/>
      <c r="AG700" s="40"/>
      <c r="AH700" s="40"/>
      <c r="AN700" s="3"/>
      <c r="AO700" s="3"/>
      <c r="AP700" s="3"/>
      <c r="AQ700" s="3"/>
      <c r="AR700" s="3"/>
      <c r="AS700" s="3"/>
      <c r="AT700" s="3"/>
      <c r="AU700" s="3"/>
      <c r="AV700"/>
      <c r="AW700"/>
      <c r="AX700"/>
      <c r="AY700"/>
      <c r="AZ700"/>
      <c r="BA700"/>
      <c r="BB700"/>
      <c r="BC700"/>
      <c r="BD700"/>
      <c r="BE700"/>
      <c r="BF700"/>
      <c r="BG700"/>
      <c r="BH700"/>
      <c r="BI700"/>
      <c r="BJ700" s="3"/>
    </row>
    <row r="701" spans="1:62" ht="10.5" customHeight="1">
      <c r="A701" s="214"/>
      <c r="B701" s="214"/>
      <c r="C701" s="214"/>
      <c r="D701" s="214"/>
      <c r="E701" s="214"/>
      <c r="F701" s="214"/>
      <c r="G701" s="214"/>
      <c r="H701" s="214"/>
      <c r="I701" s="214"/>
      <c r="J701" s="214"/>
      <c r="K701" s="214"/>
      <c r="L701" s="214"/>
      <c r="M701" s="214"/>
      <c r="N701" s="214"/>
      <c r="O701" s="14"/>
      <c r="P701" s="14"/>
      <c r="Q701" s="14"/>
      <c r="R701" s="12"/>
      <c r="S701" s="170"/>
      <c r="T701" s="171"/>
      <c r="U701" s="13"/>
      <c r="V701" s="12"/>
      <c r="W701" s="13"/>
      <c r="X701" s="12"/>
      <c r="Y701" s="12"/>
      <c r="Z701" s="15"/>
      <c r="AA701" s="12"/>
      <c r="AB701" s="13"/>
      <c r="AC701" s="12"/>
      <c r="AD701" s="12"/>
      <c r="AG701" s="195" t="e">
        <f>INDEX(Riferimenti!$Q$2:$Q$65,A703)</f>
        <v>#REF!</v>
      </c>
      <c r="AH701" s="195" t="e">
        <f>INDEX(Riferimenti!$R$2:$R$65,A703)</f>
        <v>#REF!</v>
      </c>
      <c r="AI701" s="3"/>
      <c r="AN701" s="3"/>
      <c r="AT701" s="3"/>
      <c r="AU701" s="3"/>
      <c r="AV701" s="3"/>
      <c r="AW701" s="3"/>
      <c r="AX701" s="3"/>
      <c r="AY701" s="3"/>
      <c r="AZ701" s="3"/>
      <c r="BA701" s="3"/>
      <c r="BB701" s="3"/>
      <c r="BC701" s="3"/>
      <c r="BD701" s="3"/>
      <c r="BE701" s="3"/>
      <c r="BF701" s="3"/>
      <c r="BG701" s="3"/>
      <c r="BH701" s="3"/>
      <c r="BI701" s="3"/>
      <c r="BJ701" s="3"/>
    </row>
    <row r="702" spans="1:62" ht="11.1" customHeight="1">
      <c r="Q702" s="37"/>
      <c r="R702" s="37"/>
      <c r="S702" s="164"/>
      <c r="T702" s="168"/>
      <c r="AF702"/>
      <c r="AG702" s="195"/>
      <c r="AH702" s="195"/>
      <c r="AN702" s="3"/>
      <c r="AO702" s="3"/>
      <c r="AP702" s="3"/>
      <c r="AQ702" s="3"/>
      <c r="AR702" s="3"/>
      <c r="AS702" s="3"/>
      <c r="AT702" s="3"/>
      <c r="AU702" s="3"/>
      <c r="AV702" s="3"/>
      <c r="AW702" s="3"/>
      <c r="AX702" s="3"/>
      <c r="AY702" s="3"/>
      <c r="AZ702" s="3"/>
      <c r="BA702" s="3"/>
      <c r="BB702" s="3"/>
      <c r="BC702" s="3"/>
      <c r="BD702" s="3"/>
      <c r="BE702" s="3"/>
      <c r="BF702" s="3"/>
      <c r="BG702" s="3"/>
      <c r="BH702" s="3"/>
      <c r="BI702" s="3"/>
      <c r="BJ702" s="3"/>
    </row>
    <row r="703" spans="1:62" ht="6" customHeight="1">
      <c r="A703" s="198">
        <v>70</v>
      </c>
      <c r="B703" s="51"/>
      <c r="C703" s="199" t="str">
        <f>INDEX(Riferimenti!$B$2:$B$73,A703)</f>
        <v>Creatinina (mg/dL)</v>
      </c>
      <c r="D703" s="199"/>
      <c r="E703" s="199"/>
      <c r="F703" s="199"/>
      <c r="G703" s="199"/>
      <c r="H703" s="199"/>
      <c r="I703" s="199"/>
      <c r="J703" s="199"/>
      <c r="K703" s="199"/>
      <c r="L703" s="199"/>
      <c r="M703" s="199"/>
      <c r="N703" s="199"/>
      <c r="O703" s="195">
        <f>INDEX(Riferimenti!$C$2:$C$71,A703)</f>
        <v>29</v>
      </c>
      <c r="P703" s="195" t="str">
        <f>INDEX(Riferimenti!$D$2:$D$71,A703)</f>
        <v>-</v>
      </c>
      <c r="Q703" s="195">
        <f>INDEX(Riferimenti!$E$2:$E$71,A703)</f>
        <v>226</v>
      </c>
      <c r="R703" s="213"/>
      <c r="S703" s="202"/>
      <c r="T703" s="202"/>
      <c r="V703" s="2"/>
      <c r="AF703" s="40"/>
      <c r="AG703" s="40"/>
      <c r="AH703" s="40"/>
      <c r="AI703" s="40"/>
      <c r="AJ703" s="40"/>
      <c r="AK703" s="40"/>
      <c r="AL703" s="40"/>
      <c r="AM703" s="40"/>
      <c r="AN703" s="40"/>
      <c r="AO703" s="40"/>
      <c r="AP703" s="40"/>
      <c r="AQ703" s="40"/>
      <c r="AR703" s="3"/>
      <c r="AS703" s="3"/>
      <c r="AT703" s="3"/>
      <c r="AU703" s="3"/>
      <c r="AV703" s="3"/>
      <c r="AW703" s="3"/>
      <c r="AX703" s="3"/>
      <c r="AY703" s="3"/>
      <c r="AZ703" s="3"/>
      <c r="BA703" s="3"/>
      <c r="BB703" s="3"/>
      <c r="BC703" s="3"/>
      <c r="BD703" s="3"/>
      <c r="BE703" s="3"/>
      <c r="BF703" s="3"/>
      <c r="BG703" s="3"/>
      <c r="BH703" s="3"/>
      <c r="BI703" s="3"/>
      <c r="BJ703" s="3"/>
    </row>
    <row r="704" spans="1:62" ht="6" customHeight="1">
      <c r="A704" s="198"/>
      <c r="B704" s="51"/>
      <c r="C704" s="199"/>
      <c r="D704" s="199"/>
      <c r="E704" s="199"/>
      <c r="F704" s="199"/>
      <c r="G704" s="199"/>
      <c r="H704" s="199"/>
      <c r="I704" s="199"/>
      <c r="J704" s="199"/>
      <c r="K704" s="199"/>
      <c r="L704" s="199"/>
      <c r="M704" s="199"/>
      <c r="N704" s="199"/>
      <c r="O704" s="195"/>
      <c r="P704" s="195"/>
      <c r="Q704" s="195"/>
      <c r="R704" s="213"/>
      <c r="S704" s="202"/>
      <c r="T704" s="202"/>
      <c r="U704"/>
      <c r="V704"/>
      <c r="W704"/>
      <c r="X704"/>
      <c r="Y704"/>
      <c r="Z704"/>
      <c r="AA704"/>
      <c r="AB704"/>
      <c r="AC704"/>
      <c r="AD704"/>
      <c r="AN704" s="3"/>
      <c r="AO704" s="3"/>
      <c r="AP704" s="3"/>
      <c r="AQ704" s="3"/>
      <c r="AR704" s="3"/>
      <c r="AS704" s="3"/>
      <c r="AT704" s="3"/>
      <c r="AU704" s="3"/>
      <c r="AV704" s="3"/>
      <c r="AW704" s="3"/>
      <c r="AX704" s="3"/>
      <c r="AY704" s="3"/>
      <c r="AZ704" s="3"/>
      <c r="BA704" s="3"/>
      <c r="BB704" s="3"/>
      <c r="BC704" s="3"/>
      <c r="BD704" s="3"/>
      <c r="BE704" s="3"/>
      <c r="BF704" s="3"/>
      <c r="BG704" s="3"/>
      <c r="BH704" s="3"/>
      <c r="BI704" s="3"/>
      <c r="BJ704" s="3"/>
    </row>
    <row r="705" spans="1:62" ht="6" customHeight="1">
      <c r="A705" s="212"/>
      <c r="B705" s="212"/>
      <c r="C705" s="212"/>
      <c r="D705" s="212"/>
      <c r="E705" s="212"/>
      <c r="F705" s="212"/>
      <c r="G705" s="212"/>
      <c r="H705" s="212"/>
      <c r="I705" s="212"/>
      <c r="J705" s="212"/>
      <c r="K705" s="212"/>
      <c r="L705" s="212"/>
      <c r="M705" s="212"/>
      <c r="N705" s="52"/>
      <c r="O705" s="73"/>
      <c r="P705" s="36"/>
      <c r="Q705" s="72"/>
      <c r="R705" s="75"/>
      <c r="S705" s="72"/>
      <c r="T705" s="40"/>
      <c r="U705" s="40"/>
      <c r="V705" s="40"/>
      <c r="W705" s="40"/>
      <c r="X705" s="40"/>
      <c r="Y705" s="40"/>
      <c r="Z705" s="40"/>
      <c r="AA705" s="40"/>
      <c r="AB705" s="40"/>
      <c r="AC705" s="40"/>
      <c r="AD705" s="40"/>
      <c r="AF705"/>
      <c r="AG705"/>
      <c r="AH705"/>
      <c r="AI705"/>
      <c r="AJ705"/>
      <c r="AK705"/>
      <c r="AL705"/>
      <c r="AM705"/>
      <c r="AN705"/>
      <c r="AO705"/>
      <c r="AP705"/>
      <c r="AQ705"/>
      <c r="AR705"/>
      <c r="AS705"/>
      <c r="AT705"/>
    </row>
    <row r="706" spans="1:62" ht="6" customHeight="1">
      <c r="A706" s="212"/>
      <c r="B706" s="212"/>
      <c r="C706" s="212"/>
      <c r="D706" s="212"/>
      <c r="E706" s="212"/>
      <c r="F706" s="212"/>
      <c r="G706" s="212"/>
      <c r="H706" s="212"/>
      <c r="I706" s="212"/>
      <c r="J706" s="212"/>
      <c r="K706" s="212"/>
      <c r="L706" s="212"/>
      <c r="M706" s="212"/>
      <c r="N706" s="52"/>
      <c r="O706" s="73"/>
      <c r="P706" s="36"/>
      <c r="Q706" s="72"/>
      <c r="R706" s="75"/>
      <c r="S706" s="72"/>
      <c r="V706" s="2"/>
      <c r="AF706"/>
      <c r="AG706"/>
      <c r="AH706"/>
      <c r="AI706"/>
      <c r="AJ706"/>
      <c r="AK706"/>
      <c r="AL706"/>
      <c r="AM706"/>
      <c r="AN706"/>
      <c r="AO706"/>
      <c r="AP706"/>
      <c r="AQ706"/>
      <c r="AR706"/>
      <c r="AS706"/>
      <c r="AT706"/>
    </row>
    <row r="707" spans="1:62">
      <c r="A707" s="54"/>
      <c r="B707" s="54"/>
      <c r="C707" s="54"/>
      <c r="D707" s="54"/>
      <c r="E707" s="54"/>
      <c r="F707" s="54"/>
      <c r="G707" s="54"/>
      <c r="H707" s="54"/>
      <c r="I707" s="54"/>
      <c r="J707" s="54"/>
      <c r="K707" s="54"/>
      <c r="L707" s="54"/>
      <c r="M707" s="54"/>
      <c r="N707" s="54"/>
      <c r="O707" s="37"/>
      <c r="P707" s="37"/>
      <c r="Q707" s="37"/>
      <c r="R707" s="37"/>
      <c r="S707" s="37"/>
      <c r="AF707"/>
      <c r="AG707"/>
      <c r="AH707"/>
      <c r="AI707"/>
      <c r="AJ707"/>
      <c r="AK707"/>
      <c r="AL707"/>
      <c r="AM707"/>
      <c r="AN707"/>
      <c r="AO707"/>
      <c r="AP707"/>
      <c r="AQ707"/>
      <c r="AR707"/>
      <c r="AS707"/>
      <c r="AT707"/>
    </row>
    <row r="708" spans="1:62" ht="18">
      <c r="A708" s="177" t="s">
        <v>450</v>
      </c>
      <c r="K708" s="207">
        <v>1</v>
      </c>
      <c r="L708" s="207"/>
    </row>
    <row r="709" spans="1:62">
      <c r="K709" s="207">
        <v>2</v>
      </c>
      <c r="L709" s="207"/>
    </row>
    <row r="710" spans="1:62" ht="12.75" customHeight="1">
      <c r="A710"/>
      <c r="B710"/>
      <c r="C710"/>
      <c r="D710"/>
      <c r="E710"/>
      <c r="F710"/>
      <c r="G710"/>
      <c r="H710"/>
      <c r="I710"/>
      <c r="J710"/>
      <c r="K710" s="207">
        <v>3</v>
      </c>
      <c r="L710" s="207"/>
      <c r="M710"/>
      <c r="N710"/>
      <c r="O710"/>
      <c r="P710"/>
      <c r="Q710"/>
      <c r="R710" s="40"/>
      <c r="S710" s="23"/>
      <c r="V710" s="2"/>
      <c r="AN710" s="3"/>
      <c r="AO710" s="3"/>
      <c r="AP710" s="3"/>
      <c r="AQ710" s="3"/>
      <c r="AR710" s="3"/>
      <c r="AS710" s="3"/>
      <c r="AT710" s="3"/>
      <c r="AU710" s="3"/>
      <c r="AV710" s="3"/>
      <c r="AW710" s="3"/>
      <c r="AX710" s="3"/>
      <c r="AY710" s="3"/>
      <c r="AZ710" s="3"/>
      <c r="BA710" s="3"/>
      <c r="BB710" s="3"/>
      <c r="BC710" s="3"/>
      <c r="BD710" s="3"/>
      <c r="BE710" s="3"/>
      <c r="BF710" s="3"/>
      <c r="BG710" s="3"/>
      <c r="BH710" s="3"/>
      <c r="BI710" s="3"/>
      <c r="BJ710" s="3"/>
    </row>
    <row r="711" spans="1:62" ht="12.75" customHeight="1">
      <c r="A711"/>
      <c r="B711"/>
      <c r="C711"/>
      <c r="D711"/>
      <c r="E711"/>
      <c r="F711"/>
      <c r="G711"/>
      <c r="H711"/>
      <c r="I711"/>
      <c r="J711"/>
      <c r="K711" s="207">
        <v>4</v>
      </c>
      <c r="L711" s="207"/>
      <c r="M711"/>
      <c r="N711"/>
      <c r="O711"/>
      <c r="P711"/>
      <c r="Q711"/>
      <c r="R711" s="40"/>
      <c r="S711" s="23"/>
      <c r="V711" s="2"/>
      <c r="AN711" s="3"/>
      <c r="AO711" s="3"/>
      <c r="AP711" s="3"/>
      <c r="AQ711" s="3"/>
      <c r="AR711" s="3"/>
      <c r="AS711" s="3"/>
      <c r="AT711" s="3"/>
      <c r="AU711" s="3"/>
      <c r="AV711" s="3"/>
      <c r="AW711" s="3"/>
      <c r="AX711" s="3"/>
      <c r="AY711" s="3"/>
      <c r="AZ711" s="3"/>
      <c r="BA711" s="3"/>
      <c r="BB711" s="3"/>
      <c r="BC711" s="3"/>
      <c r="BD711" s="3"/>
      <c r="BE711" s="3"/>
      <c r="BF711" s="3"/>
      <c r="BG711" s="3"/>
      <c r="BH711" s="3"/>
      <c r="BI711" s="3"/>
      <c r="BJ711" s="3"/>
    </row>
    <row r="712" spans="1:62" ht="12.75" customHeight="1">
      <c r="A712"/>
      <c r="B712"/>
      <c r="C712"/>
      <c r="D712"/>
      <c r="E712"/>
      <c r="F712"/>
      <c r="G712"/>
      <c r="H712"/>
      <c r="I712"/>
      <c r="J712"/>
      <c r="K712" s="207">
        <v>5</v>
      </c>
      <c r="L712" s="207"/>
      <c r="M712"/>
      <c r="N712"/>
      <c r="O712"/>
      <c r="P712"/>
      <c r="Q712"/>
      <c r="R712" s="40"/>
      <c r="S712" s="23"/>
      <c r="V712" s="2"/>
      <c r="AN712" s="3"/>
      <c r="AO712" s="3"/>
      <c r="AP712" s="3"/>
      <c r="AQ712" s="3"/>
      <c r="AR712" s="3"/>
      <c r="AS712" s="3"/>
      <c r="AT712" s="3"/>
      <c r="AU712" s="3"/>
      <c r="AV712" s="3"/>
      <c r="AW712" s="3"/>
      <c r="AX712" s="3"/>
      <c r="AY712" s="3"/>
      <c r="AZ712" s="3"/>
      <c r="BA712" s="3"/>
      <c r="BB712" s="3"/>
      <c r="BC712" s="3"/>
      <c r="BD712" s="3"/>
      <c r="BE712" s="3"/>
      <c r="BF712" s="3"/>
      <c r="BG712" s="3"/>
      <c r="BH712" s="3"/>
      <c r="BI712" s="3"/>
      <c r="BJ712" s="3"/>
    </row>
    <row r="713" spans="1:62" ht="12.75" customHeight="1">
      <c r="A713"/>
      <c r="B713"/>
      <c r="C713"/>
      <c r="D713"/>
      <c r="E713"/>
      <c r="F713"/>
      <c r="G713"/>
      <c r="H713"/>
      <c r="I713"/>
      <c r="J713"/>
      <c r="K713" s="207">
        <v>6</v>
      </c>
      <c r="L713" s="207"/>
      <c r="M713"/>
      <c r="N713"/>
      <c r="O713"/>
      <c r="P713"/>
      <c r="Q713"/>
      <c r="R713" s="40"/>
      <c r="S713" s="23"/>
      <c r="V713" s="2"/>
      <c r="AN713" s="3"/>
      <c r="AO713" s="3"/>
      <c r="AP713" s="3"/>
      <c r="AQ713" s="3"/>
      <c r="AR713" s="3"/>
      <c r="AS713" s="3"/>
      <c r="AT713" s="3"/>
      <c r="AU713" s="3"/>
      <c r="AV713" s="3"/>
      <c r="AW713" s="3"/>
      <c r="AX713" s="3"/>
      <c r="AY713" s="3"/>
      <c r="AZ713" s="3"/>
      <c r="BA713" s="3"/>
      <c r="BB713" s="3"/>
      <c r="BC713" s="3"/>
      <c r="BD713" s="3"/>
      <c r="BE713" s="3"/>
      <c r="BF713" s="3"/>
      <c r="BG713" s="3"/>
      <c r="BH713" s="3"/>
      <c r="BI713" s="3"/>
      <c r="BJ713" s="3"/>
    </row>
    <row r="714" spans="1:62" ht="12.75" customHeight="1">
      <c r="A714"/>
      <c r="B714"/>
      <c r="C714"/>
      <c r="D714"/>
      <c r="E714"/>
      <c r="F714"/>
      <c r="G714"/>
      <c r="H714"/>
      <c r="I714"/>
      <c r="J714"/>
      <c r="K714" s="207">
        <v>7</v>
      </c>
      <c r="L714" s="207"/>
      <c r="M714"/>
      <c r="N714"/>
      <c r="O714"/>
      <c r="P714"/>
      <c r="Q714"/>
      <c r="R714" s="40"/>
      <c r="S714" s="23"/>
      <c r="V714" s="2"/>
      <c r="AN714" s="3"/>
      <c r="AO714" s="3"/>
      <c r="AP714" s="3"/>
      <c r="AQ714" s="3"/>
      <c r="AR714" s="3"/>
      <c r="AS714" s="3"/>
      <c r="AT714" s="3"/>
      <c r="AU714" s="3"/>
      <c r="AV714" s="3"/>
      <c r="AW714" s="3"/>
      <c r="AX714" s="3"/>
      <c r="AY714" s="3"/>
      <c r="AZ714" s="3"/>
      <c r="BA714" s="3"/>
      <c r="BB714" s="3"/>
      <c r="BC714" s="3"/>
      <c r="BD714" s="3"/>
      <c r="BE714" s="3"/>
      <c r="BF714" s="3"/>
      <c r="BG714" s="3"/>
      <c r="BH714" s="3"/>
      <c r="BI714" s="3"/>
      <c r="BJ714" s="3"/>
    </row>
    <row r="715" spans="1:62" ht="12.75" customHeight="1">
      <c r="A715"/>
      <c r="B715"/>
      <c r="C715"/>
      <c r="D715"/>
      <c r="E715"/>
      <c r="F715"/>
      <c r="G715"/>
      <c r="H715"/>
      <c r="I715"/>
      <c r="J715"/>
      <c r="K715" s="207">
        <v>8</v>
      </c>
      <c r="L715" s="207"/>
      <c r="M715"/>
      <c r="N715"/>
      <c r="O715"/>
      <c r="P715"/>
      <c r="Q715"/>
      <c r="R715" s="40"/>
      <c r="S715" s="23"/>
      <c r="V715" s="2"/>
      <c r="AN715" s="3"/>
      <c r="AO715" s="3"/>
      <c r="AP715" s="3"/>
      <c r="AQ715" s="3"/>
      <c r="AR715" s="3"/>
      <c r="AS715" s="3"/>
      <c r="AT715" s="3"/>
      <c r="AU715" s="3"/>
      <c r="AV715" s="3"/>
      <c r="AW715" s="3"/>
      <c r="AX715" s="3"/>
      <c r="AY715" s="3"/>
      <c r="AZ715" s="3"/>
      <c r="BA715" s="3"/>
      <c r="BB715" s="3"/>
      <c r="BC715" s="3"/>
      <c r="BD715" s="3"/>
      <c r="BE715" s="3"/>
      <c r="BF715" s="3"/>
      <c r="BG715" s="3"/>
      <c r="BH715" s="3"/>
      <c r="BI715" s="3"/>
      <c r="BJ715" s="3"/>
    </row>
    <row r="716" spans="1:62" ht="12.75" customHeight="1">
      <c r="A716"/>
      <c r="B716"/>
      <c r="C716"/>
      <c r="D716"/>
      <c r="E716"/>
      <c r="F716"/>
      <c r="G716"/>
      <c r="H716"/>
      <c r="I716"/>
      <c r="J716"/>
      <c r="K716" s="207">
        <v>9</v>
      </c>
      <c r="L716" s="207"/>
      <c r="M716"/>
      <c r="N716"/>
      <c r="O716"/>
      <c r="P716"/>
      <c r="Q716"/>
      <c r="R716" s="40"/>
      <c r="S716" s="23"/>
      <c r="V716" s="2"/>
      <c r="AN716" s="3"/>
      <c r="AO716" s="3"/>
      <c r="AP716" s="3"/>
      <c r="AQ716" s="3"/>
      <c r="AR716" s="3"/>
      <c r="AS716" s="3"/>
      <c r="AT716" s="3"/>
      <c r="AU716" s="3"/>
      <c r="AV716" s="3"/>
      <c r="AW716" s="3"/>
      <c r="AX716" s="3"/>
      <c r="AY716" s="3"/>
      <c r="AZ716" s="3"/>
      <c r="BA716" s="3"/>
      <c r="BB716" s="3"/>
      <c r="BC716" s="3"/>
      <c r="BD716" s="3"/>
      <c r="BE716" s="3"/>
      <c r="BF716" s="3"/>
      <c r="BG716" s="3"/>
      <c r="BH716" s="3"/>
      <c r="BI716" s="3"/>
      <c r="BJ716" s="3"/>
    </row>
    <row r="717" spans="1:62" ht="12.75" customHeight="1">
      <c r="A717"/>
      <c r="B717"/>
      <c r="C717"/>
      <c r="D717"/>
      <c r="E717"/>
      <c r="F717"/>
      <c r="G717"/>
      <c r="H717"/>
      <c r="I717"/>
      <c r="J717"/>
      <c r="K717" s="207">
        <v>10</v>
      </c>
      <c r="L717" s="207"/>
      <c r="M717"/>
      <c r="N717"/>
      <c r="O717"/>
      <c r="P717"/>
      <c r="Q717"/>
      <c r="R717" s="40"/>
      <c r="S717" s="23"/>
      <c r="V717" s="2"/>
      <c r="AN717" s="3"/>
      <c r="AO717" s="3"/>
      <c r="AP717" s="3"/>
      <c r="AQ717" s="3"/>
      <c r="AR717" s="3"/>
      <c r="AS717" s="3"/>
      <c r="AT717" s="3"/>
      <c r="AU717" s="3"/>
      <c r="AV717" s="3"/>
      <c r="AW717" s="3"/>
      <c r="AX717" s="3"/>
      <c r="AY717" s="3"/>
      <c r="AZ717" s="3"/>
      <c r="BA717" s="3"/>
      <c r="BB717" s="3"/>
      <c r="BC717" s="3"/>
      <c r="BD717" s="3"/>
      <c r="BE717" s="3"/>
      <c r="BF717" s="3"/>
      <c r="BG717" s="3"/>
      <c r="BH717" s="3"/>
      <c r="BI717" s="3"/>
      <c r="BJ717" s="3"/>
    </row>
    <row r="718" spans="1:62" ht="12.75" customHeight="1">
      <c r="A718"/>
      <c r="B718"/>
      <c r="C718"/>
      <c r="D718"/>
      <c r="E718"/>
      <c r="F718"/>
      <c r="G718"/>
      <c r="H718"/>
      <c r="I718"/>
      <c r="J718"/>
      <c r="K718" s="207">
        <v>11</v>
      </c>
      <c r="L718" s="207"/>
      <c r="M718"/>
      <c r="N718"/>
      <c r="O718"/>
      <c r="P718"/>
      <c r="Q718"/>
      <c r="R718" s="40"/>
      <c r="S718" s="23"/>
      <c r="V718" s="2"/>
      <c r="AN718" s="3"/>
      <c r="AO718" s="3"/>
      <c r="AP718" s="3"/>
      <c r="AQ718" s="3"/>
      <c r="AR718" s="3"/>
      <c r="AS718" s="3"/>
      <c r="AT718" s="3"/>
      <c r="AU718" s="3"/>
      <c r="AV718" s="3"/>
      <c r="AW718" s="3"/>
      <c r="AX718" s="3"/>
      <c r="AY718" s="3"/>
      <c r="AZ718" s="3"/>
      <c r="BA718" s="3"/>
      <c r="BB718" s="3"/>
      <c r="BC718" s="3"/>
      <c r="BD718" s="3"/>
      <c r="BE718" s="3"/>
      <c r="BF718" s="3"/>
      <c r="BG718" s="3"/>
      <c r="BH718" s="3"/>
      <c r="BI718" s="3"/>
      <c r="BJ718" s="3"/>
    </row>
    <row r="719" spans="1:62" ht="12.75" customHeight="1">
      <c r="A719"/>
      <c r="B719"/>
      <c r="C719"/>
      <c r="D719"/>
      <c r="E719"/>
      <c r="F719"/>
      <c r="G719"/>
      <c r="H719"/>
      <c r="I719"/>
      <c r="J719"/>
      <c r="K719" s="207">
        <v>12</v>
      </c>
      <c r="L719" s="207"/>
      <c r="M719"/>
      <c r="N719"/>
      <c r="O719"/>
      <c r="P719"/>
      <c r="Q719"/>
      <c r="R719" s="40"/>
      <c r="S719" s="23"/>
      <c r="V719" s="2"/>
      <c r="AN719" s="3"/>
      <c r="AO719" s="3"/>
      <c r="AP719" s="3"/>
      <c r="AQ719" s="3"/>
      <c r="AR719" s="3"/>
      <c r="AS719" s="3"/>
      <c r="AT719" s="3"/>
      <c r="AU719" s="3"/>
      <c r="AV719" s="3"/>
      <c r="AW719" s="3"/>
      <c r="AX719" s="3"/>
      <c r="AY719" s="3"/>
      <c r="AZ719" s="3"/>
      <c r="BA719" s="3"/>
      <c r="BB719" s="3"/>
      <c r="BC719" s="3"/>
      <c r="BD719" s="3"/>
      <c r="BE719" s="3"/>
      <c r="BF719" s="3"/>
      <c r="BG719" s="3"/>
      <c r="BH719" s="3"/>
      <c r="BI719" s="3"/>
      <c r="BJ719" s="3"/>
    </row>
    <row r="720" spans="1:62" ht="12.75" customHeight="1">
      <c r="A720"/>
      <c r="B720"/>
      <c r="C720"/>
      <c r="D720"/>
      <c r="E720"/>
      <c r="F720"/>
      <c r="G720"/>
      <c r="H720"/>
      <c r="I720"/>
      <c r="J720"/>
      <c r="K720" s="207">
        <v>13</v>
      </c>
      <c r="L720" s="207"/>
      <c r="M720"/>
      <c r="N720"/>
      <c r="O720"/>
      <c r="P720"/>
      <c r="Q720"/>
      <c r="R720" s="40"/>
      <c r="S720" s="23"/>
      <c r="V720" s="2"/>
      <c r="AN720" s="3"/>
      <c r="AO720" s="3"/>
      <c r="AP720" s="3"/>
      <c r="AQ720" s="3"/>
      <c r="AR720" s="3"/>
      <c r="AS720" s="3"/>
      <c r="AT720" s="3"/>
      <c r="AU720" s="3"/>
      <c r="AV720" s="3"/>
      <c r="AW720" s="3"/>
      <c r="AX720" s="3"/>
      <c r="AY720" s="3"/>
      <c r="AZ720" s="3"/>
      <c r="BA720" s="3"/>
      <c r="BB720" s="3"/>
      <c r="BC720" s="3"/>
      <c r="BD720" s="3"/>
      <c r="BE720" s="3"/>
      <c r="BF720" s="3"/>
      <c r="BG720" s="3"/>
      <c r="BH720" s="3"/>
      <c r="BI720" s="3"/>
      <c r="BJ720" s="3"/>
    </row>
    <row r="721" spans="1:62" ht="12.75" customHeight="1">
      <c r="A721"/>
      <c r="B721"/>
      <c r="C721"/>
      <c r="D721"/>
      <c r="E721"/>
      <c r="F721"/>
      <c r="G721"/>
      <c r="H721"/>
      <c r="I721"/>
      <c r="J721"/>
      <c r="K721" s="207">
        <v>14</v>
      </c>
      <c r="L721" s="207"/>
      <c r="M721"/>
      <c r="N721"/>
      <c r="O721"/>
      <c r="P721"/>
      <c r="Q721"/>
      <c r="R721" s="40"/>
      <c r="S721" s="23"/>
      <c r="V721" s="2"/>
      <c r="AN721" s="3"/>
      <c r="AO721" s="3"/>
      <c r="AP721" s="3"/>
      <c r="AQ721" s="3"/>
      <c r="AR721" s="3"/>
      <c r="AS721" s="3"/>
      <c r="AT721" s="3"/>
      <c r="AU721" s="3"/>
      <c r="AV721" s="3"/>
      <c r="AW721" s="3"/>
      <c r="AX721" s="3"/>
      <c r="AY721" s="3"/>
      <c r="AZ721" s="3"/>
      <c r="BA721" s="3"/>
      <c r="BB721" s="3"/>
      <c r="BC721" s="3"/>
      <c r="BD721" s="3"/>
      <c r="BE721" s="3"/>
      <c r="BF721" s="3"/>
      <c r="BG721" s="3"/>
      <c r="BH721" s="3"/>
      <c r="BI721" s="3"/>
      <c r="BJ721" s="3"/>
    </row>
    <row r="722" spans="1:62" ht="12.75" customHeight="1">
      <c r="A722"/>
      <c r="B722"/>
      <c r="C722"/>
      <c r="D722"/>
      <c r="E722"/>
      <c r="F722"/>
      <c r="G722"/>
      <c r="H722"/>
      <c r="I722"/>
      <c r="J722"/>
      <c r="K722" s="207">
        <v>15</v>
      </c>
      <c r="L722" s="207"/>
      <c r="M722"/>
      <c r="N722"/>
      <c r="O722"/>
      <c r="P722"/>
      <c r="Q722"/>
      <c r="R722" s="40"/>
      <c r="S722" s="23"/>
      <c r="V722" s="2"/>
      <c r="AN722" s="3"/>
      <c r="AO722" s="3"/>
      <c r="AP722" s="3"/>
      <c r="AQ722" s="3"/>
      <c r="AR722" s="3"/>
      <c r="AS722" s="3"/>
      <c r="AT722" s="3"/>
      <c r="AU722" s="3"/>
      <c r="AV722" s="3"/>
      <c r="AW722" s="3"/>
      <c r="AX722" s="3"/>
      <c r="AY722" s="3"/>
      <c r="AZ722" s="3"/>
      <c r="BA722" s="3"/>
      <c r="BB722" s="3"/>
      <c r="BC722" s="3"/>
      <c r="BD722" s="3"/>
      <c r="BE722" s="3"/>
      <c r="BF722" s="3"/>
      <c r="BG722" s="3"/>
      <c r="BH722" s="3"/>
      <c r="BI722" s="3"/>
      <c r="BJ722" s="3"/>
    </row>
    <row r="723" spans="1:62" ht="12.75" customHeight="1">
      <c r="A723"/>
      <c r="B723"/>
      <c r="C723"/>
      <c r="D723"/>
      <c r="E723"/>
      <c r="F723"/>
      <c r="G723"/>
      <c r="H723"/>
      <c r="I723"/>
      <c r="J723"/>
      <c r="K723" s="207">
        <v>16</v>
      </c>
      <c r="L723" s="207"/>
      <c r="M723"/>
      <c r="N723"/>
      <c r="O723"/>
      <c r="P723"/>
      <c r="Q723"/>
      <c r="R723" s="40"/>
      <c r="S723" s="23"/>
      <c r="V723" s="2"/>
      <c r="AN723" s="3"/>
      <c r="AO723" s="3"/>
      <c r="AP723" s="3"/>
      <c r="AQ723" s="3"/>
      <c r="AR723" s="3"/>
      <c r="AS723" s="3"/>
      <c r="AT723" s="3"/>
      <c r="AU723" s="3"/>
      <c r="AV723" s="3"/>
      <c r="AW723" s="3"/>
      <c r="AX723" s="3"/>
      <c r="AY723" s="3"/>
      <c r="AZ723" s="3"/>
      <c r="BA723" s="3"/>
      <c r="BB723" s="3"/>
      <c r="BC723" s="3"/>
      <c r="BD723" s="3"/>
      <c r="BE723" s="3"/>
      <c r="BF723" s="3"/>
      <c r="BG723" s="3"/>
      <c r="BH723" s="3"/>
      <c r="BI723" s="3"/>
      <c r="BJ723" s="3"/>
    </row>
    <row r="724" spans="1:62" ht="12.75" customHeight="1">
      <c r="A724"/>
      <c r="B724"/>
      <c r="C724"/>
      <c r="D724"/>
      <c r="E724"/>
      <c r="F724"/>
      <c r="G724"/>
      <c r="H724"/>
      <c r="I724"/>
      <c r="J724"/>
      <c r="K724" s="207">
        <v>17</v>
      </c>
      <c r="L724" s="207"/>
      <c r="M724"/>
      <c r="N724"/>
      <c r="O724"/>
      <c r="P724"/>
      <c r="Q724"/>
      <c r="R724" s="40"/>
      <c r="S724" s="23"/>
      <c r="V724" s="2"/>
      <c r="AN724" s="3"/>
      <c r="AO724" s="3"/>
      <c r="AP724" s="3"/>
      <c r="AQ724" s="3"/>
      <c r="AR724" s="3"/>
      <c r="AS724" s="3"/>
      <c r="AT724" s="3"/>
      <c r="AU724" s="3"/>
      <c r="AV724" s="3"/>
      <c r="AW724" s="3"/>
      <c r="AX724" s="3"/>
      <c r="AY724" s="3"/>
      <c r="AZ724" s="3"/>
      <c r="BA724" s="3"/>
      <c r="BB724" s="3"/>
      <c r="BC724" s="3"/>
      <c r="BD724" s="3"/>
      <c r="BE724" s="3"/>
      <c r="BF724" s="3"/>
      <c r="BG724" s="3"/>
      <c r="BH724" s="3"/>
      <c r="BI724" s="3"/>
      <c r="BJ724" s="3"/>
    </row>
    <row r="725" spans="1:62" ht="12.75" customHeight="1">
      <c r="A725"/>
      <c r="B725"/>
      <c r="C725"/>
      <c r="D725"/>
      <c r="E725"/>
      <c r="F725"/>
      <c r="G725"/>
      <c r="H725"/>
      <c r="I725"/>
      <c r="J725"/>
      <c r="K725" s="207">
        <v>18</v>
      </c>
      <c r="L725" s="207"/>
      <c r="M725"/>
      <c r="N725"/>
      <c r="O725"/>
      <c r="P725"/>
      <c r="Q725"/>
      <c r="R725" s="40"/>
      <c r="S725" s="23"/>
      <c r="V725" s="2"/>
      <c r="AN725" s="3"/>
      <c r="AO725" s="3"/>
      <c r="AP725" s="3"/>
      <c r="AQ725" s="3"/>
      <c r="AR725" s="3"/>
      <c r="AS725" s="3"/>
      <c r="AT725" s="3"/>
      <c r="AU725" s="3"/>
      <c r="AV725" s="3"/>
      <c r="AW725" s="3"/>
      <c r="AX725" s="3"/>
      <c r="AY725" s="3"/>
      <c r="AZ725" s="3"/>
      <c r="BA725" s="3"/>
      <c r="BB725" s="3"/>
      <c r="BC725" s="3"/>
      <c r="BD725" s="3"/>
      <c r="BE725" s="3"/>
      <c r="BF725" s="3"/>
      <c r="BG725" s="3"/>
      <c r="BH725" s="3"/>
      <c r="BI725" s="3"/>
      <c r="BJ725" s="3"/>
    </row>
    <row r="726" spans="1:62" ht="12.75" customHeight="1">
      <c r="A726"/>
      <c r="B726"/>
      <c r="C726"/>
      <c r="D726"/>
      <c r="E726"/>
      <c r="F726"/>
      <c r="G726"/>
      <c r="H726"/>
      <c r="I726"/>
      <c r="J726"/>
      <c r="K726" s="207">
        <v>19</v>
      </c>
      <c r="L726" s="207"/>
      <c r="M726"/>
      <c r="N726"/>
      <c r="O726"/>
      <c r="P726"/>
      <c r="Q726"/>
      <c r="R726" s="40"/>
      <c r="S726" s="23"/>
      <c r="V726" s="2"/>
      <c r="AN726" s="3"/>
      <c r="AO726" s="3"/>
      <c r="AP726" s="3"/>
      <c r="AQ726" s="3"/>
      <c r="AR726" s="3"/>
      <c r="AS726" s="3"/>
      <c r="AT726" s="3"/>
      <c r="AU726" s="3"/>
      <c r="AV726" s="3"/>
      <c r="AW726" s="3"/>
      <c r="AX726" s="3"/>
      <c r="AY726" s="3"/>
      <c r="AZ726" s="3"/>
      <c r="BA726" s="3"/>
      <c r="BB726" s="3"/>
      <c r="BC726" s="3"/>
      <c r="BD726" s="3"/>
      <c r="BE726" s="3"/>
      <c r="BF726" s="3"/>
      <c r="BG726" s="3"/>
      <c r="BH726" s="3"/>
      <c r="BI726" s="3"/>
      <c r="BJ726" s="3"/>
    </row>
    <row r="727" spans="1:62" ht="12.75" customHeight="1">
      <c r="A727"/>
      <c r="B727"/>
      <c r="C727"/>
      <c r="D727"/>
      <c r="E727"/>
      <c r="F727"/>
      <c r="G727"/>
      <c r="H727"/>
      <c r="I727"/>
      <c r="J727"/>
      <c r="K727" s="207">
        <v>20</v>
      </c>
      <c r="L727" s="207"/>
      <c r="M727"/>
      <c r="N727"/>
      <c r="O727"/>
      <c r="P727"/>
      <c r="Q727"/>
      <c r="R727" s="40"/>
      <c r="S727" s="23"/>
      <c r="V727" s="2"/>
      <c r="AN727" s="3"/>
      <c r="AO727" s="3"/>
      <c r="AP727" s="3"/>
      <c r="AQ727" s="3"/>
      <c r="AR727" s="3"/>
      <c r="AS727" s="3"/>
      <c r="AT727" s="3"/>
      <c r="AU727" s="3"/>
      <c r="AV727" s="3"/>
      <c r="AW727" s="3"/>
      <c r="AX727" s="3"/>
      <c r="AY727" s="3"/>
      <c r="AZ727" s="3"/>
      <c r="BA727" s="3"/>
      <c r="BB727" s="3"/>
      <c r="BC727" s="3"/>
      <c r="BD727" s="3"/>
      <c r="BE727" s="3"/>
      <c r="BF727" s="3"/>
      <c r="BG727" s="3"/>
      <c r="BH727" s="3"/>
      <c r="BI727" s="3"/>
      <c r="BJ727" s="3"/>
    </row>
    <row r="728" spans="1:62" ht="12.75" customHeight="1">
      <c r="A728"/>
      <c r="B728"/>
      <c r="C728"/>
      <c r="D728"/>
      <c r="E728"/>
      <c r="F728"/>
      <c r="G728"/>
      <c r="H728"/>
      <c r="I728"/>
      <c r="J728"/>
      <c r="K728" s="207">
        <v>21</v>
      </c>
      <c r="L728" s="207"/>
      <c r="M728"/>
      <c r="N728"/>
      <c r="O728"/>
      <c r="P728"/>
      <c r="Q728"/>
      <c r="R728" s="40"/>
      <c r="S728" s="23"/>
      <c r="V728" s="2"/>
      <c r="AN728" s="3"/>
      <c r="AO728" s="3"/>
      <c r="AP728" s="3"/>
      <c r="AQ728" s="3"/>
      <c r="AR728" s="3"/>
      <c r="AS728" s="3"/>
      <c r="AT728" s="3"/>
      <c r="AU728" s="3"/>
      <c r="AV728" s="3"/>
      <c r="AW728" s="3"/>
      <c r="AX728" s="3"/>
      <c r="AY728" s="3"/>
      <c r="AZ728" s="3"/>
      <c r="BA728" s="3"/>
      <c r="BB728" s="3"/>
      <c r="BC728" s="3"/>
      <c r="BD728" s="3"/>
      <c r="BE728" s="3"/>
      <c r="BF728" s="3"/>
      <c r="BG728" s="3"/>
      <c r="BH728" s="3"/>
      <c r="BI728" s="3"/>
      <c r="BJ728" s="3"/>
    </row>
    <row r="729" spans="1:62" ht="12.75" customHeight="1">
      <c r="A729"/>
      <c r="B729"/>
      <c r="C729"/>
      <c r="D729"/>
      <c r="E729"/>
      <c r="F729"/>
      <c r="G729"/>
      <c r="H729"/>
      <c r="I729"/>
      <c r="J729"/>
      <c r="K729" s="207">
        <v>22</v>
      </c>
      <c r="L729" s="207"/>
      <c r="M729"/>
      <c r="N729"/>
      <c r="O729"/>
      <c r="P729"/>
      <c r="Q729"/>
      <c r="R729" s="40"/>
      <c r="S729" s="23"/>
      <c r="V729" s="2"/>
      <c r="AN729" s="3"/>
      <c r="AO729" s="3"/>
      <c r="AP729" s="3"/>
      <c r="AQ729" s="3"/>
      <c r="AR729" s="3"/>
      <c r="AS729" s="3"/>
      <c r="AT729" s="3"/>
      <c r="AU729" s="3"/>
      <c r="AV729" s="3"/>
      <c r="AW729" s="3"/>
      <c r="AX729" s="3"/>
      <c r="AY729" s="3"/>
      <c r="AZ729" s="3"/>
      <c r="BA729" s="3"/>
      <c r="BB729" s="3"/>
      <c r="BC729" s="3"/>
      <c r="BD729" s="3"/>
      <c r="BE729" s="3"/>
      <c r="BF729" s="3"/>
      <c r="BG729" s="3"/>
      <c r="BH729" s="3"/>
      <c r="BI729" s="3"/>
      <c r="BJ729" s="3"/>
    </row>
    <row r="730" spans="1:62" ht="12.75" customHeight="1">
      <c r="A730"/>
      <c r="B730"/>
      <c r="C730"/>
      <c r="D730"/>
      <c r="E730"/>
      <c r="F730"/>
      <c r="G730"/>
      <c r="H730"/>
      <c r="I730"/>
      <c r="J730"/>
      <c r="K730" s="207">
        <v>23</v>
      </c>
      <c r="L730" s="207"/>
      <c r="M730"/>
      <c r="N730"/>
      <c r="O730"/>
      <c r="P730"/>
      <c r="Q730"/>
      <c r="R730" s="40"/>
      <c r="S730" s="23"/>
      <c r="V730" s="2"/>
      <c r="AN730" s="3"/>
      <c r="AO730" s="3"/>
      <c r="AP730" s="3"/>
      <c r="AQ730" s="3"/>
      <c r="AR730" s="3"/>
      <c r="AS730" s="3"/>
      <c r="AT730" s="3"/>
      <c r="AU730" s="3"/>
      <c r="AV730" s="3"/>
      <c r="AW730" s="3"/>
      <c r="AX730" s="3"/>
      <c r="AY730" s="3"/>
      <c r="AZ730" s="3"/>
      <c r="BA730" s="3"/>
      <c r="BB730" s="3"/>
      <c r="BC730" s="3"/>
      <c r="BD730" s="3"/>
      <c r="BE730" s="3"/>
      <c r="BF730" s="3"/>
      <c r="BG730" s="3"/>
      <c r="BH730" s="3"/>
      <c r="BI730" s="3"/>
      <c r="BJ730" s="3"/>
    </row>
    <row r="731" spans="1:62" ht="12.75" customHeight="1">
      <c r="A731"/>
      <c r="B731"/>
      <c r="C731"/>
      <c r="D731"/>
      <c r="E731"/>
      <c r="F731"/>
      <c r="G731"/>
      <c r="H731"/>
      <c r="I731"/>
      <c r="J731"/>
      <c r="K731" s="207">
        <v>24</v>
      </c>
      <c r="L731" s="207"/>
      <c r="M731"/>
      <c r="N731"/>
      <c r="O731"/>
      <c r="P731"/>
      <c r="Q731"/>
      <c r="R731" s="40"/>
      <c r="S731" s="23"/>
      <c r="V731" s="2"/>
      <c r="AN731" s="3"/>
      <c r="AO731" s="3"/>
      <c r="AP731" s="3"/>
      <c r="AQ731" s="3"/>
      <c r="AR731" s="3"/>
      <c r="AS731" s="3"/>
      <c r="AT731" s="3"/>
      <c r="AU731" s="3"/>
      <c r="AV731" s="3"/>
      <c r="AW731" s="3"/>
      <c r="AX731" s="3"/>
      <c r="AY731" s="3"/>
      <c r="AZ731" s="3"/>
      <c r="BA731" s="3"/>
      <c r="BB731" s="3"/>
      <c r="BC731" s="3"/>
      <c r="BD731" s="3"/>
      <c r="BE731" s="3"/>
      <c r="BF731" s="3"/>
      <c r="BG731" s="3"/>
      <c r="BH731" s="3"/>
      <c r="BI731" s="3"/>
      <c r="BJ731" s="3"/>
    </row>
    <row r="732" spans="1:62" ht="12.75" customHeight="1">
      <c r="A732"/>
      <c r="B732"/>
      <c r="C732"/>
      <c r="D732"/>
      <c r="E732"/>
      <c r="F732"/>
      <c r="G732"/>
      <c r="H732"/>
      <c r="I732"/>
      <c r="J732"/>
      <c r="K732" s="207">
        <v>25</v>
      </c>
      <c r="L732" s="207"/>
      <c r="M732"/>
      <c r="N732"/>
      <c r="O732"/>
      <c r="P732"/>
      <c r="Q732"/>
      <c r="R732" s="40"/>
      <c r="S732" s="23"/>
      <c r="V732" s="2"/>
      <c r="AN732" s="3"/>
      <c r="AO732" s="3"/>
      <c r="AP732" s="3"/>
      <c r="AQ732" s="3"/>
      <c r="AR732" s="3"/>
      <c r="AS732" s="3"/>
      <c r="AT732" s="3"/>
      <c r="AU732" s="3"/>
      <c r="AV732" s="3"/>
      <c r="AW732" s="3"/>
      <c r="AX732" s="3"/>
      <c r="AY732" s="3"/>
      <c r="AZ732" s="3"/>
      <c r="BA732" s="3"/>
      <c r="BB732" s="3"/>
      <c r="BC732" s="3"/>
      <c r="BD732" s="3"/>
      <c r="BE732" s="3"/>
      <c r="BF732" s="3"/>
      <c r="BG732" s="3"/>
      <c r="BH732" s="3"/>
      <c r="BI732" s="3"/>
      <c r="BJ732" s="3"/>
    </row>
    <row r="733" spans="1:62" ht="12.75" customHeight="1">
      <c r="A733"/>
      <c r="B733"/>
      <c r="C733"/>
      <c r="D733"/>
      <c r="E733"/>
      <c r="F733"/>
      <c r="G733"/>
      <c r="H733"/>
      <c r="I733"/>
      <c r="J733"/>
      <c r="K733" s="207">
        <v>26</v>
      </c>
      <c r="L733" s="207"/>
      <c r="M733"/>
      <c r="N733"/>
      <c r="O733"/>
      <c r="P733"/>
      <c r="Q733"/>
      <c r="R733" s="40"/>
      <c r="S733" s="23"/>
      <c r="V733" s="2"/>
      <c r="AN733" s="3"/>
      <c r="AO733" s="3"/>
      <c r="AP733" s="3"/>
      <c r="AQ733" s="3"/>
      <c r="AR733" s="3"/>
      <c r="AS733" s="3"/>
      <c r="AT733" s="3"/>
      <c r="AU733" s="3"/>
      <c r="AV733" s="3"/>
      <c r="AW733" s="3"/>
      <c r="AX733" s="3"/>
      <c r="AY733" s="3"/>
      <c r="AZ733" s="3"/>
      <c r="BA733" s="3"/>
      <c r="BB733" s="3"/>
      <c r="BC733" s="3"/>
      <c r="BD733" s="3"/>
      <c r="BE733" s="3"/>
      <c r="BF733" s="3"/>
      <c r="BG733" s="3"/>
      <c r="BH733" s="3"/>
      <c r="BI733" s="3"/>
      <c r="BJ733" s="3"/>
    </row>
    <row r="734" spans="1:62" ht="12.75" customHeight="1">
      <c r="A734"/>
      <c r="B734"/>
      <c r="C734"/>
      <c r="D734"/>
      <c r="E734"/>
      <c r="F734"/>
      <c r="G734"/>
      <c r="H734"/>
      <c r="I734"/>
      <c r="J734"/>
      <c r="K734" s="207">
        <v>27</v>
      </c>
      <c r="L734" s="207"/>
      <c r="M734"/>
      <c r="N734"/>
      <c r="O734"/>
      <c r="P734"/>
      <c r="Q734"/>
      <c r="R734" s="40"/>
      <c r="S734" s="23"/>
      <c r="V734" s="2"/>
      <c r="AN734" s="3"/>
      <c r="AO734" s="3"/>
      <c r="AP734" s="3"/>
      <c r="AQ734" s="3"/>
      <c r="AR734" s="3"/>
      <c r="AS734" s="3"/>
      <c r="AT734" s="3"/>
      <c r="AU734" s="3"/>
      <c r="AV734" s="3"/>
      <c r="AW734" s="3"/>
      <c r="AX734" s="3"/>
      <c r="AY734" s="3"/>
      <c r="AZ734" s="3"/>
      <c r="BA734" s="3"/>
      <c r="BB734" s="3"/>
      <c r="BC734" s="3"/>
      <c r="BD734" s="3"/>
      <c r="BE734" s="3"/>
      <c r="BF734" s="3"/>
      <c r="BG734" s="3"/>
      <c r="BH734" s="3"/>
      <c r="BI734" s="3"/>
      <c r="BJ734" s="3"/>
    </row>
    <row r="735" spans="1:62" ht="12.75" customHeight="1">
      <c r="A735"/>
      <c r="B735"/>
      <c r="C735"/>
      <c r="D735"/>
      <c r="E735"/>
      <c r="F735"/>
      <c r="G735"/>
      <c r="H735"/>
      <c r="I735"/>
      <c r="J735"/>
      <c r="K735" s="207">
        <v>28</v>
      </c>
      <c r="L735" s="207"/>
      <c r="M735"/>
      <c r="N735"/>
      <c r="O735"/>
      <c r="P735"/>
      <c r="Q735"/>
      <c r="R735" s="40"/>
      <c r="S735" s="23"/>
      <c r="V735" s="2"/>
      <c r="AN735" s="3"/>
      <c r="AO735" s="3"/>
      <c r="AP735" s="3"/>
      <c r="AQ735" s="3"/>
      <c r="AR735" s="3"/>
      <c r="AS735" s="3"/>
      <c r="AT735" s="3"/>
      <c r="AU735" s="3"/>
      <c r="AV735" s="3"/>
      <c r="AW735" s="3"/>
      <c r="AX735" s="3"/>
      <c r="AY735" s="3"/>
      <c r="AZ735" s="3"/>
      <c r="BA735" s="3"/>
      <c r="BB735" s="3"/>
      <c r="BC735" s="3"/>
      <c r="BD735" s="3"/>
      <c r="BE735" s="3"/>
      <c r="BF735" s="3"/>
      <c r="BG735" s="3"/>
      <c r="BH735" s="3"/>
      <c r="BI735" s="3"/>
      <c r="BJ735" s="3"/>
    </row>
    <row r="736" spans="1:62" ht="12.75" customHeight="1">
      <c r="A736"/>
      <c r="B736"/>
      <c r="C736"/>
      <c r="D736"/>
      <c r="E736"/>
      <c r="F736"/>
      <c r="G736"/>
      <c r="H736"/>
      <c r="I736"/>
      <c r="J736"/>
      <c r="K736" s="207">
        <v>29</v>
      </c>
      <c r="L736" s="207"/>
      <c r="M736"/>
      <c r="N736"/>
      <c r="O736"/>
      <c r="P736"/>
      <c r="Q736"/>
      <c r="R736" s="40"/>
      <c r="S736" s="23"/>
      <c r="V736" s="2"/>
      <c r="AN736" s="3"/>
      <c r="AO736" s="3"/>
      <c r="AP736" s="3"/>
      <c r="AQ736" s="3"/>
      <c r="AR736" s="3"/>
      <c r="AS736" s="3"/>
      <c r="AT736" s="3"/>
      <c r="AU736" s="3"/>
      <c r="AV736" s="3"/>
      <c r="AW736" s="3"/>
      <c r="AX736" s="3"/>
      <c r="AY736" s="3"/>
      <c r="AZ736" s="3"/>
      <c r="BA736" s="3"/>
      <c r="BB736" s="3"/>
      <c r="BC736" s="3"/>
      <c r="BD736" s="3"/>
      <c r="BE736" s="3"/>
      <c r="BF736" s="3"/>
      <c r="BG736" s="3"/>
      <c r="BH736" s="3"/>
      <c r="BI736" s="3"/>
      <c r="BJ736" s="3"/>
    </row>
    <row r="737" spans="1:62" ht="12.75" customHeight="1">
      <c r="A737"/>
      <c r="B737"/>
      <c r="C737"/>
      <c r="D737"/>
      <c r="E737"/>
      <c r="F737"/>
      <c r="G737"/>
      <c r="H737"/>
      <c r="I737"/>
      <c r="J737"/>
      <c r="K737" s="207">
        <v>30</v>
      </c>
      <c r="L737" s="207"/>
      <c r="M737"/>
      <c r="N737"/>
      <c r="O737"/>
      <c r="P737"/>
      <c r="Q737"/>
      <c r="R737" s="40"/>
      <c r="S737" s="23"/>
      <c r="V737" s="2"/>
      <c r="AN737" s="3"/>
      <c r="AO737" s="3"/>
      <c r="AP737" s="3"/>
      <c r="AQ737" s="3"/>
      <c r="AR737" s="3"/>
      <c r="AS737" s="3"/>
      <c r="AT737" s="3"/>
      <c r="AU737" s="3"/>
      <c r="AV737" s="3"/>
      <c r="AW737" s="3"/>
      <c r="AX737" s="3"/>
      <c r="AY737" s="3"/>
      <c r="AZ737" s="3"/>
      <c r="BA737" s="3"/>
      <c r="BB737" s="3"/>
      <c r="BC737" s="3"/>
      <c r="BD737" s="3"/>
      <c r="BE737" s="3"/>
      <c r="BF737" s="3"/>
      <c r="BG737" s="3"/>
      <c r="BH737" s="3"/>
      <c r="BI737" s="3"/>
      <c r="BJ737" s="3"/>
    </row>
    <row r="738" spans="1:62" ht="12.75" customHeight="1">
      <c r="A738"/>
      <c r="B738"/>
      <c r="C738"/>
      <c r="D738"/>
      <c r="E738"/>
      <c r="F738"/>
      <c r="G738"/>
      <c r="H738"/>
      <c r="I738"/>
      <c r="J738"/>
      <c r="K738" s="207">
        <v>31</v>
      </c>
      <c r="L738" s="207"/>
      <c r="M738"/>
      <c r="N738"/>
      <c r="O738"/>
      <c r="P738"/>
      <c r="Q738"/>
      <c r="R738" s="40"/>
      <c r="S738" s="23"/>
      <c r="V738" s="2"/>
      <c r="AN738" s="3"/>
      <c r="AO738" s="3"/>
      <c r="AP738" s="3"/>
      <c r="AQ738" s="3"/>
      <c r="AR738" s="3"/>
      <c r="AS738" s="3"/>
      <c r="AT738" s="3"/>
      <c r="AU738" s="3"/>
      <c r="AV738" s="3"/>
      <c r="AW738" s="3"/>
      <c r="AX738" s="3"/>
      <c r="AY738" s="3"/>
      <c r="AZ738" s="3"/>
      <c r="BA738" s="3"/>
      <c r="BB738" s="3"/>
      <c r="BC738" s="3"/>
      <c r="BD738" s="3"/>
      <c r="BE738" s="3"/>
      <c r="BF738" s="3"/>
      <c r="BG738" s="3"/>
      <c r="BH738" s="3"/>
      <c r="BI738" s="3"/>
      <c r="BJ738" s="3"/>
    </row>
    <row r="739" spans="1:62" ht="12.75" customHeight="1">
      <c r="A739"/>
      <c r="B739"/>
      <c r="C739"/>
      <c r="D739"/>
      <c r="E739"/>
      <c r="F739"/>
      <c r="G739"/>
      <c r="H739"/>
      <c r="I739"/>
      <c r="J739"/>
      <c r="K739" s="207">
        <v>32</v>
      </c>
      <c r="L739" s="207"/>
      <c r="M739"/>
      <c r="N739"/>
      <c r="O739"/>
      <c r="P739"/>
      <c r="Q739"/>
      <c r="R739" s="40"/>
      <c r="S739" s="23"/>
      <c r="V739" s="2"/>
      <c r="AN739" s="3"/>
      <c r="AO739" s="3"/>
      <c r="AP739" s="3"/>
      <c r="AQ739" s="3"/>
      <c r="AR739" s="3"/>
      <c r="AS739" s="3"/>
      <c r="AT739" s="3"/>
      <c r="AU739" s="3"/>
      <c r="AV739" s="3"/>
      <c r="AW739" s="3"/>
      <c r="AX739" s="3"/>
      <c r="AY739" s="3"/>
      <c r="AZ739" s="3"/>
      <c r="BA739" s="3"/>
      <c r="BB739" s="3"/>
      <c r="BC739" s="3"/>
      <c r="BD739" s="3"/>
      <c r="BE739" s="3"/>
      <c r="BF739" s="3"/>
      <c r="BG739" s="3"/>
      <c r="BH739" s="3"/>
      <c r="BI739" s="3"/>
      <c r="BJ739" s="3"/>
    </row>
    <row r="740" spans="1:62" ht="12.75" customHeight="1">
      <c r="A740"/>
      <c r="B740"/>
      <c r="C740"/>
      <c r="D740"/>
      <c r="E740"/>
      <c r="F740"/>
      <c r="G740"/>
      <c r="H740"/>
      <c r="I740"/>
      <c r="J740"/>
      <c r="K740" s="207">
        <v>33</v>
      </c>
      <c r="L740" s="207"/>
      <c r="M740"/>
      <c r="N740"/>
      <c r="O740"/>
      <c r="P740"/>
      <c r="Q740"/>
      <c r="R740" s="40"/>
      <c r="S740" s="23"/>
      <c r="V740" s="2"/>
      <c r="AN740" s="3"/>
      <c r="AO740" s="3"/>
      <c r="AP740" s="3"/>
      <c r="AQ740" s="3"/>
      <c r="AR740" s="3"/>
      <c r="AS740" s="3"/>
      <c r="AT740" s="3"/>
      <c r="AU740" s="3"/>
      <c r="AV740" s="3"/>
      <c r="AW740" s="3"/>
      <c r="AX740" s="3"/>
      <c r="AY740" s="3"/>
      <c r="AZ740" s="3"/>
      <c r="BA740" s="3"/>
      <c r="BB740" s="3"/>
      <c r="BC740" s="3"/>
      <c r="BD740" s="3"/>
      <c r="BE740" s="3"/>
      <c r="BF740" s="3"/>
      <c r="BG740" s="3"/>
      <c r="BH740" s="3"/>
      <c r="BI740" s="3"/>
      <c r="BJ740" s="3"/>
    </row>
    <row r="741" spans="1:62" ht="12.75" customHeight="1">
      <c r="A741"/>
      <c r="B741"/>
      <c r="C741"/>
      <c r="D741"/>
      <c r="E741"/>
      <c r="F741"/>
      <c r="G741"/>
      <c r="H741"/>
      <c r="I741"/>
      <c r="J741"/>
      <c r="K741" s="207">
        <v>34</v>
      </c>
      <c r="L741" s="207"/>
      <c r="M741"/>
      <c r="N741"/>
      <c r="O741"/>
      <c r="P741"/>
      <c r="Q741"/>
      <c r="R741" s="40"/>
      <c r="S741" s="23"/>
      <c r="V741" s="2"/>
      <c r="AN741" s="3"/>
      <c r="AO741" s="3"/>
      <c r="AP741" s="3"/>
      <c r="AQ741" s="3"/>
      <c r="AR741" s="3"/>
      <c r="AS741" s="3"/>
      <c r="AT741" s="3"/>
      <c r="AU741" s="3"/>
      <c r="AV741" s="3"/>
      <c r="AW741" s="3"/>
      <c r="AX741" s="3"/>
      <c r="AY741" s="3"/>
      <c r="AZ741" s="3"/>
      <c r="BA741" s="3"/>
      <c r="BB741" s="3"/>
      <c r="BC741" s="3"/>
      <c r="BD741" s="3"/>
      <c r="BE741" s="3"/>
      <c r="BF741" s="3"/>
      <c r="BG741" s="3"/>
      <c r="BH741" s="3"/>
      <c r="BI741" s="3"/>
      <c r="BJ741" s="3"/>
    </row>
    <row r="742" spans="1:62" ht="12.75" customHeight="1">
      <c r="A742"/>
      <c r="B742"/>
      <c r="C742"/>
      <c r="D742"/>
      <c r="E742"/>
      <c r="F742"/>
      <c r="G742"/>
      <c r="H742"/>
      <c r="I742"/>
      <c r="J742"/>
      <c r="K742" s="207">
        <v>35</v>
      </c>
      <c r="L742" s="207"/>
      <c r="M742"/>
      <c r="N742"/>
      <c r="O742"/>
      <c r="P742"/>
      <c r="Q742"/>
      <c r="R742" s="40"/>
      <c r="S742" s="23"/>
      <c r="V742" s="2"/>
      <c r="AN742" s="3"/>
      <c r="AO742" s="3"/>
      <c r="AP742" s="3"/>
      <c r="AQ742" s="3"/>
      <c r="AR742" s="3"/>
      <c r="AS742" s="3"/>
      <c r="AT742" s="3"/>
      <c r="AU742" s="3"/>
      <c r="AV742" s="3"/>
      <c r="AW742" s="3"/>
      <c r="AX742" s="3"/>
      <c r="AY742" s="3"/>
      <c r="AZ742" s="3"/>
      <c r="BA742" s="3"/>
      <c r="BB742" s="3"/>
      <c r="BC742" s="3"/>
      <c r="BD742" s="3"/>
      <c r="BE742" s="3"/>
      <c r="BF742" s="3"/>
      <c r="BG742" s="3"/>
      <c r="BH742" s="3"/>
      <c r="BI742" s="3"/>
      <c r="BJ742" s="3"/>
    </row>
    <row r="743" spans="1:62" ht="12.75" customHeight="1">
      <c r="A743"/>
      <c r="B743"/>
      <c r="C743"/>
      <c r="D743"/>
      <c r="E743"/>
      <c r="F743"/>
      <c r="G743"/>
      <c r="H743"/>
      <c r="I743"/>
      <c r="J743"/>
      <c r="K743" s="207">
        <v>36</v>
      </c>
      <c r="L743" s="207"/>
      <c r="M743"/>
      <c r="N743"/>
      <c r="O743"/>
      <c r="P743"/>
      <c r="Q743"/>
      <c r="R743" s="40"/>
      <c r="S743" s="23"/>
      <c r="V743" s="2"/>
      <c r="AN743" s="3"/>
      <c r="AO743" s="3"/>
      <c r="AP743" s="3"/>
      <c r="AQ743" s="3"/>
      <c r="AR743" s="3"/>
      <c r="AS743" s="3"/>
      <c r="AT743" s="3"/>
      <c r="AU743" s="3"/>
      <c r="AV743" s="3"/>
      <c r="AW743" s="3"/>
      <c r="AX743" s="3"/>
      <c r="AY743" s="3"/>
      <c r="AZ743" s="3"/>
      <c r="BA743" s="3"/>
      <c r="BB743" s="3"/>
      <c r="BC743" s="3"/>
      <c r="BD743" s="3"/>
      <c r="BE743" s="3"/>
      <c r="BF743" s="3"/>
      <c r="BG743" s="3"/>
      <c r="BH743" s="3"/>
      <c r="BI743" s="3"/>
      <c r="BJ743" s="3"/>
    </row>
    <row r="744" spans="1:62" ht="12.75" customHeight="1">
      <c r="A744"/>
      <c r="B744"/>
      <c r="C744"/>
      <c r="D744"/>
      <c r="E744"/>
      <c r="F744"/>
      <c r="G744"/>
      <c r="H744"/>
      <c r="I744"/>
      <c r="J744"/>
      <c r="K744" s="207">
        <v>37</v>
      </c>
      <c r="L744" s="207"/>
      <c r="M744"/>
      <c r="N744"/>
      <c r="O744"/>
      <c r="P744"/>
      <c r="Q744"/>
      <c r="R744" s="40"/>
      <c r="S744" s="23"/>
      <c r="V744" s="2"/>
      <c r="AN744" s="3"/>
      <c r="AO744" s="3"/>
      <c r="AP744" s="3"/>
      <c r="AQ744" s="3"/>
      <c r="AR744" s="3"/>
      <c r="AS744" s="3"/>
      <c r="AT744" s="3"/>
      <c r="AU744" s="3"/>
      <c r="AV744" s="3"/>
      <c r="AW744" s="3"/>
      <c r="AX744" s="3"/>
      <c r="AY744" s="3"/>
      <c r="AZ744" s="3"/>
      <c r="BA744" s="3"/>
      <c r="BB744" s="3"/>
      <c r="BC744" s="3"/>
      <c r="BD744" s="3"/>
      <c r="BE744" s="3"/>
      <c r="BF744" s="3"/>
      <c r="BG744" s="3"/>
      <c r="BH744" s="3"/>
      <c r="BI744" s="3"/>
      <c r="BJ744" s="3"/>
    </row>
    <row r="745" spans="1:62" ht="12.75" customHeight="1">
      <c r="A745"/>
      <c r="B745"/>
      <c r="C745"/>
      <c r="D745"/>
      <c r="E745"/>
      <c r="F745"/>
      <c r="G745"/>
      <c r="H745"/>
      <c r="I745"/>
      <c r="J745"/>
      <c r="K745" s="207">
        <v>38</v>
      </c>
      <c r="L745" s="207"/>
      <c r="M745"/>
      <c r="N745"/>
      <c r="O745"/>
      <c r="P745"/>
      <c r="Q745"/>
      <c r="R745" s="40"/>
      <c r="S745" s="23"/>
      <c r="V745" s="2"/>
      <c r="AN745" s="3"/>
      <c r="AO745" s="3"/>
      <c r="AP745" s="3"/>
      <c r="AQ745" s="3"/>
      <c r="AR745" s="3"/>
      <c r="AS745" s="3"/>
      <c r="AT745" s="3"/>
      <c r="AU745" s="3"/>
      <c r="AV745" s="3"/>
      <c r="AW745" s="3"/>
      <c r="AX745" s="3"/>
      <c r="AY745" s="3"/>
      <c r="AZ745" s="3"/>
      <c r="BA745" s="3"/>
      <c r="BB745" s="3"/>
      <c r="BC745" s="3"/>
      <c r="BD745" s="3"/>
      <c r="BE745" s="3"/>
      <c r="BF745" s="3"/>
      <c r="BG745" s="3"/>
      <c r="BH745" s="3"/>
      <c r="BI745" s="3"/>
      <c r="BJ745" s="3"/>
    </row>
    <row r="746" spans="1:62" ht="12.75" customHeight="1">
      <c r="A746"/>
      <c r="B746"/>
      <c r="C746"/>
      <c r="D746"/>
      <c r="E746"/>
      <c r="F746"/>
      <c r="G746"/>
      <c r="H746"/>
      <c r="I746"/>
      <c r="J746"/>
      <c r="K746" s="207">
        <v>39</v>
      </c>
      <c r="L746" s="207"/>
      <c r="M746"/>
      <c r="N746"/>
      <c r="O746"/>
      <c r="P746"/>
      <c r="Q746"/>
      <c r="R746" s="40"/>
      <c r="S746" s="23"/>
      <c r="V746" s="2"/>
      <c r="AN746" s="3"/>
      <c r="AO746" s="3"/>
      <c r="AP746" s="3"/>
      <c r="AQ746" s="3"/>
      <c r="AR746" s="3"/>
      <c r="AS746" s="3"/>
      <c r="AT746" s="3"/>
      <c r="AU746" s="3"/>
      <c r="AV746" s="3"/>
      <c r="AW746" s="3"/>
      <c r="AX746" s="3"/>
      <c r="AY746" s="3"/>
      <c r="AZ746" s="3"/>
      <c r="BA746" s="3"/>
      <c r="BB746" s="3"/>
      <c r="BC746" s="3"/>
      <c r="BD746" s="3"/>
      <c r="BE746" s="3"/>
      <c r="BF746" s="3"/>
      <c r="BG746" s="3"/>
      <c r="BH746" s="3"/>
      <c r="BI746" s="3"/>
      <c r="BJ746" s="3"/>
    </row>
    <row r="747" spans="1:62" ht="12.75" customHeight="1">
      <c r="A747"/>
      <c r="B747"/>
      <c r="C747"/>
      <c r="D747"/>
      <c r="E747"/>
      <c r="F747"/>
      <c r="G747"/>
      <c r="H747"/>
      <c r="I747"/>
      <c r="J747"/>
      <c r="K747" s="207">
        <v>40</v>
      </c>
      <c r="L747" s="207"/>
      <c r="M747"/>
      <c r="N747"/>
      <c r="O747"/>
      <c r="P747"/>
      <c r="Q747"/>
      <c r="R747" s="40"/>
      <c r="S747" s="23"/>
      <c r="V747" s="2"/>
      <c r="AN747" s="3"/>
      <c r="AO747" s="3"/>
      <c r="AP747" s="3"/>
      <c r="AQ747" s="3"/>
      <c r="AR747" s="3"/>
      <c r="AS747" s="3"/>
      <c r="AT747" s="3"/>
      <c r="AU747" s="3"/>
      <c r="AV747" s="3"/>
      <c r="AW747" s="3"/>
      <c r="AX747" s="3"/>
      <c r="AY747" s="3"/>
      <c r="AZ747" s="3"/>
      <c r="BA747" s="3"/>
      <c r="BB747" s="3"/>
      <c r="BC747" s="3"/>
      <c r="BD747" s="3"/>
      <c r="BE747" s="3"/>
      <c r="BF747" s="3"/>
      <c r="BG747" s="3"/>
      <c r="BH747" s="3"/>
      <c r="BI747" s="3"/>
      <c r="BJ747" s="3"/>
    </row>
    <row r="748" spans="1:62" ht="12.75" customHeight="1">
      <c r="A748"/>
      <c r="B748"/>
      <c r="C748"/>
      <c r="D748"/>
      <c r="E748"/>
      <c r="F748"/>
      <c r="G748"/>
      <c r="H748"/>
      <c r="I748"/>
      <c r="J748"/>
      <c r="K748" s="207">
        <v>41</v>
      </c>
      <c r="L748" s="207"/>
      <c r="M748"/>
      <c r="N748"/>
      <c r="O748"/>
      <c r="P748"/>
      <c r="Q748"/>
      <c r="R748" s="40"/>
      <c r="S748" s="23"/>
      <c r="V748" s="2"/>
      <c r="AN748" s="3"/>
      <c r="AO748" s="3"/>
      <c r="AP748" s="3"/>
      <c r="AQ748" s="3"/>
      <c r="AR748" s="3"/>
      <c r="AS748" s="3"/>
      <c r="AT748" s="3"/>
      <c r="AU748" s="3"/>
      <c r="AV748" s="3"/>
      <c r="AW748" s="3"/>
      <c r="AX748" s="3"/>
      <c r="AY748" s="3"/>
      <c r="AZ748" s="3"/>
      <c r="BA748" s="3"/>
      <c r="BB748" s="3"/>
      <c r="BC748" s="3"/>
      <c r="BD748" s="3"/>
      <c r="BE748" s="3"/>
      <c r="BF748" s="3"/>
      <c r="BG748" s="3"/>
      <c r="BH748" s="3"/>
      <c r="BI748" s="3"/>
      <c r="BJ748" s="3"/>
    </row>
    <row r="749" spans="1:62" ht="12.75" customHeight="1">
      <c r="A749"/>
      <c r="B749"/>
      <c r="C749"/>
      <c r="D749"/>
      <c r="E749"/>
      <c r="F749"/>
      <c r="G749"/>
      <c r="H749"/>
      <c r="I749"/>
      <c r="J749"/>
      <c r="K749" s="207">
        <v>42</v>
      </c>
      <c r="L749" s="207"/>
      <c r="M749"/>
      <c r="N749"/>
      <c r="O749"/>
      <c r="P749"/>
      <c r="Q749"/>
      <c r="R749" s="40"/>
      <c r="S749" s="23"/>
      <c r="V749" s="2"/>
      <c r="AN749" s="3"/>
      <c r="AO749" s="3"/>
      <c r="AP749" s="3"/>
      <c r="AQ749" s="3"/>
      <c r="AR749" s="3"/>
      <c r="AS749" s="3"/>
      <c r="AT749" s="3"/>
      <c r="AU749" s="3"/>
      <c r="AV749" s="3"/>
      <c r="AW749" s="3"/>
      <c r="AX749" s="3"/>
      <c r="AY749" s="3"/>
      <c r="AZ749" s="3"/>
      <c r="BA749" s="3"/>
      <c r="BB749" s="3"/>
      <c r="BC749" s="3"/>
      <c r="BD749" s="3"/>
      <c r="BE749" s="3"/>
      <c r="BF749" s="3"/>
      <c r="BG749" s="3"/>
      <c r="BH749" s="3"/>
      <c r="BI749" s="3"/>
      <c r="BJ749" s="3"/>
    </row>
    <row r="750" spans="1:62" ht="12.75" customHeight="1">
      <c r="A750"/>
      <c r="B750"/>
      <c r="C750"/>
      <c r="D750"/>
      <c r="E750"/>
      <c r="F750"/>
      <c r="G750"/>
      <c r="H750"/>
      <c r="I750"/>
      <c r="J750"/>
      <c r="K750" s="207">
        <v>43</v>
      </c>
      <c r="L750" s="207"/>
      <c r="M750"/>
      <c r="N750"/>
      <c r="O750"/>
      <c r="P750"/>
      <c r="Q750"/>
      <c r="R750" s="40"/>
      <c r="S750" s="23"/>
      <c r="V750" s="2"/>
      <c r="AN750" s="3"/>
      <c r="AO750" s="3"/>
      <c r="AP750" s="3"/>
      <c r="AQ750" s="3"/>
      <c r="AR750" s="3"/>
      <c r="AS750" s="3"/>
      <c r="AT750" s="3"/>
      <c r="AU750" s="3"/>
      <c r="AV750" s="3"/>
      <c r="AW750" s="3"/>
      <c r="AX750" s="3"/>
      <c r="AY750" s="3"/>
      <c r="AZ750" s="3"/>
      <c r="BA750" s="3"/>
      <c r="BB750" s="3"/>
      <c r="BC750" s="3"/>
      <c r="BD750" s="3"/>
      <c r="BE750" s="3"/>
      <c r="BF750" s="3"/>
      <c r="BG750" s="3"/>
      <c r="BH750" s="3"/>
      <c r="BI750" s="3"/>
      <c r="BJ750" s="3"/>
    </row>
    <row r="751" spans="1:62" ht="12.75" customHeight="1">
      <c r="A751"/>
      <c r="B751"/>
      <c r="C751"/>
      <c r="D751"/>
      <c r="E751"/>
      <c r="F751"/>
      <c r="G751"/>
      <c r="H751"/>
      <c r="I751"/>
      <c r="J751"/>
      <c r="K751" s="207">
        <v>44</v>
      </c>
      <c r="L751" s="207"/>
      <c r="M751"/>
      <c r="N751"/>
      <c r="O751"/>
      <c r="P751"/>
      <c r="Q751"/>
      <c r="R751" s="40"/>
      <c r="S751" s="23"/>
      <c r="V751" s="2"/>
      <c r="AN751" s="3"/>
      <c r="AO751" s="3"/>
      <c r="AP751" s="3"/>
      <c r="AQ751" s="3"/>
      <c r="AR751" s="3"/>
      <c r="AS751" s="3"/>
      <c r="AT751" s="3"/>
      <c r="AU751" s="3"/>
      <c r="AV751" s="3"/>
      <c r="AW751" s="3"/>
      <c r="AX751" s="3"/>
      <c r="AY751" s="3"/>
      <c r="AZ751" s="3"/>
      <c r="BA751" s="3"/>
      <c r="BB751" s="3"/>
      <c r="BC751" s="3"/>
      <c r="BD751" s="3"/>
      <c r="BE751" s="3"/>
      <c r="BF751" s="3"/>
      <c r="BG751" s="3"/>
      <c r="BH751" s="3"/>
      <c r="BI751" s="3"/>
      <c r="BJ751" s="3"/>
    </row>
    <row r="752" spans="1:62" ht="12.75" customHeight="1">
      <c r="A752"/>
      <c r="B752"/>
      <c r="C752"/>
      <c r="D752"/>
      <c r="E752"/>
      <c r="F752"/>
      <c r="G752"/>
      <c r="H752"/>
      <c r="I752"/>
      <c r="J752"/>
      <c r="K752" s="207">
        <v>45</v>
      </c>
      <c r="L752" s="207"/>
      <c r="M752"/>
      <c r="N752"/>
      <c r="O752"/>
      <c r="P752"/>
      <c r="Q752"/>
      <c r="R752" s="40"/>
      <c r="S752" s="23"/>
      <c r="V752" s="2"/>
      <c r="AN752" s="3"/>
      <c r="AO752" s="3"/>
      <c r="AP752" s="3"/>
      <c r="AQ752" s="3"/>
      <c r="AR752" s="3"/>
      <c r="AS752" s="3"/>
      <c r="AT752" s="3"/>
      <c r="AU752" s="3"/>
      <c r="AV752" s="3"/>
      <c r="AW752" s="3"/>
      <c r="AX752" s="3"/>
      <c r="AY752" s="3"/>
      <c r="AZ752" s="3"/>
      <c r="BA752" s="3"/>
      <c r="BB752" s="3"/>
      <c r="BC752" s="3"/>
      <c r="BD752" s="3"/>
      <c r="BE752" s="3"/>
      <c r="BF752" s="3"/>
      <c r="BG752" s="3"/>
      <c r="BH752" s="3"/>
      <c r="BI752" s="3"/>
      <c r="BJ752" s="3"/>
    </row>
    <row r="753" spans="1:62" ht="12.75" customHeight="1">
      <c r="A753"/>
      <c r="B753"/>
      <c r="C753"/>
      <c r="D753"/>
      <c r="E753"/>
      <c r="F753"/>
      <c r="G753"/>
      <c r="H753"/>
      <c r="I753"/>
      <c r="J753"/>
      <c r="K753" s="207">
        <v>46</v>
      </c>
      <c r="L753" s="207"/>
      <c r="M753"/>
      <c r="N753"/>
      <c r="O753"/>
      <c r="P753"/>
      <c r="Q753"/>
      <c r="R753" s="40"/>
      <c r="S753" s="23"/>
      <c r="V753" s="2"/>
      <c r="AN753" s="3"/>
      <c r="AO753" s="3"/>
      <c r="AP753" s="3"/>
      <c r="AQ753" s="3"/>
      <c r="AR753" s="3"/>
      <c r="AS753" s="3"/>
      <c r="AT753" s="3"/>
      <c r="AU753" s="3"/>
      <c r="AV753" s="3"/>
      <c r="AW753" s="3"/>
      <c r="AX753" s="3"/>
      <c r="AY753" s="3"/>
      <c r="AZ753" s="3"/>
      <c r="BA753" s="3"/>
      <c r="BB753" s="3"/>
      <c r="BC753" s="3"/>
      <c r="BD753" s="3"/>
      <c r="BE753" s="3"/>
      <c r="BF753" s="3"/>
      <c r="BG753" s="3"/>
      <c r="BH753" s="3"/>
      <c r="BI753" s="3"/>
      <c r="BJ753" s="3"/>
    </row>
    <row r="754" spans="1:62" ht="12.75" customHeight="1">
      <c r="A754"/>
      <c r="B754"/>
      <c r="C754"/>
      <c r="D754"/>
      <c r="E754"/>
      <c r="F754"/>
      <c r="G754"/>
      <c r="H754"/>
      <c r="I754"/>
      <c r="J754"/>
      <c r="K754" s="207">
        <v>47</v>
      </c>
      <c r="L754" s="207"/>
      <c r="M754"/>
      <c r="N754"/>
      <c r="O754"/>
      <c r="P754"/>
      <c r="Q754"/>
      <c r="R754" s="40"/>
      <c r="S754" s="23"/>
      <c r="V754" s="2"/>
      <c r="AN754" s="3"/>
      <c r="AO754" s="3"/>
      <c r="AP754" s="3"/>
      <c r="AQ754" s="3"/>
      <c r="AR754" s="3"/>
      <c r="AS754" s="3"/>
      <c r="AT754" s="3"/>
      <c r="AU754" s="3"/>
      <c r="AV754" s="3"/>
      <c r="AW754" s="3"/>
      <c r="AX754" s="3"/>
      <c r="AY754" s="3"/>
      <c r="AZ754" s="3"/>
      <c r="BA754" s="3"/>
      <c r="BB754" s="3"/>
      <c r="BC754" s="3"/>
      <c r="BD754" s="3"/>
      <c r="BE754" s="3"/>
      <c r="BF754" s="3"/>
      <c r="BG754" s="3"/>
      <c r="BH754" s="3"/>
      <c r="BI754" s="3"/>
      <c r="BJ754" s="3"/>
    </row>
    <row r="755" spans="1:62" ht="12.75" customHeight="1">
      <c r="A755"/>
      <c r="B755"/>
      <c r="C755"/>
      <c r="D755"/>
      <c r="E755"/>
      <c r="F755"/>
      <c r="G755"/>
      <c r="H755"/>
      <c r="I755"/>
      <c r="J755"/>
      <c r="K755" s="207">
        <v>48</v>
      </c>
      <c r="L755" s="207"/>
      <c r="M755"/>
      <c r="N755"/>
      <c r="O755"/>
      <c r="P755"/>
      <c r="Q755"/>
      <c r="R755" s="40"/>
      <c r="S755" s="23"/>
      <c r="V755" s="2"/>
      <c r="AN755" s="3"/>
      <c r="AO755" s="3"/>
      <c r="AP755" s="3"/>
      <c r="AQ755" s="3"/>
      <c r="AR755" s="3"/>
      <c r="AS755" s="3"/>
      <c r="AT755" s="3"/>
      <c r="AU755" s="3"/>
      <c r="AV755" s="3"/>
      <c r="AW755" s="3"/>
      <c r="AX755" s="3"/>
      <c r="AY755" s="3"/>
      <c r="AZ755" s="3"/>
      <c r="BA755" s="3"/>
      <c r="BB755" s="3"/>
      <c r="BC755" s="3"/>
      <c r="BD755" s="3"/>
      <c r="BE755" s="3"/>
      <c r="BF755" s="3"/>
      <c r="BG755" s="3"/>
      <c r="BH755" s="3"/>
      <c r="BI755" s="3"/>
      <c r="BJ755" s="3"/>
    </row>
    <row r="756" spans="1:62" ht="12.75" customHeight="1">
      <c r="A756"/>
      <c r="B756"/>
      <c r="C756"/>
      <c r="D756"/>
      <c r="E756"/>
      <c r="F756"/>
      <c r="G756"/>
      <c r="H756"/>
      <c r="I756"/>
      <c r="J756"/>
      <c r="K756" s="207">
        <v>49</v>
      </c>
      <c r="L756" s="207"/>
      <c r="M756"/>
      <c r="N756"/>
      <c r="O756"/>
      <c r="P756"/>
      <c r="Q756"/>
      <c r="R756" s="40"/>
      <c r="S756" s="23"/>
      <c r="V756" s="2"/>
      <c r="AN756" s="3"/>
      <c r="AO756" s="3"/>
      <c r="AP756" s="3"/>
      <c r="AQ756" s="3"/>
      <c r="AR756" s="3"/>
      <c r="AS756" s="3"/>
      <c r="AT756" s="3"/>
      <c r="AU756" s="3"/>
      <c r="AV756" s="3"/>
      <c r="AW756" s="3"/>
      <c r="AX756" s="3"/>
      <c r="AY756" s="3"/>
      <c r="AZ756" s="3"/>
      <c r="BA756" s="3"/>
      <c r="BB756" s="3"/>
      <c r="BC756" s="3"/>
      <c r="BD756" s="3"/>
      <c r="BE756" s="3"/>
      <c r="BF756" s="3"/>
      <c r="BG756" s="3"/>
      <c r="BH756" s="3"/>
      <c r="BI756" s="3"/>
      <c r="BJ756" s="3"/>
    </row>
    <row r="757" spans="1:62" ht="12.75" customHeight="1">
      <c r="A757"/>
      <c r="B757"/>
      <c r="C757"/>
      <c r="D757"/>
      <c r="E757"/>
      <c r="F757"/>
      <c r="G757"/>
      <c r="H757"/>
      <c r="I757"/>
      <c r="J757"/>
      <c r="K757" s="207">
        <v>50</v>
      </c>
      <c r="L757" s="207"/>
      <c r="M757"/>
      <c r="N757"/>
      <c r="O757"/>
      <c r="P757"/>
      <c r="Q757"/>
      <c r="R757" s="40"/>
      <c r="S757" s="23"/>
      <c r="V757" s="2"/>
      <c r="AN757" s="3"/>
      <c r="AO757" s="3"/>
      <c r="AP757" s="3"/>
      <c r="AQ757" s="3"/>
      <c r="AR757" s="3"/>
      <c r="AS757" s="3"/>
      <c r="AT757" s="3"/>
      <c r="AU757" s="3"/>
      <c r="AV757" s="3"/>
      <c r="AW757" s="3"/>
      <c r="AX757" s="3"/>
      <c r="AY757" s="3"/>
      <c r="AZ757" s="3"/>
      <c r="BA757" s="3"/>
      <c r="BB757" s="3"/>
      <c r="BC757" s="3"/>
      <c r="BD757" s="3"/>
      <c r="BE757" s="3"/>
      <c r="BF757" s="3"/>
      <c r="BG757" s="3"/>
      <c r="BH757" s="3"/>
      <c r="BI757" s="3"/>
      <c r="BJ757" s="3"/>
    </row>
    <row r="758" spans="1:62" ht="12.75" customHeight="1">
      <c r="A758"/>
      <c r="B758"/>
      <c r="C758"/>
      <c r="D758"/>
      <c r="E758"/>
      <c r="F758"/>
      <c r="G758"/>
      <c r="H758"/>
      <c r="I758"/>
      <c r="J758"/>
      <c r="K758" s="207">
        <v>51</v>
      </c>
      <c r="L758" s="207"/>
      <c r="M758"/>
      <c r="N758"/>
      <c r="O758"/>
      <c r="P758"/>
      <c r="Q758"/>
      <c r="R758" s="40"/>
      <c r="S758" s="23"/>
      <c r="V758" s="2"/>
      <c r="AN758" s="3"/>
      <c r="AO758" s="3"/>
      <c r="AP758" s="3"/>
      <c r="AQ758" s="3"/>
      <c r="AR758" s="3"/>
      <c r="AS758" s="3"/>
      <c r="AT758" s="3"/>
      <c r="AU758" s="3"/>
      <c r="AV758" s="3"/>
      <c r="AW758" s="3"/>
      <c r="AX758" s="3"/>
      <c r="AY758" s="3"/>
      <c r="AZ758" s="3"/>
      <c r="BA758" s="3"/>
      <c r="BB758" s="3"/>
      <c r="BC758" s="3"/>
      <c r="BD758" s="3"/>
      <c r="BE758" s="3"/>
      <c r="BF758" s="3"/>
      <c r="BG758" s="3"/>
      <c r="BH758" s="3"/>
      <c r="BI758" s="3"/>
      <c r="BJ758" s="3"/>
    </row>
    <row r="759" spans="1:62" ht="12.75" customHeight="1">
      <c r="A759"/>
      <c r="B759"/>
      <c r="C759"/>
      <c r="D759"/>
      <c r="E759"/>
      <c r="F759"/>
      <c r="G759"/>
      <c r="H759"/>
      <c r="I759"/>
      <c r="J759"/>
      <c r="K759" s="207">
        <v>52</v>
      </c>
      <c r="L759" s="207"/>
      <c r="M759"/>
      <c r="N759"/>
      <c r="O759"/>
      <c r="P759"/>
      <c r="Q759"/>
      <c r="R759" s="40"/>
      <c r="S759" s="23"/>
      <c r="V759" s="2"/>
      <c r="AN759" s="3"/>
      <c r="AO759" s="3"/>
      <c r="AP759" s="3"/>
      <c r="AQ759" s="3"/>
      <c r="AR759" s="3"/>
      <c r="AS759" s="3"/>
      <c r="AT759" s="3"/>
      <c r="AU759" s="3"/>
      <c r="AV759" s="3"/>
      <c r="AW759" s="3"/>
      <c r="AX759" s="3"/>
      <c r="AY759" s="3"/>
      <c r="AZ759" s="3"/>
      <c r="BA759" s="3"/>
      <c r="BB759" s="3"/>
      <c r="BC759" s="3"/>
      <c r="BD759" s="3"/>
      <c r="BE759" s="3"/>
      <c r="BF759" s="3"/>
      <c r="BG759" s="3"/>
      <c r="BH759" s="3"/>
      <c r="BI759" s="3"/>
      <c r="BJ759" s="3"/>
    </row>
    <row r="760" spans="1:62" ht="12.75" customHeight="1">
      <c r="A760"/>
      <c r="B760"/>
      <c r="C760"/>
      <c r="D760"/>
      <c r="E760"/>
      <c r="F760"/>
      <c r="G760"/>
      <c r="H760"/>
      <c r="I760"/>
      <c r="J760"/>
      <c r="K760" s="207">
        <v>53</v>
      </c>
      <c r="L760" s="207"/>
      <c r="M760"/>
      <c r="N760"/>
      <c r="O760"/>
      <c r="P760"/>
      <c r="Q760"/>
      <c r="R760" s="40"/>
      <c r="S760" s="23"/>
      <c r="V760" s="2"/>
      <c r="AN760" s="3"/>
      <c r="AO760" s="3"/>
      <c r="AP760" s="3"/>
      <c r="AQ760" s="3"/>
      <c r="AR760" s="3"/>
      <c r="AS760" s="3"/>
      <c r="AT760" s="3"/>
      <c r="AU760" s="3"/>
      <c r="AV760" s="3"/>
      <c r="AW760" s="3"/>
      <c r="AX760" s="3"/>
      <c r="AY760" s="3"/>
      <c r="AZ760" s="3"/>
      <c r="BA760" s="3"/>
      <c r="BB760" s="3"/>
      <c r="BC760" s="3"/>
      <c r="BD760" s="3"/>
      <c r="BE760" s="3"/>
      <c r="BF760" s="3"/>
      <c r="BG760" s="3"/>
      <c r="BH760" s="3"/>
      <c r="BI760" s="3"/>
      <c r="BJ760" s="3"/>
    </row>
    <row r="761" spans="1:62" ht="12.75" customHeight="1">
      <c r="A761"/>
      <c r="B761"/>
      <c r="C761"/>
      <c r="D761"/>
      <c r="E761"/>
      <c r="F761"/>
      <c r="G761"/>
      <c r="H761"/>
      <c r="I761"/>
      <c r="J761"/>
      <c r="K761" s="207">
        <v>54</v>
      </c>
      <c r="L761" s="207"/>
      <c r="M761"/>
      <c r="N761"/>
      <c r="O761"/>
      <c r="P761"/>
      <c r="Q761"/>
      <c r="R761" s="40"/>
      <c r="S761" s="23"/>
      <c r="V761" s="2"/>
      <c r="AN761" s="3"/>
      <c r="AO761" s="3"/>
      <c r="AP761" s="3"/>
      <c r="AQ761" s="3"/>
      <c r="AR761" s="3"/>
      <c r="AS761" s="3"/>
      <c r="AT761" s="3"/>
      <c r="AU761" s="3"/>
      <c r="AV761" s="3"/>
      <c r="AW761" s="3"/>
      <c r="AX761" s="3"/>
      <c r="AY761" s="3"/>
      <c r="AZ761" s="3"/>
      <c r="BA761" s="3"/>
      <c r="BB761" s="3"/>
      <c r="BC761" s="3"/>
      <c r="BD761" s="3"/>
      <c r="BE761" s="3"/>
      <c r="BF761" s="3"/>
      <c r="BG761" s="3"/>
      <c r="BH761" s="3"/>
      <c r="BI761" s="3"/>
      <c r="BJ761" s="3"/>
    </row>
    <row r="762" spans="1:62" ht="12.75" customHeight="1">
      <c r="A762"/>
      <c r="B762"/>
      <c r="C762"/>
      <c r="D762"/>
      <c r="E762"/>
      <c r="F762"/>
      <c r="G762"/>
      <c r="H762"/>
      <c r="I762"/>
      <c r="J762"/>
      <c r="K762" s="207">
        <v>55</v>
      </c>
      <c r="L762" s="207"/>
      <c r="M762"/>
      <c r="N762"/>
      <c r="O762"/>
      <c r="P762"/>
      <c r="Q762"/>
      <c r="R762" s="40"/>
      <c r="S762" s="23"/>
      <c r="V762" s="2"/>
      <c r="AN762" s="3"/>
      <c r="AO762" s="3"/>
      <c r="AP762" s="3"/>
      <c r="AQ762" s="3"/>
      <c r="AR762" s="3"/>
      <c r="AS762" s="3"/>
      <c r="AT762" s="3"/>
      <c r="AU762" s="3"/>
      <c r="AV762" s="3"/>
      <c r="AW762" s="3"/>
      <c r="AX762" s="3"/>
      <c r="AY762" s="3"/>
      <c r="AZ762" s="3"/>
      <c r="BA762" s="3"/>
      <c r="BB762" s="3"/>
      <c r="BC762" s="3"/>
      <c r="BD762" s="3"/>
      <c r="BE762" s="3"/>
      <c r="BF762" s="3"/>
      <c r="BG762" s="3"/>
      <c r="BH762" s="3"/>
      <c r="BI762" s="3"/>
      <c r="BJ762" s="3"/>
    </row>
    <row r="763" spans="1:62" ht="12.75" customHeight="1">
      <c r="A763"/>
      <c r="B763"/>
      <c r="C763"/>
      <c r="D763"/>
      <c r="E763"/>
      <c r="F763"/>
      <c r="G763"/>
      <c r="H763"/>
      <c r="I763"/>
      <c r="J763"/>
      <c r="K763" s="207">
        <v>56</v>
      </c>
      <c r="L763" s="207"/>
      <c r="M763"/>
      <c r="N763"/>
      <c r="O763"/>
      <c r="P763"/>
      <c r="Q763"/>
      <c r="R763" s="40"/>
      <c r="S763" s="23"/>
      <c r="V763" s="2"/>
      <c r="AN763" s="3"/>
      <c r="AO763" s="3"/>
      <c r="AP763" s="3"/>
      <c r="AQ763" s="3"/>
      <c r="AR763" s="3"/>
      <c r="AS763" s="3"/>
      <c r="AT763" s="3"/>
      <c r="AU763" s="3"/>
      <c r="AV763" s="3"/>
      <c r="AW763" s="3"/>
      <c r="AX763" s="3"/>
      <c r="AY763" s="3"/>
      <c r="AZ763" s="3"/>
      <c r="BA763" s="3"/>
      <c r="BB763" s="3"/>
      <c r="BC763" s="3"/>
      <c r="BD763" s="3"/>
      <c r="BE763" s="3"/>
      <c r="BF763" s="3"/>
      <c r="BG763" s="3"/>
      <c r="BH763" s="3"/>
      <c r="BI763" s="3"/>
      <c r="BJ763" s="3"/>
    </row>
    <row r="764" spans="1:62" ht="12.75" customHeight="1">
      <c r="A764"/>
      <c r="B764"/>
      <c r="C764"/>
      <c r="D764"/>
      <c r="E764"/>
      <c r="F764"/>
      <c r="G764"/>
      <c r="H764"/>
      <c r="I764"/>
      <c r="J764"/>
      <c r="K764" s="207">
        <v>57</v>
      </c>
      <c r="L764" s="207"/>
      <c r="M764"/>
      <c r="N764"/>
      <c r="O764"/>
      <c r="P764"/>
      <c r="Q764"/>
      <c r="R764" s="40"/>
      <c r="S764" s="23"/>
      <c r="V764" s="2"/>
      <c r="AN764" s="3"/>
      <c r="AO764" s="3"/>
      <c r="AP764" s="3"/>
      <c r="AQ764" s="3"/>
      <c r="AR764" s="3"/>
      <c r="AS764" s="3"/>
      <c r="AT764" s="3"/>
      <c r="AU764" s="3"/>
      <c r="AV764" s="3"/>
      <c r="AW764" s="3"/>
      <c r="AX764" s="3"/>
      <c r="AY764" s="3"/>
      <c r="AZ764" s="3"/>
      <c r="BA764" s="3"/>
      <c r="BB764" s="3"/>
      <c r="BC764" s="3"/>
      <c r="BD764" s="3"/>
      <c r="BE764" s="3"/>
      <c r="BF764" s="3"/>
      <c r="BG764" s="3"/>
      <c r="BH764" s="3"/>
      <c r="BI764" s="3"/>
      <c r="BJ764" s="3"/>
    </row>
    <row r="765" spans="1:62" ht="12.75" customHeight="1">
      <c r="A765"/>
      <c r="B765"/>
      <c r="C765"/>
      <c r="D765"/>
      <c r="E765"/>
      <c r="F765"/>
      <c r="G765"/>
      <c r="H765"/>
      <c r="I765"/>
      <c r="J765"/>
      <c r="K765" s="207">
        <v>58</v>
      </c>
      <c r="L765" s="207"/>
      <c r="M765"/>
      <c r="N765"/>
      <c r="O765"/>
      <c r="P765"/>
      <c r="Q765"/>
      <c r="R765" s="40"/>
      <c r="S765" s="23"/>
      <c r="V765" s="2"/>
      <c r="AN765" s="3"/>
      <c r="AO765" s="3"/>
      <c r="AP765" s="3"/>
      <c r="AQ765" s="3"/>
      <c r="AR765" s="3"/>
      <c r="AS765" s="3"/>
      <c r="AT765" s="3"/>
      <c r="AU765" s="3"/>
      <c r="AV765" s="3"/>
      <c r="AW765" s="3"/>
      <c r="AX765" s="3"/>
      <c r="AY765" s="3"/>
      <c r="AZ765" s="3"/>
      <c r="BA765" s="3"/>
      <c r="BB765" s="3"/>
      <c r="BC765" s="3"/>
      <c r="BD765" s="3"/>
      <c r="BE765" s="3"/>
      <c r="BF765" s="3"/>
      <c r="BG765" s="3"/>
      <c r="BH765" s="3"/>
      <c r="BI765" s="3"/>
      <c r="BJ765" s="3"/>
    </row>
    <row r="766" spans="1:62" ht="12.75" customHeight="1">
      <c r="A766"/>
      <c r="B766"/>
      <c r="C766"/>
      <c r="D766"/>
      <c r="E766"/>
      <c r="F766"/>
      <c r="G766"/>
      <c r="H766"/>
      <c r="I766"/>
      <c r="J766"/>
      <c r="K766" s="207">
        <v>59</v>
      </c>
      <c r="L766" s="207"/>
      <c r="M766"/>
      <c r="N766"/>
      <c r="O766"/>
      <c r="P766"/>
      <c r="Q766"/>
      <c r="R766" s="40"/>
      <c r="S766" s="23"/>
      <c r="V766" s="2"/>
      <c r="AN766" s="3"/>
      <c r="AO766" s="3"/>
      <c r="AP766" s="3"/>
      <c r="AQ766" s="3"/>
      <c r="AR766" s="3"/>
      <c r="AS766" s="3"/>
      <c r="AT766" s="3"/>
      <c r="AU766" s="3"/>
      <c r="AV766" s="3"/>
      <c r="AW766" s="3"/>
      <c r="AX766" s="3"/>
      <c r="AY766" s="3"/>
      <c r="AZ766" s="3"/>
      <c r="BA766" s="3"/>
      <c r="BB766" s="3"/>
      <c r="BC766" s="3"/>
      <c r="BD766" s="3"/>
      <c r="BE766" s="3"/>
      <c r="BF766" s="3"/>
      <c r="BG766" s="3"/>
      <c r="BH766" s="3"/>
      <c r="BI766" s="3"/>
      <c r="BJ766" s="3"/>
    </row>
    <row r="767" spans="1:62" ht="12.75" customHeight="1">
      <c r="A767"/>
      <c r="B767"/>
      <c r="C767"/>
      <c r="D767"/>
      <c r="E767"/>
      <c r="F767"/>
      <c r="G767"/>
      <c r="H767"/>
      <c r="I767"/>
      <c r="J767"/>
      <c r="K767" s="207">
        <v>60</v>
      </c>
      <c r="L767" s="207"/>
      <c r="M767"/>
      <c r="N767"/>
      <c r="O767"/>
      <c r="P767"/>
      <c r="Q767"/>
      <c r="R767" s="40"/>
      <c r="S767" s="23"/>
      <c r="V767" s="2"/>
      <c r="AN767" s="3"/>
      <c r="AO767" s="3"/>
      <c r="AP767" s="3"/>
      <c r="AQ767" s="3"/>
      <c r="AR767" s="3"/>
      <c r="AS767" s="3"/>
      <c r="AT767" s="3"/>
      <c r="AU767" s="3"/>
      <c r="AV767" s="3"/>
      <c r="AW767" s="3"/>
      <c r="AX767" s="3"/>
      <c r="AY767" s="3"/>
      <c r="AZ767" s="3"/>
      <c r="BA767" s="3"/>
      <c r="BB767" s="3"/>
      <c r="BC767" s="3"/>
      <c r="BD767" s="3"/>
      <c r="BE767" s="3"/>
      <c r="BF767" s="3"/>
      <c r="BG767" s="3"/>
      <c r="BH767" s="3"/>
      <c r="BI767" s="3"/>
      <c r="BJ767" s="3"/>
    </row>
    <row r="768" spans="1:62" ht="12.75" customHeight="1">
      <c r="A768" s="210" t="s">
        <v>91</v>
      </c>
      <c r="B768" s="210"/>
      <c r="C768" s="210"/>
      <c r="D768" s="210"/>
      <c r="E768" s="210"/>
      <c r="F768" s="210"/>
      <c r="G768" s="210"/>
      <c r="H768" s="210"/>
      <c r="I768" s="210"/>
      <c r="J768" s="210"/>
      <c r="K768" s="210"/>
      <c r="L768" s="210"/>
      <c r="M768" s="210"/>
      <c r="N768" s="210"/>
      <c r="O768" s="210"/>
      <c r="P768" s="210"/>
      <c r="S768" s="23"/>
      <c r="V768" s="2"/>
      <c r="AN768" s="3"/>
      <c r="AO768" s="3"/>
      <c r="AP768" s="3"/>
      <c r="AQ768" s="3"/>
      <c r="AR768" s="3"/>
      <c r="AS768" s="3"/>
      <c r="AT768" s="3"/>
      <c r="AU768" s="3"/>
      <c r="AV768" s="3"/>
      <c r="AW768" s="3"/>
      <c r="AX768" s="3"/>
      <c r="AY768" s="3"/>
      <c r="AZ768" s="3"/>
      <c r="BA768" s="3"/>
      <c r="BB768" s="3"/>
      <c r="BC768" s="3"/>
      <c r="BD768" s="3"/>
      <c r="BE768" s="3"/>
      <c r="BF768" s="3"/>
      <c r="BG768" s="3"/>
      <c r="BH768" s="3"/>
      <c r="BI768" s="3"/>
      <c r="BJ768" s="3"/>
    </row>
    <row r="769" spans="1:62" ht="12.75" customHeight="1">
      <c r="A769" s="65" t="s">
        <v>160</v>
      </c>
      <c r="B769" s="55"/>
      <c r="D769" s="55"/>
      <c r="E769" s="55"/>
      <c r="F769" s="55"/>
      <c r="G769" s="55"/>
      <c r="H769" s="55"/>
      <c r="I769" s="55"/>
      <c r="J769" s="55"/>
      <c r="K769" s="55"/>
      <c r="L769" s="55"/>
      <c r="M769" s="55"/>
      <c r="N769" s="55"/>
      <c r="O769" s="55"/>
      <c r="P769" s="55"/>
      <c r="Q769" s="55"/>
      <c r="R769" s="55"/>
      <c r="S769" s="23"/>
      <c r="V769" s="2"/>
      <c r="AN769" s="3"/>
      <c r="AO769" s="3"/>
      <c r="AP769" s="3"/>
      <c r="AQ769" s="3"/>
      <c r="AR769" s="3"/>
      <c r="AS769" s="3"/>
      <c r="AT769" s="3"/>
      <c r="AU769" s="3"/>
      <c r="AV769" s="3"/>
      <c r="AW769" s="3"/>
      <c r="AX769" s="3"/>
      <c r="AY769" s="3"/>
      <c r="AZ769" s="3"/>
      <c r="BA769" s="3"/>
      <c r="BB769" s="3"/>
      <c r="BC769" s="3"/>
      <c r="BD769" s="3"/>
      <c r="BE769" s="3"/>
      <c r="BF769" s="3"/>
      <c r="BG769" s="3"/>
      <c r="BH769" s="3"/>
      <c r="BI769" s="3"/>
      <c r="BJ769" s="3"/>
    </row>
    <row r="770" spans="1:62" ht="12.75" customHeight="1">
      <c r="A770" s="55"/>
      <c r="B770" s="55"/>
      <c r="C770" s="55"/>
      <c r="D770" s="55"/>
      <c r="E770" s="55"/>
      <c r="F770" s="55"/>
      <c r="G770" s="55"/>
      <c r="H770" s="55"/>
      <c r="I770" s="55"/>
      <c r="J770" s="55"/>
      <c r="K770" s="55"/>
      <c r="L770" s="55"/>
      <c r="M770" s="55"/>
      <c r="N770" s="55"/>
      <c r="O770" s="55"/>
      <c r="P770" s="55"/>
      <c r="Q770" s="55"/>
      <c r="R770" s="55"/>
      <c r="S770" s="23"/>
      <c r="V770" s="2"/>
      <c r="AN770" s="3"/>
      <c r="AO770" s="3"/>
      <c r="AP770" s="3"/>
      <c r="AQ770" s="3"/>
      <c r="AR770" s="3"/>
      <c r="AS770" s="3"/>
      <c r="AT770" s="3"/>
      <c r="AU770" s="3"/>
      <c r="AV770" s="3"/>
      <c r="AW770" s="3"/>
      <c r="AX770" s="3"/>
      <c r="AY770" s="3"/>
      <c r="AZ770" s="3"/>
      <c r="BA770" s="3"/>
      <c r="BB770" s="3"/>
      <c r="BC770" s="3"/>
      <c r="BD770" s="3"/>
      <c r="BE770" s="3"/>
      <c r="BF770" s="3"/>
      <c r="BG770" s="3"/>
      <c r="BH770" s="3"/>
      <c r="BI770" s="3"/>
      <c r="BJ770" s="3"/>
    </row>
    <row r="771" spans="1:62" ht="12.75" customHeight="1">
      <c r="A771" s="66" t="s">
        <v>158</v>
      </c>
      <c r="S771" s="23"/>
      <c r="V771" s="2"/>
      <c r="AN771" s="3"/>
      <c r="AO771" s="3"/>
      <c r="AP771" s="3"/>
      <c r="AQ771" s="3"/>
      <c r="AR771" s="3"/>
      <c r="AS771" s="3"/>
      <c r="AT771" s="3"/>
      <c r="AU771" s="3"/>
      <c r="AV771" s="3"/>
      <c r="AW771" s="3"/>
      <c r="AX771" s="3"/>
      <c r="AY771" s="3"/>
      <c r="AZ771" s="3"/>
      <c r="BA771" s="3"/>
      <c r="BB771" s="3"/>
      <c r="BC771" s="3"/>
      <c r="BD771" s="3"/>
      <c r="BE771" s="3"/>
      <c r="BF771" s="3"/>
      <c r="BG771" s="3"/>
      <c r="BH771" s="3"/>
      <c r="BI771" s="3"/>
      <c r="BJ771" s="3"/>
    </row>
    <row r="772" spans="1:62" ht="12.75" customHeight="1">
      <c r="A772" s="66" t="s">
        <v>159</v>
      </c>
      <c r="P772" s="211">
        <f ca="1">TODAY()</f>
        <v>46008</v>
      </c>
      <c r="Q772" s="211"/>
      <c r="R772" s="211"/>
      <c r="S772" s="23"/>
      <c r="V772" s="2"/>
      <c r="AN772" s="3"/>
      <c r="AO772" s="3"/>
      <c r="AP772" s="3"/>
      <c r="AQ772" s="3"/>
      <c r="AR772" s="3"/>
      <c r="AS772" s="3"/>
      <c r="AT772" s="3"/>
      <c r="AU772" s="3"/>
      <c r="AV772" s="3"/>
      <c r="AW772" s="3"/>
      <c r="AX772" s="3"/>
      <c r="AY772" s="3"/>
      <c r="AZ772" s="3"/>
      <c r="BA772" s="3"/>
      <c r="BB772" s="3"/>
      <c r="BC772" s="3"/>
      <c r="BD772" s="3"/>
      <c r="BE772" s="3"/>
      <c r="BF772" s="3"/>
      <c r="BG772" s="3"/>
      <c r="BH772" s="3"/>
      <c r="BI772" s="3"/>
      <c r="BJ772" s="3"/>
    </row>
    <row r="773" spans="1:62" ht="12.75" customHeight="1">
      <c r="A773"/>
      <c r="B773"/>
      <c r="C773"/>
      <c r="D773"/>
      <c r="E773"/>
      <c r="F773"/>
      <c r="G773"/>
      <c r="H773"/>
      <c r="I773"/>
      <c r="J773"/>
      <c r="K773" s="207">
        <v>66</v>
      </c>
      <c r="L773" s="207"/>
      <c r="M773"/>
      <c r="N773"/>
      <c r="O773"/>
      <c r="P773"/>
      <c r="Q773"/>
      <c r="R773" s="40"/>
      <c r="S773" s="23"/>
      <c r="V773" s="2"/>
      <c r="AN773" s="3"/>
      <c r="AO773" s="3"/>
      <c r="AP773" s="3"/>
      <c r="AQ773" s="3"/>
      <c r="AR773" s="3"/>
      <c r="AS773" s="3"/>
      <c r="AT773" s="3"/>
      <c r="AU773" s="3"/>
      <c r="AV773" s="3"/>
      <c r="AW773" s="3"/>
      <c r="AX773" s="3"/>
      <c r="AY773" s="3"/>
      <c r="AZ773" s="3"/>
      <c r="BA773" s="3"/>
      <c r="BB773" s="3"/>
      <c r="BC773" s="3"/>
      <c r="BD773" s="3"/>
      <c r="BE773" s="3"/>
      <c r="BF773" s="3"/>
      <c r="BG773" s="3"/>
      <c r="BH773" s="3"/>
      <c r="BI773" s="3"/>
      <c r="BJ773" s="3"/>
    </row>
    <row r="774" spans="1:62" ht="12.75" customHeight="1">
      <c r="A774"/>
      <c r="B774"/>
      <c r="C774"/>
      <c r="D774"/>
      <c r="E774"/>
      <c r="F774"/>
      <c r="G774"/>
      <c r="H774"/>
      <c r="I774"/>
      <c r="J774"/>
      <c r="K774" s="207">
        <v>67</v>
      </c>
      <c r="L774" s="207"/>
      <c r="M774"/>
      <c r="N774"/>
      <c r="O774"/>
      <c r="P774"/>
      <c r="Q774"/>
      <c r="R774" s="40"/>
      <c r="S774" s="23"/>
      <c r="V774" s="2"/>
      <c r="AN774" s="3"/>
      <c r="AO774" s="3"/>
      <c r="AP774" s="3"/>
      <c r="AQ774" s="3"/>
      <c r="AR774" s="3"/>
      <c r="AS774" s="3"/>
      <c r="AT774" s="3"/>
      <c r="AU774" s="3"/>
      <c r="AV774" s="3"/>
      <c r="AW774" s="3"/>
      <c r="AX774" s="3"/>
      <c r="AY774" s="3"/>
      <c r="AZ774" s="3"/>
      <c r="BA774" s="3"/>
      <c r="BB774" s="3"/>
      <c r="BC774" s="3"/>
      <c r="BD774" s="3"/>
      <c r="BE774" s="3"/>
      <c r="BF774" s="3"/>
      <c r="BG774" s="3"/>
      <c r="BH774" s="3"/>
      <c r="BI774" s="3"/>
      <c r="BJ774" s="3"/>
    </row>
    <row r="775" spans="1:62" ht="12.75" customHeight="1">
      <c r="A775" t="s">
        <v>443</v>
      </c>
      <c r="B775"/>
      <c r="C775"/>
      <c r="D775"/>
      <c r="E775"/>
      <c r="F775"/>
      <c r="G775"/>
      <c r="H775"/>
      <c r="I775"/>
      <c r="J775"/>
      <c r="K775" s="207">
        <v>68</v>
      </c>
      <c r="L775" s="207"/>
      <c r="M775"/>
      <c r="N775"/>
      <c r="O775"/>
      <c r="P775"/>
      <c r="Q775"/>
      <c r="R775" s="40"/>
      <c r="S775" s="23"/>
      <c r="V775" s="2"/>
      <c r="AN775" s="3"/>
      <c r="AO775" s="3"/>
      <c r="AP775" s="3"/>
      <c r="AQ775" s="3"/>
      <c r="AR775" s="3"/>
      <c r="AS775" s="3"/>
      <c r="AT775" s="3"/>
      <c r="AU775" s="3"/>
      <c r="AV775" s="3"/>
      <c r="AW775" s="3"/>
      <c r="AX775" s="3"/>
      <c r="AY775" s="3"/>
      <c r="AZ775" s="3"/>
      <c r="BA775" s="3"/>
      <c r="BB775" s="3"/>
      <c r="BC775" s="3"/>
      <c r="BD775" s="3"/>
      <c r="BE775" s="3"/>
      <c r="BF775" s="3"/>
      <c r="BG775" s="3"/>
      <c r="BH775" s="3"/>
      <c r="BI775" s="3"/>
      <c r="BJ775" s="3"/>
    </row>
    <row r="799" spans="1:46">
      <c r="AF799"/>
      <c r="AG799"/>
      <c r="AH799"/>
      <c r="AI799"/>
      <c r="AJ799"/>
      <c r="AK799"/>
      <c r="AL799"/>
      <c r="AM799"/>
      <c r="AN799"/>
      <c r="AO799"/>
      <c r="AP799"/>
      <c r="AQ799"/>
      <c r="AR799"/>
      <c r="AS799"/>
      <c r="AT799"/>
    </row>
    <row r="800" spans="1:46">
      <c r="A800" s="2" t="s">
        <v>439</v>
      </c>
      <c r="B800" s="2"/>
      <c r="G800" s="2"/>
      <c r="H800" s="2"/>
      <c r="AF800"/>
      <c r="AG800"/>
      <c r="AH800"/>
      <c r="AI800"/>
      <c r="AJ800"/>
      <c r="AK800"/>
      <c r="AL800"/>
      <c r="AM800"/>
      <c r="AN800"/>
      <c r="AO800"/>
      <c r="AP800"/>
      <c r="AQ800"/>
      <c r="AR800"/>
      <c r="AS800"/>
      <c r="AT800"/>
    </row>
    <row r="801" spans="1:46">
      <c r="A801" s="193" t="s">
        <v>472</v>
      </c>
      <c r="B801" s="2"/>
      <c r="G801" s="2"/>
      <c r="H801" s="2"/>
      <c r="S801" s="55"/>
      <c r="T801" s="55"/>
      <c r="U801" s="55"/>
      <c r="V801" s="56"/>
      <c r="W801" s="55"/>
      <c r="X801" s="55"/>
      <c r="Y801" s="55"/>
      <c r="Z801" s="55"/>
      <c r="AA801" s="55"/>
      <c r="AB801" s="55"/>
      <c r="AC801" s="55"/>
      <c r="AD801" s="55"/>
      <c r="AF801"/>
      <c r="AG801"/>
      <c r="AH801"/>
      <c r="AI801"/>
      <c r="AJ801"/>
      <c r="AK801"/>
      <c r="AL801"/>
      <c r="AM801"/>
      <c r="AN801"/>
      <c r="AO801"/>
      <c r="AP801"/>
      <c r="AQ801"/>
      <c r="AR801"/>
      <c r="AS801"/>
      <c r="AT801"/>
    </row>
    <row r="802" spans="1:46">
      <c r="B802" s="2"/>
      <c r="G802" s="2"/>
      <c r="H802" s="2"/>
      <c r="S802" s="55"/>
      <c r="T802" s="55"/>
      <c r="U802" s="55"/>
      <c r="V802" s="56"/>
      <c r="W802" s="55"/>
      <c r="X802" s="55"/>
      <c r="Y802" s="55"/>
      <c r="Z802" s="55"/>
      <c r="AA802" s="55"/>
      <c r="AB802" s="55"/>
      <c r="AC802" s="55"/>
      <c r="AD802" s="55"/>
      <c r="AF802"/>
      <c r="AG802"/>
      <c r="AH802"/>
      <c r="AI802"/>
      <c r="AJ802"/>
      <c r="AK802"/>
      <c r="AL802"/>
      <c r="AM802"/>
      <c r="AN802"/>
      <c r="AO802"/>
      <c r="AP802"/>
      <c r="AQ802"/>
      <c r="AR802"/>
      <c r="AS802"/>
      <c r="AT802"/>
    </row>
    <row r="803" spans="1:46">
      <c r="B803" s="2"/>
      <c r="G803" s="2"/>
      <c r="H803" s="2"/>
      <c r="AF803"/>
      <c r="AG803"/>
      <c r="AH803"/>
      <c r="AI803"/>
      <c r="AJ803"/>
      <c r="AK803"/>
      <c r="AL803"/>
      <c r="AM803"/>
      <c r="AN803"/>
      <c r="AO803"/>
      <c r="AP803"/>
      <c r="AQ803"/>
      <c r="AR803"/>
      <c r="AS803"/>
      <c r="AT803"/>
    </row>
    <row r="804" spans="1:46">
      <c r="B804" s="2"/>
      <c r="G804" s="2"/>
      <c r="H804" s="2"/>
      <c r="AF804"/>
      <c r="AG804"/>
      <c r="AH804"/>
      <c r="AI804"/>
      <c r="AJ804"/>
      <c r="AK804"/>
      <c r="AL804"/>
      <c r="AM804"/>
      <c r="AN804"/>
      <c r="AO804"/>
      <c r="AP804"/>
      <c r="AQ804"/>
      <c r="AR804"/>
      <c r="AS804"/>
      <c r="AT804"/>
    </row>
    <row r="805" spans="1:46">
      <c r="AF805"/>
      <c r="AG805"/>
      <c r="AH805"/>
      <c r="AI805"/>
      <c r="AJ805"/>
      <c r="AK805"/>
      <c r="AL805"/>
      <c r="AM805"/>
      <c r="AN805"/>
      <c r="AO805"/>
      <c r="AP805"/>
      <c r="AQ805"/>
      <c r="AR805"/>
      <c r="AS805"/>
      <c r="AT805"/>
    </row>
    <row r="806" spans="1:46">
      <c r="AF806"/>
      <c r="AG806"/>
      <c r="AH806"/>
      <c r="AI806"/>
      <c r="AJ806"/>
      <c r="AK806"/>
      <c r="AL806"/>
      <c r="AM806"/>
      <c r="AN806"/>
      <c r="AO806"/>
      <c r="AP806"/>
      <c r="AQ806"/>
      <c r="AR806"/>
      <c r="AS806"/>
      <c r="AT806"/>
    </row>
    <row r="807" spans="1:46">
      <c r="AF807"/>
      <c r="AG807"/>
      <c r="AH807"/>
      <c r="AI807"/>
      <c r="AJ807"/>
      <c r="AK807"/>
      <c r="AL807"/>
      <c r="AM807"/>
      <c r="AN807"/>
      <c r="AO807"/>
      <c r="AP807"/>
      <c r="AQ807"/>
      <c r="AR807"/>
      <c r="AS807"/>
      <c r="AT807"/>
    </row>
    <row r="808" spans="1:46">
      <c r="AF808"/>
      <c r="AG808"/>
      <c r="AH808"/>
      <c r="AI808"/>
      <c r="AJ808"/>
      <c r="AK808"/>
      <c r="AL808"/>
      <c r="AM808"/>
      <c r="AN808"/>
      <c r="AO808"/>
      <c r="AP808"/>
      <c r="AQ808"/>
      <c r="AR808"/>
      <c r="AS808"/>
      <c r="AT808"/>
    </row>
    <row r="809" spans="1:46">
      <c r="AF809"/>
      <c r="AG809"/>
      <c r="AH809"/>
      <c r="AI809"/>
      <c r="AJ809"/>
      <c r="AK809"/>
      <c r="AL809"/>
      <c r="AM809"/>
      <c r="AN809"/>
      <c r="AO809"/>
      <c r="AP809"/>
      <c r="AQ809"/>
      <c r="AR809"/>
      <c r="AS809"/>
      <c r="AT809"/>
    </row>
    <row r="810" spans="1:46">
      <c r="AF810"/>
      <c r="AG810"/>
      <c r="AH810"/>
      <c r="AI810"/>
      <c r="AJ810"/>
      <c r="AK810"/>
      <c r="AL810"/>
      <c r="AM810"/>
      <c r="AN810"/>
      <c r="AO810"/>
      <c r="AP810"/>
      <c r="AQ810"/>
      <c r="AR810"/>
      <c r="AS810"/>
      <c r="AT810"/>
    </row>
    <row r="811" spans="1:46">
      <c r="AF811"/>
      <c r="AG811"/>
      <c r="AH811"/>
      <c r="AI811"/>
      <c r="AJ811"/>
      <c r="AK811"/>
      <c r="AL811"/>
      <c r="AM811"/>
      <c r="AN811"/>
      <c r="AO811"/>
      <c r="AP811"/>
      <c r="AQ811"/>
      <c r="AR811"/>
      <c r="AS811"/>
      <c r="AT811"/>
    </row>
    <row r="812" spans="1:46">
      <c r="AF812"/>
      <c r="AG812"/>
      <c r="AH812"/>
      <c r="AI812"/>
      <c r="AJ812"/>
      <c r="AK812"/>
      <c r="AL812"/>
      <c r="AM812"/>
      <c r="AN812"/>
      <c r="AO812"/>
      <c r="AP812"/>
      <c r="AQ812"/>
      <c r="AR812"/>
      <c r="AS812"/>
      <c r="AT812"/>
    </row>
    <row r="813" spans="1:46">
      <c r="AF813"/>
      <c r="AG813"/>
      <c r="AH813"/>
      <c r="AI813"/>
      <c r="AJ813"/>
      <c r="AK813"/>
      <c r="AL813"/>
      <c r="AM813"/>
      <c r="AN813"/>
      <c r="AO813"/>
      <c r="AP813"/>
      <c r="AQ813"/>
      <c r="AR813"/>
      <c r="AS813"/>
      <c r="AT813"/>
    </row>
    <row r="820" spans="1:17">
      <c r="A820"/>
      <c r="B820"/>
      <c r="C820"/>
      <c r="D820"/>
      <c r="E820"/>
      <c r="F820"/>
      <c r="G820"/>
      <c r="H820"/>
      <c r="I820"/>
      <c r="J820"/>
      <c r="K820"/>
      <c r="L820"/>
      <c r="M820"/>
      <c r="N820"/>
      <c r="O820"/>
      <c r="P820"/>
      <c r="Q820"/>
    </row>
    <row r="821" spans="1:17">
      <c r="A821"/>
      <c r="B821"/>
      <c r="C821"/>
      <c r="D821"/>
      <c r="E821"/>
      <c r="F821"/>
      <c r="G821"/>
      <c r="H821"/>
      <c r="I821"/>
      <c r="J821"/>
      <c r="K821"/>
      <c r="L821"/>
      <c r="M821"/>
      <c r="N821"/>
      <c r="O821"/>
      <c r="P821"/>
      <c r="Q821"/>
    </row>
    <row r="978" spans="1:1">
      <c r="A978" s="2" t="s">
        <v>439</v>
      </c>
    </row>
    <row r="979" spans="1:1">
      <c r="A979" s="2" t="s">
        <v>440</v>
      </c>
    </row>
  </sheetData>
  <dataConsolidate/>
  <mergeCells count="1255">
    <mergeCell ref="K773:L773"/>
    <mergeCell ref="K774:L774"/>
    <mergeCell ref="K775:L775"/>
    <mergeCell ref="K708:L708"/>
    <mergeCell ref="K709:L709"/>
    <mergeCell ref="K759:L759"/>
    <mergeCell ref="K760:L760"/>
    <mergeCell ref="K761:L761"/>
    <mergeCell ref="K762:L762"/>
    <mergeCell ref="K763:L763"/>
    <mergeCell ref="K764:L764"/>
    <mergeCell ref="K765:L765"/>
    <mergeCell ref="K766:L766"/>
    <mergeCell ref="K767:L767"/>
    <mergeCell ref="K750:L750"/>
    <mergeCell ref="K751:L751"/>
    <mergeCell ref="K752:L752"/>
    <mergeCell ref="K753:L753"/>
    <mergeCell ref="K754:L754"/>
    <mergeCell ref="K755:L755"/>
    <mergeCell ref="K756:L756"/>
    <mergeCell ref="K757:L757"/>
    <mergeCell ref="K758:L758"/>
    <mergeCell ref="K741:L741"/>
    <mergeCell ref="K742:L742"/>
    <mergeCell ref="K743:L743"/>
    <mergeCell ref="K744:L744"/>
    <mergeCell ref="K745:L745"/>
    <mergeCell ref="K746:L746"/>
    <mergeCell ref="K747:L747"/>
    <mergeCell ref="K748:L748"/>
    <mergeCell ref="K749:L749"/>
    <mergeCell ref="K732:L732"/>
    <mergeCell ref="K733:L733"/>
    <mergeCell ref="K734:L734"/>
    <mergeCell ref="K735:L735"/>
    <mergeCell ref="K736:L736"/>
    <mergeCell ref="K737:L737"/>
    <mergeCell ref="K738:L738"/>
    <mergeCell ref="K739:L739"/>
    <mergeCell ref="K740:L740"/>
    <mergeCell ref="K723:L723"/>
    <mergeCell ref="K724:L724"/>
    <mergeCell ref="K725:L725"/>
    <mergeCell ref="K726:L726"/>
    <mergeCell ref="K727:L727"/>
    <mergeCell ref="K728:L728"/>
    <mergeCell ref="K729:L729"/>
    <mergeCell ref="K730:L730"/>
    <mergeCell ref="K731:L731"/>
    <mergeCell ref="K714:L714"/>
    <mergeCell ref="K715:L715"/>
    <mergeCell ref="K716:L716"/>
    <mergeCell ref="K717:L717"/>
    <mergeCell ref="K718:L718"/>
    <mergeCell ref="K719:L719"/>
    <mergeCell ref="K720:L720"/>
    <mergeCell ref="K721:L721"/>
    <mergeCell ref="K722:L722"/>
    <mergeCell ref="K621:L621"/>
    <mergeCell ref="K622:L622"/>
    <mergeCell ref="K623:L623"/>
    <mergeCell ref="K556:L556"/>
    <mergeCell ref="K557:L557"/>
    <mergeCell ref="K710:L710"/>
    <mergeCell ref="K711:L711"/>
    <mergeCell ref="K712:L712"/>
    <mergeCell ref="K713:L713"/>
    <mergeCell ref="K612:L612"/>
    <mergeCell ref="K613:L613"/>
    <mergeCell ref="K614:L614"/>
    <mergeCell ref="K615:L615"/>
    <mergeCell ref="K616:L616"/>
    <mergeCell ref="K617:L617"/>
    <mergeCell ref="K618:L618"/>
    <mergeCell ref="K619:L619"/>
    <mergeCell ref="K620:L620"/>
    <mergeCell ref="K603:L603"/>
    <mergeCell ref="K604:L604"/>
    <mergeCell ref="K605:L605"/>
    <mergeCell ref="K606:L606"/>
    <mergeCell ref="K607:L607"/>
    <mergeCell ref="K608:L608"/>
    <mergeCell ref="K609:L609"/>
    <mergeCell ref="K610:L610"/>
    <mergeCell ref="K611:L611"/>
    <mergeCell ref="K594:L594"/>
    <mergeCell ref="K595:L595"/>
    <mergeCell ref="K596:L596"/>
    <mergeCell ref="K597:L597"/>
    <mergeCell ref="K598:L598"/>
    <mergeCell ref="K599:L599"/>
    <mergeCell ref="K600:L600"/>
    <mergeCell ref="K601:L601"/>
    <mergeCell ref="K602:L602"/>
    <mergeCell ref="K585:L585"/>
    <mergeCell ref="K586:L586"/>
    <mergeCell ref="K587:L587"/>
    <mergeCell ref="K588:L588"/>
    <mergeCell ref="K589:L589"/>
    <mergeCell ref="K590:L590"/>
    <mergeCell ref="K591:L591"/>
    <mergeCell ref="K592:L592"/>
    <mergeCell ref="K593:L593"/>
    <mergeCell ref="K558:L558"/>
    <mergeCell ref="K464:L464"/>
    <mergeCell ref="K465:L465"/>
    <mergeCell ref="K466:L466"/>
    <mergeCell ref="K467:L467"/>
    <mergeCell ref="K468:L468"/>
    <mergeCell ref="K469:L469"/>
    <mergeCell ref="K470:L470"/>
    <mergeCell ref="K471:L471"/>
    <mergeCell ref="K472:L472"/>
    <mergeCell ref="A545:AE545"/>
    <mergeCell ref="A547:A548"/>
    <mergeCell ref="C547:N548"/>
    <mergeCell ref="O547:O548"/>
    <mergeCell ref="P547:P548"/>
    <mergeCell ref="Q547:Q548"/>
    <mergeCell ref="R547:R548"/>
    <mergeCell ref="S547:T548"/>
    <mergeCell ref="A549:M550"/>
    <mergeCell ref="U551:V551"/>
    <mergeCell ref="AC551:AD551"/>
    <mergeCell ref="A521:M522"/>
    <mergeCell ref="A493:M494"/>
    <mergeCell ref="U495:V495"/>
    <mergeCell ref="Q534:Q535"/>
    <mergeCell ref="R534:R535"/>
    <mergeCell ref="S534:T535"/>
    <mergeCell ref="A511:M512"/>
    <mergeCell ref="U513:V513"/>
    <mergeCell ref="AC513:AD513"/>
    <mergeCell ref="S514:T515"/>
    <mergeCell ref="A485:L486"/>
    <mergeCell ref="K443:L443"/>
    <mergeCell ref="K444:L444"/>
    <mergeCell ref="K445:L445"/>
    <mergeCell ref="K446:L446"/>
    <mergeCell ref="K447:L447"/>
    <mergeCell ref="K448:L448"/>
    <mergeCell ref="K449:L449"/>
    <mergeCell ref="J481:AD482"/>
    <mergeCell ref="A484:O484"/>
    <mergeCell ref="K450:L450"/>
    <mergeCell ref="K451:L451"/>
    <mergeCell ref="K452:L452"/>
    <mergeCell ref="K453:L453"/>
    <mergeCell ref="K454:L454"/>
    <mergeCell ref="K455:L455"/>
    <mergeCell ref="K456:L456"/>
    <mergeCell ref="K457:L457"/>
    <mergeCell ref="K458:L458"/>
    <mergeCell ref="K459:L459"/>
    <mergeCell ref="K460:L460"/>
    <mergeCell ref="K461:L461"/>
    <mergeCell ref="K462:L462"/>
    <mergeCell ref="K463:L463"/>
    <mergeCell ref="K473:L473"/>
    <mergeCell ref="K474:L474"/>
    <mergeCell ref="K475:L475"/>
    <mergeCell ref="K476:L476"/>
    <mergeCell ref="K477:L477"/>
    <mergeCell ref="K478:L478"/>
    <mergeCell ref="K479:L479"/>
    <mergeCell ref="Y484:Z484"/>
    <mergeCell ref="AB484:AD484"/>
    <mergeCell ref="K434:L434"/>
    <mergeCell ref="K435:L435"/>
    <mergeCell ref="K436:L436"/>
    <mergeCell ref="K437:L437"/>
    <mergeCell ref="K438:L438"/>
    <mergeCell ref="K439:L439"/>
    <mergeCell ref="K440:L440"/>
    <mergeCell ref="A698:M699"/>
    <mergeCell ref="U700:V700"/>
    <mergeCell ref="AC700:AD700"/>
    <mergeCell ref="K99:L99"/>
    <mergeCell ref="K100:L100"/>
    <mergeCell ref="K101:L101"/>
    <mergeCell ref="K102:L102"/>
    <mergeCell ref="K103:L103"/>
    <mergeCell ref="K104:L104"/>
    <mergeCell ref="K105:L105"/>
    <mergeCell ref="K106:L106"/>
    <mergeCell ref="K107:L107"/>
    <mergeCell ref="K108:L108"/>
    <mergeCell ref="K109:L109"/>
    <mergeCell ref="K110:L110"/>
    <mergeCell ref="K111:L111"/>
    <mergeCell ref="K112:L112"/>
    <mergeCell ref="K113:L113"/>
    <mergeCell ref="K114:L114"/>
    <mergeCell ref="K115:L115"/>
    <mergeCell ref="K116:L116"/>
    <mergeCell ref="K117:L117"/>
    <mergeCell ref="K118:L118"/>
    <mergeCell ref="K441:L441"/>
    <mergeCell ref="K442:L442"/>
    <mergeCell ref="A693:M694"/>
    <mergeCell ref="U695:V695"/>
    <mergeCell ref="AC695:AD695"/>
    <mergeCell ref="A696:A697"/>
    <mergeCell ref="C696:N697"/>
    <mergeCell ref="O696:O697"/>
    <mergeCell ref="P696:P697"/>
    <mergeCell ref="Q696:Q697"/>
    <mergeCell ref="R696:R697"/>
    <mergeCell ref="S696:T697"/>
    <mergeCell ref="AH686:AH687"/>
    <mergeCell ref="AK686:AM687"/>
    <mergeCell ref="A688:M689"/>
    <mergeCell ref="U690:V690"/>
    <mergeCell ref="AC690:AD690"/>
    <mergeCell ref="A691:A692"/>
    <mergeCell ref="C691:N692"/>
    <mergeCell ref="O691:O692"/>
    <mergeCell ref="P691:P692"/>
    <mergeCell ref="Q691:Q692"/>
    <mergeCell ref="R691:R692"/>
    <mergeCell ref="S691:T692"/>
    <mergeCell ref="AG691:AG692"/>
    <mergeCell ref="AH691:AH692"/>
    <mergeCell ref="AK691:AM692"/>
    <mergeCell ref="A686:A687"/>
    <mergeCell ref="C686:N687"/>
    <mergeCell ref="O686:O687"/>
    <mergeCell ref="P686:P687"/>
    <mergeCell ref="Q686:Q687"/>
    <mergeCell ref="R686:R687"/>
    <mergeCell ref="S686:T687"/>
    <mergeCell ref="AG686:AG687"/>
    <mergeCell ref="AG676:AG677"/>
    <mergeCell ref="AH676:AH677"/>
    <mergeCell ref="AK676:AM677"/>
    <mergeCell ref="A678:M679"/>
    <mergeCell ref="U680:V680"/>
    <mergeCell ref="AC680:AD680"/>
    <mergeCell ref="A681:A682"/>
    <mergeCell ref="C681:N682"/>
    <mergeCell ref="O681:O682"/>
    <mergeCell ref="P681:P682"/>
    <mergeCell ref="Q681:Q682"/>
    <mergeCell ref="R681:R682"/>
    <mergeCell ref="S681:T682"/>
    <mergeCell ref="A673:M674"/>
    <mergeCell ref="U675:V675"/>
    <mergeCell ref="AC675:AD675"/>
    <mergeCell ref="A676:A677"/>
    <mergeCell ref="C676:N677"/>
    <mergeCell ref="O676:O677"/>
    <mergeCell ref="P676:P677"/>
    <mergeCell ref="Q676:Q677"/>
    <mergeCell ref="R676:R677"/>
    <mergeCell ref="S676:T677"/>
    <mergeCell ref="A683:M684"/>
    <mergeCell ref="AC685:AD685"/>
    <mergeCell ref="AK666:AM667"/>
    <mergeCell ref="A668:M669"/>
    <mergeCell ref="U670:V670"/>
    <mergeCell ref="AC670:AD670"/>
    <mergeCell ref="A671:A672"/>
    <mergeCell ref="C671:N672"/>
    <mergeCell ref="O671:O672"/>
    <mergeCell ref="P671:P672"/>
    <mergeCell ref="Q671:Q672"/>
    <mergeCell ref="R671:R672"/>
    <mergeCell ref="S671:T672"/>
    <mergeCell ref="AG671:AG672"/>
    <mergeCell ref="AH671:AH672"/>
    <mergeCell ref="AK671:AM672"/>
    <mergeCell ref="AG649:AG650"/>
    <mergeCell ref="AH649:AH650"/>
    <mergeCell ref="A651:M652"/>
    <mergeCell ref="A659:AE659"/>
    <mergeCell ref="A661:A662"/>
    <mergeCell ref="C661:N662"/>
    <mergeCell ref="O661:O662"/>
    <mergeCell ref="P661:P662"/>
    <mergeCell ref="Q661:Q662"/>
    <mergeCell ref="R661:R662"/>
    <mergeCell ref="S661:T662"/>
    <mergeCell ref="A656:M657"/>
    <mergeCell ref="A654:A655"/>
    <mergeCell ref="C654:N655"/>
    <mergeCell ref="O654:O655"/>
    <mergeCell ref="P654:P655"/>
    <mergeCell ref="Q654:Q655"/>
    <mergeCell ref="R654:R655"/>
    <mergeCell ref="C647:P647"/>
    <mergeCell ref="U647:V647"/>
    <mergeCell ref="AC647:AD647"/>
    <mergeCell ref="U648:V648"/>
    <mergeCell ref="AC648:AD648"/>
    <mergeCell ref="A649:A650"/>
    <mergeCell ref="C649:N650"/>
    <mergeCell ref="O649:O650"/>
    <mergeCell ref="P649:P650"/>
    <mergeCell ref="Q649:Q650"/>
    <mergeCell ref="R649:R650"/>
    <mergeCell ref="S649:T650"/>
    <mergeCell ref="U636:V636"/>
    <mergeCell ref="AC636:AD636"/>
    <mergeCell ref="A637:A638"/>
    <mergeCell ref="C637:N638"/>
    <mergeCell ref="O637:O638"/>
    <mergeCell ref="P637:P638"/>
    <mergeCell ref="Q637:Q638"/>
    <mergeCell ref="R637:R638"/>
    <mergeCell ref="S637:T638"/>
    <mergeCell ref="AK552:AM553"/>
    <mergeCell ref="A554:M555"/>
    <mergeCell ref="J625:AD626"/>
    <mergeCell ref="AK625:AU625"/>
    <mergeCell ref="A628:O628"/>
    <mergeCell ref="Y628:Z628"/>
    <mergeCell ref="AB628:AD628"/>
    <mergeCell ref="K559:L559"/>
    <mergeCell ref="K560:L560"/>
    <mergeCell ref="K561:L561"/>
    <mergeCell ref="K562:L562"/>
    <mergeCell ref="K563:L563"/>
    <mergeCell ref="K564:L564"/>
    <mergeCell ref="K565:L565"/>
    <mergeCell ref="K566:L566"/>
    <mergeCell ref="K567:L567"/>
    <mergeCell ref="K568:L568"/>
    <mergeCell ref="K569:L569"/>
    <mergeCell ref="K570:L570"/>
    <mergeCell ref="K571:L571"/>
    <mergeCell ref="K572:L572"/>
    <mergeCell ref="K573:L573"/>
    <mergeCell ref="A552:A553"/>
    <mergeCell ref="C552:N553"/>
    <mergeCell ref="O552:O553"/>
    <mergeCell ref="P552:P553"/>
    <mergeCell ref="Q552:Q553"/>
    <mergeCell ref="R552:R553"/>
    <mergeCell ref="S552:T553"/>
    <mergeCell ref="AG552:AG553"/>
    <mergeCell ref="AH552:AH553"/>
    <mergeCell ref="K580:L580"/>
    <mergeCell ref="AK539:AM540"/>
    <mergeCell ref="A541:M542"/>
    <mergeCell ref="AH529:AH530"/>
    <mergeCell ref="AG534:AG535"/>
    <mergeCell ref="AH534:AH535"/>
    <mergeCell ref="A536:M537"/>
    <mergeCell ref="A539:A540"/>
    <mergeCell ref="C539:N540"/>
    <mergeCell ref="O539:O540"/>
    <mergeCell ref="P539:P540"/>
    <mergeCell ref="Q539:Q540"/>
    <mergeCell ref="R539:R540"/>
    <mergeCell ref="S539:T540"/>
    <mergeCell ref="AG539:AG540"/>
    <mergeCell ref="AH539:AH540"/>
    <mergeCell ref="A524:A525"/>
    <mergeCell ref="C524:N525"/>
    <mergeCell ref="O524:O525"/>
    <mergeCell ref="P524:P525"/>
    <mergeCell ref="Q524:Q525"/>
    <mergeCell ref="R524:R525"/>
    <mergeCell ref="S524:T525"/>
    <mergeCell ref="A526:M527"/>
    <mergeCell ref="AG529:AG530"/>
    <mergeCell ref="AK529:AM530"/>
    <mergeCell ref="A531:M532"/>
    <mergeCell ref="U533:V533"/>
    <mergeCell ref="AC533:AD533"/>
    <mergeCell ref="A534:A535"/>
    <mergeCell ref="C534:N535"/>
    <mergeCell ref="O534:O535"/>
    <mergeCell ref="P534:P535"/>
    <mergeCell ref="AK534:AM535"/>
    <mergeCell ref="U528:V528"/>
    <mergeCell ref="AC528:AD528"/>
    <mergeCell ref="A529:A530"/>
    <mergeCell ref="C529:N530"/>
    <mergeCell ref="O529:O530"/>
    <mergeCell ref="P529:P530"/>
    <mergeCell ref="Q529:Q530"/>
    <mergeCell ref="R529:R530"/>
    <mergeCell ref="S529:T530"/>
    <mergeCell ref="AG514:AG515"/>
    <mergeCell ref="AH514:AH515"/>
    <mergeCell ref="AK514:AM515"/>
    <mergeCell ref="A516:M517"/>
    <mergeCell ref="U518:V518"/>
    <mergeCell ref="AC518:AD518"/>
    <mergeCell ref="A519:A520"/>
    <mergeCell ref="C519:N520"/>
    <mergeCell ref="O519:O520"/>
    <mergeCell ref="P519:P520"/>
    <mergeCell ref="Q519:Q520"/>
    <mergeCell ref="R519:R520"/>
    <mergeCell ref="S519:T520"/>
    <mergeCell ref="AG519:AG520"/>
    <mergeCell ref="AH519:AH520"/>
    <mergeCell ref="AK519:AM520"/>
    <mergeCell ref="A514:A515"/>
    <mergeCell ref="C514:N515"/>
    <mergeCell ref="O514:O515"/>
    <mergeCell ref="P514:P515"/>
    <mergeCell ref="Q514:Q515"/>
    <mergeCell ref="R514:R515"/>
    <mergeCell ref="AG501:AG502"/>
    <mergeCell ref="AH501:AH502"/>
    <mergeCell ref="AK501:AM502"/>
    <mergeCell ref="A503:M504"/>
    <mergeCell ref="A489:AE489"/>
    <mergeCell ref="A507:AE507"/>
    <mergeCell ref="A509:A510"/>
    <mergeCell ref="C509:N510"/>
    <mergeCell ref="O509:O510"/>
    <mergeCell ref="P509:P510"/>
    <mergeCell ref="Q509:Q510"/>
    <mergeCell ref="R509:R510"/>
    <mergeCell ref="S509:T510"/>
    <mergeCell ref="A498:M499"/>
    <mergeCell ref="U500:V500"/>
    <mergeCell ref="AC500:AD500"/>
    <mergeCell ref="A501:A502"/>
    <mergeCell ref="C501:N502"/>
    <mergeCell ref="O501:O502"/>
    <mergeCell ref="P501:P502"/>
    <mergeCell ref="Q501:Q502"/>
    <mergeCell ref="R501:R502"/>
    <mergeCell ref="S501:T502"/>
    <mergeCell ref="C496:N497"/>
    <mergeCell ref="O496:O497"/>
    <mergeCell ref="P496:P497"/>
    <mergeCell ref="Q496:Q497"/>
    <mergeCell ref="R496:R497"/>
    <mergeCell ref="S496:T497"/>
    <mergeCell ref="AG496:AG497"/>
    <mergeCell ref="AH496:AH497"/>
    <mergeCell ref="AK496:AM497"/>
    <mergeCell ref="AK481:AU481"/>
    <mergeCell ref="A491:A492"/>
    <mergeCell ref="C491:N492"/>
    <mergeCell ref="O491:O492"/>
    <mergeCell ref="P491:P492"/>
    <mergeCell ref="Q491:Q492"/>
    <mergeCell ref="R491:R492"/>
    <mergeCell ref="S491:T492"/>
    <mergeCell ref="V486:AC486"/>
    <mergeCell ref="V485:AC485"/>
    <mergeCell ref="AK403:AM404"/>
    <mergeCell ref="A405:M406"/>
    <mergeCell ref="U407:V407"/>
    <mergeCell ref="AC407:AD407"/>
    <mergeCell ref="A408:A409"/>
    <mergeCell ref="C408:N409"/>
    <mergeCell ref="O408:O409"/>
    <mergeCell ref="P408:P409"/>
    <mergeCell ref="Q408:Q409"/>
    <mergeCell ref="R408:R409"/>
    <mergeCell ref="S408:T409"/>
    <mergeCell ref="K412:L412"/>
    <mergeCell ref="K413:L413"/>
    <mergeCell ref="K414:L414"/>
    <mergeCell ref="K415:L415"/>
    <mergeCell ref="K416:L416"/>
    <mergeCell ref="K417:L417"/>
    <mergeCell ref="K418:L418"/>
    <mergeCell ref="K419:L419"/>
    <mergeCell ref="K420:L420"/>
    <mergeCell ref="K432:L432"/>
    <mergeCell ref="K433:L433"/>
    <mergeCell ref="U402:V402"/>
    <mergeCell ref="AC402:AD402"/>
    <mergeCell ref="A403:A404"/>
    <mergeCell ref="C403:N404"/>
    <mergeCell ref="O403:O404"/>
    <mergeCell ref="P403:P404"/>
    <mergeCell ref="Q403:Q404"/>
    <mergeCell ref="R403:R404"/>
    <mergeCell ref="S403:T404"/>
    <mergeCell ref="AK393:AM394"/>
    <mergeCell ref="A395:M396"/>
    <mergeCell ref="U397:V397"/>
    <mergeCell ref="AC397:AD397"/>
    <mergeCell ref="A398:A399"/>
    <mergeCell ref="C398:N399"/>
    <mergeCell ref="O398:O399"/>
    <mergeCell ref="P398:P399"/>
    <mergeCell ref="Q398:Q399"/>
    <mergeCell ref="R398:R399"/>
    <mergeCell ref="S398:T399"/>
    <mergeCell ref="AK398:AM399"/>
    <mergeCell ref="AK372:AM373"/>
    <mergeCell ref="AG377:AG378"/>
    <mergeCell ref="AH377:AH378"/>
    <mergeCell ref="AK377:AM378"/>
    <mergeCell ref="AG382:AG383"/>
    <mergeCell ref="AH382:AH383"/>
    <mergeCell ref="AK382:AM383"/>
    <mergeCell ref="AK351:AM352"/>
    <mergeCell ref="AG356:AG357"/>
    <mergeCell ref="AH356:AH357"/>
    <mergeCell ref="AK356:AM357"/>
    <mergeCell ref="A365:AE365"/>
    <mergeCell ref="AK336:AM337"/>
    <mergeCell ref="A338:M339"/>
    <mergeCell ref="U340:V340"/>
    <mergeCell ref="AC340:AD340"/>
    <mergeCell ref="A341:A342"/>
    <mergeCell ref="C341:N342"/>
    <mergeCell ref="O341:O342"/>
    <mergeCell ref="P341:P342"/>
    <mergeCell ref="Q341:Q342"/>
    <mergeCell ref="R341:R342"/>
    <mergeCell ref="S341:T342"/>
    <mergeCell ref="AG341:AG342"/>
    <mergeCell ref="AH341:AH342"/>
    <mergeCell ref="AK341:AM342"/>
    <mergeCell ref="A336:A337"/>
    <mergeCell ref="C336:N337"/>
    <mergeCell ref="O336:O337"/>
    <mergeCell ref="P336:P337"/>
    <mergeCell ref="AG336:AG337"/>
    <mergeCell ref="AH336:AH337"/>
    <mergeCell ref="Q331:Q332"/>
    <mergeCell ref="R331:R332"/>
    <mergeCell ref="S331:T332"/>
    <mergeCell ref="AG331:AG332"/>
    <mergeCell ref="AH331:AH332"/>
    <mergeCell ref="AK331:AM332"/>
    <mergeCell ref="A333:M334"/>
    <mergeCell ref="U335:V335"/>
    <mergeCell ref="AC335:AD335"/>
    <mergeCell ref="AK314:AU314"/>
    <mergeCell ref="A321:AE322"/>
    <mergeCell ref="A324:AE324"/>
    <mergeCell ref="U325:V325"/>
    <mergeCell ref="AC325:AD325"/>
    <mergeCell ref="A326:A327"/>
    <mergeCell ref="C326:N327"/>
    <mergeCell ref="O326:O327"/>
    <mergeCell ref="P326:P327"/>
    <mergeCell ref="Q326:Q327"/>
    <mergeCell ref="R326:R327"/>
    <mergeCell ref="S326:T327"/>
    <mergeCell ref="AK226:AM227"/>
    <mergeCell ref="U235:V235"/>
    <mergeCell ref="AC235:AD235"/>
    <mergeCell ref="AG236:AG237"/>
    <mergeCell ref="AH236:AH237"/>
    <mergeCell ref="AK236:AM237"/>
    <mergeCell ref="U240:V240"/>
    <mergeCell ref="AC240:AD240"/>
    <mergeCell ref="A241:A242"/>
    <mergeCell ref="C241:N242"/>
    <mergeCell ref="O241:O242"/>
    <mergeCell ref="P241:P242"/>
    <mergeCell ref="Q241:Q242"/>
    <mergeCell ref="R241:R242"/>
    <mergeCell ref="S241:T242"/>
    <mergeCell ref="AG241:AG242"/>
    <mergeCell ref="AH241:AH242"/>
    <mergeCell ref="AK241:AM242"/>
    <mergeCell ref="A228:M229"/>
    <mergeCell ref="AH226:AH227"/>
    <mergeCell ref="AG221:AG222"/>
    <mergeCell ref="AH221:AH222"/>
    <mergeCell ref="AK221:AM222"/>
    <mergeCell ref="K166:L166"/>
    <mergeCell ref="K156:L156"/>
    <mergeCell ref="K157:L157"/>
    <mergeCell ref="K158:L158"/>
    <mergeCell ref="AG200:AG201"/>
    <mergeCell ref="AH200:AH201"/>
    <mergeCell ref="AG202:AG203"/>
    <mergeCell ref="AH202:AH203"/>
    <mergeCell ref="AK206:AM207"/>
    <mergeCell ref="A208:M209"/>
    <mergeCell ref="U210:V210"/>
    <mergeCell ref="AC210:AD210"/>
    <mergeCell ref="A211:A212"/>
    <mergeCell ref="C211:N212"/>
    <mergeCell ref="O211:O212"/>
    <mergeCell ref="P211:P212"/>
    <mergeCell ref="Q211:Q212"/>
    <mergeCell ref="R211:R212"/>
    <mergeCell ref="S211:T212"/>
    <mergeCell ref="AG211:AG212"/>
    <mergeCell ref="AH211:AH212"/>
    <mergeCell ref="AK211:AM212"/>
    <mergeCell ref="AK195:AM196"/>
    <mergeCell ref="A197:M198"/>
    <mergeCell ref="AK185:AM186"/>
    <mergeCell ref="A187:M188"/>
    <mergeCell ref="AG190:AG191"/>
    <mergeCell ref="AH190:AH191"/>
    <mergeCell ref="AK190:AM191"/>
    <mergeCell ref="AG195:AG196"/>
    <mergeCell ref="AH195:AH196"/>
    <mergeCell ref="A216:A217"/>
    <mergeCell ref="C216:N217"/>
    <mergeCell ref="P180:P181"/>
    <mergeCell ref="Q180:Q181"/>
    <mergeCell ref="R180:R181"/>
    <mergeCell ref="S180:T181"/>
    <mergeCell ref="A203:M204"/>
    <mergeCell ref="U205:V205"/>
    <mergeCell ref="AC205:AD205"/>
    <mergeCell ref="A206:A207"/>
    <mergeCell ref="C206:N207"/>
    <mergeCell ref="O206:O207"/>
    <mergeCell ref="P206:P207"/>
    <mergeCell ref="Q206:Q207"/>
    <mergeCell ref="R206:R207"/>
    <mergeCell ref="S206:T207"/>
    <mergeCell ref="A199:AE199"/>
    <mergeCell ref="U200:V200"/>
    <mergeCell ref="U381:V381"/>
    <mergeCell ref="AC381:AD381"/>
    <mergeCell ref="A382:A383"/>
    <mergeCell ref="C382:N383"/>
    <mergeCell ref="O382:O383"/>
    <mergeCell ref="P382:P383"/>
    <mergeCell ref="Q382:Q383"/>
    <mergeCell ref="R382:R383"/>
    <mergeCell ref="S382:T383"/>
    <mergeCell ref="K276:L276"/>
    <mergeCell ref="K277:L277"/>
    <mergeCell ref="K278:L278"/>
    <mergeCell ref="K279:L279"/>
    <mergeCell ref="K280:L280"/>
    <mergeCell ref="K281:L281"/>
    <mergeCell ref="K282:L282"/>
    <mergeCell ref="U189:V189"/>
    <mergeCell ref="AC189:AD189"/>
    <mergeCell ref="A190:A191"/>
    <mergeCell ref="C190:N191"/>
    <mergeCell ref="O190:O191"/>
    <mergeCell ref="P190:P191"/>
    <mergeCell ref="Q190:Q191"/>
    <mergeCell ref="R190:R191"/>
    <mergeCell ref="S190:T191"/>
    <mergeCell ref="A218:M219"/>
    <mergeCell ref="U220:V220"/>
    <mergeCell ref="AC220:AD220"/>
    <mergeCell ref="S336:T337"/>
    <mergeCell ref="U366:V366"/>
    <mergeCell ref="AC366:AD366"/>
    <mergeCell ref="AK168:AU168"/>
    <mergeCell ref="A363:M364"/>
    <mergeCell ref="A317:O317"/>
    <mergeCell ref="J314:AD315"/>
    <mergeCell ref="A318:L319"/>
    <mergeCell ref="O318:Q318"/>
    <mergeCell ref="S318:T318"/>
    <mergeCell ref="O319:Q319"/>
    <mergeCell ref="S319:T319"/>
    <mergeCell ref="V173:AC173"/>
    <mergeCell ref="V318:AC318"/>
    <mergeCell ref="V319:AC319"/>
    <mergeCell ref="Y317:Z317"/>
    <mergeCell ref="AB317:AD317"/>
    <mergeCell ref="C221:N222"/>
    <mergeCell ref="O221:O222"/>
    <mergeCell ref="P221:P222"/>
    <mergeCell ref="Q221:Q222"/>
    <mergeCell ref="R221:R222"/>
    <mergeCell ref="O216:O217"/>
    <mergeCell ref="P216:P217"/>
    <mergeCell ref="Q216:Q217"/>
    <mergeCell ref="R216:R217"/>
    <mergeCell ref="AG226:AG227"/>
    <mergeCell ref="AC200:AD200"/>
    <mergeCell ref="A201:A202"/>
    <mergeCell ref="C201:N202"/>
    <mergeCell ref="O201:O202"/>
    <mergeCell ref="P201:P202"/>
    <mergeCell ref="Q201:Q202"/>
    <mergeCell ref="R201:R202"/>
    <mergeCell ref="S201:T202"/>
    <mergeCell ref="AG185:AG186"/>
    <mergeCell ref="AH185:AH186"/>
    <mergeCell ref="A223:M224"/>
    <mergeCell ref="U225:V225"/>
    <mergeCell ref="AC225:AD225"/>
    <mergeCell ref="A213:M214"/>
    <mergeCell ref="C180:N181"/>
    <mergeCell ref="A86:M87"/>
    <mergeCell ref="A89:A90"/>
    <mergeCell ref="C89:N90"/>
    <mergeCell ref="O89:O90"/>
    <mergeCell ref="P89:P90"/>
    <mergeCell ref="Q89:Q90"/>
    <mergeCell ref="R89:R90"/>
    <mergeCell ref="R95:R96"/>
    <mergeCell ref="A97:M98"/>
    <mergeCell ref="A171:O171"/>
    <mergeCell ref="J168:AD169"/>
    <mergeCell ref="K126:L126"/>
    <mergeCell ref="K127:L127"/>
    <mergeCell ref="K128:L128"/>
    <mergeCell ref="K129:L129"/>
    <mergeCell ref="AG89:AG90"/>
    <mergeCell ref="A175:AE176"/>
    <mergeCell ref="A178:AE178"/>
    <mergeCell ref="U179:V179"/>
    <mergeCell ref="AC179:AD179"/>
    <mergeCell ref="A180:A181"/>
    <mergeCell ref="K120:L120"/>
    <mergeCell ref="K121:L121"/>
    <mergeCell ref="K122:L122"/>
    <mergeCell ref="K123:L123"/>
    <mergeCell ref="O64:O65"/>
    <mergeCell ref="A69:A70"/>
    <mergeCell ref="A71:M72"/>
    <mergeCell ref="U42:V42"/>
    <mergeCell ref="AC42:AD42"/>
    <mergeCell ref="A59:A60"/>
    <mergeCell ref="C59:N60"/>
    <mergeCell ref="O59:O60"/>
    <mergeCell ref="P59:P60"/>
    <mergeCell ref="Q59:Q60"/>
    <mergeCell ref="R59:R60"/>
    <mergeCell ref="U73:V73"/>
    <mergeCell ref="AC73:AD73"/>
    <mergeCell ref="A369:M370"/>
    <mergeCell ref="Y171:Z171"/>
    <mergeCell ref="AB171:AD171"/>
    <mergeCell ref="A172:L173"/>
    <mergeCell ref="O172:Q172"/>
    <mergeCell ref="S172:T172"/>
    <mergeCell ref="O173:Q173"/>
    <mergeCell ref="S173:T173"/>
    <mergeCell ref="V172:AC172"/>
    <mergeCell ref="K283:L283"/>
    <mergeCell ref="K284:L284"/>
    <mergeCell ref="K285:L285"/>
    <mergeCell ref="A57:AE57"/>
    <mergeCell ref="K124:L124"/>
    <mergeCell ref="K125:L125"/>
    <mergeCell ref="AK2:AU2"/>
    <mergeCell ref="C5:AD5"/>
    <mergeCell ref="B6:B7"/>
    <mergeCell ref="C6:Q6"/>
    <mergeCell ref="T6:W6"/>
    <mergeCell ref="V9:X9"/>
    <mergeCell ref="A12:AD13"/>
    <mergeCell ref="A14:L15"/>
    <mergeCell ref="O14:Q14"/>
    <mergeCell ref="O15:Q15"/>
    <mergeCell ref="J2:AD3"/>
    <mergeCell ref="S14:T14"/>
    <mergeCell ref="S15:T15"/>
    <mergeCell ref="W14:AD14"/>
    <mergeCell ref="W15:AD15"/>
    <mergeCell ref="T7:W7"/>
    <mergeCell ref="AG20:AH20"/>
    <mergeCell ref="A17:AE18"/>
    <mergeCell ref="A20:AE20"/>
    <mergeCell ref="U21:V21"/>
    <mergeCell ref="AC21:AD21"/>
    <mergeCell ref="A22:A23"/>
    <mergeCell ref="C22:N23"/>
    <mergeCell ref="O22:O23"/>
    <mergeCell ref="P22:P23"/>
    <mergeCell ref="Q22:Q23"/>
    <mergeCell ref="R22:R23"/>
    <mergeCell ref="AG22:AG23"/>
    <mergeCell ref="AH22:AH23"/>
    <mergeCell ref="S22:T23"/>
    <mergeCell ref="AG27:AG28"/>
    <mergeCell ref="AH27:AH28"/>
    <mergeCell ref="AK27:AM28"/>
    <mergeCell ref="A29:M30"/>
    <mergeCell ref="U32:V32"/>
    <mergeCell ref="AC32:AD32"/>
    <mergeCell ref="A27:A28"/>
    <mergeCell ref="C27:N28"/>
    <mergeCell ref="O27:O28"/>
    <mergeCell ref="P27:P28"/>
    <mergeCell ref="Q27:Q28"/>
    <mergeCell ref="R27:R28"/>
    <mergeCell ref="S27:T28"/>
    <mergeCell ref="A31:AE31"/>
    <mergeCell ref="A24:M25"/>
    <mergeCell ref="U26:V26"/>
    <mergeCell ref="AC26:AD26"/>
    <mergeCell ref="AG33:AG34"/>
    <mergeCell ref="AH33:AH34"/>
    <mergeCell ref="AK33:AM34"/>
    <mergeCell ref="A35:M36"/>
    <mergeCell ref="U37:V37"/>
    <mergeCell ref="AC37:AD37"/>
    <mergeCell ref="A33:A34"/>
    <mergeCell ref="C33:N34"/>
    <mergeCell ref="O33:O34"/>
    <mergeCell ref="P33:P34"/>
    <mergeCell ref="Q33:Q34"/>
    <mergeCell ref="R33:R34"/>
    <mergeCell ref="S33:T34"/>
    <mergeCell ref="AG38:AG39"/>
    <mergeCell ref="AH38:AH39"/>
    <mergeCell ref="AK38:AM39"/>
    <mergeCell ref="A40:M41"/>
    <mergeCell ref="A38:A39"/>
    <mergeCell ref="C38:N39"/>
    <mergeCell ref="O38:O39"/>
    <mergeCell ref="P38:P39"/>
    <mergeCell ref="Q38:Q39"/>
    <mergeCell ref="R38:R39"/>
    <mergeCell ref="S38:T39"/>
    <mergeCell ref="AG43:AG44"/>
    <mergeCell ref="AH43:AH44"/>
    <mergeCell ref="AK43:AM44"/>
    <mergeCell ref="A45:M46"/>
    <mergeCell ref="U47:V47"/>
    <mergeCell ref="AC47:AD47"/>
    <mergeCell ref="A43:A44"/>
    <mergeCell ref="C43:N44"/>
    <mergeCell ref="O43:O44"/>
    <mergeCell ref="P43:P44"/>
    <mergeCell ref="Q43:Q44"/>
    <mergeCell ref="R43:R44"/>
    <mergeCell ref="S43:T44"/>
    <mergeCell ref="AH59:AH60"/>
    <mergeCell ref="A61:M62"/>
    <mergeCell ref="S53:T54"/>
    <mergeCell ref="S59:T60"/>
    <mergeCell ref="AG48:AG49"/>
    <mergeCell ref="AH48:AH49"/>
    <mergeCell ref="AK48:AM49"/>
    <mergeCell ref="A50:M51"/>
    <mergeCell ref="U52:V52"/>
    <mergeCell ref="AC52:AD52"/>
    <mergeCell ref="A48:A49"/>
    <mergeCell ref="C48:N49"/>
    <mergeCell ref="O48:O49"/>
    <mergeCell ref="P48:P49"/>
    <mergeCell ref="Q48:Q49"/>
    <mergeCell ref="R48:R49"/>
    <mergeCell ref="S48:T49"/>
    <mergeCell ref="U58:V58"/>
    <mergeCell ref="AC58:AD58"/>
    <mergeCell ref="AG59:AG60"/>
    <mergeCell ref="AG53:AG54"/>
    <mergeCell ref="AH53:AH54"/>
    <mergeCell ref="AK53:AM54"/>
    <mergeCell ref="A55:M56"/>
    <mergeCell ref="A53:A54"/>
    <mergeCell ref="C53:N54"/>
    <mergeCell ref="O53:O54"/>
    <mergeCell ref="P53:P54"/>
    <mergeCell ref="Q53:Q54"/>
    <mergeCell ref="R53:R54"/>
    <mergeCell ref="AG69:AG70"/>
    <mergeCell ref="AH69:AH70"/>
    <mergeCell ref="P64:P65"/>
    <mergeCell ref="Q64:Q65"/>
    <mergeCell ref="R64:R65"/>
    <mergeCell ref="AG64:AG65"/>
    <mergeCell ref="AH64:AH65"/>
    <mergeCell ref="A66:M67"/>
    <mergeCell ref="U68:V68"/>
    <mergeCell ref="AC68:AD68"/>
    <mergeCell ref="S64:T65"/>
    <mergeCell ref="S69:T70"/>
    <mergeCell ref="C69:N70"/>
    <mergeCell ref="O69:O70"/>
    <mergeCell ref="P69:P70"/>
    <mergeCell ref="Q69:Q70"/>
    <mergeCell ref="R69:R70"/>
    <mergeCell ref="U63:V63"/>
    <mergeCell ref="AC63:AD63"/>
    <mergeCell ref="A64:A65"/>
    <mergeCell ref="C64:N65"/>
    <mergeCell ref="AG74:AG75"/>
    <mergeCell ref="AH74:AH75"/>
    <mergeCell ref="A76:M77"/>
    <mergeCell ref="A84:A85"/>
    <mergeCell ref="C84:N85"/>
    <mergeCell ref="O84:O85"/>
    <mergeCell ref="P84:P85"/>
    <mergeCell ref="Q84:Q85"/>
    <mergeCell ref="R84:R85"/>
    <mergeCell ref="AG84:AG85"/>
    <mergeCell ref="AH84:AH85"/>
    <mergeCell ref="AG79:AG80"/>
    <mergeCell ref="AH79:AH80"/>
    <mergeCell ref="A81:M82"/>
    <mergeCell ref="S74:T75"/>
    <mergeCell ref="S79:T80"/>
    <mergeCell ref="S84:T85"/>
    <mergeCell ref="A74:A75"/>
    <mergeCell ref="C74:N75"/>
    <mergeCell ref="O74:O75"/>
    <mergeCell ref="P74:P75"/>
    <mergeCell ref="Q74:Q75"/>
    <mergeCell ref="R74:R75"/>
    <mergeCell ref="U78:V78"/>
    <mergeCell ref="AC78:AD78"/>
    <mergeCell ref="A79:A80"/>
    <mergeCell ref="C79:N80"/>
    <mergeCell ref="O79:O80"/>
    <mergeCell ref="P79:P80"/>
    <mergeCell ref="Q79:Q80"/>
    <mergeCell ref="R79:R80"/>
    <mergeCell ref="AH89:AH90"/>
    <mergeCell ref="A91:M92"/>
    <mergeCell ref="U94:V94"/>
    <mergeCell ref="AC94:AD94"/>
    <mergeCell ref="A95:A96"/>
    <mergeCell ref="C95:N96"/>
    <mergeCell ref="O95:O96"/>
    <mergeCell ref="P95:P96"/>
    <mergeCell ref="Q95:Q96"/>
    <mergeCell ref="AG95:AG96"/>
    <mergeCell ref="AH95:AH96"/>
    <mergeCell ref="S89:T90"/>
    <mergeCell ref="S95:T96"/>
    <mergeCell ref="C93:S93"/>
    <mergeCell ref="K119:L119"/>
    <mergeCell ref="K130:L130"/>
    <mergeCell ref="K131:L131"/>
    <mergeCell ref="K132:L132"/>
    <mergeCell ref="K133:L133"/>
    <mergeCell ref="K134:L134"/>
    <mergeCell ref="K135:L135"/>
    <mergeCell ref="U215:V215"/>
    <mergeCell ref="AC215:AD215"/>
    <mergeCell ref="A182:M183"/>
    <mergeCell ref="K136:L136"/>
    <mergeCell ref="K137:L137"/>
    <mergeCell ref="K138:L138"/>
    <mergeCell ref="K139:L139"/>
    <mergeCell ref="K140:L140"/>
    <mergeCell ref="K141:L141"/>
    <mergeCell ref="K142:L142"/>
    <mergeCell ref="K143:L143"/>
    <mergeCell ref="K152:L152"/>
    <mergeCell ref="K153:L153"/>
    <mergeCell ref="U184:V184"/>
    <mergeCell ref="AC184:AD184"/>
    <mergeCell ref="A185:A186"/>
    <mergeCell ref="C185:N186"/>
    <mergeCell ref="O185:O186"/>
    <mergeCell ref="P185:P186"/>
    <mergeCell ref="Q185:Q186"/>
    <mergeCell ref="R185:R186"/>
    <mergeCell ref="S185:T186"/>
    <mergeCell ref="K154:L154"/>
    <mergeCell ref="K159:L159"/>
    <mergeCell ref="K164:L164"/>
    <mergeCell ref="K144:L144"/>
    <mergeCell ref="A192:M193"/>
    <mergeCell ref="K160:L160"/>
    <mergeCell ref="K161:L161"/>
    <mergeCell ref="K162:L162"/>
    <mergeCell ref="K163:L163"/>
    <mergeCell ref="A226:A227"/>
    <mergeCell ref="C226:N227"/>
    <mergeCell ref="O226:O227"/>
    <mergeCell ref="P226:P227"/>
    <mergeCell ref="Q226:Q227"/>
    <mergeCell ref="R226:R227"/>
    <mergeCell ref="U194:V194"/>
    <mergeCell ref="AC194:AD194"/>
    <mergeCell ref="A195:A196"/>
    <mergeCell ref="C195:N196"/>
    <mergeCell ref="O195:O196"/>
    <mergeCell ref="P195:P196"/>
    <mergeCell ref="Q195:Q196"/>
    <mergeCell ref="R195:R196"/>
    <mergeCell ref="S195:T196"/>
    <mergeCell ref="O180:O181"/>
    <mergeCell ref="K145:L145"/>
    <mergeCell ref="K146:L146"/>
    <mergeCell ref="K147:L147"/>
    <mergeCell ref="K165:L165"/>
    <mergeCell ref="K148:L148"/>
    <mergeCell ref="K149:L149"/>
    <mergeCell ref="K150:L150"/>
    <mergeCell ref="K151:L151"/>
    <mergeCell ref="K155:L155"/>
    <mergeCell ref="AG234:AG235"/>
    <mergeCell ref="AH234:AH235"/>
    <mergeCell ref="A238:M239"/>
    <mergeCell ref="A233:M234"/>
    <mergeCell ref="A236:A237"/>
    <mergeCell ref="C236:N237"/>
    <mergeCell ref="O236:O237"/>
    <mergeCell ref="P236:P237"/>
    <mergeCell ref="Q236:Q237"/>
    <mergeCell ref="R236:R237"/>
    <mergeCell ref="A231:A232"/>
    <mergeCell ref="C231:N232"/>
    <mergeCell ref="O231:O232"/>
    <mergeCell ref="P231:P232"/>
    <mergeCell ref="Q231:Q232"/>
    <mergeCell ref="R231:R232"/>
    <mergeCell ref="S231:T232"/>
    <mergeCell ref="S236:T237"/>
    <mergeCell ref="S233:T234"/>
    <mergeCell ref="S216:T217"/>
    <mergeCell ref="S221:T222"/>
    <mergeCell ref="S226:T227"/>
    <mergeCell ref="A221:A222"/>
    <mergeCell ref="K264:L264"/>
    <mergeCell ref="K265:L265"/>
    <mergeCell ref="K266:L266"/>
    <mergeCell ref="K267:L267"/>
    <mergeCell ref="K268:L268"/>
    <mergeCell ref="K269:L269"/>
    <mergeCell ref="K270:L270"/>
    <mergeCell ref="K271:L271"/>
    <mergeCell ref="K272:L272"/>
    <mergeCell ref="A243:M244"/>
    <mergeCell ref="K245:L245"/>
    <mergeCell ref="K246:L246"/>
    <mergeCell ref="A328:M329"/>
    <mergeCell ref="K247:L247"/>
    <mergeCell ref="K248:L248"/>
    <mergeCell ref="K249:L249"/>
    <mergeCell ref="K250:L250"/>
    <mergeCell ref="K251:L251"/>
    <mergeCell ref="K252:L252"/>
    <mergeCell ref="K253:L253"/>
    <mergeCell ref="K273:L273"/>
    <mergeCell ref="K274:L274"/>
    <mergeCell ref="K275:L275"/>
    <mergeCell ref="K286:L286"/>
    <mergeCell ref="K287:L287"/>
    <mergeCell ref="K298:L298"/>
    <mergeCell ref="K299:L299"/>
    <mergeCell ref="K300:L300"/>
    <mergeCell ref="K301:L301"/>
    <mergeCell ref="K302:L302"/>
    <mergeCell ref="K303:L303"/>
    <mergeCell ref="K304:L304"/>
    <mergeCell ref="AG351:AG352"/>
    <mergeCell ref="AH351:AH352"/>
    <mergeCell ref="K288:L288"/>
    <mergeCell ref="K289:L289"/>
    <mergeCell ref="K290:L290"/>
    <mergeCell ref="K291:L291"/>
    <mergeCell ref="K292:L292"/>
    <mergeCell ref="K293:L293"/>
    <mergeCell ref="K294:L294"/>
    <mergeCell ref="K295:L295"/>
    <mergeCell ref="K296:L296"/>
    <mergeCell ref="K297:L297"/>
    <mergeCell ref="U345:V345"/>
    <mergeCell ref="AC345:AD345"/>
    <mergeCell ref="A343:M344"/>
    <mergeCell ref="K254:L254"/>
    <mergeCell ref="K255:L255"/>
    <mergeCell ref="K256:L256"/>
    <mergeCell ref="K257:L257"/>
    <mergeCell ref="K258:L258"/>
    <mergeCell ref="K259:L259"/>
    <mergeCell ref="K260:L260"/>
    <mergeCell ref="K261:L261"/>
    <mergeCell ref="K262:L262"/>
    <mergeCell ref="K263:L263"/>
    <mergeCell ref="A348:M349"/>
    <mergeCell ref="U350:V350"/>
    <mergeCell ref="AC350:AD350"/>
    <mergeCell ref="A346:A347"/>
    <mergeCell ref="C346:N347"/>
    <mergeCell ref="O346:O347"/>
    <mergeCell ref="P346:P347"/>
    <mergeCell ref="K305:L305"/>
    <mergeCell ref="K306:L306"/>
    <mergeCell ref="K307:L307"/>
    <mergeCell ref="K308:L308"/>
    <mergeCell ref="K309:L309"/>
    <mergeCell ref="A353:M354"/>
    <mergeCell ref="U355:V355"/>
    <mergeCell ref="AC355:AD355"/>
    <mergeCell ref="A351:A352"/>
    <mergeCell ref="C351:N352"/>
    <mergeCell ref="O351:O352"/>
    <mergeCell ref="P351:P352"/>
    <mergeCell ref="Q351:Q352"/>
    <mergeCell ref="R351:R352"/>
    <mergeCell ref="S351:T352"/>
    <mergeCell ref="Q346:Q347"/>
    <mergeCell ref="R346:R347"/>
    <mergeCell ref="S346:T347"/>
    <mergeCell ref="U330:V330"/>
    <mergeCell ref="AC330:AD330"/>
    <mergeCell ref="A331:A332"/>
    <mergeCell ref="C331:N332"/>
    <mergeCell ref="O331:O332"/>
    <mergeCell ref="P331:P332"/>
    <mergeCell ref="Q336:Q337"/>
    <mergeCell ref="K577:L577"/>
    <mergeCell ref="K578:L578"/>
    <mergeCell ref="K579:L579"/>
    <mergeCell ref="A361:A362"/>
    <mergeCell ref="C361:N362"/>
    <mergeCell ref="O361:O362"/>
    <mergeCell ref="P361:P362"/>
    <mergeCell ref="Q361:Q362"/>
    <mergeCell ref="R361:R362"/>
    <mergeCell ref="S361:T362"/>
    <mergeCell ref="K310:L310"/>
    <mergeCell ref="K311:L311"/>
    <mergeCell ref="K312:L312"/>
    <mergeCell ref="AC371:AD371"/>
    <mergeCell ref="A367:A368"/>
    <mergeCell ref="C367:N368"/>
    <mergeCell ref="O367:O368"/>
    <mergeCell ref="P367:P368"/>
    <mergeCell ref="Q367:Q368"/>
    <mergeCell ref="S367:T368"/>
    <mergeCell ref="R367:R368"/>
    <mergeCell ref="A358:M359"/>
    <mergeCell ref="U360:V360"/>
    <mergeCell ref="AC360:AD360"/>
    <mergeCell ref="A356:A357"/>
    <mergeCell ref="C356:N357"/>
    <mergeCell ref="O356:O357"/>
    <mergeCell ref="P356:P357"/>
    <mergeCell ref="Q356:Q357"/>
    <mergeCell ref="R356:R357"/>
    <mergeCell ref="S356:T357"/>
    <mergeCell ref="R336:R337"/>
    <mergeCell ref="AG643:AG644"/>
    <mergeCell ref="AH643:AH644"/>
    <mergeCell ref="A645:M646"/>
    <mergeCell ref="AC495:AD495"/>
    <mergeCell ref="A496:A497"/>
    <mergeCell ref="K421:L421"/>
    <mergeCell ref="U641:V641"/>
    <mergeCell ref="AC641:AD641"/>
    <mergeCell ref="A629:L630"/>
    <mergeCell ref="O629:Q629"/>
    <mergeCell ref="S629:T629"/>
    <mergeCell ref="V629:AC629"/>
    <mergeCell ref="O630:Q630"/>
    <mergeCell ref="S630:T630"/>
    <mergeCell ref="V630:AC630"/>
    <mergeCell ref="A633:AE633"/>
    <mergeCell ref="S653:T653"/>
    <mergeCell ref="AG637:AG638"/>
    <mergeCell ref="AH637:AH638"/>
    <mergeCell ref="A639:M640"/>
    <mergeCell ref="U642:V642"/>
    <mergeCell ref="AC642:AD642"/>
    <mergeCell ref="A643:A644"/>
    <mergeCell ref="C643:N644"/>
    <mergeCell ref="O643:O644"/>
    <mergeCell ref="P643:P644"/>
    <mergeCell ref="Q643:Q644"/>
    <mergeCell ref="R643:R644"/>
    <mergeCell ref="S643:T644"/>
    <mergeCell ref="K574:L574"/>
    <mergeCell ref="K575:L575"/>
    <mergeCell ref="K576:L576"/>
    <mergeCell ref="K581:L581"/>
    <mergeCell ref="K582:L582"/>
    <mergeCell ref="K583:L583"/>
    <mergeCell ref="K584:L584"/>
    <mergeCell ref="A768:P768"/>
    <mergeCell ref="P772:R772"/>
    <mergeCell ref="AG701:AG702"/>
    <mergeCell ref="AH701:AH702"/>
    <mergeCell ref="A705:M706"/>
    <mergeCell ref="A703:A704"/>
    <mergeCell ref="C703:N704"/>
    <mergeCell ref="O703:O704"/>
    <mergeCell ref="P703:P704"/>
    <mergeCell ref="Q703:Q704"/>
    <mergeCell ref="R703:R704"/>
    <mergeCell ref="S703:T704"/>
    <mergeCell ref="A701:N701"/>
    <mergeCell ref="U685:V685"/>
    <mergeCell ref="S654:T655"/>
    <mergeCell ref="A663:M664"/>
    <mergeCell ref="U665:V665"/>
    <mergeCell ref="AC665:AD665"/>
    <mergeCell ref="A666:A667"/>
    <mergeCell ref="C666:N667"/>
    <mergeCell ref="O666:O667"/>
    <mergeCell ref="P666:P667"/>
    <mergeCell ref="Q666:Q667"/>
    <mergeCell ref="R666:R667"/>
    <mergeCell ref="S666:T667"/>
    <mergeCell ref="AG666:AG667"/>
    <mergeCell ref="AH666:AH667"/>
    <mergeCell ref="C641:P641"/>
    <mergeCell ref="O485:Q485"/>
    <mergeCell ref="S485:T485"/>
    <mergeCell ref="O486:Q486"/>
    <mergeCell ref="S486:T486"/>
    <mergeCell ref="A410:M411"/>
    <mergeCell ref="K422:L422"/>
    <mergeCell ref="K423:L423"/>
    <mergeCell ref="K424:L424"/>
    <mergeCell ref="K425:L425"/>
    <mergeCell ref="K426:L426"/>
    <mergeCell ref="K427:L427"/>
    <mergeCell ref="K428:L428"/>
    <mergeCell ref="K429:L429"/>
    <mergeCell ref="K430:L430"/>
    <mergeCell ref="K431:L431"/>
    <mergeCell ref="A379:M380"/>
    <mergeCell ref="A390:M391"/>
    <mergeCell ref="A393:A394"/>
    <mergeCell ref="C393:N394"/>
    <mergeCell ref="O393:O394"/>
    <mergeCell ref="P393:P394"/>
    <mergeCell ref="Q393:Q394"/>
    <mergeCell ref="R393:R394"/>
    <mergeCell ref="S393:T394"/>
    <mergeCell ref="A386:AE386"/>
    <mergeCell ref="U387:V387"/>
    <mergeCell ref="AC387:AD387"/>
    <mergeCell ref="A388:A389"/>
    <mergeCell ref="C388:N389"/>
    <mergeCell ref="O388:O389"/>
    <mergeCell ref="P388:P389"/>
    <mergeCell ref="A384:M385"/>
    <mergeCell ref="A374:M375"/>
    <mergeCell ref="AG372:AG373"/>
    <mergeCell ref="AH372:AH373"/>
    <mergeCell ref="Q377:Q378"/>
    <mergeCell ref="U376:V376"/>
    <mergeCell ref="AC376:AD376"/>
    <mergeCell ref="A372:A373"/>
    <mergeCell ref="C372:N373"/>
    <mergeCell ref="O372:O373"/>
    <mergeCell ref="P372:P373"/>
    <mergeCell ref="Q372:Q373"/>
    <mergeCell ref="R372:R373"/>
    <mergeCell ref="S372:T373"/>
    <mergeCell ref="U371:V371"/>
    <mergeCell ref="AG403:AG404"/>
    <mergeCell ref="AH403:AH404"/>
    <mergeCell ref="AG398:AG399"/>
    <mergeCell ref="AH398:AH399"/>
    <mergeCell ref="AG393:AG394"/>
    <mergeCell ref="AH393:AH394"/>
    <mergeCell ref="A377:A378"/>
    <mergeCell ref="C377:N378"/>
    <mergeCell ref="O377:O378"/>
    <mergeCell ref="P377:P378"/>
    <mergeCell ref="R377:R378"/>
    <mergeCell ref="S377:T378"/>
    <mergeCell ref="U392:V392"/>
    <mergeCell ref="AC392:AD392"/>
    <mergeCell ref="Q388:Q389"/>
    <mergeCell ref="R388:R389"/>
    <mergeCell ref="S388:T389"/>
    <mergeCell ref="A400:M401"/>
  </mergeCells>
  <printOptions horizontalCentered="1"/>
  <pageMargins left="3.937007874015748E-2" right="3.937007874015748E-2" top="0.35433070866141736" bottom="0.35433070866141736" header="0.31496062992125984" footer="0.31496062992125984"/>
  <pageSetup paperSize="9" scale="90" orientation="portrait" r:id="rId1"/>
  <headerFooter differentFirst="1">
    <oddFooter>&amp;C&amp;"-,Normale"&amp;11&amp;K0000FFAnalisi degli Acidi Organici - Profilo Nutrizionale e Metabolico&amp;R           Pagina &amp;P di &amp;N&amp;K00+000&amp;A&amp;D</oddFooter>
    <firstFooter xml:space="preserve">&amp;C&amp;"-,Normale"&amp;11&amp;K0000FFAnalisi degli Acidi Organici - Profilo Nutrizionale e Metabolico&amp;R&amp;"-,Normale"&amp;11Pagina &amp;P di &amp;N&amp;K00+000&amp;A&amp;D &amp;9                 </firstFooter>
  </headerFooter>
  <rowBreaks count="9" manualBreakCount="9">
    <brk id="98" max="30" man="1"/>
    <brk id="166" max="30" man="1"/>
    <brk id="244" max="30" man="1"/>
    <brk id="312" max="30" man="1"/>
    <brk id="411" max="30" man="1"/>
    <brk id="479" max="30" man="1"/>
    <brk id="555" max="30" man="1"/>
    <brk id="623" max="30" man="1"/>
    <brk id="707" max="30" man="1"/>
  </rowBreaks>
  <colBreaks count="1" manualBreakCount="1">
    <brk id="31" max="419" man="1"/>
  </col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3">
              <controlPr defaultSize="0" print="0" autoFill="0" autoPict="0" macro="[0]!valuta">
                <anchor moveWithCells="1" sizeWithCells="1">
                  <from>
                    <xdr:col>32</xdr:col>
                    <xdr:colOff>9525</xdr:colOff>
                    <xdr:row>10</xdr:row>
                    <xdr:rowOff>161925</xdr:rowOff>
                  </from>
                  <to>
                    <xdr:col>33</xdr:col>
                    <xdr:colOff>219075</xdr:colOff>
                    <xdr:row>12</xdr:row>
                    <xdr:rowOff>19050</xdr:rowOff>
                  </to>
                </anchor>
              </controlPr>
            </control>
          </mc:Choice>
        </mc:AlternateContent>
        <mc:AlternateContent xmlns:mc="http://schemas.openxmlformats.org/markup-compatibility/2006">
          <mc:Choice Requires="x14">
            <control shapeId="39938" r:id="rId5" name="Button 4">
              <controlPr defaultSize="0" print="0" autoFill="0" autoPict="0" macro="[0]!emissione_tutto">
                <anchor moveWithCells="1" sizeWithCells="1">
                  <from>
                    <xdr:col>31</xdr:col>
                    <xdr:colOff>581025</xdr:colOff>
                    <xdr:row>12</xdr:row>
                    <xdr:rowOff>142875</xdr:rowOff>
                  </from>
                  <to>
                    <xdr:col>33</xdr:col>
                    <xdr:colOff>209550</xdr:colOff>
                    <xdr:row>13</xdr:row>
                    <xdr:rowOff>171450</xdr:rowOff>
                  </to>
                </anchor>
              </controlPr>
            </control>
          </mc:Choice>
        </mc:AlternateContent>
        <mc:AlternateContent xmlns:mc="http://schemas.openxmlformats.org/markup-compatibility/2006">
          <mc:Choice Requires="x14">
            <control shapeId="39939" r:id="rId6" name="Button 3">
              <controlPr defaultSize="0" print="0" autoFill="0" autoPict="0" macro="[0]!finale">
                <anchor moveWithCells="1" sizeWithCells="1">
                  <from>
                    <xdr:col>32</xdr:col>
                    <xdr:colOff>9525</xdr:colOff>
                    <xdr:row>8</xdr:row>
                    <xdr:rowOff>38100</xdr:rowOff>
                  </from>
                  <to>
                    <xdr:col>33</xdr:col>
                    <xdr:colOff>238125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2"/>
  <dimension ref="A1:AB128"/>
  <sheetViews>
    <sheetView workbookViewId="0">
      <selection activeCell="Z1" sqref="Z1:Z1048576"/>
    </sheetView>
  </sheetViews>
  <sheetFormatPr defaultRowHeight="12.75"/>
  <cols>
    <col min="1" max="1" width="5.140625" customWidth="1"/>
    <col min="2" max="2" width="30.85546875" bestFit="1" customWidth="1"/>
    <col min="3" max="3" width="7.28515625" customWidth="1"/>
    <col min="4" max="4" width="4" bestFit="1" customWidth="1"/>
    <col min="5" max="5" width="6.85546875" customWidth="1"/>
    <col min="6" max="6" width="2" bestFit="1" customWidth="1"/>
    <col min="7" max="7" width="5" bestFit="1" customWidth="1"/>
    <col min="8" max="8" width="4" bestFit="1" customWidth="1"/>
    <col min="9" max="9" width="6" bestFit="1" customWidth="1"/>
    <col min="10" max="10" width="2.5703125" customWidth="1"/>
    <col min="11" max="11" width="9" customWidth="1"/>
    <col min="12" max="12" width="3.7109375" customWidth="1"/>
    <col min="13" max="16" width="9" customWidth="1"/>
    <col min="18" max="18" width="10.5703125" bestFit="1" customWidth="1"/>
    <col min="19" max="19" width="9.5703125" bestFit="1" customWidth="1"/>
    <col min="20" max="20" width="5.5703125" customWidth="1"/>
    <col min="21" max="21" width="5.140625" customWidth="1"/>
    <col min="22" max="25" width="7" customWidth="1"/>
    <col min="26" max="26" width="5" customWidth="1"/>
    <col min="27" max="27" width="7.7109375" customWidth="1"/>
    <col min="28" max="28" width="7.28515625" customWidth="1"/>
  </cols>
  <sheetData>
    <row r="1" spans="1:28">
      <c r="A1" s="81" t="s">
        <v>13</v>
      </c>
      <c r="B1" s="81" t="s">
        <v>14</v>
      </c>
      <c r="C1" s="242" t="s">
        <v>418</v>
      </c>
      <c r="D1" s="242"/>
      <c r="E1" s="242"/>
      <c r="K1" t="s">
        <v>12</v>
      </c>
      <c r="M1" t="s">
        <v>16</v>
      </c>
      <c r="N1" s="26" t="s">
        <v>15</v>
      </c>
      <c r="O1" s="26" t="s">
        <v>72</v>
      </c>
      <c r="P1" s="26" t="s">
        <v>73</v>
      </c>
      <c r="Q1" s="26" t="s">
        <v>75</v>
      </c>
      <c r="R1" s="26" t="s">
        <v>76</v>
      </c>
      <c r="S1" s="26" t="s">
        <v>5</v>
      </c>
      <c r="V1" s="26" t="s">
        <v>140</v>
      </c>
      <c r="W1" s="26" t="s">
        <v>141</v>
      </c>
      <c r="X1" s="26" t="s">
        <v>142</v>
      </c>
      <c r="Y1" s="26" t="s">
        <v>143</v>
      </c>
      <c r="AA1" s="27" t="s">
        <v>10</v>
      </c>
      <c r="AB1" s="28" t="s">
        <v>11</v>
      </c>
    </row>
    <row r="2" spans="1:28" ht="15">
      <c r="A2">
        <v>1</v>
      </c>
      <c r="B2" s="45" t="s">
        <v>126</v>
      </c>
      <c r="C2" s="178">
        <v>0</v>
      </c>
      <c r="D2" s="58" t="s">
        <v>4</v>
      </c>
      <c r="E2" s="178">
        <v>6</v>
      </c>
      <c r="F2" s="45"/>
      <c r="G2" s="45"/>
      <c r="H2" s="45"/>
      <c r="I2" s="45" t="s">
        <v>17</v>
      </c>
      <c r="J2" s="179" t="s">
        <v>19</v>
      </c>
      <c r="K2" s="45">
        <v>22</v>
      </c>
      <c r="L2" s="45"/>
      <c r="M2" s="45">
        <f>INDEX(Base!S$21:S$705,Riferimenti!K2-20)</f>
        <v>3</v>
      </c>
      <c r="N2" s="180">
        <f t="shared" ref="N2:N20" si="0">IF(M2&gt;0,(0.7+(M2-C2)/((E2-C2)/86)/10),0)</f>
        <v>5</v>
      </c>
      <c r="O2" s="181">
        <v>1.9235074626865685</v>
      </c>
      <c r="P2" s="181">
        <v>1.3853188264368677</v>
      </c>
      <c r="Q2" s="182">
        <f t="shared" ref="Q2:Q20" si="1">+O2-P2</f>
        <v>0.53818863624970081</v>
      </c>
      <c r="R2" s="182">
        <f t="shared" ref="R2:R20" si="2">+O2+P2</f>
        <v>3.3088262891234361</v>
      </c>
      <c r="S2" s="45">
        <f t="shared" ref="S2:S20" si="3">+E2+(E2/100*7)</f>
        <v>6.42</v>
      </c>
      <c r="T2" s="183"/>
      <c r="U2" s="45"/>
      <c r="V2" s="183">
        <f t="shared" ref="V2:V19" si="4">IF(C2&gt;0,(0.07+(C2-C2)/((E2-C2)/86)/100),0)</f>
        <v>0</v>
      </c>
      <c r="W2" s="183">
        <f t="shared" ref="W2:W13" si="5">(0.07+(Q2-C2)/((E2-C2)/86)/100)</f>
        <v>0.14714037119579046</v>
      </c>
      <c r="X2" s="183">
        <f>(0.07+(R2-C2)/((E2-C2)/86)/100)</f>
        <v>0.5442651014410258</v>
      </c>
      <c r="Y2" s="183">
        <f t="shared" ref="Y2:Y19" si="6">+E2/S2</f>
        <v>0.93457943925233644</v>
      </c>
      <c r="AA2" s="29">
        <v>0</v>
      </c>
      <c r="AB2" s="30">
        <f>-$AA$26</f>
        <v>-0.5</v>
      </c>
    </row>
    <row r="3" spans="1:28" ht="15">
      <c r="A3">
        <v>2</v>
      </c>
      <c r="B3" s="48" t="s">
        <v>127</v>
      </c>
      <c r="C3" s="184">
        <v>1.4</v>
      </c>
      <c r="D3" s="185" t="s">
        <v>6</v>
      </c>
      <c r="E3" s="184">
        <v>23.1</v>
      </c>
      <c r="F3" s="48"/>
      <c r="G3" s="48"/>
      <c r="H3" s="48"/>
      <c r="I3" s="48" t="s">
        <v>18</v>
      </c>
      <c r="J3" s="186" t="s">
        <v>19</v>
      </c>
      <c r="K3" s="48">
        <v>27</v>
      </c>
      <c r="L3" s="45"/>
      <c r="M3" s="45">
        <f>INDEX(Base!S$21:S$705,Riferimenti!K3-20)</f>
        <v>12</v>
      </c>
      <c r="N3" s="180">
        <f t="shared" si="0"/>
        <v>4.9009216589861744</v>
      </c>
      <c r="O3" s="181">
        <v>8.1596078431372536</v>
      </c>
      <c r="P3" s="181">
        <v>4.9718633370656891</v>
      </c>
      <c r="Q3" s="182">
        <f t="shared" si="1"/>
        <v>3.1877445060715646</v>
      </c>
      <c r="R3" s="182">
        <f t="shared" si="2"/>
        <v>13.131471180202944</v>
      </c>
      <c r="S3" s="45">
        <f t="shared" si="3"/>
        <v>24.717000000000002</v>
      </c>
      <c r="T3" s="183"/>
      <c r="U3" s="45"/>
      <c r="V3" s="183">
        <f t="shared" si="4"/>
        <v>7.0000000000000007E-2</v>
      </c>
      <c r="W3" s="183">
        <f t="shared" si="5"/>
        <v>0.14085070392726018</v>
      </c>
      <c r="X3" s="183">
        <f>(0.07+(R3-C3)/((E3-C3)/86)/100)</f>
        <v>0.53493388087440219</v>
      </c>
      <c r="Y3" s="183">
        <f t="shared" si="6"/>
        <v>0.93457943925233644</v>
      </c>
      <c r="AA3" s="29">
        <v>0</v>
      </c>
      <c r="AB3" s="30">
        <f>+$AA$26</f>
        <v>0.5</v>
      </c>
    </row>
    <row r="4" spans="1:28" ht="15">
      <c r="A4">
        <v>3</v>
      </c>
      <c r="B4" s="45" t="s">
        <v>103</v>
      </c>
      <c r="C4" s="178">
        <v>0</v>
      </c>
      <c r="D4" s="58" t="s">
        <v>4</v>
      </c>
      <c r="E4" s="178">
        <v>1</v>
      </c>
      <c r="F4" s="45"/>
      <c r="G4" s="45"/>
      <c r="H4" s="45"/>
      <c r="I4" s="45" t="s">
        <v>20</v>
      </c>
      <c r="J4" s="179" t="s">
        <v>19</v>
      </c>
      <c r="K4" s="45">
        <v>33</v>
      </c>
      <c r="L4" s="45"/>
      <c r="M4" s="45">
        <f>INDEX(Base!S$21:S$705,Riferimenti!K4-20)</f>
        <v>0</v>
      </c>
      <c r="N4" s="180">
        <f t="shared" si="0"/>
        <v>0</v>
      </c>
      <c r="O4" s="181">
        <v>0.30000000000000054</v>
      </c>
      <c r="P4" s="181">
        <v>0.2489538551178142</v>
      </c>
      <c r="Q4" s="182">
        <f t="shared" si="1"/>
        <v>5.1046144882186339E-2</v>
      </c>
      <c r="R4" s="182">
        <f t="shared" si="2"/>
        <v>0.5489538551178148</v>
      </c>
      <c r="S4" s="45">
        <f t="shared" si="3"/>
        <v>1.07</v>
      </c>
      <c r="T4" s="183"/>
      <c r="U4" s="45"/>
      <c r="V4" s="183">
        <f t="shared" si="4"/>
        <v>0</v>
      </c>
      <c r="W4" s="183">
        <f t="shared" si="5"/>
        <v>0.11389968459868026</v>
      </c>
      <c r="X4" s="183">
        <f>(0.07+(R4-C4)/((E4-C4)/86)/100)</f>
        <v>0.54210031540132064</v>
      </c>
      <c r="Y4" s="183">
        <f t="shared" si="6"/>
        <v>0.93457943925233644</v>
      </c>
      <c r="AA4" s="29">
        <v>1</v>
      </c>
      <c r="AB4" s="30"/>
    </row>
    <row r="5" spans="1:28" ht="15">
      <c r="A5">
        <v>4</v>
      </c>
      <c r="B5" s="45" t="s">
        <v>104</v>
      </c>
      <c r="C5" s="178">
        <v>0</v>
      </c>
      <c r="D5" s="58" t="s">
        <v>4</v>
      </c>
      <c r="E5" s="178">
        <v>2.4</v>
      </c>
      <c r="F5" s="45"/>
      <c r="G5" s="45"/>
      <c r="H5" s="45"/>
      <c r="I5" s="45" t="s">
        <v>21</v>
      </c>
      <c r="J5" s="179" t="s">
        <v>19</v>
      </c>
      <c r="K5" s="45">
        <f>+K4+5</f>
        <v>38</v>
      </c>
      <c r="L5" s="45"/>
      <c r="M5" s="45">
        <f>INDEX(Base!S$21:S$705,Riferimenti!K5-20)</f>
        <v>0</v>
      </c>
      <c r="N5" s="180">
        <f t="shared" si="0"/>
        <v>0</v>
      </c>
      <c r="O5" s="181">
        <v>1.6778378378378378</v>
      </c>
      <c r="P5" s="181">
        <v>0.76520505611786427</v>
      </c>
      <c r="Q5" s="182">
        <f t="shared" si="1"/>
        <v>0.91263278171997353</v>
      </c>
      <c r="R5" s="182">
        <f t="shared" si="2"/>
        <v>2.4430428939557021</v>
      </c>
      <c r="S5" s="45">
        <f t="shared" si="3"/>
        <v>2.5680000000000001</v>
      </c>
      <c r="T5" s="183"/>
      <c r="U5" s="45"/>
      <c r="V5" s="183">
        <f t="shared" si="4"/>
        <v>0</v>
      </c>
      <c r="W5" s="183">
        <f t="shared" si="5"/>
        <v>0.39702674678299055</v>
      </c>
      <c r="X5" s="183">
        <v>0.87</v>
      </c>
      <c r="Y5" s="183">
        <f t="shared" si="6"/>
        <v>0.93457943925233644</v>
      </c>
      <c r="AA5" s="29">
        <f>+AA4</f>
        <v>1</v>
      </c>
      <c r="AB5" s="30"/>
    </row>
    <row r="6" spans="1:28" ht="15">
      <c r="A6">
        <v>5</v>
      </c>
      <c r="B6" s="45" t="s">
        <v>105</v>
      </c>
      <c r="C6" s="178">
        <v>0</v>
      </c>
      <c r="D6" s="58" t="s">
        <v>4</v>
      </c>
      <c r="E6" s="178">
        <v>1.8</v>
      </c>
      <c r="F6" s="45"/>
      <c r="G6" s="45"/>
      <c r="H6" s="45"/>
      <c r="I6" s="45" t="s">
        <v>22</v>
      </c>
      <c r="J6" s="179" t="s">
        <v>19</v>
      </c>
      <c r="K6" s="45">
        <f t="shared" ref="K6:K69" si="7">+K5+5</f>
        <v>43</v>
      </c>
      <c r="L6" s="45"/>
      <c r="M6" s="45">
        <f>INDEX(Base!S$21:S$705,Riferimenti!K6-20)</f>
        <v>0</v>
      </c>
      <c r="N6" s="180">
        <f t="shared" si="0"/>
        <v>0</v>
      </c>
      <c r="O6" s="181">
        <v>0.66264591439688758</v>
      </c>
      <c r="P6" s="181">
        <v>0.36412030537980522</v>
      </c>
      <c r="Q6" s="182">
        <f t="shared" si="1"/>
        <v>0.29852560901708236</v>
      </c>
      <c r="R6" s="182">
        <f t="shared" si="2"/>
        <v>1.0267662197766927</v>
      </c>
      <c r="S6" s="45">
        <f t="shared" si="3"/>
        <v>1.9260000000000002</v>
      </c>
      <c r="T6" s="183"/>
      <c r="U6" s="45"/>
      <c r="V6" s="183">
        <f t="shared" si="4"/>
        <v>0</v>
      </c>
      <c r="W6" s="183">
        <f t="shared" si="5"/>
        <v>0.21262890208593938</v>
      </c>
      <c r="X6" s="183">
        <f>(0.07+(R6-C6)/((E6-C6)/86)/100)</f>
        <v>0.56056608278219766</v>
      </c>
      <c r="Y6" s="183">
        <f t="shared" si="6"/>
        <v>0.93457943925233644</v>
      </c>
      <c r="AA6" s="29">
        <v>2</v>
      </c>
      <c r="AB6" s="30">
        <f>-$AA$26</f>
        <v>-0.5</v>
      </c>
    </row>
    <row r="7" spans="1:28" ht="15">
      <c r="A7">
        <v>6</v>
      </c>
      <c r="B7" s="45" t="s">
        <v>106</v>
      </c>
      <c r="C7" s="178">
        <v>0</v>
      </c>
      <c r="D7" s="58" t="s">
        <v>4</v>
      </c>
      <c r="E7" s="178">
        <v>5</v>
      </c>
      <c r="F7" s="45"/>
      <c r="G7" s="45"/>
      <c r="H7" s="45"/>
      <c r="I7" s="45" t="s">
        <v>23</v>
      </c>
      <c r="J7" s="179" t="s">
        <v>19</v>
      </c>
      <c r="K7" s="45">
        <f t="shared" si="7"/>
        <v>48</v>
      </c>
      <c r="L7" s="45"/>
      <c r="M7" s="45">
        <f>INDEX(Base!S$21:S$705,Riferimenti!K7-20)</f>
        <v>0</v>
      </c>
      <c r="N7" s="180">
        <f t="shared" si="0"/>
        <v>0</v>
      </c>
      <c r="O7" s="181">
        <v>2.7456066945606676</v>
      </c>
      <c r="P7" s="181">
        <v>1.1451264783348494</v>
      </c>
      <c r="Q7" s="182">
        <f t="shared" si="1"/>
        <v>1.6004802162258183</v>
      </c>
      <c r="R7" s="182">
        <f t="shared" si="2"/>
        <v>3.890733172895517</v>
      </c>
      <c r="S7" s="45">
        <f t="shared" si="3"/>
        <v>5.35</v>
      </c>
      <c r="T7" s="183"/>
      <c r="U7" s="45"/>
      <c r="V7" s="183">
        <f t="shared" si="4"/>
        <v>0</v>
      </c>
      <c r="W7" s="183">
        <f t="shared" si="5"/>
        <v>0.34528259719084076</v>
      </c>
      <c r="X7" s="183">
        <f>(0.07+(R7-C7)/((E7-C7)/86)/100)</f>
        <v>0.73920610573802881</v>
      </c>
      <c r="Y7" s="183">
        <f t="shared" si="6"/>
        <v>0.93457943925233655</v>
      </c>
      <c r="AA7" s="29">
        <v>2</v>
      </c>
      <c r="AB7" s="30">
        <f>+$AA$26</f>
        <v>0.5</v>
      </c>
    </row>
    <row r="8" spans="1:28" ht="15">
      <c r="A8" s="43">
        <v>7</v>
      </c>
      <c r="B8" s="47" t="s">
        <v>156</v>
      </c>
      <c r="C8" s="184">
        <v>0</v>
      </c>
      <c r="D8" s="185" t="s">
        <v>4</v>
      </c>
      <c r="E8" s="184">
        <v>3</v>
      </c>
      <c r="F8" s="48"/>
      <c r="G8" s="48"/>
      <c r="H8" s="48"/>
      <c r="I8" s="48" t="s">
        <v>24</v>
      </c>
      <c r="J8" s="186" t="s">
        <v>19</v>
      </c>
      <c r="K8" s="48">
        <f t="shared" si="7"/>
        <v>53</v>
      </c>
      <c r="L8" s="45"/>
      <c r="M8" s="45">
        <f>INDEX(Base!S$21:S$705,Riferimenti!K8-20)</f>
        <v>2</v>
      </c>
      <c r="N8" s="180">
        <f t="shared" si="0"/>
        <v>6.4333333333333336</v>
      </c>
      <c r="O8" s="181">
        <v>0.83673469387755139</v>
      </c>
      <c r="P8" s="181">
        <v>0.71158270764261256</v>
      </c>
      <c r="Q8" s="182">
        <f t="shared" si="1"/>
        <v>0.12515198623493884</v>
      </c>
      <c r="R8" s="182">
        <f t="shared" si="2"/>
        <v>1.5483174015201639</v>
      </c>
      <c r="S8" s="45">
        <f t="shared" si="3"/>
        <v>3.21</v>
      </c>
      <c r="T8" s="183"/>
      <c r="U8" s="45"/>
      <c r="V8" s="183">
        <f t="shared" si="4"/>
        <v>0</v>
      </c>
      <c r="W8" s="183">
        <f t="shared" si="5"/>
        <v>0.10587690272068248</v>
      </c>
      <c r="X8" s="183">
        <f>(0.07+(R8-C8)/((E8-C8)/86)/100)</f>
        <v>0.51385098843578036</v>
      </c>
      <c r="Y8" s="183">
        <f t="shared" si="6"/>
        <v>0.93457943925233644</v>
      </c>
      <c r="AA8" s="29">
        <v>3</v>
      </c>
      <c r="AB8" s="30"/>
    </row>
    <row r="9" spans="1:28" ht="15">
      <c r="A9">
        <v>8</v>
      </c>
      <c r="B9" s="45" t="s">
        <v>77</v>
      </c>
      <c r="C9" s="178">
        <v>41.6</v>
      </c>
      <c r="D9" s="58" t="s">
        <v>6</v>
      </c>
      <c r="E9" s="178">
        <v>538.5</v>
      </c>
      <c r="F9" s="45"/>
      <c r="G9" s="45"/>
      <c r="H9" s="45"/>
      <c r="I9" s="45" t="s">
        <v>25</v>
      </c>
      <c r="J9" s="179" t="s">
        <v>19</v>
      </c>
      <c r="K9" s="45">
        <v>59</v>
      </c>
      <c r="L9" s="187"/>
      <c r="M9" s="45">
        <f>INDEX(Base!S$21:S$705,Riferimenti!K9-20)</f>
        <v>0</v>
      </c>
      <c r="N9" s="180">
        <f t="shared" si="0"/>
        <v>0</v>
      </c>
      <c r="O9" s="181">
        <v>290.08214285714286</v>
      </c>
      <c r="P9" s="181">
        <v>124.22746727628677</v>
      </c>
      <c r="Q9" s="182">
        <f t="shared" si="1"/>
        <v>165.85467558085608</v>
      </c>
      <c r="R9" s="182">
        <f t="shared" si="2"/>
        <v>414.3096101334296</v>
      </c>
      <c r="S9" s="45">
        <f t="shared" si="3"/>
        <v>576.19500000000005</v>
      </c>
      <c r="T9" s="45"/>
      <c r="U9" s="45"/>
      <c r="V9" s="183">
        <f t="shared" si="4"/>
        <v>7.0000000000000007E-2</v>
      </c>
      <c r="W9" s="183">
        <f t="shared" si="5"/>
        <v>0.28505136043376178</v>
      </c>
      <c r="X9" s="183">
        <f t="shared" ref="X9:X19" si="8">(0.07+(R9-C9)/((E9-C9)/86)/100)</f>
        <v>0.71505990081454907</v>
      </c>
      <c r="Y9" s="183">
        <f t="shared" si="6"/>
        <v>0.93457943925233633</v>
      </c>
      <c r="AA9" s="29">
        <f>+AA8</f>
        <v>3</v>
      </c>
      <c r="AB9" s="30"/>
    </row>
    <row r="10" spans="1:28" ht="15">
      <c r="A10">
        <v>9</v>
      </c>
      <c r="B10" s="45" t="s">
        <v>78</v>
      </c>
      <c r="C10" s="178">
        <v>4.0999999999999996</v>
      </c>
      <c r="D10" s="58" t="s">
        <v>6</v>
      </c>
      <c r="E10" s="178">
        <v>85.8</v>
      </c>
      <c r="F10" s="45"/>
      <c r="G10" s="45"/>
      <c r="H10" s="45"/>
      <c r="I10" s="45" t="s">
        <v>26</v>
      </c>
      <c r="J10" s="179" t="s">
        <v>19</v>
      </c>
      <c r="K10" s="45">
        <f t="shared" si="7"/>
        <v>64</v>
      </c>
      <c r="L10" s="187"/>
      <c r="M10" s="45">
        <f>INDEX(Base!S$21:S$705,Riferimenti!K10-20)</f>
        <v>0</v>
      </c>
      <c r="N10" s="180">
        <f t="shared" si="0"/>
        <v>0</v>
      </c>
      <c r="O10" s="181">
        <v>39.610043668122259</v>
      </c>
      <c r="P10" s="181">
        <v>23.085854910050656</v>
      </c>
      <c r="Q10" s="182">
        <f t="shared" si="1"/>
        <v>16.524188758071602</v>
      </c>
      <c r="R10" s="182">
        <f t="shared" si="2"/>
        <v>62.695898578172915</v>
      </c>
      <c r="S10" s="45">
        <f t="shared" si="3"/>
        <v>91.805999999999997</v>
      </c>
      <c r="T10" s="45"/>
      <c r="U10" s="45"/>
      <c r="V10" s="183">
        <f t="shared" si="4"/>
        <v>7.0000000000000007E-2</v>
      </c>
      <c r="W10" s="183">
        <f t="shared" si="5"/>
        <v>0.20078093429549054</v>
      </c>
      <c r="X10" s="183">
        <f t="shared" si="8"/>
        <v>0.68679893240182022</v>
      </c>
      <c r="Y10" s="183">
        <f t="shared" si="6"/>
        <v>0.93457943925233644</v>
      </c>
      <c r="AA10" s="29">
        <v>4</v>
      </c>
      <c r="AB10" s="30">
        <f>-$AA$26</f>
        <v>-0.5</v>
      </c>
    </row>
    <row r="11" spans="1:28" ht="15">
      <c r="A11">
        <v>10</v>
      </c>
      <c r="B11" s="45" t="s">
        <v>79</v>
      </c>
      <c r="C11" s="178">
        <v>20.6</v>
      </c>
      <c r="D11" s="58" t="s">
        <v>6</v>
      </c>
      <c r="E11" s="178">
        <v>67.5</v>
      </c>
      <c r="F11" s="45"/>
      <c r="G11" s="45"/>
      <c r="H11" s="45"/>
      <c r="I11" s="45" t="s">
        <v>27</v>
      </c>
      <c r="J11" s="179" t="s">
        <v>19</v>
      </c>
      <c r="K11" s="45">
        <f t="shared" si="7"/>
        <v>69</v>
      </c>
      <c r="L11" s="187"/>
      <c r="M11" s="45">
        <f>INDEX(Base!S$21:S$705,Riferimenti!K11-20)</f>
        <v>0</v>
      </c>
      <c r="N11" s="180">
        <f t="shared" si="0"/>
        <v>0</v>
      </c>
      <c r="O11" s="181">
        <v>39.004464285714292</v>
      </c>
      <c r="P11" s="181">
        <v>14.255546562074382</v>
      </c>
      <c r="Q11" s="182">
        <f t="shared" si="1"/>
        <v>24.748917723639909</v>
      </c>
      <c r="R11" s="182">
        <f t="shared" si="2"/>
        <v>53.260010847788678</v>
      </c>
      <c r="S11" s="45">
        <f t="shared" si="3"/>
        <v>72.224999999999994</v>
      </c>
      <c r="T11" s="183"/>
      <c r="U11" s="45"/>
      <c r="V11" s="183">
        <f t="shared" si="4"/>
        <v>7.0000000000000007E-2</v>
      </c>
      <c r="W11" s="183">
        <f t="shared" si="5"/>
        <v>0.14607823544414333</v>
      </c>
      <c r="X11" s="183">
        <f t="shared" si="8"/>
        <v>0.66888292812576244</v>
      </c>
      <c r="Y11" s="183">
        <f t="shared" si="6"/>
        <v>0.93457943925233655</v>
      </c>
      <c r="AA11" s="29">
        <v>4</v>
      </c>
      <c r="AB11" s="30">
        <f>+$AA$26</f>
        <v>0.5</v>
      </c>
    </row>
    <row r="12" spans="1:28" ht="15">
      <c r="A12">
        <v>11</v>
      </c>
      <c r="B12" s="45" t="s">
        <v>82</v>
      </c>
      <c r="C12" s="178">
        <v>1.9</v>
      </c>
      <c r="D12" s="58" t="s">
        <v>6</v>
      </c>
      <c r="E12" s="178">
        <v>32.4</v>
      </c>
      <c r="F12" s="45"/>
      <c r="G12" s="45"/>
      <c r="H12" s="45"/>
      <c r="I12" s="45" t="s">
        <v>28</v>
      </c>
      <c r="J12" s="179" t="s">
        <v>19</v>
      </c>
      <c r="K12" s="45">
        <f t="shared" si="7"/>
        <v>74</v>
      </c>
      <c r="L12" s="187"/>
      <c r="M12" s="45">
        <f>INDEX(Base!S$21:S$705,Riferimenti!K12-20)</f>
        <v>0</v>
      </c>
      <c r="N12" s="180">
        <f>IF(M12&gt;0,(0.7+(M12-C12)/((E12-C12)/86)/10),0)</f>
        <v>0</v>
      </c>
      <c r="O12" s="181">
        <v>17.163052208835339</v>
      </c>
      <c r="P12" s="181">
        <v>7.6228170011849121</v>
      </c>
      <c r="Q12" s="182">
        <f t="shared" si="1"/>
        <v>9.5402352076504258</v>
      </c>
      <c r="R12" s="182">
        <f t="shared" si="2"/>
        <v>24.785869210020252</v>
      </c>
      <c r="S12" s="45">
        <f t="shared" si="3"/>
        <v>34.667999999999999</v>
      </c>
      <c r="T12" s="183"/>
      <c r="U12" s="45"/>
      <c r="V12" s="183">
        <f t="shared" si="4"/>
        <v>7.0000000000000007E-2</v>
      </c>
      <c r="W12" s="183">
        <f t="shared" si="5"/>
        <v>0.28542958290424147</v>
      </c>
      <c r="X12" s="183">
        <f t="shared" si="8"/>
        <v>0.71530647608581699</v>
      </c>
      <c r="Y12" s="183">
        <f t="shared" si="6"/>
        <v>0.93457943925233644</v>
      </c>
      <c r="AA12" s="29">
        <v>5</v>
      </c>
      <c r="AB12" s="30"/>
    </row>
    <row r="13" spans="1:28" ht="15">
      <c r="A13">
        <v>12</v>
      </c>
      <c r="B13" s="45" t="s">
        <v>80</v>
      </c>
      <c r="C13" s="178">
        <v>0.2</v>
      </c>
      <c r="D13" s="58" t="s">
        <v>6</v>
      </c>
      <c r="E13" s="178">
        <v>7</v>
      </c>
      <c r="F13" s="45"/>
      <c r="G13" s="45"/>
      <c r="H13" s="45"/>
      <c r="I13" s="45" t="s">
        <v>29</v>
      </c>
      <c r="J13" s="179" t="s">
        <v>19</v>
      </c>
      <c r="K13" s="45">
        <f t="shared" si="7"/>
        <v>79</v>
      </c>
      <c r="L13" s="187"/>
      <c r="M13" s="45">
        <f>INDEX(Base!S$21:S$705,Riferimenti!K13-20)</f>
        <v>0</v>
      </c>
      <c r="N13" s="180">
        <f t="shared" si="0"/>
        <v>0</v>
      </c>
      <c r="O13" s="181">
        <v>2.920542635658915</v>
      </c>
      <c r="P13" s="181">
        <v>2.0268250881276941</v>
      </c>
      <c r="Q13" s="182">
        <f t="shared" si="1"/>
        <v>0.8937175475312209</v>
      </c>
      <c r="R13" s="182">
        <f t="shared" si="2"/>
        <v>4.9473677237866092</v>
      </c>
      <c r="S13" s="45">
        <f t="shared" si="3"/>
        <v>7.49</v>
      </c>
      <c r="T13" s="183"/>
      <c r="U13" s="45"/>
      <c r="V13" s="183">
        <f t="shared" si="4"/>
        <v>7.0000000000000007E-2</v>
      </c>
      <c r="W13" s="183">
        <f t="shared" si="5"/>
        <v>0.15773486630541911</v>
      </c>
      <c r="X13" s="183">
        <f t="shared" si="8"/>
        <v>0.67040238859654178</v>
      </c>
      <c r="Y13" s="183">
        <f t="shared" si="6"/>
        <v>0.93457943925233644</v>
      </c>
      <c r="AA13" s="29">
        <f>+AA12</f>
        <v>5</v>
      </c>
      <c r="AB13" s="30"/>
    </row>
    <row r="14" spans="1:28" ht="15">
      <c r="A14">
        <v>13</v>
      </c>
      <c r="B14" s="45" t="s">
        <v>81</v>
      </c>
      <c r="C14" s="178">
        <v>0</v>
      </c>
      <c r="D14" s="58" t="s">
        <v>4</v>
      </c>
      <c r="E14" s="178">
        <v>1.5</v>
      </c>
      <c r="F14" s="45"/>
      <c r="G14" s="45"/>
      <c r="H14" s="45"/>
      <c r="I14" s="45" t="s">
        <v>30</v>
      </c>
      <c r="J14" s="179" t="s">
        <v>19</v>
      </c>
      <c r="K14" s="45">
        <f t="shared" si="7"/>
        <v>84</v>
      </c>
      <c r="L14" s="187"/>
      <c r="M14" s="45">
        <f>INDEX(Base!S$21:S$705,Riferimenti!K14-20)</f>
        <v>0</v>
      </c>
      <c r="N14" s="180">
        <f t="shared" si="0"/>
        <v>0</v>
      </c>
      <c r="O14" s="181">
        <v>0.69849624060150373</v>
      </c>
      <c r="P14" s="181">
        <v>0.39744181250270644</v>
      </c>
      <c r="Q14" s="182">
        <f t="shared" si="1"/>
        <v>0.30105442809879729</v>
      </c>
      <c r="R14" s="182">
        <f t="shared" si="2"/>
        <v>1.0959380531042102</v>
      </c>
      <c r="S14" s="45">
        <f t="shared" si="3"/>
        <v>1.605</v>
      </c>
      <c r="T14" s="183"/>
      <c r="U14" s="45"/>
      <c r="V14" s="183">
        <f t="shared" si="4"/>
        <v>0</v>
      </c>
      <c r="W14" s="183">
        <f>(0.07+(Q14-C14)/((E14-C14)/86)/100)</f>
        <v>0.24260453877664379</v>
      </c>
      <c r="X14" s="183">
        <f t="shared" si="8"/>
        <v>0.69833781711308052</v>
      </c>
      <c r="Y14" s="183">
        <f t="shared" si="6"/>
        <v>0.93457943925233644</v>
      </c>
      <c r="AA14" s="29">
        <v>6</v>
      </c>
      <c r="AB14" s="30">
        <f>-$AA$26</f>
        <v>-0.5</v>
      </c>
    </row>
    <row r="15" spans="1:28" ht="15">
      <c r="A15" s="43">
        <v>14</v>
      </c>
      <c r="B15" s="48" t="s">
        <v>83</v>
      </c>
      <c r="C15" s="184">
        <v>0</v>
      </c>
      <c r="D15" s="185" t="s">
        <v>4</v>
      </c>
      <c r="E15" s="184">
        <v>1.4</v>
      </c>
      <c r="F15" s="48"/>
      <c r="G15" s="48"/>
      <c r="H15" s="48"/>
      <c r="I15" s="48" t="s">
        <v>31</v>
      </c>
      <c r="J15" s="186" t="s">
        <v>19</v>
      </c>
      <c r="K15" s="48">
        <f t="shared" si="7"/>
        <v>89</v>
      </c>
      <c r="L15" s="187"/>
      <c r="M15" s="45">
        <f>INDEX(Base!S$21:S$705,Riferimenti!K15-20)</f>
        <v>0</v>
      </c>
      <c r="N15" s="180">
        <f t="shared" si="0"/>
        <v>0</v>
      </c>
      <c r="O15" s="181">
        <v>0.69063829787234077</v>
      </c>
      <c r="P15" s="181">
        <v>0.36173492357976827</v>
      </c>
      <c r="Q15" s="182">
        <f t="shared" si="1"/>
        <v>0.32890337429257249</v>
      </c>
      <c r="R15" s="182">
        <f t="shared" si="2"/>
        <v>1.0523732214521091</v>
      </c>
      <c r="S15" s="45">
        <f t="shared" si="3"/>
        <v>1.498</v>
      </c>
      <c r="T15" s="183"/>
      <c r="U15" s="45"/>
      <c r="V15" s="183">
        <f t="shared" si="4"/>
        <v>0</v>
      </c>
      <c r="W15" s="183">
        <f t="shared" ref="W15" si="9">(0.07+(Q15-C15)/((E15-C15)/86)/100)</f>
        <v>0.27204064420829455</v>
      </c>
      <c r="X15" s="183">
        <f t="shared" si="8"/>
        <v>0.71645783603486701</v>
      </c>
      <c r="Y15" s="183">
        <f t="shared" si="6"/>
        <v>0.93457943925233644</v>
      </c>
      <c r="AA15" s="29">
        <v>6</v>
      </c>
      <c r="AB15" s="30">
        <f>+$AA$26</f>
        <v>0.5</v>
      </c>
    </row>
    <row r="16" spans="1:28" ht="15">
      <c r="A16" s="43">
        <v>15</v>
      </c>
      <c r="B16" s="121" t="s">
        <v>116</v>
      </c>
      <c r="C16" s="188">
        <v>0</v>
      </c>
      <c r="D16" s="189" t="s">
        <v>4</v>
      </c>
      <c r="E16" s="188">
        <v>35.299999999999997</v>
      </c>
      <c r="F16" s="121"/>
      <c r="G16" s="121"/>
      <c r="H16" s="121"/>
      <c r="I16" s="121" t="s">
        <v>32</v>
      </c>
      <c r="J16" s="190" t="s">
        <v>19</v>
      </c>
      <c r="K16" s="121">
        <v>95</v>
      </c>
      <c r="L16" s="45"/>
      <c r="M16" s="45">
        <f>INDEX(Base!S$21:S$705,Riferimenti!K16-20)</f>
        <v>0</v>
      </c>
      <c r="N16" s="180">
        <f>IF(M16&gt;0,(0.7+(M16-C16)/((E16-C16)/86)/10),0)</f>
        <v>0</v>
      </c>
      <c r="O16" s="181">
        <v>2.7988142292490266</v>
      </c>
      <c r="P16" s="181">
        <v>10.840654969865501</v>
      </c>
      <c r="Q16" s="182">
        <f t="shared" si="1"/>
        <v>-8.0418407406164736</v>
      </c>
      <c r="R16" s="182">
        <f t="shared" si="2"/>
        <v>13.639469199114528</v>
      </c>
      <c r="S16" s="45">
        <f t="shared" si="3"/>
        <v>37.771000000000001</v>
      </c>
      <c r="T16" s="183"/>
      <c r="U16" s="45"/>
      <c r="V16" s="183">
        <f t="shared" si="4"/>
        <v>0</v>
      </c>
      <c r="W16" s="183">
        <v>0.12</v>
      </c>
      <c r="X16" s="183">
        <f t="shared" si="8"/>
        <v>0.40229301731553813</v>
      </c>
      <c r="Y16" s="183">
        <f t="shared" si="6"/>
        <v>0.93457943925233633</v>
      </c>
      <c r="AA16" s="29">
        <v>7</v>
      </c>
      <c r="AB16" s="30"/>
    </row>
    <row r="17" spans="1:28" ht="15">
      <c r="A17">
        <v>16</v>
      </c>
      <c r="B17" s="45" t="s">
        <v>84</v>
      </c>
      <c r="C17" s="178">
        <v>0.8</v>
      </c>
      <c r="D17" s="58" t="s">
        <v>6</v>
      </c>
      <c r="E17" s="178">
        <v>4</v>
      </c>
      <c r="F17" s="45"/>
      <c r="G17" s="45"/>
      <c r="H17" s="45"/>
      <c r="I17" s="45" t="s">
        <v>33</v>
      </c>
      <c r="J17" s="179" t="s">
        <v>19</v>
      </c>
      <c r="K17" s="45">
        <v>180</v>
      </c>
      <c r="L17" s="45"/>
      <c r="M17" s="45">
        <f>INDEX(Base!S$21:S$705,Riferimenti!K17-20)</f>
        <v>0</v>
      </c>
      <c r="N17" s="180">
        <f t="shared" si="0"/>
        <v>0</v>
      </c>
      <c r="O17" s="181">
        <v>1.7628712871287127</v>
      </c>
      <c r="P17" s="181">
        <v>0.73258057697330103</v>
      </c>
      <c r="Q17" s="182">
        <f t="shared" si="1"/>
        <v>1.0302907101554117</v>
      </c>
      <c r="R17" s="182">
        <f t="shared" si="2"/>
        <v>2.4954518641020136</v>
      </c>
      <c r="S17" s="45">
        <f t="shared" si="3"/>
        <v>4.28</v>
      </c>
      <c r="T17" s="183"/>
      <c r="U17" s="45"/>
      <c r="V17" s="183">
        <f t="shared" si="4"/>
        <v>7.0000000000000007E-2</v>
      </c>
      <c r="W17" s="183">
        <f>(0.07+(Q17-C17)/((E17-C17)/86)/100)</f>
        <v>0.1318906283542669</v>
      </c>
      <c r="X17" s="183">
        <f t="shared" si="8"/>
        <v>0.5256526884774162</v>
      </c>
      <c r="Y17" s="183">
        <f t="shared" si="6"/>
        <v>0.93457943925233644</v>
      </c>
      <c r="AA17" s="29">
        <f>+AA16</f>
        <v>7</v>
      </c>
      <c r="AB17" s="30"/>
    </row>
    <row r="18" spans="1:28" ht="15">
      <c r="A18">
        <v>17</v>
      </c>
      <c r="B18" s="45" t="s">
        <v>85</v>
      </c>
      <c r="C18" s="178">
        <v>0.3</v>
      </c>
      <c r="D18" s="58" t="s">
        <v>6</v>
      </c>
      <c r="E18" s="178">
        <v>3.6</v>
      </c>
      <c r="F18" s="45"/>
      <c r="G18" s="45"/>
      <c r="H18" s="45"/>
      <c r="I18" s="45" t="s">
        <v>34</v>
      </c>
      <c r="J18" s="179" t="s">
        <v>19</v>
      </c>
      <c r="K18" s="45">
        <f t="shared" si="7"/>
        <v>185</v>
      </c>
      <c r="L18" s="45"/>
      <c r="M18" s="45">
        <f>INDEX(Base!S$21:S$705,Riferimenti!K18-20)</f>
        <v>0</v>
      </c>
      <c r="N18" s="180">
        <f t="shared" si="0"/>
        <v>0</v>
      </c>
      <c r="O18" s="181">
        <v>1.8376569037656911</v>
      </c>
      <c r="P18" s="181">
        <v>0.86257648026791245</v>
      </c>
      <c r="Q18" s="182">
        <f t="shared" si="1"/>
        <v>0.97508042349777868</v>
      </c>
      <c r="R18" s="182">
        <f t="shared" si="2"/>
        <v>2.7002333840336035</v>
      </c>
      <c r="S18" s="45">
        <f t="shared" si="3"/>
        <v>3.8520000000000003</v>
      </c>
      <c r="T18" s="183"/>
      <c r="U18" s="45"/>
      <c r="V18" s="183">
        <f t="shared" si="4"/>
        <v>7.0000000000000007E-2</v>
      </c>
      <c r="W18" s="183">
        <f>(0.07+(Q18-C18)/((E18-C18)/86)/100)</f>
        <v>0.24593004976002719</v>
      </c>
      <c r="X18" s="183">
        <f t="shared" si="8"/>
        <v>0.69551536674815129</v>
      </c>
      <c r="Y18" s="183">
        <f t="shared" si="6"/>
        <v>0.93457943925233644</v>
      </c>
      <c r="AA18" s="29">
        <v>8</v>
      </c>
      <c r="AB18" s="30">
        <f>-$AA$26</f>
        <v>-0.5</v>
      </c>
    </row>
    <row r="19" spans="1:28" ht="15">
      <c r="A19">
        <v>18</v>
      </c>
      <c r="B19" s="45" t="s">
        <v>179</v>
      </c>
      <c r="C19" s="178">
        <v>0.1</v>
      </c>
      <c r="D19" s="58" t="s">
        <v>6</v>
      </c>
      <c r="E19" s="178">
        <v>1.6</v>
      </c>
      <c r="F19" s="45"/>
      <c r="G19" s="45"/>
      <c r="H19" s="45"/>
      <c r="I19" s="45" t="s">
        <v>35</v>
      </c>
      <c r="J19" s="179" t="s">
        <v>19</v>
      </c>
      <c r="K19" s="45">
        <f t="shared" si="7"/>
        <v>190</v>
      </c>
      <c r="L19" s="45"/>
      <c r="M19" s="45">
        <f>INDEX(Base!S$21:S$705,Riferimenti!K19-20)</f>
        <v>0</v>
      </c>
      <c r="N19" s="180">
        <f t="shared" si="0"/>
        <v>0</v>
      </c>
      <c r="O19" s="181">
        <v>0.84262280574037662</v>
      </c>
      <c r="P19" s="181">
        <v>0.36162080525138152</v>
      </c>
      <c r="Q19" s="182">
        <f t="shared" si="1"/>
        <v>0.48100200048899511</v>
      </c>
      <c r="R19" s="182">
        <f t="shared" si="2"/>
        <v>1.204243610991758</v>
      </c>
      <c r="S19" s="45">
        <f t="shared" si="3"/>
        <v>1.7120000000000002</v>
      </c>
      <c r="T19" s="183"/>
      <c r="U19" s="45"/>
      <c r="V19" s="183">
        <f t="shared" si="4"/>
        <v>7.0000000000000007E-2</v>
      </c>
      <c r="W19" s="183">
        <f>(0.07+(Q19-C19)/((E19-C19)/86)/100)</f>
        <v>0.28844114694702389</v>
      </c>
      <c r="X19" s="183">
        <f t="shared" si="8"/>
        <v>0.7030996703019412</v>
      </c>
      <c r="Y19" s="183">
        <f t="shared" si="6"/>
        <v>0.93457943925233644</v>
      </c>
      <c r="AA19" s="29">
        <v>8</v>
      </c>
      <c r="AB19" s="30">
        <f>+$AA$26</f>
        <v>0.5</v>
      </c>
    </row>
    <row r="20" spans="1:28" ht="15">
      <c r="A20" s="43">
        <v>19</v>
      </c>
      <c r="B20" s="48" t="s">
        <v>455</v>
      </c>
      <c r="C20" s="184">
        <v>0</v>
      </c>
      <c r="D20" s="185" t="s">
        <v>4</v>
      </c>
      <c r="E20" s="184">
        <v>2.2999999999999998</v>
      </c>
      <c r="F20" s="48"/>
      <c r="G20" s="48"/>
      <c r="H20" s="48"/>
      <c r="I20" s="48" t="s">
        <v>36</v>
      </c>
      <c r="J20" s="186" t="s">
        <v>19</v>
      </c>
      <c r="K20" s="48">
        <f t="shared" si="7"/>
        <v>195</v>
      </c>
      <c r="L20" s="45"/>
      <c r="M20" s="45">
        <f>INDEX(Base!S$21:S$705,Riferimenti!K20-20)</f>
        <v>0</v>
      </c>
      <c r="N20" s="180">
        <f t="shared" si="0"/>
        <v>0</v>
      </c>
      <c r="O20" s="182">
        <v>0.82599999999999996</v>
      </c>
      <c r="P20" s="182">
        <v>0.48799999999999999</v>
      </c>
      <c r="Q20" s="182">
        <f t="shared" si="1"/>
        <v>0.33799999999999997</v>
      </c>
      <c r="R20" s="182">
        <f t="shared" si="2"/>
        <v>1.3140000000000001</v>
      </c>
      <c r="S20" s="45">
        <f t="shared" si="3"/>
        <v>2.4609999999999999</v>
      </c>
      <c r="T20" s="183"/>
      <c r="U20" s="45"/>
      <c r="V20" s="183">
        <f t="shared" ref="V20:V28" si="10">IF(C20&gt;0,(0.07+(C20-C20)/((E20-C20)/86)/100),0)</f>
        <v>0</v>
      </c>
      <c r="W20" s="183">
        <f>(0.07+(Q20-C20)/((E20-C20)/86)/100)</f>
        <v>0.19638260869565219</v>
      </c>
      <c r="X20" s="183">
        <f t="shared" ref="X20:X27" si="11">(0.07+(R20-C20)/((E20-C20)/86)/100)</f>
        <v>0.56132173913043482</v>
      </c>
      <c r="Y20" s="183">
        <f t="shared" ref="Y20:Y28" si="12">+E20/S20</f>
        <v>0.93457943925233644</v>
      </c>
      <c r="AA20" s="29">
        <v>9</v>
      </c>
      <c r="AB20" s="30"/>
    </row>
    <row r="21" spans="1:28" ht="15">
      <c r="A21">
        <v>20</v>
      </c>
      <c r="B21" s="45" t="s">
        <v>456</v>
      </c>
      <c r="C21" s="45"/>
      <c r="D21" s="45"/>
      <c r="E21" s="45"/>
      <c r="F21" s="45"/>
      <c r="G21" s="45"/>
      <c r="H21" s="45"/>
      <c r="I21" s="45" t="s">
        <v>37</v>
      </c>
      <c r="J21" s="179" t="s">
        <v>19</v>
      </c>
      <c r="K21" s="45">
        <v>201</v>
      </c>
      <c r="L21" s="45"/>
      <c r="M21" s="45">
        <f>INDEX(Base!S$21:S$705,Riferimenti!K21-20)</f>
        <v>0</v>
      </c>
      <c r="N21" s="180">
        <f t="shared" ref="N21:N71" si="13">IF(M21&gt;0,(0.7+(M21-C21)/((E21-C21)/86)/10),0)</f>
        <v>0</v>
      </c>
      <c r="O21" s="45"/>
      <c r="P21" s="45"/>
      <c r="Q21" s="45"/>
      <c r="R21" s="45"/>
      <c r="S21" s="45"/>
      <c r="T21" s="45"/>
      <c r="U21" s="45"/>
      <c r="V21" s="183">
        <v>7.0000000000000007E-2</v>
      </c>
      <c r="W21" s="183">
        <v>0.20078093429549054</v>
      </c>
      <c r="X21" s="183">
        <v>0.68679893240182022</v>
      </c>
      <c r="Y21" s="183">
        <v>0.93457943925233644</v>
      </c>
      <c r="AA21" s="29">
        <f>+AA20</f>
        <v>9</v>
      </c>
      <c r="AB21" s="30"/>
    </row>
    <row r="22" spans="1:28" ht="15">
      <c r="A22">
        <v>21</v>
      </c>
      <c r="B22" s="45" t="s">
        <v>457</v>
      </c>
      <c r="C22" s="45"/>
      <c r="D22" s="45"/>
      <c r="E22" s="45"/>
      <c r="F22" s="45"/>
      <c r="G22" s="45"/>
      <c r="H22" s="45"/>
      <c r="I22" s="45" t="s">
        <v>38</v>
      </c>
      <c r="J22" s="179" t="s">
        <v>19</v>
      </c>
      <c r="K22" s="45">
        <f t="shared" si="7"/>
        <v>206</v>
      </c>
      <c r="L22" s="45"/>
      <c r="M22" s="45">
        <f>INDEX(Base!S$21:S$705,Riferimenti!K22-20)</f>
        <v>0</v>
      </c>
      <c r="N22" s="180">
        <f t="shared" si="13"/>
        <v>0</v>
      </c>
      <c r="O22" s="45"/>
      <c r="P22" s="45"/>
      <c r="Q22" s="45"/>
      <c r="R22" s="45"/>
      <c r="S22" s="45"/>
      <c r="T22" s="45"/>
      <c r="U22" s="45"/>
      <c r="V22" s="183">
        <v>7.0000000000000007E-2</v>
      </c>
      <c r="W22" s="183">
        <v>0.1318906283542669</v>
      </c>
      <c r="X22" s="183">
        <v>0.5256526884774162</v>
      </c>
      <c r="Y22" s="183">
        <v>0.93457943925233644</v>
      </c>
      <c r="AA22" s="29">
        <v>10</v>
      </c>
      <c r="AB22" s="30">
        <f>-$AA$26</f>
        <v>-0.5</v>
      </c>
    </row>
    <row r="23" spans="1:28" ht="15">
      <c r="A23">
        <v>22</v>
      </c>
      <c r="B23" s="45" t="s">
        <v>458</v>
      </c>
      <c r="C23" s="45"/>
      <c r="D23" s="45"/>
      <c r="E23" s="45"/>
      <c r="F23" s="45"/>
      <c r="G23" s="45"/>
      <c r="H23" s="45"/>
      <c r="I23" s="45" t="s">
        <v>39</v>
      </c>
      <c r="J23" s="179" t="s">
        <v>19</v>
      </c>
      <c r="K23" s="45">
        <f t="shared" si="7"/>
        <v>211</v>
      </c>
      <c r="L23" s="45"/>
      <c r="M23" s="45">
        <f>INDEX(Base!S$21:S$705,Riferimenti!K23-20)</f>
        <v>0</v>
      </c>
      <c r="N23" s="180">
        <f t="shared" si="13"/>
        <v>0</v>
      </c>
      <c r="O23" s="45"/>
      <c r="P23" s="45"/>
      <c r="Q23" s="45"/>
      <c r="R23" s="45"/>
      <c r="S23" s="45"/>
      <c r="T23" s="45"/>
      <c r="U23" s="45"/>
      <c r="V23" s="183">
        <v>0</v>
      </c>
      <c r="W23" s="183">
        <v>0.46345627845932702</v>
      </c>
      <c r="X23" s="183">
        <v>0.92895789595635492</v>
      </c>
      <c r="Y23" s="183">
        <v>0.93457943925233644</v>
      </c>
      <c r="AA23" s="29">
        <v>10</v>
      </c>
      <c r="AB23" s="30">
        <f>+$AA$26</f>
        <v>0.5</v>
      </c>
    </row>
    <row r="24" spans="1:28" ht="15">
      <c r="A24">
        <v>23</v>
      </c>
      <c r="B24" s="45" t="s">
        <v>459</v>
      </c>
      <c r="C24" s="45"/>
      <c r="D24" s="45"/>
      <c r="E24" s="45"/>
      <c r="F24" s="45"/>
      <c r="G24" s="45"/>
      <c r="H24" s="45"/>
      <c r="I24" s="45" t="s">
        <v>40</v>
      </c>
      <c r="J24" s="179" t="s">
        <v>19</v>
      </c>
      <c r="K24" s="45">
        <f t="shared" si="7"/>
        <v>216</v>
      </c>
      <c r="L24" s="45"/>
      <c r="M24" s="45">
        <f>INDEX(Base!S$21:S$705,Riferimenti!K24-20)</f>
        <v>0</v>
      </c>
      <c r="N24" s="180">
        <f t="shared" si="13"/>
        <v>0</v>
      </c>
      <c r="O24" s="45"/>
      <c r="P24" s="45"/>
      <c r="Q24" s="45"/>
      <c r="R24" s="45"/>
      <c r="S24" s="45"/>
      <c r="T24" s="45"/>
      <c r="U24" s="45"/>
      <c r="V24" s="183">
        <v>0</v>
      </c>
      <c r="W24" s="183">
        <v>0.12842547182441183</v>
      </c>
      <c r="X24" s="183">
        <v>0.5287139810399476</v>
      </c>
      <c r="Y24" s="183">
        <v>0.93457943925233655</v>
      </c>
      <c r="AA24" s="29">
        <v>10</v>
      </c>
      <c r="AB24" s="30">
        <v>0</v>
      </c>
    </row>
    <row r="25" spans="1:28" ht="15">
      <c r="A25">
        <v>24</v>
      </c>
      <c r="B25" s="45" t="s">
        <v>344</v>
      </c>
      <c r="C25" s="178">
        <v>0.8</v>
      </c>
      <c r="D25" s="58" t="s">
        <v>6</v>
      </c>
      <c r="E25" s="178">
        <v>5</v>
      </c>
      <c r="F25" s="45"/>
      <c r="G25" s="45"/>
      <c r="H25" s="45"/>
      <c r="I25" s="45" t="s">
        <v>41</v>
      </c>
      <c r="J25" s="179" t="s">
        <v>19</v>
      </c>
      <c r="K25" s="45">
        <f t="shared" si="7"/>
        <v>221</v>
      </c>
      <c r="L25" s="45"/>
      <c r="M25" s="45">
        <f>INDEX(Base!S$21:S$705,Riferimenti!K25-20)</f>
        <v>0</v>
      </c>
      <c r="N25" s="180">
        <f t="shared" si="13"/>
        <v>0</v>
      </c>
      <c r="O25" s="181">
        <v>1.8731999999999986</v>
      </c>
      <c r="P25" s="181">
        <v>1.0316875869702207</v>
      </c>
      <c r="Q25" s="182">
        <v>0.27</v>
      </c>
      <c r="R25" s="182">
        <f>+O25+P25</f>
        <v>2.9048875869702195</v>
      </c>
      <c r="S25" s="45">
        <f>+E25+(E25/100*7)</f>
        <v>5.35</v>
      </c>
      <c r="T25" s="183"/>
      <c r="U25" s="45"/>
      <c r="V25" s="183">
        <f t="shared" si="10"/>
        <v>7.0000000000000007E-2</v>
      </c>
      <c r="W25" s="183">
        <v>0.32</v>
      </c>
      <c r="X25" s="183">
        <f t="shared" si="11"/>
        <v>0.50100079161771172</v>
      </c>
      <c r="Y25" s="183">
        <f t="shared" si="12"/>
        <v>0.93457943925233655</v>
      </c>
      <c r="AA25" s="29">
        <v>10</v>
      </c>
      <c r="AB25" s="30">
        <v>0</v>
      </c>
    </row>
    <row r="26" spans="1:28" ht="15">
      <c r="A26">
        <v>25</v>
      </c>
      <c r="B26" s="45" t="s">
        <v>460</v>
      </c>
      <c r="C26" s="45"/>
      <c r="D26" s="45"/>
      <c r="E26" s="45"/>
      <c r="F26" s="45"/>
      <c r="G26" s="45"/>
      <c r="H26" s="45"/>
      <c r="I26" s="45" t="s">
        <v>42</v>
      </c>
      <c r="J26" s="179" t="s">
        <v>19</v>
      </c>
      <c r="K26" s="45">
        <f t="shared" si="7"/>
        <v>226</v>
      </c>
      <c r="L26" s="45"/>
      <c r="M26" s="45">
        <f>INDEX(Base!S$21:S$705,Riferimenti!K26-20)</f>
        <v>0</v>
      </c>
      <c r="N26" s="180">
        <f t="shared" si="13"/>
        <v>0</v>
      </c>
      <c r="O26" s="45"/>
      <c r="P26" s="45"/>
      <c r="Q26" s="45"/>
      <c r="R26" s="45"/>
      <c r="S26" s="45"/>
      <c r="T26" s="45"/>
      <c r="U26" s="45"/>
      <c r="V26" s="183">
        <v>7.0000000000000007E-2</v>
      </c>
      <c r="W26" s="183">
        <v>0.1318906283542669</v>
      </c>
      <c r="X26" s="183">
        <v>0.5256526884774162</v>
      </c>
      <c r="Y26" s="183">
        <v>0.93457943925233644</v>
      </c>
      <c r="AA26" s="31">
        <v>0.5</v>
      </c>
      <c r="AB26" s="32">
        <f>+Base!AF20</f>
        <v>0</v>
      </c>
    </row>
    <row r="27" spans="1:28" ht="15">
      <c r="A27">
        <v>26</v>
      </c>
      <c r="B27" s="45" t="s">
        <v>133</v>
      </c>
      <c r="C27" s="178">
        <v>0.5</v>
      </c>
      <c r="D27" s="58"/>
      <c r="E27" s="178">
        <v>2.2999999999999998</v>
      </c>
      <c r="F27" s="45"/>
      <c r="G27" s="45"/>
      <c r="H27" s="45"/>
      <c r="I27" s="45" t="s">
        <v>43</v>
      </c>
      <c r="J27" s="179" t="s">
        <v>19</v>
      </c>
      <c r="K27" s="45">
        <f t="shared" si="7"/>
        <v>231</v>
      </c>
      <c r="L27" s="45"/>
      <c r="M27" s="45">
        <f>INDEX(Base!S$21:S$705,Riferimenti!K27-20)</f>
        <v>0</v>
      </c>
      <c r="N27" s="180">
        <f t="shared" si="13"/>
        <v>0</v>
      </c>
      <c r="O27" s="181">
        <v>0.9040625000000001</v>
      </c>
      <c r="P27" s="181">
        <v>0.45429746809346039</v>
      </c>
      <c r="Q27" s="182">
        <v>0.47</v>
      </c>
      <c r="R27" s="182">
        <f>+O27+P27</f>
        <v>1.3583599680934606</v>
      </c>
      <c r="S27" s="45">
        <f>+E27+(E27/100*7)</f>
        <v>2.4609999999999999</v>
      </c>
      <c r="T27" s="183"/>
      <c r="U27" s="45"/>
      <c r="V27" s="183">
        <f t="shared" si="10"/>
        <v>7.0000000000000007E-2</v>
      </c>
      <c r="W27" s="183">
        <v>0.21</v>
      </c>
      <c r="X27" s="183">
        <f t="shared" si="11"/>
        <v>0.4801053180890979</v>
      </c>
      <c r="Y27" s="183">
        <f t="shared" si="12"/>
        <v>0.93457943925233644</v>
      </c>
      <c r="AB27" s="20"/>
    </row>
    <row r="28" spans="1:28" ht="15">
      <c r="A28">
        <v>27</v>
      </c>
      <c r="B28" s="45" t="s">
        <v>87</v>
      </c>
      <c r="C28" s="178">
        <v>0</v>
      </c>
      <c r="D28" s="58" t="s">
        <v>4</v>
      </c>
      <c r="E28" s="178">
        <v>6.5</v>
      </c>
      <c r="F28" s="45"/>
      <c r="G28" s="45"/>
      <c r="H28" s="45"/>
      <c r="I28" s="45" t="s">
        <v>44</v>
      </c>
      <c r="J28" s="179" t="s">
        <v>19</v>
      </c>
      <c r="K28" s="45">
        <f t="shared" si="7"/>
        <v>236</v>
      </c>
      <c r="L28" s="45"/>
      <c r="M28" s="45">
        <f>INDEX(Base!S$21:S$705,Riferimenti!K28-20)</f>
        <v>0</v>
      </c>
      <c r="N28" s="180">
        <f t="shared" si="13"/>
        <v>0</v>
      </c>
      <c r="O28" s="181">
        <v>4.6864406779661021</v>
      </c>
      <c r="P28" s="181">
        <v>4.3839439205575594</v>
      </c>
      <c r="Q28" s="182">
        <f>+O28-P28</f>
        <v>0.30249675740854265</v>
      </c>
      <c r="R28" s="182">
        <f>+O28+P28</f>
        <v>9.0703845985236615</v>
      </c>
      <c r="S28" s="45">
        <f>+E28+(E28/100*7)</f>
        <v>6.9550000000000001</v>
      </c>
      <c r="T28" s="183"/>
      <c r="U28" s="45"/>
      <c r="V28" s="183">
        <f t="shared" si="10"/>
        <v>0</v>
      </c>
      <c r="W28" s="183">
        <f t="shared" ref="W28" si="14">(0.07+(Q28-C28)/((E28-C28)/86)/100)</f>
        <v>0.11002264790328412</v>
      </c>
      <c r="X28" s="183">
        <v>0.67</v>
      </c>
      <c r="Y28" s="183">
        <f t="shared" si="12"/>
        <v>0.93457943925233644</v>
      </c>
      <c r="AB28" s="20"/>
    </row>
    <row r="29" spans="1:28" ht="15">
      <c r="A29" s="43">
        <v>28</v>
      </c>
      <c r="B29" s="48" t="s">
        <v>461</v>
      </c>
      <c r="C29" s="48"/>
      <c r="D29" s="48"/>
      <c r="E29" s="48"/>
      <c r="F29" s="48"/>
      <c r="G29" s="48"/>
      <c r="H29" s="48"/>
      <c r="I29" s="48" t="s">
        <v>45</v>
      </c>
      <c r="J29" s="186" t="s">
        <v>19</v>
      </c>
      <c r="K29" s="48">
        <f t="shared" si="7"/>
        <v>241</v>
      </c>
      <c r="L29" s="45"/>
      <c r="M29" s="45">
        <f>INDEX(Base!S$21:S$705,Riferimenti!K29-20)</f>
        <v>0</v>
      </c>
      <c r="N29" s="180">
        <f t="shared" si="13"/>
        <v>0</v>
      </c>
      <c r="O29" s="45"/>
      <c r="P29" s="45"/>
      <c r="Q29" s="45"/>
      <c r="R29" s="45"/>
      <c r="S29" s="45"/>
      <c r="T29" s="45"/>
      <c r="U29" s="45"/>
      <c r="V29" s="183">
        <v>7.0000000000000007E-2</v>
      </c>
      <c r="W29" s="183">
        <v>0.20078093429549054</v>
      </c>
      <c r="X29" s="183">
        <v>0.68679893240182022</v>
      </c>
      <c r="Y29" s="183">
        <v>0.93457943925233644</v>
      </c>
      <c r="AB29" s="20"/>
    </row>
    <row r="30" spans="1:28" ht="15">
      <c r="A30">
        <v>29</v>
      </c>
      <c r="B30" s="45" t="s">
        <v>108</v>
      </c>
      <c r="C30" s="178">
        <v>0</v>
      </c>
      <c r="D30" s="58" t="s">
        <v>4</v>
      </c>
      <c r="E30" s="178">
        <v>5.6</v>
      </c>
      <c r="F30" s="45"/>
      <c r="G30" s="45"/>
      <c r="H30" s="45"/>
      <c r="I30" s="45" t="s">
        <v>46</v>
      </c>
      <c r="J30" s="179" t="s">
        <v>19</v>
      </c>
      <c r="K30" s="45">
        <v>326</v>
      </c>
      <c r="L30" s="45"/>
      <c r="M30" s="45">
        <f>INDEX(Base!S$21:S$705,Riferimenti!K30-20)</f>
        <v>0</v>
      </c>
      <c r="N30" s="180">
        <f t="shared" si="13"/>
        <v>0</v>
      </c>
      <c r="O30" s="181">
        <v>2.3430379746835439</v>
      </c>
      <c r="P30" s="181">
        <v>1.0799815846245171</v>
      </c>
      <c r="Q30" s="182">
        <f t="shared" ref="Q30:Q48" si="15">+O30-P30</f>
        <v>1.2630563900590268</v>
      </c>
      <c r="R30" s="182">
        <f t="shared" ref="R30:R43" si="16">+O30+P30</f>
        <v>3.4230195593080612</v>
      </c>
      <c r="S30" s="45">
        <f t="shared" ref="S30:S71" si="17">+E30+(E30/100*7)</f>
        <v>5.992</v>
      </c>
      <c r="T30" s="183"/>
      <c r="U30" s="45"/>
      <c r="V30" s="183">
        <f t="shared" ref="V30:V71" si="18">IF(C30&gt;0,(0.07+(C30-C30)/((E30-C30)/86)/100),0)</f>
        <v>0</v>
      </c>
      <c r="W30" s="183">
        <f t="shared" ref="W30:W71" si="19">(0.07+(Q30-C30)/((E30-C30)/86)/100)</f>
        <v>0.26396937418763627</v>
      </c>
      <c r="X30" s="183">
        <f t="shared" ref="X30:X54" si="20">(0.07+(R30-C30)/((E30-C30)/86)/100)</f>
        <v>0.59567800375088087</v>
      </c>
      <c r="Y30" s="183">
        <f t="shared" ref="Y30:Y71" si="21">+E30/S30</f>
        <v>0.93457943925233644</v>
      </c>
      <c r="AB30" s="20"/>
    </row>
    <row r="31" spans="1:28" ht="15">
      <c r="A31">
        <v>30</v>
      </c>
      <c r="B31" s="45" t="s">
        <v>109</v>
      </c>
      <c r="C31" s="178">
        <v>0</v>
      </c>
      <c r="D31" s="58" t="s">
        <v>4</v>
      </c>
      <c r="E31" s="178">
        <v>2.1</v>
      </c>
      <c r="F31" s="45"/>
      <c r="G31" s="45"/>
      <c r="H31" s="45"/>
      <c r="I31" s="45" t="s">
        <v>47</v>
      </c>
      <c r="J31" s="179" t="s">
        <v>19</v>
      </c>
      <c r="K31" s="45">
        <f t="shared" si="7"/>
        <v>331</v>
      </c>
      <c r="L31" s="45"/>
      <c r="M31" s="45">
        <f>INDEX(Base!S$21:S$705,Riferimenti!K31-20)</f>
        <v>0</v>
      </c>
      <c r="N31" s="180">
        <f t="shared" si="13"/>
        <v>0</v>
      </c>
      <c r="O31" s="181">
        <v>0.58719999999999994</v>
      </c>
      <c r="P31" s="181">
        <v>0.51988197610256248</v>
      </c>
      <c r="Q31" s="182">
        <f t="shared" si="15"/>
        <v>6.7318023897437462E-2</v>
      </c>
      <c r="R31" s="182">
        <f t="shared" si="16"/>
        <v>1.1070819761025623</v>
      </c>
      <c r="S31" s="45">
        <f t="shared" si="17"/>
        <v>2.2469999999999999</v>
      </c>
      <c r="T31" s="183"/>
      <c r="U31" s="45"/>
      <c r="V31" s="183">
        <f t="shared" si="18"/>
        <v>0</v>
      </c>
      <c r="W31" s="183">
        <f t="shared" si="19"/>
        <v>9.7568333596093446E-2</v>
      </c>
      <c r="X31" s="183">
        <f t="shared" si="20"/>
        <v>0.52337642830866837</v>
      </c>
      <c r="Y31" s="183">
        <f t="shared" si="21"/>
        <v>0.93457943925233655</v>
      </c>
      <c r="AB31" s="20"/>
    </row>
    <row r="32" spans="1:28" ht="15">
      <c r="A32">
        <v>31</v>
      </c>
      <c r="B32" s="45" t="s">
        <v>110</v>
      </c>
      <c r="C32" s="178">
        <v>0</v>
      </c>
      <c r="D32" s="58" t="s">
        <v>4</v>
      </c>
      <c r="E32" s="178">
        <v>68</v>
      </c>
      <c r="F32" s="45"/>
      <c r="G32" s="45"/>
      <c r="H32" s="45"/>
      <c r="I32" s="45" t="s">
        <v>48</v>
      </c>
      <c r="J32" s="179" t="s">
        <v>19</v>
      </c>
      <c r="K32" s="45">
        <f t="shared" si="7"/>
        <v>336</v>
      </c>
      <c r="L32" s="45"/>
      <c r="M32" s="45">
        <f>INDEX(Base!S$21:S$705,Riferimenti!K32-20)</f>
        <v>0</v>
      </c>
      <c r="N32" s="180">
        <f t="shared" si="13"/>
        <v>0</v>
      </c>
      <c r="O32" s="181">
        <v>22.033613445378151</v>
      </c>
      <c r="P32" s="181">
        <v>16.484552427787062</v>
      </c>
      <c r="Q32" s="182">
        <f t="shared" si="15"/>
        <v>5.5490610175910895</v>
      </c>
      <c r="R32" s="182">
        <f t="shared" si="16"/>
        <v>38.518165873165216</v>
      </c>
      <c r="S32" s="45">
        <f t="shared" si="17"/>
        <v>72.760000000000005</v>
      </c>
      <c r="T32" s="183"/>
      <c r="U32" s="45"/>
      <c r="V32" s="183">
        <f t="shared" si="18"/>
        <v>0</v>
      </c>
      <c r="W32" s="183">
        <f t="shared" si="19"/>
        <v>0.14017930110482849</v>
      </c>
      <c r="X32" s="183">
        <f t="shared" si="20"/>
        <v>0.55714150957238373</v>
      </c>
      <c r="Y32" s="183">
        <f t="shared" si="21"/>
        <v>0.93457943925233633</v>
      </c>
      <c r="AB32" s="20"/>
    </row>
    <row r="33" spans="1:28" ht="15">
      <c r="A33">
        <v>32</v>
      </c>
      <c r="B33" s="45" t="s">
        <v>111</v>
      </c>
      <c r="C33" s="178">
        <v>0</v>
      </c>
      <c r="D33" s="58" t="s">
        <v>4</v>
      </c>
      <c r="E33" s="178">
        <v>1.3</v>
      </c>
      <c r="F33" s="45"/>
      <c r="G33" s="45"/>
      <c r="H33" s="45"/>
      <c r="I33" s="45" t="s">
        <v>49</v>
      </c>
      <c r="J33" s="179" t="s">
        <v>19</v>
      </c>
      <c r="K33" s="45">
        <f t="shared" si="7"/>
        <v>341</v>
      </c>
      <c r="L33" s="45"/>
      <c r="M33" s="45">
        <f>INDEX(Base!S$21:S$705,Riferimenti!K33-20)</f>
        <v>0</v>
      </c>
      <c r="N33" s="180">
        <f t="shared" si="13"/>
        <v>0</v>
      </c>
      <c r="O33" s="181">
        <v>0.62388888888888916</v>
      </c>
      <c r="P33" s="181">
        <v>0.33648925022697423</v>
      </c>
      <c r="Q33" s="182">
        <f t="shared" si="15"/>
        <v>0.28739963866191492</v>
      </c>
      <c r="R33" s="182">
        <f t="shared" si="16"/>
        <v>0.96037813911586345</v>
      </c>
      <c r="S33" s="45">
        <f t="shared" si="17"/>
        <v>1.391</v>
      </c>
      <c r="T33" s="183"/>
      <c r="U33" s="45"/>
      <c r="V33" s="183">
        <f t="shared" si="18"/>
        <v>0</v>
      </c>
      <c r="W33" s="183">
        <f t="shared" si="19"/>
        <v>0.260125914807113</v>
      </c>
      <c r="X33" s="183">
        <f t="shared" si="20"/>
        <v>0.70532707664587879</v>
      </c>
      <c r="Y33" s="183">
        <f t="shared" si="21"/>
        <v>0.93457943925233644</v>
      </c>
      <c r="AB33" s="20"/>
    </row>
    <row r="34" spans="1:28" ht="15">
      <c r="A34">
        <v>33</v>
      </c>
      <c r="B34" s="45" t="s">
        <v>112</v>
      </c>
      <c r="C34" s="178">
        <v>0</v>
      </c>
      <c r="D34" s="58" t="s">
        <v>4</v>
      </c>
      <c r="E34" s="178">
        <v>0.9</v>
      </c>
      <c r="F34" s="45"/>
      <c r="G34" s="45"/>
      <c r="H34" s="45"/>
      <c r="I34" s="45" t="s">
        <v>50</v>
      </c>
      <c r="J34" s="179" t="s">
        <v>19</v>
      </c>
      <c r="K34" s="45">
        <f t="shared" si="7"/>
        <v>346</v>
      </c>
      <c r="L34" s="45"/>
      <c r="M34" s="45">
        <f>INDEX(Base!S$21:S$705,Riferimenti!K34-20)</f>
        <v>0</v>
      </c>
      <c r="N34" s="180">
        <f t="shared" si="13"/>
        <v>0</v>
      </c>
      <c r="O34" s="181">
        <v>0.36030534351145072</v>
      </c>
      <c r="P34" s="181">
        <v>0.18863469503400174</v>
      </c>
      <c r="Q34" s="182">
        <f t="shared" si="15"/>
        <v>0.17167064847744898</v>
      </c>
      <c r="R34" s="182">
        <f t="shared" si="16"/>
        <v>0.54894003854545248</v>
      </c>
      <c r="S34" s="45">
        <f t="shared" si="17"/>
        <v>0.96300000000000008</v>
      </c>
      <c r="T34" s="183"/>
      <c r="U34" s="45"/>
      <c r="V34" s="183">
        <f t="shared" si="18"/>
        <v>0</v>
      </c>
      <c r="W34" s="183">
        <f t="shared" si="19"/>
        <v>0.23404084187845126</v>
      </c>
      <c r="X34" s="183">
        <f t="shared" si="20"/>
        <v>0.59454270349898786</v>
      </c>
      <c r="Y34" s="183">
        <f t="shared" si="21"/>
        <v>0.93457943925233644</v>
      </c>
      <c r="AB34" s="20"/>
    </row>
    <row r="35" spans="1:28" ht="15">
      <c r="A35">
        <v>34</v>
      </c>
      <c r="B35" s="45" t="s">
        <v>113</v>
      </c>
      <c r="C35" s="178">
        <v>0</v>
      </c>
      <c r="D35" s="58" t="s">
        <v>4</v>
      </c>
      <c r="E35" s="178">
        <v>23</v>
      </c>
      <c r="F35" s="45"/>
      <c r="G35" s="45"/>
      <c r="H35" s="45"/>
      <c r="I35" s="45" t="s">
        <v>51</v>
      </c>
      <c r="J35" s="179" t="s">
        <v>19</v>
      </c>
      <c r="K35" s="45">
        <f t="shared" si="7"/>
        <v>351</v>
      </c>
      <c r="L35" s="45"/>
      <c r="M35" s="45">
        <f>INDEX(Base!S$21:S$705,Riferimenti!K35-20)</f>
        <v>0</v>
      </c>
      <c r="N35" s="180">
        <f t="shared" si="13"/>
        <v>0</v>
      </c>
      <c r="O35" s="181">
        <v>16.747398843930629</v>
      </c>
      <c r="P35" s="181">
        <v>6.2247309316463033</v>
      </c>
      <c r="Q35" s="182">
        <f t="shared" si="15"/>
        <v>10.522667912284327</v>
      </c>
      <c r="R35" s="182">
        <f t="shared" si="16"/>
        <v>22.972129775576931</v>
      </c>
      <c r="S35" s="45">
        <f t="shared" si="17"/>
        <v>24.61</v>
      </c>
      <c r="T35" s="183"/>
      <c r="U35" s="45"/>
      <c r="V35" s="183">
        <f t="shared" si="18"/>
        <v>0</v>
      </c>
      <c r="W35" s="183">
        <f t="shared" si="19"/>
        <v>0.46345627845932702</v>
      </c>
      <c r="X35" s="183">
        <f t="shared" si="20"/>
        <v>0.92895789595635492</v>
      </c>
      <c r="Y35" s="183">
        <f t="shared" si="21"/>
        <v>0.93457943925233644</v>
      </c>
      <c r="AB35" s="20"/>
    </row>
    <row r="36" spans="1:28" ht="15">
      <c r="A36">
        <v>35</v>
      </c>
      <c r="B36" s="45" t="s">
        <v>114</v>
      </c>
      <c r="C36" s="178">
        <v>0</v>
      </c>
      <c r="D36" s="58" t="s">
        <v>4</v>
      </c>
      <c r="E36" s="178">
        <v>46.8</v>
      </c>
      <c r="F36" s="45"/>
      <c r="G36" s="45"/>
      <c r="H36" s="45"/>
      <c r="I36" s="45" t="s">
        <v>52</v>
      </c>
      <c r="J36" s="179" t="s">
        <v>19</v>
      </c>
      <c r="K36" s="45">
        <f t="shared" si="7"/>
        <v>356</v>
      </c>
      <c r="L36" s="45"/>
      <c r="M36" s="45">
        <f>INDEX(Base!S$21:S$705,Riferimenti!K36-20)</f>
        <v>0</v>
      </c>
      <c r="N36" s="180">
        <f t="shared" si="13"/>
        <v>0</v>
      </c>
      <c r="O36" s="181">
        <v>14.071003717472104</v>
      </c>
      <c r="P36" s="181">
        <v>10.891571064701786</v>
      </c>
      <c r="Q36" s="182">
        <f t="shared" si="15"/>
        <v>3.1794326527703181</v>
      </c>
      <c r="R36" s="182">
        <f t="shared" si="16"/>
        <v>24.962574782173888</v>
      </c>
      <c r="S36" s="45">
        <f t="shared" si="17"/>
        <v>50.075999999999993</v>
      </c>
      <c r="T36" s="183"/>
      <c r="U36" s="45"/>
      <c r="V36" s="183">
        <f t="shared" si="18"/>
        <v>0</v>
      </c>
      <c r="W36" s="183">
        <f t="shared" si="19"/>
        <v>0.12842547182441183</v>
      </c>
      <c r="X36" s="183">
        <f t="shared" si="20"/>
        <v>0.5287139810399476</v>
      </c>
      <c r="Y36" s="183">
        <f t="shared" si="21"/>
        <v>0.93457943925233655</v>
      </c>
      <c r="AB36" s="20"/>
    </row>
    <row r="37" spans="1:28" ht="15">
      <c r="A37" s="43">
        <v>36</v>
      </c>
      <c r="B37" s="48" t="s">
        <v>115</v>
      </c>
      <c r="C37" s="184">
        <v>0</v>
      </c>
      <c r="D37" s="185" t="s">
        <v>4</v>
      </c>
      <c r="E37" s="184">
        <v>9.3000000000000007</v>
      </c>
      <c r="F37" s="48"/>
      <c r="G37" s="48"/>
      <c r="H37" s="48"/>
      <c r="I37" s="48" t="s">
        <v>53</v>
      </c>
      <c r="J37" s="186" t="s">
        <v>19</v>
      </c>
      <c r="K37" s="48">
        <f t="shared" si="7"/>
        <v>361</v>
      </c>
      <c r="L37" s="45"/>
      <c r="M37" s="45">
        <f>INDEX(Base!S$21:S$705,Riferimenti!K37-20)</f>
        <v>0</v>
      </c>
      <c r="N37" s="180">
        <f t="shared" si="13"/>
        <v>0</v>
      </c>
      <c r="O37" s="181">
        <v>2.1616000000000013</v>
      </c>
      <c r="P37" s="181">
        <v>2.3686806522046213</v>
      </c>
      <c r="Q37" s="182">
        <f t="shared" si="15"/>
        <v>-0.20708065220462002</v>
      </c>
      <c r="R37" s="182">
        <f t="shared" si="16"/>
        <v>4.5302806522046222</v>
      </c>
      <c r="S37" s="45">
        <f t="shared" si="17"/>
        <v>9.9510000000000005</v>
      </c>
      <c r="T37" s="183"/>
      <c r="U37" s="45"/>
      <c r="V37" s="183">
        <f t="shared" si="18"/>
        <v>0</v>
      </c>
      <c r="W37" s="183">
        <f t="shared" si="19"/>
        <v>5.0850606355271707E-2</v>
      </c>
      <c r="X37" s="183">
        <f t="shared" si="20"/>
        <v>0.48892917859096502</v>
      </c>
      <c r="Y37" s="183">
        <f t="shared" si="21"/>
        <v>0.93457943925233644</v>
      </c>
      <c r="AB37" s="20"/>
    </row>
    <row r="38" spans="1:28" ht="15">
      <c r="A38">
        <v>37</v>
      </c>
      <c r="B38" s="45" t="s">
        <v>431</v>
      </c>
      <c r="C38" s="178">
        <v>0</v>
      </c>
      <c r="D38" s="58" t="s">
        <v>4</v>
      </c>
      <c r="E38" s="178">
        <v>5.6</v>
      </c>
      <c r="F38" s="45"/>
      <c r="G38" s="45"/>
      <c r="H38" s="45"/>
      <c r="I38" s="45" t="s">
        <v>54</v>
      </c>
      <c r="J38" s="179" t="s">
        <v>19</v>
      </c>
      <c r="K38" s="45">
        <v>367</v>
      </c>
      <c r="L38" s="45"/>
      <c r="M38" s="45">
        <f>INDEX(Base!S$21:S$705,Riferimenti!K38-20)</f>
        <v>0</v>
      </c>
      <c r="N38" s="180">
        <f t="shared" si="13"/>
        <v>0</v>
      </c>
      <c r="O38" s="181">
        <v>3.253608247422676</v>
      </c>
      <c r="P38" s="181">
        <v>1.1829586037431743</v>
      </c>
      <c r="Q38" s="182">
        <f t="shared" si="15"/>
        <v>2.0706496436795017</v>
      </c>
      <c r="R38" s="182">
        <f t="shared" si="16"/>
        <v>4.4365668511658498</v>
      </c>
      <c r="S38" s="45">
        <f t="shared" si="17"/>
        <v>5.992</v>
      </c>
      <c r="T38" s="183"/>
      <c r="U38" s="45"/>
      <c r="V38" s="183">
        <f t="shared" si="18"/>
        <v>0</v>
      </c>
      <c r="W38" s="183">
        <f t="shared" si="19"/>
        <v>0.38799262385078065</v>
      </c>
      <c r="X38" s="183">
        <f t="shared" si="20"/>
        <v>0.75132990928618404</v>
      </c>
      <c r="Y38" s="183">
        <f t="shared" si="21"/>
        <v>0.93457943925233644</v>
      </c>
      <c r="AB38" s="20"/>
    </row>
    <row r="39" spans="1:28" ht="15">
      <c r="A39">
        <v>38</v>
      </c>
      <c r="B39" s="45" t="s">
        <v>118</v>
      </c>
      <c r="C39" s="178">
        <v>0</v>
      </c>
      <c r="D39" s="58" t="s">
        <v>4</v>
      </c>
      <c r="E39" s="178">
        <v>529.6</v>
      </c>
      <c r="F39" s="45"/>
      <c r="G39" s="45"/>
      <c r="H39" s="45"/>
      <c r="I39" s="45" t="s">
        <v>55</v>
      </c>
      <c r="J39" s="179" t="s">
        <v>19</v>
      </c>
      <c r="K39" s="45">
        <f t="shared" si="7"/>
        <v>372</v>
      </c>
      <c r="L39" s="45"/>
      <c r="M39" s="45">
        <f>INDEX(Base!S$21:S$705,Riferimenti!K39-20)</f>
        <v>0</v>
      </c>
      <c r="N39" s="180">
        <f t="shared" si="13"/>
        <v>0</v>
      </c>
      <c r="O39" s="181">
        <v>160.72894736842099</v>
      </c>
      <c r="P39" s="181">
        <v>122.9446890073508</v>
      </c>
      <c r="Q39" s="182">
        <f t="shared" si="15"/>
        <v>37.784258361070187</v>
      </c>
      <c r="R39" s="182">
        <f t="shared" si="16"/>
        <v>283.67363637577182</v>
      </c>
      <c r="S39" s="45">
        <f t="shared" si="17"/>
        <v>566.67200000000003</v>
      </c>
      <c r="T39" s="183"/>
      <c r="U39" s="45"/>
      <c r="V39" s="183">
        <f t="shared" si="18"/>
        <v>0</v>
      </c>
      <c r="W39" s="183">
        <f t="shared" si="19"/>
        <v>0.13135661289750825</v>
      </c>
      <c r="X39" s="183">
        <f t="shared" si="20"/>
        <v>0.53064827659207658</v>
      </c>
      <c r="Y39" s="183">
        <f t="shared" si="21"/>
        <v>0.93457943925233644</v>
      </c>
      <c r="AB39" s="20"/>
    </row>
    <row r="40" spans="1:28" ht="15">
      <c r="A40">
        <v>39</v>
      </c>
      <c r="B40" s="45" t="s">
        <v>119</v>
      </c>
      <c r="C40" s="178">
        <v>0</v>
      </c>
      <c r="D40" s="58" t="s">
        <v>4</v>
      </c>
      <c r="E40" s="178">
        <v>1.1000000000000001</v>
      </c>
      <c r="F40" s="45"/>
      <c r="G40" s="45"/>
      <c r="H40" s="45"/>
      <c r="I40" s="45" t="s">
        <v>56</v>
      </c>
      <c r="J40" s="179" t="s">
        <v>19</v>
      </c>
      <c r="K40" s="45">
        <f t="shared" si="7"/>
        <v>377</v>
      </c>
      <c r="L40" s="45"/>
      <c r="M40" s="45">
        <f>INDEX(Base!S$21:S$705,Riferimenti!K40-20)</f>
        <v>0</v>
      </c>
      <c r="N40" s="180">
        <f t="shared" si="13"/>
        <v>0</v>
      </c>
      <c r="O40" s="181">
        <v>0.29014778325123208</v>
      </c>
      <c r="P40" s="181">
        <v>0.26958251153819218</v>
      </c>
      <c r="Q40" s="182">
        <f t="shared" si="15"/>
        <v>2.0565271713039901E-2</v>
      </c>
      <c r="R40" s="182">
        <f t="shared" si="16"/>
        <v>0.55973029478942427</v>
      </c>
      <c r="S40" s="45">
        <f t="shared" si="17"/>
        <v>1.177</v>
      </c>
      <c r="T40" s="183"/>
      <c r="U40" s="45"/>
      <c r="V40" s="183">
        <f t="shared" si="18"/>
        <v>0</v>
      </c>
      <c r="W40" s="183">
        <f t="shared" si="19"/>
        <v>8.6078303339285747E-2</v>
      </c>
      <c r="X40" s="183">
        <f t="shared" si="20"/>
        <v>0.50760732138082254</v>
      </c>
      <c r="Y40" s="183">
        <f t="shared" si="21"/>
        <v>0.93457943925233644</v>
      </c>
      <c r="AB40" s="20"/>
    </row>
    <row r="41" spans="1:28" ht="15">
      <c r="A41" s="43">
        <v>40</v>
      </c>
      <c r="B41" s="48" t="s">
        <v>432</v>
      </c>
      <c r="C41" s="184">
        <v>0</v>
      </c>
      <c r="D41" s="185" t="s">
        <v>4</v>
      </c>
      <c r="E41" s="184">
        <v>20</v>
      </c>
      <c r="F41" s="48"/>
      <c r="G41" s="48"/>
      <c r="H41" s="48"/>
      <c r="I41" s="48" t="s">
        <v>57</v>
      </c>
      <c r="J41" s="186" t="s">
        <v>19</v>
      </c>
      <c r="K41" s="48">
        <f t="shared" si="7"/>
        <v>382</v>
      </c>
      <c r="L41" s="45"/>
      <c r="M41" s="45">
        <f>INDEX(Base!S$21:S$705,Riferimenti!K41-20)</f>
        <v>0</v>
      </c>
      <c r="N41" s="180">
        <f t="shared" si="13"/>
        <v>0</v>
      </c>
      <c r="O41" s="181">
        <v>10</v>
      </c>
      <c r="P41" s="181">
        <v>2</v>
      </c>
      <c r="Q41" s="182">
        <f t="shared" si="15"/>
        <v>8</v>
      </c>
      <c r="R41" s="182">
        <f t="shared" si="16"/>
        <v>12</v>
      </c>
      <c r="S41" s="45">
        <f t="shared" si="17"/>
        <v>21.4</v>
      </c>
      <c r="T41" s="45"/>
      <c r="U41" s="45"/>
      <c r="V41" s="183">
        <f t="shared" si="18"/>
        <v>0</v>
      </c>
      <c r="W41" s="183">
        <f t="shared" si="19"/>
        <v>0.41399999999999998</v>
      </c>
      <c r="X41" s="183">
        <f t="shared" si="20"/>
        <v>0.58600000000000008</v>
      </c>
      <c r="Y41" s="183">
        <f t="shared" si="21"/>
        <v>0.93457943925233655</v>
      </c>
      <c r="AB41" s="20"/>
    </row>
    <row r="42" spans="1:28" ht="15">
      <c r="A42">
        <v>41</v>
      </c>
      <c r="B42" s="91" t="s">
        <v>154</v>
      </c>
      <c r="C42" s="178">
        <v>0</v>
      </c>
      <c r="D42" s="58" t="s">
        <v>4</v>
      </c>
      <c r="E42" s="178">
        <v>18.3</v>
      </c>
      <c r="F42" s="45"/>
      <c r="G42" s="45"/>
      <c r="H42" s="45"/>
      <c r="I42" s="45" t="s">
        <v>58</v>
      </c>
      <c r="J42" s="179" t="s">
        <v>19</v>
      </c>
      <c r="K42" s="45">
        <v>388</v>
      </c>
      <c r="L42" s="45"/>
      <c r="M42" s="45">
        <f>INDEX(Base!S$21:S$705,Riferimenti!K42-20)</f>
        <v>0</v>
      </c>
      <c r="N42" s="180">
        <f t="shared" si="13"/>
        <v>0</v>
      </c>
      <c r="O42" s="181">
        <v>6.6388461538461501</v>
      </c>
      <c r="P42" s="181">
        <v>3.8714965000610859</v>
      </c>
      <c r="Q42" s="182">
        <f t="shared" si="15"/>
        <v>2.7673496537850641</v>
      </c>
      <c r="R42" s="182">
        <f t="shared" si="16"/>
        <v>10.510342653907236</v>
      </c>
      <c r="S42" s="45">
        <f t="shared" si="17"/>
        <v>19.581</v>
      </c>
      <c r="T42" s="183"/>
      <c r="U42" s="45"/>
      <c r="V42" s="183">
        <f t="shared" si="18"/>
        <v>0</v>
      </c>
      <c r="W42" s="183">
        <f t="shared" si="19"/>
        <v>0.20005031159864237</v>
      </c>
      <c r="X42" s="183">
        <f t="shared" si="20"/>
        <v>0.56392867116722534</v>
      </c>
      <c r="Y42" s="183">
        <f t="shared" si="21"/>
        <v>0.93457943925233655</v>
      </c>
      <c r="AB42" s="20"/>
    </row>
    <row r="43" spans="1:28" ht="15">
      <c r="A43">
        <v>42</v>
      </c>
      <c r="B43" s="45" t="s">
        <v>121</v>
      </c>
      <c r="C43" s="178">
        <v>0</v>
      </c>
      <c r="D43" s="58" t="s">
        <v>4</v>
      </c>
      <c r="E43" s="178">
        <v>5.8</v>
      </c>
      <c r="F43" s="45"/>
      <c r="G43" s="45"/>
      <c r="H43" s="45"/>
      <c r="I43" s="45" t="s">
        <v>59</v>
      </c>
      <c r="J43" s="179" t="s">
        <v>19</v>
      </c>
      <c r="K43" s="45">
        <f t="shared" si="7"/>
        <v>393</v>
      </c>
      <c r="L43" s="45"/>
      <c r="M43" s="45">
        <f>INDEX(Base!S$21:S$705,Riferimenti!K43-20)</f>
        <v>0</v>
      </c>
      <c r="N43" s="180">
        <f t="shared" si="13"/>
        <v>0</v>
      </c>
      <c r="O43" s="181">
        <v>1.8731999999999986</v>
      </c>
      <c r="P43" s="181">
        <v>1.0316875869702207</v>
      </c>
      <c r="Q43" s="182">
        <f t="shared" si="15"/>
        <v>0.84151241302977797</v>
      </c>
      <c r="R43" s="182">
        <f t="shared" si="16"/>
        <v>2.9048875869702195</v>
      </c>
      <c r="S43" s="45">
        <f t="shared" si="17"/>
        <v>6.2059999999999995</v>
      </c>
      <c r="T43" s="183"/>
      <c r="U43" s="45"/>
      <c r="V43" s="183">
        <f t="shared" si="18"/>
        <v>0</v>
      </c>
      <c r="W43" s="183">
        <f t="shared" si="19"/>
        <v>0.19477597848372574</v>
      </c>
      <c r="X43" s="183">
        <f t="shared" si="20"/>
        <v>0.50072471117144635</v>
      </c>
      <c r="Y43" s="183">
        <f t="shared" si="21"/>
        <v>0.93457943925233644</v>
      </c>
      <c r="AB43" s="20"/>
    </row>
    <row r="44" spans="1:28" ht="15">
      <c r="A44">
        <v>43</v>
      </c>
      <c r="B44" s="45" t="s">
        <v>122</v>
      </c>
      <c r="C44" s="191">
        <v>0</v>
      </c>
      <c r="D44" s="45" t="s">
        <v>4</v>
      </c>
      <c r="E44" s="191">
        <v>6.2</v>
      </c>
      <c r="F44" s="45"/>
      <c r="G44" s="45"/>
      <c r="H44" s="45"/>
      <c r="I44" s="45" t="s">
        <v>60</v>
      </c>
      <c r="J44" s="179" t="s">
        <v>19</v>
      </c>
      <c r="K44" s="45">
        <f t="shared" si="7"/>
        <v>398</v>
      </c>
      <c r="L44" s="45"/>
      <c r="M44" s="45">
        <f>INDEX(Base!S$21:S$705,Riferimenti!K44-20)</f>
        <v>0</v>
      </c>
      <c r="N44" s="180">
        <f t="shared" si="13"/>
        <v>0</v>
      </c>
      <c r="O44" s="182">
        <v>3.1</v>
      </c>
      <c r="P44" s="182">
        <v>1</v>
      </c>
      <c r="Q44" s="45">
        <f t="shared" si="15"/>
        <v>2.1</v>
      </c>
      <c r="R44" s="182">
        <f>+O44+P44</f>
        <v>4.0999999999999996</v>
      </c>
      <c r="S44" s="45">
        <f t="shared" si="17"/>
        <v>6.6340000000000003</v>
      </c>
      <c r="T44" s="183"/>
      <c r="U44" s="45"/>
      <c r="V44" s="183">
        <f t="shared" si="18"/>
        <v>0</v>
      </c>
      <c r="W44" s="183">
        <f t="shared" si="19"/>
        <v>0.36129032258064514</v>
      </c>
      <c r="X44" s="183">
        <f t="shared" si="20"/>
        <v>0.6387096774193548</v>
      </c>
      <c r="Y44" s="183">
        <f t="shared" si="21"/>
        <v>0.93457943925233644</v>
      </c>
      <c r="AB44" s="20"/>
    </row>
    <row r="45" spans="1:28" ht="15">
      <c r="A45">
        <v>44</v>
      </c>
      <c r="B45" s="91" t="s">
        <v>155</v>
      </c>
      <c r="C45" s="178">
        <v>0</v>
      </c>
      <c r="D45" s="58" t="s">
        <v>4</v>
      </c>
      <c r="E45" s="178">
        <v>8.1</v>
      </c>
      <c r="F45" s="45"/>
      <c r="G45" s="45"/>
      <c r="H45" s="45"/>
      <c r="I45" s="45" t="s">
        <v>61</v>
      </c>
      <c r="J45" s="179" t="s">
        <v>19</v>
      </c>
      <c r="K45" s="45">
        <f t="shared" si="7"/>
        <v>403</v>
      </c>
      <c r="L45" s="45"/>
      <c r="M45" s="45">
        <f>INDEX(Base!S$21:S$705,Riferimenti!K45-20)</f>
        <v>0</v>
      </c>
      <c r="N45" s="180">
        <f t="shared" si="13"/>
        <v>0</v>
      </c>
      <c r="O45" s="181">
        <v>2.4984000000000002</v>
      </c>
      <c r="P45" s="181">
        <v>1.8717937620235292</v>
      </c>
      <c r="Q45" s="182">
        <f t="shared" si="15"/>
        <v>0.62660623797647097</v>
      </c>
      <c r="R45" s="182">
        <f>+O45+P45</f>
        <v>4.3701937620235292</v>
      </c>
      <c r="S45" s="45">
        <f t="shared" si="17"/>
        <v>8.6669999999999998</v>
      </c>
      <c r="T45" s="183"/>
      <c r="U45" s="45"/>
      <c r="V45" s="183">
        <f t="shared" si="18"/>
        <v>0</v>
      </c>
      <c r="W45" s="183">
        <f t="shared" si="19"/>
        <v>0.13652856353824261</v>
      </c>
      <c r="X45" s="183">
        <f t="shared" si="20"/>
        <v>0.53399588090620198</v>
      </c>
      <c r="Y45" s="183">
        <f t="shared" si="21"/>
        <v>0.93457943925233644</v>
      </c>
      <c r="AB45" s="20"/>
    </row>
    <row r="46" spans="1:28" ht="15">
      <c r="A46" s="43">
        <v>45</v>
      </c>
      <c r="B46" s="48" t="s">
        <v>421</v>
      </c>
      <c r="C46" s="192">
        <v>0</v>
      </c>
      <c r="D46" s="48" t="s">
        <v>4</v>
      </c>
      <c r="E46" s="192">
        <v>20.399999999999999</v>
      </c>
      <c r="F46" s="48"/>
      <c r="G46" s="48"/>
      <c r="H46" s="48"/>
      <c r="I46" s="48" t="s">
        <v>62</v>
      </c>
      <c r="J46" s="186" t="s">
        <v>19</v>
      </c>
      <c r="K46" s="48">
        <f t="shared" si="7"/>
        <v>408</v>
      </c>
      <c r="L46" s="45"/>
      <c r="M46" s="45">
        <f>INDEX(Base!S$21:S$705,Riferimenti!K46-20)</f>
        <v>0</v>
      </c>
      <c r="N46" s="180">
        <f t="shared" si="13"/>
        <v>0</v>
      </c>
      <c r="O46" s="182">
        <v>5.5369999999999999</v>
      </c>
      <c r="P46" s="182">
        <v>4.944</v>
      </c>
      <c r="Q46" s="182">
        <f t="shared" si="15"/>
        <v>0.59299999999999997</v>
      </c>
      <c r="R46" s="182">
        <f>+O46+P46</f>
        <v>10.481</v>
      </c>
      <c r="S46" s="45">
        <f t="shared" si="17"/>
        <v>21.827999999999999</v>
      </c>
      <c r="T46" s="183"/>
      <c r="U46" s="45"/>
      <c r="V46" s="183">
        <f t="shared" si="18"/>
        <v>0</v>
      </c>
      <c r="W46" s="183">
        <f t="shared" si="19"/>
        <v>9.4999019607843141E-2</v>
      </c>
      <c r="X46" s="183">
        <f t="shared" si="20"/>
        <v>0.51184607843137253</v>
      </c>
      <c r="Y46" s="183">
        <f t="shared" si="21"/>
        <v>0.93457943925233644</v>
      </c>
      <c r="AB46" s="20"/>
    </row>
    <row r="47" spans="1:28" ht="15">
      <c r="A47">
        <v>46</v>
      </c>
      <c r="B47" s="45" t="s">
        <v>123</v>
      </c>
      <c r="C47" s="178">
        <v>0</v>
      </c>
      <c r="D47" s="58" t="s">
        <v>4</v>
      </c>
      <c r="E47" s="178">
        <v>69.7</v>
      </c>
      <c r="F47" s="45"/>
      <c r="G47" s="45"/>
      <c r="H47" s="45"/>
      <c r="I47" s="45" t="s">
        <v>63</v>
      </c>
      <c r="J47" s="179" t="s">
        <v>19</v>
      </c>
      <c r="K47" s="45">
        <v>491</v>
      </c>
      <c r="L47" s="45"/>
      <c r="M47" s="45">
        <f>INDEX(Base!S$21:S$705,Riferimenti!K47-20)</f>
        <v>0</v>
      </c>
      <c r="N47" s="180">
        <f t="shared" si="13"/>
        <v>0</v>
      </c>
      <c r="O47" s="181">
        <v>23.280442804428056</v>
      </c>
      <c r="P47" s="181">
        <v>15.457517210785062</v>
      </c>
      <c r="Q47" s="182">
        <f t="shared" si="15"/>
        <v>7.822925593642994</v>
      </c>
      <c r="R47" s="182">
        <f>+O47+P47</f>
        <v>38.737960015213119</v>
      </c>
      <c r="S47" s="45">
        <f t="shared" si="17"/>
        <v>74.579000000000008</v>
      </c>
      <c r="T47" s="183"/>
      <c r="U47" s="45"/>
      <c r="V47" s="183">
        <f t="shared" si="18"/>
        <v>0</v>
      </c>
      <c r="W47" s="183">
        <f t="shared" si="19"/>
        <v>0.1665239025901431</v>
      </c>
      <c r="X47" s="183">
        <f t="shared" si="20"/>
        <v>0.54797196001554205</v>
      </c>
      <c r="Y47" s="183">
        <f t="shared" si="21"/>
        <v>0.93457943925233644</v>
      </c>
      <c r="AB47" s="20"/>
    </row>
    <row r="48" spans="1:28" ht="15">
      <c r="A48">
        <v>47</v>
      </c>
      <c r="B48" s="45" t="s">
        <v>124</v>
      </c>
      <c r="C48" s="178">
        <v>0</v>
      </c>
      <c r="D48" s="58" t="s">
        <v>4</v>
      </c>
      <c r="E48" s="178">
        <v>3.9</v>
      </c>
      <c r="F48" s="45"/>
      <c r="G48" s="45"/>
      <c r="H48" s="45"/>
      <c r="I48" s="45" t="s">
        <v>64</v>
      </c>
      <c r="J48" s="179" t="s">
        <v>19</v>
      </c>
      <c r="K48" s="45">
        <f t="shared" si="7"/>
        <v>496</v>
      </c>
      <c r="L48" s="45"/>
      <c r="M48" s="45">
        <f>INDEX(Base!S$21:S$705,Riferimenti!K48-20)</f>
        <v>0</v>
      </c>
      <c r="N48" s="180">
        <f t="shared" si="13"/>
        <v>0</v>
      </c>
      <c r="O48" s="181">
        <v>1.3370370370370357</v>
      </c>
      <c r="P48" s="181">
        <v>0.83610361506737862</v>
      </c>
      <c r="Q48" s="182">
        <f t="shared" si="15"/>
        <v>0.50093342196965707</v>
      </c>
      <c r="R48" s="182">
        <f>+O48+P48</f>
        <v>2.1731406521044141</v>
      </c>
      <c r="S48" s="45">
        <f t="shared" si="17"/>
        <v>4.173</v>
      </c>
      <c r="T48" s="183"/>
      <c r="U48" s="45"/>
      <c r="V48" s="183">
        <f t="shared" si="18"/>
        <v>0</v>
      </c>
      <c r="W48" s="183">
        <f t="shared" si="19"/>
        <v>0.18046224176766798</v>
      </c>
      <c r="X48" s="183">
        <f t="shared" si="20"/>
        <v>0.54920537456661445</v>
      </c>
      <c r="Y48" s="183">
        <f t="shared" si="21"/>
        <v>0.93457943925233644</v>
      </c>
      <c r="AB48" s="20"/>
    </row>
    <row r="49" spans="1:28" ht="15">
      <c r="A49" s="43">
        <v>48</v>
      </c>
      <c r="B49" s="48" t="s">
        <v>426</v>
      </c>
      <c r="C49" s="184">
        <v>0</v>
      </c>
      <c r="D49" s="185" t="s">
        <v>4</v>
      </c>
      <c r="E49" s="192">
        <v>35.1</v>
      </c>
      <c r="F49" s="48"/>
      <c r="G49" s="48"/>
      <c r="H49" s="48"/>
      <c r="I49" s="48" t="s">
        <v>65</v>
      </c>
      <c r="J49" s="186" t="s">
        <v>19</v>
      </c>
      <c r="K49" s="48">
        <f t="shared" si="7"/>
        <v>501</v>
      </c>
      <c r="L49" s="45"/>
      <c r="M49" s="45">
        <f>INDEX(Base!S$21:S$705,Riferimenti!K49-20)</f>
        <v>0</v>
      </c>
      <c r="N49" s="180">
        <f t="shared" si="13"/>
        <v>0</v>
      </c>
      <c r="O49" s="181">
        <v>11</v>
      </c>
      <c r="P49" s="181">
        <v>8</v>
      </c>
      <c r="Q49" s="182">
        <v>23.1</v>
      </c>
      <c r="R49" s="182">
        <v>34</v>
      </c>
      <c r="S49" s="45">
        <f t="shared" si="17"/>
        <v>37.557000000000002</v>
      </c>
      <c r="T49" s="183"/>
      <c r="U49" s="45"/>
      <c r="V49" s="183">
        <f t="shared" si="18"/>
        <v>0</v>
      </c>
      <c r="W49" s="183">
        <f t="shared" si="19"/>
        <v>0.63598290598290608</v>
      </c>
      <c r="X49" s="183">
        <f t="shared" si="20"/>
        <v>0.90304843304843296</v>
      </c>
      <c r="Y49" s="183">
        <f t="shared" si="21"/>
        <v>0.93457943925233644</v>
      </c>
      <c r="AB49" s="20"/>
    </row>
    <row r="50" spans="1:28" ht="15">
      <c r="A50">
        <v>49</v>
      </c>
      <c r="B50" s="45" t="s">
        <v>95</v>
      </c>
      <c r="C50" s="178">
        <v>0</v>
      </c>
      <c r="D50" s="58" t="s">
        <v>4</v>
      </c>
      <c r="E50" s="178">
        <v>3.4</v>
      </c>
      <c r="F50" s="45"/>
      <c r="G50" s="45"/>
      <c r="H50" s="45"/>
      <c r="I50" s="45" t="s">
        <v>66</v>
      </c>
      <c r="J50" s="179" t="s">
        <v>19</v>
      </c>
      <c r="K50" s="45">
        <v>509</v>
      </c>
      <c r="L50" s="45"/>
      <c r="M50" s="45">
        <f>INDEX(Base!S$21:S$705,Riferimenti!K50-20)</f>
        <v>0</v>
      </c>
      <c r="N50" s="180">
        <f t="shared" si="13"/>
        <v>0</v>
      </c>
      <c r="O50" s="181">
        <v>1.1034220532319403</v>
      </c>
      <c r="P50" s="181">
        <v>0.777171717475034</v>
      </c>
      <c r="Q50" s="182">
        <f t="shared" ref="Q50:Q71" si="22">+O50-P50</f>
        <v>0.32625033575690632</v>
      </c>
      <c r="R50" s="182">
        <f t="shared" ref="R50:R71" si="23">+O50+P50</f>
        <v>1.8805937707069744</v>
      </c>
      <c r="S50" s="45">
        <f t="shared" si="17"/>
        <v>3.6379999999999999</v>
      </c>
      <c r="T50" s="183"/>
      <c r="U50" s="45"/>
      <c r="V50" s="183">
        <f t="shared" si="18"/>
        <v>0</v>
      </c>
      <c r="W50" s="183">
        <f t="shared" si="19"/>
        <v>0.15252214375027631</v>
      </c>
      <c r="X50" s="183">
        <f t="shared" si="20"/>
        <v>0.54567960082588174</v>
      </c>
      <c r="Y50" s="183">
        <f t="shared" si="21"/>
        <v>0.93457943925233644</v>
      </c>
      <c r="AB50" s="20"/>
    </row>
    <row r="51" spans="1:28" ht="15">
      <c r="A51">
        <v>50</v>
      </c>
      <c r="B51" s="45" t="s">
        <v>345</v>
      </c>
      <c r="C51" s="178">
        <v>0</v>
      </c>
      <c r="D51" s="58" t="s">
        <v>4</v>
      </c>
      <c r="E51" s="178">
        <v>0.5</v>
      </c>
      <c r="F51" s="45"/>
      <c r="G51" s="45"/>
      <c r="H51" s="45"/>
      <c r="I51" s="45" t="s">
        <v>67</v>
      </c>
      <c r="J51" s="179" t="s">
        <v>19</v>
      </c>
      <c r="K51" s="45">
        <f t="shared" si="7"/>
        <v>514</v>
      </c>
      <c r="L51" s="45"/>
      <c r="M51" s="45">
        <f>INDEX(Base!S$21:S$705,Riferimenti!K51-20)</f>
        <v>0</v>
      </c>
      <c r="N51" s="180">
        <f t="shared" si="13"/>
        <v>0</v>
      </c>
      <c r="O51" s="181">
        <v>0.18007662835249089</v>
      </c>
      <c r="P51" s="181">
        <v>0.10069753773310944</v>
      </c>
      <c r="Q51" s="182">
        <f t="shared" si="22"/>
        <v>7.9379090619381448E-2</v>
      </c>
      <c r="R51" s="182">
        <f t="shared" si="23"/>
        <v>0.28077416608560035</v>
      </c>
      <c r="S51" s="45">
        <f t="shared" si="17"/>
        <v>0.53500000000000003</v>
      </c>
      <c r="T51" s="183"/>
      <c r="U51" s="45"/>
      <c r="V51" s="183">
        <f t="shared" si="18"/>
        <v>0</v>
      </c>
      <c r="W51" s="183">
        <f t="shared" si="19"/>
        <v>0.20653203586533608</v>
      </c>
      <c r="X51" s="183">
        <f t="shared" si="20"/>
        <v>0.55293156566723267</v>
      </c>
      <c r="Y51" s="183">
        <f t="shared" si="21"/>
        <v>0.93457943925233644</v>
      </c>
      <c r="AB51" s="20"/>
    </row>
    <row r="52" spans="1:28" ht="15">
      <c r="A52">
        <v>51</v>
      </c>
      <c r="B52" s="45" t="s">
        <v>346</v>
      </c>
      <c r="C52" s="178">
        <v>0</v>
      </c>
      <c r="D52" s="58" t="s">
        <v>4</v>
      </c>
      <c r="E52" s="178">
        <v>3.43</v>
      </c>
      <c r="F52" s="45"/>
      <c r="G52" s="45"/>
      <c r="H52" s="45"/>
      <c r="I52" s="45" t="s">
        <v>68</v>
      </c>
      <c r="J52" s="179" t="s">
        <v>19</v>
      </c>
      <c r="K52" s="45">
        <f t="shared" si="7"/>
        <v>519</v>
      </c>
      <c r="L52" s="45"/>
      <c r="M52" s="45">
        <f>INDEX(Base!S$21:S$705,Riferimenti!K52-20)</f>
        <v>0</v>
      </c>
      <c r="N52" s="180">
        <f t="shared" si="13"/>
        <v>0</v>
      </c>
      <c r="O52" s="181">
        <v>1.9114285714285704</v>
      </c>
      <c r="P52" s="181">
        <v>0.75809294814870165</v>
      </c>
      <c r="Q52" s="182">
        <f t="shared" si="22"/>
        <v>1.1533356232798688</v>
      </c>
      <c r="R52" s="182">
        <f t="shared" si="23"/>
        <v>2.6695215195772719</v>
      </c>
      <c r="S52" s="45">
        <f t="shared" si="17"/>
        <v>3.6701000000000001</v>
      </c>
      <c r="T52" s="183"/>
      <c r="U52" s="45"/>
      <c r="V52" s="183">
        <f t="shared" si="18"/>
        <v>0</v>
      </c>
      <c r="W52" s="183">
        <f t="shared" si="19"/>
        <v>0.35917452945209538</v>
      </c>
      <c r="X52" s="183">
        <f t="shared" si="20"/>
        <v>0.73932609528759596</v>
      </c>
      <c r="Y52" s="183">
        <f t="shared" si="21"/>
        <v>0.93457943925233644</v>
      </c>
      <c r="AB52" s="20"/>
    </row>
    <row r="53" spans="1:28" ht="15">
      <c r="A53">
        <v>52</v>
      </c>
      <c r="B53" s="45" t="s">
        <v>96</v>
      </c>
      <c r="C53" s="178">
        <v>0</v>
      </c>
      <c r="D53" s="58" t="s">
        <v>4</v>
      </c>
      <c r="E53" s="178">
        <v>0.6</v>
      </c>
      <c r="F53" s="45"/>
      <c r="G53" s="45"/>
      <c r="H53" s="45"/>
      <c r="I53" s="45" t="s">
        <v>69</v>
      </c>
      <c r="J53" s="179" t="s">
        <v>19</v>
      </c>
      <c r="K53" s="45">
        <f t="shared" si="7"/>
        <v>524</v>
      </c>
      <c r="L53" s="45"/>
      <c r="M53" s="45">
        <f>INDEX(Base!S$21:S$705,Riferimenti!K53-20)</f>
        <v>0</v>
      </c>
      <c r="N53" s="180">
        <f t="shared" si="13"/>
        <v>0</v>
      </c>
      <c r="O53" s="181">
        <v>0.29356435643564344</v>
      </c>
      <c r="P53" s="181">
        <v>0.13680129875162367</v>
      </c>
      <c r="Q53" s="182">
        <f t="shared" si="22"/>
        <v>0.15676305768401977</v>
      </c>
      <c r="R53" s="182">
        <f t="shared" si="23"/>
        <v>0.4303656551872671</v>
      </c>
      <c r="S53" s="45">
        <f t="shared" si="17"/>
        <v>0.64200000000000002</v>
      </c>
      <c r="T53" s="183"/>
      <c r="U53" s="45"/>
      <c r="V53" s="183">
        <f t="shared" si="18"/>
        <v>0</v>
      </c>
      <c r="W53" s="183">
        <f t="shared" si="19"/>
        <v>0.29469371601376171</v>
      </c>
      <c r="X53" s="183">
        <f t="shared" si="20"/>
        <v>0.68685743910174946</v>
      </c>
      <c r="Y53" s="183">
        <f t="shared" si="21"/>
        <v>0.93457943925233644</v>
      </c>
      <c r="AB53" s="20"/>
    </row>
    <row r="54" spans="1:28" ht="15">
      <c r="A54">
        <v>53</v>
      </c>
      <c r="B54" s="45" t="s">
        <v>97</v>
      </c>
      <c r="C54" s="178">
        <v>4.8</v>
      </c>
      <c r="D54" s="58" t="s">
        <v>6</v>
      </c>
      <c r="E54" s="178">
        <v>78.5</v>
      </c>
      <c r="F54" s="45"/>
      <c r="G54" s="45"/>
      <c r="H54" s="45"/>
      <c r="I54" s="45" t="s">
        <v>70</v>
      </c>
      <c r="J54" s="179" t="s">
        <v>19</v>
      </c>
      <c r="K54" s="45">
        <f t="shared" si="7"/>
        <v>529</v>
      </c>
      <c r="L54" s="45"/>
      <c r="M54" s="45">
        <f>INDEX(Base!S$21:S$705,Riferimenti!K54-20)</f>
        <v>0</v>
      </c>
      <c r="N54" s="180">
        <f t="shared" si="13"/>
        <v>0</v>
      </c>
      <c r="O54" s="181">
        <v>23.627979274611409</v>
      </c>
      <c r="P54" s="181">
        <v>18.279552116583741</v>
      </c>
      <c r="Q54" s="182">
        <f t="shared" si="22"/>
        <v>5.3484271580276683</v>
      </c>
      <c r="R54" s="182">
        <f t="shared" si="23"/>
        <v>41.90753139119515</v>
      </c>
      <c r="S54" s="45">
        <f t="shared" si="17"/>
        <v>83.995000000000005</v>
      </c>
      <c r="T54" s="183"/>
      <c r="U54" s="45"/>
      <c r="V54" s="183">
        <f t="shared" si="18"/>
        <v>7.0000000000000007E-2</v>
      </c>
      <c r="W54" s="183">
        <f t="shared" si="19"/>
        <v>7.63995570678941E-2</v>
      </c>
      <c r="X54" s="183">
        <f t="shared" si="20"/>
        <v>0.50300511528395975</v>
      </c>
      <c r="Y54" s="183">
        <f t="shared" si="21"/>
        <v>0.93457943925233644</v>
      </c>
      <c r="AB54" s="20"/>
    </row>
    <row r="55" spans="1:28" ht="15">
      <c r="A55">
        <v>54</v>
      </c>
      <c r="B55" s="45" t="s">
        <v>98</v>
      </c>
      <c r="C55" s="178">
        <v>0.4</v>
      </c>
      <c r="D55" s="58" t="s">
        <v>6</v>
      </c>
      <c r="E55" s="178">
        <v>7.5</v>
      </c>
      <c r="F55" s="45"/>
      <c r="G55" s="45"/>
      <c r="H55" s="45"/>
      <c r="I55" s="45" t="s">
        <v>71</v>
      </c>
      <c r="J55" s="179" t="s">
        <v>19</v>
      </c>
      <c r="K55" s="45">
        <f t="shared" si="7"/>
        <v>534</v>
      </c>
      <c r="L55" s="45"/>
      <c r="M55" s="45">
        <f>INDEX(Base!S$21:S$705,Riferimenti!K55-20)</f>
        <v>0</v>
      </c>
      <c r="N55" s="180">
        <f t="shared" si="13"/>
        <v>0</v>
      </c>
      <c r="O55" s="181">
        <v>30.166666666666657</v>
      </c>
      <c r="P55" s="181">
        <v>16.389551500086398</v>
      </c>
      <c r="Q55" s="182">
        <f t="shared" si="22"/>
        <v>13.777115166580259</v>
      </c>
      <c r="R55" s="182">
        <f t="shared" si="23"/>
        <v>46.556218166753055</v>
      </c>
      <c r="S55" s="45">
        <f t="shared" si="17"/>
        <v>8.0250000000000004</v>
      </c>
      <c r="T55" s="183"/>
      <c r="U55" s="45"/>
      <c r="V55" s="183">
        <f t="shared" si="18"/>
        <v>7.0000000000000007E-2</v>
      </c>
      <c r="W55" s="183">
        <v>0.32</v>
      </c>
      <c r="X55" s="183">
        <v>0.75</v>
      </c>
      <c r="Y55" s="183">
        <f t="shared" si="21"/>
        <v>0.93457943925233644</v>
      </c>
      <c r="AB55" s="20"/>
    </row>
    <row r="56" spans="1:28" ht="15">
      <c r="A56" s="43">
        <v>55</v>
      </c>
      <c r="B56" s="48" t="s">
        <v>347</v>
      </c>
      <c r="C56" s="184">
        <v>1.2</v>
      </c>
      <c r="D56" s="185" t="s">
        <v>6</v>
      </c>
      <c r="E56" s="184">
        <v>5.2</v>
      </c>
      <c r="F56" s="48"/>
      <c r="G56" s="48"/>
      <c r="H56" s="48"/>
      <c r="I56" s="48" t="s">
        <v>136</v>
      </c>
      <c r="J56" s="186" t="s">
        <v>19</v>
      </c>
      <c r="K56" s="48">
        <f t="shared" si="7"/>
        <v>539</v>
      </c>
      <c r="L56" s="45"/>
      <c r="M56" s="45">
        <f>INDEX(Base!S$21:S$705,Riferimenti!K56-20)</f>
        <v>0</v>
      </c>
      <c r="N56" s="180">
        <f t="shared" si="13"/>
        <v>0</v>
      </c>
      <c r="O56" s="181">
        <v>2.1966165413533822</v>
      </c>
      <c r="P56" s="181">
        <v>1.0101502875057731</v>
      </c>
      <c r="Q56" s="182">
        <f t="shared" si="22"/>
        <v>1.1864662538476092</v>
      </c>
      <c r="R56" s="182">
        <f t="shared" si="23"/>
        <v>3.2067668288591555</v>
      </c>
      <c r="S56" s="45">
        <f t="shared" si="17"/>
        <v>5.5640000000000001</v>
      </c>
      <c r="T56" s="183"/>
      <c r="U56" s="45"/>
      <c r="V56" s="183">
        <f t="shared" si="18"/>
        <v>7.0000000000000007E-2</v>
      </c>
      <c r="W56" s="183">
        <f t="shared" si="19"/>
        <v>6.7090244577235988E-2</v>
      </c>
      <c r="X56" s="183">
        <f t="shared" ref="X56:X71" si="24">(0.07+(R56-C56)/((E56-C56)/86)/100)</f>
        <v>0.50145486820471841</v>
      </c>
      <c r="Y56" s="183">
        <f t="shared" si="21"/>
        <v>0.93457943925233644</v>
      </c>
      <c r="AB56" s="20"/>
    </row>
    <row r="57" spans="1:28" ht="15">
      <c r="A57">
        <v>56</v>
      </c>
      <c r="B57" s="45" t="s">
        <v>135</v>
      </c>
      <c r="C57" s="178">
        <v>0</v>
      </c>
      <c r="D57" s="58" t="s">
        <v>4</v>
      </c>
      <c r="E57" s="178">
        <v>4.3</v>
      </c>
      <c r="F57" s="45"/>
      <c r="G57" s="45"/>
      <c r="H57" s="45"/>
      <c r="I57" s="45" t="s">
        <v>137</v>
      </c>
      <c r="J57" s="179" t="s">
        <v>19</v>
      </c>
      <c r="K57" s="45">
        <v>547</v>
      </c>
      <c r="L57" s="45"/>
      <c r="M57" s="45">
        <f>INDEX(Base!S$21:S$705,Riferimenti!K57-20)</f>
        <v>0</v>
      </c>
      <c r="N57" s="180">
        <f t="shared" si="13"/>
        <v>0</v>
      </c>
      <c r="O57" s="181">
        <v>1.3878787878787879</v>
      </c>
      <c r="P57" s="181">
        <v>0.99018861074468256</v>
      </c>
      <c r="Q57" s="182">
        <f t="shared" si="22"/>
        <v>0.39769017713410537</v>
      </c>
      <c r="R57" s="182">
        <f t="shared" si="23"/>
        <v>2.3780673986234704</v>
      </c>
      <c r="S57" s="45">
        <f t="shared" si="17"/>
        <v>4.601</v>
      </c>
      <c r="T57" s="183"/>
      <c r="U57" s="45"/>
      <c r="V57" s="183">
        <f t="shared" si="18"/>
        <v>0</v>
      </c>
      <c r="W57" s="183">
        <f t="shared" si="19"/>
        <v>0.14953803542682109</v>
      </c>
      <c r="X57" s="183">
        <f t="shared" si="24"/>
        <v>0.54561347972469409</v>
      </c>
      <c r="Y57" s="183">
        <f t="shared" si="21"/>
        <v>0.93457943925233644</v>
      </c>
    </row>
    <row r="58" spans="1:28" ht="15">
      <c r="A58" s="43">
        <v>57</v>
      </c>
      <c r="B58" s="48" t="s">
        <v>134</v>
      </c>
      <c r="C58" s="184">
        <v>0</v>
      </c>
      <c r="D58" s="185" t="s">
        <v>4</v>
      </c>
      <c r="E58" s="184">
        <v>0.2</v>
      </c>
      <c r="F58" s="48"/>
      <c r="G58" s="48"/>
      <c r="H58" s="48"/>
      <c r="I58" s="48" t="s">
        <v>138</v>
      </c>
      <c r="J58" s="186" t="s">
        <v>19</v>
      </c>
      <c r="K58" s="48">
        <f t="shared" si="7"/>
        <v>552</v>
      </c>
      <c r="L58" s="45"/>
      <c r="M58" s="45">
        <f>INDEX(Base!S$21:S$705,Riferimenti!K58-20)</f>
        <v>0</v>
      </c>
      <c r="N58" s="180">
        <f t="shared" si="13"/>
        <v>0</v>
      </c>
      <c r="O58" s="181">
        <v>0.11512039500222922</v>
      </c>
      <c r="P58" s="181">
        <v>4.0109529288224657E-2</v>
      </c>
      <c r="Q58" s="182">
        <f t="shared" si="22"/>
        <v>7.501086571400456E-2</v>
      </c>
      <c r="R58" s="182">
        <f t="shared" si="23"/>
        <v>0.15522992429045387</v>
      </c>
      <c r="S58" s="45">
        <f t="shared" si="17"/>
        <v>0.21400000000000002</v>
      </c>
      <c r="T58" s="183"/>
      <c r="U58" s="45"/>
      <c r="V58" s="183">
        <f t="shared" si="18"/>
        <v>0</v>
      </c>
      <c r="W58" s="183">
        <f t="shared" si="19"/>
        <v>0.39254672257021961</v>
      </c>
      <c r="X58" s="183">
        <f t="shared" si="24"/>
        <v>0.73748867444895172</v>
      </c>
      <c r="Y58" s="183">
        <f t="shared" si="21"/>
        <v>0.93457943925233644</v>
      </c>
    </row>
    <row r="59" spans="1:28" ht="15">
      <c r="A59" s="43">
        <v>58</v>
      </c>
      <c r="B59" s="48" t="s">
        <v>350</v>
      </c>
      <c r="C59" s="184">
        <v>0</v>
      </c>
      <c r="D59" s="185" t="s">
        <v>4</v>
      </c>
      <c r="E59" s="184">
        <v>4.4000000000000004</v>
      </c>
      <c r="F59" s="48"/>
      <c r="G59" s="48"/>
      <c r="H59" s="48"/>
      <c r="I59" s="48" t="s">
        <v>139</v>
      </c>
      <c r="J59" s="186" t="s">
        <v>19</v>
      </c>
      <c r="K59" s="48">
        <v>637</v>
      </c>
      <c r="L59" s="45"/>
      <c r="M59" s="45">
        <f>INDEX(Base!S$21:S$705,Riferimenti!K59-20)</f>
        <v>0</v>
      </c>
      <c r="N59" s="180">
        <f t="shared" si="13"/>
        <v>0</v>
      </c>
      <c r="O59" s="181">
        <v>1.1739299610894944</v>
      </c>
      <c r="P59" s="181">
        <v>1.0591773981257293</v>
      </c>
      <c r="Q59" s="182">
        <f t="shared" si="22"/>
        <v>0.11475256296376513</v>
      </c>
      <c r="R59" s="182">
        <f t="shared" si="23"/>
        <v>2.2331073592152237</v>
      </c>
      <c r="S59" s="45">
        <f t="shared" si="17"/>
        <v>4.7080000000000002</v>
      </c>
      <c r="T59" s="183"/>
      <c r="U59" s="45"/>
      <c r="V59" s="183">
        <f t="shared" si="18"/>
        <v>0</v>
      </c>
      <c r="W59" s="183">
        <f t="shared" si="19"/>
        <v>9.2428910033826833E-2</v>
      </c>
      <c r="X59" s="183">
        <f t="shared" si="24"/>
        <v>0.50647098384661193</v>
      </c>
      <c r="Y59" s="183">
        <f t="shared" si="21"/>
        <v>0.93457943925233644</v>
      </c>
    </row>
    <row r="60" spans="1:28" ht="15">
      <c r="A60" s="43">
        <v>59</v>
      </c>
      <c r="B60" s="121" t="s">
        <v>130</v>
      </c>
      <c r="C60" s="184">
        <v>0</v>
      </c>
      <c r="D60" s="185" t="s">
        <v>4</v>
      </c>
      <c r="E60" s="184">
        <v>0.5</v>
      </c>
      <c r="F60" s="48"/>
      <c r="G60" s="48"/>
      <c r="H60" s="48"/>
      <c r="I60" s="48" t="s">
        <v>180</v>
      </c>
      <c r="J60" s="186" t="s">
        <v>19</v>
      </c>
      <c r="K60" s="48">
        <v>643</v>
      </c>
      <c r="L60" s="45"/>
      <c r="M60" s="45">
        <f>INDEX(Base!S$21:S$705,Riferimenti!K60-20)</f>
        <v>0</v>
      </c>
      <c r="N60" s="180">
        <f t="shared" si="13"/>
        <v>0</v>
      </c>
      <c r="O60" s="181">
        <v>0.16568265682656866</v>
      </c>
      <c r="P60" s="181">
        <v>9.8711114397049965E-2</v>
      </c>
      <c r="Q60" s="182">
        <f t="shared" si="22"/>
        <v>6.6971542429518693E-2</v>
      </c>
      <c r="R60" s="182">
        <f t="shared" si="23"/>
        <v>0.26439377122361862</v>
      </c>
      <c r="S60" s="45">
        <f t="shared" si="17"/>
        <v>0.53500000000000003</v>
      </c>
      <c r="T60" s="183"/>
      <c r="U60" s="45"/>
      <c r="V60" s="183">
        <f t="shared" si="18"/>
        <v>0</v>
      </c>
      <c r="W60" s="183">
        <f t="shared" si="19"/>
        <v>0.18519105297877217</v>
      </c>
      <c r="X60" s="183">
        <f t="shared" si="24"/>
        <v>0.52475728650462394</v>
      </c>
      <c r="Y60" s="183">
        <f t="shared" si="21"/>
        <v>0.93457943925233644</v>
      </c>
    </row>
    <row r="61" spans="1:28" ht="15">
      <c r="A61">
        <v>60</v>
      </c>
      <c r="B61" s="45" t="s">
        <v>132</v>
      </c>
      <c r="C61" s="178">
        <v>10</v>
      </c>
      <c r="D61" s="58" t="s">
        <v>6</v>
      </c>
      <c r="E61" s="178">
        <v>32.4</v>
      </c>
      <c r="F61" s="45"/>
      <c r="G61" s="45"/>
      <c r="H61" s="45"/>
      <c r="I61" s="45" t="s">
        <v>218</v>
      </c>
      <c r="J61" s="179" t="s">
        <v>19</v>
      </c>
      <c r="K61" s="45">
        <v>649</v>
      </c>
      <c r="L61" s="45"/>
      <c r="M61" s="45">
        <f>INDEX(Base!S$21:S$705,Riferimenti!K61-20)</f>
        <v>0</v>
      </c>
      <c r="N61" s="180">
        <f t="shared" si="13"/>
        <v>0</v>
      </c>
      <c r="O61" s="181">
        <v>16.860804020100495</v>
      </c>
      <c r="P61" s="181">
        <v>5.0349958479298316</v>
      </c>
      <c r="Q61" s="182">
        <f t="shared" si="22"/>
        <v>11.825808172170664</v>
      </c>
      <c r="R61" s="182">
        <f t="shared" si="23"/>
        <v>21.895799868030327</v>
      </c>
      <c r="S61" s="45">
        <f t="shared" si="17"/>
        <v>34.667999999999999</v>
      </c>
      <c r="T61" s="45"/>
      <c r="U61" s="45"/>
      <c r="V61" s="183">
        <f t="shared" si="18"/>
        <v>7.0000000000000007E-2</v>
      </c>
      <c r="W61" s="183">
        <f t="shared" si="19"/>
        <v>0.14009799232440942</v>
      </c>
      <c r="X61" s="183">
        <f t="shared" si="24"/>
        <v>0.52671374493330725</v>
      </c>
      <c r="Y61" s="183">
        <f t="shared" si="21"/>
        <v>0.93457943925233644</v>
      </c>
    </row>
    <row r="62" spans="1:28" ht="15">
      <c r="A62" s="43">
        <v>61</v>
      </c>
      <c r="B62" s="48" t="s">
        <v>351</v>
      </c>
      <c r="C62" s="192">
        <v>0</v>
      </c>
      <c r="D62" s="48" t="s">
        <v>4</v>
      </c>
      <c r="E62" s="192">
        <v>1.6</v>
      </c>
      <c r="F62" s="48"/>
      <c r="G62" s="48"/>
      <c r="H62" s="48"/>
      <c r="I62" s="48" t="s">
        <v>219</v>
      </c>
      <c r="J62" s="186" t="s">
        <v>19</v>
      </c>
      <c r="K62" s="48">
        <f t="shared" si="7"/>
        <v>654</v>
      </c>
      <c r="L62" s="45"/>
      <c r="M62" s="45">
        <f>INDEX(Base!S$21:S$705,Riferimenti!K62-20)</f>
        <v>0</v>
      </c>
      <c r="N62" s="180">
        <f t="shared" si="13"/>
        <v>0</v>
      </c>
      <c r="O62" s="182">
        <v>0.39400000000000002</v>
      </c>
      <c r="P62" s="182">
        <v>0.39600000000000002</v>
      </c>
      <c r="Q62" s="182">
        <f t="shared" si="22"/>
        <v>-2.0000000000000018E-3</v>
      </c>
      <c r="R62" s="182">
        <f t="shared" si="23"/>
        <v>0.79</v>
      </c>
      <c r="S62" s="45">
        <f t="shared" si="17"/>
        <v>1.7120000000000002</v>
      </c>
      <c r="T62" s="183"/>
      <c r="U62" s="45"/>
      <c r="V62" s="183">
        <f t="shared" si="18"/>
        <v>0</v>
      </c>
      <c r="W62" s="183">
        <f t="shared" si="19"/>
        <v>6.8925E-2</v>
      </c>
      <c r="X62" s="183">
        <f t="shared" si="24"/>
        <v>0.49462500000000004</v>
      </c>
      <c r="Y62" s="183">
        <f t="shared" si="21"/>
        <v>0.93457943925233644</v>
      </c>
    </row>
    <row r="63" spans="1:28" ht="15">
      <c r="A63">
        <v>62</v>
      </c>
      <c r="B63" s="45" t="s">
        <v>348</v>
      </c>
      <c r="C63" s="178">
        <v>0</v>
      </c>
      <c r="D63" s="58" t="s">
        <v>4</v>
      </c>
      <c r="E63" s="178">
        <v>0.2</v>
      </c>
      <c r="F63" s="45"/>
      <c r="G63" s="45"/>
      <c r="H63" s="45"/>
      <c r="I63" s="45" t="s">
        <v>220</v>
      </c>
      <c r="J63" s="179" t="s">
        <v>19</v>
      </c>
      <c r="K63" s="45">
        <v>661</v>
      </c>
      <c r="L63" s="45"/>
      <c r="M63" s="45">
        <f>INDEX(Base!S$21:S$705,Riferimenti!K63-20)</f>
        <v>0</v>
      </c>
      <c r="N63" s="180">
        <f t="shared" si="13"/>
        <v>0</v>
      </c>
      <c r="O63" s="181">
        <v>6.1555555555555558E-2</v>
      </c>
      <c r="P63" s="181">
        <v>3.87858664250708E-2</v>
      </c>
      <c r="Q63" s="182">
        <f t="shared" si="22"/>
        <v>2.2769689130484758E-2</v>
      </c>
      <c r="R63" s="182">
        <f t="shared" si="23"/>
        <v>0.10034142198062636</v>
      </c>
      <c r="S63" s="45">
        <f t="shared" si="17"/>
        <v>0.21400000000000002</v>
      </c>
      <c r="T63" s="183"/>
      <c r="U63" s="45"/>
      <c r="V63" s="183">
        <f t="shared" si="18"/>
        <v>0</v>
      </c>
      <c r="W63" s="183">
        <f t="shared" si="19"/>
        <v>0.16790966326108447</v>
      </c>
      <c r="X63" s="183">
        <f t="shared" si="24"/>
        <v>0.50146811451669338</v>
      </c>
      <c r="Y63" s="183">
        <f t="shared" si="21"/>
        <v>0.93457943925233644</v>
      </c>
    </row>
    <row r="64" spans="1:28" ht="15">
      <c r="A64">
        <v>63</v>
      </c>
      <c r="B64" s="45" t="s">
        <v>99</v>
      </c>
      <c r="C64" s="178">
        <v>0</v>
      </c>
      <c r="D64" s="58" t="s">
        <v>4</v>
      </c>
      <c r="E64" s="178">
        <v>2</v>
      </c>
      <c r="F64" s="45"/>
      <c r="G64" s="45"/>
      <c r="H64" s="45"/>
      <c r="I64" s="45" t="s">
        <v>427</v>
      </c>
      <c r="J64" s="179" t="s">
        <v>19</v>
      </c>
      <c r="K64" s="45">
        <f t="shared" si="7"/>
        <v>666</v>
      </c>
      <c r="L64" s="45"/>
      <c r="M64" s="45">
        <f>INDEX(Base!S$21:S$705,Riferimenti!K64-20)</f>
        <v>0</v>
      </c>
      <c r="N64" s="180">
        <f t="shared" si="13"/>
        <v>0</v>
      </c>
      <c r="O64" s="181">
        <v>0.69804687499999973</v>
      </c>
      <c r="P64" s="181">
        <v>0.41599879071044138</v>
      </c>
      <c r="Q64" s="182">
        <f t="shared" si="22"/>
        <v>0.28204808428955835</v>
      </c>
      <c r="R64" s="182">
        <f t="shared" si="23"/>
        <v>1.1140456657104412</v>
      </c>
      <c r="S64" s="45">
        <f t="shared" si="17"/>
        <v>2.14</v>
      </c>
      <c r="T64" s="183"/>
      <c r="U64" s="45"/>
      <c r="V64" s="183">
        <f t="shared" si="18"/>
        <v>0</v>
      </c>
      <c r="W64" s="183">
        <f t="shared" si="19"/>
        <v>0.19128067624451012</v>
      </c>
      <c r="X64" s="183">
        <f t="shared" si="24"/>
        <v>0.54903963625548968</v>
      </c>
      <c r="Y64" s="183">
        <f t="shared" si="21"/>
        <v>0.93457943925233644</v>
      </c>
    </row>
    <row r="65" spans="1:25" ht="15">
      <c r="A65">
        <v>64</v>
      </c>
      <c r="B65" s="45" t="s">
        <v>100</v>
      </c>
      <c r="C65" s="178">
        <v>0</v>
      </c>
      <c r="D65" s="58" t="s">
        <v>4</v>
      </c>
      <c r="E65" s="178">
        <v>0.7</v>
      </c>
      <c r="F65" s="45"/>
      <c r="G65" s="45"/>
      <c r="H65" s="45"/>
      <c r="I65" s="45" t="s">
        <v>430</v>
      </c>
      <c r="J65" s="179" t="s">
        <v>19</v>
      </c>
      <c r="K65" s="45">
        <f t="shared" si="7"/>
        <v>671</v>
      </c>
      <c r="L65" s="45"/>
      <c r="M65" s="45">
        <f>INDEX(Base!S$21:S$705,Riferimenti!K65-20)</f>
        <v>0</v>
      </c>
      <c r="N65" s="180">
        <f t="shared" si="13"/>
        <v>0</v>
      </c>
      <c r="O65" s="181">
        <v>0.17803030303030343</v>
      </c>
      <c r="P65" s="181">
        <v>0.164450643925039</v>
      </c>
      <c r="Q65" s="182">
        <f t="shared" si="22"/>
        <v>1.357965910526443E-2</v>
      </c>
      <c r="R65" s="182">
        <f t="shared" si="23"/>
        <v>0.34248094695534242</v>
      </c>
      <c r="S65" s="45">
        <f t="shared" si="17"/>
        <v>0.749</v>
      </c>
      <c r="T65" s="183"/>
      <c r="U65" s="45"/>
      <c r="V65" s="183">
        <f t="shared" si="18"/>
        <v>0</v>
      </c>
      <c r="W65" s="183">
        <f t="shared" si="19"/>
        <v>8.668358118646774E-2</v>
      </c>
      <c r="X65" s="183">
        <f t="shared" si="24"/>
        <v>0.49076230625942069</v>
      </c>
      <c r="Y65" s="183">
        <f t="shared" si="21"/>
        <v>0.93457943925233644</v>
      </c>
    </row>
    <row r="66" spans="1:25" ht="15">
      <c r="A66">
        <v>65</v>
      </c>
      <c r="B66" s="45" t="s">
        <v>349</v>
      </c>
      <c r="C66" s="178">
        <v>0</v>
      </c>
      <c r="D66" s="58" t="s">
        <v>4</v>
      </c>
      <c r="E66" s="178">
        <v>0.5</v>
      </c>
      <c r="F66" s="45"/>
      <c r="G66" s="45"/>
      <c r="H66" s="45"/>
      <c r="I66" s="45" t="s">
        <v>462</v>
      </c>
      <c r="J66" s="179" t="s">
        <v>19</v>
      </c>
      <c r="K66" s="45">
        <f t="shared" si="7"/>
        <v>676</v>
      </c>
      <c r="L66" s="45"/>
      <c r="M66" s="45">
        <f>INDEX(Base!S$21:S$705,Riferimenti!K66-20)</f>
        <v>0</v>
      </c>
      <c r="N66" s="180">
        <f t="shared" si="13"/>
        <v>0</v>
      </c>
      <c r="O66" s="181">
        <v>0.1150943396226414</v>
      </c>
      <c r="P66" s="181">
        <v>0.11593793584395615</v>
      </c>
      <c r="Q66" s="182">
        <f t="shared" si="22"/>
        <v>-8.4359622131474632E-4</v>
      </c>
      <c r="R66" s="182">
        <f t="shared" si="23"/>
        <v>0.23103227546659755</v>
      </c>
      <c r="S66" s="45">
        <f t="shared" si="17"/>
        <v>0.53500000000000003</v>
      </c>
      <c r="T66" s="183"/>
      <c r="U66" s="45"/>
      <c r="V66" s="183">
        <f t="shared" si="18"/>
        <v>0</v>
      </c>
      <c r="W66" s="183">
        <f t="shared" si="19"/>
        <v>6.8549014499338645E-2</v>
      </c>
      <c r="X66" s="183">
        <f t="shared" si="24"/>
        <v>0.46737551380254777</v>
      </c>
      <c r="Y66" s="183">
        <f t="shared" si="21"/>
        <v>0.93457943925233644</v>
      </c>
    </row>
    <row r="67" spans="1:25" ht="15">
      <c r="A67">
        <v>66</v>
      </c>
      <c r="B67" s="91" t="s">
        <v>101</v>
      </c>
      <c r="C67" s="178">
        <v>0</v>
      </c>
      <c r="D67" s="58" t="s">
        <v>4</v>
      </c>
      <c r="E67" s="178">
        <v>7</v>
      </c>
      <c r="F67" s="45"/>
      <c r="G67" s="45"/>
      <c r="H67" s="45"/>
      <c r="I67" s="45" t="s">
        <v>463</v>
      </c>
      <c r="J67" s="179" t="s">
        <v>19</v>
      </c>
      <c r="K67" s="45">
        <f t="shared" si="7"/>
        <v>681</v>
      </c>
      <c r="L67" s="45"/>
      <c r="M67" s="45">
        <f>INDEX(Base!S$21:S$705,Riferimenti!K67-20)</f>
        <v>0</v>
      </c>
      <c r="N67" s="180">
        <f t="shared" si="13"/>
        <v>0</v>
      </c>
      <c r="O67" s="181">
        <v>3.0969696969696963</v>
      </c>
      <c r="P67" s="181">
        <v>1.2736546256902286</v>
      </c>
      <c r="Q67" s="182">
        <f t="shared" si="22"/>
        <v>1.8233150712794677</v>
      </c>
      <c r="R67" s="182">
        <f t="shared" si="23"/>
        <v>4.3706243226599248</v>
      </c>
      <c r="S67" s="45">
        <f t="shared" si="17"/>
        <v>7.49</v>
      </c>
      <c r="T67" s="183"/>
      <c r="U67" s="45"/>
      <c r="V67" s="183">
        <f t="shared" si="18"/>
        <v>0</v>
      </c>
      <c r="W67" s="183">
        <f t="shared" si="19"/>
        <v>0.29400728018576316</v>
      </c>
      <c r="X67" s="183">
        <f t="shared" si="24"/>
        <v>0.60696241678393359</v>
      </c>
      <c r="Y67" s="183">
        <f t="shared" si="21"/>
        <v>0.93457943925233644</v>
      </c>
    </row>
    <row r="68" spans="1:25" ht="15">
      <c r="A68">
        <v>67</v>
      </c>
      <c r="B68" s="45" t="s">
        <v>102</v>
      </c>
      <c r="C68" s="178">
        <v>0</v>
      </c>
      <c r="D68" s="58" t="s">
        <v>4</v>
      </c>
      <c r="E68" s="178">
        <v>1.1000000000000001</v>
      </c>
      <c r="F68" s="45"/>
      <c r="G68" s="45"/>
      <c r="H68" s="45"/>
      <c r="I68" s="45" t="s">
        <v>464</v>
      </c>
      <c r="J68" s="179" t="s">
        <v>19</v>
      </c>
      <c r="K68" s="45">
        <f t="shared" si="7"/>
        <v>686</v>
      </c>
      <c r="L68" s="45"/>
      <c r="M68" s="45">
        <f>INDEX(Base!S$21:S$705,Riferimenti!K68-20)</f>
        <v>0</v>
      </c>
      <c r="N68" s="180">
        <f t="shared" si="13"/>
        <v>0</v>
      </c>
      <c r="O68" s="181">
        <v>0.4207547169811322</v>
      </c>
      <c r="P68" s="181">
        <v>0.22626621034012276</v>
      </c>
      <c r="Q68" s="182">
        <f t="shared" si="22"/>
        <v>0.19448850664100945</v>
      </c>
      <c r="R68" s="182">
        <f t="shared" si="23"/>
        <v>0.64702092732125494</v>
      </c>
      <c r="S68" s="45">
        <f t="shared" si="17"/>
        <v>1.177</v>
      </c>
      <c r="T68" s="183"/>
      <c r="U68" s="45"/>
      <c r="V68" s="183">
        <f t="shared" si="18"/>
        <v>0</v>
      </c>
      <c r="W68" s="183">
        <f t="shared" si="19"/>
        <v>0.22205465064660737</v>
      </c>
      <c r="X68" s="183">
        <f t="shared" si="24"/>
        <v>0.57585272499661744</v>
      </c>
      <c r="Y68" s="183">
        <f t="shared" si="21"/>
        <v>0.93457943925233644</v>
      </c>
    </row>
    <row r="69" spans="1:25" ht="15">
      <c r="A69">
        <v>68</v>
      </c>
      <c r="B69" s="45" t="s">
        <v>465</v>
      </c>
      <c r="C69" s="178">
        <v>0</v>
      </c>
      <c r="D69" s="58" t="s">
        <v>4</v>
      </c>
      <c r="E69" s="178">
        <v>2.4</v>
      </c>
      <c r="F69" s="45"/>
      <c r="G69" s="45"/>
      <c r="H69" s="45"/>
      <c r="I69" s="45" t="s">
        <v>466</v>
      </c>
      <c r="J69" s="179" t="s">
        <v>19</v>
      </c>
      <c r="K69" s="45">
        <f t="shared" si="7"/>
        <v>691</v>
      </c>
      <c r="L69" s="45"/>
      <c r="M69" s="45">
        <f>INDEX(Base!S$21:S$705,Riferimenti!K69-20)</f>
        <v>0</v>
      </c>
      <c r="N69" s="180">
        <f t="shared" si="13"/>
        <v>0</v>
      </c>
      <c r="O69" s="181">
        <v>0.57732342007435011</v>
      </c>
      <c r="P69" s="181">
        <v>0.60505233788187196</v>
      </c>
      <c r="Q69" s="182">
        <f t="shared" si="22"/>
        <v>-2.7728917807521847E-2</v>
      </c>
      <c r="R69" s="182">
        <f t="shared" si="23"/>
        <v>1.1823757579562222</v>
      </c>
      <c r="S69" s="45">
        <f t="shared" si="17"/>
        <v>2.5680000000000001</v>
      </c>
      <c r="T69" s="183"/>
      <c r="U69" s="45"/>
      <c r="V69" s="183">
        <f t="shared" si="18"/>
        <v>0</v>
      </c>
      <c r="W69" s="183">
        <f t="shared" si="19"/>
        <v>6.0063804452304678E-2</v>
      </c>
      <c r="X69" s="183">
        <f t="shared" si="24"/>
        <v>0.49368464660097966</v>
      </c>
      <c r="Y69" s="183">
        <f t="shared" si="21"/>
        <v>0.93457943925233644</v>
      </c>
    </row>
    <row r="70" spans="1:25" ht="15">
      <c r="A70" s="43">
        <v>69</v>
      </c>
      <c r="B70" s="47" t="s">
        <v>153</v>
      </c>
      <c r="C70" s="184">
        <v>0</v>
      </c>
      <c r="D70" s="185" t="s">
        <v>4</v>
      </c>
      <c r="E70" s="184">
        <v>0.4</v>
      </c>
      <c r="F70" s="48"/>
      <c r="G70" s="48"/>
      <c r="H70" s="48"/>
      <c r="I70" s="48" t="s">
        <v>467</v>
      </c>
      <c r="J70" s="186" t="s">
        <v>19</v>
      </c>
      <c r="K70" s="48">
        <f t="shared" ref="K70" si="25">+K69+5</f>
        <v>696</v>
      </c>
      <c r="L70" s="45"/>
      <c r="M70" s="45">
        <f>INDEX(Base!S$21:S$705,Riferimenti!K70-20)</f>
        <v>0</v>
      </c>
      <c r="N70" s="180">
        <f t="shared" si="13"/>
        <v>0</v>
      </c>
      <c r="O70" s="181">
        <v>0.14809160305343561</v>
      </c>
      <c r="P70" s="181">
        <v>8.4282998052030045E-2</v>
      </c>
      <c r="Q70" s="182">
        <f t="shared" si="22"/>
        <v>6.3808605001405561E-2</v>
      </c>
      <c r="R70" s="182">
        <f t="shared" si="23"/>
        <v>0.23237460110546565</v>
      </c>
      <c r="S70" s="45">
        <f t="shared" si="17"/>
        <v>0.42800000000000005</v>
      </c>
      <c r="T70" s="183"/>
      <c r="U70" s="45"/>
      <c r="V70" s="183">
        <f t="shared" si="18"/>
        <v>0</v>
      </c>
      <c r="W70" s="183">
        <f t="shared" si="19"/>
        <v>0.20718850075302198</v>
      </c>
      <c r="X70" s="183">
        <f t="shared" si="24"/>
        <v>0.56960539237675123</v>
      </c>
      <c r="Y70" s="183">
        <f t="shared" si="21"/>
        <v>0.93457943925233644</v>
      </c>
    </row>
    <row r="71" spans="1:25" ht="15">
      <c r="A71">
        <v>70</v>
      </c>
      <c r="B71" s="45" t="s">
        <v>9</v>
      </c>
      <c r="C71" s="191">
        <v>29</v>
      </c>
      <c r="D71" s="45" t="s">
        <v>6</v>
      </c>
      <c r="E71" s="191">
        <v>226</v>
      </c>
      <c r="F71" s="45"/>
      <c r="G71" s="45"/>
      <c r="H71" s="45"/>
      <c r="I71" s="45" t="s">
        <v>468</v>
      </c>
      <c r="J71" s="179" t="s">
        <v>19</v>
      </c>
      <c r="K71" s="45">
        <v>703</v>
      </c>
      <c r="L71" s="45"/>
      <c r="M71" s="45">
        <f>INDEX(Base!S$21:S$705,Riferimenti!K71-20)</f>
        <v>0</v>
      </c>
      <c r="N71" s="180">
        <f t="shared" si="13"/>
        <v>0</v>
      </c>
      <c r="O71" s="182">
        <v>127</v>
      </c>
      <c r="P71" s="182">
        <v>33</v>
      </c>
      <c r="Q71" s="182">
        <f t="shared" si="22"/>
        <v>94</v>
      </c>
      <c r="R71" s="182">
        <f t="shared" si="23"/>
        <v>160</v>
      </c>
      <c r="S71" s="45">
        <f t="shared" si="17"/>
        <v>241.82</v>
      </c>
      <c r="T71" s="183"/>
      <c r="U71" s="45"/>
      <c r="V71" s="183">
        <f t="shared" si="18"/>
        <v>7.0000000000000007E-2</v>
      </c>
      <c r="W71" s="183">
        <f t="shared" si="19"/>
        <v>0.35375634517766497</v>
      </c>
      <c r="X71" s="183">
        <f t="shared" si="24"/>
        <v>0.64187817258883251</v>
      </c>
      <c r="Y71" s="183">
        <f t="shared" si="21"/>
        <v>0.93457943925233644</v>
      </c>
    </row>
    <row r="72" spans="1:25" ht="15">
      <c r="B72" s="45"/>
      <c r="C72" s="45"/>
      <c r="D72" s="45"/>
      <c r="E72" s="45"/>
      <c r="F72" s="45"/>
      <c r="G72" s="45"/>
      <c r="H72" s="45"/>
      <c r="I72" s="45"/>
      <c r="J72" s="45"/>
      <c r="K72" s="45"/>
      <c r="L72" s="45"/>
      <c r="M72" s="45"/>
      <c r="N72" s="45"/>
      <c r="O72" s="45"/>
      <c r="P72" s="45"/>
      <c r="Q72" s="45"/>
      <c r="R72" s="45"/>
      <c r="S72" s="45"/>
      <c r="T72" s="45"/>
      <c r="U72" s="45"/>
      <c r="V72" s="45"/>
      <c r="W72" s="45"/>
      <c r="X72" s="45"/>
      <c r="Y72" s="45"/>
    </row>
    <row r="73" spans="1:25" ht="15">
      <c r="B73" s="45"/>
      <c r="C73" s="45"/>
      <c r="D73" s="45"/>
      <c r="E73" s="45"/>
      <c r="F73" s="45"/>
      <c r="G73" s="45"/>
      <c r="H73" s="45"/>
      <c r="I73" s="45"/>
      <c r="J73" s="45"/>
      <c r="K73" s="45"/>
      <c r="L73" s="45"/>
      <c r="M73" s="45"/>
      <c r="N73" s="45"/>
      <c r="O73" s="45"/>
      <c r="P73" s="45"/>
      <c r="Q73" s="45"/>
      <c r="R73" s="45"/>
      <c r="S73" s="45"/>
      <c r="T73" s="45"/>
      <c r="U73" s="45"/>
      <c r="V73" s="45"/>
      <c r="W73" s="45"/>
      <c r="X73" s="45"/>
      <c r="Y73" s="45"/>
    </row>
    <row r="74" spans="1:25" ht="15">
      <c r="B74" s="45"/>
      <c r="C74" s="45"/>
      <c r="D74" s="45"/>
      <c r="E74" s="45"/>
      <c r="F74" s="45"/>
      <c r="G74" s="45"/>
      <c r="H74" s="45"/>
      <c r="I74" s="45"/>
      <c r="J74" s="45"/>
      <c r="K74" s="45"/>
      <c r="L74" s="45"/>
      <c r="M74" s="45"/>
      <c r="N74" s="45"/>
      <c r="O74" s="45"/>
      <c r="P74" s="45"/>
      <c r="Q74" s="45"/>
      <c r="R74" s="45"/>
      <c r="S74" s="45"/>
      <c r="T74" s="45"/>
      <c r="U74" s="45"/>
      <c r="V74" s="45"/>
      <c r="W74" s="45"/>
      <c r="X74" s="45"/>
      <c r="Y74" s="45"/>
    </row>
    <row r="75" spans="1:25">
      <c r="J75" s="41"/>
    </row>
    <row r="76" spans="1:25">
      <c r="J76" s="41"/>
    </row>
    <row r="77" spans="1:25">
      <c r="J77" s="41"/>
    </row>
    <row r="78" spans="1:25">
      <c r="J78" s="41"/>
    </row>
    <row r="79" spans="1:25">
      <c r="J79" s="41"/>
    </row>
    <row r="80" spans="1:25">
      <c r="J80" s="41"/>
    </row>
    <row r="81" spans="10:10">
      <c r="J81" s="41"/>
    </row>
    <row r="82" spans="10:10">
      <c r="J82" s="41"/>
    </row>
    <row r="83" spans="10:10">
      <c r="J83" s="41"/>
    </row>
    <row r="84" spans="10:10">
      <c r="J84" s="41"/>
    </row>
    <row r="85" spans="10:10">
      <c r="J85" s="41"/>
    </row>
    <row r="86" spans="10:10">
      <c r="J86" s="41"/>
    </row>
    <row r="87" spans="10:10">
      <c r="J87" s="41"/>
    </row>
    <row r="88" spans="10:10">
      <c r="J88" s="41"/>
    </row>
    <row r="89" spans="10:10">
      <c r="J89" s="41"/>
    </row>
    <row r="90" spans="10:10">
      <c r="J90" s="41"/>
    </row>
    <row r="91" spans="10:10">
      <c r="J91" s="41"/>
    </row>
    <row r="92" spans="10:10">
      <c r="J92" s="41"/>
    </row>
    <row r="93" spans="10:10">
      <c r="J93" s="41"/>
    </row>
    <row r="94" spans="10:10">
      <c r="J94" s="41"/>
    </row>
    <row r="95" spans="10:10">
      <c r="J95" s="41"/>
    </row>
    <row r="96" spans="10:10">
      <c r="J96" s="41"/>
    </row>
    <row r="97" spans="10:10">
      <c r="J97" s="41"/>
    </row>
    <row r="98" spans="10:10">
      <c r="J98" s="41"/>
    </row>
    <row r="99" spans="10:10">
      <c r="J99" s="41"/>
    </row>
    <row r="100" spans="10:10">
      <c r="J100" s="41"/>
    </row>
    <row r="101" spans="10:10">
      <c r="J101" s="41"/>
    </row>
    <row r="102" spans="10:10">
      <c r="J102" s="41"/>
    </row>
    <row r="103" spans="10:10">
      <c r="J103" s="41"/>
    </row>
    <row r="104" spans="10:10">
      <c r="J104" s="41"/>
    </row>
    <row r="105" spans="10:10">
      <c r="J105" s="41"/>
    </row>
    <row r="106" spans="10:10">
      <c r="J106" s="41"/>
    </row>
    <row r="107" spans="10:10">
      <c r="J107" s="41"/>
    </row>
    <row r="108" spans="10:10">
      <c r="J108" s="41"/>
    </row>
    <row r="109" spans="10:10">
      <c r="J109" s="41"/>
    </row>
    <row r="110" spans="10:10">
      <c r="J110" s="41"/>
    </row>
    <row r="111" spans="10:10">
      <c r="J111" s="41"/>
    </row>
    <row r="112" spans="10:10">
      <c r="J112" s="41"/>
    </row>
    <row r="113" spans="10:10">
      <c r="J113" s="41"/>
    </row>
    <row r="114" spans="10:10">
      <c r="J114" s="41"/>
    </row>
    <row r="115" spans="10:10">
      <c r="J115" s="41"/>
    </row>
    <row r="116" spans="10:10">
      <c r="J116" s="41"/>
    </row>
    <row r="117" spans="10:10">
      <c r="J117" s="41"/>
    </row>
    <row r="118" spans="10:10">
      <c r="J118" s="41"/>
    </row>
    <row r="119" spans="10:10">
      <c r="J119" s="41"/>
    </row>
    <row r="120" spans="10:10">
      <c r="J120" s="41"/>
    </row>
    <row r="121" spans="10:10">
      <c r="J121" s="41"/>
    </row>
    <row r="122" spans="10:10">
      <c r="J122" s="41"/>
    </row>
    <row r="123" spans="10:10">
      <c r="J123" s="41"/>
    </row>
    <row r="124" spans="10:10">
      <c r="J124" s="41"/>
    </row>
    <row r="125" spans="10:10">
      <c r="J125" s="41"/>
    </row>
    <row r="126" spans="10:10">
      <c r="J126" s="41"/>
    </row>
    <row r="127" spans="10:10">
      <c r="J127" s="41"/>
    </row>
    <row r="128" spans="10:10">
      <c r="J128" s="41"/>
    </row>
  </sheetData>
  <dataConsolidate/>
  <mergeCells count="1">
    <mergeCell ref="C1:E1"/>
  </mergeCells>
  <phoneticPr fontId="2" type="noConversion"/>
  <printOptions horizontalCentered="1"/>
  <pageMargins left="0.59055118110236227" right="0.39370078740157483" top="0.74803149606299213" bottom="0.74803149606299213" header="0.31496062992125984" footer="0.31496062992125984"/>
  <pageSetup paperSize="9" scale="93" orientation="portrait" verticalDpi="300" r:id="rId1"/>
  <headerFooter>
    <oddHeader>&amp;C
&amp;G</oddHeader>
    <oddFooter>&amp;CVia Cairoli, 2 - 40121 Bologna
Tel. 051240218 - Fax 051241330 - E-mail. vaòsambro@valsambro.it
C.Fisc/P.Iva 01546951201 - Rea Bo 344234 - Caèitale I.V. 10.400,00 Euro&amp;RPagina &amp;P di &amp;N</oddFooter>
    <firstFooter>&amp;C&amp;"Verdana,Normale"&amp;11Via Cairoli, 2 40121 Bologna
Tel: 051240218; Fax 051241330; E-mail: valsambro@valsambro.it
C.Fisc/P.IVA: 01546951201 - Rea Bo 344234 - Capitale I.V.: 10.4000,00 Euro</first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7"/>
  <dimension ref="A1:AG54"/>
  <sheetViews>
    <sheetView workbookViewId="0"/>
  </sheetViews>
  <sheetFormatPr defaultRowHeight="12.75"/>
  <cols>
    <col min="1" max="1" width="3.85546875" customWidth="1"/>
  </cols>
  <sheetData>
    <row r="1" spans="1:33" ht="12.75" customHeight="1">
      <c r="F1" s="247" t="str">
        <f xml:space="preserve"> IF(LEN(Base!nPaz)&gt;0,Base!nPaz,"")</f>
        <v>GIOVANNI BUI</v>
      </c>
      <c r="G1" s="247"/>
      <c r="H1" s="247"/>
      <c r="I1" s="247"/>
      <c r="J1" s="247"/>
      <c r="L1">
        <v>16</v>
      </c>
      <c r="M1">
        <v>16</v>
      </c>
      <c r="N1">
        <v>0</v>
      </c>
      <c r="O1">
        <v>0</v>
      </c>
    </row>
    <row r="2" spans="1:33" ht="12.75" customHeight="1">
      <c r="F2" s="247"/>
      <c r="G2" s="247"/>
      <c r="H2" s="247"/>
      <c r="I2" s="247"/>
      <c r="J2" s="247"/>
    </row>
    <row r="3" spans="1:33" ht="23.25" customHeight="1">
      <c r="A3" s="249" t="s">
        <v>7</v>
      </c>
      <c r="B3" s="249"/>
      <c r="C3" s="249"/>
      <c r="D3" s="249"/>
      <c r="E3" s="249"/>
      <c r="F3" s="249"/>
      <c r="G3" s="249"/>
      <c r="H3" s="249"/>
      <c r="I3" s="249"/>
      <c r="J3" s="249"/>
      <c r="K3" s="249"/>
    </row>
    <row r="4" spans="1:33" ht="21" customHeight="1">
      <c r="A4" s="250" t="s">
        <v>149</v>
      </c>
      <c r="B4" s="250"/>
      <c r="C4" s="250"/>
      <c r="D4" s="250"/>
      <c r="E4" s="250"/>
      <c r="F4" s="250"/>
      <c r="G4" s="250"/>
      <c r="H4" s="250"/>
      <c r="I4" s="250"/>
      <c r="J4" s="250"/>
      <c r="K4" s="250"/>
    </row>
    <row r="5" spans="1:33" ht="15">
      <c r="A5" s="46" t="s">
        <v>146</v>
      </c>
    </row>
    <row r="6" spans="1:33" ht="14.45" customHeight="1">
      <c r="A6" s="246" t="s">
        <v>150</v>
      </c>
      <c r="B6" s="246"/>
      <c r="C6" s="246"/>
      <c r="D6" s="246"/>
      <c r="E6" s="246"/>
      <c r="F6" s="246"/>
      <c r="G6" s="246"/>
      <c r="H6" s="246"/>
      <c r="I6" s="246"/>
      <c r="J6" s="246"/>
      <c r="K6" s="246"/>
    </row>
    <row r="7" spans="1:33" ht="14.45" customHeight="1">
      <c r="A7" s="246"/>
      <c r="B7" s="246"/>
      <c r="C7" s="246"/>
      <c r="D7" s="246"/>
      <c r="E7" s="246"/>
      <c r="F7" s="246"/>
      <c r="G7" s="246"/>
      <c r="H7" s="246"/>
      <c r="I7" s="246"/>
      <c r="J7" s="246"/>
      <c r="K7" s="246"/>
    </row>
    <row r="8" spans="1:33" ht="14.45" customHeight="1">
      <c r="A8" s="246"/>
      <c r="B8" s="246"/>
      <c r="C8" s="246"/>
      <c r="D8" s="246"/>
      <c r="E8" s="246"/>
      <c r="F8" s="246"/>
      <c r="G8" s="246"/>
      <c r="H8" s="246"/>
      <c r="I8" s="246"/>
      <c r="J8" s="246"/>
      <c r="K8" s="246"/>
    </row>
    <row r="9" spans="1:33" ht="14.45" customHeight="1">
      <c r="A9" s="246"/>
      <c r="B9" s="246"/>
      <c r="C9" s="246"/>
      <c r="D9" s="246"/>
      <c r="E9" s="246"/>
      <c r="F9" s="246"/>
      <c r="G9" s="246"/>
      <c r="H9" s="246"/>
      <c r="I9" s="246"/>
      <c r="J9" s="246"/>
      <c r="K9" s="246"/>
      <c r="L9" s="70" t="s">
        <v>163</v>
      </c>
    </row>
    <row r="10" spans="1:33" ht="15" customHeight="1">
      <c r="A10" s="251" t="s">
        <v>151</v>
      </c>
      <c r="B10" s="251"/>
      <c r="C10" s="251"/>
      <c r="D10" s="251"/>
      <c r="E10" s="251"/>
      <c r="F10" s="251"/>
      <c r="G10" s="251"/>
      <c r="H10" s="251"/>
      <c r="I10" s="251"/>
      <c r="J10" s="251"/>
      <c r="K10" s="251"/>
      <c r="L10" s="70" t="s">
        <v>164</v>
      </c>
    </row>
    <row r="11" spans="1:33" ht="12.75" customHeight="1">
      <c r="A11" s="251"/>
      <c r="B11" s="251"/>
      <c r="C11" s="251"/>
      <c r="D11" s="251"/>
      <c r="E11" s="251"/>
      <c r="F11" s="251"/>
      <c r="G11" s="251"/>
      <c r="H11" s="251"/>
      <c r="I11" s="251"/>
      <c r="J11" s="251"/>
      <c r="K11" s="251"/>
    </row>
    <row r="12" spans="1:33" ht="12.75" customHeight="1">
      <c r="A12" s="251"/>
      <c r="B12" s="251"/>
      <c r="C12" s="251"/>
      <c r="D12" s="251"/>
      <c r="E12" s="251"/>
      <c r="F12" s="251"/>
      <c r="G12" s="251"/>
      <c r="H12" s="251"/>
      <c r="I12" s="251"/>
      <c r="J12" s="251"/>
      <c r="K12" s="251"/>
    </row>
    <row r="13" spans="1:33" ht="12.75" customHeight="1">
      <c r="A13" s="251"/>
      <c r="B13" s="251"/>
      <c r="C13" s="251"/>
      <c r="D13" s="251"/>
      <c r="E13" s="251"/>
      <c r="F13" s="251"/>
      <c r="G13" s="251"/>
      <c r="H13" s="251"/>
      <c r="I13" s="251"/>
      <c r="J13" s="251"/>
      <c r="K13" s="251"/>
    </row>
    <row r="14" spans="1:33" s="163" customFormat="1" ht="25.5" customHeight="1">
      <c r="A14" s="248" t="s">
        <v>152</v>
      </c>
      <c r="B14" s="248"/>
      <c r="C14" s="248"/>
      <c r="D14" s="248"/>
      <c r="E14" s="248"/>
      <c r="F14" s="248"/>
      <c r="G14" s="248"/>
      <c r="H14" s="248"/>
      <c r="I14" s="248"/>
      <c r="J14" s="248"/>
    </row>
    <row r="15" spans="1:33" ht="12.75" customHeight="1">
      <c r="A15" s="243" t="s">
        <v>423</v>
      </c>
      <c r="B15" s="243"/>
      <c r="C15" s="243"/>
      <c r="D15" s="243"/>
      <c r="E15" s="243"/>
      <c r="F15" s="244"/>
      <c r="G15" s="245" t="s">
        <v>424</v>
      </c>
      <c r="H15" s="243"/>
      <c r="I15" s="243"/>
      <c r="J15" s="243"/>
      <c r="K15" s="243"/>
      <c r="W15" s="243" t="s">
        <v>423</v>
      </c>
      <c r="X15" s="243"/>
      <c r="Y15" s="243"/>
      <c r="Z15" s="243"/>
      <c r="AA15" s="243"/>
      <c r="AB15" s="244"/>
      <c r="AC15" s="245" t="s">
        <v>424</v>
      </c>
      <c r="AD15" s="243"/>
      <c r="AE15" s="243"/>
      <c r="AF15" s="243"/>
      <c r="AG15" s="243"/>
    </row>
    <row r="16" spans="1:33" ht="12.75" customHeight="1">
      <c r="A16" s="243"/>
      <c r="B16" s="243"/>
      <c r="C16" s="243"/>
      <c r="D16" s="243"/>
      <c r="E16" s="243"/>
      <c r="F16" s="244"/>
      <c r="G16" s="245"/>
      <c r="H16" s="243"/>
      <c r="I16" s="243"/>
      <c r="J16" s="243"/>
      <c r="K16" s="243"/>
      <c r="W16" s="252"/>
      <c r="X16" s="252"/>
      <c r="Y16" s="253"/>
      <c r="Z16" s="252"/>
      <c r="AA16" s="252"/>
      <c r="AB16" s="253"/>
      <c r="AC16" s="245"/>
      <c r="AD16" s="243"/>
      <c r="AE16" s="243"/>
      <c r="AF16" s="243"/>
      <c r="AG16" s="243"/>
    </row>
    <row r="17" spans="1:33" ht="12.75" customHeight="1">
      <c r="A17" s="243"/>
      <c r="B17" s="243"/>
      <c r="C17" s="243"/>
      <c r="D17" s="243"/>
      <c r="E17" s="243"/>
      <c r="F17" s="244"/>
      <c r="G17" s="245"/>
      <c r="H17" s="243"/>
      <c r="I17" s="243"/>
      <c r="J17" s="243"/>
      <c r="K17" s="243"/>
      <c r="W17" s="252"/>
      <c r="X17" s="252"/>
      <c r="Y17" s="253"/>
      <c r="Z17" s="252"/>
      <c r="AA17" s="252"/>
      <c r="AB17" s="253"/>
      <c r="AC17" s="245"/>
      <c r="AD17" s="243"/>
      <c r="AE17" s="243"/>
      <c r="AF17" s="243"/>
      <c r="AG17" s="243"/>
    </row>
    <row r="18" spans="1:33" ht="12.75" customHeight="1">
      <c r="A18" s="243"/>
      <c r="B18" s="243"/>
      <c r="C18" s="243"/>
      <c r="D18" s="243"/>
      <c r="E18" s="243"/>
      <c r="F18" s="244"/>
      <c r="G18" s="245"/>
      <c r="H18" s="243"/>
      <c r="I18" s="243"/>
      <c r="J18" s="243"/>
      <c r="K18" s="243"/>
      <c r="W18" s="252"/>
      <c r="X18" s="252"/>
      <c r="Y18" s="253"/>
      <c r="Z18" s="252"/>
      <c r="AA18" s="252"/>
      <c r="AB18" s="253"/>
      <c r="AC18" s="245"/>
      <c r="AD18" s="243"/>
      <c r="AE18" s="243"/>
      <c r="AF18" s="243"/>
      <c r="AG18" s="243"/>
    </row>
    <row r="19" spans="1:33" ht="12.75" customHeight="1">
      <c r="A19" s="243"/>
      <c r="B19" s="243"/>
      <c r="C19" s="243"/>
      <c r="D19" s="243"/>
      <c r="E19" s="243"/>
      <c r="F19" s="244"/>
      <c r="G19" s="245"/>
      <c r="H19" s="243"/>
      <c r="I19" s="243"/>
      <c r="J19" s="243"/>
      <c r="K19" s="243"/>
      <c r="W19" s="252"/>
      <c r="X19" s="252"/>
      <c r="Y19" s="253"/>
      <c r="Z19" s="252"/>
      <c r="AA19" s="252"/>
      <c r="AB19" s="253"/>
      <c r="AC19" s="245"/>
      <c r="AD19" s="243"/>
      <c r="AE19" s="243"/>
      <c r="AF19" s="243"/>
      <c r="AG19" s="243"/>
    </row>
    <row r="20" spans="1:33" ht="12.75" customHeight="1">
      <c r="A20" s="243"/>
      <c r="B20" s="243"/>
      <c r="C20" s="243"/>
      <c r="D20" s="243"/>
      <c r="E20" s="243"/>
      <c r="F20" s="244"/>
      <c r="G20" s="245"/>
      <c r="H20" s="243"/>
      <c r="I20" s="243"/>
      <c r="J20" s="243"/>
      <c r="K20" s="243"/>
      <c r="W20" s="252"/>
      <c r="X20" s="252"/>
      <c r="Y20" s="253"/>
      <c r="Z20" s="252"/>
      <c r="AA20" s="252"/>
      <c r="AB20" s="253"/>
      <c r="AC20" s="245"/>
      <c r="AD20" s="243"/>
      <c r="AE20" s="243"/>
      <c r="AF20" s="243"/>
      <c r="AG20" s="243"/>
    </row>
    <row r="21" spans="1:33" ht="12.75" customHeight="1">
      <c r="A21" s="243"/>
      <c r="B21" s="243"/>
      <c r="C21" s="243"/>
      <c r="D21" s="243"/>
      <c r="E21" s="243"/>
      <c r="F21" s="244"/>
      <c r="G21" s="245"/>
      <c r="H21" s="243"/>
      <c r="I21" s="243"/>
      <c r="J21" s="243"/>
      <c r="K21" s="243"/>
      <c r="W21" s="252"/>
      <c r="X21" s="252"/>
      <c r="Y21" s="253"/>
      <c r="Z21" s="252"/>
      <c r="AA21" s="252"/>
      <c r="AB21" s="253"/>
      <c r="AC21" s="245"/>
      <c r="AD21" s="243"/>
      <c r="AE21" s="243"/>
      <c r="AF21" s="243"/>
      <c r="AG21" s="243"/>
    </row>
    <row r="22" spans="1:33" ht="12.75" customHeight="1">
      <c r="A22" s="243"/>
      <c r="B22" s="243"/>
      <c r="C22" s="243"/>
      <c r="D22" s="243"/>
      <c r="E22" s="243"/>
      <c r="F22" s="244"/>
      <c r="G22" s="245"/>
      <c r="H22" s="243"/>
      <c r="I22" s="243"/>
      <c r="J22" s="243"/>
      <c r="K22" s="243"/>
      <c r="W22" s="252"/>
      <c r="X22" s="252"/>
      <c r="Y22" s="253"/>
      <c r="Z22" s="252"/>
      <c r="AA22" s="252"/>
      <c r="AB22" s="253"/>
      <c r="AC22" s="245"/>
      <c r="AD22" s="243"/>
      <c r="AE22" s="243"/>
      <c r="AF22" s="243"/>
      <c r="AG22" s="243"/>
    </row>
    <row r="23" spans="1:33" ht="12.75" customHeight="1">
      <c r="A23" s="243"/>
      <c r="B23" s="243"/>
      <c r="C23" s="243"/>
      <c r="D23" s="243"/>
      <c r="E23" s="243"/>
      <c r="F23" s="244"/>
      <c r="G23" s="245"/>
      <c r="H23" s="243"/>
      <c r="I23" s="243"/>
      <c r="J23" s="243"/>
      <c r="K23" s="243"/>
      <c r="W23" s="252"/>
      <c r="X23" s="252"/>
      <c r="Y23" s="253"/>
      <c r="Z23" s="252"/>
      <c r="AA23" s="252"/>
      <c r="AB23" s="253"/>
      <c r="AC23" s="245"/>
      <c r="AD23" s="243"/>
      <c r="AE23" s="243"/>
      <c r="AF23" s="243"/>
      <c r="AG23" s="243"/>
    </row>
    <row r="24" spans="1:33" ht="12.75" customHeight="1">
      <c r="A24" s="243"/>
      <c r="B24" s="243"/>
      <c r="C24" s="243"/>
      <c r="D24" s="243"/>
      <c r="E24" s="243"/>
      <c r="F24" s="244"/>
      <c r="G24" s="245"/>
      <c r="H24" s="243"/>
      <c r="I24" s="243"/>
      <c r="J24" s="243"/>
      <c r="K24" s="243"/>
      <c r="W24" s="252"/>
      <c r="X24" s="252"/>
      <c r="Y24" s="253"/>
      <c r="Z24" s="252"/>
      <c r="AA24" s="252"/>
      <c r="AB24" s="253"/>
      <c r="AC24" s="245"/>
      <c r="AD24" s="243"/>
      <c r="AE24" s="243"/>
      <c r="AF24" s="243"/>
      <c r="AG24" s="243"/>
    </row>
    <row r="25" spans="1:33" ht="12.75" customHeight="1">
      <c r="A25" s="243"/>
      <c r="B25" s="243"/>
      <c r="C25" s="243"/>
      <c r="D25" s="243"/>
      <c r="E25" s="243"/>
      <c r="F25" s="244"/>
      <c r="G25" s="245"/>
      <c r="H25" s="243"/>
      <c r="I25" s="243"/>
      <c r="J25" s="243"/>
      <c r="K25" s="243"/>
      <c r="W25" s="252"/>
      <c r="X25" s="252"/>
      <c r="Y25" s="253"/>
      <c r="Z25" s="252"/>
      <c r="AA25" s="252"/>
      <c r="AB25" s="253"/>
      <c r="AC25" s="245"/>
      <c r="AD25" s="243"/>
      <c r="AE25" s="243"/>
      <c r="AF25" s="243"/>
      <c r="AG25" s="243"/>
    </row>
    <row r="26" spans="1:33" ht="12.75" customHeight="1">
      <c r="A26" s="243"/>
      <c r="B26" s="243"/>
      <c r="C26" s="243"/>
      <c r="D26" s="243"/>
      <c r="E26" s="243"/>
      <c r="F26" s="244"/>
      <c r="G26" s="245"/>
      <c r="H26" s="243"/>
      <c r="I26" s="243"/>
      <c r="J26" s="243"/>
      <c r="K26" s="243"/>
      <c r="W26" s="252"/>
      <c r="X26" s="252"/>
      <c r="Y26" s="253"/>
      <c r="Z26" s="252"/>
      <c r="AA26" s="252"/>
      <c r="AB26" s="253"/>
      <c r="AC26" s="245"/>
      <c r="AD26" s="243"/>
      <c r="AE26" s="243"/>
      <c r="AF26" s="243"/>
      <c r="AG26" s="243"/>
    </row>
    <row r="27" spans="1:33" ht="12.75" customHeight="1">
      <c r="A27" s="243"/>
      <c r="B27" s="243"/>
      <c r="C27" s="243"/>
      <c r="D27" s="243"/>
      <c r="E27" s="243"/>
      <c r="F27" s="244"/>
      <c r="G27" s="245"/>
      <c r="H27" s="243"/>
      <c r="I27" s="243"/>
      <c r="J27" s="243"/>
      <c r="K27" s="243"/>
      <c r="W27" s="252"/>
      <c r="X27" s="252"/>
      <c r="Y27" s="253"/>
      <c r="Z27" s="252"/>
      <c r="AA27" s="252"/>
      <c r="AB27" s="253"/>
      <c r="AC27" s="245"/>
      <c r="AD27" s="243"/>
      <c r="AE27" s="243"/>
      <c r="AF27" s="243"/>
      <c r="AG27" s="243"/>
    </row>
    <row r="28" spans="1:33" ht="12.75" customHeight="1">
      <c r="A28" s="243"/>
      <c r="B28" s="243"/>
      <c r="C28" s="243"/>
      <c r="D28" s="243"/>
      <c r="E28" s="243"/>
      <c r="F28" s="244"/>
      <c r="G28" s="245"/>
      <c r="H28" s="243"/>
      <c r="I28" s="243"/>
      <c r="J28" s="243"/>
      <c r="K28" s="243"/>
      <c r="W28" s="252"/>
      <c r="X28" s="252"/>
      <c r="Y28" s="253"/>
      <c r="Z28" s="252"/>
      <c r="AA28" s="252"/>
      <c r="AB28" s="253"/>
      <c r="AC28" s="245"/>
      <c r="AD28" s="243"/>
      <c r="AE28" s="243"/>
      <c r="AF28" s="243"/>
      <c r="AG28" s="243"/>
    </row>
    <row r="29" spans="1:33" ht="12.75" customHeight="1">
      <c r="A29" s="243"/>
      <c r="B29" s="243"/>
      <c r="C29" s="243"/>
      <c r="D29" s="243"/>
      <c r="E29" s="243"/>
      <c r="F29" s="244"/>
      <c r="G29" s="245"/>
      <c r="H29" s="243"/>
      <c r="I29" s="243"/>
      <c r="J29" s="243"/>
      <c r="K29" s="243"/>
      <c r="W29" s="252"/>
      <c r="X29" s="252"/>
      <c r="Y29" s="253"/>
      <c r="Z29" s="252"/>
      <c r="AA29" s="252"/>
      <c r="AB29" s="253"/>
      <c r="AC29" s="245"/>
      <c r="AD29" s="243"/>
      <c r="AE29" s="243"/>
      <c r="AF29" s="243"/>
      <c r="AG29" s="243"/>
    </row>
    <row r="30" spans="1:33" ht="12.75" customHeight="1">
      <c r="A30" s="243"/>
      <c r="B30" s="243"/>
      <c r="C30" s="243"/>
      <c r="D30" s="243"/>
      <c r="E30" s="243"/>
      <c r="F30" s="244"/>
      <c r="G30" s="245"/>
      <c r="H30" s="243"/>
      <c r="I30" s="243"/>
      <c r="J30" s="243"/>
      <c r="K30" s="243"/>
      <c r="W30" s="252"/>
      <c r="X30" s="252"/>
      <c r="Y30" s="253"/>
      <c r="Z30" s="252"/>
      <c r="AA30" s="252"/>
      <c r="AB30" s="253"/>
      <c r="AC30" s="245"/>
      <c r="AD30" s="243"/>
      <c r="AE30" s="243"/>
      <c r="AF30" s="243"/>
      <c r="AG30" s="243"/>
    </row>
    <row r="31" spans="1:33" ht="12.75" customHeight="1">
      <c r="A31" s="243"/>
      <c r="B31" s="243"/>
      <c r="C31" s="243"/>
      <c r="D31" s="243"/>
      <c r="E31" s="243"/>
      <c r="F31" s="244"/>
      <c r="G31" s="245"/>
      <c r="H31" s="243"/>
      <c r="I31" s="243"/>
      <c r="J31" s="243"/>
      <c r="K31" s="243"/>
      <c r="W31" s="252"/>
      <c r="X31" s="252"/>
      <c r="Y31" s="253"/>
      <c r="Z31" s="252"/>
      <c r="AA31" s="252"/>
      <c r="AB31" s="253"/>
      <c r="AC31" s="245"/>
      <c r="AD31" s="243"/>
      <c r="AE31" s="243"/>
      <c r="AF31" s="243"/>
      <c r="AG31" s="243"/>
    </row>
    <row r="32" spans="1:33" ht="12.75" customHeight="1">
      <c r="A32" s="243"/>
      <c r="B32" s="243"/>
      <c r="C32" s="243"/>
      <c r="D32" s="243"/>
      <c r="E32" s="243"/>
      <c r="F32" s="244"/>
      <c r="G32" s="245"/>
      <c r="H32" s="243"/>
      <c r="I32" s="243"/>
      <c r="J32" s="243"/>
      <c r="K32" s="243"/>
      <c r="W32" s="252"/>
      <c r="X32" s="252"/>
      <c r="Y32" s="253"/>
      <c r="Z32" s="252"/>
      <c r="AA32" s="252"/>
      <c r="AB32" s="253"/>
      <c r="AC32" s="245"/>
      <c r="AD32" s="243"/>
      <c r="AE32" s="243"/>
      <c r="AF32" s="243"/>
      <c r="AG32" s="243"/>
    </row>
    <row r="33" spans="1:33" ht="12.75" customHeight="1">
      <c r="A33" s="243"/>
      <c r="B33" s="243"/>
      <c r="C33" s="243"/>
      <c r="D33" s="243"/>
      <c r="E33" s="243"/>
      <c r="F33" s="244"/>
      <c r="G33" s="245"/>
      <c r="H33" s="243"/>
      <c r="I33" s="243"/>
      <c r="J33" s="243"/>
      <c r="K33" s="243"/>
      <c r="W33" s="252"/>
      <c r="X33" s="252"/>
      <c r="Y33" s="253"/>
      <c r="Z33" s="252"/>
      <c r="AA33" s="252"/>
      <c r="AB33" s="253"/>
      <c r="AC33" s="245"/>
      <c r="AD33" s="243"/>
      <c r="AE33" s="243"/>
      <c r="AF33" s="243"/>
      <c r="AG33" s="243"/>
    </row>
    <row r="34" spans="1:33" ht="12.75" customHeight="1">
      <c r="A34" s="243"/>
      <c r="B34" s="243"/>
      <c r="C34" s="243"/>
      <c r="D34" s="243"/>
      <c r="E34" s="243"/>
      <c r="F34" s="244"/>
      <c r="G34" s="245"/>
      <c r="H34" s="243"/>
      <c r="I34" s="243"/>
      <c r="J34" s="243"/>
      <c r="K34" s="243"/>
      <c r="W34" s="252"/>
      <c r="X34" s="252"/>
      <c r="Y34" s="253"/>
      <c r="Z34" s="252"/>
      <c r="AA34" s="252"/>
      <c r="AB34" s="253"/>
      <c r="AC34" s="245"/>
      <c r="AD34" s="243"/>
      <c r="AE34" s="243"/>
      <c r="AF34" s="243"/>
      <c r="AG34" s="243"/>
    </row>
    <row r="35" spans="1:33" ht="12.75" customHeight="1">
      <c r="A35" s="243"/>
      <c r="B35" s="243"/>
      <c r="C35" s="243"/>
      <c r="D35" s="243"/>
      <c r="E35" s="243"/>
      <c r="F35" s="244"/>
      <c r="G35" s="245"/>
      <c r="H35" s="243"/>
      <c r="I35" s="243"/>
      <c r="J35" s="243"/>
      <c r="K35" s="243"/>
      <c r="W35" s="252"/>
      <c r="X35" s="252"/>
      <c r="Y35" s="253"/>
      <c r="Z35" s="252"/>
      <c r="AA35" s="252"/>
      <c r="AB35" s="253"/>
      <c r="AC35" s="245"/>
      <c r="AD35" s="243"/>
      <c r="AE35" s="243"/>
      <c r="AF35" s="243"/>
      <c r="AG35" s="243"/>
    </row>
    <row r="36" spans="1:33" ht="12.75" customHeight="1">
      <c r="A36" s="243"/>
      <c r="B36" s="243"/>
      <c r="C36" s="243"/>
      <c r="D36" s="243"/>
      <c r="E36" s="243"/>
      <c r="F36" s="244"/>
      <c r="G36" s="245"/>
      <c r="H36" s="243"/>
      <c r="I36" s="243"/>
      <c r="J36" s="243"/>
      <c r="K36" s="243"/>
      <c r="W36" s="252"/>
      <c r="X36" s="252"/>
      <c r="Y36" s="253"/>
      <c r="Z36" s="252"/>
      <c r="AA36" s="252"/>
      <c r="AB36" s="253"/>
      <c r="AC36" s="245"/>
      <c r="AD36" s="243"/>
      <c r="AE36" s="243"/>
      <c r="AF36" s="243"/>
      <c r="AG36" s="243"/>
    </row>
    <row r="37" spans="1:33" ht="12.75" customHeight="1">
      <c r="A37" s="243"/>
      <c r="B37" s="243"/>
      <c r="C37" s="243"/>
      <c r="D37" s="243"/>
      <c r="E37" s="243"/>
      <c r="F37" s="244"/>
      <c r="G37" s="245"/>
      <c r="H37" s="243"/>
      <c r="I37" s="243"/>
      <c r="J37" s="243"/>
      <c r="K37" s="243"/>
      <c r="W37" s="252"/>
      <c r="X37" s="252"/>
      <c r="Y37" s="253"/>
      <c r="Z37" s="252"/>
      <c r="AA37" s="252"/>
      <c r="AB37" s="253"/>
      <c r="AC37" s="245"/>
      <c r="AD37" s="243"/>
      <c r="AE37" s="243"/>
      <c r="AF37" s="243"/>
      <c r="AG37" s="243"/>
    </row>
    <row r="38" spans="1:33" ht="12.75" customHeight="1">
      <c r="A38" s="243"/>
      <c r="B38" s="243"/>
      <c r="C38" s="243"/>
      <c r="D38" s="243"/>
      <c r="E38" s="243"/>
      <c r="F38" s="244"/>
      <c r="G38" s="245"/>
      <c r="H38" s="243"/>
      <c r="I38" s="243"/>
      <c r="J38" s="243"/>
      <c r="K38" s="243"/>
      <c r="W38" s="252"/>
      <c r="X38" s="252"/>
      <c r="Y38" s="253"/>
      <c r="Z38" s="252"/>
      <c r="AA38" s="252"/>
      <c r="AB38" s="253"/>
      <c r="AC38" s="245"/>
      <c r="AD38" s="243"/>
      <c r="AE38" s="243"/>
      <c r="AF38" s="243"/>
      <c r="AG38" s="243"/>
    </row>
    <row r="39" spans="1:33" ht="12.75" customHeight="1">
      <c r="A39" s="243"/>
      <c r="B39" s="243"/>
      <c r="C39" s="243"/>
      <c r="D39" s="243"/>
      <c r="E39" s="243"/>
      <c r="F39" s="244"/>
      <c r="G39" s="245"/>
      <c r="H39" s="243"/>
      <c r="I39" s="243"/>
      <c r="J39" s="243"/>
      <c r="K39" s="243"/>
      <c r="W39" s="252"/>
      <c r="X39" s="252"/>
      <c r="Y39" s="253"/>
      <c r="Z39" s="252"/>
      <c r="AA39" s="252"/>
      <c r="AB39" s="253"/>
      <c r="AC39" s="245"/>
      <c r="AD39" s="243"/>
      <c r="AE39" s="243"/>
      <c r="AF39" s="243"/>
      <c r="AG39" s="243"/>
    </row>
    <row r="40" spans="1:33" ht="12.75" customHeight="1">
      <c r="A40" s="243"/>
      <c r="B40" s="243"/>
      <c r="C40" s="243"/>
      <c r="D40" s="243"/>
      <c r="E40" s="243"/>
      <c r="F40" s="244"/>
      <c r="G40" s="245"/>
      <c r="H40" s="243"/>
      <c r="I40" s="243"/>
      <c r="J40" s="243"/>
      <c r="K40" s="243"/>
      <c r="W40" s="252"/>
      <c r="X40" s="252"/>
      <c r="Y40" s="253"/>
      <c r="Z40" s="252"/>
      <c r="AA40" s="252"/>
      <c r="AB40" s="253"/>
      <c r="AC40" s="245"/>
      <c r="AD40" s="243"/>
      <c r="AE40" s="243"/>
      <c r="AF40" s="243"/>
      <c r="AG40" s="243"/>
    </row>
    <row r="41" spans="1:33" ht="12.75" customHeight="1">
      <c r="A41" s="243"/>
      <c r="B41" s="243"/>
      <c r="C41" s="243"/>
      <c r="D41" s="243"/>
      <c r="E41" s="243"/>
      <c r="F41" s="244"/>
      <c r="G41" s="245"/>
      <c r="H41" s="243"/>
      <c r="I41" s="243"/>
      <c r="J41" s="243"/>
      <c r="K41" s="243"/>
      <c r="W41" s="252"/>
      <c r="X41" s="252"/>
      <c r="Y41" s="253"/>
      <c r="Z41" s="252"/>
      <c r="AA41" s="252"/>
      <c r="AB41" s="253"/>
      <c r="AC41" s="245"/>
      <c r="AD41" s="243"/>
      <c r="AE41" s="243"/>
      <c r="AF41" s="243"/>
      <c r="AG41" s="243"/>
    </row>
    <row r="42" spans="1:33" ht="12.75" customHeight="1">
      <c r="A42" s="243"/>
      <c r="B42" s="243"/>
      <c r="C42" s="243"/>
      <c r="D42" s="243"/>
      <c r="E42" s="243"/>
      <c r="F42" s="244"/>
      <c r="G42" s="245"/>
      <c r="H42" s="243"/>
      <c r="I42" s="243"/>
      <c r="J42" s="243"/>
      <c r="K42" s="243"/>
      <c r="W42" s="252"/>
      <c r="X42" s="252"/>
      <c r="Y42" s="253"/>
      <c r="Z42" s="252"/>
      <c r="AA42" s="252"/>
      <c r="AB42" s="253"/>
      <c r="AC42" s="245"/>
      <c r="AD42" s="243"/>
      <c r="AE42" s="243"/>
      <c r="AF42" s="243"/>
      <c r="AG42" s="243"/>
    </row>
    <row r="43" spans="1:33" ht="12.75" customHeight="1">
      <c r="A43" s="243"/>
      <c r="B43" s="243"/>
      <c r="C43" s="243"/>
      <c r="D43" s="243"/>
      <c r="E43" s="243"/>
      <c r="F43" s="244"/>
      <c r="G43" s="245"/>
      <c r="H43" s="243"/>
      <c r="I43" s="243"/>
      <c r="J43" s="243"/>
      <c r="K43" s="243"/>
      <c r="W43" s="252"/>
      <c r="X43" s="252"/>
      <c r="Y43" s="253"/>
      <c r="Z43" s="252"/>
      <c r="AA43" s="252"/>
      <c r="AB43" s="253"/>
      <c r="AC43" s="245"/>
      <c r="AD43" s="243"/>
      <c r="AE43" s="243"/>
      <c r="AF43" s="243"/>
      <c r="AG43" s="243"/>
    </row>
    <row r="44" spans="1:33" ht="12.75" customHeight="1">
      <c r="A44" s="243"/>
      <c r="B44" s="243"/>
      <c r="C44" s="243"/>
      <c r="D44" s="243"/>
      <c r="E44" s="243"/>
      <c r="F44" s="244"/>
      <c r="G44" s="245"/>
      <c r="H44" s="243"/>
      <c r="I44" s="243"/>
      <c r="J44" s="243"/>
      <c r="K44" s="243"/>
      <c r="W44" s="252"/>
      <c r="X44" s="252"/>
      <c r="Y44" s="253"/>
      <c r="Z44" s="252"/>
      <c r="AA44" s="252"/>
      <c r="AB44" s="253"/>
      <c r="AC44" s="245"/>
      <c r="AD44" s="243"/>
      <c r="AE44" s="243"/>
      <c r="AF44" s="243"/>
      <c r="AG44" s="243"/>
    </row>
    <row r="45" spans="1:33" ht="12.75" customHeight="1">
      <c r="A45" s="243"/>
      <c r="B45" s="243"/>
      <c r="C45" s="243"/>
      <c r="D45" s="243"/>
      <c r="E45" s="243"/>
      <c r="F45" s="244"/>
      <c r="G45" s="245"/>
      <c r="H45" s="243"/>
      <c r="I45" s="243"/>
      <c r="J45" s="243"/>
      <c r="K45" s="243"/>
      <c r="W45" s="252"/>
      <c r="X45" s="252"/>
      <c r="Y45" s="253"/>
      <c r="Z45" s="252"/>
      <c r="AA45" s="252"/>
      <c r="AB45" s="253"/>
      <c r="AC45" s="245"/>
      <c r="AD45" s="243"/>
      <c r="AE45" s="243"/>
      <c r="AF45" s="243"/>
      <c r="AG45" s="243"/>
    </row>
    <row r="46" spans="1:33" ht="12.75" customHeight="1">
      <c r="A46" s="243"/>
      <c r="B46" s="243"/>
      <c r="C46" s="243"/>
      <c r="D46" s="243"/>
      <c r="E46" s="243"/>
      <c r="F46" s="244"/>
      <c r="G46" s="245"/>
      <c r="H46" s="243"/>
      <c r="I46" s="243"/>
      <c r="J46" s="243"/>
      <c r="K46" s="243"/>
      <c r="W46" s="252"/>
      <c r="X46" s="252"/>
      <c r="Y46" s="253"/>
      <c r="Z46" s="252"/>
      <c r="AA46" s="252"/>
      <c r="AB46" s="253"/>
      <c r="AC46" s="245"/>
      <c r="AD46" s="243"/>
      <c r="AE46" s="243"/>
      <c r="AF46" s="243"/>
      <c r="AG46" s="243"/>
    </row>
    <row r="47" spans="1:33" ht="12.75" customHeight="1">
      <c r="A47" s="243"/>
      <c r="B47" s="243"/>
      <c r="C47" s="243"/>
      <c r="D47" s="243"/>
      <c r="E47" s="243"/>
      <c r="F47" s="244"/>
      <c r="G47" s="245"/>
      <c r="H47" s="243"/>
      <c r="I47" s="243"/>
      <c r="J47" s="243"/>
      <c r="K47" s="243"/>
      <c r="W47" s="252"/>
      <c r="X47" s="252"/>
      <c r="Y47" s="253"/>
      <c r="Z47" s="252"/>
      <c r="AA47" s="252"/>
      <c r="AB47" s="253"/>
      <c r="AC47" s="245"/>
      <c r="AD47" s="243"/>
      <c r="AE47" s="243"/>
      <c r="AF47" s="243"/>
      <c r="AG47" s="243"/>
    </row>
    <row r="48" spans="1:33" ht="12.75" customHeight="1">
      <c r="A48" s="243"/>
      <c r="B48" s="243"/>
      <c r="C48" s="243"/>
      <c r="D48" s="243"/>
      <c r="E48" s="243"/>
      <c r="F48" s="244"/>
      <c r="G48" s="245"/>
      <c r="H48" s="243"/>
      <c r="I48" s="243"/>
      <c r="J48" s="243"/>
      <c r="K48" s="243"/>
      <c r="W48" s="252"/>
      <c r="X48" s="252"/>
      <c r="Y48" s="253"/>
      <c r="Z48" s="252"/>
      <c r="AA48" s="252"/>
      <c r="AB48" s="253"/>
      <c r="AC48" s="245"/>
      <c r="AD48" s="243"/>
      <c r="AE48" s="243"/>
      <c r="AF48" s="243"/>
      <c r="AG48" s="243"/>
    </row>
    <row r="49" spans="1:33" ht="12.75" customHeight="1">
      <c r="A49" s="243"/>
      <c r="B49" s="243"/>
      <c r="C49" s="243"/>
      <c r="D49" s="243"/>
      <c r="E49" s="243"/>
      <c r="F49" s="244"/>
      <c r="G49" s="245"/>
      <c r="H49" s="243"/>
      <c r="I49" s="243"/>
      <c r="J49" s="243"/>
      <c r="K49" s="243"/>
      <c r="W49" s="252"/>
      <c r="X49" s="252"/>
      <c r="Y49" s="253"/>
      <c r="Z49" s="252"/>
      <c r="AA49" s="252"/>
      <c r="AB49" s="253"/>
      <c r="AC49" s="245"/>
      <c r="AD49" s="243"/>
      <c r="AE49" s="243"/>
      <c r="AF49" s="243"/>
      <c r="AG49" s="243"/>
    </row>
    <row r="50" spans="1:33" ht="12.75" customHeight="1">
      <c r="A50" s="243"/>
      <c r="B50" s="243"/>
      <c r="C50" s="243"/>
      <c r="D50" s="243"/>
      <c r="E50" s="243"/>
      <c r="F50" s="244"/>
      <c r="G50" s="245"/>
      <c r="H50" s="243"/>
      <c r="I50" s="243"/>
      <c r="J50" s="243"/>
      <c r="K50" s="243"/>
      <c r="W50" s="252"/>
      <c r="X50" s="252"/>
      <c r="Y50" s="253"/>
      <c r="Z50" s="252"/>
      <c r="AA50" s="252"/>
      <c r="AB50" s="253"/>
      <c r="AC50" s="245"/>
      <c r="AD50" s="243"/>
      <c r="AE50" s="243"/>
      <c r="AF50" s="243"/>
      <c r="AG50" s="243"/>
    </row>
    <row r="51" spans="1:33" ht="12.75" customHeight="1">
      <c r="A51" s="243"/>
      <c r="B51" s="243"/>
      <c r="C51" s="243"/>
      <c r="D51" s="243"/>
      <c r="E51" s="243"/>
      <c r="F51" s="244"/>
      <c r="G51" s="245"/>
      <c r="H51" s="243"/>
      <c r="I51" s="243"/>
      <c r="J51" s="243"/>
      <c r="K51" s="243"/>
      <c r="W51" s="252"/>
      <c r="X51" s="252"/>
      <c r="Y51" s="253"/>
      <c r="Z51" s="252"/>
      <c r="AA51" s="252"/>
      <c r="AB51" s="253"/>
      <c r="AC51" s="245"/>
      <c r="AD51" s="243"/>
      <c r="AE51" s="243"/>
      <c r="AF51" s="243"/>
      <c r="AG51" s="243"/>
    </row>
    <row r="52" spans="1:33" ht="12.75" customHeight="1">
      <c r="A52" s="243"/>
      <c r="B52" s="243"/>
      <c r="C52" s="243"/>
      <c r="D52" s="243"/>
      <c r="E52" s="243"/>
      <c r="F52" s="244"/>
      <c r="G52" s="245"/>
      <c r="H52" s="243"/>
      <c r="I52" s="243"/>
      <c r="J52" s="243"/>
      <c r="K52" s="243"/>
      <c r="W52" s="252"/>
      <c r="X52" s="252"/>
      <c r="Y52" s="253"/>
      <c r="Z52" s="252"/>
      <c r="AA52" s="252"/>
      <c r="AB52" s="253"/>
      <c r="AC52" s="245"/>
      <c r="AD52" s="243"/>
      <c r="AE52" s="243"/>
      <c r="AF52" s="243"/>
      <c r="AG52" s="243"/>
    </row>
    <row r="53" spans="1:33" ht="12.75" customHeight="1">
      <c r="A53" s="243"/>
      <c r="B53" s="243"/>
      <c r="C53" s="243"/>
      <c r="D53" s="243"/>
      <c r="E53" s="243"/>
      <c r="F53" s="244"/>
      <c r="G53" s="245"/>
      <c r="H53" s="243"/>
      <c r="I53" s="243"/>
      <c r="J53" s="243"/>
      <c r="K53" s="243"/>
      <c r="W53" s="252"/>
      <c r="X53" s="252"/>
      <c r="Y53" s="253"/>
      <c r="Z53" s="252"/>
      <c r="AA53" s="252"/>
      <c r="AB53" s="253"/>
      <c r="AC53" s="245"/>
      <c r="AD53" s="243"/>
      <c r="AE53" s="243"/>
      <c r="AF53" s="243"/>
      <c r="AG53" s="243"/>
    </row>
    <row r="54" spans="1:33" ht="15">
      <c r="A54" s="243"/>
      <c r="B54" s="243"/>
      <c r="C54" s="243"/>
      <c r="D54" s="243"/>
      <c r="E54" s="243"/>
      <c r="F54" s="244"/>
      <c r="G54" s="245"/>
      <c r="H54" s="243"/>
      <c r="I54" s="243"/>
      <c r="J54" s="243"/>
      <c r="K54" s="243"/>
      <c r="W54" s="252"/>
      <c r="X54" s="252"/>
      <c r="Y54" s="253"/>
      <c r="Z54" s="252"/>
      <c r="AA54" s="252"/>
      <c r="AB54" s="253"/>
      <c r="AC54" s="245"/>
      <c r="AD54" s="243"/>
      <c r="AE54" s="243"/>
      <c r="AF54" s="243"/>
      <c r="AG54" s="243"/>
    </row>
  </sheetData>
  <mergeCells count="205">
    <mergeCell ref="W53:Y53"/>
    <mergeCell ref="Z53:AB53"/>
    <mergeCell ref="AC53:AG53"/>
    <mergeCell ref="W54:Y54"/>
    <mergeCell ref="Z54:AB54"/>
    <mergeCell ref="AC54:AG54"/>
    <mergeCell ref="W51:Y51"/>
    <mergeCell ref="Z51:AB51"/>
    <mergeCell ref="AC51:AG51"/>
    <mergeCell ref="W52:Y52"/>
    <mergeCell ref="Z52:AB52"/>
    <mergeCell ref="AC52:AG52"/>
    <mergeCell ref="W49:Y49"/>
    <mergeCell ref="Z49:AB49"/>
    <mergeCell ref="AC49:AG49"/>
    <mergeCell ref="W50:Y50"/>
    <mergeCell ref="Z50:AB50"/>
    <mergeCell ref="AC50:AG50"/>
    <mergeCell ref="W47:Y47"/>
    <mergeCell ref="Z47:AB47"/>
    <mergeCell ref="AC47:AG47"/>
    <mergeCell ref="W48:Y48"/>
    <mergeCell ref="Z48:AB48"/>
    <mergeCell ref="AC48:AG48"/>
    <mergeCell ref="W45:Y45"/>
    <mergeCell ref="Z45:AB45"/>
    <mergeCell ref="AC45:AG45"/>
    <mergeCell ref="W46:Y46"/>
    <mergeCell ref="Z46:AB46"/>
    <mergeCell ref="AC46:AG46"/>
    <mergeCell ref="W43:Y43"/>
    <mergeCell ref="Z43:AB43"/>
    <mergeCell ref="AC43:AG43"/>
    <mergeCell ref="W44:Y44"/>
    <mergeCell ref="Z44:AB44"/>
    <mergeCell ref="AC44:AG44"/>
    <mergeCell ref="W41:Y41"/>
    <mergeCell ref="Z41:AB41"/>
    <mergeCell ref="AC41:AG41"/>
    <mergeCell ref="W42:Y42"/>
    <mergeCell ref="Z42:AB42"/>
    <mergeCell ref="AC42:AG42"/>
    <mergeCell ref="W39:Y39"/>
    <mergeCell ref="Z39:AB39"/>
    <mergeCell ref="AC39:AG39"/>
    <mergeCell ref="W40:Y40"/>
    <mergeCell ref="Z40:AB40"/>
    <mergeCell ref="AC40:AG40"/>
    <mergeCell ref="W37:Y37"/>
    <mergeCell ref="Z37:AB37"/>
    <mergeCell ref="AC37:AG37"/>
    <mergeCell ref="W38:Y38"/>
    <mergeCell ref="Z38:AB38"/>
    <mergeCell ref="AC38:AG38"/>
    <mergeCell ref="W35:Y35"/>
    <mergeCell ref="Z35:AB35"/>
    <mergeCell ref="AC35:AG35"/>
    <mergeCell ref="W36:Y36"/>
    <mergeCell ref="Z36:AB36"/>
    <mergeCell ref="AC36:AG36"/>
    <mergeCell ref="Z33:AB33"/>
    <mergeCell ref="AC33:AG33"/>
    <mergeCell ref="W34:Y34"/>
    <mergeCell ref="Z34:AB34"/>
    <mergeCell ref="AC34:AG34"/>
    <mergeCell ref="W31:Y31"/>
    <mergeCell ref="Z31:AB31"/>
    <mergeCell ref="AC31:AG31"/>
    <mergeCell ref="W32:Y32"/>
    <mergeCell ref="Z32:AB32"/>
    <mergeCell ref="AC32:AG32"/>
    <mergeCell ref="Z29:AB29"/>
    <mergeCell ref="AC29:AG29"/>
    <mergeCell ref="W30:Y30"/>
    <mergeCell ref="Z30:AB30"/>
    <mergeCell ref="AC30:AG30"/>
    <mergeCell ref="W27:Y27"/>
    <mergeCell ref="Z27:AB27"/>
    <mergeCell ref="AC27:AG27"/>
    <mergeCell ref="W28:Y28"/>
    <mergeCell ref="Z28:AB28"/>
    <mergeCell ref="AC28:AG28"/>
    <mergeCell ref="Z25:AB25"/>
    <mergeCell ref="AC25:AG25"/>
    <mergeCell ref="W26:Y26"/>
    <mergeCell ref="Z26:AB26"/>
    <mergeCell ref="AC26:AG26"/>
    <mergeCell ref="W23:Y23"/>
    <mergeCell ref="Z23:AB23"/>
    <mergeCell ref="AC23:AG23"/>
    <mergeCell ref="W24:Y24"/>
    <mergeCell ref="Z24:AB24"/>
    <mergeCell ref="AC24:AG24"/>
    <mergeCell ref="Z21:AB21"/>
    <mergeCell ref="AC21:AG21"/>
    <mergeCell ref="W22:Y22"/>
    <mergeCell ref="Z22:AB22"/>
    <mergeCell ref="AC22:AG22"/>
    <mergeCell ref="W19:Y19"/>
    <mergeCell ref="Z19:AB19"/>
    <mergeCell ref="AC19:AG19"/>
    <mergeCell ref="W20:Y20"/>
    <mergeCell ref="Z20:AB20"/>
    <mergeCell ref="AC20:AG20"/>
    <mergeCell ref="Z17:AB17"/>
    <mergeCell ref="AC17:AG17"/>
    <mergeCell ref="W18:Y18"/>
    <mergeCell ref="Z18:AB18"/>
    <mergeCell ref="AC18:AG18"/>
    <mergeCell ref="W15:AB15"/>
    <mergeCell ref="AC15:AG15"/>
    <mergeCell ref="W16:Y16"/>
    <mergeCell ref="Z16:AB16"/>
    <mergeCell ref="AC16:AG16"/>
    <mergeCell ref="A33:F33"/>
    <mergeCell ref="G33:K33"/>
    <mergeCell ref="A28:F28"/>
    <mergeCell ref="G28:K28"/>
    <mergeCell ref="A29:F29"/>
    <mergeCell ref="G29:K29"/>
    <mergeCell ref="A30:F30"/>
    <mergeCell ref="G30:K30"/>
    <mergeCell ref="W17:Y17"/>
    <mergeCell ref="W21:Y21"/>
    <mergeCell ref="W25:Y25"/>
    <mergeCell ref="W29:Y29"/>
    <mergeCell ref="W33:Y33"/>
    <mergeCell ref="A31:F31"/>
    <mergeCell ref="G31:K31"/>
    <mergeCell ref="A25:F25"/>
    <mergeCell ref="G25:K25"/>
    <mergeCell ref="A26:F26"/>
    <mergeCell ref="G26:K26"/>
    <mergeCell ref="A27:F27"/>
    <mergeCell ref="G27:K27"/>
    <mergeCell ref="A32:F32"/>
    <mergeCell ref="G32:K32"/>
    <mergeCell ref="A23:F23"/>
    <mergeCell ref="G23:K23"/>
    <mergeCell ref="A24:F24"/>
    <mergeCell ref="A19:F19"/>
    <mergeCell ref="G20:K20"/>
    <mergeCell ref="A21:F21"/>
    <mergeCell ref="G21:K21"/>
    <mergeCell ref="A22:F22"/>
    <mergeCell ref="G22:K22"/>
    <mergeCell ref="G24:K24"/>
    <mergeCell ref="A6:K9"/>
    <mergeCell ref="F1:J2"/>
    <mergeCell ref="A14:J14"/>
    <mergeCell ref="A3:K3"/>
    <mergeCell ref="A4:K4"/>
    <mergeCell ref="A10:K13"/>
    <mergeCell ref="A15:F15"/>
    <mergeCell ref="G15:K15"/>
    <mergeCell ref="A17:F17"/>
    <mergeCell ref="G17:K17"/>
    <mergeCell ref="A18:F18"/>
    <mergeCell ref="G18:K18"/>
    <mergeCell ref="A16:F16"/>
    <mergeCell ref="G16:K16"/>
    <mergeCell ref="A50:F50"/>
    <mergeCell ref="G50:K50"/>
    <mergeCell ref="A51:F51"/>
    <mergeCell ref="G51:K51"/>
    <mergeCell ref="A52:F52"/>
    <mergeCell ref="G52:K52"/>
    <mergeCell ref="A48:F48"/>
    <mergeCell ref="G48:K48"/>
    <mergeCell ref="A49:F49"/>
    <mergeCell ref="G49:K49"/>
    <mergeCell ref="A44:F44"/>
    <mergeCell ref="G44:K44"/>
    <mergeCell ref="A45:F45"/>
    <mergeCell ref="G45:K45"/>
    <mergeCell ref="A46:F46"/>
    <mergeCell ref="G46:K46"/>
    <mergeCell ref="A34:F34"/>
    <mergeCell ref="G34:K34"/>
    <mergeCell ref="G19:K19"/>
    <mergeCell ref="A20:F20"/>
    <mergeCell ref="A53:F53"/>
    <mergeCell ref="G53:K53"/>
    <mergeCell ref="A54:F54"/>
    <mergeCell ref="G54:K54"/>
    <mergeCell ref="A35:F35"/>
    <mergeCell ref="G35:K35"/>
    <mergeCell ref="A36:F36"/>
    <mergeCell ref="G36:K36"/>
    <mergeCell ref="A37:F37"/>
    <mergeCell ref="G37:K37"/>
    <mergeCell ref="A41:F41"/>
    <mergeCell ref="G41:K41"/>
    <mergeCell ref="A42:F42"/>
    <mergeCell ref="G42:K42"/>
    <mergeCell ref="A43:F43"/>
    <mergeCell ref="G43:K43"/>
    <mergeCell ref="A38:F38"/>
    <mergeCell ref="G38:K38"/>
    <mergeCell ref="A39:F39"/>
    <mergeCell ref="G39:K39"/>
    <mergeCell ref="A40:F40"/>
    <mergeCell ref="G40:K40"/>
    <mergeCell ref="A47:F47"/>
    <mergeCell ref="G47:K47"/>
  </mergeCells>
  <pageMargins left="0.31496062992125984" right="0.31496062992125984" top="0.74803149606299213" bottom="0.74803149606299213" header="0.31496062992125984" footer="0.31496062992125984"/>
  <pageSetup paperSize="9" scale="95" orientation="portrait" r:id="rId1"/>
  <headerFooter>
    <oddFooter xml:space="preserve">&amp;LRevisione N° 1 del 01/10/2022&amp;RPagina &amp;P di &amp;N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breakPoint">
                <anchor moveWithCells="1" sizeWithCells="1">
                  <from>
                    <xdr:col>14</xdr:col>
                    <xdr:colOff>0</xdr:colOff>
                    <xdr:row>4</xdr:row>
                    <xdr:rowOff>171450</xdr:rowOff>
                  </from>
                  <to>
                    <xdr:col>15</xdr:col>
                    <xdr:colOff>304800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5"/>
  <dimension ref="A2:X1101"/>
  <sheetViews>
    <sheetView workbookViewId="0"/>
  </sheetViews>
  <sheetFormatPr defaultColWidth="8.85546875" defaultRowHeight="13.15" customHeight="1"/>
  <cols>
    <col min="1" max="1" width="4" style="139" customWidth="1"/>
    <col min="2" max="16384" width="8.85546875" style="3"/>
  </cols>
  <sheetData>
    <row r="2" spans="1:24" s="82" customFormat="1" ht="13.15" customHeight="1">
      <c r="A2" s="139" t="s">
        <v>354</v>
      </c>
      <c r="B2" s="255" t="s">
        <v>355</v>
      </c>
      <c r="C2" s="255"/>
      <c r="D2" s="255"/>
      <c r="E2" s="255"/>
      <c r="F2" s="255"/>
      <c r="G2" s="255"/>
      <c r="H2" s="255"/>
      <c r="I2" s="255"/>
      <c r="J2" s="255"/>
      <c r="K2" s="255"/>
      <c r="L2" s="3">
        <v>1</v>
      </c>
      <c r="M2" s="3">
        <v>26</v>
      </c>
      <c r="N2" s="3">
        <v>11</v>
      </c>
      <c r="O2" s="3">
        <f t="shared" ref="O2:O84" si="0">ROW(M2)</f>
        <v>2</v>
      </c>
      <c r="R2" s="3"/>
      <c r="S2" s="3"/>
      <c r="T2" s="3"/>
      <c r="U2" s="3"/>
      <c r="V2" s="3"/>
      <c r="W2" s="3"/>
      <c r="X2" s="3"/>
    </row>
    <row r="3" spans="1:24" s="82" customFormat="1" ht="13.15" customHeight="1">
      <c r="A3" s="139"/>
      <c r="B3" s="255"/>
      <c r="C3" s="255"/>
      <c r="D3" s="255"/>
      <c r="E3" s="255"/>
      <c r="F3" s="255"/>
      <c r="G3" s="255"/>
      <c r="H3" s="255"/>
      <c r="I3" s="255"/>
      <c r="J3" s="255"/>
      <c r="K3" s="255"/>
      <c r="O3" s="3">
        <f t="shared" si="0"/>
        <v>3</v>
      </c>
      <c r="R3" s="3"/>
      <c r="S3" s="3"/>
      <c r="T3" s="3"/>
      <c r="U3" s="3"/>
      <c r="V3" s="3"/>
      <c r="W3" s="3"/>
      <c r="X3" s="3"/>
    </row>
    <row r="4" spans="1:24" s="82" customFormat="1" ht="13.15" customHeight="1">
      <c r="A4" s="139"/>
      <c r="B4" s="255"/>
      <c r="C4" s="255"/>
      <c r="D4" s="255"/>
      <c r="E4" s="255"/>
      <c r="F4" s="255"/>
      <c r="G4" s="255"/>
      <c r="H4" s="255"/>
      <c r="I4" s="255"/>
      <c r="J4" s="255"/>
      <c r="K4" s="255"/>
      <c r="O4" s="3">
        <f t="shared" si="0"/>
        <v>4</v>
      </c>
      <c r="R4" s="3"/>
      <c r="S4" s="3"/>
      <c r="T4" s="3"/>
      <c r="U4" s="3"/>
      <c r="V4" s="3"/>
      <c r="W4" s="3"/>
      <c r="X4" s="3"/>
    </row>
    <row r="5" spans="1:24" s="82" customFormat="1" ht="13.15" customHeight="1">
      <c r="A5" s="139"/>
      <c r="B5" s="255"/>
      <c r="C5" s="255"/>
      <c r="D5" s="255"/>
      <c r="E5" s="255"/>
      <c r="F5" s="255"/>
      <c r="G5" s="255"/>
      <c r="H5" s="255"/>
      <c r="I5" s="255"/>
      <c r="J5" s="255"/>
      <c r="K5" s="255"/>
      <c r="O5" s="3">
        <f t="shared" si="0"/>
        <v>5</v>
      </c>
      <c r="R5" s="3"/>
      <c r="S5" s="3"/>
      <c r="T5" s="3"/>
      <c r="U5" s="3"/>
      <c r="V5" s="3"/>
      <c r="W5" s="3"/>
      <c r="X5" s="3"/>
    </row>
    <row r="6" spans="1:24" s="82" customFormat="1" ht="13.15" customHeight="1">
      <c r="A6" s="139"/>
      <c r="B6" s="255"/>
      <c r="C6" s="255"/>
      <c r="D6" s="255"/>
      <c r="E6" s="255"/>
      <c r="F6" s="255"/>
      <c r="G6" s="255"/>
      <c r="H6" s="255"/>
      <c r="I6" s="255"/>
      <c r="J6" s="255"/>
      <c r="K6" s="255"/>
      <c r="O6" s="3">
        <f t="shared" si="0"/>
        <v>6</v>
      </c>
      <c r="R6" s="3"/>
      <c r="S6" s="3"/>
      <c r="T6" s="3"/>
      <c r="U6" s="3"/>
      <c r="V6" s="3"/>
      <c r="W6" s="3"/>
      <c r="X6" s="3"/>
    </row>
    <row r="7" spans="1:24" s="82" customFormat="1" ht="13.15" customHeight="1">
      <c r="A7" s="139"/>
      <c r="B7" s="255"/>
      <c r="C7" s="255"/>
      <c r="D7" s="255"/>
      <c r="E7" s="255"/>
      <c r="F7" s="255"/>
      <c r="G7" s="255"/>
      <c r="H7" s="255"/>
      <c r="I7" s="255"/>
      <c r="J7" s="255"/>
      <c r="K7" s="255"/>
      <c r="O7" s="3">
        <f t="shared" si="0"/>
        <v>7</v>
      </c>
      <c r="R7" s="3"/>
      <c r="S7" s="3"/>
      <c r="T7" s="3"/>
      <c r="U7" s="3"/>
      <c r="V7" s="3"/>
      <c r="W7" s="3"/>
      <c r="X7" s="3"/>
    </row>
    <row r="8" spans="1:24" s="82" customFormat="1" ht="13.15" customHeight="1">
      <c r="A8" s="139"/>
      <c r="B8" s="255"/>
      <c r="C8" s="255"/>
      <c r="D8" s="255"/>
      <c r="E8" s="255"/>
      <c r="F8" s="255"/>
      <c r="G8" s="255"/>
      <c r="H8" s="255"/>
      <c r="I8" s="255"/>
      <c r="J8" s="255"/>
      <c r="K8" s="255"/>
      <c r="O8" s="3">
        <f t="shared" si="0"/>
        <v>8</v>
      </c>
      <c r="R8" s="3"/>
      <c r="S8" s="3"/>
      <c r="T8" s="3"/>
      <c r="U8" s="3"/>
      <c r="V8" s="3"/>
      <c r="W8" s="3"/>
      <c r="X8" s="3"/>
    </row>
    <row r="9" spans="1:24" s="82" customFormat="1" ht="13.15" customHeight="1">
      <c r="A9" s="139"/>
      <c r="B9" s="255"/>
      <c r="C9" s="255"/>
      <c r="D9" s="255"/>
      <c r="E9" s="255"/>
      <c r="F9" s="255"/>
      <c r="G9" s="255"/>
      <c r="H9" s="255"/>
      <c r="I9" s="255"/>
      <c r="J9" s="255"/>
      <c r="K9" s="255"/>
      <c r="O9" s="3">
        <f t="shared" si="0"/>
        <v>9</v>
      </c>
      <c r="R9" s="3"/>
      <c r="S9" s="3"/>
      <c r="T9" s="3"/>
      <c r="U9" s="3"/>
      <c r="V9" s="3"/>
      <c r="W9" s="3"/>
      <c r="X9" s="3"/>
    </row>
    <row r="10" spans="1:24" s="82" customFormat="1" ht="13.15" customHeight="1">
      <c r="A10" s="139"/>
      <c r="B10" s="255"/>
      <c r="C10" s="255"/>
      <c r="D10" s="255"/>
      <c r="E10" s="255"/>
      <c r="F10" s="255"/>
      <c r="G10" s="255"/>
      <c r="H10" s="255"/>
      <c r="I10" s="255"/>
      <c r="J10" s="255"/>
      <c r="K10" s="255"/>
      <c r="O10" s="3">
        <f t="shared" si="0"/>
        <v>10</v>
      </c>
      <c r="R10" s="3"/>
      <c r="S10" s="3"/>
      <c r="T10" s="3"/>
      <c r="U10" s="3"/>
      <c r="V10" s="3"/>
      <c r="W10" s="3"/>
      <c r="X10" s="3"/>
    </row>
    <row r="11" spans="1:24" s="82" customFormat="1" ht="13.15" customHeight="1">
      <c r="A11" s="139"/>
      <c r="B11" s="255"/>
      <c r="C11" s="255"/>
      <c r="D11" s="255"/>
      <c r="E11" s="255"/>
      <c r="F11" s="255"/>
      <c r="G11" s="255"/>
      <c r="H11" s="255"/>
      <c r="I11" s="255"/>
      <c r="J11" s="255"/>
      <c r="K11" s="255"/>
      <c r="O11" s="3">
        <f t="shared" si="0"/>
        <v>11</v>
      </c>
      <c r="R11" s="3"/>
      <c r="S11" s="3"/>
      <c r="T11" s="3"/>
      <c r="U11" s="3"/>
      <c r="V11" s="3"/>
      <c r="W11" s="3"/>
      <c r="X11" s="3"/>
    </row>
    <row r="12" spans="1:24" s="82" customFormat="1" ht="13.15" customHeight="1">
      <c r="A12" s="139"/>
      <c r="B12" s="255"/>
      <c r="C12" s="255"/>
      <c r="D12" s="255"/>
      <c r="E12" s="255"/>
      <c r="F12" s="255"/>
      <c r="G12" s="255"/>
      <c r="H12" s="255"/>
      <c r="I12" s="255"/>
      <c r="J12" s="255"/>
      <c r="K12" s="255"/>
      <c r="O12" s="3">
        <f t="shared" si="0"/>
        <v>12</v>
      </c>
      <c r="R12" s="3"/>
      <c r="S12" s="3"/>
      <c r="T12" s="3"/>
      <c r="U12" s="3"/>
      <c r="V12" s="3"/>
      <c r="W12" s="3"/>
      <c r="X12" s="3"/>
    </row>
    <row r="13" spans="1:24" ht="13.15" customHeight="1">
      <c r="B13" s="151"/>
      <c r="C13" s="151"/>
      <c r="D13" s="151"/>
      <c r="E13" s="151"/>
      <c r="F13" s="151"/>
      <c r="G13" s="151"/>
      <c r="H13" s="151"/>
      <c r="I13" s="151"/>
      <c r="J13" s="151"/>
      <c r="K13" s="151"/>
      <c r="O13" s="3">
        <f t="shared" si="0"/>
        <v>13</v>
      </c>
    </row>
    <row r="14" spans="1:24" ht="13.15" customHeight="1">
      <c r="B14" s="157" t="s">
        <v>356</v>
      </c>
      <c r="C14" s="256" t="s">
        <v>221</v>
      </c>
      <c r="D14" s="256"/>
      <c r="E14" s="256"/>
      <c r="F14" s="256"/>
      <c r="G14" s="256"/>
      <c r="H14" s="256"/>
      <c r="I14" s="256"/>
      <c r="J14" s="256"/>
      <c r="K14" s="256"/>
      <c r="O14" s="3">
        <f t="shared" si="0"/>
        <v>14</v>
      </c>
    </row>
    <row r="15" spans="1:24" ht="13.15" customHeight="1">
      <c r="C15" s="256"/>
      <c r="D15" s="256"/>
      <c r="E15" s="256"/>
      <c r="F15" s="256"/>
      <c r="G15" s="256"/>
      <c r="H15" s="256"/>
      <c r="I15" s="256"/>
      <c r="J15" s="256"/>
      <c r="K15" s="256"/>
      <c r="O15" s="3">
        <f t="shared" si="0"/>
        <v>15</v>
      </c>
    </row>
    <row r="16" spans="1:24" ht="13.15" customHeight="1">
      <c r="C16" s="256"/>
      <c r="D16" s="256"/>
      <c r="E16" s="256"/>
      <c r="F16" s="256"/>
      <c r="G16" s="256"/>
      <c r="H16" s="256"/>
      <c r="I16" s="256"/>
      <c r="J16" s="256"/>
      <c r="K16" s="256"/>
      <c r="O16" s="3">
        <f t="shared" si="0"/>
        <v>16</v>
      </c>
    </row>
    <row r="17" spans="1:15" ht="13.15" customHeight="1">
      <c r="C17" s="256"/>
      <c r="D17" s="256"/>
      <c r="E17" s="256"/>
      <c r="F17" s="256"/>
      <c r="G17" s="256"/>
      <c r="H17" s="256"/>
      <c r="I17" s="256"/>
      <c r="J17" s="256"/>
      <c r="K17" s="256"/>
      <c r="O17" s="3">
        <f t="shared" si="0"/>
        <v>17</v>
      </c>
    </row>
    <row r="18" spans="1:15" ht="13.15" customHeight="1">
      <c r="C18" s="256"/>
      <c r="D18" s="256"/>
      <c r="E18" s="256"/>
      <c r="F18" s="256"/>
      <c r="G18" s="256"/>
      <c r="H18" s="256"/>
      <c r="I18" s="256"/>
      <c r="J18" s="256"/>
      <c r="K18" s="256"/>
      <c r="O18" s="3">
        <f t="shared" si="0"/>
        <v>18</v>
      </c>
    </row>
    <row r="19" spans="1:15" ht="13.15" customHeight="1">
      <c r="C19" s="256"/>
      <c r="D19" s="256"/>
      <c r="E19" s="256"/>
      <c r="F19" s="256"/>
      <c r="G19" s="256"/>
      <c r="H19" s="256"/>
      <c r="I19" s="256"/>
      <c r="J19" s="256"/>
      <c r="K19" s="256"/>
      <c r="O19" s="3">
        <f t="shared" si="0"/>
        <v>19</v>
      </c>
    </row>
    <row r="20" spans="1:15" ht="13.15" customHeight="1">
      <c r="C20" s="256"/>
      <c r="D20" s="256"/>
      <c r="E20" s="256"/>
      <c r="F20" s="256"/>
      <c r="G20" s="256"/>
      <c r="H20" s="256"/>
      <c r="I20" s="256"/>
      <c r="J20" s="256"/>
      <c r="K20" s="256"/>
      <c r="O20" s="3">
        <f t="shared" si="0"/>
        <v>20</v>
      </c>
    </row>
    <row r="21" spans="1:15" ht="13.15" customHeight="1">
      <c r="C21" s="149"/>
      <c r="D21" s="149"/>
      <c r="E21" s="149"/>
      <c r="F21" s="149"/>
      <c r="G21" s="149"/>
      <c r="H21" s="149"/>
      <c r="I21" s="149"/>
      <c r="J21" s="149"/>
      <c r="K21" s="149"/>
      <c r="O21" s="3">
        <f t="shared" si="0"/>
        <v>21</v>
      </c>
    </row>
    <row r="22" spans="1:15" ht="13.15" customHeight="1">
      <c r="B22" s="157" t="s">
        <v>356</v>
      </c>
      <c r="C22" s="256" t="s">
        <v>184</v>
      </c>
      <c r="D22" s="256"/>
      <c r="E22" s="256"/>
      <c r="F22" s="256"/>
      <c r="G22" s="256"/>
      <c r="H22" s="256"/>
      <c r="I22" s="256"/>
      <c r="J22" s="256"/>
      <c r="K22" s="256"/>
      <c r="O22" s="3">
        <f t="shared" si="0"/>
        <v>22</v>
      </c>
    </row>
    <row r="23" spans="1:15" ht="13.15" customHeight="1">
      <c r="C23" s="256"/>
      <c r="D23" s="256"/>
      <c r="E23" s="256"/>
      <c r="F23" s="256"/>
      <c r="G23" s="256"/>
      <c r="H23" s="256"/>
      <c r="I23" s="256"/>
      <c r="J23" s="256"/>
      <c r="K23" s="256"/>
      <c r="O23" s="3">
        <f t="shared" si="0"/>
        <v>23</v>
      </c>
    </row>
    <row r="24" spans="1:15" ht="13.15" customHeight="1">
      <c r="C24" s="256"/>
      <c r="D24" s="256"/>
      <c r="E24" s="256"/>
      <c r="F24" s="256"/>
      <c r="G24" s="256"/>
      <c r="H24" s="256"/>
      <c r="I24" s="256"/>
      <c r="J24" s="256"/>
      <c r="K24" s="256"/>
      <c r="O24" s="3">
        <f t="shared" si="0"/>
        <v>24</v>
      </c>
    </row>
    <row r="25" spans="1:15" ht="13.15" customHeight="1">
      <c r="C25" s="256"/>
      <c r="D25" s="256"/>
      <c r="E25" s="256"/>
      <c r="F25" s="256"/>
      <c r="G25" s="256"/>
      <c r="H25" s="256"/>
      <c r="I25" s="256"/>
      <c r="J25" s="256"/>
      <c r="K25" s="256"/>
      <c r="O25" s="3">
        <f t="shared" si="0"/>
        <v>25</v>
      </c>
    </row>
    <row r="26" spans="1:15" ht="13.15" customHeight="1">
      <c r="C26" s="256"/>
      <c r="D26" s="256"/>
      <c r="E26" s="256"/>
      <c r="F26" s="256"/>
      <c r="G26" s="256"/>
      <c r="H26" s="256"/>
      <c r="I26" s="256"/>
      <c r="J26" s="256"/>
      <c r="K26" s="256"/>
      <c r="O26" s="3">
        <f t="shared" si="0"/>
        <v>26</v>
      </c>
    </row>
    <row r="27" spans="1:15" ht="13.15" customHeight="1">
      <c r="C27" s="256"/>
      <c r="D27" s="256"/>
      <c r="E27" s="256"/>
      <c r="F27" s="256"/>
      <c r="G27" s="256"/>
      <c r="H27" s="256"/>
      <c r="I27" s="256"/>
      <c r="J27" s="256"/>
      <c r="K27" s="256"/>
      <c r="O27" s="3">
        <f t="shared" si="0"/>
        <v>27</v>
      </c>
    </row>
    <row r="28" spans="1:15" ht="13.15" customHeight="1">
      <c r="O28" s="3">
        <f t="shared" si="0"/>
        <v>28</v>
      </c>
    </row>
    <row r="29" spans="1:15" ht="13.15" customHeight="1">
      <c r="A29" s="156" t="s">
        <v>357</v>
      </c>
      <c r="B29" s="255" t="s">
        <v>222</v>
      </c>
      <c r="C29" s="255"/>
      <c r="D29" s="255"/>
      <c r="E29" s="255"/>
      <c r="F29" s="255"/>
      <c r="G29" s="255"/>
      <c r="H29" s="255"/>
      <c r="I29" s="255"/>
      <c r="J29" s="255"/>
      <c r="K29" s="255"/>
      <c r="L29" s="3">
        <v>2</v>
      </c>
      <c r="M29" s="3">
        <v>19</v>
      </c>
      <c r="N29" s="3">
        <v>7</v>
      </c>
      <c r="O29" s="3">
        <f t="shared" si="0"/>
        <v>29</v>
      </c>
    </row>
    <row r="30" spans="1:15" ht="13.15" customHeight="1">
      <c r="B30" s="255"/>
      <c r="C30" s="255"/>
      <c r="D30" s="255"/>
      <c r="E30" s="255"/>
      <c r="F30" s="255"/>
      <c r="G30" s="255"/>
      <c r="H30" s="255"/>
      <c r="I30" s="255"/>
      <c r="J30" s="255"/>
      <c r="K30" s="255"/>
      <c r="O30" s="3">
        <f t="shared" si="0"/>
        <v>30</v>
      </c>
    </row>
    <row r="31" spans="1:15" ht="13.15" customHeight="1">
      <c r="B31" s="255"/>
      <c r="C31" s="255"/>
      <c r="D31" s="255"/>
      <c r="E31" s="255"/>
      <c r="F31" s="255"/>
      <c r="G31" s="255"/>
      <c r="H31" s="255"/>
      <c r="I31" s="255"/>
      <c r="J31" s="255"/>
      <c r="K31" s="255"/>
      <c r="O31" s="3">
        <f t="shared" si="0"/>
        <v>31</v>
      </c>
    </row>
    <row r="32" spans="1:15" ht="13.15" customHeight="1">
      <c r="B32" s="255"/>
      <c r="C32" s="255"/>
      <c r="D32" s="255"/>
      <c r="E32" s="255"/>
      <c r="F32" s="255"/>
      <c r="G32" s="255"/>
      <c r="H32" s="255"/>
      <c r="I32" s="255"/>
      <c r="J32" s="255"/>
      <c r="K32" s="255"/>
      <c r="O32" s="3">
        <f t="shared" si="0"/>
        <v>32</v>
      </c>
    </row>
    <row r="33" spans="2:15" ht="13.15" customHeight="1">
      <c r="B33" s="255"/>
      <c r="C33" s="255"/>
      <c r="D33" s="255"/>
      <c r="E33" s="255"/>
      <c r="F33" s="255"/>
      <c r="G33" s="255"/>
      <c r="H33" s="255"/>
      <c r="I33" s="255"/>
      <c r="J33" s="255"/>
      <c r="K33" s="255"/>
      <c r="O33" s="3">
        <f t="shared" si="0"/>
        <v>33</v>
      </c>
    </row>
    <row r="34" spans="2:15" ht="13.15" customHeight="1">
      <c r="B34" s="255"/>
      <c r="C34" s="255"/>
      <c r="D34" s="255"/>
      <c r="E34" s="255"/>
      <c r="F34" s="255"/>
      <c r="G34" s="255"/>
      <c r="H34" s="255"/>
      <c r="I34" s="255"/>
      <c r="J34" s="255"/>
      <c r="K34" s="255"/>
      <c r="O34" s="3">
        <f t="shared" si="0"/>
        <v>34</v>
      </c>
    </row>
    <row r="35" spans="2:15" ht="13.15" customHeight="1">
      <c r="B35" s="255"/>
      <c r="C35" s="255"/>
      <c r="D35" s="255"/>
      <c r="E35" s="255"/>
      <c r="F35" s="255"/>
      <c r="G35" s="255"/>
      <c r="H35" s="255"/>
      <c r="I35" s="255"/>
      <c r="J35" s="255"/>
      <c r="K35" s="255"/>
      <c r="O35" s="3">
        <f t="shared" si="0"/>
        <v>35</v>
      </c>
    </row>
    <row r="36" spans="2:15" ht="13.15" customHeight="1">
      <c r="O36" s="3">
        <f t="shared" si="0"/>
        <v>36</v>
      </c>
    </row>
    <row r="37" spans="2:15" ht="13.15" customHeight="1">
      <c r="B37" s="157" t="s">
        <v>356</v>
      </c>
      <c r="C37" s="256" t="s">
        <v>223</v>
      </c>
      <c r="D37" s="256"/>
      <c r="E37" s="256"/>
      <c r="F37" s="256"/>
      <c r="G37" s="256"/>
      <c r="H37" s="256"/>
      <c r="I37" s="256"/>
      <c r="J37" s="256"/>
      <c r="K37" s="256"/>
      <c r="O37" s="3">
        <f t="shared" si="0"/>
        <v>37</v>
      </c>
    </row>
    <row r="38" spans="2:15" ht="13.15" customHeight="1">
      <c r="C38" s="256"/>
      <c r="D38" s="256"/>
      <c r="E38" s="256"/>
      <c r="F38" s="256"/>
      <c r="G38" s="256"/>
      <c r="H38" s="256"/>
      <c r="I38" s="256"/>
      <c r="J38" s="256"/>
      <c r="K38" s="256"/>
      <c r="O38" s="3">
        <f t="shared" si="0"/>
        <v>38</v>
      </c>
    </row>
    <row r="39" spans="2:15" ht="13.15" customHeight="1">
      <c r="C39" s="256"/>
      <c r="D39" s="256"/>
      <c r="E39" s="256"/>
      <c r="F39" s="256"/>
      <c r="G39" s="256"/>
      <c r="H39" s="256"/>
      <c r="I39" s="256"/>
      <c r="J39" s="256"/>
      <c r="K39" s="256"/>
      <c r="O39" s="3">
        <f t="shared" si="0"/>
        <v>39</v>
      </c>
    </row>
    <row r="40" spans="2:15" ht="13.15" customHeight="1">
      <c r="C40" s="256"/>
      <c r="D40" s="256"/>
      <c r="E40" s="256"/>
      <c r="F40" s="256"/>
      <c r="G40" s="256"/>
      <c r="H40" s="256"/>
      <c r="I40" s="256"/>
      <c r="J40" s="256"/>
      <c r="K40" s="256"/>
      <c r="O40" s="3">
        <f t="shared" si="0"/>
        <v>40</v>
      </c>
    </row>
    <row r="41" spans="2:15" ht="13.15" customHeight="1">
      <c r="C41" s="256"/>
      <c r="D41" s="256"/>
      <c r="E41" s="256"/>
      <c r="F41" s="256"/>
      <c r="G41" s="256"/>
      <c r="H41" s="256"/>
      <c r="I41" s="256"/>
      <c r="J41" s="256"/>
      <c r="K41" s="256"/>
      <c r="O41" s="3">
        <f t="shared" si="0"/>
        <v>41</v>
      </c>
    </row>
    <row r="42" spans="2:15" ht="13.15" customHeight="1">
      <c r="O42" s="3">
        <f t="shared" si="0"/>
        <v>42</v>
      </c>
    </row>
    <row r="43" spans="2:15" ht="13.15" customHeight="1">
      <c r="B43" s="157" t="s">
        <v>356</v>
      </c>
      <c r="C43" s="256" t="s">
        <v>181</v>
      </c>
      <c r="D43" s="256"/>
      <c r="E43" s="256"/>
      <c r="F43" s="256"/>
      <c r="G43" s="256"/>
      <c r="H43" s="256"/>
      <c r="I43" s="256"/>
      <c r="J43" s="256"/>
      <c r="K43" s="256"/>
      <c r="O43" s="3">
        <f t="shared" si="0"/>
        <v>43</v>
      </c>
    </row>
    <row r="44" spans="2:15" ht="13.15" customHeight="1">
      <c r="C44" s="256"/>
      <c r="D44" s="256"/>
      <c r="E44" s="256"/>
      <c r="F44" s="256"/>
      <c r="G44" s="256"/>
      <c r="H44" s="256"/>
      <c r="I44" s="256"/>
      <c r="J44" s="256"/>
      <c r="K44" s="256"/>
      <c r="O44" s="3">
        <f t="shared" si="0"/>
        <v>44</v>
      </c>
    </row>
    <row r="45" spans="2:15" ht="13.15" customHeight="1">
      <c r="C45" s="256"/>
      <c r="D45" s="256"/>
      <c r="E45" s="256"/>
      <c r="F45" s="256"/>
      <c r="G45" s="256"/>
      <c r="H45" s="256"/>
      <c r="I45" s="256"/>
      <c r="J45" s="256"/>
      <c r="K45" s="256"/>
      <c r="O45" s="3">
        <f t="shared" si="0"/>
        <v>45</v>
      </c>
    </row>
    <row r="46" spans="2:15" ht="13.15" customHeight="1">
      <c r="C46" s="256"/>
      <c r="D46" s="256"/>
      <c r="E46" s="256"/>
      <c r="F46" s="256"/>
      <c r="G46" s="256"/>
      <c r="H46" s="256"/>
      <c r="I46" s="256"/>
      <c r="J46" s="256"/>
      <c r="K46" s="256"/>
      <c r="O46" s="3">
        <f t="shared" si="0"/>
        <v>46</v>
      </c>
    </row>
    <row r="47" spans="2:15" ht="13.15" customHeight="1">
      <c r="C47" s="256"/>
      <c r="D47" s="256"/>
      <c r="E47" s="256"/>
      <c r="F47" s="256"/>
      <c r="G47" s="256"/>
      <c r="H47" s="256"/>
      <c r="I47" s="256"/>
      <c r="J47" s="256"/>
      <c r="K47" s="256"/>
      <c r="O47" s="3">
        <f t="shared" si="0"/>
        <v>47</v>
      </c>
    </row>
    <row r="48" spans="2:15" ht="13.15" customHeight="1">
      <c r="O48" s="3">
        <f t="shared" si="0"/>
        <v>48</v>
      </c>
    </row>
    <row r="49" spans="1:15" ht="13.15" customHeight="1">
      <c r="A49" s="139" t="s">
        <v>358</v>
      </c>
      <c r="B49" s="255" t="s">
        <v>224</v>
      </c>
      <c r="C49" s="255"/>
      <c r="D49" s="255"/>
      <c r="E49" s="255"/>
      <c r="F49" s="255"/>
      <c r="G49" s="255"/>
      <c r="H49" s="255"/>
      <c r="I49" s="255"/>
      <c r="J49" s="255"/>
      <c r="K49" s="255"/>
      <c r="L49" s="3">
        <v>3</v>
      </c>
      <c r="M49" s="3">
        <v>16</v>
      </c>
      <c r="N49" s="3">
        <v>6</v>
      </c>
      <c r="O49" s="3">
        <f t="shared" si="0"/>
        <v>49</v>
      </c>
    </row>
    <row r="50" spans="1:15" ht="13.15" customHeight="1">
      <c r="B50" s="255"/>
      <c r="C50" s="255"/>
      <c r="D50" s="255"/>
      <c r="E50" s="255"/>
      <c r="F50" s="255"/>
      <c r="G50" s="255"/>
      <c r="H50" s="255"/>
      <c r="I50" s="255"/>
      <c r="J50" s="255"/>
      <c r="K50" s="255"/>
      <c r="O50" s="3">
        <f t="shared" si="0"/>
        <v>50</v>
      </c>
    </row>
    <row r="51" spans="1:15" ht="13.15" customHeight="1">
      <c r="B51" s="255"/>
      <c r="C51" s="255"/>
      <c r="D51" s="255"/>
      <c r="E51" s="255"/>
      <c r="F51" s="255"/>
      <c r="G51" s="255"/>
      <c r="H51" s="255"/>
      <c r="I51" s="255"/>
      <c r="J51" s="255"/>
      <c r="K51" s="255"/>
      <c r="O51" s="3">
        <f t="shared" si="0"/>
        <v>51</v>
      </c>
    </row>
    <row r="52" spans="1:15" ht="13.15" customHeight="1">
      <c r="B52" s="255"/>
      <c r="C52" s="255"/>
      <c r="D52" s="255"/>
      <c r="E52" s="255"/>
      <c r="F52" s="255"/>
      <c r="G52" s="255"/>
      <c r="H52" s="255"/>
      <c r="I52" s="255"/>
      <c r="J52" s="255"/>
      <c r="K52" s="255"/>
      <c r="O52" s="3">
        <f t="shared" si="0"/>
        <v>52</v>
      </c>
    </row>
    <row r="53" spans="1:15" ht="13.15" customHeight="1">
      <c r="B53" s="255"/>
      <c r="C53" s="255"/>
      <c r="D53" s="255"/>
      <c r="E53" s="255"/>
      <c r="F53" s="255"/>
      <c r="G53" s="255"/>
      <c r="H53" s="255"/>
      <c r="I53" s="255"/>
      <c r="J53" s="255"/>
      <c r="K53" s="255"/>
      <c r="O53" s="3">
        <f t="shared" si="0"/>
        <v>53</v>
      </c>
    </row>
    <row r="54" spans="1:15" ht="13.15" customHeight="1">
      <c r="B54" s="255"/>
      <c r="C54" s="255"/>
      <c r="D54" s="255"/>
      <c r="E54" s="255"/>
      <c r="F54" s="255"/>
      <c r="G54" s="255"/>
      <c r="H54" s="255"/>
      <c r="I54" s="255"/>
      <c r="J54" s="255"/>
      <c r="K54" s="255"/>
      <c r="O54" s="3">
        <f t="shared" si="0"/>
        <v>54</v>
      </c>
    </row>
    <row r="55" spans="1:15" ht="13.15" customHeight="1">
      <c r="B55" s="92"/>
      <c r="C55" s="92"/>
      <c r="D55" s="92"/>
      <c r="E55" s="92"/>
      <c r="F55" s="92"/>
      <c r="G55" s="92"/>
      <c r="H55" s="92"/>
      <c r="I55" s="92"/>
      <c r="J55" s="92"/>
      <c r="K55" s="92"/>
      <c r="O55" s="3">
        <f t="shared" si="0"/>
        <v>55</v>
      </c>
    </row>
    <row r="56" spans="1:15" ht="13.15" customHeight="1">
      <c r="B56" s="157" t="s">
        <v>356</v>
      </c>
      <c r="C56" s="256" t="s">
        <v>182</v>
      </c>
      <c r="D56" s="256"/>
      <c r="E56" s="256"/>
      <c r="F56" s="256"/>
      <c r="G56" s="256"/>
      <c r="H56" s="256"/>
      <c r="I56" s="256"/>
      <c r="J56" s="256"/>
      <c r="K56" s="256"/>
      <c r="O56" s="3">
        <f t="shared" si="0"/>
        <v>56</v>
      </c>
    </row>
    <row r="57" spans="1:15" ht="13.15" customHeight="1">
      <c r="C57" s="256"/>
      <c r="D57" s="256"/>
      <c r="E57" s="256"/>
      <c r="F57" s="256"/>
      <c r="G57" s="256"/>
      <c r="H57" s="256"/>
      <c r="I57" s="256"/>
      <c r="J57" s="256"/>
      <c r="K57" s="256"/>
      <c r="O57" s="3">
        <f t="shared" si="0"/>
        <v>57</v>
      </c>
    </row>
    <row r="58" spans="1:15" ht="13.15" customHeight="1">
      <c r="C58" s="256"/>
      <c r="D58" s="256"/>
      <c r="E58" s="256"/>
      <c r="F58" s="256"/>
      <c r="G58" s="256"/>
      <c r="H58" s="256"/>
      <c r="I58" s="256"/>
      <c r="J58" s="256"/>
      <c r="K58" s="256"/>
      <c r="O58" s="3">
        <f t="shared" si="0"/>
        <v>58</v>
      </c>
    </row>
    <row r="59" spans="1:15" ht="13.15" customHeight="1">
      <c r="C59" s="256"/>
      <c r="D59" s="256"/>
      <c r="E59" s="256"/>
      <c r="F59" s="256"/>
      <c r="G59" s="256"/>
      <c r="H59" s="256"/>
      <c r="I59" s="256"/>
      <c r="J59" s="256"/>
      <c r="K59" s="256"/>
      <c r="O59" s="3">
        <f t="shared" si="0"/>
        <v>59</v>
      </c>
    </row>
    <row r="60" spans="1:15" ht="13.15" customHeight="1">
      <c r="O60" s="3">
        <f t="shared" si="0"/>
        <v>60</v>
      </c>
    </row>
    <row r="61" spans="1:15" ht="13.15" customHeight="1">
      <c r="B61" s="157" t="s">
        <v>356</v>
      </c>
      <c r="C61" s="256" t="s">
        <v>145</v>
      </c>
      <c r="D61" s="256"/>
      <c r="E61" s="256"/>
      <c r="F61" s="256"/>
      <c r="G61" s="256"/>
      <c r="H61" s="256"/>
      <c r="I61" s="256"/>
      <c r="J61" s="256"/>
      <c r="K61" s="256"/>
      <c r="O61" s="3">
        <f t="shared" si="0"/>
        <v>61</v>
      </c>
    </row>
    <row r="62" spans="1:15" ht="13.15" customHeight="1">
      <c r="C62" s="256"/>
      <c r="D62" s="256"/>
      <c r="E62" s="256"/>
      <c r="F62" s="256"/>
      <c r="G62" s="256"/>
      <c r="H62" s="256"/>
      <c r="I62" s="256"/>
      <c r="J62" s="256"/>
      <c r="K62" s="256"/>
      <c r="O62" s="3">
        <f t="shared" si="0"/>
        <v>62</v>
      </c>
    </row>
    <row r="63" spans="1:15" ht="13.15" customHeight="1">
      <c r="C63" s="256"/>
      <c r="D63" s="256"/>
      <c r="E63" s="256"/>
      <c r="F63" s="256"/>
      <c r="G63" s="256"/>
      <c r="H63" s="256"/>
      <c r="I63" s="256"/>
      <c r="J63" s="256"/>
      <c r="K63" s="256"/>
      <c r="O63" s="3">
        <f t="shared" si="0"/>
        <v>63</v>
      </c>
    </row>
    <row r="64" spans="1:15" ht="13.15" customHeight="1">
      <c r="C64" s="256"/>
      <c r="D64" s="256"/>
      <c r="E64" s="256"/>
      <c r="F64" s="256"/>
      <c r="G64" s="256"/>
      <c r="H64" s="256"/>
      <c r="I64" s="256"/>
      <c r="J64" s="256"/>
      <c r="K64" s="256"/>
      <c r="O64" s="3">
        <f t="shared" si="0"/>
        <v>64</v>
      </c>
    </row>
    <row r="65" spans="1:15" ht="13.15" customHeight="1">
      <c r="O65" s="3">
        <f t="shared" si="0"/>
        <v>65</v>
      </c>
    </row>
    <row r="66" spans="1:15" ht="13.15" customHeight="1">
      <c r="A66" s="139" t="s">
        <v>359</v>
      </c>
      <c r="B66" s="255" t="s">
        <v>225</v>
      </c>
      <c r="C66" s="255"/>
      <c r="D66" s="255"/>
      <c r="E66" s="255"/>
      <c r="F66" s="255"/>
      <c r="G66" s="255"/>
      <c r="H66" s="255"/>
      <c r="I66" s="255"/>
      <c r="J66" s="255"/>
      <c r="K66" s="255"/>
      <c r="L66" s="3">
        <v>4</v>
      </c>
      <c r="M66" s="3">
        <v>18</v>
      </c>
      <c r="N66" s="3">
        <v>5</v>
      </c>
      <c r="O66" s="3">
        <f t="shared" si="0"/>
        <v>66</v>
      </c>
    </row>
    <row r="67" spans="1:15" ht="13.15" customHeight="1">
      <c r="B67" s="255"/>
      <c r="C67" s="255"/>
      <c r="D67" s="255"/>
      <c r="E67" s="255"/>
      <c r="F67" s="255"/>
      <c r="G67" s="255"/>
      <c r="H67" s="255"/>
      <c r="I67" s="255"/>
      <c r="J67" s="255"/>
      <c r="K67" s="255"/>
      <c r="O67" s="3">
        <f t="shared" si="0"/>
        <v>67</v>
      </c>
    </row>
    <row r="68" spans="1:15" ht="13.15" customHeight="1">
      <c r="B68" s="255"/>
      <c r="C68" s="255"/>
      <c r="D68" s="255"/>
      <c r="E68" s="255"/>
      <c r="F68" s="255"/>
      <c r="G68" s="255"/>
      <c r="H68" s="255"/>
      <c r="I68" s="255"/>
      <c r="J68" s="255"/>
      <c r="K68" s="255"/>
      <c r="O68" s="3">
        <f t="shared" si="0"/>
        <v>68</v>
      </c>
    </row>
    <row r="69" spans="1:15" ht="13.15" customHeight="1">
      <c r="B69" s="255"/>
      <c r="C69" s="255"/>
      <c r="D69" s="255"/>
      <c r="E69" s="255"/>
      <c r="F69" s="255"/>
      <c r="G69" s="255"/>
      <c r="H69" s="255"/>
      <c r="I69" s="255"/>
      <c r="J69" s="255"/>
      <c r="K69" s="255"/>
      <c r="O69" s="3">
        <f t="shared" si="0"/>
        <v>69</v>
      </c>
    </row>
    <row r="70" spans="1:15" ht="13.15" customHeight="1">
      <c r="B70" s="255"/>
      <c r="C70" s="255"/>
      <c r="D70" s="255"/>
      <c r="E70" s="255"/>
      <c r="F70" s="255"/>
      <c r="G70" s="255"/>
      <c r="H70" s="255"/>
      <c r="I70" s="255"/>
      <c r="J70" s="255"/>
      <c r="K70" s="255"/>
      <c r="O70" s="3">
        <f t="shared" si="0"/>
        <v>70</v>
      </c>
    </row>
    <row r="71" spans="1:15" ht="13.15" customHeight="1">
      <c r="B71" s="89"/>
      <c r="C71" s="89"/>
      <c r="D71" s="89"/>
      <c r="E71" s="89"/>
      <c r="F71" s="89"/>
      <c r="G71" s="89"/>
      <c r="H71" s="89"/>
      <c r="I71" s="89"/>
      <c r="J71" s="89"/>
      <c r="K71" s="89"/>
      <c r="O71" s="3">
        <f t="shared" si="0"/>
        <v>71</v>
      </c>
    </row>
    <row r="72" spans="1:15" ht="13.15" customHeight="1">
      <c r="B72" s="157" t="s">
        <v>356</v>
      </c>
      <c r="C72" s="256" t="s">
        <v>226</v>
      </c>
      <c r="D72" s="256"/>
      <c r="E72" s="256"/>
      <c r="F72" s="256"/>
      <c r="G72" s="256"/>
      <c r="H72" s="256"/>
      <c r="I72" s="256"/>
      <c r="J72" s="256"/>
      <c r="K72" s="256"/>
      <c r="O72" s="3">
        <f t="shared" si="0"/>
        <v>72</v>
      </c>
    </row>
    <row r="73" spans="1:15" ht="13.15" customHeight="1">
      <c r="C73" s="256"/>
      <c r="D73" s="256"/>
      <c r="E73" s="256"/>
      <c r="F73" s="256"/>
      <c r="G73" s="256"/>
      <c r="H73" s="256"/>
      <c r="I73" s="256"/>
      <c r="J73" s="256"/>
      <c r="K73" s="256"/>
      <c r="O73" s="3">
        <f t="shared" si="0"/>
        <v>73</v>
      </c>
    </row>
    <row r="74" spans="1:15" ht="13.15" customHeight="1">
      <c r="C74" s="256"/>
      <c r="D74" s="256"/>
      <c r="E74" s="256"/>
      <c r="F74" s="256"/>
      <c r="G74" s="256"/>
      <c r="H74" s="256"/>
      <c r="I74" s="256"/>
      <c r="J74" s="256"/>
      <c r="K74" s="256"/>
      <c r="O74" s="3">
        <f t="shared" si="0"/>
        <v>74</v>
      </c>
    </row>
    <row r="75" spans="1:15" ht="13.15" customHeight="1">
      <c r="C75" s="256"/>
      <c r="D75" s="256"/>
      <c r="E75" s="256"/>
      <c r="F75" s="256"/>
      <c r="G75" s="256"/>
      <c r="H75" s="256"/>
      <c r="I75" s="256"/>
      <c r="J75" s="256"/>
      <c r="K75" s="256"/>
      <c r="O75" s="3">
        <f t="shared" si="0"/>
        <v>75</v>
      </c>
    </row>
    <row r="76" spans="1:15" ht="13.15" customHeight="1">
      <c r="C76" s="256"/>
      <c r="D76" s="256"/>
      <c r="E76" s="256"/>
      <c r="F76" s="256"/>
      <c r="G76" s="256"/>
      <c r="H76" s="256"/>
      <c r="I76" s="256"/>
      <c r="J76" s="256"/>
      <c r="K76" s="256"/>
      <c r="O76" s="3">
        <f t="shared" si="0"/>
        <v>76</v>
      </c>
    </row>
    <row r="77" spans="1:15" ht="13.15" customHeight="1">
      <c r="C77" s="256"/>
      <c r="D77" s="256"/>
      <c r="E77" s="256"/>
      <c r="F77" s="256"/>
      <c r="G77" s="256"/>
      <c r="H77" s="256"/>
      <c r="I77" s="256"/>
      <c r="J77" s="256"/>
      <c r="K77" s="256"/>
      <c r="O77" s="3">
        <f t="shared" si="0"/>
        <v>77</v>
      </c>
    </row>
    <row r="78" spans="1:15" ht="13.15" customHeight="1">
      <c r="O78" s="3">
        <f t="shared" si="0"/>
        <v>78</v>
      </c>
    </row>
    <row r="79" spans="1:15" ht="13.15" customHeight="1">
      <c r="B79" s="157" t="s">
        <v>356</v>
      </c>
      <c r="C79" s="256" t="s">
        <v>227</v>
      </c>
      <c r="D79" s="256"/>
      <c r="E79" s="256"/>
      <c r="F79" s="256"/>
      <c r="G79" s="256"/>
      <c r="H79" s="256"/>
      <c r="I79" s="256"/>
      <c r="J79" s="256"/>
      <c r="K79" s="256"/>
      <c r="O79" s="3">
        <f t="shared" si="0"/>
        <v>79</v>
      </c>
    </row>
    <row r="80" spans="1:15" ht="13.15" customHeight="1">
      <c r="C80" s="256"/>
      <c r="D80" s="256"/>
      <c r="E80" s="256"/>
      <c r="F80" s="256"/>
      <c r="G80" s="256"/>
      <c r="H80" s="256"/>
      <c r="I80" s="256"/>
      <c r="J80" s="256"/>
      <c r="K80" s="256"/>
      <c r="O80" s="3">
        <f t="shared" si="0"/>
        <v>80</v>
      </c>
    </row>
    <row r="81" spans="1:15" ht="13.15" customHeight="1">
      <c r="C81" s="256"/>
      <c r="D81" s="256"/>
      <c r="E81" s="256"/>
      <c r="F81" s="256"/>
      <c r="G81" s="256"/>
      <c r="H81" s="256"/>
      <c r="I81" s="256"/>
      <c r="J81" s="256"/>
      <c r="K81" s="256"/>
      <c r="O81" s="3">
        <f t="shared" si="0"/>
        <v>81</v>
      </c>
    </row>
    <row r="82" spans="1:15" ht="13.15" customHeight="1">
      <c r="C82" s="256"/>
      <c r="D82" s="256"/>
      <c r="E82" s="256"/>
      <c r="F82" s="256"/>
      <c r="G82" s="256"/>
      <c r="H82" s="256"/>
      <c r="I82" s="256"/>
      <c r="J82" s="256"/>
      <c r="K82" s="256"/>
      <c r="O82" s="3">
        <f t="shared" si="0"/>
        <v>82</v>
      </c>
    </row>
    <row r="83" spans="1:15" ht="13.15" customHeight="1">
      <c r="C83" s="256"/>
      <c r="D83" s="256"/>
      <c r="E83" s="256"/>
      <c r="F83" s="256"/>
      <c r="G83" s="256"/>
      <c r="H83" s="256"/>
      <c r="I83" s="256"/>
      <c r="J83" s="256"/>
      <c r="K83" s="256"/>
      <c r="O83" s="3">
        <f t="shared" si="0"/>
        <v>83</v>
      </c>
    </row>
    <row r="84" spans="1:15" ht="13.15" customHeight="1">
      <c r="O84" s="3">
        <f t="shared" si="0"/>
        <v>84</v>
      </c>
    </row>
    <row r="85" spans="1:15" ht="13.15" customHeight="1">
      <c r="A85" s="139" t="s">
        <v>360</v>
      </c>
      <c r="B85" s="255" t="s">
        <v>228</v>
      </c>
      <c r="C85" s="255"/>
      <c r="D85" s="255"/>
      <c r="E85" s="255"/>
      <c r="F85" s="255"/>
      <c r="G85" s="255"/>
      <c r="H85" s="255"/>
      <c r="I85" s="255"/>
      <c r="J85" s="255"/>
      <c r="K85" s="255"/>
      <c r="L85" s="3">
        <v>5</v>
      </c>
      <c r="M85" s="3">
        <v>26</v>
      </c>
      <c r="N85" s="3">
        <v>9</v>
      </c>
      <c r="O85" s="3">
        <f t="shared" ref="O85:O152" si="1">ROW(M85)</f>
        <v>85</v>
      </c>
    </row>
    <row r="86" spans="1:15" ht="13.15" customHeight="1">
      <c r="B86" s="255"/>
      <c r="C86" s="255"/>
      <c r="D86" s="255"/>
      <c r="E86" s="255"/>
      <c r="F86" s="255"/>
      <c r="G86" s="255"/>
      <c r="H86" s="255"/>
      <c r="I86" s="255"/>
      <c r="J86" s="255"/>
      <c r="K86" s="255"/>
      <c r="O86" s="3">
        <f t="shared" si="1"/>
        <v>86</v>
      </c>
    </row>
    <row r="87" spans="1:15" ht="13.15" customHeight="1">
      <c r="B87" s="255"/>
      <c r="C87" s="255"/>
      <c r="D87" s="255"/>
      <c r="E87" s="255"/>
      <c r="F87" s="255"/>
      <c r="G87" s="255"/>
      <c r="H87" s="255"/>
      <c r="I87" s="255"/>
      <c r="J87" s="255"/>
      <c r="K87" s="255"/>
      <c r="O87" s="3">
        <f t="shared" si="1"/>
        <v>87</v>
      </c>
    </row>
    <row r="88" spans="1:15" ht="13.15" customHeight="1">
      <c r="B88" s="255"/>
      <c r="C88" s="255"/>
      <c r="D88" s="255"/>
      <c r="E88" s="255"/>
      <c r="F88" s="255"/>
      <c r="G88" s="255"/>
      <c r="H88" s="255"/>
      <c r="I88" s="255"/>
      <c r="J88" s="255"/>
      <c r="K88" s="255"/>
      <c r="O88" s="3">
        <f t="shared" si="1"/>
        <v>88</v>
      </c>
    </row>
    <row r="89" spans="1:15" ht="13.15" customHeight="1">
      <c r="B89" s="255"/>
      <c r="C89" s="255"/>
      <c r="D89" s="255"/>
      <c r="E89" s="255"/>
      <c r="F89" s="255"/>
      <c r="G89" s="255"/>
      <c r="H89" s="255"/>
      <c r="I89" s="255"/>
      <c r="J89" s="255"/>
      <c r="K89" s="255"/>
      <c r="O89" s="3">
        <f t="shared" si="1"/>
        <v>89</v>
      </c>
    </row>
    <row r="90" spans="1:15" ht="13.15" customHeight="1">
      <c r="B90" s="255"/>
      <c r="C90" s="255"/>
      <c r="D90" s="255"/>
      <c r="E90" s="255"/>
      <c r="F90" s="255"/>
      <c r="G90" s="255"/>
      <c r="H90" s="255"/>
      <c r="I90" s="255"/>
      <c r="J90" s="255"/>
      <c r="K90" s="255"/>
      <c r="O90" s="3">
        <f t="shared" si="1"/>
        <v>90</v>
      </c>
    </row>
    <row r="91" spans="1:15" ht="13.15" customHeight="1">
      <c r="B91" s="255"/>
      <c r="C91" s="255"/>
      <c r="D91" s="255"/>
      <c r="E91" s="255"/>
      <c r="F91" s="255"/>
      <c r="G91" s="255"/>
      <c r="H91" s="255"/>
      <c r="I91" s="255"/>
      <c r="J91" s="255"/>
      <c r="K91" s="255"/>
      <c r="O91" s="3">
        <f t="shared" si="1"/>
        <v>91</v>
      </c>
    </row>
    <row r="92" spans="1:15" ht="13.15" customHeight="1">
      <c r="B92" s="255"/>
      <c r="C92" s="255"/>
      <c r="D92" s="255"/>
      <c r="E92" s="255"/>
      <c r="F92" s="255"/>
      <c r="G92" s="255"/>
      <c r="H92" s="255"/>
      <c r="I92" s="255"/>
      <c r="J92" s="255"/>
      <c r="K92" s="255"/>
      <c r="O92" s="3">
        <f t="shared" si="1"/>
        <v>92</v>
      </c>
    </row>
    <row r="93" spans="1:15" ht="13.15" customHeight="1">
      <c r="B93" s="255"/>
      <c r="C93" s="255"/>
      <c r="D93" s="255"/>
      <c r="E93" s="255"/>
      <c r="F93" s="255"/>
      <c r="G93" s="255"/>
      <c r="H93" s="255"/>
      <c r="I93" s="255"/>
      <c r="J93" s="255"/>
      <c r="K93" s="255"/>
      <c r="O93" s="3">
        <f t="shared" si="1"/>
        <v>93</v>
      </c>
    </row>
    <row r="94" spans="1:15" ht="13.15" customHeight="1">
      <c r="B94" s="157"/>
      <c r="O94" s="3">
        <f t="shared" si="1"/>
        <v>94</v>
      </c>
    </row>
    <row r="95" spans="1:15" ht="13.15" customHeight="1">
      <c r="B95" s="157" t="s">
        <v>356</v>
      </c>
      <c r="C95" s="256" t="s">
        <v>229</v>
      </c>
      <c r="D95" s="256"/>
      <c r="E95" s="256"/>
      <c r="F95" s="256"/>
      <c r="G95" s="256"/>
      <c r="H95" s="256"/>
      <c r="I95" s="256"/>
      <c r="J95" s="256"/>
      <c r="K95" s="256"/>
      <c r="O95" s="3">
        <f t="shared" si="1"/>
        <v>95</v>
      </c>
    </row>
    <row r="96" spans="1:15" ht="13.15" customHeight="1">
      <c r="C96" s="256"/>
      <c r="D96" s="256"/>
      <c r="E96" s="256"/>
      <c r="F96" s="256"/>
      <c r="G96" s="256"/>
      <c r="H96" s="256"/>
      <c r="I96" s="256"/>
      <c r="J96" s="256"/>
      <c r="K96" s="256"/>
      <c r="O96" s="3">
        <f t="shared" si="1"/>
        <v>96</v>
      </c>
    </row>
    <row r="97" spans="1:15" ht="13.15" customHeight="1">
      <c r="C97" s="256"/>
      <c r="D97" s="256"/>
      <c r="E97" s="256"/>
      <c r="F97" s="256"/>
      <c r="G97" s="256"/>
      <c r="H97" s="256"/>
      <c r="I97" s="256"/>
      <c r="J97" s="256"/>
      <c r="K97" s="256"/>
      <c r="O97" s="3">
        <f t="shared" si="1"/>
        <v>97</v>
      </c>
    </row>
    <row r="98" spans="1:15" ht="13.15" customHeight="1">
      <c r="C98" s="256"/>
      <c r="D98" s="256"/>
      <c r="E98" s="256"/>
      <c r="F98" s="256"/>
      <c r="G98" s="256"/>
      <c r="H98" s="256"/>
      <c r="I98" s="256"/>
      <c r="J98" s="256"/>
      <c r="K98" s="256"/>
      <c r="O98" s="3">
        <f t="shared" si="1"/>
        <v>98</v>
      </c>
    </row>
    <row r="99" spans="1:15" ht="13.15" customHeight="1">
      <c r="C99" s="256"/>
      <c r="D99" s="256"/>
      <c r="E99" s="256"/>
      <c r="F99" s="256"/>
      <c r="G99" s="256"/>
      <c r="H99" s="256"/>
      <c r="I99" s="256"/>
      <c r="J99" s="256"/>
      <c r="K99" s="256"/>
      <c r="O99" s="3">
        <f t="shared" si="1"/>
        <v>99</v>
      </c>
    </row>
    <row r="100" spans="1:15" ht="13.15" customHeight="1">
      <c r="C100" s="256"/>
      <c r="D100" s="256"/>
      <c r="E100" s="256"/>
      <c r="F100" s="256"/>
      <c r="G100" s="256"/>
      <c r="H100" s="256"/>
      <c r="I100" s="256"/>
      <c r="J100" s="256"/>
      <c r="K100" s="256"/>
      <c r="O100" s="3">
        <f t="shared" si="1"/>
        <v>100</v>
      </c>
    </row>
    <row r="101" spans="1:15" ht="13.15" customHeight="1">
      <c r="C101" s="256"/>
      <c r="D101" s="256"/>
      <c r="E101" s="256"/>
      <c r="F101" s="256"/>
      <c r="G101" s="256"/>
      <c r="H101" s="256"/>
      <c r="I101" s="256"/>
      <c r="J101" s="256"/>
      <c r="K101" s="256"/>
      <c r="O101" s="3">
        <f t="shared" si="1"/>
        <v>101</v>
      </c>
    </row>
    <row r="102" spans="1:15" ht="13.15" customHeight="1">
      <c r="C102" s="256"/>
      <c r="D102" s="256"/>
      <c r="E102" s="256"/>
      <c r="F102" s="256"/>
      <c r="G102" s="256"/>
      <c r="H102" s="256"/>
      <c r="I102" s="256"/>
      <c r="J102" s="256"/>
      <c r="K102" s="256"/>
      <c r="O102" s="3">
        <f t="shared" si="1"/>
        <v>102</v>
      </c>
    </row>
    <row r="103" spans="1:15" ht="13.15" customHeight="1">
      <c r="C103" s="256"/>
      <c r="D103" s="256"/>
      <c r="E103" s="256"/>
      <c r="F103" s="256"/>
      <c r="G103" s="256"/>
      <c r="H103" s="256"/>
      <c r="I103" s="256"/>
      <c r="J103" s="256"/>
      <c r="K103" s="256"/>
      <c r="O103" s="3">
        <f t="shared" si="1"/>
        <v>103</v>
      </c>
    </row>
    <row r="104" spans="1:15" ht="13.15" customHeight="1">
      <c r="C104" s="145"/>
      <c r="D104" s="145"/>
      <c r="E104" s="145"/>
      <c r="F104" s="145"/>
      <c r="G104" s="145"/>
      <c r="H104" s="145"/>
      <c r="I104" s="145"/>
      <c r="J104" s="145"/>
      <c r="K104" s="145"/>
      <c r="O104" s="3">
        <f t="shared" si="1"/>
        <v>104</v>
      </c>
    </row>
    <row r="105" spans="1:15" ht="13.15" customHeight="1">
      <c r="B105" s="157" t="s">
        <v>356</v>
      </c>
      <c r="C105" s="256" t="s">
        <v>230</v>
      </c>
      <c r="D105" s="256"/>
      <c r="E105" s="256"/>
      <c r="F105" s="256"/>
      <c r="G105" s="256"/>
      <c r="H105" s="256"/>
      <c r="I105" s="256"/>
      <c r="J105" s="256"/>
      <c r="K105" s="256"/>
      <c r="O105" s="3">
        <f t="shared" si="1"/>
        <v>105</v>
      </c>
    </row>
    <row r="106" spans="1:15" ht="13.15" customHeight="1">
      <c r="C106" s="256"/>
      <c r="D106" s="256"/>
      <c r="E106" s="256"/>
      <c r="F106" s="256"/>
      <c r="G106" s="256"/>
      <c r="H106" s="256"/>
      <c r="I106" s="256"/>
      <c r="J106" s="256"/>
      <c r="K106" s="256"/>
      <c r="O106" s="3">
        <f t="shared" si="1"/>
        <v>106</v>
      </c>
    </row>
    <row r="107" spans="1:15" ht="13.15" customHeight="1">
      <c r="C107" s="256"/>
      <c r="D107" s="256"/>
      <c r="E107" s="256"/>
      <c r="F107" s="256"/>
      <c r="G107" s="256"/>
      <c r="H107" s="256"/>
      <c r="I107" s="256"/>
      <c r="J107" s="256"/>
      <c r="K107" s="256"/>
      <c r="O107" s="3">
        <f t="shared" si="1"/>
        <v>107</v>
      </c>
    </row>
    <row r="108" spans="1:15" ht="13.15" customHeight="1">
      <c r="C108" s="256"/>
      <c r="D108" s="256"/>
      <c r="E108" s="256"/>
      <c r="F108" s="256"/>
      <c r="G108" s="256"/>
      <c r="H108" s="256"/>
      <c r="I108" s="256"/>
      <c r="J108" s="256"/>
      <c r="K108" s="256"/>
      <c r="O108" s="3">
        <f t="shared" si="1"/>
        <v>108</v>
      </c>
    </row>
    <row r="109" spans="1:15" ht="13.15" customHeight="1">
      <c r="C109" s="256"/>
      <c r="D109" s="256"/>
      <c r="E109" s="256"/>
      <c r="F109" s="256"/>
      <c r="G109" s="256"/>
      <c r="H109" s="256"/>
      <c r="I109" s="256"/>
      <c r="J109" s="256"/>
      <c r="K109" s="256"/>
      <c r="O109" s="3">
        <f t="shared" si="1"/>
        <v>109</v>
      </c>
    </row>
    <row r="110" spans="1:15" ht="13.15" customHeight="1">
      <c r="C110" s="256"/>
      <c r="D110" s="256"/>
      <c r="E110" s="256"/>
      <c r="F110" s="256"/>
      <c r="G110" s="256"/>
      <c r="H110" s="256"/>
      <c r="I110" s="256"/>
      <c r="J110" s="256"/>
      <c r="K110" s="256"/>
      <c r="O110" s="3">
        <f t="shared" si="1"/>
        <v>110</v>
      </c>
    </row>
    <row r="111" spans="1:15" ht="13.15" customHeight="1">
      <c r="C111" s="145"/>
      <c r="D111" s="145"/>
      <c r="E111" s="145"/>
      <c r="F111" s="145"/>
      <c r="G111" s="145"/>
      <c r="H111" s="145"/>
      <c r="I111" s="145"/>
      <c r="J111" s="145"/>
      <c r="K111" s="145"/>
      <c r="O111" s="3">
        <f t="shared" si="1"/>
        <v>111</v>
      </c>
    </row>
    <row r="112" spans="1:15" ht="13.15" customHeight="1">
      <c r="A112" s="139" t="s">
        <v>361</v>
      </c>
      <c r="B112" s="255" t="s">
        <v>231</v>
      </c>
      <c r="C112" s="255"/>
      <c r="D112" s="255"/>
      <c r="E112" s="255"/>
      <c r="F112" s="255"/>
      <c r="G112" s="255"/>
      <c r="H112" s="255"/>
      <c r="I112" s="255"/>
      <c r="J112" s="255"/>
      <c r="K112" s="255"/>
      <c r="L112" s="3">
        <v>6</v>
      </c>
      <c r="M112" s="3">
        <v>14</v>
      </c>
      <c r="N112" s="3">
        <v>7</v>
      </c>
      <c r="O112" s="3">
        <f t="shared" si="1"/>
        <v>112</v>
      </c>
    </row>
    <row r="113" spans="1:15" ht="13.15" customHeight="1">
      <c r="B113" s="255"/>
      <c r="C113" s="255"/>
      <c r="D113" s="255"/>
      <c r="E113" s="255"/>
      <c r="F113" s="255"/>
      <c r="G113" s="255"/>
      <c r="H113" s="255"/>
      <c r="I113" s="255"/>
      <c r="J113" s="255"/>
      <c r="K113" s="255"/>
      <c r="O113" s="3">
        <f t="shared" si="1"/>
        <v>113</v>
      </c>
    </row>
    <row r="114" spans="1:15" ht="13.15" customHeight="1">
      <c r="B114" s="255"/>
      <c r="C114" s="255"/>
      <c r="D114" s="255"/>
      <c r="E114" s="255"/>
      <c r="F114" s="255"/>
      <c r="G114" s="255"/>
      <c r="H114" s="255"/>
      <c r="I114" s="255"/>
      <c r="J114" s="255"/>
      <c r="K114" s="255"/>
      <c r="O114" s="3">
        <f t="shared" si="1"/>
        <v>114</v>
      </c>
    </row>
    <row r="115" spans="1:15" ht="13.15" customHeight="1">
      <c r="B115" s="255"/>
      <c r="C115" s="255"/>
      <c r="D115" s="255"/>
      <c r="E115" s="255"/>
      <c r="F115" s="255"/>
      <c r="G115" s="255"/>
      <c r="H115" s="255"/>
      <c r="I115" s="255"/>
      <c r="J115" s="255"/>
      <c r="K115" s="255"/>
      <c r="O115" s="3">
        <f t="shared" si="1"/>
        <v>115</v>
      </c>
    </row>
    <row r="116" spans="1:15" ht="13.15" customHeight="1">
      <c r="B116" s="255"/>
      <c r="C116" s="255"/>
      <c r="D116" s="255"/>
      <c r="E116" s="255"/>
      <c r="F116" s="255"/>
      <c r="G116" s="255"/>
      <c r="H116" s="255"/>
      <c r="I116" s="255"/>
      <c r="J116" s="255"/>
      <c r="K116" s="255"/>
      <c r="O116" s="3">
        <f t="shared" si="1"/>
        <v>116</v>
      </c>
    </row>
    <row r="117" spans="1:15" ht="13.15" customHeight="1">
      <c r="B117" s="255"/>
      <c r="C117" s="255"/>
      <c r="D117" s="255"/>
      <c r="E117" s="255"/>
      <c r="F117" s="255"/>
      <c r="G117" s="255"/>
      <c r="H117" s="255"/>
      <c r="I117" s="255"/>
      <c r="J117" s="255"/>
      <c r="K117" s="255"/>
      <c r="O117" s="3">
        <f t="shared" si="1"/>
        <v>117</v>
      </c>
    </row>
    <row r="118" spans="1:15" ht="13.15" customHeight="1">
      <c r="B118" s="255"/>
      <c r="C118" s="255"/>
      <c r="D118" s="255"/>
      <c r="E118" s="255"/>
      <c r="F118" s="255"/>
      <c r="G118" s="255"/>
      <c r="H118" s="255"/>
      <c r="I118" s="255"/>
      <c r="J118" s="255"/>
      <c r="K118" s="255"/>
      <c r="O118" s="3">
        <f t="shared" si="1"/>
        <v>118</v>
      </c>
    </row>
    <row r="119" spans="1:15" ht="13.15" customHeight="1">
      <c r="O119" s="3">
        <f t="shared" si="1"/>
        <v>119</v>
      </c>
    </row>
    <row r="120" spans="1:15" ht="13.15" customHeight="1">
      <c r="B120" s="157" t="s">
        <v>356</v>
      </c>
      <c r="C120" s="259" t="s">
        <v>232</v>
      </c>
      <c r="D120" s="259"/>
      <c r="E120" s="259"/>
      <c r="F120" s="259"/>
      <c r="G120" s="259"/>
      <c r="H120" s="259"/>
      <c r="I120" s="259"/>
      <c r="J120" s="259"/>
      <c r="K120" s="259"/>
      <c r="O120" s="3">
        <f t="shared" si="1"/>
        <v>120</v>
      </c>
    </row>
    <row r="121" spans="1:15" ht="13.15" customHeight="1">
      <c r="C121" s="259"/>
      <c r="D121" s="259"/>
      <c r="E121" s="259"/>
      <c r="F121" s="259"/>
      <c r="G121" s="259"/>
      <c r="H121" s="259"/>
      <c r="I121" s="259"/>
      <c r="J121" s="259"/>
      <c r="K121" s="259"/>
      <c r="O121" s="3">
        <f t="shared" si="1"/>
        <v>121</v>
      </c>
    </row>
    <row r="122" spans="1:15" ht="13.15" customHeight="1">
      <c r="C122" s="259"/>
      <c r="D122" s="259"/>
      <c r="E122" s="259"/>
      <c r="F122" s="259"/>
      <c r="G122" s="259"/>
      <c r="H122" s="259"/>
      <c r="I122" s="259"/>
      <c r="J122" s="259"/>
      <c r="K122" s="259"/>
      <c r="O122" s="3">
        <f t="shared" si="1"/>
        <v>122</v>
      </c>
    </row>
    <row r="123" spans="1:15" ht="13.15" customHeight="1">
      <c r="C123" s="259"/>
      <c r="D123" s="259"/>
      <c r="E123" s="259"/>
      <c r="F123" s="259"/>
      <c r="G123" s="259"/>
      <c r="H123" s="259"/>
      <c r="I123" s="259"/>
      <c r="J123" s="259"/>
      <c r="K123" s="259"/>
      <c r="O123" s="3">
        <f t="shared" si="1"/>
        <v>123</v>
      </c>
    </row>
    <row r="124" spans="1:15" ht="13.15" customHeight="1">
      <c r="C124" s="259"/>
      <c r="D124" s="259"/>
      <c r="E124" s="259"/>
      <c r="F124" s="259"/>
      <c r="G124" s="259"/>
      <c r="H124" s="259"/>
      <c r="I124" s="259"/>
      <c r="J124" s="259"/>
      <c r="K124" s="259"/>
      <c r="O124" s="3">
        <f t="shared" si="1"/>
        <v>124</v>
      </c>
    </row>
    <row r="125" spans="1:15" ht="13.15" customHeight="1">
      <c r="C125" s="259"/>
      <c r="D125" s="259"/>
      <c r="E125" s="259"/>
      <c r="F125" s="259"/>
      <c r="G125" s="259"/>
      <c r="H125" s="259"/>
      <c r="I125" s="259"/>
      <c r="J125" s="259"/>
      <c r="K125" s="259"/>
      <c r="O125" s="3">
        <f t="shared" si="1"/>
        <v>125</v>
      </c>
    </row>
    <row r="126" spans="1:15" ht="13.15" customHeight="1">
      <c r="O126" s="3">
        <f t="shared" si="1"/>
        <v>126</v>
      </c>
    </row>
    <row r="127" spans="1:15" ht="13.15" customHeight="1">
      <c r="A127" s="139" t="s">
        <v>362</v>
      </c>
      <c r="B127" s="261" t="s">
        <v>233</v>
      </c>
      <c r="C127" s="261"/>
      <c r="D127" s="261"/>
      <c r="E127" s="261"/>
      <c r="F127" s="261"/>
      <c r="G127" s="261"/>
      <c r="H127" s="261"/>
      <c r="I127" s="261"/>
      <c r="J127" s="261"/>
      <c r="K127" s="261"/>
      <c r="L127" s="3">
        <v>7</v>
      </c>
      <c r="M127" s="3">
        <v>13</v>
      </c>
      <c r="N127" s="3">
        <v>8</v>
      </c>
      <c r="O127" s="3">
        <f t="shared" si="1"/>
        <v>127</v>
      </c>
    </row>
    <row r="128" spans="1:15" ht="13.15" customHeight="1">
      <c r="B128" s="261"/>
      <c r="C128" s="261"/>
      <c r="D128" s="261"/>
      <c r="E128" s="261"/>
      <c r="F128" s="261"/>
      <c r="G128" s="261"/>
      <c r="H128" s="261"/>
      <c r="I128" s="261"/>
      <c r="J128" s="261"/>
      <c r="K128" s="261"/>
      <c r="O128" s="3">
        <f t="shared" si="1"/>
        <v>128</v>
      </c>
    </row>
    <row r="129" spans="1:23" ht="13.15" customHeight="1">
      <c r="B129" s="261"/>
      <c r="C129" s="261"/>
      <c r="D129" s="261"/>
      <c r="E129" s="261"/>
      <c r="F129" s="261"/>
      <c r="G129" s="261"/>
      <c r="H129" s="261"/>
      <c r="I129" s="261"/>
      <c r="J129" s="261"/>
      <c r="K129" s="261"/>
    </row>
    <row r="130" spans="1:23" ht="13.15" customHeight="1">
      <c r="B130" s="261"/>
      <c r="C130" s="261"/>
      <c r="D130" s="261"/>
      <c r="E130" s="261"/>
      <c r="F130" s="261"/>
      <c r="G130" s="261"/>
      <c r="H130" s="261"/>
      <c r="I130" s="261"/>
      <c r="J130" s="261"/>
      <c r="K130" s="261"/>
    </row>
    <row r="131" spans="1:23" ht="13.15" customHeight="1">
      <c r="B131" s="261"/>
      <c r="C131" s="261"/>
      <c r="D131" s="261"/>
      <c r="E131" s="261"/>
      <c r="F131" s="261"/>
      <c r="G131" s="261"/>
      <c r="H131" s="261"/>
      <c r="I131" s="261"/>
      <c r="J131" s="261"/>
      <c r="K131" s="261"/>
    </row>
    <row r="132" spans="1:23" ht="13.15" customHeight="1">
      <c r="B132" s="261"/>
      <c r="C132" s="261"/>
      <c r="D132" s="261"/>
      <c r="E132" s="261"/>
      <c r="F132" s="261"/>
      <c r="G132" s="261"/>
      <c r="H132" s="261"/>
      <c r="I132" s="261"/>
      <c r="J132" s="261"/>
      <c r="K132" s="261"/>
    </row>
    <row r="133" spans="1:23" ht="13.15" customHeight="1">
      <c r="B133" s="261"/>
      <c r="C133" s="261"/>
      <c r="D133" s="261"/>
      <c r="E133" s="261"/>
      <c r="F133" s="261"/>
      <c r="G133" s="261"/>
      <c r="H133" s="261"/>
      <c r="I133" s="261"/>
      <c r="J133" s="261"/>
      <c r="K133" s="261"/>
      <c r="O133" s="3">
        <f t="shared" si="1"/>
        <v>133</v>
      </c>
    </row>
    <row r="134" spans="1:23" ht="13.15" customHeight="1">
      <c r="B134" s="261"/>
      <c r="C134" s="261"/>
      <c r="D134" s="261"/>
      <c r="E134" s="261"/>
      <c r="F134" s="261"/>
      <c r="G134" s="261"/>
      <c r="H134" s="261"/>
      <c r="I134" s="261"/>
      <c r="J134" s="261"/>
      <c r="K134" s="261"/>
      <c r="O134" s="3">
        <f t="shared" si="1"/>
        <v>134</v>
      </c>
    </row>
    <row r="135" spans="1:23" ht="13.15" customHeight="1">
      <c r="O135" s="3">
        <f t="shared" si="1"/>
        <v>135</v>
      </c>
    </row>
    <row r="136" spans="1:23" ht="13.15" customHeight="1">
      <c r="B136" s="157" t="s">
        <v>356</v>
      </c>
      <c r="C136" s="259" t="s">
        <v>234</v>
      </c>
      <c r="D136" s="259"/>
      <c r="E136" s="259"/>
      <c r="F136" s="259"/>
      <c r="G136" s="259"/>
      <c r="H136" s="259"/>
      <c r="I136" s="259"/>
      <c r="J136" s="259"/>
      <c r="K136" s="259"/>
      <c r="O136" s="3">
        <f t="shared" si="1"/>
        <v>136</v>
      </c>
    </row>
    <row r="137" spans="1:23" ht="13.15" customHeight="1">
      <c r="C137" s="259"/>
      <c r="D137" s="259"/>
      <c r="E137" s="259"/>
      <c r="F137" s="259"/>
      <c r="G137" s="259"/>
      <c r="H137" s="259"/>
      <c r="I137" s="259"/>
      <c r="J137" s="259"/>
      <c r="K137" s="259"/>
      <c r="O137" s="3">
        <f t="shared" si="1"/>
        <v>137</v>
      </c>
    </row>
    <row r="138" spans="1:23" ht="13.15" customHeight="1">
      <c r="C138" s="259"/>
      <c r="D138" s="259"/>
      <c r="E138" s="259"/>
      <c r="F138" s="259"/>
      <c r="G138" s="259"/>
      <c r="H138" s="259"/>
      <c r="I138" s="259"/>
      <c r="J138" s="259"/>
      <c r="K138" s="259"/>
      <c r="O138" s="3">
        <f t="shared" si="1"/>
        <v>138</v>
      </c>
    </row>
    <row r="139" spans="1:23" ht="13.15" customHeight="1">
      <c r="C139" s="259"/>
      <c r="D139" s="259"/>
      <c r="E139" s="259"/>
      <c r="F139" s="259"/>
      <c r="G139" s="259"/>
      <c r="H139" s="259"/>
      <c r="I139" s="259"/>
      <c r="J139" s="259"/>
      <c r="K139" s="259"/>
      <c r="O139" s="3">
        <f t="shared" si="1"/>
        <v>139</v>
      </c>
    </row>
    <row r="140" spans="1:23" ht="13.15" customHeight="1">
      <c r="C140" s="152"/>
      <c r="D140" s="152"/>
      <c r="E140" s="152"/>
      <c r="F140" s="152"/>
      <c r="G140" s="152"/>
      <c r="H140" s="152"/>
      <c r="I140" s="152"/>
      <c r="J140" s="152"/>
      <c r="K140" s="152"/>
      <c r="O140" s="3">
        <f t="shared" si="1"/>
        <v>140</v>
      </c>
    </row>
    <row r="141" spans="1:23" ht="13.15" customHeight="1">
      <c r="A141" s="139" t="s">
        <v>363</v>
      </c>
      <c r="B141" s="257" t="s">
        <v>235</v>
      </c>
      <c r="C141" s="257"/>
      <c r="D141" s="257"/>
      <c r="E141" s="257"/>
      <c r="F141" s="257"/>
      <c r="G141" s="257"/>
      <c r="H141" s="257"/>
      <c r="I141" s="257"/>
      <c r="J141" s="257"/>
      <c r="K141" s="257"/>
      <c r="L141" s="3">
        <v>8</v>
      </c>
      <c r="M141" s="3">
        <v>14</v>
      </c>
      <c r="N141" s="3">
        <v>10</v>
      </c>
      <c r="O141" s="3">
        <f t="shared" si="1"/>
        <v>141</v>
      </c>
      <c r="S141" s="260"/>
      <c r="T141" s="260"/>
      <c r="U141" s="260"/>
      <c r="V141" s="260"/>
      <c r="W141" s="260"/>
    </row>
    <row r="142" spans="1:23" ht="13.15" customHeight="1">
      <c r="B142" s="257"/>
      <c r="C142" s="257"/>
      <c r="D142" s="257"/>
      <c r="E142" s="257"/>
      <c r="F142" s="257"/>
      <c r="G142" s="257"/>
      <c r="H142" s="257"/>
      <c r="I142" s="257"/>
      <c r="J142" s="257"/>
      <c r="K142" s="257"/>
      <c r="L142" s="93"/>
      <c r="M142" s="93"/>
      <c r="N142" s="93"/>
      <c r="O142" s="3">
        <f t="shared" si="1"/>
        <v>142</v>
      </c>
      <c r="S142" s="147"/>
      <c r="T142" s="147"/>
      <c r="U142" s="147"/>
      <c r="V142" s="147"/>
      <c r="W142" s="147"/>
    </row>
    <row r="143" spans="1:23" ht="13.15" customHeight="1">
      <c r="B143" s="257"/>
      <c r="C143" s="257"/>
      <c r="D143" s="257"/>
      <c r="E143" s="257"/>
      <c r="F143" s="257"/>
      <c r="G143" s="257"/>
      <c r="H143" s="257"/>
      <c r="I143" s="257"/>
      <c r="J143" s="257"/>
      <c r="K143" s="257"/>
      <c r="L143" s="94"/>
      <c r="M143" s="94"/>
      <c r="N143" s="94"/>
      <c r="O143" s="3">
        <f t="shared" si="1"/>
        <v>143</v>
      </c>
      <c r="P143" s="95"/>
      <c r="Q143" s="95"/>
      <c r="S143" s="147"/>
      <c r="T143" s="147"/>
      <c r="U143" s="147"/>
      <c r="V143" s="147"/>
      <c r="W143" s="147"/>
    </row>
    <row r="144" spans="1:23" ht="13.15" customHeight="1">
      <c r="B144" s="257"/>
      <c r="C144" s="257"/>
      <c r="D144" s="257"/>
      <c r="E144" s="257"/>
      <c r="F144" s="257"/>
      <c r="G144" s="257"/>
      <c r="H144" s="257"/>
      <c r="I144" s="257"/>
      <c r="J144" s="257"/>
      <c r="K144" s="257"/>
      <c r="L144" s="94"/>
      <c r="M144" s="94"/>
      <c r="N144" s="94"/>
      <c r="O144" s="3">
        <f t="shared" si="1"/>
        <v>144</v>
      </c>
      <c r="P144" s="95"/>
      <c r="Q144" s="95"/>
      <c r="S144" s="147"/>
      <c r="T144" s="147"/>
      <c r="U144" s="147"/>
      <c r="V144" s="147"/>
      <c r="W144" s="147"/>
    </row>
    <row r="145" spans="1:23" ht="13.15" customHeight="1">
      <c r="B145" s="257"/>
      <c r="C145" s="257"/>
      <c r="D145" s="257"/>
      <c r="E145" s="257"/>
      <c r="F145" s="257"/>
      <c r="G145" s="257"/>
      <c r="H145" s="257"/>
      <c r="I145" s="257"/>
      <c r="J145" s="257"/>
      <c r="K145" s="257"/>
      <c r="L145" s="94"/>
      <c r="M145" s="94"/>
      <c r="N145" s="94"/>
      <c r="O145" s="3">
        <f t="shared" si="1"/>
        <v>145</v>
      </c>
      <c r="P145" s="95"/>
      <c r="Q145" s="95"/>
      <c r="S145" s="147"/>
      <c r="T145" s="147"/>
      <c r="U145" s="147"/>
      <c r="V145" s="147"/>
      <c r="W145" s="147"/>
    </row>
    <row r="146" spans="1:23" ht="13.15" customHeight="1">
      <c r="B146" s="257"/>
      <c r="C146" s="257"/>
      <c r="D146" s="257"/>
      <c r="E146" s="257"/>
      <c r="F146" s="257"/>
      <c r="G146" s="257"/>
      <c r="H146" s="257"/>
      <c r="I146" s="257"/>
      <c r="J146" s="257"/>
      <c r="K146" s="257"/>
      <c r="L146" s="94"/>
      <c r="M146" s="94"/>
      <c r="N146" s="94"/>
      <c r="O146" s="3">
        <f t="shared" si="1"/>
        <v>146</v>
      </c>
      <c r="P146" s="95"/>
      <c r="Q146" s="95"/>
      <c r="S146" s="147"/>
      <c r="T146" s="147"/>
      <c r="U146" s="147"/>
      <c r="V146" s="147"/>
      <c r="W146" s="147"/>
    </row>
    <row r="147" spans="1:23" ht="13.15" customHeight="1">
      <c r="B147" s="257"/>
      <c r="C147" s="257"/>
      <c r="D147" s="257"/>
      <c r="E147" s="257"/>
      <c r="F147" s="257"/>
      <c r="G147" s="257"/>
      <c r="H147" s="257"/>
      <c r="I147" s="257"/>
      <c r="J147" s="257"/>
      <c r="K147" s="257"/>
      <c r="L147" s="94"/>
      <c r="M147" s="94"/>
      <c r="N147" s="94"/>
      <c r="O147" s="3">
        <f t="shared" si="1"/>
        <v>147</v>
      </c>
      <c r="P147" s="95"/>
      <c r="Q147" s="95"/>
      <c r="S147" s="147"/>
      <c r="T147" s="147"/>
      <c r="U147" s="147"/>
      <c r="V147" s="147"/>
      <c r="W147" s="147"/>
    </row>
    <row r="148" spans="1:23" ht="13.15" customHeight="1">
      <c r="B148" s="257"/>
      <c r="C148" s="257"/>
      <c r="D148" s="257"/>
      <c r="E148" s="257"/>
      <c r="F148" s="257"/>
      <c r="G148" s="257"/>
      <c r="H148" s="257"/>
      <c r="I148" s="257"/>
      <c r="J148" s="257"/>
      <c r="K148" s="257"/>
      <c r="L148" s="94"/>
      <c r="M148" s="94"/>
      <c r="N148" s="94"/>
      <c r="O148" s="3">
        <f t="shared" si="1"/>
        <v>148</v>
      </c>
      <c r="P148" s="95"/>
      <c r="Q148" s="95"/>
      <c r="S148" s="147"/>
      <c r="T148" s="147"/>
      <c r="U148" s="147"/>
      <c r="V148" s="147"/>
      <c r="W148" s="147"/>
    </row>
    <row r="149" spans="1:23" ht="13.15" customHeight="1">
      <c r="B149" s="257"/>
      <c r="C149" s="257"/>
      <c r="D149" s="257"/>
      <c r="E149" s="257"/>
      <c r="F149" s="257"/>
      <c r="G149" s="257"/>
      <c r="H149" s="257"/>
      <c r="I149" s="257"/>
      <c r="J149" s="257"/>
      <c r="K149" s="257"/>
      <c r="L149" s="94"/>
      <c r="M149" s="94"/>
      <c r="N149" s="94"/>
      <c r="O149" s="3">
        <f t="shared" si="1"/>
        <v>149</v>
      </c>
      <c r="P149" s="95"/>
      <c r="Q149" s="95"/>
      <c r="S149" s="147"/>
      <c r="T149" s="147"/>
      <c r="U149" s="147"/>
      <c r="V149" s="147"/>
      <c r="W149" s="147"/>
    </row>
    <row r="150" spans="1:23" ht="13.15" customHeight="1">
      <c r="B150" s="257"/>
      <c r="C150" s="257"/>
      <c r="D150" s="257"/>
      <c r="E150" s="257"/>
      <c r="F150" s="257"/>
      <c r="G150" s="257"/>
      <c r="H150" s="257"/>
      <c r="I150" s="257"/>
      <c r="J150" s="257"/>
      <c r="K150" s="257"/>
      <c r="L150" s="94"/>
      <c r="M150" s="94"/>
      <c r="N150" s="94"/>
      <c r="O150" s="3">
        <f t="shared" si="1"/>
        <v>150</v>
      </c>
      <c r="P150" s="95"/>
      <c r="Q150" s="95"/>
      <c r="S150" s="147"/>
      <c r="T150" s="147"/>
      <c r="U150" s="147"/>
      <c r="V150" s="147"/>
      <c r="W150" s="147"/>
    </row>
    <row r="151" spans="1:23" ht="13.15" customHeight="1">
      <c r="B151" s="148"/>
      <c r="C151" s="148"/>
      <c r="D151" s="148"/>
      <c r="E151" s="148"/>
      <c r="F151" s="148"/>
      <c r="G151" s="148"/>
      <c r="H151" s="148"/>
      <c r="I151" s="148"/>
      <c r="J151" s="148"/>
      <c r="K151" s="148"/>
      <c r="L151" s="94"/>
      <c r="M151" s="94"/>
      <c r="N151" s="94"/>
      <c r="O151" s="3">
        <f t="shared" si="1"/>
        <v>151</v>
      </c>
      <c r="P151" s="95"/>
      <c r="Q151" s="95"/>
      <c r="S151" s="147"/>
      <c r="T151" s="147"/>
      <c r="U151" s="147"/>
      <c r="V151" s="147"/>
      <c r="W151" s="147"/>
    </row>
    <row r="152" spans="1:23" ht="13.15" customHeight="1">
      <c r="B152" s="157" t="s">
        <v>356</v>
      </c>
      <c r="C152" s="257" t="s">
        <v>236</v>
      </c>
      <c r="D152" s="257"/>
      <c r="E152" s="257"/>
      <c r="F152" s="257"/>
      <c r="G152" s="257"/>
      <c r="H152" s="257"/>
      <c r="I152" s="257"/>
      <c r="J152" s="257"/>
      <c r="K152" s="257"/>
      <c r="L152" s="94"/>
      <c r="M152" s="94"/>
      <c r="N152" s="94"/>
      <c r="O152" s="3">
        <f t="shared" si="1"/>
        <v>152</v>
      </c>
      <c r="P152" s="95"/>
      <c r="Q152" s="95"/>
      <c r="S152" s="147"/>
      <c r="T152" s="147"/>
      <c r="U152" s="147"/>
      <c r="V152" s="147"/>
      <c r="W152" s="147"/>
    </row>
    <row r="153" spans="1:23" ht="13.15" customHeight="1">
      <c r="B153" s="148"/>
      <c r="C153" s="257"/>
      <c r="D153" s="257"/>
      <c r="E153" s="257"/>
      <c r="F153" s="257"/>
      <c r="G153" s="257"/>
      <c r="H153" s="257"/>
      <c r="I153" s="257"/>
      <c r="J153" s="257"/>
      <c r="K153" s="257"/>
      <c r="L153" s="94"/>
      <c r="M153" s="94"/>
      <c r="N153" s="94"/>
      <c r="O153" s="3">
        <f t="shared" ref="O153:O180" si="2">ROW(M153)</f>
        <v>153</v>
      </c>
      <c r="P153" s="95"/>
      <c r="Q153" s="95"/>
      <c r="S153" s="147"/>
      <c r="T153" s="147"/>
      <c r="U153" s="147"/>
      <c r="V153" s="147"/>
      <c r="W153" s="147"/>
    </row>
    <row r="154" spans="1:23" ht="13.15" customHeight="1">
      <c r="B154" s="148"/>
      <c r="C154" s="257"/>
      <c r="D154" s="257"/>
      <c r="E154" s="257"/>
      <c r="F154" s="257"/>
      <c r="G154" s="257"/>
      <c r="H154" s="257"/>
      <c r="I154" s="257"/>
      <c r="J154" s="257"/>
      <c r="K154" s="257"/>
      <c r="L154" s="94"/>
      <c r="M154" s="94"/>
      <c r="N154" s="94"/>
      <c r="O154" s="3">
        <f t="shared" si="2"/>
        <v>154</v>
      </c>
      <c r="P154" s="95"/>
      <c r="Q154" s="95"/>
      <c r="S154" s="147"/>
      <c r="T154" s="147"/>
      <c r="U154" s="147"/>
      <c r="V154" s="147"/>
      <c r="W154" s="147"/>
    </row>
    <row r="155" spans="1:23" ht="13.15" customHeight="1">
      <c r="L155" s="94"/>
      <c r="M155" s="94"/>
      <c r="N155" s="94"/>
      <c r="O155" s="3">
        <f t="shared" si="2"/>
        <v>155</v>
      </c>
    </row>
    <row r="156" spans="1:23" ht="13.15" customHeight="1">
      <c r="A156" s="139" t="s">
        <v>364</v>
      </c>
      <c r="B156" s="255" t="s">
        <v>237</v>
      </c>
      <c r="C156" s="255"/>
      <c r="D156" s="255"/>
      <c r="E156" s="255"/>
      <c r="F156" s="255"/>
      <c r="G156" s="255"/>
      <c r="H156" s="255"/>
      <c r="I156" s="255"/>
      <c r="J156" s="255"/>
      <c r="K156" s="255"/>
      <c r="L156" s="3">
        <v>9</v>
      </c>
      <c r="M156" s="3">
        <v>25</v>
      </c>
      <c r="N156" s="3">
        <v>9</v>
      </c>
      <c r="O156" s="3">
        <f t="shared" si="2"/>
        <v>156</v>
      </c>
    </row>
    <row r="157" spans="1:23" ht="13.15" customHeight="1">
      <c r="B157" s="255"/>
      <c r="C157" s="255"/>
      <c r="D157" s="255"/>
      <c r="E157" s="255"/>
      <c r="F157" s="255"/>
      <c r="G157" s="255"/>
      <c r="H157" s="255"/>
      <c r="I157" s="255"/>
      <c r="J157" s="255"/>
      <c r="K157" s="255"/>
      <c r="O157" s="3">
        <f t="shared" si="2"/>
        <v>157</v>
      </c>
    </row>
    <row r="158" spans="1:23" ht="13.15" customHeight="1">
      <c r="B158" s="255"/>
      <c r="C158" s="255"/>
      <c r="D158" s="255"/>
      <c r="E158" s="255"/>
      <c r="F158" s="255"/>
      <c r="G158" s="255"/>
      <c r="H158" s="255"/>
      <c r="I158" s="255"/>
      <c r="J158" s="255"/>
      <c r="K158" s="255"/>
      <c r="O158" s="3">
        <f t="shared" si="2"/>
        <v>158</v>
      </c>
    </row>
    <row r="159" spans="1:23" ht="13.15" customHeight="1">
      <c r="B159" s="255"/>
      <c r="C159" s="255"/>
      <c r="D159" s="255"/>
      <c r="E159" s="255"/>
      <c r="F159" s="255"/>
      <c r="G159" s="255"/>
      <c r="H159" s="255"/>
      <c r="I159" s="255"/>
      <c r="J159" s="255"/>
      <c r="K159" s="255"/>
      <c r="O159" s="3">
        <f t="shared" si="2"/>
        <v>159</v>
      </c>
    </row>
    <row r="160" spans="1:23" ht="13.15" customHeight="1">
      <c r="B160" s="255"/>
      <c r="C160" s="255"/>
      <c r="D160" s="255"/>
      <c r="E160" s="255"/>
      <c r="F160" s="255"/>
      <c r="G160" s="255"/>
      <c r="H160" s="255"/>
      <c r="I160" s="255"/>
      <c r="J160" s="255"/>
      <c r="K160" s="255"/>
      <c r="O160" s="3">
        <f t="shared" si="2"/>
        <v>160</v>
      </c>
    </row>
    <row r="161" spans="2:15" ht="13.15" customHeight="1">
      <c r="B161" s="255"/>
      <c r="C161" s="255"/>
      <c r="D161" s="255"/>
      <c r="E161" s="255"/>
      <c r="F161" s="255"/>
      <c r="G161" s="255"/>
      <c r="H161" s="255"/>
      <c r="I161" s="255"/>
      <c r="J161" s="255"/>
      <c r="K161" s="255"/>
      <c r="O161" s="3">
        <f t="shared" si="2"/>
        <v>161</v>
      </c>
    </row>
    <row r="162" spans="2:15" ht="13.15" customHeight="1">
      <c r="B162" s="255"/>
      <c r="C162" s="255"/>
      <c r="D162" s="255"/>
      <c r="E162" s="255"/>
      <c r="F162" s="255"/>
      <c r="G162" s="255"/>
      <c r="H162" s="255"/>
      <c r="I162" s="255"/>
      <c r="J162" s="255"/>
      <c r="K162" s="255"/>
      <c r="O162" s="3">
        <f t="shared" si="2"/>
        <v>162</v>
      </c>
    </row>
    <row r="163" spans="2:15" ht="13.15" customHeight="1">
      <c r="B163" s="255"/>
      <c r="C163" s="255"/>
      <c r="D163" s="255"/>
      <c r="E163" s="255"/>
      <c r="F163" s="255"/>
      <c r="G163" s="255"/>
      <c r="H163" s="255"/>
      <c r="I163" s="255"/>
      <c r="J163" s="255"/>
      <c r="K163" s="255"/>
      <c r="O163" s="3">
        <f t="shared" si="2"/>
        <v>163</v>
      </c>
    </row>
    <row r="164" spans="2:15" ht="13.15" customHeight="1">
      <c r="B164" s="255"/>
      <c r="C164" s="255"/>
      <c r="D164" s="255"/>
      <c r="E164" s="255"/>
      <c r="F164" s="255"/>
      <c r="G164" s="255"/>
      <c r="H164" s="255"/>
      <c r="I164" s="255"/>
      <c r="J164" s="255"/>
      <c r="K164" s="255"/>
      <c r="O164" s="3">
        <f t="shared" si="2"/>
        <v>164</v>
      </c>
    </row>
    <row r="165" spans="2:15" ht="13.15" customHeight="1">
      <c r="O165" s="3">
        <f t="shared" si="2"/>
        <v>165</v>
      </c>
    </row>
    <row r="166" spans="2:15" ht="13.15" customHeight="1">
      <c r="B166" s="157" t="s">
        <v>356</v>
      </c>
      <c r="C166" s="256" t="s">
        <v>238</v>
      </c>
      <c r="D166" s="256"/>
      <c r="E166" s="256"/>
      <c r="F166" s="256"/>
      <c r="G166" s="256"/>
      <c r="H166" s="256"/>
      <c r="I166" s="256"/>
      <c r="J166" s="256"/>
      <c r="K166" s="256"/>
      <c r="O166" s="3">
        <f t="shared" si="2"/>
        <v>166</v>
      </c>
    </row>
    <row r="167" spans="2:15" ht="13.15" customHeight="1">
      <c r="C167" s="256"/>
      <c r="D167" s="256"/>
      <c r="E167" s="256"/>
      <c r="F167" s="256"/>
      <c r="G167" s="256"/>
      <c r="H167" s="256"/>
      <c r="I167" s="256"/>
      <c r="J167" s="256"/>
      <c r="K167" s="256"/>
      <c r="O167" s="3">
        <f t="shared" si="2"/>
        <v>167</v>
      </c>
    </row>
    <row r="168" spans="2:15" ht="13.15" customHeight="1">
      <c r="C168" s="256"/>
      <c r="D168" s="256"/>
      <c r="E168" s="256"/>
      <c r="F168" s="256"/>
      <c r="G168" s="256"/>
      <c r="H168" s="256"/>
      <c r="I168" s="256"/>
      <c r="J168" s="256"/>
      <c r="K168" s="256"/>
      <c r="O168" s="3">
        <f t="shared" si="2"/>
        <v>168</v>
      </c>
    </row>
    <row r="169" spans="2:15" ht="13.15" customHeight="1">
      <c r="C169" s="256"/>
      <c r="D169" s="256"/>
      <c r="E169" s="256"/>
      <c r="F169" s="256"/>
      <c r="G169" s="256"/>
      <c r="H169" s="256"/>
      <c r="I169" s="256"/>
      <c r="J169" s="256"/>
      <c r="K169" s="256"/>
      <c r="O169" s="3">
        <f t="shared" si="2"/>
        <v>169</v>
      </c>
    </row>
    <row r="170" spans="2:15" ht="13.15" customHeight="1">
      <c r="C170" s="256"/>
      <c r="D170" s="256"/>
      <c r="E170" s="256"/>
      <c r="F170" s="256"/>
      <c r="G170" s="256"/>
      <c r="H170" s="256"/>
      <c r="I170" s="256"/>
      <c r="J170" s="256"/>
      <c r="K170" s="256"/>
      <c r="O170" s="3">
        <f t="shared" si="2"/>
        <v>170</v>
      </c>
    </row>
    <row r="171" spans="2:15" ht="13.15" customHeight="1">
      <c r="C171" s="256"/>
      <c r="D171" s="256"/>
      <c r="E171" s="256"/>
      <c r="F171" s="256"/>
      <c r="G171" s="256"/>
      <c r="H171" s="256"/>
      <c r="I171" s="256"/>
      <c r="J171" s="256"/>
      <c r="K171" s="256"/>
      <c r="O171" s="3">
        <f t="shared" si="2"/>
        <v>171</v>
      </c>
    </row>
    <row r="172" spans="2:15" ht="13.15" customHeight="1">
      <c r="C172" s="145"/>
      <c r="D172" s="145"/>
      <c r="E172" s="145"/>
      <c r="F172" s="145"/>
      <c r="G172" s="145"/>
      <c r="H172" s="145"/>
      <c r="I172" s="145"/>
      <c r="J172" s="145"/>
      <c r="K172" s="145"/>
      <c r="O172" s="3">
        <f t="shared" si="2"/>
        <v>172</v>
      </c>
    </row>
    <row r="173" spans="2:15" ht="13.15" customHeight="1">
      <c r="B173" s="157" t="s">
        <v>356</v>
      </c>
      <c r="C173" s="256" t="s">
        <v>183</v>
      </c>
      <c r="D173" s="256"/>
      <c r="E173" s="256"/>
      <c r="F173" s="256"/>
      <c r="G173" s="256"/>
      <c r="H173" s="256"/>
      <c r="I173" s="256"/>
      <c r="J173" s="256"/>
      <c r="K173" s="256"/>
      <c r="O173" s="3">
        <f t="shared" si="2"/>
        <v>173</v>
      </c>
    </row>
    <row r="174" spans="2:15" ht="13.15" customHeight="1">
      <c r="C174" s="256"/>
      <c r="D174" s="256"/>
      <c r="E174" s="256"/>
      <c r="F174" s="256"/>
      <c r="G174" s="256"/>
      <c r="H174" s="256"/>
      <c r="I174" s="256"/>
      <c r="J174" s="256"/>
      <c r="K174" s="256"/>
      <c r="O174" s="3">
        <f t="shared" si="2"/>
        <v>174</v>
      </c>
    </row>
    <row r="175" spans="2:15" ht="13.15" customHeight="1">
      <c r="C175" s="256"/>
      <c r="D175" s="256"/>
      <c r="E175" s="256"/>
      <c r="F175" s="256"/>
      <c r="G175" s="256"/>
      <c r="H175" s="256"/>
      <c r="I175" s="256"/>
      <c r="J175" s="256"/>
      <c r="K175" s="256"/>
      <c r="O175" s="3">
        <f t="shared" si="2"/>
        <v>175</v>
      </c>
    </row>
    <row r="176" spans="2:15" ht="13.15" customHeight="1">
      <c r="C176" s="256"/>
      <c r="D176" s="256"/>
      <c r="E176" s="256"/>
      <c r="F176" s="256"/>
      <c r="G176" s="256"/>
      <c r="H176" s="256"/>
      <c r="I176" s="256"/>
      <c r="J176" s="256"/>
      <c r="K176" s="256"/>
      <c r="O176" s="3">
        <f t="shared" si="2"/>
        <v>176</v>
      </c>
    </row>
    <row r="177" spans="1:15" ht="13.15" customHeight="1">
      <c r="C177" s="256"/>
      <c r="D177" s="256"/>
      <c r="E177" s="256"/>
      <c r="F177" s="256"/>
      <c r="G177" s="256"/>
      <c r="H177" s="256"/>
      <c r="I177" s="256"/>
      <c r="J177" s="256"/>
      <c r="K177" s="256"/>
      <c r="O177" s="3">
        <f t="shared" si="2"/>
        <v>177</v>
      </c>
    </row>
    <row r="178" spans="1:15" ht="13.15" customHeight="1">
      <c r="C178" s="256"/>
      <c r="D178" s="256"/>
      <c r="E178" s="256"/>
      <c r="F178" s="256"/>
      <c r="G178" s="256"/>
      <c r="H178" s="256"/>
      <c r="I178" s="256"/>
      <c r="J178" s="256"/>
      <c r="K178" s="256"/>
      <c r="O178" s="3">
        <f t="shared" si="2"/>
        <v>178</v>
      </c>
    </row>
    <row r="179" spans="1:15" ht="13.15" customHeight="1">
      <c r="C179" s="256"/>
      <c r="D179" s="256"/>
      <c r="E179" s="256"/>
      <c r="F179" s="256"/>
      <c r="G179" s="256"/>
      <c r="H179" s="256"/>
      <c r="I179" s="256"/>
      <c r="J179" s="256"/>
      <c r="K179" s="256"/>
      <c r="O179" s="3">
        <f t="shared" si="2"/>
        <v>179</v>
      </c>
    </row>
    <row r="180" spans="1:15" ht="13.15" customHeight="1">
      <c r="C180" s="256"/>
      <c r="D180" s="256"/>
      <c r="E180" s="256"/>
      <c r="F180" s="256"/>
      <c r="G180" s="256"/>
      <c r="H180" s="256"/>
      <c r="I180" s="256"/>
      <c r="J180" s="256"/>
      <c r="K180" s="256"/>
      <c r="O180" s="3">
        <f t="shared" si="2"/>
        <v>180</v>
      </c>
    </row>
    <row r="181" spans="1:15" ht="13.15" customHeight="1">
      <c r="C181" s="88"/>
      <c r="D181" s="88"/>
      <c r="E181" s="88"/>
      <c r="F181" s="88"/>
      <c r="G181" s="88"/>
      <c r="H181" s="88"/>
      <c r="I181" s="88"/>
      <c r="J181" s="88"/>
      <c r="K181" s="88"/>
      <c r="O181" s="3">
        <f t="shared" ref="O181:O187" si="3">ROW(M181)</f>
        <v>181</v>
      </c>
    </row>
    <row r="182" spans="1:15" ht="13.15" customHeight="1">
      <c r="A182" s="139" t="s">
        <v>365</v>
      </c>
      <c r="B182" s="255" t="s">
        <v>239</v>
      </c>
      <c r="C182" s="255"/>
      <c r="D182" s="255"/>
      <c r="E182" s="255"/>
      <c r="F182" s="255"/>
      <c r="G182" s="255"/>
      <c r="H182" s="255"/>
      <c r="I182" s="255"/>
      <c r="J182" s="255"/>
      <c r="K182" s="255"/>
      <c r="L182" s="3">
        <v>10</v>
      </c>
      <c r="M182" s="3">
        <v>21</v>
      </c>
      <c r="N182" s="3">
        <v>4</v>
      </c>
      <c r="O182" s="3">
        <f t="shared" si="3"/>
        <v>182</v>
      </c>
    </row>
    <row r="183" spans="1:15" ht="13.15" customHeight="1">
      <c r="B183" s="255"/>
      <c r="C183" s="255"/>
      <c r="D183" s="255"/>
      <c r="E183" s="255"/>
      <c r="F183" s="255"/>
      <c r="G183" s="255"/>
      <c r="H183" s="255"/>
      <c r="I183" s="255"/>
      <c r="J183" s="255"/>
      <c r="K183" s="255"/>
      <c r="M183" s="3" t="s">
        <v>217</v>
      </c>
      <c r="O183" s="3">
        <f t="shared" si="3"/>
        <v>183</v>
      </c>
    </row>
    <row r="184" spans="1:15" ht="13.15" customHeight="1">
      <c r="B184" s="255"/>
      <c r="C184" s="255"/>
      <c r="D184" s="255"/>
      <c r="E184" s="255"/>
      <c r="F184" s="255"/>
      <c r="G184" s="255"/>
      <c r="H184" s="255"/>
      <c r="I184" s="255"/>
      <c r="J184" s="255"/>
      <c r="K184" s="255"/>
      <c r="M184" s="3" t="s">
        <v>217</v>
      </c>
      <c r="O184" s="3">
        <f t="shared" si="3"/>
        <v>184</v>
      </c>
    </row>
    <row r="185" spans="1:15" ht="13.15" customHeight="1">
      <c r="B185" s="255"/>
      <c r="C185" s="255"/>
      <c r="D185" s="255"/>
      <c r="E185" s="255"/>
      <c r="F185" s="255"/>
      <c r="G185" s="255"/>
      <c r="H185" s="255"/>
      <c r="I185" s="255"/>
      <c r="J185" s="255"/>
      <c r="K185" s="255"/>
      <c r="M185" s="3" t="s">
        <v>217</v>
      </c>
      <c r="O185" s="3">
        <f t="shared" si="3"/>
        <v>185</v>
      </c>
    </row>
    <row r="186" spans="1:15" ht="13.15" customHeight="1">
      <c r="B186" s="146"/>
      <c r="C186" s="146"/>
      <c r="D186" s="146"/>
      <c r="E186" s="146"/>
      <c r="F186" s="146"/>
      <c r="G186" s="146"/>
      <c r="H186" s="146"/>
      <c r="I186" s="146"/>
      <c r="J186" s="146"/>
      <c r="K186" s="146"/>
      <c r="M186" s="3" t="s">
        <v>217</v>
      </c>
      <c r="O186" s="3">
        <f t="shared" si="3"/>
        <v>186</v>
      </c>
    </row>
    <row r="187" spans="1:15" ht="13.15" customHeight="1">
      <c r="B187" s="157" t="s">
        <v>356</v>
      </c>
      <c r="C187" s="256" t="s">
        <v>240</v>
      </c>
      <c r="D187" s="256"/>
      <c r="E187" s="256"/>
      <c r="F187" s="256"/>
      <c r="G187" s="256"/>
      <c r="H187" s="256"/>
      <c r="I187" s="256"/>
      <c r="J187" s="256"/>
      <c r="K187" s="256"/>
      <c r="M187" s="3" t="s">
        <v>217</v>
      </c>
      <c r="O187" s="3">
        <f t="shared" si="3"/>
        <v>187</v>
      </c>
    </row>
    <row r="188" spans="1:15" ht="13.15" customHeight="1">
      <c r="C188" s="256"/>
      <c r="D188" s="256"/>
      <c r="E188" s="256"/>
      <c r="F188" s="256"/>
      <c r="G188" s="256"/>
      <c r="H188" s="256"/>
      <c r="I188" s="256"/>
      <c r="J188" s="256"/>
      <c r="K188" s="256"/>
      <c r="M188" s="3" t="s">
        <v>217</v>
      </c>
      <c r="O188" s="3">
        <f t="shared" ref="O188:O250" si="4">ROW(M188)</f>
        <v>188</v>
      </c>
    </row>
    <row r="189" spans="1:15" ht="13.15" customHeight="1">
      <c r="B189" s="92"/>
      <c r="C189" s="256"/>
      <c r="D189" s="256"/>
      <c r="E189" s="256"/>
      <c r="F189" s="256"/>
      <c r="G189" s="256"/>
      <c r="H189" s="256"/>
      <c r="I189" s="256"/>
      <c r="J189" s="256"/>
      <c r="K189" s="256"/>
      <c r="M189" s="3" t="s">
        <v>217</v>
      </c>
      <c r="O189" s="3">
        <f t="shared" si="4"/>
        <v>189</v>
      </c>
    </row>
    <row r="190" spans="1:15" ht="13.15" customHeight="1">
      <c r="B190" s="92"/>
      <c r="C190" s="256"/>
      <c r="D190" s="256"/>
      <c r="E190" s="256"/>
      <c r="F190" s="256"/>
      <c r="G190" s="256"/>
      <c r="H190" s="256"/>
      <c r="I190" s="256"/>
      <c r="J190" s="256"/>
      <c r="K190" s="256"/>
      <c r="M190" s="3" t="s">
        <v>217</v>
      </c>
      <c r="O190" s="3">
        <f t="shared" si="4"/>
        <v>190</v>
      </c>
    </row>
    <row r="191" spans="1:15" ht="13.15" customHeight="1">
      <c r="B191" s="92"/>
      <c r="C191" s="256"/>
      <c r="D191" s="256"/>
      <c r="E191" s="256"/>
      <c r="F191" s="256"/>
      <c r="G191" s="256"/>
      <c r="H191" s="256"/>
      <c r="I191" s="256"/>
      <c r="J191" s="256"/>
      <c r="K191" s="256"/>
      <c r="M191" s="3" t="s">
        <v>217</v>
      </c>
      <c r="O191" s="3">
        <f t="shared" si="4"/>
        <v>191</v>
      </c>
    </row>
    <row r="192" spans="1:15" ht="13.15" customHeight="1">
      <c r="C192" s="256"/>
      <c r="D192" s="256"/>
      <c r="E192" s="256"/>
      <c r="F192" s="256"/>
      <c r="G192" s="256"/>
      <c r="H192" s="256"/>
      <c r="I192" s="256"/>
      <c r="J192" s="256"/>
      <c r="K192" s="256"/>
      <c r="M192" s="3" t="s">
        <v>217</v>
      </c>
      <c r="O192" s="3">
        <f t="shared" si="4"/>
        <v>192</v>
      </c>
    </row>
    <row r="193" spans="1:15" ht="13.15" customHeight="1">
      <c r="C193" s="256"/>
      <c r="D193" s="256"/>
      <c r="E193" s="256"/>
      <c r="F193" s="256"/>
      <c r="G193" s="256"/>
      <c r="H193" s="256"/>
      <c r="I193" s="256"/>
      <c r="J193" s="256"/>
      <c r="K193" s="256"/>
      <c r="M193" s="3" t="s">
        <v>217</v>
      </c>
      <c r="O193" s="3">
        <f t="shared" si="4"/>
        <v>193</v>
      </c>
    </row>
    <row r="194" spans="1:15" ht="13.15" customHeight="1">
      <c r="C194" s="256"/>
      <c r="D194" s="256"/>
      <c r="E194" s="256"/>
      <c r="F194" s="256"/>
      <c r="G194" s="256"/>
      <c r="H194" s="256"/>
      <c r="I194" s="256"/>
      <c r="J194" s="256"/>
      <c r="K194" s="256"/>
      <c r="M194" s="3" t="s">
        <v>217</v>
      </c>
      <c r="O194" s="3">
        <f t="shared" si="4"/>
        <v>194</v>
      </c>
    </row>
    <row r="195" spans="1:15" ht="13.15" customHeight="1">
      <c r="C195" s="146"/>
      <c r="D195" s="146"/>
      <c r="E195" s="146"/>
      <c r="F195" s="146"/>
      <c r="G195" s="146"/>
      <c r="H195" s="146"/>
      <c r="I195" s="146"/>
      <c r="J195" s="146"/>
      <c r="K195" s="146"/>
      <c r="M195" s="3" t="s">
        <v>217</v>
      </c>
      <c r="O195" s="3">
        <f t="shared" si="4"/>
        <v>195</v>
      </c>
    </row>
    <row r="196" spans="1:15" ht="13.15" customHeight="1">
      <c r="B196" s="157" t="s">
        <v>356</v>
      </c>
      <c r="C196" s="256" t="s">
        <v>241</v>
      </c>
      <c r="D196" s="256"/>
      <c r="E196" s="256"/>
      <c r="F196" s="256"/>
      <c r="G196" s="256"/>
      <c r="H196" s="256"/>
      <c r="I196" s="256"/>
      <c r="J196" s="256"/>
      <c r="K196" s="256"/>
      <c r="M196" s="3" t="s">
        <v>217</v>
      </c>
      <c r="O196" s="3">
        <f t="shared" si="4"/>
        <v>196</v>
      </c>
    </row>
    <row r="197" spans="1:15" ht="13.15" customHeight="1">
      <c r="C197" s="256"/>
      <c r="D197" s="256"/>
      <c r="E197" s="256"/>
      <c r="F197" s="256"/>
      <c r="G197" s="256"/>
      <c r="H197" s="256"/>
      <c r="I197" s="256"/>
      <c r="J197" s="256"/>
      <c r="K197" s="256"/>
      <c r="M197" s="3" t="s">
        <v>217</v>
      </c>
      <c r="O197" s="3">
        <f t="shared" si="4"/>
        <v>197</v>
      </c>
    </row>
    <row r="198" spans="1:15" ht="13.15" customHeight="1">
      <c r="C198" s="256"/>
      <c r="D198" s="256"/>
      <c r="E198" s="256"/>
      <c r="F198" s="256"/>
      <c r="G198" s="256"/>
      <c r="H198" s="256"/>
      <c r="I198" s="256"/>
      <c r="J198" s="256"/>
      <c r="K198" s="256"/>
      <c r="L198" s="84"/>
      <c r="M198" s="3" t="s">
        <v>217</v>
      </c>
      <c r="O198" s="3">
        <f t="shared" si="4"/>
        <v>198</v>
      </c>
    </row>
    <row r="199" spans="1:15" ht="13.15" customHeight="1">
      <c r="C199" s="256"/>
      <c r="D199" s="256"/>
      <c r="E199" s="256"/>
      <c r="F199" s="256"/>
      <c r="G199" s="256"/>
      <c r="H199" s="256"/>
      <c r="I199" s="256"/>
      <c r="J199" s="256"/>
      <c r="K199" s="256"/>
      <c r="M199" s="3" t="s">
        <v>217</v>
      </c>
      <c r="O199" s="3">
        <f t="shared" si="4"/>
        <v>199</v>
      </c>
    </row>
    <row r="200" spans="1:15" ht="13.15" customHeight="1">
      <c r="C200" s="256"/>
      <c r="D200" s="256"/>
      <c r="E200" s="256"/>
      <c r="F200" s="256"/>
      <c r="G200" s="256"/>
      <c r="H200" s="256"/>
      <c r="I200" s="256"/>
      <c r="J200" s="256"/>
      <c r="K200" s="256"/>
      <c r="M200" s="3" t="s">
        <v>217</v>
      </c>
      <c r="O200" s="3">
        <f t="shared" si="4"/>
        <v>200</v>
      </c>
    </row>
    <row r="201" spans="1:15" ht="13.15" customHeight="1">
      <c r="C201" s="256"/>
      <c r="D201" s="256"/>
      <c r="E201" s="256"/>
      <c r="F201" s="256"/>
      <c r="G201" s="256"/>
      <c r="H201" s="256"/>
      <c r="I201" s="256"/>
      <c r="J201" s="256"/>
      <c r="K201" s="256"/>
      <c r="M201" s="3" t="s">
        <v>217</v>
      </c>
      <c r="O201" s="3">
        <f t="shared" si="4"/>
        <v>201</v>
      </c>
    </row>
    <row r="202" spans="1:15" ht="13.15" customHeight="1">
      <c r="C202" s="256"/>
      <c r="D202" s="256"/>
      <c r="E202" s="256"/>
      <c r="F202" s="256"/>
      <c r="G202" s="256"/>
      <c r="H202" s="256"/>
      <c r="I202" s="256"/>
      <c r="J202" s="256"/>
      <c r="K202" s="256"/>
      <c r="M202" s="3" t="s">
        <v>217</v>
      </c>
      <c r="O202" s="3">
        <f t="shared" si="4"/>
        <v>202</v>
      </c>
    </row>
    <row r="203" spans="1:15" ht="13.15" customHeight="1">
      <c r="C203" s="149"/>
      <c r="D203" s="149"/>
      <c r="E203" s="149"/>
      <c r="F203" s="149"/>
      <c r="G203" s="149"/>
      <c r="H203" s="149"/>
      <c r="I203" s="149"/>
      <c r="J203" s="149"/>
      <c r="K203" s="149"/>
      <c r="M203" s="3" t="s">
        <v>217</v>
      </c>
      <c r="O203" s="3">
        <f t="shared" si="4"/>
        <v>203</v>
      </c>
    </row>
    <row r="204" spans="1:15" ht="13.15" customHeight="1">
      <c r="A204" s="139" t="s">
        <v>366</v>
      </c>
      <c r="B204" s="258" t="s">
        <v>417</v>
      </c>
      <c r="C204" s="258"/>
      <c r="D204" s="258"/>
      <c r="E204" s="258"/>
      <c r="F204" s="258"/>
      <c r="G204" s="258"/>
      <c r="H204" s="258"/>
      <c r="I204" s="258"/>
      <c r="J204" s="258"/>
      <c r="K204" s="258"/>
      <c r="L204" s="3">
        <v>11</v>
      </c>
      <c r="M204" s="3">
        <v>12</v>
      </c>
      <c r="N204" s="3">
        <v>3</v>
      </c>
      <c r="O204" s="3">
        <f t="shared" si="4"/>
        <v>204</v>
      </c>
    </row>
    <row r="205" spans="1:15" ht="13.15" customHeight="1">
      <c r="B205" s="258"/>
      <c r="C205" s="258"/>
      <c r="D205" s="258"/>
      <c r="E205" s="258"/>
      <c r="F205" s="258"/>
      <c r="G205" s="258"/>
      <c r="H205" s="258"/>
      <c r="I205" s="258"/>
      <c r="J205" s="258"/>
      <c r="K205" s="258"/>
      <c r="L205" s="96"/>
      <c r="M205" s="3" t="s">
        <v>217</v>
      </c>
      <c r="O205" s="3">
        <f t="shared" si="4"/>
        <v>205</v>
      </c>
    </row>
    <row r="206" spans="1:15" ht="13.15" customHeight="1">
      <c r="B206" s="258"/>
      <c r="C206" s="258"/>
      <c r="D206" s="258"/>
      <c r="E206" s="258"/>
      <c r="F206" s="258"/>
      <c r="G206" s="258"/>
      <c r="H206" s="258"/>
      <c r="I206" s="258"/>
      <c r="J206" s="258"/>
      <c r="K206" s="258"/>
      <c r="L206" s="96"/>
      <c r="M206" s="3" t="s">
        <v>217</v>
      </c>
      <c r="O206" s="3">
        <f t="shared" si="4"/>
        <v>206</v>
      </c>
    </row>
    <row r="207" spans="1:15" ht="13.15" customHeight="1">
      <c r="B207" s="96"/>
      <c r="C207" s="96"/>
      <c r="D207" s="96"/>
      <c r="E207" s="96"/>
      <c r="F207" s="96"/>
      <c r="G207" s="96"/>
      <c r="H207" s="96"/>
      <c r="I207" s="96"/>
      <c r="J207" s="96"/>
      <c r="K207" s="96"/>
      <c r="L207" s="96"/>
      <c r="M207" s="3" t="s">
        <v>217</v>
      </c>
      <c r="O207" s="3">
        <f t="shared" si="4"/>
        <v>207</v>
      </c>
    </row>
    <row r="208" spans="1:15" ht="13.15" customHeight="1">
      <c r="B208" s="157" t="s">
        <v>356</v>
      </c>
      <c r="C208" s="258" t="s">
        <v>242</v>
      </c>
      <c r="D208" s="258"/>
      <c r="E208" s="258"/>
      <c r="F208" s="258"/>
      <c r="G208" s="258"/>
      <c r="H208" s="258"/>
      <c r="I208" s="258"/>
      <c r="J208" s="258"/>
      <c r="K208" s="258"/>
      <c r="L208" s="96"/>
      <c r="M208" s="3" t="s">
        <v>217</v>
      </c>
      <c r="O208" s="3">
        <f t="shared" si="4"/>
        <v>208</v>
      </c>
    </row>
    <row r="209" spans="1:15" ht="13.15" customHeight="1">
      <c r="C209" s="258"/>
      <c r="D209" s="258"/>
      <c r="E209" s="258"/>
      <c r="F209" s="258"/>
      <c r="G209" s="258"/>
      <c r="H209" s="258"/>
      <c r="I209" s="258"/>
      <c r="J209" s="258"/>
      <c r="K209" s="258"/>
      <c r="L209" s="97"/>
      <c r="M209" s="3" t="s">
        <v>217</v>
      </c>
      <c r="O209" s="3">
        <f t="shared" si="4"/>
        <v>209</v>
      </c>
    </row>
    <row r="210" spans="1:15" ht="13.15" customHeight="1">
      <c r="C210" s="258"/>
      <c r="D210" s="258"/>
      <c r="E210" s="258"/>
      <c r="F210" s="258"/>
      <c r="G210" s="258"/>
      <c r="H210" s="258"/>
      <c r="I210" s="258"/>
      <c r="J210" s="258"/>
      <c r="K210" s="258"/>
      <c r="L210" s="97"/>
      <c r="M210" s="3" t="s">
        <v>217</v>
      </c>
      <c r="O210" s="3">
        <f t="shared" si="4"/>
        <v>210</v>
      </c>
    </row>
    <row r="211" spans="1:15" ht="13.15" customHeight="1">
      <c r="C211" s="258"/>
      <c r="D211" s="258"/>
      <c r="E211" s="258"/>
      <c r="F211" s="258"/>
      <c r="G211" s="258"/>
      <c r="H211" s="258"/>
      <c r="I211" s="258"/>
      <c r="J211" s="258"/>
      <c r="K211" s="258"/>
      <c r="L211" s="97"/>
      <c r="M211" s="3" t="s">
        <v>217</v>
      </c>
      <c r="O211" s="3">
        <f t="shared" si="4"/>
        <v>211</v>
      </c>
    </row>
    <row r="212" spans="1:15" ht="13.15" customHeight="1">
      <c r="C212" s="258"/>
      <c r="D212" s="258"/>
      <c r="E212" s="258"/>
      <c r="F212" s="258"/>
      <c r="G212" s="258"/>
      <c r="H212" s="258"/>
      <c r="I212" s="258"/>
      <c r="J212" s="258"/>
      <c r="K212" s="258"/>
      <c r="L212" s="97"/>
      <c r="M212" s="3" t="s">
        <v>217</v>
      </c>
      <c r="O212" s="3">
        <f t="shared" si="4"/>
        <v>212</v>
      </c>
    </row>
    <row r="213" spans="1:15" ht="13.15" customHeight="1">
      <c r="C213" s="258"/>
      <c r="D213" s="258"/>
      <c r="E213" s="258"/>
      <c r="F213" s="258"/>
      <c r="G213" s="258"/>
      <c r="H213" s="258"/>
      <c r="I213" s="258"/>
      <c r="J213" s="258"/>
      <c r="K213" s="258"/>
      <c r="L213" s="97"/>
      <c r="M213" s="3" t="s">
        <v>217</v>
      </c>
      <c r="O213" s="3">
        <f t="shared" si="4"/>
        <v>213</v>
      </c>
    </row>
    <row r="214" spans="1:15" ht="13.15" customHeight="1">
      <c r="C214" s="258"/>
      <c r="D214" s="258"/>
      <c r="E214" s="258"/>
      <c r="F214" s="258"/>
      <c r="G214" s="258"/>
      <c r="H214" s="258"/>
      <c r="I214" s="258"/>
      <c r="J214" s="258"/>
      <c r="K214" s="258"/>
      <c r="L214" s="97"/>
      <c r="M214" s="3" t="s">
        <v>217</v>
      </c>
      <c r="O214" s="3">
        <f t="shared" si="4"/>
        <v>214</v>
      </c>
    </row>
    <row r="215" spans="1:15" ht="13.15" customHeight="1">
      <c r="C215" s="258"/>
      <c r="D215" s="258"/>
      <c r="E215" s="258"/>
      <c r="F215" s="258"/>
      <c r="G215" s="258"/>
      <c r="H215" s="258"/>
      <c r="I215" s="258"/>
      <c r="J215" s="258"/>
      <c r="K215" s="258"/>
      <c r="L215" s="97"/>
      <c r="M215" s="3" t="s">
        <v>217</v>
      </c>
      <c r="O215" s="3">
        <f t="shared" si="4"/>
        <v>215</v>
      </c>
    </row>
    <row r="216" spans="1:15" ht="13.15" customHeight="1">
      <c r="C216" s="97"/>
      <c r="D216" s="97"/>
      <c r="E216" s="97"/>
      <c r="F216" s="97"/>
      <c r="G216" s="97"/>
      <c r="H216" s="97"/>
      <c r="I216" s="97"/>
      <c r="J216" s="97"/>
      <c r="K216" s="97"/>
      <c r="L216" s="97"/>
      <c r="M216" s="3" t="s">
        <v>217</v>
      </c>
      <c r="O216" s="3">
        <f t="shared" si="4"/>
        <v>216</v>
      </c>
    </row>
    <row r="217" spans="1:15" ht="13.15" customHeight="1">
      <c r="A217" s="139" t="s">
        <v>367</v>
      </c>
      <c r="B217" s="254" t="s">
        <v>243</v>
      </c>
      <c r="C217" s="254"/>
      <c r="D217" s="254"/>
      <c r="E217" s="254"/>
      <c r="F217" s="254"/>
      <c r="G217" s="254"/>
      <c r="H217" s="254"/>
      <c r="I217" s="254"/>
      <c r="J217" s="254"/>
      <c r="K217" s="254"/>
      <c r="L217" s="3">
        <v>12</v>
      </c>
      <c r="M217" s="3">
        <v>24</v>
      </c>
      <c r="N217" s="3">
        <v>11</v>
      </c>
      <c r="O217" s="3">
        <f t="shared" si="4"/>
        <v>217</v>
      </c>
    </row>
    <row r="218" spans="1:15" ht="13.15" customHeight="1">
      <c r="B218" s="254"/>
      <c r="C218" s="254"/>
      <c r="D218" s="254"/>
      <c r="E218" s="254"/>
      <c r="F218" s="254"/>
      <c r="G218" s="254"/>
      <c r="H218" s="254"/>
      <c r="I218" s="254"/>
      <c r="J218" s="254"/>
      <c r="K218" s="254"/>
      <c r="L218" s="98"/>
      <c r="M218" s="3" t="s">
        <v>217</v>
      </c>
      <c r="O218" s="3">
        <f t="shared" si="4"/>
        <v>218</v>
      </c>
    </row>
    <row r="219" spans="1:15" ht="13.15" customHeight="1">
      <c r="B219" s="254"/>
      <c r="C219" s="254"/>
      <c r="D219" s="254"/>
      <c r="E219" s="254"/>
      <c r="F219" s="254"/>
      <c r="G219" s="254"/>
      <c r="H219" s="254"/>
      <c r="I219" s="254"/>
      <c r="J219" s="254"/>
      <c r="K219" s="254"/>
      <c r="L219" s="98"/>
      <c r="M219" s="3" t="s">
        <v>217</v>
      </c>
      <c r="O219" s="3">
        <f t="shared" si="4"/>
        <v>219</v>
      </c>
    </row>
    <row r="220" spans="1:15" ht="13.15" customHeight="1">
      <c r="B220" s="254"/>
      <c r="C220" s="254"/>
      <c r="D220" s="254"/>
      <c r="E220" s="254"/>
      <c r="F220" s="254"/>
      <c r="G220" s="254"/>
      <c r="H220" s="254"/>
      <c r="I220" s="254"/>
      <c r="J220" s="254"/>
      <c r="K220" s="254"/>
      <c r="L220" s="98"/>
      <c r="M220" s="3" t="s">
        <v>217</v>
      </c>
      <c r="O220" s="3">
        <f t="shared" si="4"/>
        <v>220</v>
      </c>
    </row>
    <row r="221" spans="1:15" ht="13.15" customHeight="1">
      <c r="B221" s="254"/>
      <c r="C221" s="254"/>
      <c r="D221" s="254"/>
      <c r="E221" s="254"/>
      <c r="F221" s="254"/>
      <c r="G221" s="254"/>
      <c r="H221" s="254"/>
      <c r="I221" s="254"/>
      <c r="J221" s="254"/>
      <c r="K221" s="254"/>
      <c r="L221" s="98"/>
      <c r="M221" s="3" t="s">
        <v>217</v>
      </c>
      <c r="O221" s="3">
        <f t="shared" si="4"/>
        <v>221</v>
      </c>
    </row>
    <row r="222" spans="1:15" ht="13.15" customHeight="1">
      <c r="B222" s="254"/>
      <c r="C222" s="254"/>
      <c r="D222" s="254"/>
      <c r="E222" s="254"/>
      <c r="F222" s="254"/>
      <c r="G222" s="254"/>
      <c r="H222" s="254"/>
      <c r="I222" s="254"/>
      <c r="J222" s="254"/>
      <c r="K222" s="254"/>
      <c r="L222" s="98"/>
      <c r="M222" s="3" t="s">
        <v>217</v>
      </c>
      <c r="O222" s="3">
        <f t="shared" si="4"/>
        <v>222</v>
      </c>
    </row>
    <row r="223" spans="1:15" ht="13.15" customHeight="1">
      <c r="B223" s="254"/>
      <c r="C223" s="254"/>
      <c r="D223" s="254"/>
      <c r="E223" s="254"/>
      <c r="F223" s="254"/>
      <c r="G223" s="254"/>
      <c r="H223" s="254"/>
      <c r="I223" s="254"/>
      <c r="J223" s="254"/>
      <c r="K223" s="254"/>
      <c r="L223" s="98"/>
      <c r="M223" s="3" t="s">
        <v>217</v>
      </c>
      <c r="O223" s="3">
        <f t="shared" si="4"/>
        <v>223</v>
      </c>
    </row>
    <row r="224" spans="1:15" ht="13.15" customHeight="1">
      <c r="B224" s="254"/>
      <c r="C224" s="254"/>
      <c r="D224" s="254"/>
      <c r="E224" s="254"/>
      <c r="F224" s="254"/>
      <c r="G224" s="254"/>
      <c r="H224" s="254"/>
      <c r="I224" s="254"/>
      <c r="J224" s="254"/>
      <c r="K224" s="254"/>
      <c r="L224" s="98"/>
      <c r="M224" s="3" t="s">
        <v>217</v>
      </c>
      <c r="O224" s="3">
        <f t="shared" si="4"/>
        <v>224</v>
      </c>
    </row>
    <row r="225" spans="2:15" ht="13.15" customHeight="1">
      <c r="B225" s="254"/>
      <c r="C225" s="254"/>
      <c r="D225" s="254"/>
      <c r="E225" s="254"/>
      <c r="F225" s="254"/>
      <c r="G225" s="254"/>
      <c r="H225" s="254"/>
      <c r="I225" s="254"/>
      <c r="J225" s="254"/>
      <c r="K225" s="254"/>
      <c r="L225" s="98"/>
      <c r="M225" s="3" t="s">
        <v>217</v>
      </c>
      <c r="O225" s="3">
        <f t="shared" si="4"/>
        <v>225</v>
      </c>
    </row>
    <row r="226" spans="2:15" ht="13.15" customHeight="1">
      <c r="B226" s="254"/>
      <c r="C226" s="254"/>
      <c r="D226" s="254"/>
      <c r="E226" s="254"/>
      <c r="F226" s="254"/>
      <c r="G226" s="254"/>
      <c r="H226" s="254"/>
      <c r="I226" s="254"/>
      <c r="J226" s="254"/>
      <c r="K226" s="254"/>
      <c r="L226" s="98"/>
      <c r="M226" s="3" t="s">
        <v>217</v>
      </c>
      <c r="O226" s="3">
        <f t="shared" si="4"/>
        <v>226</v>
      </c>
    </row>
    <row r="227" spans="2:15" ht="13.15" customHeight="1">
      <c r="B227" s="254"/>
      <c r="C227" s="254"/>
      <c r="D227" s="254"/>
      <c r="E227" s="254"/>
      <c r="F227" s="254"/>
      <c r="G227" s="254"/>
      <c r="H227" s="254"/>
      <c r="I227" s="254"/>
      <c r="J227" s="254"/>
      <c r="K227" s="254"/>
      <c r="L227" s="98"/>
      <c r="M227" s="3" t="s">
        <v>217</v>
      </c>
      <c r="O227" s="3">
        <f t="shared" si="4"/>
        <v>227</v>
      </c>
    </row>
    <row r="228" spans="2:15" ht="13.15" customHeight="1">
      <c r="B228" s="98"/>
      <c r="C228" s="98"/>
      <c r="D228" s="98"/>
      <c r="E228" s="98"/>
      <c r="F228" s="98"/>
      <c r="G228" s="98"/>
      <c r="H228" s="98"/>
      <c r="I228" s="98"/>
      <c r="J228" s="98"/>
      <c r="K228" s="98"/>
      <c r="L228" s="98"/>
      <c r="M228" s="3" t="s">
        <v>217</v>
      </c>
      <c r="O228" s="3">
        <f t="shared" si="4"/>
        <v>228</v>
      </c>
    </row>
    <row r="229" spans="2:15" ht="13.15" customHeight="1">
      <c r="B229" s="157" t="s">
        <v>356</v>
      </c>
      <c r="C229" s="258" t="s">
        <v>244</v>
      </c>
      <c r="D229" s="258"/>
      <c r="E229" s="258"/>
      <c r="F229" s="258"/>
      <c r="G229" s="258"/>
      <c r="H229" s="258"/>
      <c r="I229" s="258"/>
      <c r="J229" s="258"/>
      <c r="K229" s="258"/>
      <c r="L229" s="98"/>
      <c r="M229" s="3" t="s">
        <v>217</v>
      </c>
      <c r="O229" s="3">
        <f t="shared" si="4"/>
        <v>229</v>
      </c>
    </row>
    <row r="230" spans="2:15" ht="13.15" customHeight="1">
      <c r="B230" s="155"/>
      <c r="C230" s="258"/>
      <c r="D230" s="258"/>
      <c r="E230" s="258"/>
      <c r="F230" s="258"/>
      <c r="G230" s="258"/>
      <c r="H230" s="258"/>
      <c r="I230" s="258"/>
      <c r="J230" s="258"/>
      <c r="K230" s="258"/>
      <c r="L230" s="99"/>
      <c r="M230" s="3" t="s">
        <v>217</v>
      </c>
      <c r="O230" s="3">
        <f t="shared" si="4"/>
        <v>230</v>
      </c>
    </row>
    <row r="231" spans="2:15" ht="13.15" customHeight="1">
      <c r="B231" s="155"/>
      <c r="C231" s="258"/>
      <c r="D231" s="258"/>
      <c r="E231" s="258"/>
      <c r="F231" s="258"/>
      <c r="G231" s="258"/>
      <c r="H231" s="258"/>
      <c r="I231" s="258"/>
      <c r="J231" s="258"/>
      <c r="K231" s="258"/>
      <c r="L231" s="99"/>
      <c r="M231" s="3" t="s">
        <v>217</v>
      </c>
      <c r="O231" s="3">
        <f t="shared" si="4"/>
        <v>231</v>
      </c>
    </row>
    <row r="232" spans="2:15" ht="13.15" customHeight="1">
      <c r="B232" s="155"/>
      <c r="C232" s="258"/>
      <c r="D232" s="258"/>
      <c r="E232" s="258"/>
      <c r="F232" s="258"/>
      <c r="G232" s="258"/>
      <c r="H232" s="258"/>
      <c r="I232" s="258"/>
      <c r="J232" s="258"/>
      <c r="K232" s="258"/>
      <c r="L232" s="99"/>
      <c r="M232" s="3" t="s">
        <v>217</v>
      </c>
      <c r="O232" s="3">
        <f t="shared" si="4"/>
        <v>232</v>
      </c>
    </row>
    <row r="233" spans="2:15" ht="13.15" customHeight="1">
      <c r="B233" s="155"/>
      <c r="C233" s="143"/>
      <c r="D233" s="143"/>
      <c r="E233" s="143"/>
      <c r="F233" s="143"/>
      <c r="G233" s="143"/>
      <c r="H233" s="143"/>
      <c r="I233" s="143"/>
      <c r="J233" s="143"/>
      <c r="K233" s="143"/>
      <c r="L233" s="143"/>
      <c r="M233" s="3" t="s">
        <v>217</v>
      </c>
      <c r="O233" s="3">
        <f t="shared" si="4"/>
        <v>233</v>
      </c>
    </row>
    <row r="234" spans="2:15" ht="13.15" customHeight="1">
      <c r="B234" s="157" t="s">
        <v>356</v>
      </c>
      <c r="C234" s="258" t="s">
        <v>245</v>
      </c>
      <c r="D234" s="258"/>
      <c r="E234" s="258"/>
      <c r="F234" s="258"/>
      <c r="G234" s="258"/>
      <c r="H234" s="258"/>
      <c r="I234" s="258"/>
      <c r="J234" s="258"/>
      <c r="K234" s="258"/>
      <c r="L234" s="143"/>
      <c r="M234" s="3" t="s">
        <v>217</v>
      </c>
      <c r="O234" s="3">
        <f t="shared" si="4"/>
        <v>234</v>
      </c>
    </row>
    <row r="235" spans="2:15" ht="13.15" customHeight="1">
      <c r="B235" s="155"/>
      <c r="C235" s="258"/>
      <c r="D235" s="258"/>
      <c r="E235" s="258"/>
      <c r="F235" s="258"/>
      <c r="G235" s="258"/>
      <c r="H235" s="258"/>
      <c r="I235" s="258"/>
      <c r="J235" s="258"/>
      <c r="K235" s="258"/>
      <c r="L235" s="99"/>
      <c r="M235" s="3" t="s">
        <v>217</v>
      </c>
      <c r="O235" s="3">
        <f t="shared" si="4"/>
        <v>235</v>
      </c>
    </row>
    <row r="236" spans="2:15" ht="13.15" customHeight="1">
      <c r="B236" s="155"/>
      <c r="C236" s="258"/>
      <c r="D236" s="258"/>
      <c r="E236" s="258"/>
      <c r="F236" s="258"/>
      <c r="G236" s="258"/>
      <c r="H236" s="258"/>
      <c r="I236" s="258"/>
      <c r="J236" s="258"/>
      <c r="K236" s="258"/>
      <c r="L236" s="99"/>
      <c r="M236" s="3" t="s">
        <v>217</v>
      </c>
      <c r="O236" s="3">
        <f t="shared" si="4"/>
        <v>236</v>
      </c>
    </row>
    <row r="237" spans="2:15" ht="13.15" customHeight="1">
      <c r="B237" s="155"/>
      <c r="C237" s="258"/>
      <c r="D237" s="258"/>
      <c r="E237" s="258"/>
      <c r="F237" s="258"/>
      <c r="G237" s="258"/>
      <c r="H237" s="258"/>
      <c r="I237" s="258"/>
      <c r="J237" s="258"/>
      <c r="K237" s="258"/>
      <c r="L237" s="99"/>
      <c r="M237" s="3" t="s">
        <v>217</v>
      </c>
      <c r="O237" s="3">
        <f t="shared" si="4"/>
        <v>237</v>
      </c>
    </row>
    <row r="238" spans="2:15" ht="13.15" customHeight="1">
      <c r="B238" s="155"/>
      <c r="C238" s="258"/>
      <c r="D238" s="258"/>
      <c r="E238" s="258"/>
      <c r="F238" s="258"/>
      <c r="G238" s="258"/>
      <c r="H238" s="258"/>
      <c r="I238" s="258"/>
      <c r="J238" s="258"/>
      <c r="K238" s="258"/>
      <c r="L238" s="99"/>
      <c r="M238" s="3" t="s">
        <v>217</v>
      </c>
      <c r="O238" s="3">
        <f t="shared" si="4"/>
        <v>238</v>
      </c>
    </row>
    <row r="239" spans="2:15" ht="13.15" customHeight="1">
      <c r="B239" s="155"/>
      <c r="C239" s="258"/>
      <c r="D239" s="258"/>
      <c r="E239" s="258"/>
      <c r="F239" s="258"/>
      <c r="G239" s="258"/>
      <c r="H239" s="258"/>
      <c r="I239" s="258"/>
      <c r="J239" s="258"/>
      <c r="K239" s="258"/>
      <c r="L239" s="99"/>
      <c r="M239" s="3" t="s">
        <v>217</v>
      </c>
      <c r="O239" s="3">
        <f t="shared" si="4"/>
        <v>239</v>
      </c>
    </row>
    <row r="240" spans="2:15" ht="13.15" customHeight="1">
      <c r="C240" s="258"/>
      <c r="D240" s="258"/>
      <c r="E240" s="258"/>
      <c r="F240" s="258"/>
      <c r="G240" s="258"/>
      <c r="H240" s="258"/>
      <c r="I240" s="258"/>
      <c r="J240" s="258"/>
      <c r="K240" s="258"/>
      <c r="L240" s="99"/>
      <c r="M240" s="3" t="s">
        <v>217</v>
      </c>
      <c r="O240" s="3">
        <f t="shared" si="4"/>
        <v>240</v>
      </c>
    </row>
    <row r="241" spans="1:17" ht="13.15" customHeight="1">
      <c r="C241" s="143"/>
      <c r="D241" s="143"/>
      <c r="E241" s="143"/>
      <c r="F241" s="143"/>
      <c r="G241" s="143"/>
      <c r="H241" s="143"/>
      <c r="I241" s="143"/>
      <c r="J241" s="143"/>
      <c r="K241" s="143"/>
      <c r="L241" s="99"/>
      <c r="M241" s="3" t="s">
        <v>217</v>
      </c>
      <c r="O241" s="3">
        <f t="shared" si="4"/>
        <v>241</v>
      </c>
    </row>
    <row r="242" spans="1:17" s="44" customFormat="1" ht="13.15" customHeight="1">
      <c r="A242" s="139" t="s">
        <v>368</v>
      </c>
      <c r="B242" s="255" t="s">
        <v>246</v>
      </c>
      <c r="C242" s="255"/>
      <c r="D242" s="255"/>
      <c r="E242" s="255"/>
      <c r="F242" s="255"/>
      <c r="G242" s="255"/>
      <c r="H242" s="255"/>
      <c r="I242" s="255"/>
      <c r="J242" s="255"/>
      <c r="K242" s="255"/>
      <c r="L242" s="3">
        <v>13</v>
      </c>
      <c r="M242" s="3">
        <v>27</v>
      </c>
      <c r="N242" s="3">
        <v>5</v>
      </c>
      <c r="O242" s="3">
        <f t="shared" si="4"/>
        <v>242</v>
      </c>
      <c r="P242" s="3"/>
      <c r="Q242" s="3"/>
    </row>
    <row r="243" spans="1:17" s="44" customFormat="1" ht="13.15" customHeight="1">
      <c r="A243" s="139"/>
      <c r="B243" s="255"/>
      <c r="C243" s="255"/>
      <c r="D243" s="255"/>
      <c r="E243" s="255"/>
      <c r="F243" s="255"/>
      <c r="G243" s="255"/>
      <c r="H243" s="255"/>
      <c r="I243" s="255"/>
      <c r="J243" s="255"/>
      <c r="K243" s="255"/>
      <c r="M243" s="44" t="s">
        <v>217</v>
      </c>
      <c r="O243" s="3">
        <f t="shared" si="4"/>
        <v>243</v>
      </c>
      <c r="P243" s="3"/>
      <c r="Q243" s="3"/>
    </row>
    <row r="244" spans="1:17" s="44" customFormat="1" ht="13.15" customHeight="1">
      <c r="A244" s="139"/>
      <c r="B244" s="255"/>
      <c r="C244" s="255"/>
      <c r="D244" s="255"/>
      <c r="E244" s="255"/>
      <c r="F244" s="255"/>
      <c r="G244" s="255"/>
      <c r="H244" s="255"/>
      <c r="I244" s="255"/>
      <c r="J244" s="255"/>
      <c r="K244" s="255"/>
      <c r="L244" s="3"/>
      <c r="M244" s="44" t="s">
        <v>217</v>
      </c>
      <c r="O244" s="3">
        <f t="shared" si="4"/>
        <v>244</v>
      </c>
      <c r="P244" s="3"/>
      <c r="Q244" s="3"/>
    </row>
    <row r="245" spans="1:17" s="44" customFormat="1" ht="13.15" customHeight="1">
      <c r="A245" s="139"/>
      <c r="B245" s="255"/>
      <c r="C245" s="255"/>
      <c r="D245" s="255"/>
      <c r="E245" s="255"/>
      <c r="F245" s="255"/>
      <c r="G245" s="255"/>
      <c r="H245" s="255"/>
      <c r="I245" s="255"/>
      <c r="J245" s="255"/>
      <c r="K245" s="255"/>
      <c r="L245" s="3"/>
      <c r="M245" s="44" t="s">
        <v>217</v>
      </c>
      <c r="O245" s="3">
        <f t="shared" si="4"/>
        <v>245</v>
      </c>
      <c r="P245" s="3"/>
      <c r="Q245" s="3"/>
    </row>
    <row r="246" spans="1:17" s="44" customFormat="1" ht="13.15" customHeight="1">
      <c r="A246" s="139"/>
      <c r="B246" s="255"/>
      <c r="C246" s="255"/>
      <c r="D246" s="255"/>
      <c r="E246" s="255"/>
      <c r="F246" s="255"/>
      <c r="G246" s="255"/>
      <c r="H246" s="255"/>
      <c r="I246" s="255"/>
      <c r="J246" s="255"/>
      <c r="K246" s="255"/>
      <c r="L246" s="3"/>
      <c r="M246" s="44" t="s">
        <v>217</v>
      </c>
      <c r="O246" s="3">
        <f t="shared" si="4"/>
        <v>246</v>
      </c>
      <c r="P246" s="3"/>
      <c r="Q246" s="3"/>
    </row>
    <row r="247" spans="1:17" s="44" customFormat="1" ht="13.15" customHeight="1">
      <c r="A247" s="139"/>
      <c r="B247" s="146"/>
      <c r="C247" s="146"/>
      <c r="D247" s="146"/>
      <c r="E247" s="146"/>
      <c r="F247" s="146"/>
      <c r="G247" s="146"/>
      <c r="H247" s="146"/>
      <c r="I247" s="146"/>
      <c r="J247" s="146"/>
      <c r="K247" s="146"/>
      <c r="L247" s="3"/>
      <c r="M247" s="44" t="s">
        <v>217</v>
      </c>
      <c r="O247" s="3">
        <f t="shared" si="4"/>
        <v>247</v>
      </c>
      <c r="P247" s="3"/>
      <c r="Q247" s="3"/>
    </row>
    <row r="248" spans="1:17" s="44" customFormat="1" ht="13.15" customHeight="1">
      <c r="A248" s="139"/>
      <c r="B248" s="157" t="s">
        <v>356</v>
      </c>
      <c r="C248" s="256" t="s">
        <v>247</v>
      </c>
      <c r="D248" s="256"/>
      <c r="E248" s="256"/>
      <c r="F248" s="256"/>
      <c r="G248" s="256"/>
      <c r="H248" s="256"/>
      <c r="I248" s="256"/>
      <c r="J248" s="256"/>
      <c r="K248" s="256"/>
      <c r="L248" s="3"/>
      <c r="M248" s="44" t="s">
        <v>217</v>
      </c>
      <c r="O248" s="3">
        <f t="shared" si="4"/>
        <v>248</v>
      </c>
      <c r="P248" s="3"/>
      <c r="Q248" s="3"/>
    </row>
    <row r="249" spans="1:17" s="44" customFormat="1" ht="13.15" customHeight="1">
      <c r="A249" s="139"/>
      <c r="B249" s="3"/>
      <c r="C249" s="256"/>
      <c r="D249" s="256"/>
      <c r="E249" s="256"/>
      <c r="F249" s="256"/>
      <c r="G249" s="256"/>
      <c r="H249" s="256"/>
      <c r="I249" s="256"/>
      <c r="J249" s="256"/>
      <c r="K249" s="256"/>
      <c r="L249" s="3"/>
      <c r="M249" s="44" t="s">
        <v>217</v>
      </c>
      <c r="O249" s="3">
        <f t="shared" si="4"/>
        <v>249</v>
      </c>
      <c r="P249" s="3"/>
      <c r="Q249" s="3"/>
    </row>
    <row r="250" spans="1:17" s="44" customFormat="1" ht="13.15" customHeight="1">
      <c r="A250" s="139"/>
      <c r="B250" s="3"/>
      <c r="C250" s="256"/>
      <c r="D250" s="256"/>
      <c r="E250" s="256"/>
      <c r="F250" s="256"/>
      <c r="G250" s="256"/>
      <c r="H250" s="256"/>
      <c r="I250" s="256"/>
      <c r="J250" s="256"/>
      <c r="K250" s="256"/>
      <c r="L250" s="3"/>
      <c r="M250" s="44" t="s">
        <v>217</v>
      </c>
      <c r="O250" s="3">
        <f t="shared" si="4"/>
        <v>250</v>
      </c>
      <c r="P250" s="3"/>
      <c r="Q250" s="3"/>
    </row>
    <row r="251" spans="1:17" s="44" customFormat="1" ht="13.15" customHeight="1">
      <c r="A251" s="139"/>
      <c r="B251" s="3"/>
      <c r="C251" s="256"/>
      <c r="D251" s="256"/>
      <c r="E251" s="256"/>
      <c r="F251" s="256"/>
      <c r="G251" s="256"/>
      <c r="H251" s="256"/>
      <c r="I251" s="256"/>
      <c r="J251" s="256"/>
      <c r="K251" s="256"/>
      <c r="L251" s="3"/>
      <c r="M251" s="44" t="s">
        <v>217</v>
      </c>
      <c r="O251" s="3">
        <f t="shared" ref="O251:O320" si="5">ROW(M251)</f>
        <v>251</v>
      </c>
      <c r="P251" s="3"/>
      <c r="Q251" s="3"/>
    </row>
    <row r="252" spans="1:17" s="44" customFormat="1" ht="13.15" customHeight="1">
      <c r="A252" s="139"/>
      <c r="B252" s="3"/>
      <c r="C252" s="256"/>
      <c r="D252" s="256"/>
      <c r="E252" s="256"/>
      <c r="F252" s="256"/>
      <c r="G252" s="256"/>
      <c r="H252" s="256"/>
      <c r="I252" s="256"/>
      <c r="J252" s="256"/>
      <c r="K252" s="256"/>
      <c r="L252" s="100"/>
      <c r="M252" s="44" t="s">
        <v>217</v>
      </c>
      <c r="O252" s="3">
        <f t="shared" si="5"/>
        <v>252</v>
      </c>
      <c r="P252" s="3"/>
      <c r="Q252" s="3"/>
    </row>
    <row r="253" spans="1:17" s="44" customFormat="1" ht="13.15" customHeight="1">
      <c r="A253" s="139"/>
      <c r="B253" s="3"/>
      <c r="C253" s="256"/>
      <c r="D253" s="256"/>
      <c r="E253" s="256"/>
      <c r="F253" s="256"/>
      <c r="G253" s="256"/>
      <c r="H253" s="256"/>
      <c r="I253" s="256"/>
      <c r="J253" s="256"/>
      <c r="K253" s="256"/>
      <c r="L253" s="100"/>
      <c r="M253" s="44" t="s">
        <v>217</v>
      </c>
      <c r="O253" s="3">
        <f t="shared" si="5"/>
        <v>253</v>
      </c>
      <c r="P253" s="3"/>
      <c r="Q253" s="3"/>
    </row>
    <row r="254" spans="1:17" s="44" customFormat="1" ht="13.15" customHeight="1">
      <c r="A254" s="139"/>
      <c r="B254" s="3"/>
      <c r="C254" s="256"/>
      <c r="D254" s="256"/>
      <c r="E254" s="256"/>
      <c r="F254" s="256"/>
      <c r="G254" s="256"/>
      <c r="H254" s="256"/>
      <c r="I254" s="256"/>
      <c r="J254" s="256"/>
      <c r="K254" s="256"/>
      <c r="L254" s="100"/>
      <c r="M254" s="44" t="s">
        <v>217</v>
      </c>
      <c r="O254" s="3">
        <f t="shared" si="5"/>
        <v>254</v>
      </c>
      <c r="P254" s="3"/>
      <c r="Q254" s="3"/>
    </row>
    <row r="255" spans="1:17" s="44" customFormat="1" ht="13.15" customHeight="1">
      <c r="A255" s="139"/>
      <c r="B255" s="3"/>
      <c r="C255" s="256"/>
      <c r="D255" s="256"/>
      <c r="E255" s="256"/>
      <c r="F255" s="256"/>
      <c r="G255" s="256"/>
      <c r="H255" s="256"/>
      <c r="I255" s="256"/>
      <c r="J255" s="256"/>
      <c r="K255" s="256"/>
      <c r="L255" s="100"/>
      <c r="M255" s="44" t="s">
        <v>217</v>
      </c>
      <c r="O255" s="3">
        <f t="shared" si="5"/>
        <v>255</v>
      </c>
      <c r="P255" s="3"/>
      <c r="Q255" s="3"/>
    </row>
    <row r="256" spans="1:17" s="44" customFormat="1" ht="13.15" customHeight="1">
      <c r="A256" s="139"/>
      <c r="B256" s="3"/>
      <c r="C256" s="256"/>
      <c r="D256" s="256"/>
      <c r="E256" s="256"/>
      <c r="F256" s="256"/>
      <c r="G256" s="256"/>
      <c r="H256" s="256"/>
      <c r="I256" s="256"/>
      <c r="J256" s="256"/>
      <c r="K256" s="256"/>
      <c r="L256" s="100"/>
      <c r="M256" s="44" t="s">
        <v>217</v>
      </c>
      <c r="O256" s="3">
        <f t="shared" si="5"/>
        <v>256</v>
      </c>
      <c r="P256" s="3"/>
      <c r="Q256" s="3"/>
    </row>
    <row r="257" spans="1:17" s="44" customFormat="1" ht="13.15" customHeight="1">
      <c r="A257" s="139"/>
      <c r="B257" s="3"/>
      <c r="C257" s="256"/>
      <c r="D257" s="256"/>
      <c r="E257" s="256"/>
      <c r="F257" s="256"/>
      <c r="G257" s="256"/>
      <c r="H257" s="256"/>
      <c r="I257" s="256"/>
      <c r="J257" s="256"/>
      <c r="K257" s="256"/>
      <c r="L257" s="100"/>
      <c r="M257" s="44" t="s">
        <v>217</v>
      </c>
      <c r="O257" s="3">
        <f t="shared" si="5"/>
        <v>257</v>
      </c>
      <c r="P257" s="3"/>
      <c r="Q257" s="3"/>
    </row>
    <row r="258" spans="1:17" ht="13.15" customHeight="1">
      <c r="B258" s="83"/>
      <c r="C258" s="83"/>
      <c r="D258" s="83"/>
      <c r="E258" s="83"/>
      <c r="F258" s="83"/>
      <c r="G258" s="83"/>
      <c r="H258" s="83"/>
      <c r="I258" s="83"/>
      <c r="J258" s="83"/>
      <c r="K258" s="83"/>
      <c r="L258" s="100"/>
      <c r="M258" s="3" t="s">
        <v>217</v>
      </c>
      <c r="O258" s="3">
        <f t="shared" si="5"/>
        <v>258</v>
      </c>
    </row>
    <row r="259" spans="1:17" ht="13.15" customHeight="1">
      <c r="B259" s="157" t="s">
        <v>356</v>
      </c>
      <c r="C259" s="256" t="s">
        <v>248</v>
      </c>
      <c r="D259" s="256"/>
      <c r="E259" s="256"/>
      <c r="F259" s="256"/>
      <c r="G259" s="256"/>
      <c r="H259" s="256"/>
      <c r="I259" s="256"/>
      <c r="J259" s="256"/>
      <c r="K259" s="256"/>
      <c r="M259" s="3" t="s">
        <v>217</v>
      </c>
      <c r="O259" s="3">
        <f t="shared" si="5"/>
        <v>259</v>
      </c>
    </row>
    <row r="260" spans="1:17" ht="13.15" customHeight="1">
      <c r="C260" s="256"/>
      <c r="D260" s="256"/>
      <c r="E260" s="256"/>
      <c r="F260" s="256"/>
      <c r="G260" s="256"/>
      <c r="H260" s="256"/>
      <c r="I260" s="256"/>
      <c r="J260" s="256"/>
      <c r="K260" s="256"/>
      <c r="M260" s="3" t="s">
        <v>217</v>
      </c>
      <c r="O260" s="3">
        <f t="shared" si="5"/>
        <v>260</v>
      </c>
    </row>
    <row r="261" spans="1:17" ht="13.15" customHeight="1">
      <c r="C261" s="256"/>
      <c r="D261" s="256"/>
      <c r="E261" s="256"/>
      <c r="F261" s="256"/>
      <c r="G261" s="256"/>
      <c r="H261" s="256"/>
      <c r="I261" s="256"/>
      <c r="J261" s="256"/>
      <c r="K261" s="256"/>
      <c r="M261" s="3" t="s">
        <v>217</v>
      </c>
      <c r="O261" s="3">
        <f t="shared" si="5"/>
        <v>261</v>
      </c>
    </row>
    <row r="262" spans="1:17" ht="13.15" customHeight="1">
      <c r="C262" s="256"/>
      <c r="D262" s="256"/>
      <c r="E262" s="256"/>
      <c r="F262" s="256"/>
      <c r="G262" s="256"/>
      <c r="H262" s="256"/>
      <c r="I262" s="256"/>
      <c r="J262" s="256"/>
      <c r="K262" s="256"/>
      <c r="M262" s="3" t="s">
        <v>217</v>
      </c>
      <c r="O262" s="3">
        <f t="shared" si="5"/>
        <v>262</v>
      </c>
    </row>
    <row r="263" spans="1:17" ht="13.15" customHeight="1">
      <c r="C263" s="256"/>
      <c r="D263" s="256"/>
      <c r="E263" s="256"/>
      <c r="F263" s="256"/>
      <c r="G263" s="256"/>
      <c r="H263" s="256"/>
      <c r="I263" s="256"/>
      <c r="J263" s="256"/>
      <c r="K263" s="256"/>
      <c r="M263" s="3" t="s">
        <v>217</v>
      </c>
      <c r="O263" s="3">
        <f t="shared" si="5"/>
        <v>263</v>
      </c>
    </row>
    <row r="264" spans="1:17" ht="13.15" customHeight="1">
      <c r="C264" s="256"/>
      <c r="D264" s="256"/>
      <c r="E264" s="256"/>
      <c r="F264" s="256"/>
      <c r="G264" s="256"/>
      <c r="H264" s="256"/>
      <c r="I264" s="256"/>
      <c r="J264" s="256"/>
      <c r="K264" s="256"/>
      <c r="M264" s="3" t="s">
        <v>217</v>
      </c>
      <c r="O264" s="3">
        <f t="shared" si="5"/>
        <v>264</v>
      </c>
    </row>
    <row r="265" spans="1:17" ht="13.15" customHeight="1">
      <c r="A265" s="3"/>
      <c r="C265" s="256"/>
      <c r="D265" s="256"/>
      <c r="E265" s="256"/>
      <c r="F265" s="256"/>
      <c r="G265" s="256"/>
      <c r="H265" s="256"/>
      <c r="I265" s="256"/>
      <c r="J265" s="256"/>
      <c r="K265" s="256"/>
      <c r="M265" s="3" t="s">
        <v>217</v>
      </c>
      <c r="O265" s="3">
        <f t="shared" si="5"/>
        <v>265</v>
      </c>
    </row>
    <row r="266" spans="1:17" ht="13.15" customHeight="1">
      <c r="C266" s="256"/>
      <c r="D266" s="256"/>
      <c r="E266" s="256"/>
      <c r="F266" s="256"/>
      <c r="G266" s="256"/>
      <c r="H266" s="256"/>
      <c r="I266" s="256"/>
      <c r="J266" s="256"/>
      <c r="K266" s="256"/>
      <c r="M266" s="3" t="s">
        <v>217</v>
      </c>
      <c r="O266" s="3">
        <f t="shared" si="5"/>
        <v>266</v>
      </c>
    </row>
    <row r="267" spans="1:17" ht="13.15" customHeight="1">
      <c r="C267" s="256"/>
      <c r="D267" s="256"/>
      <c r="E267" s="256"/>
      <c r="F267" s="256"/>
      <c r="G267" s="256"/>
      <c r="H267" s="256"/>
      <c r="I267" s="256"/>
      <c r="J267" s="256"/>
      <c r="K267" s="256"/>
      <c r="M267" s="3" t="s">
        <v>217</v>
      </c>
      <c r="O267" s="3">
        <f t="shared" si="5"/>
        <v>267</v>
      </c>
    </row>
    <row r="268" spans="1:17" ht="13.15" customHeight="1">
      <c r="C268" s="256"/>
      <c r="D268" s="256"/>
      <c r="E268" s="256"/>
      <c r="F268" s="256"/>
      <c r="G268" s="256"/>
      <c r="H268" s="256"/>
      <c r="I268" s="256"/>
      <c r="J268" s="256"/>
      <c r="K268" s="256"/>
      <c r="M268" s="3" t="s">
        <v>217</v>
      </c>
      <c r="O268" s="3">
        <f t="shared" si="5"/>
        <v>268</v>
      </c>
    </row>
    <row r="269" spans="1:17" ht="15.6" customHeight="1">
      <c r="C269" s="101"/>
      <c r="D269" s="101"/>
      <c r="E269" s="101"/>
      <c r="F269" s="101"/>
      <c r="G269" s="101"/>
      <c r="H269" s="101"/>
      <c r="I269" s="101"/>
      <c r="J269" s="101"/>
      <c r="K269" s="101"/>
      <c r="M269" s="3" t="s">
        <v>217</v>
      </c>
      <c r="O269" s="3">
        <f t="shared" si="5"/>
        <v>269</v>
      </c>
    </row>
    <row r="270" spans="1:17" ht="13.15" customHeight="1">
      <c r="A270" s="139" t="s">
        <v>369</v>
      </c>
      <c r="B270" s="255" t="s">
        <v>249</v>
      </c>
      <c r="C270" s="255"/>
      <c r="D270" s="255"/>
      <c r="E270" s="255"/>
      <c r="F270" s="255"/>
      <c r="G270" s="255"/>
      <c r="H270" s="255"/>
      <c r="I270" s="255"/>
      <c r="J270" s="255"/>
      <c r="K270" s="255"/>
      <c r="L270" s="3">
        <v>14</v>
      </c>
      <c r="M270" s="3">
        <v>26</v>
      </c>
      <c r="N270" s="3">
        <v>9</v>
      </c>
      <c r="O270" s="3">
        <f t="shared" si="5"/>
        <v>270</v>
      </c>
    </row>
    <row r="271" spans="1:17" ht="13.15" customHeight="1">
      <c r="B271" s="255"/>
      <c r="C271" s="255"/>
      <c r="D271" s="255"/>
      <c r="E271" s="255"/>
      <c r="F271" s="255"/>
      <c r="G271" s="255"/>
      <c r="H271" s="255"/>
      <c r="I271" s="255"/>
      <c r="J271" s="255"/>
      <c r="K271" s="255"/>
      <c r="M271" s="3" t="s">
        <v>217</v>
      </c>
      <c r="O271" s="3">
        <f t="shared" si="5"/>
        <v>271</v>
      </c>
    </row>
    <row r="272" spans="1:17" ht="13.15" customHeight="1">
      <c r="B272" s="255"/>
      <c r="C272" s="255"/>
      <c r="D272" s="255"/>
      <c r="E272" s="255"/>
      <c r="F272" s="255"/>
      <c r="G272" s="255"/>
      <c r="H272" s="255"/>
      <c r="I272" s="255"/>
      <c r="J272" s="255"/>
      <c r="K272" s="255"/>
      <c r="M272" s="3" t="s">
        <v>217</v>
      </c>
      <c r="O272" s="3">
        <f t="shared" si="5"/>
        <v>272</v>
      </c>
    </row>
    <row r="273" spans="1:15" ht="13.15" customHeight="1">
      <c r="B273" s="255"/>
      <c r="C273" s="255"/>
      <c r="D273" s="255"/>
      <c r="E273" s="255"/>
      <c r="F273" s="255"/>
      <c r="G273" s="255"/>
      <c r="H273" s="255"/>
      <c r="I273" s="255"/>
      <c r="J273" s="255"/>
      <c r="K273" s="255"/>
      <c r="M273" s="3" t="s">
        <v>217</v>
      </c>
      <c r="O273" s="3">
        <f t="shared" si="5"/>
        <v>273</v>
      </c>
    </row>
    <row r="274" spans="1:15" ht="13.15" customHeight="1">
      <c r="B274" s="255"/>
      <c r="C274" s="255"/>
      <c r="D274" s="255"/>
      <c r="E274" s="255"/>
      <c r="F274" s="255"/>
      <c r="G274" s="255"/>
      <c r="H274" s="255"/>
      <c r="I274" s="255"/>
      <c r="J274" s="255"/>
      <c r="K274" s="255"/>
      <c r="M274" s="3" t="s">
        <v>217</v>
      </c>
      <c r="O274" s="3">
        <f t="shared" si="5"/>
        <v>274</v>
      </c>
    </row>
    <row r="275" spans="1:15" ht="13.15" customHeight="1">
      <c r="B275" s="255"/>
      <c r="C275" s="255"/>
      <c r="D275" s="255"/>
      <c r="E275" s="255"/>
      <c r="F275" s="255"/>
      <c r="G275" s="255"/>
      <c r="H275" s="255"/>
      <c r="I275" s="255"/>
      <c r="J275" s="255"/>
      <c r="K275" s="255"/>
      <c r="M275" s="3" t="s">
        <v>217</v>
      </c>
      <c r="O275" s="3">
        <f t="shared" si="5"/>
        <v>275</v>
      </c>
    </row>
    <row r="276" spans="1:15" ht="13.15" customHeight="1">
      <c r="B276" s="255"/>
      <c r="C276" s="255"/>
      <c r="D276" s="255"/>
      <c r="E276" s="255"/>
      <c r="F276" s="255"/>
      <c r="G276" s="255"/>
      <c r="H276" s="255"/>
      <c r="I276" s="255"/>
      <c r="J276" s="255"/>
      <c r="K276" s="255"/>
      <c r="M276" s="3" t="s">
        <v>217</v>
      </c>
      <c r="O276" s="3">
        <f t="shared" si="5"/>
        <v>276</v>
      </c>
    </row>
    <row r="277" spans="1:15" ht="13.15" customHeight="1">
      <c r="B277" s="255"/>
      <c r="C277" s="255"/>
      <c r="D277" s="255"/>
      <c r="E277" s="255"/>
      <c r="F277" s="255"/>
      <c r="G277" s="255"/>
      <c r="H277" s="255"/>
      <c r="I277" s="255"/>
      <c r="J277" s="255"/>
      <c r="K277" s="255"/>
      <c r="M277" s="3" t="s">
        <v>217</v>
      </c>
      <c r="O277" s="3">
        <f t="shared" si="5"/>
        <v>277</v>
      </c>
    </row>
    <row r="278" spans="1:15" ht="13.15" customHeight="1">
      <c r="B278" s="255"/>
      <c r="C278" s="255"/>
      <c r="D278" s="255"/>
      <c r="E278" s="255"/>
      <c r="F278" s="255"/>
      <c r="G278" s="255"/>
      <c r="H278" s="255"/>
      <c r="I278" s="255"/>
      <c r="J278" s="255"/>
      <c r="K278" s="255"/>
      <c r="M278" s="3" t="s">
        <v>217</v>
      </c>
      <c r="O278" s="3">
        <f t="shared" si="5"/>
        <v>278</v>
      </c>
    </row>
    <row r="279" spans="1:15" ht="13.15" customHeight="1">
      <c r="B279" s="146"/>
      <c r="C279" s="146"/>
      <c r="D279" s="146"/>
      <c r="E279" s="146"/>
      <c r="F279" s="146"/>
      <c r="G279" s="146"/>
      <c r="H279" s="146"/>
      <c r="I279" s="146"/>
      <c r="J279" s="146"/>
      <c r="K279" s="146"/>
    </row>
    <row r="280" spans="1:15" ht="13.15" customHeight="1">
      <c r="B280" s="157" t="s">
        <v>356</v>
      </c>
      <c r="C280" s="263" t="s">
        <v>425</v>
      </c>
      <c r="D280" s="263"/>
      <c r="E280" s="263"/>
      <c r="F280" s="263"/>
      <c r="G280" s="263"/>
      <c r="H280" s="263"/>
      <c r="I280" s="263"/>
      <c r="J280" s="263"/>
      <c r="K280" s="263"/>
      <c r="L280" s="165"/>
    </row>
    <row r="281" spans="1:15" ht="13.15" customHeight="1">
      <c r="C281" s="263"/>
      <c r="D281" s="263"/>
      <c r="E281" s="263"/>
      <c r="F281" s="263"/>
      <c r="G281" s="263"/>
      <c r="H281" s="263"/>
      <c r="I281" s="263"/>
      <c r="J281" s="263"/>
      <c r="K281" s="263"/>
    </row>
    <row r="282" spans="1:15" ht="13.15" customHeight="1">
      <c r="B282" s="146"/>
      <c r="C282" s="263"/>
      <c r="D282" s="263"/>
      <c r="E282" s="263"/>
      <c r="F282" s="263"/>
      <c r="G282" s="263"/>
      <c r="H282" s="263"/>
      <c r="I282" s="263"/>
      <c r="J282" s="263"/>
      <c r="K282" s="263"/>
    </row>
    <row r="283" spans="1:15" ht="13.15" customHeight="1">
      <c r="B283" s="146"/>
      <c r="C283" s="263"/>
      <c r="D283" s="263"/>
      <c r="E283" s="263"/>
      <c r="F283" s="263"/>
      <c r="G283" s="263"/>
      <c r="H283" s="263"/>
      <c r="I283" s="263"/>
      <c r="J283" s="263"/>
      <c r="K283" s="263"/>
    </row>
    <row r="284" spans="1:15" ht="13.15" customHeight="1">
      <c r="B284" s="146"/>
      <c r="C284" s="263"/>
      <c r="D284" s="263"/>
      <c r="E284" s="263"/>
      <c r="F284" s="263"/>
      <c r="G284" s="263"/>
      <c r="H284" s="263"/>
      <c r="I284" s="263"/>
      <c r="J284" s="263"/>
      <c r="K284" s="263"/>
    </row>
    <row r="285" spans="1:15" ht="13.15" customHeight="1">
      <c r="B285" s="83"/>
      <c r="C285" s="83"/>
      <c r="D285" s="83"/>
      <c r="E285" s="83"/>
      <c r="F285" s="83"/>
      <c r="G285" s="83"/>
      <c r="H285" s="83"/>
      <c r="I285" s="83"/>
      <c r="J285" s="83"/>
      <c r="K285" s="83"/>
      <c r="M285" s="3" t="s">
        <v>217</v>
      </c>
      <c r="O285" s="3">
        <f t="shared" si="5"/>
        <v>285</v>
      </c>
    </row>
    <row r="286" spans="1:15" ht="13.15" customHeight="1">
      <c r="B286" s="157" t="s">
        <v>356</v>
      </c>
      <c r="C286" s="256" t="s">
        <v>250</v>
      </c>
      <c r="D286" s="256"/>
      <c r="E286" s="256"/>
      <c r="F286" s="256"/>
      <c r="G286" s="256"/>
      <c r="H286" s="256"/>
      <c r="I286" s="256"/>
      <c r="J286" s="256"/>
      <c r="K286" s="256"/>
      <c r="M286" s="3" t="s">
        <v>217</v>
      </c>
      <c r="O286" s="3">
        <f t="shared" si="5"/>
        <v>286</v>
      </c>
    </row>
    <row r="287" spans="1:15" ht="13.15" customHeight="1">
      <c r="A287" s="3"/>
      <c r="B287" s="83"/>
      <c r="C287" s="256"/>
      <c r="D287" s="256"/>
      <c r="E287" s="256"/>
      <c r="F287" s="256"/>
      <c r="G287" s="256"/>
      <c r="H287" s="256"/>
      <c r="I287" s="256"/>
      <c r="J287" s="256"/>
      <c r="K287" s="256"/>
      <c r="M287" s="3" t="s">
        <v>217</v>
      </c>
      <c r="O287" s="3">
        <f t="shared" si="5"/>
        <v>287</v>
      </c>
    </row>
    <row r="288" spans="1:15" ht="13.15" customHeight="1">
      <c r="B288" s="83"/>
      <c r="C288" s="256"/>
      <c r="D288" s="256"/>
      <c r="E288" s="256"/>
      <c r="F288" s="256"/>
      <c r="G288" s="256"/>
      <c r="H288" s="256"/>
      <c r="I288" s="256"/>
      <c r="J288" s="256"/>
      <c r="K288" s="256"/>
      <c r="M288" s="3" t="s">
        <v>217</v>
      </c>
      <c r="O288" s="3">
        <f t="shared" si="5"/>
        <v>288</v>
      </c>
    </row>
    <row r="289" spans="1:15" ht="13.15" customHeight="1">
      <c r="B289" s="83"/>
      <c r="C289" s="256"/>
      <c r="D289" s="256"/>
      <c r="E289" s="256"/>
      <c r="F289" s="256"/>
      <c r="G289" s="256"/>
      <c r="H289" s="256"/>
      <c r="I289" s="256"/>
      <c r="J289" s="256"/>
      <c r="K289" s="256"/>
      <c r="M289" s="3" t="s">
        <v>217</v>
      </c>
      <c r="O289" s="3">
        <f t="shared" si="5"/>
        <v>289</v>
      </c>
    </row>
    <row r="290" spans="1:15" ht="13.15" customHeight="1">
      <c r="B290" s="83"/>
      <c r="C290" s="256"/>
      <c r="D290" s="256"/>
      <c r="E290" s="256"/>
      <c r="F290" s="256"/>
      <c r="G290" s="256"/>
      <c r="H290" s="256"/>
      <c r="I290" s="256"/>
      <c r="J290" s="256"/>
      <c r="K290" s="256"/>
      <c r="M290" s="3" t="s">
        <v>217</v>
      </c>
      <c r="O290" s="3">
        <f t="shared" si="5"/>
        <v>290</v>
      </c>
    </row>
    <row r="291" spans="1:15" ht="13.15" customHeight="1">
      <c r="B291" s="83"/>
      <c r="C291" s="256"/>
      <c r="D291" s="256"/>
      <c r="E291" s="256"/>
      <c r="F291" s="256"/>
      <c r="G291" s="256"/>
      <c r="H291" s="256"/>
      <c r="I291" s="256"/>
      <c r="J291" s="256"/>
      <c r="K291" s="256"/>
      <c r="M291" s="3" t="s">
        <v>217</v>
      </c>
      <c r="O291" s="3">
        <f t="shared" si="5"/>
        <v>291</v>
      </c>
    </row>
    <row r="292" spans="1:15" ht="13.15" customHeight="1">
      <c r="B292" s="83"/>
      <c r="C292" s="256"/>
      <c r="D292" s="256"/>
      <c r="E292" s="256"/>
      <c r="F292" s="256"/>
      <c r="G292" s="256"/>
      <c r="H292" s="256"/>
      <c r="I292" s="256"/>
      <c r="J292" s="256"/>
      <c r="K292" s="256"/>
      <c r="M292" s="3" t="s">
        <v>217</v>
      </c>
      <c r="O292" s="3">
        <f t="shared" si="5"/>
        <v>292</v>
      </c>
    </row>
    <row r="293" spans="1:15" ht="13.15" customHeight="1">
      <c r="B293" s="83"/>
      <c r="C293" s="256"/>
      <c r="D293" s="256"/>
      <c r="E293" s="256"/>
      <c r="F293" s="256"/>
      <c r="G293" s="256"/>
      <c r="H293" s="256"/>
      <c r="I293" s="256"/>
      <c r="J293" s="256"/>
      <c r="K293" s="256"/>
      <c r="M293" s="3" t="s">
        <v>217</v>
      </c>
      <c r="O293" s="3">
        <f t="shared" si="5"/>
        <v>293</v>
      </c>
    </row>
    <row r="294" spans="1:15" ht="13.15" customHeight="1">
      <c r="B294" s="102"/>
      <c r="C294" s="256"/>
      <c r="D294" s="256"/>
      <c r="E294" s="256"/>
      <c r="F294" s="256"/>
      <c r="G294" s="256"/>
      <c r="H294" s="256"/>
      <c r="I294" s="256"/>
      <c r="J294" s="256"/>
      <c r="K294" s="256"/>
      <c r="M294" s="3" t="s">
        <v>217</v>
      </c>
      <c r="O294" s="3">
        <f t="shared" si="5"/>
        <v>294</v>
      </c>
    </row>
    <row r="295" spans="1:15" ht="13.15" customHeight="1">
      <c r="B295" s="102"/>
      <c r="C295" s="256"/>
      <c r="D295" s="256"/>
      <c r="E295" s="256"/>
      <c r="F295" s="256"/>
      <c r="G295" s="256"/>
      <c r="H295" s="256"/>
      <c r="I295" s="256"/>
      <c r="J295" s="256"/>
      <c r="K295" s="256"/>
      <c r="M295" s="3" t="s">
        <v>217</v>
      </c>
      <c r="O295" s="3">
        <f t="shared" si="5"/>
        <v>295</v>
      </c>
    </row>
    <row r="296" spans="1:15" ht="13.15" customHeight="1">
      <c r="C296" s="103"/>
      <c r="D296" s="103"/>
      <c r="E296" s="103"/>
      <c r="F296" s="103"/>
      <c r="G296" s="103"/>
      <c r="H296" s="103"/>
      <c r="I296" s="103"/>
      <c r="J296" s="103"/>
      <c r="K296" s="103"/>
      <c r="M296" s="3" t="s">
        <v>217</v>
      </c>
      <c r="O296" s="3">
        <f t="shared" si="5"/>
        <v>296</v>
      </c>
    </row>
    <row r="297" spans="1:15" ht="13.15" customHeight="1">
      <c r="A297" s="139" t="s">
        <v>370</v>
      </c>
      <c r="B297" s="255" t="s">
        <v>251</v>
      </c>
      <c r="C297" s="255"/>
      <c r="D297" s="255"/>
      <c r="E297" s="255"/>
      <c r="F297" s="255"/>
      <c r="G297" s="255"/>
      <c r="H297" s="255"/>
      <c r="I297" s="255"/>
      <c r="J297" s="255"/>
      <c r="K297" s="255"/>
      <c r="L297" s="3">
        <v>15</v>
      </c>
      <c r="M297" s="3">
        <v>16</v>
      </c>
      <c r="N297" s="3">
        <v>8</v>
      </c>
      <c r="O297" s="3">
        <f t="shared" si="5"/>
        <v>297</v>
      </c>
    </row>
    <row r="298" spans="1:15" ht="13.15" customHeight="1">
      <c r="B298" s="255"/>
      <c r="C298" s="255"/>
      <c r="D298" s="255"/>
      <c r="E298" s="255"/>
      <c r="F298" s="255"/>
      <c r="G298" s="255"/>
      <c r="H298" s="255"/>
      <c r="I298" s="255"/>
      <c r="J298" s="255"/>
      <c r="K298" s="255"/>
      <c r="M298" s="3" t="s">
        <v>217</v>
      </c>
      <c r="O298" s="3">
        <f t="shared" si="5"/>
        <v>298</v>
      </c>
    </row>
    <row r="299" spans="1:15" ht="13.15" customHeight="1">
      <c r="B299" s="255"/>
      <c r="C299" s="255"/>
      <c r="D299" s="255"/>
      <c r="E299" s="255"/>
      <c r="F299" s="255"/>
      <c r="G299" s="255"/>
      <c r="H299" s="255"/>
      <c r="I299" s="255"/>
      <c r="J299" s="255"/>
      <c r="K299" s="255"/>
      <c r="M299" s="3" t="s">
        <v>217</v>
      </c>
      <c r="O299" s="3">
        <f t="shared" si="5"/>
        <v>299</v>
      </c>
    </row>
    <row r="300" spans="1:15" ht="13.15" customHeight="1">
      <c r="B300" s="255"/>
      <c r="C300" s="255"/>
      <c r="D300" s="255"/>
      <c r="E300" s="255"/>
      <c r="F300" s="255"/>
      <c r="G300" s="255"/>
      <c r="H300" s="255"/>
      <c r="I300" s="255"/>
      <c r="J300" s="255"/>
      <c r="K300" s="255"/>
      <c r="M300" s="3" t="s">
        <v>217</v>
      </c>
      <c r="O300" s="3">
        <f t="shared" si="5"/>
        <v>300</v>
      </c>
    </row>
    <row r="301" spans="1:15" ht="13.15" customHeight="1">
      <c r="B301" s="255"/>
      <c r="C301" s="255"/>
      <c r="D301" s="255"/>
      <c r="E301" s="255"/>
      <c r="F301" s="255"/>
      <c r="G301" s="255"/>
      <c r="H301" s="255"/>
      <c r="I301" s="255"/>
      <c r="J301" s="255"/>
      <c r="K301" s="255"/>
      <c r="M301" s="3" t="s">
        <v>217</v>
      </c>
      <c r="O301" s="3">
        <f t="shared" si="5"/>
        <v>301</v>
      </c>
    </row>
    <row r="302" spans="1:15" ht="13.15" customHeight="1">
      <c r="B302" s="255"/>
      <c r="C302" s="255"/>
      <c r="D302" s="255"/>
      <c r="E302" s="255"/>
      <c r="F302" s="255"/>
      <c r="G302" s="255"/>
      <c r="H302" s="255"/>
      <c r="I302" s="255"/>
      <c r="J302" s="255"/>
      <c r="K302" s="255"/>
      <c r="M302" s="3" t="s">
        <v>217</v>
      </c>
      <c r="O302" s="3">
        <f t="shared" si="5"/>
        <v>302</v>
      </c>
    </row>
    <row r="303" spans="1:15" ht="13.15" customHeight="1">
      <c r="B303" s="255"/>
      <c r="C303" s="255"/>
      <c r="D303" s="255"/>
      <c r="E303" s="255"/>
      <c r="F303" s="255"/>
      <c r="G303" s="255"/>
      <c r="H303" s="255"/>
      <c r="I303" s="255"/>
      <c r="J303" s="255"/>
      <c r="K303" s="255"/>
      <c r="M303" s="3" t="s">
        <v>217</v>
      </c>
      <c r="O303" s="3">
        <f t="shared" si="5"/>
        <v>303</v>
      </c>
    </row>
    <row r="304" spans="1:15" ht="13.15" customHeight="1">
      <c r="B304" s="255"/>
      <c r="C304" s="255"/>
      <c r="D304" s="255"/>
      <c r="E304" s="255"/>
      <c r="F304" s="255"/>
      <c r="G304" s="255"/>
      <c r="H304" s="255"/>
      <c r="I304" s="255"/>
      <c r="J304" s="255"/>
      <c r="K304" s="255"/>
      <c r="M304" s="3" t="s">
        <v>217</v>
      </c>
      <c r="O304" s="3">
        <f t="shared" si="5"/>
        <v>304</v>
      </c>
    </row>
    <row r="305" spans="1:15" ht="13.15" customHeight="1">
      <c r="B305" s="151"/>
      <c r="C305" s="151"/>
      <c r="D305" s="151"/>
      <c r="E305" s="151"/>
      <c r="F305" s="151"/>
      <c r="G305" s="151"/>
      <c r="H305" s="151"/>
      <c r="I305" s="151"/>
      <c r="J305" s="151"/>
      <c r="K305" s="151"/>
      <c r="M305" s="3" t="s">
        <v>217</v>
      </c>
      <c r="O305" s="3">
        <f t="shared" si="5"/>
        <v>305</v>
      </c>
    </row>
    <row r="306" spans="1:15" ht="13.15" customHeight="1">
      <c r="B306" s="157" t="s">
        <v>356</v>
      </c>
      <c r="C306" s="256" t="s">
        <v>252</v>
      </c>
      <c r="D306" s="256"/>
      <c r="E306" s="256"/>
      <c r="F306" s="256"/>
      <c r="G306" s="256"/>
      <c r="H306" s="256"/>
      <c r="I306" s="256"/>
      <c r="J306" s="256"/>
      <c r="K306" s="256"/>
      <c r="M306" s="3" t="s">
        <v>217</v>
      </c>
      <c r="O306" s="3">
        <f t="shared" si="5"/>
        <v>306</v>
      </c>
    </row>
    <row r="307" spans="1:15" ht="13.15" customHeight="1">
      <c r="C307" s="256"/>
      <c r="D307" s="256"/>
      <c r="E307" s="256"/>
      <c r="F307" s="256"/>
      <c r="G307" s="256"/>
      <c r="H307" s="256"/>
      <c r="I307" s="256"/>
      <c r="J307" s="256"/>
      <c r="K307" s="256"/>
      <c r="M307" s="3" t="s">
        <v>217</v>
      </c>
      <c r="O307" s="3">
        <f t="shared" si="5"/>
        <v>307</v>
      </c>
    </row>
    <row r="308" spans="1:15" ht="13.15" customHeight="1">
      <c r="C308" s="256"/>
      <c r="D308" s="256"/>
      <c r="E308" s="256"/>
      <c r="F308" s="256"/>
      <c r="G308" s="256"/>
      <c r="H308" s="256"/>
      <c r="I308" s="256"/>
      <c r="J308" s="256"/>
      <c r="K308" s="256"/>
      <c r="M308" s="3" t="s">
        <v>217</v>
      </c>
      <c r="O308" s="3">
        <f t="shared" si="5"/>
        <v>308</v>
      </c>
    </row>
    <row r="309" spans="1:15" ht="13.15" customHeight="1">
      <c r="C309" s="256"/>
      <c r="D309" s="256"/>
      <c r="E309" s="256"/>
      <c r="F309" s="256"/>
      <c r="G309" s="256"/>
      <c r="H309" s="256"/>
      <c r="I309" s="256"/>
      <c r="J309" s="256"/>
      <c r="K309" s="256"/>
      <c r="M309" s="3" t="s">
        <v>217</v>
      </c>
      <c r="O309" s="3">
        <f t="shared" si="5"/>
        <v>309</v>
      </c>
    </row>
    <row r="310" spans="1:15" ht="13.15" customHeight="1">
      <c r="C310" s="256"/>
      <c r="D310" s="256"/>
      <c r="E310" s="256"/>
      <c r="F310" s="256"/>
      <c r="G310" s="256"/>
      <c r="H310" s="256"/>
      <c r="I310" s="256"/>
      <c r="J310" s="256"/>
      <c r="K310" s="256"/>
      <c r="M310" s="3" t="s">
        <v>217</v>
      </c>
      <c r="O310" s="3">
        <f t="shared" si="5"/>
        <v>310</v>
      </c>
    </row>
    <row r="311" spans="1:15" ht="13.15" customHeight="1">
      <c r="C311" s="256"/>
      <c r="D311" s="256"/>
      <c r="E311" s="256"/>
      <c r="F311" s="256"/>
      <c r="G311" s="256"/>
      <c r="H311" s="256"/>
      <c r="I311" s="256"/>
      <c r="J311" s="256"/>
      <c r="K311" s="256"/>
      <c r="M311" s="3" t="s">
        <v>217</v>
      </c>
      <c r="O311" s="3">
        <f t="shared" si="5"/>
        <v>311</v>
      </c>
    </row>
    <row r="312" spans="1:15" ht="13.15" customHeight="1">
      <c r="A312" s="3"/>
      <c r="C312" s="256"/>
      <c r="D312" s="256"/>
      <c r="E312" s="256"/>
      <c r="F312" s="256"/>
      <c r="G312" s="256"/>
      <c r="H312" s="256"/>
      <c r="I312" s="256"/>
      <c r="J312" s="256"/>
      <c r="K312" s="256"/>
      <c r="M312" s="3" t="s">
        <v>217</v>
      </c>
      <c r="O312" s="3">
        <f t="shared" si="5"/>
        <v>312</v>
      </c>
    </row>
    <row r="313" spans="1:15" ht="13.15" customHeight="1">
      <c r="M313" s="3" t="s">
        <v>217</v>
      </c>
      <c r="O313" s="3">
        <f t="shared" si="5"/>
        <v>313</v>
      </c>
    </row>
    <row r="314" spans="1:15" ht="13.15" customHeight="1">
      <c r="A314" s="139" t="s">
        <v>371</v>
      </c>
      <c r="B314" s="255" t="s">
        <v>253</v>
      </c>
      <c r="C314" s="255"/>
      <c r="D314" s="255"/>
      <c r="E314" s="255"/>
      <c r="F314" s="255"/>
      <c r="G314" s="255"/>
      <c r="H314" s="255"/>
      <c r="I314" s="255"/>
      <c r="J314" s="255"/>
      <c r="K314" s="255"/>
      <c r="L314" s="3">
        <v>16</v>
      </c>
      <c r="M314" s="3">
        <v>12</v>
      </c>
      <c r="N314" s="3">
        <v>6</v>
      </c>
      <c r="O314" s="3">
        <f t="shared" si="5"/>
        <v>314</v>
      </c>
    </row>
    <row r="315" spans="1:15" ht="13.15" customHeight="1">
      <c r="B315" s="255"/>
      <c r="C315" s="255"/>
      <c r="D315" s="255"/>
      <c r="E315" s="255"/>
      <c r="F315" s="255"/>
      <c r="G315" s="255"/>
      <c r="H315" s="255"/>
      <c r="I315" s="255"/>
      <c r="J315" s="255"/>
      <c r="K315" s="255"/>
      <c r="M315" s="3" t="s">
        <v>217</v>
      </c>
      <c r="O315" s="3">
        <f t="shared" si="5"/>
        <v>315</v>
      </c>
    </row>
    <row r="316" spans="1:15" ht="13.15" customHeight="1">
      <c r="B316" s="255"/>
      <c r="C316" s="255"/>
      <c r="D316" s="255"/>
      <c r="E316" s="255"/>
      <c r="F316" s="255"/>
      <c r="G316" s="255"/>
      <c r="H316" s="255"/>
      <c r="I316" s="255"/>
      <c r="J316" s="255"/>
      <c r="K316" s="255"/>
      <c r="M316" s="3" t="s">
        <v>217</v>
      </c>
      <c r="O316" s="3">
        <f t="shared" si="5"/>
        <v>316</v>
      </c>
    </row>
    <row r="317" spans="1:15" ht="13.15" customHeight="1">
      <c r="B317" s="255"/>
      <c r="C317" s="255"/>
      <c r="D317" s="255"/>
      <c r="E317" s="255"/>
      <c r="F317" s="255"/>
      <c r="G317" s="255"/>
      <c r="H317" s="255"/>
      <c r="I317" s="255"/>
      <c r="J317" s="255"/>
      <c r="K317" s="255"/>
      <c r="M317" s="3" t="s">
        <v>217</v>
      </c>
      <c r="O317" s="3">
        <f t="shared" si="5"/>
        <v>317</v>
      </c>
    </row>
    <row r="318" spans="1:15" ht="13.15" customHeight="1">
      <c r="B318" s="255"/>
      <c r="C318" s="255"/>
      <c r="D318" s="255"/>
      <c r="E318" s="255"/>
      <c r="F318" s="255"/>
      <c r="G318" s="255"/>
      <c r="H318" s="255"/>
      <c r="I318" s="255"/>
      <c r="J318" s="255"/>
      <c r="K318" s="255"/>
      <c r="M318" s="3" t="s">
        <v>217</v>
      </c>
      <c r="O318" s="3">
        <f t="shared" si="5"/>
        <v>318</v>
      </c>
    </row>
    <row r="319" spans="1:15" ht="13.15" customHeight="1">
      <c r="B319" s="255"/>
      <c r="C319" s="255"/>
      <c r="D319" s="255"/>
      <c r="E319" s="255"/>
      <c r="F319" s="255"/>
      <c r="G319" s="255"/>
      <c r="H319" s="255"/>
      <c r="I319" s="255"/>
      <c r="J319" s="255"/>
      <c r="K319" s="255"/>
      <c r="M319" s="3" t="s">
        <v>217</v>
      </c>
      <c r="O319" s="3">
        <f t="shared" si="5"/>
        <v>319</v>
      </c>
    </row>
    <row r="320" spans="1:15" ht="13.15" customHeight="1">
      <c r="B320" s="146"/>
      <c r="C320" s="146"/>
      <c r="D320" s="146"/>
      <c r="E320" s="146"/>
      <c r="F320" s="146"/>
      <c r="G320" s="146"/>
      <c r="H320" s="146"/>
      <c r="I320" s="146"/>
      <c r="J320" s="146"/>
      <c r="K320" s="146"/>
      <c r="M320" s="3" t="s">
        <v>217</v>
      </c>
      <c r="O320" s="3">
        <f t="shared" si="5"/>
        <v>320</v>
      </c>
    </row>
    <row r="321" spans="1:15" ht="13.15" customHeight="1">
      <c r="B321" s="157" t="s">
        <v>356</v>
      </c>
      <c r="C321" s="256" t="s">
        <v>185</v>
      </c>
      <c r="D321" s="256"/>
      <c r="E321" s="256"/>
      <c r="F321" s="256"/>
      <c r="G321" s="256"/>
      <c r="H321" s="256"/>
      <c r="I321" s="256"/>
      <c r="J321" s="256"/>
      <c r="K321" s="90"/>
      <c r="M321" s="3" t="s">
        <v>217</v>
      </c>
      <c r="O321" s="3">
        <f t="shared" ref="O321:O384" si="6">ROW(M321)</f>
        <v>321</v>
      </c>
    </row>
    <row r="322" spans="1:15" ht="13.15" customHeight="1">
      <c r="B322" s="90"/>
      <c r="C322" s="256"/>
      <c r="D322" s="256"/>
      <c r="E322" s="256"/>
      <c r="F322" s="256"/>
      <c r="G322" s="256"/>
      <c r="H322" s="256"/>
      <c r="I322" s="256"/>
      <c r="J322" s="256"/>
      <c r="K322" s="90"/>
      <c r="M322" s="3" t="s">
        <v>217</v>
      </c>
      <c r="O322" s="3">
        <f t="shared" si="6"/>
        <v>322</v>
      </c>
    </row>
    <row r="323" spans="1:15" ht="13.15" customHeight="1">
      <c r="B323" s="90"/>
      <c r="C323" s="256"/>
      <c r="D323" s="256"/>
      <c r="E323" s="256"/>
      <c r="F323" s="256"/>
      <c r="G323" s="256"/>
      <c r="H323" s="256"/>
      <c r="I323" s="256"/>
      <c r="J323" s="256"/>
      <c r="K323" s="90"/>
      <c r="M323" s="3" t="s">
        <v>217</v>
      </c>
      <c r="O323" s="3">
        <f t="shared" si="6"/>
        <v>323</v>
      </c>
    </row>
    <row r="324" spans="1:15" ht="13.15" customHeight="1">
      <c r="B324" s="90"/>
      <c r="C324" s="153"/>
      <c r="D324" s="153"/>
      <c r="E324" s="153"/>
      <c r="F324" s="153"/>
      <c r="G324" s="153"/>
      <c r="H324" s="153"/>
      <c r="I324" s="153"/>
      <c r="J324" s="153"/>
      <c r="K324" s="90"/>
      <c r="M324" s="3" t="s">
        <v>217</v>
      </c>
      <c r="O324" s="3">
        <f t="shared" si="6"/>
        <v>324</v>
      </c>
    </row>
    <row r="325" spans="1:15" ht="13.15" customHeight="1">
      <c r="B325" s="157" t="s">
        <v>356</v>
      </c>
      <c r="C325" s="262" t="s">
        <v>186</v>
      </c>
      <c r="D325" s="262"/>
      <c r="E325" s="262"/>
      <c r="F325" s="262"/>
      <c r="G325" s="262"/>
      <c r="H325" s="262"/>
      <c r="I325" s="262"/>
      <c r="J325" s="262"/>
      <c r="K325" s="262"/>
      <c r="M325" s="3" t="s">
        <v>217</v>
      </c>
      <c r="O325" s="3">
        <f t="shared" si="6"/>
        <v>325</v>
      </c>
    </row>
    <row r="326" spans="1:15" ht="13.15" customHeight="1">
      <c r="M326" s="3" t="s">
        <v>217</v>
      </c>
      <c r="O326" s="3">
        <f t="shared" si="6"/>
        <v>326</v>
      </c>
    </row>
    <row r="327" spans="1:15" ht="13.15" customHeight="1">
      <c r="A327" s="139" t="s">
        <v>372</v>
      </c>
      <c r="B327" s="255" t="s">
        <v>254</v>
      </c>
      <c r="C327" s="255"/>
      <c r="D327" s="255"/>
      <c r="E327" s="255"/>
      <c r="F327" s="255"/>
      <c r="G327" s="255"/>
      <c r="H327" s="255"/>
      <c r="I327" s="255"/>
      <c r="J327" s="255"/>
      <c r="K327" s="255"/>
      <c r="L327" s="3">
        <v>17</v>
      </c>
      <c r="M327" s="3">
        <v>10</v>
      </c>
      <c r="N327" s="3">
        <v>5</v>
      </c>
      <c r="O327" s="3">
        <f t="shared" si="6"/>
        <v>327</v>
      </c>
    </row>
    <row r="328" spans="1:15" ht="13.15" customHeight="1">
      <c r="B328" s="255"/>
      <c r="C328" s="255"/>
      <c r="D328" s="255"/>
      <c r="E328" s="255"/>
      <c r="F328" s="255"/>
      <c r="G328" s="255"/>
      <c r="H328" s="255"/>
      <c r="I328" s="255"/>
      <c r="J328" s="255"/>
      <c r="K328" s="255"/>
      <c r="M328" s="3" t="s">
        <v>217</v>
      </c>
      <c r="O328" s="3">
        <f t="shared" si="6"/>
        <v>328</v>
      </c>
    </row>
    <row r="329" spans="1:15" ht="13.15" customHeight="1">
      <c r="B329" s="255"/>
      <c r="C329" s="255"/>
      <c r="D329" s="255"/>
      <c r="E329" s="255"/>
      <c r="F329" s="255"/>
      <c r="G329" s="255"/>
      <c r="H329" s="255"/>
      <c r="I329" s="255"/>
      <c r="J329" s="255"/>
      <c r="K329" s="255"/>
      <c r="M329" s="3" t="s">
        <v>217</v>
      </c>
      <c r="O329" s="3">
        <f t="shared" si="6"/>
        <v>329</v>
      </c>
    </row>
    <row r="330" spans="1:15" ht="13.15" customHeight="1">
      <c r="B330" s="255"/>
      <c r="C330" s="255"/>
      <c r="D330" s="255"/>
      <c r="E330" s="255"/>
      <c r="F330" s="255"/>
      <c r="G330" s="255"/>
      <c r="H330" s="255"/>
      <c r="I330" s="255"/>
      <c r="J330" s="255"/>
      <c r="K330" s="255"/>
      <c r="M330" s="3" t="s">
        <v>217</v>
      </c>
      <c r="O330" s="3">
        <f t="shared" si="6"/>
        <v>330</v>
      </c>
    </row>
    <row r="331" spans="1:15" ht="13.15" customHeight="1">
      <c r="B331" s="255"/>
      <c r="C331" s="255"/>
      <c r="D331" s="255"/>
      <c r="E331" s="255"/>
      <c r="F331" s="255"/>
      <c r="G331" s="255"/>
      <c r="H331" s="255"/>
      <c r="I331" s="255"/>
      <c r="J331" s="255"/>
      <c r="K331" s="255"/>
      <c r="M331" s="3" t="s">
        <v>217</v>
      </c>
      <c r="O331" s="3">
        <f t="shared" si="6"/>
        <v>331</v>
      </c>
    </row>
    <row r="332" spans="1:15" ht="13.15" customHeight="1">
      <c r="B332" s="146"/>
      <c r="C332" s="146"/>
      <c r="D332" s="146"/>
      <c r="E332" s="146"/>
      <c r="F332" s="146"/>
      <c r="G332" s="146"/>
      <c r="H332" s="146"/>
      <c r="I332" s="146"/>
      <c r="J332" s="146"/>
      <c r="K332" s="146"/>
      <c r="M332" s="3" t="s">
        <v>217</v>
      </c>
      <c r="O332" s="3">
        <f t="shared" si="6"/>
        <v>332</v>
      </c>
    </row>
    <row r="333" spans="1:15" ht="13.15" customHeight="1">
      <c r="B333" s="157" t="s">
        <v>356</v>
      </c>
      <c r="C333" s="256" t="s">
        <v>255</v>
      </c>
      <c r="D333" s="256"/>
      <c r="E333" s="256"/>
      <c r="F333" s="256"/>
      <c r="G333" s="256"/>
      <c r="H333" s="256"/>
      <c r="I333" s="256"/>
      <c r="J333" s="256"/>
      <c r="K333" s="256"/>
      <c r="M333" s="3" t="s">
        <v>217</v>
      </c>
      <c r="O333" s="3">
        <f t="shared" si="6"/>
        <v>333</v>
      </c>
    </row>
    <row r="334" spans="1:15" ht="13.15" customHeight="1">
      <c r="C334" s="256"/>
      <c r="D334" s="256"/>
      <c r="E334" s="256"/>
      <c r="F334" s="256"/>
      <c r="G334" s="256"/>
      <c r="H334" s="256"/>
      <c r="I334" s="256"/>
      <c r="J334" s="256"/>
      <c r="K334" s="256"/>
      <c r="M334" s="3" t="s">
        <v>217</v>
      </c>
      <c r="O334" s="3">
        <f t="shared" si="6"/>
        <v>334</v>
      </c>
    </row>
    <row r="335" spans="1:15" ht="13.15" customHeight="1">
      <c r="C335" s="256"/>
      <c r="D335" s="256"/>
      <c r="E335" s="256"/>
      <c r="F335" s="256"/>
      <c r="G335" s="256"/>
      <c r="H335" s="256"/>
      <c r="I335" s="256"/>
      <c r="J335" s="256"/>
      <c r="K335" s="256"/>
      <c r="M335" s="3" t="s">
        <v>217</v>
      </c>
      <c r="O335" s="3">
        <f t="shared" si="6"/>
        <v>335</v>
      </c>
    </row>
    <row r="336" spans="1:15" ht="13.15" customHeight="1">
      <c r="C336" s="256"/>
      <c r="D336" s="256"/>
      <c r="E336" s="256"/>
      <c r="F336" s="256"/>
      <c r="G336" s="256"/>
      <c r="H336" s="256"/>
      <c r="I336" s="256"/>
      <c r="J336" s="256"/>
      <c r="K336" s="256"/>
      <c r="M336" s="3" t="s">
        <v>217</v>
      </c>
      <c r="O336" s="3">
        <f t="shared" si="6"/>
        <v>336</v>
      </c>
    </row>
    <row r="337" spans="1:15" ht="13.15" customHeight="1">
      <c r="C337" s="86"/>
      <c r="D337" s="86"/>
      <c r="E337" s="86"/>
      <c r="F337" s="86"/>
      <c r="G337" s="86"/>
      <c r="H337" s="86"/>
      <c r="I337" s="86"/>
      <c r="J337" s="86"/>
      <c r="K337" s="86"/>
      <c r="M337" s="3" t="s">
        <v>217</v>
      </c>
      <c r="O337" s="3">
        <f t="shared" si="6"/>
        <v>337</v>
      </c>
    </row>
    <row r="338" spans="1:15" ht="13.15" customHeight="1">
      <c r="A338" s="139" t="s">
        <v>373</v>
      </c>
      <c r="B338" s="255" t="s">
        <v>256</v>
      </c>
      <c r="C338" s="255"/>
      <c r="D338" s="255"/>
      <c r="E338" s="255"/>
      <c r="F338" s="255"/>
      <c r="G338" s="255"/>
      <c r="H338" s="255"/>
      <c r="I338" s="255"/>
      <c r="J338" s="255"/>
      <c r="K338" s="255"/>
      <c r="L338" s="3">
        <v>18</v>
      </c>
      <c r="M338" s="3">
        <v>15</v>
      </c>
      <c r="N338" s="3">
        <v>6</v>
      </c>
      <c r="O338" s="3">
        <f t="shared" si="6"/>
        <v>338</v>
      </c>
    </row>
    <row r="339" spans="1:15" ht="13.15" customHeight="1">
      <c r="B339" s="255"/>
      <c r="C339" s="255"/>
      <c r="D339" s="255"/>
      <c r="E339" s="255"/>
      <c r="F339" s="255"/>
      <c r="G339" s="255"/>
      <c r="H339" s="255"/>
      <c r="I339" s="255"/>
      <c r="J339" s="255"/>
      <c r="K339" s="255"/>
      <c r="M339" s="3" t="s">
        <v>217</v>
      </c>
      <c r="O339" s="3">
        <f t="shared" si="6"/>
        <v>339</v>
      </c>
    </row>
    <row r="340" spans="1:15" ht="13.15" customHeight="1">
      <c r="B340" s="255"/>
      <c r="C340" s="255"/>
      <c r="D340" s="255"/>
      <c r="E340" s="255"/>
      <c r="F340" s="255"/>
      <c r="G340" s="255"/>
      <c r="H340" s="255"/>
      <c r="I340" s="255"/>
      <c r="J340" s="255"/>
      <c r="K340" s="255"/>
      <c r="M340" s="3" t="s">
        <v>217</v>
      </c>
      <c r="O340" s="3">
        <f t="shared" si="6"/>
        <v>340</v>
      </c>
    </row>
    <row r="341" spans="1:15" ht="13.15" customHeight="1">
      <c r="B341" s="255"/>
      <c r="C341" s="255"/>
      <c r="D341" s="255"/>
      <c r="E341" s="255"/>
      <c r="F341" s="255"/>
      <c r="G341" s="255"/>
      <c r="H341" s="255"/>
      <c r="I341" s="255"/>
      <c r="J341" s="255"/>
      <c r="K341" s="255"/>
      <c r="M341" s="3" t="s">
        <v>217</v>
      </c>
      <c r="O341" s="3">
        <f t="shared" si="6"/>
        <v>341</v>
      </c>
    </row>
    <row r="342" spans="1:15" ht="13.15" customHeight="1">
      <c r="B342" s="255"/>
      <c r="C342" s="255"/>
      <c r="D342" s="255"/>
      <c r="E342" s="255"/>
      <c r="F342" s="255"/>
      <c r="G342" s="255"/>
      <c r="H342" s="255"/>
      <c r="I342" s="255"/>
      <c r="J342" s="255"/>
      <c r="K342" s="255"/>
      <c r="M342" s="3" t="s">
        <v>217</v>
      </c>
      <c r="O342" s="3">
        <f t="shared" si="6"/>
        <v>342</v>
      </c>
    </row>
    <row r="343" spans="1:15" ht="13.15" customHeight="1">
      <c r="B343" s="255"/>
      <c r="C343" s="255"/>
      <c r="D343" s="255"/>
      <c r="E343" s="255"/>
      <c r="F343" s="255"/>
      <c r="G343" s="255"/>
      <c r="H343" s="255"/>
      <c r="I343" s="255"/>
      <c r="J343" s="255"/>
      <c r="K343" s="255"/>
      <c r="M343" s="3" t="s">
        <v>217</v>
      </c>
      <c r="O343" s="3">
        <f t="shared" si="6"/>
        <v>343</v>
      </c>
    </row>
    <row r="344" spans="1:15" ht="13.15" customHeight="1">
      <c r="M344" s="3" t="s">
        <v>217</v>
      </c>
      <c r="O344" s="3">
        <f t="shared" si="6"/>
        <v>344</v>
      </c>
    </row>
    <row r="345" spans="1:15" ht="13.15" customHeight="1">
      <c r="B345" s="157" t="s">
        <v>356</v>
      </c>
      <c r="C345" s="256" t="s">
        <v>257</v>
      </c>
      <c r="D345" s="256"/>
      <c r="E345" s="256"/>
      <c r="F345" s="256"/>
      <c r="G345" s="256"/>
      <c r="H345" s="256"/>
      <c r="I345" s="256"/>
      <c r="J345" s="256"/>
      <c r="K345" s="256"/>
      <c r="M345" s="3" t="s">
        <v>217</v>
      </c>
      <c r="O345" s="3">
        <f t="shared" si="6"/>
        <v>345</v>
      </c>
    </row>
    <row r="346" spans="1:15" ht="13.15" customHeight="1">
      <c r="C346" s="256"/>
      <c r="D346" s="256"/>
      <c r="E346" s="256"/>
      <c r="F346" s="256"/>
      <c r="G346" s="256"/>
      <c r="H346" s="256"/>
      <c r="I346" s="256"/>
      <c r="J346" s="256"/>
      <c r="K346" s="256"/>
      <c r="M346" s="3" t="s">
        <v>217</v>
      </c>
      <c r="O346" s="3">
        <f t="shared" si="6"/>
        <v>346</v>
      </c>
    </row>
    <row r="347" spans="1:15" ht="13.15" customHeight="1">
      <c r="C347" s="256"/>
      <c r="D347" s="256"/>
      <c r="E347" s="256"/>
      <c r="F347" s="256"/>
      <c r="G347" s="256"/>
      <c r="H347" s="256"/>
      <c r="I347" s="256"/>
      <c r="J347" s="256"/>
      <c r="K347" s="256"/>
      <c r="M347" s="3" t="s">
        <v>217</v>
      </c>
      <c r="O347" s="3">
        <f t="shared" si="6"/>
        <v>347</v>
      </c>
    </row>
    <row r="348" spans="1:15" ht="13.15" customHeight="1">
      <c r="C348" s="256"/>
      <c r="D348" s="256"/>
      <c r="E348" s="256"/>
      <c r="F348" s="256"/>
      <c r="G348" s="256"/>
      <c r="H348" s="256"/>
      <c r="I348" s="256"/>
      <c r="J348" s="256"/>
      <c r="K348" s="256"/>
      <c r="M348" s="3" t="s">
        <v>217</v>
      </c>
      <c r="O348" s="3">
        <f t="shared" si="6"/>
        <v>348</v>
      </c>
    </row>
    <row r="349" spans="1:15" ht="13.15" customHeight="1">
      <c r="C349" s="256"/>
      <c r="D349" s="256"/>
      <c r="E349" s="256"/>
      <c r="F349" s="256"/>
      <c r="G349" s="256"/>
      <c r="H349" s="256"/>
      <c r="I349" s="256"/>
      <c r="J349" s="256"/>
      <c r="K349" s="256"/>
      <c r="M349" s="3" t="s">
        <v>217</v>
      </c>
      <c r="O349" s="3">
        <f t="shared" si="6"/>
        <v>349</v>
      </c>
    </row>
    <row r="350" spans="1:15" ht="13.15" customHeight="1">
      <c r="C350" s="256"/>
      <c r="D350" s="256"/>
      <c r="E350" s="256"/>
      <c r="F350" s="256"/>
      <c r="G350" s="256"/>
      <c r="H350" s="256"/>
      <c r="I350" s="256"/>
      <c r="J350" s="256"/>
      <c r="K350" s="256"/>
      <c r="M350" s="3" t="s">
        <v>217</v>
      </c>
      <c r="O350" s="3">
        <f t="shared" si="6"/>
        <v>350</v>
      </c>
    </row>
    <row r="351" spans="1:15" ht="13.15" customHeight="1">
      <c r="C351" s="256"/>
      <c r="D351" s="256"/>
      <c r="E351" s="256"/>
      <c r="F351" s="256"/>
      <c r="G351" s="256"/>
      <c r="H351" s="256"/>
      <c r="I351" s="256"/>
      <c r="J351" s="256"/>
      <c r="K351" s="256"/>
      <c r="M351" s="3" t="s">
        <v>217</v>
      </c>
      <c r="O351" s="3">
        <f t="shared" si="6"/>
        <v>351</v>
      </c>
    </row>
    <row r="352" spans="1:15" ht="13.15" customHeight="1">
      <c r="C352" s="256"/>
      <c r="D352" s="256"/>
      <c r="E352" s="256"/>
      <c r="F352" s="256"/>
      <c r="G352" s="256"/>
      <c r="H352" s="256"/>
      <c r="I352" s="256"/>
      <c r="J352" s="256"/>
      <c r="K352" s="256"/>
      <c r="M352" s="3" t="s">
        <v>217</v>
      </c>
      <c r="O352" s="3">
        <f t="shared" si="6"/>
        <v>352</v>
      </c>
    </row>
    <row r="353" spans="1:15" ht="13.15" customHeight="1">
      <c r="C353" s="88"/>
      <c r="D353" s="88"/>
      <c r="E353" s="88"/>
      <c r="F353" s="88"/>
      <c r="G353" s="88"/>
      <c r="H353" s="88"/>
      <c r="I353" s="88"/>
      <c r="J353" s="88"/>
      <c r="K353" s="88"/>
      <c r="M353" s="3" t="s">
        <v>217</v>
      </c>
      <c r="O353" s="3">
        <f t="shared" si="6"/>
        <v>353</v>
      </c>
    </row>
    <row r="354" spans="1:15" ht="13.15" customHeight="1">
      <c r="A354" s="139" t="s">
        <v>374</v>
      </c>
      <c r="B354" s="255" t="s">
        <v>258</v>
      </c>
      <c r="C354" s="255"/>
      <c r="D354" s="255"/>
      <c r="E354" s="255"/>
      <c r="F354" s="255"/>
      <c r="G354" s="255"/>
      <c r="H354" s="255"/>
      <c r="I354" s="255"/>
      <c r="J354" s="255"/>
      <c r="K354" s="255"/>
      <c r="L354" s="3">
        <v>19</v>
      </c>
      <c r="M354" s="3">
        <v>10</v>
      </c>
      <c r="N354" s="3">
        <v>8</v>
      </c>
      <c r="O354" s="3">
        <f t="shared" si="6"/>
        <v>354</v>
      </c>
    </row>
    <row r="355" spans="1:15" ht="13.15" customHeight="1">
      <c r="B355" s="255"/>
      <c r="C355" s="255"/>
      <c r="D355" s="255"/>
      <c r="E355" s="255"/>
      <c r="F355" s="255"/>
      <c r="G355" s="255"/>
      <c r="H355" s="255"/>
      <c r="I355" s="255"/>
      <c r="J355" s="255"/>
      <c r="K355" s="255"/>
      <c r="M355" s="3" t="s">
        <v>217</v>
      </c>
      <c r="O355" s="3">
        <f t="shared" si="6"/>
        <v>355</v>
      </c>
    </row>
    <row r="356" spans="1:15" ht="13.15" customHeight="1">
      <c r="B356" s="255"/>
      <c r="C356" s="255"/>
      <c r="D356" s="255"/>
      <c r="E356" s="255"/>
      <c r="F356" s="255"/>
      <c r="G356" s="255"/>
      <c r="H356" s="255"/>
      <c r="I356" s="255"/>
      <c r="J356" s="255"/>
      <c r="K356" s="255"/>
      <c r="M356" s="3" t="s">
        <v>217</v>
      </c>
      <c r="O356" s="3">
        <f t="shared" si="6"/>
        <v>356</v>
      </c>
    </row>
    <row r="357" spans="1:15" ht="13.15" customHeight="1">
      <c r="B357" s="255"/>
      <c r="C357" s="255"/>
      <c r="D357" s="255"/>
      <c r="E357" s="255"/>
      <c r="F357" s="255"/>
      <c r="G357" s="255"/>
      <c r="H357" s="255"/>
      <c r="I357" s="255"/>
      <c r="J357" s="255"/>
      <c r="K357" s="255"/>
      <c r="M357" s="3" t="s">
        <v>217</v>
      </c>
      <c r="O357" s="3">
        <f t="shared" si="6"/>
        <v>357</v>
      </c>
    </row>
    <row r="358" spans="1:15" ht="13.15" customHeight="1">
      <c r="B358" s="255"/>
      <c r="C358" s="255"/>
      <c r="D358" s="255"/>
      <c r="E358" s="255"/>
      <c r="F358" s="255"/>
      <c r="G358" s="255"/>
      <c r="H358" s="255"/>
      <c r="I358" s="255"/>
      <c r="J358" s="255"/>
      <c r="K358" s="255"/>
      <c r="M358" s="3" t="s">
        <v>217</v>
      </c>
      <c r="O358" s="3">
        <f t="shared" si="6"/>
        <v>358</v>
      </c>
    </row>
    <row r="359" spans="1:15" ht="13.15" customHeight="1">
      <c r="B359" s="255"/>
      <c r="C359" s="255"/>
      <c r="D359" s="255"/>
      <c r="E359" s="255"/>
      <c r="F359" s="255"/>
      <c r="G359" s="255"/>
      <c r="H359" s="255"/>
      <c r="I359" s="255"/>
      <c r="J359" s="255"/>
      <c r="K359" s="255"/>
      <c r="M359" s="3" t="s">
        <v>217</v>
      </c>
      <c r="O359" s="3">
        <f t="shared" si="6"/>
        <v>359</v>
      </c>
    </row>
    <row r="360" spans="1:15" ht="13.15" customHeight="1">
      <c r="B360" s="255"/>
      <c r="C360" s="255"/>
      <c r="D360" s="255"/>
      <c r="E360" s="255"/>
      <c r="F360" s="255"/>
      <c r="G360" s="255"/>
      <c r="H360" s="255"/>
      <c r="I360" s="255"/>
      <c r="J360" s="255"/>
      <c r="K360" s="255"/>
      <c r="M360" s="3" t="s">
        <v>217</v>
      </c>
      <c r="O360" s="3">
        <f t="shared" si="6"/>
        <v>360</v>
      </c>
    </row>
    <row r="361" spans="1:15" ht="13.15" customHeight="1">
      <c r="B361" s="255"/>
      <c r="C361" s="255"/>
      <c r="D361" s="255"/>
      <c r="E361" s="255"/>
      <c r="F361" s="255"/>
      <c r="G361" s="255"/>
      <c r="H361" s="255"/>
      <c r="I361" s="255"/>
      <c r="J361" s="255"/>
      <c r="K361" s="255"/>
      <c r="M361" s="3" t="s">
        <v>217</v>
      </c>
      <c r="O361" s="3">
        <f t="shared" si="6"/>
        <v>361</v>
      </c>
    </row>
    <row r="362" spans="1:15" ht="13.15" customHeight="1">
      <c r="M362" s="3" t="s">
        <v>217</v>
      </c>
      <c r="O362" s="3">
        <f t="shared" si="6"/>
        <v>362</v>
      </c>
    </row>
    <row r="363" spans="1:15" ht="13.15" customHeight="1">
      <c r="A363" s="3"/>
      <c r="B363" s="157" t="s">
        <v>356</v>
      </c>
      <c r="C363" s="262" t="s">
        <v>189</v>
      </c>
      <c r="D363" s="262"/>
      <c r="E363" s="262"/>
      <c r="F363" s="262"/>
      <c r="G363" s="262"/>
      <c r="H363" s="262"/>
      <c r="I363" s="262"/>
      <c r="J363" s="262"/>
      <c r="K363" s="262"/>
      <c r="M363" s="3" t="s">
        <v>217</v>
      </c>
      <c r="O363" s="3">
        <f t="shared" si="6"/>
        <v>363</v>
      </c>
    </row>
    <row r="364" spans="1:15" ht="13.15" customHeight="1">
      <c r="M364" s="3" t="s">
        <v>217</v>
      </c>
      <c r="O364" s="3">
        <f t="shared" si="6"/>
        <v>364</v>
      </c>
    </row>
    <row r="365" spans="1:15" ht="13.15" customHeight="1">
      <c r="A365" s="139" t="s">
        <v>375</v>
      </c>
      <c r="B365" s="255" t="s">
        <v>259</v>
      </c>
      <c r="C365" s="255"/>
      <c r="D365" s="255"/>
      <c r="E365" s="255"/>
      <c r="F365" s="255"/>
      <c r="G365" s="255"/>
      <c r="H365" s="255"/>
      <c r="I365" s="255"/>
      <c r="J365" s="255"/>
      <c r="K365" s="255"/>
      <c r="L365" s="3">
        <v>20</v>
      </c>
      <c r="M365" s="3">
        <v>16</v>
      </c>
      <c r="N365" s="3">
        <v>11</v>
      </c>
      <c r="O365" s="3">
        <f t="shared" si="6"/>
        <v>365</v>
      </c>
    </row>
    <row r="366" spans="1:15" ht="13.15" customHeight="1">
      <c r="B366" s="255"/>
      <c r="C366" s="255"/>
      <c r="D366" s="255"/>
      <c r="E366" s="255"/>
      <c r="F366" s="255"/>
      <c r="G366" s="255"/>
      <c r="H366" s="255"/>
      <c r="I366" s="255"/>
      <c r="J366" s="255"/>
      <c r="K366" s="255"/>
      <c r="M366" s="3" t="s">
        <v>217</v>
      </c>
      <c r="O366" s="3">
        <f t="shared" si="6"/>
        <v>366</v>
      </c>
    </row>
    <row r="367" spans="1:15" ht="13.15" customHeight="1">
      <c r="B367" s="255"/>
      <c r="C367" s="255"/>
      <c r="D367" s="255"/>
      <c r="E367" s="255"/>
      <c r="F367" s="255"/>
      <c r="G367" s="255"/>
      <c r="H367" s="255"/>
      <c r="I367" s="255"/>
      <c r="J367" s="255"/>
      <c r="K367" s="255"/>
      <c r="M367" s="3" t="s">
        <v>217</v>
      </c>
      <c r="O367" s="3">
        <f t="shared" si="6"/>
        <v>367</v>
      </c>
    </row>
    <row r="368" spans="1:15" ht="13.15" customHeight="1">
      <c r="B368" s="255"/>
      <c r="C368" s="255"/>
      <c r="D368" s="255"/>
      <c r="E368" s="255"/>
      <c r="F368" s="255"/>
      <c r="G368" s="255"/>
      <c r="H368" s="255"/>
      <c r="I368" s="255"/>
      <c r="J368" s="255"/>
      <c r="K368" s="255"/>
      <c r="M368" s="3" t="s">
        <v>217</v>
      </c>
      <c r="O368" s="3">
        <f t="shared" si="6"/>
        <v>368</v>
      </c>
    </row>
    <row r="369" spans="1:15" ht="13.15" customHeight="1">
      <c r="B369" s="255"/>
      <c r="C369" s="255"/>
      <c r="D369" s="255"/>
      <c r="E369" s="255"/>
      <c r="F369" s="255"/>
      <c r="G369" s="255"/>
      <c r="H369" s="255"/>
      <c r="I369" s="255"/>
      <c r="J369" s="255"/>
      <c r="K369" s="255"/>
      <c r="M369" s="3" t="s">
        <v>217</v>
      </c>
      <c r="O369" s="3">
        <f t="shared" si="6"/>
        <v>369</v>
      </c>
    </row>
    <row r="370" spans="1:15" ht="13.15" customHeight="1">
      <c r="B370" s="255"/>
      <c r="C370" s="255"/>
      <c r="D370" s="255"/>
      <c r="E370" s="255"/>
      <c r="F370" s="255"/>
      <c r="G370" s="255"/>
      <c r="H370" s="255"/>
      <c r="I370" s="255"/>
      <c r="J370" s="255"/>
      <c r="K370" s="255"/>
      <c r="M370" s="3" t="s">
        <v>217</v>
      </c>
      <c r="O370" s="3">
        <f t="shared" si="6"/>
        <v>370</v>
      </c>
    </row>
    <row r="371" spans="1:15" ht="13.15" customHeight="1">
      <c r="B371" s="255"/>
      <c r="C371" s="255"/>
      <c r="D371" s="255"/>
      <c r="E371" s="255"/>
      <c r="F371" s="255"/>
      <c r="G371" s="255"/>
      <c r="H371" s="255"/>
      <c r="I371" s="255"/>
      <c r="J371" s="255"/>
      <c r="K371" s="255"/>
      <c r="M371" s="3" t="s">
        <v>217</v>
      </c>
      <c r="O371" s="3">
        <f t="shared" si="6"/>
        <v>371</v>
      </c>
    </row>
    <row r="372" spans="1:15" ht="13.15" customHeight="1">
      <c r="B372" s="255"/>
      <c r="C372" s="255"/>
      <c r="D372" s="255"/>
      <c r="E372" s="255"/>
      <c r="F372" s="255"/>
      <c r="G372" s="255"/>
      <c r="H372" s="255"/>
      <c r="I372" s="255"/>
      <c r="J372" s="255"/>
      <c r="K372" s="255"/>
      <c r="M372" s="3" t="s">
        <v>217</v>
      </c>
      <c r="O372" s="3">
        <f t="shared" si="6"/>
        <v>372</v>
      </c>
    </row>
    <row r="373" spans="1:15" ht="13.15" customHeight="1">
      <c r="B373" s="255"/>
      <c r="C373" s="255"/>
      <c r="D373" s="255"/>
      <c r="E373" s="255"/>
      <c r="F373" s="255"/>
      <c r="G373" s="255"/>
      <c r="H373" s="255"/>
      <c r="I373" s="255"/>
      <c r="J373" s="255"/>
      <c r="K373" s="255"/>
      <c r="M373" s="3" t="s">
        <v>217</v>
      </c>
      <c r="O373" s="3">
        <f t="shared" si="6"/>
        <v>373</v>
      </c>
    </row>
    <row r="374" spans="1:15" ht="13.15" customHeight="1">
      <c r="B374" s="255"/>
      <c r="C374" s="255"/>
      <c r="D374" s="255"/>
      <c r="E374" s="255"/>
      <c r="F374" s="255"/>
      <c r="G374" s="255"/>
      <c r="H374" s="255"/>
      <c r="I374" s="255"/>
      <c r="J374" s="255"/>
      <c r="K374" s="255"/>
      <c r="M374" s="3" t="s">
        <v>217</v>
      </c>
      <c r="O374" s="3">
        <f t="shared" si="6"/>
        <v>374</v>
      </c>
    </row>
    <row r="375" spans="1:15" ht="13.15" customHeight="1">
      <c r="B375" s="255"/>
      <c r="C375" s="255"/>
      <c r="D375" s="255"/>
      <c r="E375" s="255"/>
      <c r="F375" s="255"/>
      <c r="G375" s="255"/>
      <c r="H375" s="255"/>
      <c r="I375" s="255"/>
      <c r="J375" s="255"/>
      <c r="K375" s="255"/>
      <c r="M375" s="3" t="s">
        <v>217</v>
      </c>
      <c r="O375" s="3">
        <f t="shared" si="6"/>
        <v>375</v>
      </c>
    </row>
    <row r="376" spans="1:15" ht="13.15" customHeight="1">
      <c r="A376" s="3"/>
      <c r="B376" s="104"/>
      <c r="C376" s="104"/>
      <c r="D376" s="104"/>
      <c r="E376" s="104"/>
      <c r="F376" s="104"/>
      <c r="G376" s="104"/>
      <c r="H376" s="104"/>
      <c r="I376" s="104"/>
      <c r="J376" s="104"/>
      <c r="K376" s="104"/>
      <c r="M376" s="3" t="s">
        <v>217</v>
      </c>
      <c r="O376" s="3">
        <f t="shared" si="6"/>
        <v>376</v>
      </c>
    </row>
    <row r="377" spans="1:15" ht="13.15" customHeight="1">
      <c r="B377" s="157" t="s">
        <v>356</v>
      </c>
      <c r="C377" s="256" t="s">
        <v>187</v>
      </c>
      <c r="D377" s="256"/>
      <c r="E377" s="256"/>
      <c r="F377" s="256"/>
      <c r="G377" s="256"/>
      <c r="H377" s="256"/>
      <c r="I377" s="256"/>
      <c r="J377" s="256"/>
      <c r="K377" s="256"/>
      <c r="M377" s="3" t="s">
        <v>217</v>
      </c>
      <c r="O377" s="3">
        <f t="shared" si="6"/>
        <v>377</v>
      </c>
    </row>
    <row r="378" spans="1:15" ht="13.15" customHeight="1">
      <c r="C378" s="256"/>
      <c r="D378" s="256"/>
      <c r="E378" s="256"/>
      <c r="F378" s="256"/>
      <c r="G378" s="256"/>
      <c r="H378" s="256"/>
      <c r="I378" s="256"/>
      <c r="J378" s="256"/>
      <c r="K378" s="256"/>
      <c r="M378" s="3" t="s">
        <v>217</v>
      </c>
      <c r="O378" s="3">
        <f t="shared" si="6"/>
        <v>378</v>
      </c>
    </row>
    <row r="379" spans="1:15" ht="13.15" customHeight="1">
      <c r="M379" s="3" t="s">
        <v>217</v>
      </c>
      <c r="O379" s="3">
        <f t="shared" si="6"/>
        <v>379</v>
      </c>
    </row>
    <row r="380" spans="1:15" ht="13.15" customHeight="1">
      <c r="B380" s="157" t="s">
        <v>356</v>
      </c>
      <c r="C380" s="119" t="s">
        <v>260</v>
      </c>
      <c r="D380" s="119"/>
      <c r="E380" s="119"/>
      <c r="F380" s="119"/>
      <c r="G380" s="119"/>
      <c r="H380" s="119"/>
      <c r="I380" s="119"/>
      <c r="J380" s="119"/>
      <c r="K380" s="119"/>
      <c r="M380" s="3" t="s">
        <v>217</v>
      </c>
      <c r="O380" s="3">
        <f t="shared" si="6"/>
        <v>380</v>
      </c>
    </row>
    <row r="381" spans="1:15" ht="12.75">
      <c r="M381" s="3" t="s">
        <v>217</v>
      </c>
      <c r="O381" s="3">
        <f t="shared" si="6"/>
        <v>381</v>
      </c>
    </row>
    <row r="382" spans="1:15" ht="12.75">
      <c r="A382" s="139" t="s">
        <v>376</v>
      </c>
      <c r="B382" s="255" t="s">
        <v>261</v>
      </c>
      <c r="C382" s="255"/>
      <c r="D382" s="255"/>
      <c r="E382" s="255"/>
      <c r="F382" s="255"/>
      <c r="G382" s="255"/>
      <c r="H382" s="255"/>
      <c r="I382" s="255"/>
      <c r="J382" s="255"/>
      <c r="K382" s="255"/>
      <c r="L382" s="3">
        <v>21</v>
      </c>
      <c r="M382" s="3">
        <v>14</v>
      </c>
      <c r="N382" s="3">
        <v>9</v>
      </c>
      <c r="O382" s="3">
        <f t="shared" si="6"/>
        <v>382</v>
      </c>
    </row>
    <row r="383" spans="1:15" ht="13.15" customHeight="1">
      <c r="B383" s="255"/>
      <c r="C383" s="255"/>
      <c r="D383" s="255"/>
      <c r="E383" s="255"/>
      <c r="F383" s="255"/>
      <c r="G383" s="255"/>
      <c r="H383" s="255"/>
      <c r="I383" s="255"/>
      <c r="J383" s="255"/>
      <c r="K383" s="255"/>
      <c r="M383" s="3" t="s">
        <v>217</v>
      </c>
      <c r="O383" s="3">
        <f t="shared" si="6"/>
        <v>383</v>
      </c>
    </row>
    <row r="384" spans="1:15" ht="13.15" customHeight="1">
      <c r="B384" s="255"/>
      <c r="C384" s="255"/>
      <c r="D384" s="255"/>
      <c r="E384" s="255"/>
      <c r="F384" s="255"/>
      <c r="G384" s="255"/>
      <c r="H384" s="255"/>
      <c r="I384" s="255"/>
      <c r="J384" s="255"/>
      <c r="K384" s="255"/>
      <c r="M384" s="3" t="s">
        <v>217</v>
      </c>
      <c r="O384" s="3">
        <f t="shared" si="6"/>
        <v>384</v>
      </c>
    </row>
    <row r="385" spans="1:15" ht="13.15" customHeight="1">
      <c r="B385" s="255"/>
      <c r="C385" s="255"/>
      <c r="D385" s="255"/>
      <c r="E385" s="255"/>
      <c r="F385" s="255"/>
      <c r="G385" s="255"/>
      <c r="H385" s="255"/>
      <c r="I385" s="255"/>
      <c r="J385" s="255"/>
      <c r="K385" s="255"/>
      <c r="M385" s="3" t="s">
        <v>217</v>
      </c>
      <c r="O385" s="3">
        <f t="shared" ref="O385:O448" si="7">ROW(M385)</f>
        <v>385</v>
      </c>
    </row>
    <row r="386" spans="1:15" ht="13.15" customHeight="1">
      <c r="B386" s="255"/>
      <c r="C386" s="255"/>
      <c r="D386" s="255"/>
      <c r="E386" s="255"/>
      <c r="F386" s="255"/>
      <c r="G386" s="255"/>
      <c r="H386" s="255"/>
      <c r="I386" s="255"/>
      <c r="J386" s="255"/>
      <c r="K386" s="255"/>
      <c r="M386" s="3" t="s">
        <v>217</v>
      </c>
      <c r="O386" s="3">
        <f t="shared" si="7"/>
        <v>386</v>
      </c>
    </row>
    <row r="387" spans="1:15" ht="13.15" customHeight="1">
      <c r="B387" s="255"/>
      <c r="C387" s="255"/>
      <c r="D387" s="255"/>
      <c r="E387" s="255"/>
      <c r="F387" s="255"/>
      <c r="G387" s="255"/>
      <c r="H387" s="255"/>
      <c r="I387" s="255"/>
      <c r="J387" s="255"/>
      <c r="K387" s="255"/>
      <c r="M387" s="3" t="s">
        <v>217</v>
      </c>
      <c r="O387" s="3">
        <f t="shared" si="7"/>
        <v>387</v>
      </c>
    </row>
    <row r="388" spans="1:15" ht="13.15" customHeight="1">
      <c r="B388" s="255"/>
      <c r="C388" s="255"/>
      <c r="D388" s="255"/>
      <c r="E388" s="255"/>
      <c r="F388" s="255"/>
      <c r="G388" s="255"/>
      <c r="H388" s="255"/>
      <c r="I388" s="255"/>
      <c r="J388" s="255"/>
      <c r="K388" s="255"/>
      <c r="M388" s="3" t="s">
        <v>217</v>
      </c>
      <c r="O388" s="3">
        <f t="shared" si="7"/>
        <v>388</v>
      </c>
    </row>
    <row r="389" spans="1:15" ht="13.15" customHeight="1">
      <c r="B389" s="255"/>
      <c r="C389" s="255"/>
      <c r="D389" s="255"/>
      <c r="E389" s="255"/>
      <c r="F389" s="255"/>
      <c r="G389" s="255"/>
      <c r="H389" s="255"/>
      <c r="I389" s="255"/>
      <c r="J389" s="255"/>
      <c r="K389" s="255"/>
      <c r="M389" s="3" t="s">
        <v>217</v>
      </c>
      <c r="O389" s="3">
        <f t="shared" si="7"/>
        <v>389</v>
      </c>
    </row>
    <row r="390" spans="1:15" ht="13.15" customHeight="1">
      <c r="B390" s="255"/>
      <c r="C390" s="255"/>
      <c r="D390" s="255"/>
      <c r="E390" s="255"/>
      <c r="F390" s="255"/>
      <c r="G390" s="255"/>
      <c r="H390" s="255"/>
      <c r="I390" s="255"/>
      <c r="J390" s="255"/>
      <c r="K390" s="255"/>
      <c r="M390" s="3" t="s">
        <v>217</v>
      </c>
      <c r="O390" s="3">
        <f t="shared" si="7"/>
        <v>390</v>
      </c>
    </row>
    <row r="391" spans="1:15" ht="13.15" customHeight="1">
      <c r="B391" s="151"/>
      <c r="C391" s="151"/>
      <c r="D391" s="151"/>
      <c r="E391" s="151"/>
      <c r="F391" s="151"/>
      <c r="G391" s="151"/>
      <c r="H391" s="151"/>
      <c r="I391" s="151"/>
      <c r="J391" s="151"/>
      <c r="K391" s="151"/>
      <c r="M391" s="3" t="s">
        <v>217</v>
      </c>
      <c r="O391" s="3">
        <f t="shared" si="7"/>
        <v>391</v>
      </c>
    </row>
    <row r="392" spans="1:15" ht="13.15" customHeight="1">
      <c r="B392" s="157" t="s">
        <v>356</v>
      </c>
      <c r="C392" s="264" t="s">
        <v>262</v>
      </c>
      <c r="D392" s="264"/>
      <c r="E392" s="264"/>
      <c r="F392" s="264"/>
      <c r="G392" s="264"/>
      <c r="H392" s="264"/>
      <c r="I392" s="264"/>
      <c r="J392" s="264"/>
      <c r="K392" s="264"/>
      <c r="M392" s="3" t="s">
        <v>217</v>
      </c>
      <c r="O392" s="3">
        <f t="shared" si="7"/>
        <v>392</v>
      </c>
    </row>
    <row r="393" spans="1:15" ht="13.15" customHeight="1">
      <c r="C393" s="264"/>
      <c r="D393" s="264"/>
      <c r="E393" s="264"/>
      <c r="F393" s="264"/>
      <c r="G393" s="264"/>
      <c r="H393" s="264"/>
      <c r="I393" s="264"/>
      <c r="J393" s="264"/>
      <c r="K393" s="264"/>
      <c r="M393" s="3" t="s">
        <v>217</v>
      </c>
      <c r="O393" s="3">
        <f t="shared" si="7"/>
        <v>393</v>
      </c>
    </row>
    <row r="394" spans="1:15" ht="13.15" customHeight="1">
      <c r="C394" s="264"/>
      <c r="D394" s="264"/>
      <c r="E394" s="264"/>
      <c r="F394" s="264"/>
      <c r="G394" s="264"/>
      <c r="H394" s="264"/>
      <c r="I394" s="264"/>
      <c r="J394" s="264"/>
      <c r="K394" s="264"/>
      <c r="M394" s="3" t="s">
        <v>217</v>
      </c>
      <c r="O394" s="3">
        <f t="shared" si="7"/>
        <v>394</v>
      </c>
    </row>
    <row r="395" spans="1:15" ht="13.15" customHeight="1">
      <c r="B395" s="157" t="s">
        <v>356</v>
      </c>
      <c r="C395" s="264" t="s">
        <v>188</v>
      </c>
      <c r="D395" s="264"/>
      <c r="E395" s="264"/>
      <c r="F395" s="264"/>
      <c r="G395" s="264"/>
      <c r="H395" s="264"/>
      <c r="I395" s="264"/>
      <c r="J395" s="264"/>
      <c r="K395" s="264"/>
      <c r="M395" s="3" t="s">
        <v>217</v>
      </c>
      <c r="O395" s="3">
        <f t="shared" si="7"/>
        <v>395</v>
      </c>
    </row>
    <row r="396" spans="1:15" ht="13.15" customHeight="1">
      <c r="M396" s="3" t="s">
        <v>217</v>
      </c>
      <c r="O396" s="3">
        <f t="shared" si="7"/>
        <v>396</v>
      </c>
    </row>
    <row r="397" spans="1:15" ht="13.15" customHeight="1">
      <c r="A397" s="139" t="s">
        <v>377</v>
      </c>
      <c r="B397" s="255" t="s">
        <v>263</v>
      </c>
      <c r="C397" s="255"/>
      <c r="D397" s="255"/>
      <c r="E397" s="255"/>
      <c r="F397" s="255"/>
      <c r="G397" s="255"/>
      <c r="H397" s="255"/>
      <c r="I397" s="255"/>
      <c r="J397" s="255"/>
      <c r="K397" s="255"/>
      <c r="L397" s="3">
        <v>22</v>
      </c>
      <c r="M397" s="3">
        <v>16</v>
      </c>
      <c r="N397" s="3">
        <v>8</v>
      </c>
      <c r="O397" s="3">
        <f t="shared" si="7"/>
        <v>397</v>
      </c>
    </row>
    <row r="398" spans="1:15" ht="13.15" customHeight="1">
      <c r="B398" s="255"/>
      <c r="C398" s="255"/>
      <c r="D398" s="255"/>
      <c r="E398" s="255"/>
      <c r="F398" s="255"/>
      <c r="G398" s="255"/>
      <c r="H398" s="255"/>
      <c r="I398" s="255"/>
      <c r="J398" s="255"/>
      <c r="K398" s="255"/>
      <c r="M398" s="3" t="s">
        <v>217</v>
      </c>
      <c r="O398" s="3">
        <f t="shared" si="7"/>
        <v>398</v>
      </c>
    </row>
    <row r="399" spans="1:15" ht="13.15" customHeight="1">
      <c r="B399" s="255"/>
      <c r="C399" s="255"/>
      <c r="D399" s="255"/>
      <c r="E399" s="255"/>
      <c r="F399" s="255"/>
      <c r="G399" s="255"/>
      <c r="H399" s="255"/>
      <c r="I399" s="255"/>
      <c r="J399" s="255"/>
      <c r="K399" s="255"/>
      <c r="M399" s="3" t="s">
        <v>217</v>
      </c>
      <c r="O399" s="3">
        <f t="shared" si="7"/>
        <v>399</v>
      </c>
    </row>
    <row r="400" spans="1:15" ht="13.15" customHeight="1">
      <c r="B400" s="255"/>
      <c r="C400" s="255"/>
      <c r="D400" s="255"/>
      <c r="E400" s="255"/>
      <c r="F400" s="255"/>
      <c r="G400" s="255"/>
      <c r="H400" s="255"/>
      <c r="I400" s="255"/>
      <c r="J400" s="255"/>
      <c r="K400" s="255"/>
      <c r="M400" s="3" t="s">
        <v>217</v>
      </c>
      <c r="O400" s="3">
        <f t="shared" si="7"/>
        <v>400</v>
      </c>
    </row>
    <row r="401" spans="1:15" ht="13.15" customHeight="1">
      <c r="B401" s="255"/>
      <c r="C401" s="255"/>
      <c r="D401" s="255"/>
      <c r="E401" s="255"/>
      <c r="F401" s="255"/>
      <c r="G401" s="255"/>
      <c r="H401" s="255"/>
      <c r="I401" s="255"/>
      <c r="J401" s="255"/>
      <c r="K401" s="255"/>
      <c r="M401" s="3" t="s">
        <v>217</v>
      </c>
      <c r="O401" s="3">
        <f t="shared" si="7"/>
        <v>401</v>
      </c>
    </row>
    <row r="402" spans="1:15" ht="13.15" customHeight="1">
      <c r="B402" s="255"/>
      <c r="C402" s="255"/>
      <c r="D402" s="255"/>
      <c r="E402" s="255"/>
      <c r="F402" s="255"/>
      <c r="G402" s="255"/>
      <c r="H402" s="255"/>
      <c r="I402" s="255"/>
      <c r="J402" s="255"/>
      <c r="K402" s="255"/>
      <c r="M402" s="3" t="s">
        <v>217</v>
      </c>
      <c r="O402" s="3">
        <f t="shared" si="7"/>
        <v>402</v>
      </c>
    </row>
    <row r="403" spans="1:15" ht="13.15" customHeight="1">
      <c r="B403" s="255"/>
      <c r="C403" s="255"/>
      <c r="D403" s="255"/>
      <c r="E403" s="255"/>
      <c r="F403" s="255"/>
      <c r="G403" s="255"/>
      <c r="H403" s="255"/>
      <c r="I403" s="255"/>
      <c r="J403" s="255"/>
      <c r="K403" s="255"/>
      <c r="M403" s="3" t="s">
        <v>217</v>
      </c>
      <c r="O403" s="3">
        <f t="shared" si="7"/>
        <v>403</v>
      </c>
    </row>
    <row r="404" spans="1:15" ht="13.15" customHeight="1">
      <c r="B404" s="255"/>
      <c r="C404" s="255"/>
      <c r="D404" s="255"/>
      <c r="E404" s="255"/>
      <c r="F404" s="255"/>
      <c r="G404" s="255"/>
      <c r="H404" s="255"/>
      <c r="I404" s="255"/>
      <c r="J404" s="255"/>
      <c r="K404" s="255"/>
      <c r="M404" s="3" t="s">
        <v>217</v>
      </c>
      <c r="O404" s="3">
        <f t="shared" si="7"/>
        <v>404</v>
      </c>
    </row>
    <row r="405" spans="1:15" ht="13.15" customHeight="1">
      <c r="B405" s="151"/>
      <c r="C405" s="151"/>
      <c r="D405" s="151"/>
      <c r="E405" s="151"/>
      <c r="F405" s="151"/>
      <c r="G405" s="151"/>
      <c r="H405" s="151"/>
      <c r="I405" s="151"/>
      <c r="J405" s="151"/>
      <c r="K405" s="151"/>
      <c r="M405" s="3" t="s">
        <v>217</v>
      </c>
      <c r="O405" s="3">
        <f t="shared" si="7"/>
        <v>405</v>
      </c>
    </row>
    <row r="406" spans="1:15" ht="13.15" customHeight="1">
      <c r="B406" s="157" t="s">
        <v>356</v>
      </c>
      <c r="C406" s="256" t="s">
        <v>190</v>
      </c>
      <c r="D406" s="265"/>
      <c r="E406" s="265"/>
      <c r="F406" s="265"/>
      <c r="G406" s="265"/>
      <c r="H406" s="265"/>
      <c r="I406" s="265"/>
      <c r="J406" s="265"/>
      <c r="K406" s="265"/>
      <c r="M406" s="3" t="s">
        <v>217</v>
      </c>
      <c r="O406" s="3">
        <f t="shared" si="7"/>
        <v>406</v>
      </c>
    </row>
    <row r="407" spans="1:15" ht="13.15" customHeight="1">
      <c r="C407" s="256"/>
      <c r="D407" s="265"/>
      <c r="E407" s="265"/>
      <c r="F407" s="265"/>
      <c r="G407" s="265"/>
      <c r="H407" s="265"/>
      <c r="I407" s="265"/>
      <c r="J407" s="265"/>
      <c r="K407" s="265"/>
      <c r="M407" s="3" t="s">
        <v>217</v>
      </c>
      <c r="O407" s="3">
        <f t="shared" si="7"/>
        <v>407</v>
      </c>
    </row>
    <row r="408" spans="1:15" ht="13.15" customHeight="1">
      <c r="C408" s="256"/>
      <c r="D408" s="265"/>
      <c r="E408" s="265"/>
      <c r="F408" s="265"/>
      <c r="G408" s="265"/>
      <c r="H408" s="265"/>
      <c r="I408" s="265"/>
      <c r="J408" s="265"/>
      <c r="K408" s="265"/>
      <c r="M408" s="3" t="s">
        <v>217</v>
      </c>
      <c r="O408" s="3">
        <f t="shared" si="7"/>
        <v>408</v>
      </c>
    </row>
    <row r="409" spans="1:15" ht="13.15" customHeight="1">
      <c r="C409" s="265"/>
      <c r="D409" s="265"/>
      <c r="E409" s="265"/>
      <c r="F409" s="265"/>
      <c r="G409" s="265"/>
      <c r="H409" s="265"/>
      <c r="I409" s="265"/>
      <c r="J409" s="265"/>
      <c r="K409" s="265"/>
      <c r="M409" s="3" t="s">
        <v>217</v>
      </c>
      <c r="O409" s="3">
        <f t="shared" si="7"/>
        <v>409</v>
      </c>
    </row>
    <row r="410" spans="1:15" ht="13.15" customHeight="1">
      <c r="C410" s="265"/>
      <c r="D410" s="265"/>
      <c r="E410" s="265"/>
      <c r="F410" s="265"/>
      <c r="G410" s="265"/>
      <c r="H410" s="265"/>
      <c r="I410" s="265"/>
      <c r="J410" s="265"/>
      <c r="K410" s="265"/>
      <c r="M410" s="3" t="s">
        <v>217</v>
      </c>
      <c r="O410" s="3">
        <f t="shared" si="7"/>
        <v>410</v>
      </c>
    </row>
    <row r="411" spans="1:15" ht="13.15" customHeight="1">
      <c r="C411" s="105"/>
      <c r="D411" s="105"/>
      <c r="E411" s="105"/>
      <c r="F411" s="105"/>
      <c r="G411" s="105"/>
      <c r="H411" s="105"/>
      <c r="I411" s="105"/>
      <c r="J411" s="105"/>
      <c r="K411" s="105"/>
      <c r="M411" s="3" t="s">
        <v>217</v>
      </c>
      <c r="O411" s="3">
        <f t="shared" si="7"/>
        <v>411</v>
      </c>
    </row>
    <row r="412" spans="1:15" ht="13.15" customHeight="1">
      <c r="B412" s="157" t="s">
        <v>356</v>
      </c>
      <c r="C412" s="262" t="s">
        <v>191</v>
      </c>
      <c r="D412" s="262"/>
      <c r="E412" s="262"/>
      <c r="F412" s="262"/>
      <c r="G412" s="262"/>
      <c r="H412" s="262"/>
      <c r="I412" s="262"/>
      <c r="J412" s="262"/>
      <c r="K412" s="262"/>
      <c r="M412" s="3" t="s">
        <v>217</v>
      </c>
      <c r="O412" s="3">
        <f t="shared" si="7"/>
        <v>412</v>
      </c>
    </row>
    <row r="413" spans="1:15" ht="13.15" customHeight="1">
      <c r="M413" s="3" t="s">
        <v>217</v>
      </c>
      <c r="O413" s="3">
        <f t="shared" si="7"/>
        <v>413</v>
      </c>
    </row>
    <row r="414" spans="1:15" ht="13.15" customHeight="1">
      <c r="A414" s="139" t="s">
        <v>378</v>
      </c>
      <c r="B414" s="256" t="s">
        <v>437</v>
      </c>
      <c r="C414" s="256"/>
      <c r="D414" s="256"/>
      <c r="E414" s="256"/>
      <c r="F414" s="256"/>
      <c r="G414" s="256"/>
      <c r="H414" s="256"/>
      <c r="I414" s="256"/>
      <c r="J414" s="256"/>
      <c r="K414" s="256"/>
      <c r="L414" s="3">
        <v>23</v>
      </c>
      <c r="M414" s="3">
        <v>20</v>
      </c>
      <c r="N414" s="3">
        <v>16</v>
      </c>
      <c r="O414" s="3">
        <f t="shared" si="7"/>
        <v>414</v>
      </c>
    </row>
    <row r="415" spans="1:15" ht="13.15" customHeight="1">
      <c r="B415" s="256"/>
      <c r="C415" s="256"/>
      <c r="D415" s="256"/>
      <c r="E415" s="256"/>
      <c r="F415" s="256"/>
      <c r="G415" s="256"/>
      <c r="H415" s="256"/>
      <c r="I415" s="256"/>
      <c r="J415" s="256"/>
      <c r="K415" s="256"/>
      <c r="M415" s="3" t="s">
        <v>217</v>
      </c>
      <c r="O415" s="3">
        <f t="shared" si="7"/>
        <v>415</v>
      </c>
    </row>
    <row r="416" spans="1:15" ht="13.15" customHeight="1">
      <c r="B416" s="256"/>
      <c r="C416" s="256"/>
      <c r="D416" s="256"/>
      <c r="E416" s="256"/>
      <c r="F416" s="256"/>
      <c r="G416" s="256"/>
      <c r="H416" s="256"/>
      <c r="I416" s="256"/>
      <c r="J416" s="256"/>
      <c r="K416" s="256"/>
      <c r="M416" s="3" t="s">
        <v>217</v>
      </c>
      <c r="O416" s="3">
        <f t="shared" si="7"/>
        <v>416</v>
      </c>
    </row>
    <row r="417" spans="2:15" ht="13.15" customHeight="1">
      <c r="B417" s="256"/>
      <c r="C417" s="256"/>
      <c r="D417" s="256"/>
      <c r="E417" s="256"/>
      <c r="F417" s="256"/>
      <c r="G417" s="256"/>
      <c r="H417" s="256"/>
      <c r="I417" s="256"/>
      <c r="J417" s="256"/>
      <c r="K417" s="256"/>
      <c r="M417" s="3" t="s">
        <v>217</v>
      </c>
      <c r="O417" s="3">
        <f t="shared" si="7"/>
        <v>417</v>
      </c>
    </row>
    <row r="418" spans="2:15" ht="13.15" customHeight="1">
      <c r="B418" s="256"/>
      <c r="C418" s="256"/>
      <c r="D418" s="256"/>
      <c r="E418" s="256"/>
      <c r="F418" s="256"/>
      <c r="G418" s="256"/>
      <c r="H418" s="256"/>
      <c r="I418" s="256"/>
      <c r="J418" s="256"/>
      <c r="K418" s="256"/>
      <c r="M418" s="3" t="s">
        <v>217</v>
      </c>
      <c r="O418" s="3">
        <f t="shared" si="7"/>
        <v>418</v>
      </c>
    </row>
    <row r="419" spans="2:15" ht="13.15" customHeight="1">
      <c r="B419" s="256"/>
      <c r="C419" s="256"/>
      <c r="D419" s="256"/>
      <c r="E419" s="256"/>
      <c r="F419" s="256"/>
      <c r="G419" s="256"/>
      <c r="H419" s="256"/>
      <c r="I419" s="256"/>
      <c r="J419" s="256"/>
      <c r="K419" s="256"/>
      <c r="M419" s="3" t="s">
        <v>217</v>
      </c>
      <c r="O419" s="3">
        <f t="shared" si="7"/>
        <v>419</v>
      </c>
    </row>
    <row r="420" spans="2:15" ht="13.15" customHeight="1">
      <c r="B420" s="256"/>
      <c r="C420" s="256"/>
      <c r="D420" s="256"/>
      <c r="E420" s="256"/>
      <c r="F420" s="256"/>
      <c r="G420" s="256"/>
      <c r="H420" s="256"/>
      <c r="I420" s="256"/>
      <c r="J420" s="256"/>
      <c r="K420" s="256"/>
      <c r="M420" s="3" t="s">
        <v>217</v>
      </c>
      <c r="O420" s="3">
        <f t="shared" si="7"/>
        <v>420</v>
      </c>
    </row>
    <row r="421" spans="2:15" ht="13.15" customHeight="1">
      <c r="B421" s="256"/>
      <c r="C421" s="256"/>
      <c r="D421" s="256"/>
      <c r="E421" s="256"/>
      <c r="F421" s="256"/>
      <c r="G421" s="256"/>
      <c r="H421" s="256"/>
      <c r="I421" s="256"/>
      <c r="J421" s="256"/>
      <c r="K421" s="256"/>
      <c r="M421" s="3" t="s">
        <v>217</v>
      </c>
      <c r="O421" s="3">
        <f t="shared" si="7"/>
        <v>421</v>
      </c>
    </row>
    <row r="422" spans="2:15" ht="13.15" customHeight="1">
      <c r="B422" s="256"/>
      <c r="C422" s="256"/>
      <c r="D422" s="256"/>
      <c r="E422" s="256"/>
      <c r="F422" s="256"/>
      <c r="G422" s="256"/>
      <c r="H422" s="256"/>
      <c r="I422" s="256"/>
      <c r="J422" s="256"/>
      <c r="K422" s="256"/>
      <c r="M422" s="3" t="s">
        <v>217</v>
      </c>
      <c r="O422" s="3">
        <f t="shared" si="7"/>
        <v>422</v>
      </c>
    </row>
    <row r="423" spans="2:15" ht="13.15" customHeight="1">
      <c r="B423" s="256"/>
      <c r="C423" s="256"/>
      <c r="D423" s="256"/>
      <c r="E423" s="256"/>
      <c r="F423" s="256"/>
      <c r="G423" s="256"/>
      <c r="H423" s="256"/>
      <c r="I423" s="256"/>
      <c r="J423" s="256"/>
      <c r="K423" s="256"/>
      <c r="M423" s="3" t="s">
        <v>217</v>
      </c>
      <c r="O423" s="3">
        <f t="shared" si="7"/>
        <v>423</v>
      </c>
    </row>
    <row r="424" spans="2:15" ht="13.15" customHeight="1">
      <c r="B424" s="256"/>
      <c r="C424" s="256"/>
      <c r="D424" s="256"/>
      <c r="E424" s="256"/>
      <c r="F424" s="256"/>
      <c r="G424" s="256"/>
      <c r="H424" s="256"/>
      <c r="I424" s="256"/>
      <c r="J424" s="256"/>
      <c r="K424" s="256"/>
      <c r="M424" s="3" t="s">
        <v>217</v>
      </c>
      <c r="O424" s="3">
        <f t="shared" si="7"/>
        <v>424</v>
      </c>
    </row>
    <row r="425" spans="2:15" ht="13.15" customHeight="1">
      <c r="B425" s="256"/>
      <c r="C425" s="256"/>
      <c r="D425" s="256"/>
      <c r="E425" s="256"/>
      <c r="F425" s="256"/>
      <c r="G425" s="256"/>
      <c r="H425" s="256"/>
      <c r="I425" s="256"/>
      <c r="J425" s="256"/>
      <c r="K425" s="256"/>
      <c r="M425" s="3" t="s">
        <v>217</v>
      </c>
      <c r="O425" s="3">
        <f t="shared" si="7"/>
        <v>425</v>
      </c>
    </row>
    <row r="426" spans="2:15" ht="13.15" customHeight="1">
      <c r="B426" s="256"/>
      <c r="C426" s="256"/>
      <c r="D426" s="256"/>
      <c r="E426" s="256"/>
      <c r="F426" s="256"/>
      <c r="G426" s="256"/>
      <c r="H426" s="256"/>
      <c r="I426" s="256"/>
      <c r="J426" s="256"/>
      <c r="K426" s="256"/>
      <c r="M426" s="3" t="s">
        <v>217</v>
      </c>
      <c r="O426" s="3">
        <f t="shared" si="7"/>
        <v>426</v>
      </c>
    </row>
    <row r="427" spans="2:15" ht="13.15" customHeight="1">
      <c r="B427" s="256"/>
      <c r="C427" s="256"/>
      <c r="D427" s="256"/>
      <c r="E427" s="256"/>
      <c r="F427" s="256"/>
      <c r="G427" s="256"/>
      <c r="H427" s="256"/>
      <c r="I427" s="256"/>
      <c r="J427" s="256"/>
      <c r="K427" s="256"/>
      <c r="M427" s="3" t="s">
        <v>217</v>
      </c>
      <c r="O427" s="3">
        <f t="shared" si="7"/>
        <v>427</v>
      </c>
    </row>
    <row r="428" spans="2:15" ht="13.15" customHeight="1">
      <c r="B428" s="256"/>
      <c r="C428" s="256"/>
      <c r="D428" s="256"/>
      <c r="E428" s="256"/>
      <c r="F428" s="256"/>
      <c r="G428" s="256"/>
      <c r="H428" s="256"/>
      <c r="I428" s="256"/>
      <c r="J428" s="256"/>
      <c r="K428" s="256"/>
      <c r="M428" s="3" t="s">
        <v>217</v>
      </c>
      <c r="O428" s="3">
        <f t="shared" si="7"/>
        <v>428</v>
      </c>
    </row>
    <row r="429" spans="2:15" ht="13.15" customHeight="1">
      <c r="B429" s="256"/>
      <c r="C429" s="256"/>
      <c r="D429" s="256"/>
      <c r="E429" s="256"/>
      <c r="F429" s="256"/>
      <c r="G429" s="256"/>
      <c r="H429" s="256"/>
      <c r="I429" s="256"/>
      <c r="J429" s="256"/>
      <c r="K429" s="256"/>
      <c r="M429" s="3" t="s">
        <v>217</v>
      </c>
      <c r="O429" s="3">
        <f t="shared" si="7"/>
        <v>429</v>
      </c>
    </row>
    <row r="430" spans="2:15" ht="13.15" customHeight="1">
      <c r="B430" s="101"/>
      <c r="C430" s="101"/>
      <c r="D430" s="101"/>
      <c r="E430" s="101"/>
      <c r="F430" s="101"/>
      <c r="G430" s="101"/>
      <c r="H430" s="101"/>
      <c r="I430" s="101"/>
      <c r="J430" s="101"/>
      <c r="K430" s="101"/>
      <c r="M430" s="3" t="s">
        <v>217</v>
      </c>
      <c r="O430" s="3">
        <f t="shared" si="7"/>
        <v>430</v>
      </c>
    </row>
    <row r="431" spans="2:15" ht="13.15" customHeight="1">
      <c r="B431" s="157" t="s">
        <v>356</v>
      </c>
      <c r="C431" s="266" t="s">
        <v>193</v>
      </c>
      <c r="D431" s="266"/>
      <c r="E431" s="266"/>
      <c r="F431" s="266"/>
      <c r="G431" s="266"/>
      <c r="H431" s="266"/>
      <c r="I431" s="266"/>
      <c r="J431" s="266"/>
      <c r="K431" s="266"/>
      <c r="M431" s="3" t="s">
        <v>217</v>
      </c>
      <c r="O431" s="3">
        <f t="shared" si="7"/>
        <v>431</v>
      </c>
    </row>
    <row r="432" spans="2:15" ht="13.15" customHeight="1">
      <c r="C432" s="266"/>
      <c r="D432" s="266"/>
      <c r="E432" s="266"/>
      <c r="F432" s="266"/>
      <c r="G432" s="266"/>
      <c r="H432" s="266"/>
      <c r="I432" s="266"/>
      <c r="J432" s="266"/>
      <c r="K432" s="266"/>
      <c r="M432" s="3" t="s">
        <v>217</v>
      </c>
      <c r="O432" s="3">
        <f t="shared" si="7"/>
        <v>432</v>
      </c>
    </row>
    <row r="433" spans="1:15" ht="13.15" customHeight="1">
      <c r="C433" s="266"/>
      <c r="D433" s="266"/>
      <c r="E433" s="266"/>
      <c r="F433" s="266"/>
      <c r="G433" s="266"/>
      <c r="H433" s="266"/>
      <c r="I433" s="266"/>
      <c r="J433" s="266"/>
      <c r="K433" s="266"/>
      <c r="M433" s="3" t="s">
        <v>217</v>
      </c>
      <c r="O433" s="3">
        <f t="shared" si="7"/>
        <v>433</v>
      </c>
    </row>
    <row r="434" spans="1:15" ht="13.15" customHeight="1">
      <c r="C434" s="149"/>
      <c r="D434" s="149"/>
      <c r="E434" s="149"/>
      <c r="F434" s="149"/>
      <c r="G434" s="149"/>
      <c r="H434" s="149"/>
      <c r="I434" s="149"/>
      <c r="J434" s="149"/>
      <c r="K434" s="149"/>
      <c r="M434" s="3" t="s">
        <v>217</v>
      </c>
      <c r="O434" s="3">
        <f t="shared" si="7"/>
        <v>434</v>
      </c>
    </row>
    <row r="435" spans="1:15" ht="13.15" customHeight="1">
      <c r="A435" s="139" t="s">
        <v>379</v>
      </c>
      <c r="B435" s="255" t="s">
        <v>264</v>
      </c>
      <c r="C435" s="255"/>
      <c r="D435" s="255"/>
      <c r="E435" s="255"/>
      <c r="F435" s="255"/>
      <c r="G435" s="255"/>
      <c r="H435" s="255"/>
      <c r="I435" s="255"/>
      <c r="J435" s="255"/>
      <c r="K435" s="255"/>
      <c r="L435" s="3">
        <v>24</v>
      </c>
      <c r="M435" s="3">
        <v>8</v>
      </c>
      <c r="N435" s="3">
        <v>4</v>
      </c>
      <c r="O435" s="3">
        <f t="shared" si="7"/>
        <v>435</v>
      </c>
    </row>
    <row r="436" spans="1:15" ht="13.15" customHeight="1">
      <c r="B436" s="255"/>
      <c r="C436" s="255"/>
      <c r="D436" s="255"/>
      <c r="E436" s="255"/>
      <c r="F436" s="255"/>
      <c r="G436" s="255"/>
      <c r="H436" s="255"/>
      <c r="I436" s="255"/>
      <c r="J436" s="255"/>
      <c r="K436" s="255"/>
      <c r="M436" s="3" t="s">
        <v>217</v>
      </c>
      <c r="O436" s="3">
        <f t="shared" si="7"/>
        <v>436</v>
      </c>
    </row>
    <row r="437" spans="1:15" ht="13.15" customHeight="1">
      <c r="B437" s="255"/>
      <c r="C437" s="255"/>
      <c r="D437" s="255"/>
      <c r="E437" s="255"/>
      <c r="F437" s="255"/>
      <c r="G437" s="255"/>
      <c r="H437" s="255"/>
      <c r="I437" s="255"/>
      <c r="J437" s="255"/>
      <c r="K437" s="255"/>
      <c r="M437" s="3" t="s">
        <v>217</v>
      </c>
      <c r="O437" s="3">
        <f t="shared" si="7"/>
        <v>437</v>
      </c>
    </row>
    <row r="438" spans="1:15" ht="13.15" customHeight="1">
      <c r="B438" s="255"/>
      <c r="C438" s="255"/>
      <c r="D438" s="255"/>
      <c r="E438" s="255"/>
      <c r="F438" s="255"/>
      <c r="G438" s="255"/>
      <c r="H438" s="255"/>
      <c r="I438" s="255"/>
      <c r="J438" s="255"/>
      <c r="K438" s="255"/>
      <c r="M438" s="3" t="s">
        <v>217</v>
      </c>
      <c r="O438" s="3">
        <f t="shared" si="7"/>
        <v>438</v>
      </c>
    </row>
    <row r="439" spans="1:15" ht="13.15" customHeight="1">
      <c r="B439" s="151"/>
      <c r="C439" s="151"/>
      <c r="D439" s="151"/>
      <c r="E439" s="151"/>
      <c r="F439" s="151"/>
      <c r="G439" s="151"/>
      <c r="H439" s="151"/>
      <c r="I439" s="151"/>
      <c r="J439" s="151"/>
      <c r="K439" s="151"/>
      <c r="M439" s="3" t="s">
        <v>217</v>
      </c>
      <c r="O439" s="3">
        <f t="shared" si="7"/>
        <v>439</v>
      </c>
    </row>
    <row r="440" spans="1:15" ht="13.15" customHeight="1">
      <c r="B440" s="157" t="s">
        <v>356</v>
      </c>
      <c r="C440" s="256" t="s">
        <v>192</v>
      </c>
      <c r="D440" s="256"/>
      <c r="E440" s="256"/>
      <c r="F440" s="256"/>
      <c r="G440" s="256"/>
      <c r="H440" s="256"/>
      <c r="I440" s="256"/>
      <c r="J440" s="256"/>
      <c r="K440" s="256"/>
      <c r="M440" s="3" t="s">
        <v>217</v>
      </c>
      <c r="O440" s="3">
        <f t="shared" si="7"/>
        <v>440</v>
      </c>
    </row>
    <row r="441" spans="1:15" ht="13.15" customHeight="1">
      <c r="A441" s="3"/>
      <c r="C441" s="256"/>
      <c r="D441" s="256"/>
      <c r="E441" s="256"/>
      <c r="F441" s="256"/>
      <c r="G441" s="256"/>
      <c r="H441" s="256"/>
      <c r="I441" s="256"/>
      <c r="J441" s="256"/>
      <c r="K441" s="256"/>
      <c r="M441" s="3" t="s">
        <v>217</v>
      </c>
      <c r="O441" s="3">
        <f t="shared" si="7"/>
        <v>441</v>
      </c>
    </row>
    <row r="442" spans="1:15" ht="13.15" customHeight="1">
      <c r="C442" s="256"/>
      <c r="D442" s="256"/>
      <c r="E442" s="256"/>
      <c r="F442" s="256"/>
      <c r="G442" s="256"/>
      <c r="H442" s="256"/>
      <c r="I442" s="256"/>
      <c r="J442" s="256"/>
      <c r="K442" s="256"/>
      <c r="M442" s="3" t="s">
        <v>217</v>
      </c>
      <c r="O442" s="3">
        <f t="shared" si="7"/>
        <v>442</v>
      </c>
    </row>
    <row r="443" spans="1:15" ht="13.15" customHeight="1">
      <c r="B443" s="106"/>
      <c r="M443" s="3" t="s">
        <v>217</v>
      </c>
      <c r="O443" s="3">
        <f t="shared" si="7"/>
        <v>443</v>
      </c>
    </row>
    <row r="444" spans="1:15" ht="13.15" customHeight="1">
      <c r="A444" s="139" t="s">
        <v>380</v>
      </c>
      <c r="B444" s="256" t="s">
        <v>265</v>
      </c>
      <c r="C444" s="256"/>
      <c r="D444" s="256"/>
      <c r="E444" s="256"/>
      <c r="F444" s="256"/>
      <c r="G444" s="256"/>
      <c r="H444" s="256"/>
      <c r="I444" s="256"/>
      <c r="J444" s="256"/>
      <c r="K444" s="256"/>
      <c r="L444" s="3">
        <v>25</v>
      </c>
      <c r="M444" s="3">
        <v>15</v>
      </c>
      <c r="N444" s="3">
        <v>10</v>
      </c>
      <c r="O444" s="3">
        <f t="shared" si="7"/>
        <v>444</v>
      </c>
    </row>
    <row r="445" spans="1:15" ht="13.15" customHeight="1">
      <c r="B445" s="256"/>
      <c r="C445" s="256"/>
      <c r="D445" s="256"/>
      <c r="E445" s="256"/>
      <c r="F445" s="256"/>
      <c r="G445" s="256"/>
      <c r="H445" s="256"/>
      <c r="I445" s="256"/>
      <c r="J445" s="256"/>
      <c r="K445" s="256"/>
      <c r="M445" s="3" t="s">
        <v>217</v>
      </c>
      <c r="O445" s="3">
        <f t="shared" si="7"/>
        <v>445</v>
      </c>
    </row>
    <row r="446" spans="1:15" ht="13.15" customHeight="1">
      <c r="B446" s="256"/>
      <c r="C446" s="256"/>
      <c r="D446" s="256"/>
      <c r="E446" s="256"/>
      <c r="F446" s="256"/>
      <c r="G446" s="256"/>
      <c r="H446" s="256"/>
      <c r="I446" s="256"/>
      <c r="J446" s="256"/>
      <c r="K446" s="256"/>
      <c r="M446" s="3" t="s">
        <v>217</v>
      </c>
      <c r="O446" s="3">
        <f t="shared" si="7"/>
        <v>446</v>
      </c>
    </row>
    <row r="447" spans="1:15" ht="13.15" customHeight="1">
      <c r="B447" s="256"/>
      <c r="C447" s="256"/>
      <c r="D447" s="256"/>
      <c r="E447" s="256"/>
      <c r="F447" s="256"/>
      <c r="G447" s="256"/>
      <c r="H447" s="256"/>
      <c r="I447" s="256"/>
      <c r="J447" s="256"/>
      <c r="K447" s="256"/>
      <c r="M447" s="3" t="s">
        <v>217</v>
      </c>
      <c r="O447" s="3">
        <f t="shared" si="7"/>
        <v>447</v>
      </c>
    </row>
    <row r="448" spans="1:15" ht="13.15" customHeight="1">
      <c r="B448" s="256"/>
      <c r="C448" s="256"/>
      <c r="D448" s="256"/>
      <c r="E448" s="256"/>
      <c r="F448" s="256"/>
      <c r="G448" s="256"/>
      <c r="H448" s="256"/>
      <c r="I448" s="256"/>
      <c r="J448" s="256"/>
      <c r="K448" s="256"/>
      <c r="M448" s="3" t="s">
        <v>217</v>
      </c>
      <c r="O448" s="3">
        <f t="shared" si="7"/>
        <v>448</v>
      </c>
    </row>
    <row r="449" spans="1:15" ht="13.15" customHeight="1">
      <c r="B449" s="256"/>
      <c r="C449" s="256"/>
      <c r="D449" s="256"/>
      <c r="E449" s="256"/>
      <c r="F449" s="256"/>
      <c r="G449" s="256"/>
      <c r="H449" s="256"/>
      <c r="I449" s="256"/>
      <c r="J449" s="256"/>
      <c r="K449" s="256"/>
      <c r="M449" s="3" t="s">
        <v>217</v>
      </c>
      <c r="O449" s="3">
        <f t="shared" ref="O449:O512" si="8">ROW(M449)</f>
        <v>449</v>
      </c>
    </row>
    <row r="450" spans="1:15" ht="13.15" customHeight="1">
      <c r="B450" s="256"/>
      <c r="C450" s="256"/>
      <c r="D450" s="256"/>
      <c r="E450" s="256"/>
      <c r="F450" s="256"/>
      <c r="G450" s="256"/>
      <c r="H450" s="256"/>
      <c r="I450" s="256"/>
      <c r="J450" s="256"/>
      <c r="K450" s="256"/>
      <c r="M450" s="3" t="s">
        <v>217</v>
      </c>
      <c r="O450" s="3">
        <f t="shared" si="8"/>
        <v>450</v>
      </c>
    </row>
    <row r="451" spans="1:15" ht="13.15" customHeight="1">
      <c r="B451" s="256"/>
      <c r="C451" s="256"/>
      <c r="D451" s="256"/>
      <c r="E451" s="256"/>
      <c r="F451" s="256"/>
      <c r="G451" s="256"/>
      <c r="H451" s="256"/>
      <c r="I451" s="256"/>
      <c r="J451" s="256"/>
      <c r="K451" s="256"/>
      <c r="M451" s="3" t="s">
        <v>217</v>
      </c>
      <c r="O451" s="3">
        <f t="shared" si="8"/>
        <v>451</v>
      </c>
    </row>
    <row r="452" spans="1:15" ht="13.15" customHeight="1">
      <c r="B452" s="256"/>
      <c r="C452" s="256"/>
      <c r="D452" s="256"/>
      <c r="E452" s="256"/>
      <c r="F452" s="256"/>
      <c r="G452" s="256"/>
      <c r="H452" s="256"/>
      <c r="I452" s="256"/>
      <c r="J452" s="256"/>
      <c r="K452" s="256"/>
      <c r="M452" s="3" t="s">
        <v>217</v>
      </c>
      <c r="O452" s="3">
        <f t="shared" si="8"/>
        <v>452</v>
      </c>
    </row>
    <row r="453" spans="1:15" ht="13.15" customHeight="1">
      <c r="A453" s="3"/>
      <c r="B453" s="256"/>
      <c r="C453" s="256"/>
      <c r="D453" s="256"/>
      <c r="E453" s="256"/>
      <c r="F453" s="256"/>
      <c r="G453" s="256"/>
      <c r="H453" s="256"/>
      <c r="I453" s="256"/>
      <c r="J453" s="256"/>
      <c r="K453" s="256"/>
      <c r="M453" s="3" t="s">
        <v>217</v>
      </c>
      <c r="O453" s="3">
        <f t="shared" si="8"/>
        <v>453</v>
      </c>
    </row>
    <row r="454" spans="1:15" ht="13.15" customHeight="1">
      <c r="B454" s="149"/>
      <c r="C454" s="149"/>
      <c r="D454" s="149"/>
      <c r="E454" s="149"/>
      <c r="F454" s="149"/>
      <c r="G454" s="149"/>
      <c r="H454" s="149"/>
      <c r="I454" s="149"/>
      <c r="J454" s="149"/>
      <c r="K454" s="149"/>
      <c r="M454" s="3" t="s">
        <v>217</v>
      </c>
      <c r="O454" s="3">
        <f t="shared" si="8"/>
        <v>454</v>
      </c>
    </row>
    <row r="455" spans="1:15" ht="13.15" customHeight="1">
      <c r="B455" s="157" t="s">
        <v>356</v>
      </c>
      <c r="C455" s="256" t="s">
        <v>266</v>
      </c>
      <c r="D455" s="268"/>
      <c r="E455" s="268"/>
      <c r="F455" s="268"/>
      <c r="G455" s="268"/>
      <c r="H455" s="268"/>
      <c r="I455" s="268"/>
      <c r="J455" s="268"/>
      <c r="K455" s="268"/>
      <c r="M455" s="3" t="s">
        <v>217</v>
      </c>
      <c r="O455" s="3">
        <f t="shared" si="8"/>
        <v>455</v>
      </c>
    </row>
    <row r="456" spans="1:15" ht="13.15" customHeight="1">
      <c r="C456" s="256"/>
      <c r="D456" s="268"/>
      <c r="E456" s="268"/>
      <c r="F456" s="268"/>
      <c r="G456" s="268"/>
      <c r="H456" s="268"/>
      <c r="I456" s="268"/>
      <c r="J456" s="268"/>
      <c r="K456" s="268"/>
      <c r="M456" s="3" t="s">
        <v>217</v>
      </c>
      <c r="O456" s="3">
        <f t="shared" si="8"/>
        <v>456</v>
      </c>
    </row>
    <row r="457" spans="1:15" ht="13.15" customHeight="1">
      <c r="C457" s="256"/>
      <c r="D457" s="268"/>
      <c r="E457" s="268"/>
      <c r="F457" s="268"/>
      <c r="G457" s="268"/>
      <c r="H457" s="268"/>
      <c r="I457" s="268"/>
      <c r="J457" s="268"/>
      <c r="K457" s="268"/>
      <c r="M457" s="3" t="s">
        <v>217</v>
      </c>
      <c r="O457" s="3">
        <f t="shared" si="8"/>
        <v>457</v>
      </c>
    </row>
    <row r="458" spans="1:15" ht="13.15" customHeight="1">
      <c r="C458" s="268"/>
      <c r="D458" s="268"/>
      <c r="E458" s="268"/>
      <c r="F458" s="268"/>
      <c r="G458" s="268"/>
      <c r="H458" s="268"/>
      <c r="I458" s="268"/>
      <c r="J458" s="268"/>
      <c r="K458" s="268"/>
      <c r="M458" s="3" t="s">
        <v>217</v>
      </c>
      <c r="O458" s="3">
        <f t="shared" si="8"/>
        <v>458</v>
      </c>
    </row>
    <row r="459" spans="1:15" ht="13.15" customHeight="1">
      <c r="C459" s="101"/>
      <c r="D459" s="101"/>
      <c r="E459" s="101"/>
      <c r="F459" s="101"/>
      <c r="G459" s="101"/>
      <c r="H459" s="101"/>
      <c r="I459" s="101"/>
      <c r="J459" s="101"/>
      <c r="K459" s="101"/>
      <c r="M459" s="3" t="s">
        <v>217</v>
      </c>
      <c r="O459" s="3">
        <f t="shared" si="8"/>
        <v>459</v>
      </c>
    </row>
    <row r="460" spans="1:15" ht="13.15" customHeight="1">
      <c r="A460" s="139" t="s">
        <v>381</v>
      </c>
      <c r="B460" s="256" t="s">
        <v>267</v>
      </c>
      <c r="C460" s="256"/>
      <c r="D460" s="256"/>
      <c r="E460" s="256"/>
      <c r="F460" s="256"/>
      <c r="G460" s="256"/>
      <c r="H460" s="256"/>
      <c r="I460" s="256"/>
      <c r="J460" s="256"/>
      <c r="K460" s="256"/>
      <c r="L460" s="3">
        <v>26</v>
      </c>
      <c r="M460" s="3">
        <v>11</v>
      </c>
      <c r="N460" s="3">
        <v>5</v>
      </c>
      <c r="O460" s="3">
        <f t="shared" si="8"/>
        <v>460</v>
      </c>
    </row>
    <row r="461" spans="1:15" ht="13.15" customHeight="1">
      <c r="B461" s="256"/>
      <c r="C461" s="256"/>
      <c r="D461" s="256"/>
      <c r="E461" s="256"/>
      <c r="F461" s="256"/>
      <c r="G461" s="256"/>
      <c r="H461" s="256"/>
      <c r="I461" s="256"/>
      <c r="J461" s="256"/>
      <c r="K461" s="256"/>
      <c r="M461" s="3" t="s">
        <v>217</v>
      </c>
      <c r="O461" s="3">
        <f t="shared" si="8"/>
        <v>461</v>
      </c>
    </row>
    <row r="462" spans="1:15" ht="13.15" customHeight="1">
      <c r="B462" s="256"/>
      <c r="C462" s="256"/>
      <c r="D462" s="256"/>
      <c r="E462" s="256"/>
      <c r="F462" s="256"/>
      <c r="G462" s="256"/>
      <c r="H462" s="256"/>
      <c r="I462" s="256"/>
      <c r="J462" s="256"/>
      <c r="K462" s="256"/>
      <c r="M462" s="3" t="s">
        <v>217</v>
      </c>
      <c r="O462" s="3">
        <f t="shared" si="8"/>
        <v>462</v>
      </c>
    </row>
    <row r="463" spans="1:15" ht="13.15" customHeight="1">
      <c r="B463" s="256"/>
      <c r="C463" s="256"/>
      <c r="D463" s="256"/>
      <c r="E463" s="256"/>
      <c r="F463" s="256"/>
      <c r="G463" s="256"/>
      <c r="H463" s="256"/>
      <c r="I463" s="256"/>
      <c r="J463" s="256"/>
      <c r="K463" s="256"/>
      <c r="M463" s="3" t="s">
        <v>217</v>
      </c>
      <c r="O463" s="3">
        <f t="shared" si="8"/>
        <v>463</v>
      </c>
    </row>
    <row r="464" spans="1:15" ht="13.15" customHeight="1">
      <c r="B464" s="256"/>
      <c r="C464" s="256"/>
      <c r="D464" s="256"/>
      <c r="E464" s="256"/>
      <c r="F464" s="256"/>
      <c r="G464" s="256"/>
      <c r="H464" s="256"/>
      <c r="I464" s="256"/>
      <c r="J464" s="256"/>
      <c r="K464" s="256"/>
      <c r="M464" s="3" t="s">
        <v>217</v>
      </c>
      <c r="O464" s="3">
        <f t="shared" si="8"/>
        <v>464</v>
      </c>
    </row>
    <row r="465" spans="1:15" ht="13.15" customHeight="1">
      <c r="B465" s="149"/>
      <c r="C465" s="149"/>
      <c r="D465" s="149"/>
      <c r="E465" s="149"/>
      <c r="F465" s="149"/>
      <c r="G465" s="149"/>
      <c r="H465" s="149"/>
      <c r="I465" s="149"/>
      <c r="J465" s="149"/>
      <c r="K465" s="149"/>
      <c r="M465" s="3" t="s">
        <v>217</v>
      </c>
      <c r="O465" s="3">
        <f t="shared" si="8"/>
        <v>465</v>
      </c>
    </row>
    <row r="466" spans="1:15" ht="13.15" customHeight="1">
      <c r="B466" s="157" t="s">
        <v>356</v>
      </c>
      <c r="C466" s="256" t="s">
        <v>268</v>
      </c>
      <c r="D466" s="265"/>
      <c r="E466" s="265"/>
      <c r="F466" s="265"/>
      <c r="G466" s="265"/>
      <c r="H466" s="265"/>
      <c r="I466" s="265"/>
      <c r="J466" s="265"/>
      <c r="K466" s="265"/>
      <c r="M466" s="3" t="s">
        <v>217</v>
      </c>
      <c r="O466" s="3">
        <f t="shared" si="8"/>
        <v>466</v>
      </c>
    </row>
    <row r="467" spans="1:15" ht="13.15" customHeight="1">
      <c r="C467" s="256"/>
      <c r="D467" s="265"/>
      <c r="E467" s="265"/>
      <c r="F467" s="265"/>
      <c r="G467" s="265"/>
      <c r="H467" s="265"/>
      <c r="I467" s="265"/>
      <c r="J467" s="265"/>
      <c r="K467" s="265"/>
      <c r="M467" s="3" t="s">
        <v>217</v>
      </c>
      <c r="O467" s="3">
        <f t="shared" si="8"/>
        <v>467</v>
      </c>
    </row>
    <row r="468" spans="1:15" ht="13.15" customHeight="1">
      <c r="C468" s="265"/>
      <c r="D468" s="265"/>
      <c r="E468" s="265"/>
      <c r="F468" s="265"/>
      <c r="G468" s="265"/>
      <c r="H468" s="265"/>
      <c r="I468" s="265"/>
      <c r="J468" s="265"/>
      <c r="K468" s="265"/>
      <c r="M468" s="3" t="s">
        <v>217</v>
      </c>
      <c r="O468" s="3">
        <f t="shared" si="8"/>
        <v>468</v>
      </c>
    </row>
    <row r="469" spans="1:15" ht="13.15" customHeight="1">
      <c r="C469" s="265"/>
      <c r="D469" s="265"/>
      <c r="E469" s="265"/>
      <c r="F469" s="265"/>
      <c r="G469" s="265"/>
      <c r="H469" s="265"/>
      <c r="I469" s="265"/>
      <c r="J469" s="265"/>
      <c r="K469" s="265"/>
      <c r="M469" s="3" t="s">
        <v>217</v>
      </c>
      <c r="O469" s="3">
        <f t="shared" si="8"/>
        <v>469</v>
      </c>
    </row>
    <row r="470" spans="1:15" ht="13.15" customHeight="1">
      <c r="C470" s="265"/>
      <c r="D470" s="265"/>
      <c r="E470" s="265"/>
      <c r="F470" s="265"/>
      <c r="G470" s="265"/>
      <c r="H470" s="265"/>
      <c r="I470" s="265"/>
      <c r="J470" s="265"/>
      <c r="K470" s="265"/>
      <c r="M470" s="3" t="s">
        <v>217</v>
      </c>
      <c r="O470" s="3">
        <f t="shared" si="8"/>
        <v>470</v>
      </c>
    </row>
    <row r="471" spans="1:15" ht="13.15" customHeight="1">
      <c r="M471" s="3" t="s">
        <v>217</v>
      </c>
      <c r="O471" s="3">
        <f t="shared" si="8"/>
        <v>471</v>
      </c>
    </row>
    <row r="472" spans="1:15" ht="13.15" customHeight="1">
      <c r="A472" s="139" t="s">
        <v>382</v>
      </c>
      <c r="B472" s="255" t="s">
        <v>269</v>
      </c>
      <c r="C472" s="255"/>
      <c r="D472" s="255"/>
      <c r="E472" s="255"/>
      <c r="F472" s="255"/>
      <c r="G472" s="255"/>
      <c r="H472" s="255"/>
      <c r="I472" s="255"/>
      <c r="J472" s="255"/>
      <c r="K472" s="255"/>
      <c r="L472" s="3">
        <v>27</v>
      </c>
      <c r="M472" s="3">
        <v>16</v>
      </c>
      <c r="N472" s="3">
        <v>13</v>
      </c>
      <c r="O472" s="3">
        <f t="shared" si="8"/>
        <v>472</v>
      </c>
    </row>
    <row r="473" spans="1:15" ht="13.15" customHeight="1">
      <c r="B473" s="255"/>
      <c r="C473" s="255"/>
      <c r="D473" s="255"/>
      <c r="E473" s="255"/>
      <c r="F473" s="255"/>
      <c r="G473" s="255"/>
      <c r="H473" s="255"/>
      <c r="I473" s="255"/>
      <c r="J473" s="255"/>
      <c r="K473" s="255"/>
      <c r="M473" s="3" t="s">
        <v>217</v>
      </c>
      <c r="O473" s="3">
        <f t="shared" si="8"/>
        <v>473</v>
      </c>
    </row>
    <row r="474" spans="1:15" ht="13.15" customHeight="1">
      <c r="B474" s="255"/>
      <c r="C474" s="255"/>
      <c r="D474" s="255"/>
      <c r="E474" s="255"/>
      <c r="F474" s="255"/>
      <c r="G474" s="255"/>
      <c r="H474" s="255"/>
      <c r="I474" s="255"/>
      <c r="J474" s="255"/>
      <c r="K474" s="255"/>
      <c r="M474" s="3" t="s">
        <v>217</v>
      </c>
      <c r="O474" s="3">
        <f t="shared" si="8"/>
        <v>474</v>
      </c>
    </row>
    <row r="475" spans="1:15" ht="13.15" customHeight="1">
      <c r="B475" s="255"/>
      <c r="C475" s="255"/>
      <c r="D475" s="255"/>
      <c r="E475" s="255"/>
      <c r="F475" s="255"/>
      <c r="G475" s="255"/>
      <c r="H475" s="255"/>
      <c r="I475" s="255"/>
      <c r="J475" s="255"/>
      <c r="K475" s="255"/>
      <c r="M475" s="3" t="s">
        <v>217</v>
      </c>
      <c r="O475" s="3">
        <f t="shared" si="8"/>
        <v>475</v>
      </c>
    </row>
    <row r="476" spans="1:15" ht="13.15" customHeight="1">
      <c r="B476" s="255"/>
      <c r="C476" s="255"/>
      <c r="D476" s="255"/>
      <c r="E476" s="255"/>
      <c r="F476" s="255"/>
      <c r="G476" s="255"/>
      <c r="H476" s="255"/>
      <c r="I476" s="255"/>
      <c r="J476" s="255"/>
      <c r="K476" s="255"/>
      <c r="M476" s="3" t="s">
        <v>217</v>
      </c>
      <c r="O476" s="3">
        <f t="shared" si="8"/>
        <v>476</v>
      </c>
    </row>
    <row r="477" spans="1:15" ht="13.15" customHeight="1">
      <c r="B477" s="255"/>
      <c r="C477" s="255"/>
      <c r="D477" s="255"/>
      <c r="E477" s="255"/>
      <c r="F477" s="255"/>
      <c r="G477" s="255"/>
      <c r="H477" s="255"/>
      <c r="I477" s="255"/>
      <c r="J477" s="255"/>
      <c r="K477" s="255"/>
      <c r="M477" s="3" t="s">
        <v>217</v>
      </c>
      <c r="O477" s="3">
        <f t="shared" si="8"/>
        <v>477</v>
      </c>
    </row>
    <row r="478" spans="1:15" ht="13.15" customHeight="1">
      <c r="B478" s="255"/>
      <c r="C478" s="255"/>
      <c r="D478" s="255"/>
      <c r="E478" s="255"/>
      <c r="F478" s="255"/>
      <c r="G478" s="255"/>
      <c r="H478" s="255"/>
      <c r="I478" s="255"/>
      <c r="J478" s="255"/>
      <c r="K478" s="255"/>
      <c r="M478" s="3" t="s">
        <v>217</v>
      </c>
      <c r="O478" s="3">
        <f t="shared" si="8"/>
        <v>478</v>
      </c>
    </row>
    <row r="479" spans="1:15" ht="13.15" customHeight="1">
      <c r="B479" s="255"/>
      <c r="C479" s="255"/>
      <c r="D479" s="255"/>
      <c r="E479" s="255"/>
      <c r="F479" s="255"/>
      <c r="G479" s="255"/>
      <c r="H479" s="255"/>
      <c r="I479" s="255"/>
      <c r="J479" s="255"/>
      <c r="K479" s="255"/>
      <c r="M479" s="3" t="s">
        <v>217</v>
      </c>
      <c r="O479" s="3">
        <f t="shared" si="8"/>
        <v>479</v>
      </c>
    </row>
    <row r="480" spans="1:15" ht="13.15" customHeight="1">
      <c r="B480" s="255"/>
      <c r="C480" s="255"/>
      <c r="D480" s="255"/>
      <c r="E480" s="255"/>
      <c r="F480" s="255"/>
      <c r="G480" s="255"/>
      <c r="H480" s="255"/>
      <c r="I480" s="255"/>
      <c r="J480" s="255"/>
      <c r="K480" s="255"/>
      <c r="M480" s="3" t="s">
        <v>217</v>
      </c>
      <c r="O480" s="3">
        <f t="shared" si="8"/>
        <v>480</v>
      </c>
    </row>
    <row r="481" spans="1:15" ht="13.15" customHeight="1">
      <c r="B481" s="255"/>
      <c r="C481" s="255"/>
      <c r="D481" s="255"/>
      <c r="E481" s="255"/>
      <c r="F481" s="255"/>
      <c r="G481" s="255"/>
      <c r="H481" s="255"/>
      <c r="I481" s="255"/>
      <c r="J481" s="255"/>
      <c r="K481" s="255"/>
      <c r="M481" s="3" t="s">
        <v>217</v>
      </c>
      <c r="O481" s="3">
        <f t="shared" si="8"/>
        <v>481</v>
      </c>
    </row>
    <row r="482" spans="1:15" ht="13.15" customHeight="1">
      <c r="B482" s="255"/>
      <c r="C482" s="255"/>
      <c r="D482" s="255"/>
      <c r="E482" s="255"/>
      <c r="F482" s="255"/>
      <c r="G482" s="255"/>
      <c r="H482" s="255"/>
      <c r="I482" s="255"/>
      <c r="J482" s="255"/>
      <c r="K482" s="255"/>
      <c r="M482" s="3" t="s">
        <v>217</v>
      </c>
      <c r="O482" s="3">
        <f t="shared" si="8"/>
        <v>482</v>
      </c>
    </row>
    <row r="483" spans="1:15" ht="13.15" customHeight="1">
      <c r="B483" s="255"/>
      <c r="C483" s="255"/>
      <c r="D483" s="255"/>
      <c r="E483" s="255"/>
      <c r="F483" s="255"/>
      <c r="G483" s="255"/>
      <c r="H483" s="255"/>
      <c r="I483" s="255"/>
      <c r="J483" s="255"/>
      <c r="K483" s="255"/>
      <c r="M483" s="3" t="s">
        <v>217</v>
      </c>
      <c r="O483" s="3">
        <f t="shared" si="8"/>
        <v>483</v>
      </c>
    </row>
    <row r="484" spans="1:15" ht="13.15" customHeight="1">
      <c r="B484" s="255"/>
      <c r="C484" s="255"/>
      <c r="D484" s="255"/>
      <c r="E484" s="255"/>
      <c r="F484" s="255"/>
      <c r="G484" s="255"/>
      <c r="H484" s="255"/>
      <c r="I484" s="255"/>
      <c r="J484" s="255"/>
      <c r="K484" s="255"/>
      <c r="M484" s="3" t="s">
        <v>217</v>
      </c>
      <c r="O484" s="3">
        <f t="shared" si="8"/>
        <v>484</v>
      </c>
    </row>
    <row r="485" spans="1:15" ht="13.15" customHeight="1">
      <c r="B485" s="151"/>
      <c r="C485" s="151"/>
      <c r="D485" s="151"/>
      <c r="E485" s="151"/>
      <c r="F485" s="151"/>
      <c r="G485" s="151"/>
      <c r="H485" s="151"/>
      <c r="I485" s="151"/>
      <c r="J485" s="151"/>
      <c r="K485" s="151"/>
      <c r="M485" s="3" t="s">
        <v>217</v>
      </c>
      <c r="O485" s="3">
        <f t="shared" si="8"/>
        <v>485</v>
      </c>
    </row>
    <row r="486" spans="1:15" ht="13.15" customHeight="1">
      <c r="B486" s="157" t="s">
        <v>356</v>
      </c>
      <c r="C486" s="266" t="s">
        <v>270</v>
      </c>
      <c r="D486" s="266"/>
      <c r="E486" s="266"/>
      <c r="F486" s="266"/>
      <c r="G486" s="266"/>
      <c r="H486" s="266"/>
      <c r="I486" s="266"/>
      <c r="J486" s="266"/>
      <c r="K486" s="266"/>
      <c r="M486" s="3" t="s">
        <v>217</v>
      </c>
      <c r="O486" s="3">
        <f t="shared" si="8"/>
        <v>486</v>
      </c>
    </row>
    <row r="487" spans="1:15" ht="13.15" customHeight="1">
      <c r="C487" s="266"/>
      <c r="D487" s="266"/>
      <c r="E487" s="266"/>
      <c r="F487" s="266"/>
      <c r="G487" s="266"/>
      <c r="H487" s="266"/>
      <c r="I487" s="266"/>
      <c r="J487" s="266"/>
      <c r="K487" s="266"/>
      <c r="M487" s="3" t="s">
        <v>217</v>
      </c>
      <c r="O487" s="3">
        <f t="shared" si="8"/>
        <v>487</v>
      </c>
    </row>
    <row r="488" spans="1:15" ht="13.15" customHeight="1">
      <c r="M488" s="3" t="s">
        <v>217</v>
      </c>
      <c r="O488" s="3">
        <f t="shared" si="8"/>
        <v>488</v>
      </c>
    </row>
    <row r="489" spans="1:15" ht="13.15" customHeight="1">
      <c r="A489" s="139" t="s">
        <v>383</v>
      </c>
      <c r="B489" s="255" t="s">
        <v>271</v>
      </c>
      <c r="C489" s="255"/>
      <c r="D489" s="255"/>
      <c r="E489" s="255"/>
      <c r="F489" s="255"/>
      <c r="G489" s="255"/>
      <c r="H489" s="255"/>
      <c r="I489" s="255"/>
      <c r="J489" s="255"/>
      <c r="K489" s="255"/>
      <c r="L489" s="3">
        <v>28</v>
      </c>
      <c r="M489" s="3">
        <v>9</v>
      </c>
      <c r="N489" s="3">
        <v>6</v>
      </c>
      <c r="O489" s="3">
        <f t="shared" si="8"/>
        <v>489</v>
      </c>
    </row>
    <row r="490" spans="1:15" ht="13.15" customHeight="1">
      <c r="B490" s="255"/>
      <c r="C490" s="255"/>
      <c r="D490" s="255"/>
      <c r="E490" s="255"/>
      <c r="F490" s="255"/>
      <c r="G490" s="255"/>
      <c r="H490" s="255"/>
      <c r="I490" s="255"/>
      <c r="J490" s="255"/>
      <c r="K490" s="255"/>
      <c r="M490" s="3" t="s">
        <v>217</v>
      </c>
      <c r="O490" s="3">
        <f t="shared" si="8"/>
        <v>490</v>
      </c>
    </row>
    <row r="491" spans="1:15" ht="13.15" customHeight="1">
      <c r="B491" s="255"/>
      <c r="C491" s="255"/>
      <c r="D491" s="255"/>
      <c r="E491" s="255"/>
      <c r="F491" s="255"/>
      <c r="G491" s="255"/>
      <c r="H491" s="255"/>
      <c r="I491" s="255"/>
      <c r="J491" s="255"/>
      <c r="K491" s="255"/>
      <c r="M491" s="3" t="s">
        <v>217</v>
      </c>
      <c r="O491" s="3">
        <f t="shared" si="8"/>
        <v>491</v>
      </c>
    </row>
    <row r="492" spans="1:15" ht="13.15" customHeight="1">
      <c r="B492" s="255"/>
      <c r="C492" s="255"/>
      <c r="D492" s="255"/>
      <c r="E492" s="255"/>
      <c r="F492" s="255"/>
      <c r="G492" s="255"/>
      <c r="H492" s="255"/>
      <c r="I492" s="255"/>
      <c r="J492" s="255"/>
      <c r="K492" s="255"/>
      <c r="M492" s="3" t="s">
        <v>217</v>
      </c>
      <c r="O492" s="3">
        <f t="shared" si="8"/>
        <v>492</v>
      </c>
    </row>
    <row r="493" spans="1:15" ht="13.15" customHeight="1">
      <c r="B493" s="255"/>
      <c r="C493" s="255"/>
      <c r="D493" s="255"/>
      <c r="E493" s="255"/>
      <c r="F493" s="255"/>
      <c r="G493" s="255"/>
      <c r="H493" s="255"/>
      <c r="I493" s="255"/>
      <c r="J493" s="255"/>
      <c r="K493" s="255"/>
      <c r="M493" s="3" t="s">
        <v>217</v>
      </c>
      <c r="O493" s="3">
        <f t="shared" si="8"/>
        <v>493</v>
      </c>
    </row>
    <row r="494" spans="1:15" ht="13.15" customHeight="1">
      <c r="B494" s="255"/>
      <c r="C494" s="255"/>
      <c r="D494" s="255"/>
      <c r="E494" s="255"/>
      <c r="F494" s="255"/>
      <c r="G494" s="255"/>
      <c r="H494" s="255"/>
      <c r="I494" s="255"/>
      <c r="J494" s="255"/>
      <c r="K494" s="255"/>
      <c r="M494" s="3" t="s">
        <v>217</v>
      </c>
      <c r="O494" s="3">
        <f t="shared" si="8"/>
        <v>494</v>
      </c>
    </row>
    <row r="495" spans="1:15" ht="13.15" customHeight="1">
      <c r="B495" s="151"/>
      <c r="C495" s="151"/>
      <c r="D495" s="151"/>
      <c r="E495" s="151"/>
      <c r="F495" s="151"/>
      <c r="G495" s="151"/>
      <c r="H495" s="151"/>
      <c r="I495" s="151"/>
      <c r="J495" s="151"/>
      <c r="K495" s="151"/>
      <c r="M495" s="3" t="s">
        <v>217</v>
      </c>
      <c r="O495" s="3">
        <f t="shared" si="8"/>
        <v>495</v>
      </c>
    </row>
    <row r="496" spans="1:15" ht="13.15" customHeight="1">
      <c r="B496" s="157" t="s">
        <v>356</v>
      </c>
      <c r="C496" s="266" t="s">
        <v>194</v>
      </c>
      <c r="D496" s="267"/>
      <c r="E496" s="267"/>
      <c r="F496" s="267"/>
      <c r="G496" s="267"/>
      <c r="H496" s="267"/>
      <c r="I496" s="267"/>
      <c r="J496" s="267"/>
      <c r="K496" s="267"/>
      <c r="M496" s="3" t="s">
        <v>217</v>
      </c>
      <c r="O496" s="3">
        <f t="shared" si="8"/>
        <v>496</v>
      </c>
    </row>
    <row r="497" spans="1:15" ht="13.15" customHeight="1">
      <c r="C497" s="267"/>
      <c r="D497" s="267"/>
      <c r="E497" s="267"/>
      <c r="F497" s="267"/>
      <c r="G497" s="267"/>
      <c r="H497" s="267"/>
      <c r="I497" s="267"/>
      <c r="J497" s="267"/>
      <c r="K497" s="267"/>
      <c r="M497" s="3" t="s">
        <v>217</v>
      </c>
      <c r="O497" s="3">
        <f t="shared" si="8"/>
        <v>497</v>
      </c>
    </row>
    <row r="498" spans="1:15" ht="13.15" customHeight="1">
      <c r="M498" s="3" t="s">
        <v>217</v>
      </c>
      <c r="O498" s="3">
        <f t="shared" si="8"/>
        <v>498</v>
      </c>
    </row>
    <row r="499" spans="1:15" ht="13.15" customHeight="1">
      <c r="A499" s="139" t="s">
        <v>384</v>
      </c>
      <c r="B499" s="255" t="s">
        <v>272</v>
      </c>
      <c r="C499" s="255"/>
      <c r="D499" s="255"/>
      <c r="E499" s="255"/>
      <c r="F499" s="255"/>
      <c r="G499" s="255"/>
      <c r="H499" s="255"/>
      <c r="I499" s="255"/>
      <c r="J499" s="255"/>
      <c r="K499" s="255"/>
      <c r="L499" s="3">
        <v>29</v>
      </c>
      <c r="M499" s="3">
        <v>7</v>
      </c>
      <c r="N499" s="3">
        <v>4</v>
      </c>
      <c r="O499" s="3">
        <f t="shared" si="8"/>
        <v>499</v>
      </c>
    </row>
    <row r="500" spans="1:15" ht="13.15" customHeight="1">
      <c r="B500" s="255"/>
      <c r="C500" s="255"/>
      <c r="D500" s="255"/>
      <c r="E500" s="255"/>
      <c r="F500" s="255"/>
      <c r="G500" s="255"/>
      <c r="H500" s="255"/>
      <c r="I500" s="255"/>
      <c r="J500" s="255"/>
      <c r="K500" s="255"/>
      <c r="M500" s="3" t="s">
        <v>217</v>
      </c>
      <c r="O500" s="3">
        <f t="shared" si="8"/>
        <v>500</v>
      </c>
    </row>
    <row r="501" spans="1:15" ht="13.15" customHeight="1">
      <c r="B501" s="255"/>
      <c r="C501" s="255"/>
      <c r="D501" s="255"/>
      <c r="E501" s="255"/>
      <c r="F501" s="255"/>
      <c r="G501" s="255"/>
      <c r="H501" s="255"/>
      <c r="I501" s="255"/>
      <c r="J501" s="255"/>
      <c r="K501" s="255"/>
      <c r="M501" s="3" t="s">
        <v>217</v>
      </c>
      <c r="O501" s="3">
        <f t="shared" si="8"/>
        <v>501</v>
      </c>
    </row>
    <row r="502" spans="1:15" ht="13.15" customHeight="1">
      <c r="B502" s="255"/>
      <c r="C502" s="255"/>
      <c r="D502" s="255"/>
      <c r="E502" s="255"/>
      <c r="F502" s="255"/>
      <c r="G502" s="255"/>
      <c r="H502" s="255"/>
      <c r="I502" s="255"/>
      <c r="J502" s="255"/>
      <c r="K502" s="255"/>
      <c r="M502" s="3" t="s">
        <v>217</v>
      </c>
      <c r="O502" s="3">
        <f t="shared" si="8"/>
        <v>502</v>
      </c>
    </row>
    <row r="503" spans="1:15" ht="13.15" customHeight="1">
      <c r="B503" s="151"/>
      <c r="C503" s="151"/>
      <c r="D503" s="151"/>
      <c r="E503" s="151"/>
      <c r="F503" s="151"/>
      <c r="G503" s="151"/>
      <c r="H503" s="151"/>
      <c r="I503" s="151"/>
      <c r="J503" s="151"/>
      <c r="K503" s="151"/>
      <c r="M503" s="3" t="s">
        <v>217</v>
      </c>
      <c r="O503" s="3">
        <f t="shared" si="8"/>
        <v>503</v>
      </c>
    </row>
    <row r="504" spans="1:15" ht="13.15" customHeight="1">
      <c r="B504" s="157" t="s">
        <v>356</v>
      </c>
      <c r="C504" s="256" t="s">
        <v>195</v>
      </c>
      <c r="D504" s="256"/>
      <c r="E504" s="256"/>
      <c r="F504" s="256"/>
      <c r="G504" s="256"/>
      <c r="H504" s="256"/>
      <c r="I504" s="256"/>
      <c r="J504" s="256"/>
      <c r="K504" s="256"/>
      <c r="M504" s="3" t="s">
        <v>217</v>
      </c>
      <c r="O504" s="3">
        <f t="shared" si="8"/>
        <v>504</v>
      </c>
    </row>
    <row r="505" spans="1:15" ht="13.15" customHeight="1">
      <c r="C505" s="256"/>
      <c r="D505" s="256"/>
      <c r="E505" s="256"/>
      <c r="F505" s="256"/>
      <c r="G505" s="256"/>
      <c r="H505" s="256"/>
      <c r="I505" s="256"/>
      <c r="J505" s="256"/>
      <c r="K505" s="256"/>
      <c r="M505" s="3" t="s">
        <v>217</v>
      </c>
      <c r="O505" s="3">
        <f t="shared" si="8"/>
        <v>505</v>
      </c>
    </row>
    <row r="506" spans="1:15" ht="13.15" customHeight="1">
      <c r="C506" s="107"/>
      <c r="M506" s="3" t="s">
        <v>217</v>
      </c>
      <c r="O506" s="3">
        <f t="shared" si="8"/>
        <v>506</v>
      </c>
    </row>
    <row r="507" spans="1:15" ht="13.15" customHeight="1">
      <c r="A507" s="139" t="s">
        <v>385</v>
      </c>
      <c r="B507" s="256" t="s">
        <v>273</v>
      </c>
      <c r="C507" s="256"/>
      <c r="D507" s="256"/>
      <c r="E507" s="256"/>
      <c r="F507" s="256"/>
      <c r="G507" s="256"/>
      <c r="H507" s="256"/>
      <c r="I507" s="256"/>
      <c r="J507" s="256"/>
      <c r="K507" s="256"/>
      <c r="L507" s="3">
        <v>30</v>
      </c>
      <c r="M507" s="3">
        <v>7</v>
      </c>
      <c r="N507" s="3">
        <v>4</v>
      </c>
      <c r="O507" s="3">
        <f t="shared" si="8"/>
        <v>507</v>
      </c>
    </row>
    <row r="508" spans="1:15" ht="13.15" customHeight="1">
      <c r="B508" s="256"/>
      <c r="C508" s="256"/>
      <c r="D508" s="256"/>
      <c r="E508" s="256"/>
      <c r="F508" s="256"/>
      <c r="G508" s="256"/>
      <c r="H508" s="256"/>
      <c r="I508" s="256"/>
      <c r="J508" s="256"/>
      <c r="K508" s="256"/>
      <c r="L508" s="101"/>
      <c r="M508" s="3" t="s">
        <v>217</v>
      </c>
      <c r="O508" s="3">
        <f t="shared" si="8"/>
        <v>508</v>
      </c>
    </row>
    <row r="509" spans="1:15" ht="13.15" customHeight="1">
      <c r="B509" s="256"/>
      <c r="C509" s="256"/>
      <c r="D509" s="256"/>
      <c r="E509" s="256"/>
      <c r="F509" s="256"/>
      <c r="G509" s="256"/>
      <c r="H509" s="256"/>
      <c r="I509" s="256"/>
      <c r="J509" s="256"/>
      <c r="K509" s="256"/>
      <c r="L509" s="101"/>
      <c r="M509" s="3" t="s">
        <v>217</v>
      </c>
      <c r="O509" s="3">
        <f t="shared" si="8"/>
        <v>509</v>
      </c>
    </row>
    <row r="510" spans="1:15" ht="13.15" customHeight="1">
      <c r="B510" s="256"/>
      <c r="C510" s="256"/>
      <c r="D510" s="256"/>
      <c r="E510" s="256"/>
      <c r="F510" s="256"/>
      <c r="G510" s="256"/>
      <c r="H510" s="256"/>
      <c r="I510" s="256"/>
      <c r="J510" s="256"/>
      <c r="K510" s="256"/>
      <c r="L510" s="101"/>
      <c r="M510" s="3" t="s">
        <v>217</v>
      </c>
      <c r="O510" s="3">
        <f t="shared" si="8"/>
        <v>510</v>
      </c>
    </row>
    <row r="511" spans="1:15" ht="13.15" customHeight="1">
      <c r="B511" s="145"/>
      <c r="C511" s="145"/>
      <c r="D511" s="145"/>
      <c r="E511" s="145"/>
      <c r="F511" s="145"/>
      <c r="G511" s="145"/>
      <c r="H511" s="145"/>
      <c r="I511" s="145"/>
      <c r="J511" s="145"/>
      <c r="K511" s="145"/>
      <c r="M511" s="3" t="s">
        <v>217</v>
      </c>
      <c r="O511" s="3">
        <f t="shared" si="8"/>
        <v>511</v>
      </c>
    </row>
    <row r="512" spans="1:15" ht="13.15" customHeight="1">
      <c r="B512" s="157" t="s">
        <v>356</v>
      </c>
      <c r="C512" s="266" t="s">
        <v>196</v>
      </c>
      <c r="D512" s="271"/>
      <c r="E512" s="271"/>
      <c r="F512" s="271"/>
      <c r="G512" s="271"/>
      <c r="H512" s="271"/>
      <c r="I512" s="271"/>
      <c r="J512" s="271"/>
      <c r="K512" s="271"/>
      <c r="M512" s="3" t="s">
        <v>217</v>
      </c>
      <c r="O512" s="3">
        <f t="shared" si="8"/>
        <v>512</v>
      </c>
    </row>
    <row r="513" spans="1:15" ht="13.15" customHeight="1">
      <c r="C513" s="271"/>
      <c r="D513" s="271"/>
      <c r="E513" s="271"/>
      <c r="F513" s="271"/>
      <c r="G513" s="271"/>
      <c r="H513" s="271"/>
      <c r="I513" s="271"/>
      <c r="J513" s="271"/>
      <c r="K513" s="271"/>
      <c r="M513" s="3" t="s">
        <v>217</v>
      </c>
      <c r="O513" s="3">
        <f t="shared" ref="O513:O576" si="9">ROW(M513)</f>
        <v>513</v>
      </c>
    </row>
    <row r="514" spans="1:15" ht="13.15" customHeight="1">
      <c r="M514" s="3" t="s">
        <v>217</v>
      </c>
      <c r="O514" s="3">
        <f t="shared" si="9"/>
        <v>514</v>
      </c>
    </row>
    <row r="515" spans="1:15" ht="13.15" customHeight="1">
      <c r="A515" s="139" t="s">
        <v>386</v>
      </c>
      <c r="B515" s="270" t="s">
        <v>274</v>
      </c>
      <c r="C515" s="270"/>
      <c r="D515" s="270"/>
      <c r="E515" s="270"/>
      <c r="F515" s="270"/>
      <c r="G515" s="270"/>
      <c r="H515" s="270"/>
      <c r="I515" s="270"/>
      <c r="J515" s="270"/>
      <c r="K515" s="270"/>
      <c r="L515" s="3">
        <v>31</v>
      </c>
      <c r="M515" s="3">
        <v>21</v>
      </c>
      <c r="N515" s="3">
        <v>11</v>
      </c>
      <c r="O515" s="3">
        <f t="shared" si="9"/>
        <v>515</v>
      </c>
    </row>
    <row r="516" spans="1:15" ht="13.15" customHeight="1">
      <c r="B516" s="270"/>
      <c r="C516" s="270"/>
      <c r="D516" s="270"/>
      <c r="E516" s="270"/>
      <c r="F516" s="270"/>
      <c r="G516" s="270"/>
      <c r="H516" s="270"/>
      <c r="I516" s="270"/>
      <c r="J516" s="270"/>
      <c r="K516" s="270"/>
      <c r="M516" s="3" t="s">
        <v>217</v>
      </c>
      <c r="O516" s="3">
        <f t="shared" si="9"/>
        <v>516</v>
      </c>
    </row>
    <row r="517" spans="1:15" ht="13.15" customHeight="1">
      <c r="B517" s="270"/>
      <c r="C517" s="270"/>
      <c r="D517" s="270"/>
      <c r="E517" s="270"/>
      <c r="F517" s="270"/>
      <c r="G517" s="270"/>
      <c r="H517" s="270"/>
      <c r="I517" s="270"/>
      <c r="J517" s="270"/>
      <c r="K517" s="270"/>
      <c r="M517" s="3" t="s">
        <v>217</v>
      </c>
      <c r="O517" s="3">
        <f t="shared" si="9"/>
        <v>517</v>
      </c>
    </row>
    <row r="518" spans="1:15" ht="13.15" customHeight="1">
      <c r="B518" s="270"/>
      <c r="C518" s="270"/>
      <c r="D518" s="270"/>
      <c r="E518" s="270"/>
      <c r="F518" s="270"/>
      <c r="G518" s="270"/>
      <c r="H518" s="270"/>
      <c r="I518" s="270"/>
      <c r="J518" s="270"/>
      <c r="K518" s="270"/>
      <c r="M518" s="3" t="s">
        <v>217</v>
      </c>
      <c r="O518" s="3">
        <f t="shared" si="9"/>
        <v>518</v>
      </c>
    </row>
    <row r="519" spans="1:15" ht="13.15" customHeight="1">
      <c r="B519" s="270"/>
      <c r="C519" s="270"/>
      <c r="D519" s="270"/>
      <c r="E519" s="270"/>
      <c r="F519" s="270"/>
      <c r="G519" s="270"/>
      <c r="H519" s="270"/>
      <c r="I519" s="270"/>
      <c r="J519" s="270"/>
      <c r="K519" s="270"/>
      <c r="M519" s="3" t="s">
        <v>217</v>
      </c>
      <c r="O519" s="3">
        <f t="shared" si="9"/>
        <v>519</v>
      </c>
    </row>
    <row r="520" spans="1:15" ht="13.15" customHeight="1">
      <c r="B520" s="270"/>
      <c r="C520" s="270"/>
      <c r="D520" s="270"/>
      <c r="E520" s="270"/>
      <c r="F520" s="270"/>
      <c r="G520" s="270"/>
      <c r="H520" s="270"/>
      <c r="I520" s="270"/>
      <c r="J520" s="270"/>
      <c r="K520" s="270"/>
      <c r="M520" s="3" t="s">
        <v>217</v>
      </c>
      <c r="O520" s="3">
        <f t="shared" si="9"/>
        <v>520</v>
      </c>
    </row>
    <row r="521" spans="1:15" ht="13.15" customHeight="1">
      <c r="B521" s="270"/>
      <c r="C521" s="270"/>
      <c r="D521" s="270"/>
      <c r="E521" s="270"/>
      <c r="F521" s="270"/>
      <c r="G521" s="270"/>
      <c r="H521" s="270"/>
      <c r="I521" s="270"/>
      <c r="J521" s="270"/>
      <c r="K521" s="270"/>
      <c r="M521" s="3" t="s">
        <v>217</v>
      </c>
      <c r="O521" s="3">
        <f t="shared" si="9"/>
        <v>521</v>
      </c>
    </row>
    <row r="522" spans="1:15" ht="13.15" customHeight="1">
      <c r="B522" s="270"/>
      <c r="C522" s="270"/>
      <c r="D522" s="270"/>
      <c r="E522" s="270"/>
      <c r="F522" s="270"/>
      <c r="G522" s="270"/>
      <c r="H522" s="270"/>
      <c r="I522" s="270"/>
      <c r="J522" s="270"/>
      <c r="K522" s="270"/>
      <c r="M522" s="3" t="s">
        <v>217</v>
      </c>
      <c r="O522" s="3">
        <f t="shared" si="9"/>
        <v>522</v>
      </c>
    </row>
    <row r="523" spans="1:15" ht="13.15" customHeight="1">
      <c r="B523" s="270"/>
      <c r="C523" s="270"/>
      <c r="D523" s="270"/>
      <c r="E523" s="270"/>
      <c r="F523" s="270"/>
      <c r="G523" s="270"/>
      <c r="H523" s="270"/>
      <c r="I523" s="270"/>
      <c r="J523" s="270"/>
      <c r="K523" s="270"/>
      <c r="M523" s="3" t="s">
        <v>217</v>
      </c>
      <c r="O523" s="3">
        <f t="shared" si="9"/>
        <v>523</v>
      </c>
    </row>
    <row r="524" spans="1:15" ht="13.15" customHeight="1">
      <c r="B524" s="270"/>
      <c r="C524" s="270"/>
      <c r="D524" s="270"/>
      <c r="E524" s="270"/>
      <c r="F524" s="270"/>
      <c r="G524" s="270"/>
      <c r="H524" s="270"/>
      <c r="I524" s="270"/>
      <c r="J524" s="270"/>
      <c r="K524" s="270"/>
      <c r="M524" s="3" t="s">
        <v>217</v>
      </c>
      <c r="O524" s="3">
        <f t="shared" si="9"/>
        <v>524</v>
      </c>
    </row>
    <row r="525" spans="1:15" ht="13.15" customHeight="1">
      <c r="B525" s="270"/>
      <c r="C525" s="270"/>
      <c r="D525" s="270"/>
      <c r="E525" s="270"/>
      <c r="F525" s="270"/>
      <c r="G525" s="270"/>
      <c r="H525" s="270"/>
      <c r="I525" s="270"/>
      <c r="J525" s="270"/>
      <c r="K525" s="270"/>
      <c r="M525" s="3" t="s">
        <v>217</v>
      </c>
      <c r="O525" s="3">
        <f t="shared" si="9"/>
        <v>525</v>
      </c>
    </row>
    <row r="526" spans="1:15" ht="13.15" customHeight="1">
      <c r="B526" s="108"/>
      <c r="C526" s="108"/>
      <c r="D526" s="108"/>
      <c r="E526" s="108"/>
      <c r="F526" s="108"/>
      <c r="G526" s="108"/>
      <c r="H526" s="108"/>
      <c r="I526" s="108"/>
      <c r="J526" s="108"/>
      <c r="K526" s="108"/>
      <c r="M526" s="3" t="s">
        <v>217</v>
      </c>
      <c r="O526" s="3">
        <f t="shared" si="9"/>
        <v>526</v>
      </c>
    </row>
    <row r="527" spans="1:15" ht="13.15" customHeight="1">
      <c r="B527" s="157" t="s">
        <v>356</v>
      </c>
      <c r="C527" s="270" t="s">
        <v>275</v>
      </c>
      <c r="D527" s="270"/>
      <c r="E527" s="270"/>
      <c r="F527" s="270"/>
      <c r="G527" s="270"/>
      <c r="H527" s="270"/>
      <c r="I527" s="270"/>
      <c r="J527" s="270"/>
      <c r="K527" s="270"/>
      <c r="M527" s="3" t="s">
        <v>217</v>
      </c>
      <c r="O527" s="3">
        <f t="shared" si="9"/>
        <v>527</v>
      </c>
    </row>
    <row r="528" spans="1:15" ht="13.15" customHeight="1">
      <c r="B528" s="108"/>
      <c r="C528" s="270"/>
      <c r="D528" s="270"/>
      <c r="E528" s="270"/>
      <c r="F528" s="270"/>
      <c r="G528" s="270"/>
      <c r="H528" s="270"/>
      <c r="I528" s="270"/>
      <c r="J528" s="270"/>
      <c r="K528" s="270"/>
      <c r="M528" s="3" t="s">
        <v>217</v>
      </c>
      <c r="O528" s="3">
        <f t="shared" si="9"/>
        <v>528</v>
      </c>
    </row>
    <row r="529" spans="1:15" ht="13.15" customHeight="1">
      <c r="B529" s="108"/>
      <c r="C529" s="270"/>
      <c r="D529" s="270"/>
      <c r="E529" s="270"/>
      <c r="F529" s="270"/>
      <c r="G529" s="270"/>
      <c r="H529" s="270"/>
      <c r="I529" s="270"/>
      <c r="J529" s="270"/>
      <c r="K529" s="270"/>
      <c r="M529" s="3" t="s">
        <v>217</v>
      </c>
      <c r="O529" s="3">
        <f t="shared" si="9"/>
        <v>529</v>
      </c>
    </row>
    <row r="530" spans="1:15" ht="13.15" customHeight="1">
      <c r="B530" s="108"/>
      <c r="C530" s="270"/>
      <c r="D530" s="270"/>
      <c r="E530" s="270"/>
      <c r="F530" s="270"/>
      <c r="G530" s="270"/>
      <c r="H530" s="270"/>
      <c r="I530" s="270"/>
      <c r="J530" s="270"/>
      <c r="K530" s="270"/>
      <c r="M530" s="3" t="s">
        <v>217</v>
      </c>
      <c r="O530" s="3">
        <f t="shared" si="9"/>
        <v>530</v>
      </c>
    </row>
    <row r="531" spans="1:15" ht="13.15" customHeight="1">
      <c r="B531" s="108"/>
      <c r="C531" s="270"/>
      <c r="D531" s="270"/>
      <c r="E531" s="270"/>
      <c r="F531" s="270"/>
      <c r="G531" s="270"/>
      <c r="H531" s="270"/>
      <c r="I531" s="270"/>
      <c r="J531" s="270"/>
      <c r="K531" s="270"/>
      <c r="M531" s="3" t="s">
        <v>217</v>
      </c>
      <c r="O531" s="3">
        <f t="shared" si="9"/>
        <v>531</v>
      </c>
    </row>
    <row r="532" spans="1:15" ht="13.15" customHeight="1">
      <c r="A532" s="3"/>
      <c r="B532" s="108"/>
      <c r="C532" s="270"/>
      <c r="D532" s="270"/>
      <c r="E532" s="270"/>
      <c r="F532" s="270"/>
      <c r="G532" s="270"/>
      <c r="H532" s="270"/>
      <c r="I532" s="270"/>
      <c r="J532" s="270"/>
      <c r="K532" s="270"/>
      <c r="M532" s="3" t="s">
        <v>217</v>
      </c>
      <c r="O532" s="3">
        <f t="shared" si="9"/>
        <v>532</v>
      </c>
    </row>
    <row r="533" spans="1:15" ht="13.15" customHeight="1">
      <c r="C533" s="270"/>
      <c r="D533" s="270"/>
      <c r="E533" s="270"/>
      <c r="F533" s="270"/>
      <c r="G533" s="270"/>
      <c r="H533" s="270"/>
      <c r="I533" s="270"/>
      <c r="J533" s="270"/>
      <c r="K533" s="270"/>
      <c r="M533" s="3" t="s">
        <v>217</v>
      </c>
      <c r="O533" s="3">
        <f t="shared" si="9"/>
        <v>533</v>
      </c>
    </row>
    <row r="534" spans="1:15" ht="13.15" customHeight="1">
      <c r="C534" s="270"/>
      <c r="D534" s="270"/>
      <c r="E534" s="270"/>
      <c r="F534" s="270"/>
      <c r="G534" s="270"/>
      <c r="H534" s="270"/>
      <c r="I534" s="270"/>
      <c r="J534" s="270"/>
      <c r="K534" s="270"/>
      <c r="M534" s="3" t="s">
        <v>217</v>
      </c>
      <c r="O534" s="3">
        <f t="shared" si="9"/>
        <v>534</v>
      </c>
    </row>
    <row r="535" spans="1:15" ht="13.15" customHeight="1">
      <c r="C535" s="270"/>
      <c r="D535" s="270"/>
      <c r="E535" s="270"/>
      <c r="F535" s="270"/>
      <c r="G535" s="270"/>
      <c r="H535" s="270"/>
      <c r="I535" s="270"/>
      <c r="J535" s="270"/>
      <c r="K535" s="270"/>
      <c r="M535" s="3" t="s">
        <v>217</v>
      </c>
      <c r="O535" s="3">
        <f t="shared" si="9"/>
        <v>535</v>
      </c>
    </row>
    <row r="536" spans="1:15" ht="13.15" customHeight="1">
      <c r="C536" s="150"/>
      <c r="D536" s="150"/>
      <c r="E536" s="150"/>
      <c r="F536" s="150"/>
      <c r="G536" s="150"/>
      <c r="H536" s="150"/>
      <c r="I536" s="150"/>
      <c r="J536" s="150"/>
      <c r="K536" s="150"/>
      <c r="M536" s="3" t="s">
        <v>217</v>
      </c>
      <c r="O536" s="3">
        <f t="shared" si="9"/>
        <v>536</v>
      </c>
    </row>
    <row r="537" spans="1:15" ht="13.15" customHeight="1">
      <c r="A537" s="139" t="s">
        <v>388</v>
      </c>
      <c r="B537" s="270" t="s">
        <v>274</v>
      </c>
      <c r="C537" s="270"/>
      <c r="D537" s="270"/>
      <c r="E537" s="270"/>
      <c r="F537" s="270"/>
      <c r="G537" s="270"/>
      <c r="H537" s="270"/>
      <c r="I537" s="270"/>
      <c r="J537" s="270"/>
      <c r="K537" s="270"/>
      <c r="L537" s="3">
        <v>32</v>
      </c>
      <c r="M537" s="3">
        <v>21</v>
      </c>
      <c r="N537" s="3">
        <v>11</v>
      </c>
      <c r="O537" s="3">
        <f t="shared" si="9"/>
        <v>537</v>
      </c>
    </row>
    <row r="538" spans="1:15" ht="13.15" customHeight="1">
      <c r="B538" s="270"/>
      <c r="C538" s="270"/>
      <c r="D538" s="270"/>
      <c r="E538" s="270"/>
      <c r="F538" s="270"/>
      <c r="G538" s="270"/>
      <c r="H538" s="270"/>
      <c r="I538" s="270"/>
      <c r="J538" s="270"/>
      <c r="K538" s="270"/>
      <c r="M538" s="3" t="s">
        <v>217</v>
      </c>
      <c r="O538" s="3">
        <f t="shared" si="9"/>
        <v>538</v>
      </c>
    </row>
    <row r="539" spans="1:15" ht="13.15" customHeight="1">
      <c r="B539" s="270"/>
      <c r="C539" s="270"/>
      <c r="D539" s="270"/>
      <c r="E539" s="270"/>
      <c r="F539" s="270"/>
      <c r="G539" s="270"/>
      <c r="H539" s="270"/>
      <c r="I539" s="270"/>
      <c r="J539" s="270"/>
      <c r="K539" s="270"/>
      <c r="M539" s="3" t="s">
        <v>217</v>
      </c>
      <c r="O539" s="3">
        <f t="shared" si="9"/>
        <v>539</v>
      </c>
    </row>
    <row r="540" spans="1:15" ht="13.15" customHeight="1">
      <c r="B540" s="270"/>
      <c r="C540" s="270"/>
      <c r="D540" s="270"/>
      <c r="E540" s="270"/>
      <c r="F540" s="270"/>
      <c r="G540" s="270"/>
      <c r="H540" s="270"/>
      <c r="I540" s="270"/>
      <c r="J540" s="270"/>
      <c r="K540" s="270"/>
      <c r="M540" s="3" t="s">
        <v>217</v>
      </c>
      <c r="O540" s="3">
        <f t="shared" si="9"/>
        <v>540</v>
      </c>
    </row>
    <row r="541" spans="1:15" ht="13.15" customHeight="1">
      <c r="B541" s="270"/>
      <c r="C541" s="270"/>
      <c r="D541" s="270"/>
      <c r="E541" s="270"/>
      <c r="F541" s="270"/>
      <c r="G541" s="270"/>
      <c r="H541" s="270"/>
      <c r="I541" s="270"/>
      <c r="J541" s="270"/>
      <c r="K541" s="270"/>
      <c r="M541" s="3" t="s">
        <v>217</v>
      </c>
      <c r="O541" s="3">
        <f t="shared" si="9"/>
        <v>541</v>
      </c>
    </row>
    <row r="542" spans="1:15" ht="13.15" customHeight="1">
      <c r="B542" s="270"/>
      <c r="C542" s="270"/>
      <c r="D542" s="270"/>
      <c r="E542" s="270"/>
      <c r="F542" s="270"/>
      <c r="G542" s="270"/>
      <c r="H542" s="270"/>
      <c r="I542" s="270"/>
      <c r="J542" s="270"/>
      <c r="K542" s="270"/>
      <c r="M542" s="3" t="s">
        <v>217</v>
      </c>
      <c r="O542" s="3">
        <f t="shared" si="9"/>
        <v>542</v>
      </c>
    </row>
    <row r="543" spans="1:15" ht="13.15" customHeight="1">
      <c r="B543" s="270"/>
      <c r="C543" s="270"/>
      <c r="D543" s="270"/>
      <c r="E543" s="270"/>
      <c r="F543" s="270"/>
      <c r="G543" s="270"/>
      <c r="H543" s="270"/>
      <c r="I543" s="270"/>
      <c r="J543" s="270"/>
      <c r="K543" s="270"/>
      <c r="M543" s="3" t="s">
        <v>217</v>
      </c>
      <c r="O543" s="3">
        <f t="shared" si="9"/>
        <v>543</v>
      </c>
    </row>
    <row r="544" spans="1:15" ht="13.15" customHeight="1">
      <c r="B544" s="270"/>
      <c r="C544" s="270"/>
      <c r="D544" s="270"/>
      <c r="E544" s="270"/>
      <c r="F544" s="270"/>
      <c r="G544" s="270"/>
      <c r="H544" s="270"/>
      <c r="I544" s="270"/>
      <c r="J544" s="270"/>
      <c r="K544" s="270"/>
      <c r="M544" s="3" t="s">
        <v>217</v>
      </c>
      <c r="O544" s="3">
        <f t="shared" si="9"/>
        <v>544</v>
      </c>
    </row>
    <row r="545" spans="1:15" ht="13.15" customHeight="1">
      <c r="B545" s="270"/>
      <c r="C545" s="270"/>
      <c r="D545" s="270"/>
      <c r="E545" s="270"/>
      <c r="F545" s="270"/>
      <c r="G545" s="270"/>
      <c r="H545" s="270"/>
      <c r="I545" s="270"/>
      <c r="J545" s="270"/>
      <c r="K545" s="270"/>
      <c r="M545" s="3" t="s">
        <v>217</v>
      </c>
      <c r="O545" s="3">
        <f t="shared" si="9"/>
        <v>545</v>
      </c>
    </row>
    <row r="546" spans="1:15" ht="13.15" customHeight="1">
      <c r="B546" s="270"/>
      <c r="C546" s="270"/>
      <c r="D546" s="270"/>
      <c r="E546" s="270"/>
      <c r="F546" s="270"/>
      <c r="G546" s="270"/>
      <c r="H546" s="270"/>
      <c r="I546" s="270"/>
      <c r="J546" s="270"/>
      <c r="K546" s="270"/>
      <c r="M546" s="3" t="s">
        <v>217</v>
      </c>
      <c r="O546" s="3">
        <f t="shared" si="9"/>
        <v>546</v>
      </c>
    </row>
    <row r="547" spans="1:15" ht="13.15" customHeight="1">
      <c r="B547" s="270"/>
      <c r="C547" s="270"/>
      <c r="D547" s="270"/>
      <c r="E547" s="270"/>
      <c r="F547" s="270"/>
      <c r="G547" s="270"/>
      <c r="H547" s="270"/>
      <c r="I547" s="270"/>
      <c r="J547" s="270"/>
      <c r="K547" s="270"/>
      <c r="M547" s="3" t="s">
        <v>217</v>
      </c>
      <c r="O547" s="3">
        <f t="shared" si="9"/>
        <v>547</v>
      </c>
    </row>
    <row r="548" spans="1:15" ht="13.15" customHeight="1">
      <c r="B548" s="108"/>
      <c r="C548" s="108"/>
      <c r="D548" s="108"/>
      <c r="E548" s="108"/>
      <c r="F548" s="108"/>
      <c r="G548" s="108"/>
      <c r="H548" s="108"/>
      <c r="I548" s="108"/>
      <c r="J548" s="108"/>
      <c r="K548" s="108"/>
      <c r="M548" s="3" t="s">
        <v>217</v>
      </c>
      <c r="O548" s="3">
        <f t="shared" si="9"/>
        <v>548</v>
      </c>
    </row>
    <row r="549" spans="1:15" ht="13.15" customHeight="1">
      <c r="B549" s="157" t="s">
        <v>356</v>
      </c>
      <c r="C549" s="270" t="s">
        <v>275</v>
      </c>
      <c r="D549" s="270"/>
      <c r="E549" s="270"/>
      <c r="F549" s="270"/>
      <c r="G549" s="270"/>
      <c r="H549" s="270"/>
      <c r="I549" s="270"/>
      <c r="J549" s="270"/>
      <c r="K549" s="270"/>
      <c r="M549" s="3" t="s">
        <v>217</v>
      </c>
      <c r="O549" s="3">
        <f t="shared" si="9"/>
        <v>549</v>
      </c>
    </row>
    <row r="550" spans="1:15" ht="13.15" customHeight="1">
      <c r="B550" s="108"/>
      <c r="C550" s="270"/>
      <c r="D550" s="270"/>
      <c r="E550" s="270"/>
      <c r="F550" s="270"/>
      <c r="G550" s="270"/>
      <c r="H550" s="270"/>
      <c r="I550" s="270"/>
      <c r="J550" s="270"/>
      <c r="K550" s="270"/>
      <c r="M550" s="3" t="s">
        <v>217</v>
      </c>
      <c r="O550" s="3">
        <f t="shared" si="9"/>
        <v>550</v>
      </c>
    </row>
    <row r="551" spans="1:15" ht="13.15" customHeight="1">
      <c r="B551" s="108"/>
      <c r="C551" s="270"/>
      <c r="D551" s="270"/>
      <c r="E551" s="270"/>
      <c r="F551" s="270"/>
      <c r="G551" s="270"/>
      <c r="H551" s="270"/>
      <c r="I551" s="270"/>
      <c r="J551" s="270"/>
      <c r="K551" s="270"/>
      <c r="M551" s="3" t="s">
        <v>217</v>
      </c>
      <c r="O551" s="3">
        <f t="shared" si="9"/>
        <v>551</v>
      </c>
    </row>
    <row r="552" spans="1:15" ht="13.15" customHeight="1">
      <c r="B552" s="108"/>
      <c r="C552" s="270"/>
      <c r="D552" s="270"/>
      <c r="E552" s="270"/>
      <c r="F552" s="270"/>
      <c r="G552" s="270"/>
      <c r="H552" s="270"/>
      <c r="I552" s="270"/>
      <c r="J552" s="270"/>
      <c r="K552" s="270"/>
      <c r="M552" s="3" t="s">
        <v>217</v>
      </c>
      <c r="O552" s="3">
        <f t="shared" si="9"/>
        <v>552</v>
      </c>
    </row>
    <row r="553" spans="1:15" ht="13.15" customHeight="1">
      <c r="B553" s="108"/>
      <c r="C553" s="270"/>
      <c r="D553" s="270"/>
      <c r="E553" s="270"/>
      <c r="F553" s="270"/>
      <c r="G553" s="270"/>
      <c r="H553" s="270"/>
      <c r="I553" s="270"/>
      <c r="J553" s="270"/>
      <c r="K553" s="270"/>
      <c r="M553" s="3" t="s">
        <v>217</v>
      </c>
      <c r="O553" s="3">
        <f t="shared" si="9"/>
        <v>553</v>
      </c>
    </row>
    <row r="554" spans="1:15" ht="13.15" customHeight="1">
      <c r="B554" s="108"/>
      <c r="C554" s="270"/>
      <c r="D554" s="270"/>
      <c r="E554" s="270"/>
      <c r="F554" s="270"/>
      <c r="G554" s="270"/>
      <c r="H554" s="270"/>
      <c r="I554" s="270"/>
      <c r="J554" s="270"/>
      <c r="K554" s="270"/>
      <c r="M554" s="3" t="s">
        <v>217</v>
      </c>
      <c r="O554" s="3">
        <f t="shared" si="9"/>
        <v>554</v>
      </c>
    </row>
    <row r="555" spans="1:15" ht="13.15" customHeight="1">
      <c r="C555" s="270"/>
      <c r="D555" s="270"/>
      <c r="E555" s="270"/>
      <c r="F555" s="270"/>
      <c r="G555" s="270"/>
      <c r="H555" s="270"/>
      <c r="I555" s="270"/>
      <c r="J555" s="270"/>
      <c r="K555" s="270"/>
      <c r="M555" s="3" t="s">
        <v>217</v>
      </c>
      <c r="O555" s="3">
        <f t="shared" si="9"/>
        <v>555</v>
      </c>
    </row>
    <row r="556" spans="1:15" ht="13.15" customHeight="1">
      <c r="C556" s="270"/>
      <c r="D556" s="270"/>
      <c r="E556" s="270"/>
      <c r="F556" s="270"/>
      <c r="G556" s="270"/>
      <c r="H556" s="270"/>
      <c r="I556" s="270"/>
      <c r="J556" s="270"/>
      <c r="K556" s="270"/>
      <c r="M556" s="3" t="s">
        <v>217</v>
      </c>
      <c r="O556" s="3">
        <f t="shared" si="9"/>
        <v>556</v>
      </c>
    </row>
    <row r="557" spans="1:15" ht="13.15" customHeight="1">
      <c r="C557" s="270"/>
      <c r="D557" s="270"/>
      <c r="E557" s="270"/>
      <c r="F557" s="270"/>
      <c r="G557" s="270"/>
      <c r="H557" s="270"/>
      <c r="I557" s="270"/>
      <c r="J557" s="270"/>
      <c r="K557" s="270"/>
      <c r="M557" s="3" t="s">
        <v>217</v>
      </c>
      <c r="O557" s="3">
        <f t="shared" si="9"/>
        <v>557</v>
      </c>
    </row>
    <row r="558" spans="1:15" ht="13.15" customHeight="1">
      <c r="M558" s="3" t="s">
        <v>217</v>
      </c>
      <c r="O558" s="3">
        <f t="shared" si="9"/>
        <v>558</v>
      </c>
    </row>
    <row r="559" spans="1:15" ht="13.15" customHeight="1">
      <c r="A559" s="139" t="s">
        <v>387</v>
      </c>
      <c r="B559" s="255" t="s">
        <v>276</v>
      </c>
      <c r="C559" s="255"/>
      <c r="D559" s="255"/>
      <c r="E559" s="255"/>
      <c r="F559" s="255"/>
      <c r="G559" s="255"/>
      <c r="H559" s="255"/>
      <c r="I559" s="255"/>
      <c r="J559" s="255"/>
      <c r="K559" s="255"/>
      <c r="L559" s="3">
        <v>33</v>
      </c>
      <c r="M559" s="3">
        <v>14</v>
      </c>
      <c r="N559" s="3">
        <v>9</v>
      </c>
      <c r="O559" s="3">
        <f t="shared" si="9"/>
        <v>559</v>
      </c>
    </row>
    <row r="560" spans="1:15" ht="13.15" customHeight="1">
      <c r="B560" s="255"/>
      <c r="C560" s="255"/>
      <c r="D560" s="255"/>
      <c r="E560" s="255"/>
      <c r="F560" s="255"/>
      <c r="G560" s="255"/>
      <c r="H560" s="255"/>
      <c r="I560" s="255"/>
      <c r="J560" s="255"/>
      <c r="K560" s="255"/>
      <c r="M560" s="3" t="s">
        <v>217</v>
      </c>
      <c r="O560" s="3">
        <f t="shared" si="9"/>
        <v>560</v>
      </c>
    </row>
    <row r="561" spans="1:15" ht="13.15" customHeight="1">
      <c r="B561" s="255"/>
      <c r="C561" s="255"/>
      <c r="D561" s="255"/>
      <c r="E561" s="255"/>
      <c r="F561" s="255"/>
      <c r="G561" s="255"/>
      <c r="H561" s="255"/>
      <c r="I561" s="255"/>
      <c r="J561" s="255"/>
      <c r="K561" s="255"/>
      <c r="M561" s="3" t="s">
        <v>217</v>
      </c>
      <c r="O561" s="3">
        <f t="shared" si="9"/>
        <v>561</v>
      </c>
    </row>
    <row r="562" spans="1:15" ht="13.15" customHeight="1">
      <c r="B562" s="255"/>
      <c r="C562" s="255"/>
      <c r="D562" s="255"/>
      <c r="E562" s="255"/>
      <c r="F562" s="255"/>
      <c r="G562" s="255"/>
      <c r="H562" s="255"/>
      <c r="I562" s="255"/>
      <c r="J562" s="255"/>
      <c r="K562" s="255"/>
      <c r="M562" s="3" t="s">
        <v>217</v>
      </c>
      <c r="O562" s="3">
        <f t="shared" si="9"/>
        <v>562</v>
      </c>
    </row>
    <row r="563" spans="1:15" ht="13.15" customHeight="1">
      <c r="B563" s="255"/>
      <c r="C563" s="255"/>
      <c r="D563" s="255"/>
      <c r="E563" s="255"/>
      <c r="F563" s="255"/>
      <c r="G563" s="255"/>
      <c r="H563" s="255"/>
      <c r="I563" s="255"/>
      <c r="J563" s="255"/>
      <c r="K563" s="255"/>
      <c r="M563" s="3" t="s">
        <v>217</v>
      </c>
      <c r="O563" s="3">
        <f t="shared" si="9"/>
        <v>563</v>
      </c>
    </row>
    <row r="564" spans="1:15" ht="13.15" customHeight="1">
      <c r="B564" s="255"/>
      <c r="C564" s="255"/>
      <c r="D564" s="255"/>
      <c r="E564" s="255"/>
      <c r="F564" s="255"/>
      <c r="G564" s="255"/>
      <c r="H564" s="255"/>
      <c r="I564" s="255"/>
      <c r="J564" s="255"/>
      <c r="K564" s="255"/>
      <c r="M564" s="3" t="s">
        <v>217</v>
      </c>
      <c r="O564" s="3">
        <f t="shared" si="9"/>
        <v>564</v>
      </c>
    </row>
    <row r="565" spans="1:15" ht="13.15" customHeight="1">
      <c r="B565" s="255"/>
      <c r="C565" s="255"/>
      <c r="D565" s="255"/>
      <c r="E565" s="255"/>
      <c r="F565" s="255"/>
      <c r="G565" s="255"/>
      <c r="H565" s="255"/>
      <c r="I565" s="255"/>
      <c r="J565" s="255"/>
      <c r="K565" s="255"/>
      <c r="M565" s="3" t="s">
        <v>217</v>
      </c>
      <c r="O565" s="3">
        <f t="shared" si="9"/>
        <v>565</v>
      </c>
    </row>
    <row r="566" spans="1:15" ht="13.15" customHeight="1">
      <c r="B566" s="255"/>
      <c r="C566" s="255"/>
      <c r="D566" s="255"/>
      <c r="E566" s="255"/>
      <c r="F566" s="255"/>
      <c r="G566" s="255"/>
      <c r="H566" s="255"/>
      <c r="I566" s="255"/>
      <c r="J566" s="255"/>
      <c r="K566" s="255"/>
      <c r="M566" s="3" t="s">
        <v>217</v>
      </c>
      <c r="O566" s="3">
        <f t="shared" si="9"/>
        <v>566</v>
      </c>
    </row>
    <row r="567" spans="1:15" ht="13.15" customHeight="1">
      <c r="B567" s="255"/>
      <c r="C567" s="255"/>
      <c r="D567" s="255"/>
      <c r="E567" s="255"/>
      <c r="F567" s="255"/>
      <c r="G567" s="255"/>
      <c r="H567" s="255"/>
      <c r="I567" s="255"/>
      <c r="J567" s="255"/>
      <c r="K567" s="255"/>
      <c r="M567" s="3" t="s">
        <v>217</v>
      </c>
      <c r="O567" s="3">
        <f t="shared" si="9"/>
        <v>567</v>
      </c>
    </row>
    <row r="568" spans="1:15" ht="13.15" customHeight="1">
      <c r="B568" s="151"/>
      <c r="C568" s="151"/>
      <c r="D568" s="151"/>
      <c r="E568" s="151"/>
      <c r="F568" s="151"/>
      <c r="G568" s="151"/>
      <c r="H568" s="151"/>
      <c r="I568" s="151"/>
      <c r="J568" s="151"/>
      <c r="K568" s="151"/>
      <c r="M568" s="3" t="s">
        <v>217</v>
      </c>
      <c r="O568" s="3">
        <f t="shared" si="9"/>
        <v>568</v>
      </c>
    </row>
    <row r="569" spans="1:15" ht="13.15" customHeight="1">
      <c r="B569" s="157" t="s">
        <v>356</v>
      </c>
      <c r="C569" s="256" t="s">
        <v>197</v>
      </c>
      <c r="D569" s="256"/>
      <c r="E569" s="256"/>
      <c r="F569" s="256"/>
      <c r="G569" s="256"/>
      <c r="H569" s="256"/>
      <c r="I569" s="256"/>
      <c r="J569" s="256"/>
      <c r="K569" s="256"/>
      <c r="M569" s="3" t="s">
        <v>217</v>
      </c>
      <c r="O569" s="3">
        <f t="shared" si="9"/>
        <v>569</v>
      </c>
    </row>
    <row r="570" spans="1:15" ht="13.15" customHeight="1">
      <c r="B570" s="44"/>
      <c r="C570" s="256"/>
      <c r="D570" s="256"/>
      <c r="E570" s="256"/>
      <c r="F570" s="256"/>
      <c r="G570" s="256"/>
      <c r="H570" s="256"/>
      <c r="I570" s="256"/>
      <c r="J570" s="256"/>
      <c r="K570" s="256"/>
      <c r="M570" s="3" t="s">
        <v>217</v>
      </c>
      <c r="O570" s="3">
        <f t="shared" si="9"/>
        <v>570</v>
      </c>
    </row>
    <row r="571" spans="1:15" ht="13.15" customHeight="1">
      <c r="B571" s="44"/>
      <c r="C571" s="256"/>
      <c r="D571" s="256"/>
      <c r="E571" s="256"/>
      <c r="F571" s="256"/>
      <c r="G571" s="256"/>
      <c r="H571" s="256"/>
      <c r="I571" s="256"/>
      <c r="J571" s="256"/>
      <c r="K571" s="256"/>
      <c r="M571" s="3" t="s">
        <v>217</v>
      </c>
      <c r="O571" s="3">
        <f t="shared" si="9"/>
        <v>571</v>
      </c>
    </row>
    <row r="572" spans="1:15" ht="13.15" customHeight="1">
      <c r="B572" s="44"/>
      <c r="C572" s="256"/>
      <c r="D572" s="256"/>
      <c r="E572" s="256"/>
      <c r="F572" s="256"/>
      <c r="G572" s="256"/>
      <c r="H572" s="256"/>
      <c r="I572" s="256"/>
      <c r="J572" s="256"/>
      <c r="K572" s="256"/>
      <c r="M572" s="3" t="s">
        <v>217</v>
      </c>
      <c r="O572" s="3">
        <f t="shared" si="9"/>
        <v>572</v>
      </c>
    </row>
    <row r="573" spans="1:15" ht="13.15" customHeight="1">
      <c r="B573" s="44"/>
      <c r="C573" s="145"/>
      <c r="D573" s="145"/>
      <c r="E573" s="145"/>
      <c r="F573" s="145"/>
      <c r="G573" s="145"/>
      <c r="H573" s="145"/>
      <c r="I573" s="145"/>
      <c r="J573" s="145"/>
      <c r="K573" s="145"/>
      <c r="M573" s="3" t="s">
        <v>217</v>
      </c>
      <c r="O573" s="3">
        <f t="shared" si="9"/>
        <v>573</v>
      </c>
    </row>
    <row r="574" spans="1:15" ht="13.15" customHeight="1">
      <c r="A574" s="139" t="s">
        <v>389</v>
      </c>
      <c r="B574" s="269" t="s">
        <v>277</v>
      </c>
      <c r="C574" s="269"/>
      <c r="D574" s="269"/>
      <c r="E574" s="269"/>
      <c r="F574" s="269"/>
      <c r="G574" s="269"/>
      <c r="H574" s="269"/>
      <c r="I574" s="269"/>
      <c r="J574" s="269"/>
      <c r="K574" s="269"/>
      <c r="L574" s="3">
        <v>34</v>
      </c>
      <c r="M574" s="3">
        <v>6</v>
      </c>
      <c r="N574" s="3">
        <v>2</v>
      </c>
      <c r="O574" s="3">
        <f t="shared" si="9"/>
        <v>574</v>
      </c>
    </row>
    <row r="575" spans="1:15" ht="13.15" customHeight="1">
      <c r="B575" s="269"/>
      <c r="C575" s="269"/>
      <c r="D575" s="269"/>
      <c r="E575" s="269"/>
      <c r="F575" s="269"/>
      <c r="G575" s="269"/>
      <c r="H575" s="269"/>
      <c r="I575" s="269"/>
      <c r="J575" s="269"/>
      <c r="K575" s="269"/>
      <c r="M575" s="3" t="s">
        <v>217</v>
      </c>
      <c r="O575" s="3">
        <f t="shared" si="9"/>
        <v>575</v>
      </c>
    </row>
    <row r="576" spans="1:15" ht="13.15" customHeight="1">
      <c r="B576" s="151"/>
      <c r="C576" s="151"/>
      <c r="D576" s="151"/>
      <c r="E576" s="151"/>
      <c r="F576" s="151"/>
      <c r="G576" s="151"/>
      <c r="H576" s="151"/>
      <c r="I576" s="151"/>
      <c r="J576" s="151"/>
      <c r="K576" s="151"/>
      <c r="M576" s="3" t="s">
        <v>217</v>
      </c>
      <c r="O576" s="3">
        <f t="shared" si="9"/>
        <v>576</v>
      </c>
    </row>
    <row r="577" spans="1:15" ht="13.15" customHeight="1">
      <c r="B577" s="157" t="s">
        <v>356</v>
      </c>
      <c r="C577" s="270" t="s">
        <v>278</v>
      </c>
      <c r="D577" s="270"/>
      <c r="E577" s="270"/>
      <c r="F577" s="270"/>
      <c r="G577" s="270"/>
      <c r="H577" s="270"/>
      <c r="I577" s="270"/>
      <c r="J577" s="270"/>
      <c r="K577" s="270"/>
      <c r="M577" s="3" t="s">
        <v>217</v>
      </c>
      <c r="O577" s="3">
        <f t="shared" ref="O577:O641" si="10">ROW(M577)</f>
        <v>577</v>
      </c>
    </row>
    <row r="578" spans="1:15" ht="13.15" customHeight="1">
      <c r="C578" s="270"/>
      <c r="D578" s="270"/>
      <c r="E578" s="270"/>
      <c r="F578" s="270"/>
      <c r="G578" s="270"/>
      <c r="H578" s="270"/>
      <c r="I578" s="270"/>
      <c r="J578" s="270"/>
      <c r="K578" s="270"/>
      <c r="M578" s="3" t="s">
        <v>217</v>
      </c>
      <c r="O578" s="3">
        <f t="shared" si="10"/>
        <v>578</v>
      </c>
    </row>
    <row r="579" spans="1:15" ht="13.15" customHeight="1">
      <c r="C579" s="270"/>
      <c r="D579" s="270"/>
      <c r="E579" s="270"/>
      <c r="F579" s="270"/>
      <c r="G579" s="270"/>
      <c r="H579" s="270"/>
      <c r="I579" s="270"/>
      <c r="J579" s="270"/>
      <c r="K579" s="270"/>
      <c r="M579" s="3" t="s">
        <v>217</v>
      </c>
      <c r="O579" s="3">
        <f t="shared" si="10"/>
        <v>579</v>
      </c>
    </row>
    <row r="580" spans="1:15" ht="13.15" customHeight="1">
      <c r="C580" s="109"/>
      <c r="D580" s="109"/>
      <c r="E580" s="109"/>
      <c r="F580" s="109"/>
      <c r="G580" s="109"/>
      <c r="H580" s="109"/>
      <c r="I580" s="109"/>
      <c r="J580" s="109"/>
      <c r="K580" s="109"/>
      <c r="M580" s="3" t="s">
        <v>217</v>
      </c>
      <c r="O580" s="3">
        <f t="shared" si="10"/>
        <v>580</v>
      </c>
    </row>
    <row r="581" spans="1:15" ht="13.15" customHeight="1">
      <c r="A581" s="139" t="s">
        <v>390</v>
      </c>
      <c r="B581" s="269" t="s">
        <v>279</v>
      </c>
      <c r="C581" s="269"/>
      <c r="D581" s="269"/>
      <c r="E581" s="269"/>
      <c r="F581" s="269"/>
      <c r="G581" s="269"/>
      <c r="H581" s="269"/>
      <c r="I581" s="269"/>
      <c r="J581" s="269"/>
      <c r="K581" s="269"/>
      <c r="L581" s="3">
        <v>35</v>
      </c>
      <c r="M581" s="3">
        <v>11</v>
      </c>
      <c r="N581" s="3">
        <v>5</v>
      </c>
      <c r="O581" s="3">
        <f t="shared" si="10"/>
        <v>581</v>
      </c>
    </row>
    <row r="582" spans="1:15" ht="13.15" customHeight="1">
      <c r="B582" s="269"/>
      <c r="C582" s="269"/>
      <c r="D582" s="269"/>
      <c r="E582" s="269"/>
      <c r="F582" s="269"/>
      <c r="G582" s="269"/>
      <c r="H582" s="269"/>
      <c r="I582" s="269"/>
      <c r="J582" s="269"/>
      <c r="K582" s="269"/>
      <c r="M582" s="3" t="s">
        <v>217</v>
      </c>
      <c r="O582" s="3">
        <f t="shared" si="10"/>
        <v>582</v>
      </c>
    </row>
    <row r="583" spans="1:15" ht="13.15" customHeight="1">
      <c r="B583" s="269"/>
      <c r="C583" s="269"/>
      <c r="D583" s="269"/>
      <c r="E583" s="269"/>
      <c r="F583" s="269"/>
      <c r="G583" s="269"/>
      <c r="H583" s="269"/>
      <c r="I583" s="269"/>
      <c r="J583" s="269"/>
      <c r="K583" s="269"/>
      <c r="M583" s="3" t="s">
        <v>217</v>
      </c>
      <c r="O583" s="3">
        <f t="shared" si="10"/>
        <v>583</v>
      </c>
    </row>
    <row r="584" spans="1:15" ht="13.15" customHeight="1">
      <c r="B584" s="269"/>
      <c r="C584" s="269"/>
      <c r="D584" s="269"/>
      <c r="E584" s="269"/>
      <c r="F584" s="269"/>
      <c r="G584" s="269"/>
      <c r="H584" s="269"/>
      <c r="I584" s="269"/>
      <c r="J584" s="269"/>
      <c r="K584" s="269"/>
      <c r="M584" s="3" t="s">
        <v>217</v>
      </c>
      <c r="O584" s="3">
        <f t="shared" si="10"/>
        <v>584</v>
      </c>
    </row>
    <row r="585" spans="1:15" ht="13.15" customHeight="1">
      <c r="B585" s="269"/>
      <c r="C585" s="269"/>
      <c r="D585" s="269"/>
      <c r="E585" s="269"/>
      <c r="F585" s="269"/>
      <c r="G585" s="269"/>
      <c r="H585" s="269"/>
      <c r="I585" s="269"/>
      <c r="J585" s="269"/>
      <c r="K585" s="269"/>
      <c r="M585" s="3" t="s">
        <v>217</v>
      </c>
      <c r="O585" s="3">
        <f t="shared" si="10"/>
        <v>585</v>
      </c>
    </row>
    <row r="586" spans="1:15" ht="13.15" customHeight="1">
      <c r="B586" s="151"/>
      <c r="C586" s="151"/>
      <c r="D586" s="151"/>
      <c r="E586" s="151"/>
      <c r="F586" s="151"/>
      <c r="G586" s="151"/>
      <c r="H586" s="151"/>
      <c r="I586" s="151"/>
      <c r="J586" s="151"/>
      <c r="K586" s="151"/>
      <c r="M586" s="3" t="s">
        <v>217</v>
      </c>
      <c r="O586" s="3">
        <f t="shared" si="10"/>
        <v>586</v>
      </c>
    </row>
    <row r="587" spans="1:15" ht="13.15" customHeight="1">
      <c r="B587" s="157" t="s">
        <v>356</v>
      </c>
      <c r="C587" s="270" t="s">
        <v>280</v>
      </c>
      <c r="D587" s="270"/>
      <c r="E587" s="270"/>
      <c r="F587" s="270"/>
      <c r="G587" s="270"/>
      <c r="H587" s="270"/>
      <c r="I587" s="270"/>
      <c r="J587" s="270"/>
      <c r="K587" s="270"/>
      <c r="M587" s="3" t="s">
        <v>217</v>
      </c>
      <c r="O587" s="3">
        <f t="shared" si="10"/>
        <v>587</v>
      </c>
    </row>
    <row r="588" spans="1:15" ht="13.15" customHeight="1">
      <c r="C588" s="270"/>
      <c r="D588" s="270"/>
      <c r="E588" s="270"/>
      <c r="F588" s="270"/>
      <c r="G588" s="270"/>
      <c r="H588" s="270"/>
      <c r="I588" s="270"/>
      <c r="J588" s="270"/>
      <c r="K588" s="270"/>
      <c r="M588" s="3" t="s">
        <v>217</v>
      </c>
      <c r="O588" s="3">
        <f t="shared" si="10"/>
        <v>588</v>
      </c>
    </row>
    <row r="589" spans="1:15" ht="13.15" customHeight="1">
      <c r="C589" s="270"/>
      <c r="D589" s="270"/>
      <c r="E589" s="270"/>
      <c r="F589" s="270"/>
      <c r="G589" s="270"/>
      <c r="H589" s="270"/>
      <c r="I589" s="270"/>
      <c r="J589" s="270"/>
      <c r="K589" s="270"/>
      <c r="M589" s="3" t="s">
        <v>217</v>
      </c>
      <c r="O589" s="3">
        <f t="shared" si="10"/>
        <v>589</v>
      </c>
    </row>
    <row r="590" spans="1:15" ht="13.15" customHeight="1">
      <c r="C590" s="270"/>
      <c r="D590" s="270"/>
      <c r="E590" s="270"/>
      <c r="F590" s="270"/>
      <c r="G590" s="270"/>
      <c r="H590" s="270"/>
      <c r="I590" s="270"/>
      <c r="J590" s="270"/>
      <c r="K590" s="270"/>
      <c r="M590" s="3" t="s">
        <v>217</v>
      </c>
      <c r="O590" s="3">
        <f t="shared" si="10"/>
        <v>590</v>
      </c>
    </row>
    <row r="591" spans="1:15" ht="13.15" customHeight="1">
      <c r="C591" s="270"/>
      <c r="D591" s="270"/>
      <c r="E591" s="270"/>
      <c r="F591" s="270"/>
      <c r="G591" s="270"/>
      <c r="H591" s="270"/>
      <c r="I591" s="270"/>
      <c r="J591" s="270"/>
      <c r="K591" s="270"/>
      <c r="M591" s="3" t="s">
        <v>217</v>
      </c>
      <c r="O591" s="3">
        <f t="shared" si="10"/>
        <v>591</v>
      </c>
    </row>
    <row r="592" spans="1:15" ht="13.15" customHeight="1">
      <c r="C592" s="109"/>
      <c r="D592" s="109"/>
      <c r="E592" s="109"/>
      <c r="F592" s="109"/>
      <c r="G592" s="109"/>
      <c r="H592" s="109"/>
      <c r="I592" s="109"/>
      <c r="J592" s="109"/>
      <c r="K592" s="109"/>
      <c r="M592" s="3" t="s">
        <v>217</v>
      </c>
      <c r="O592" s="3">
        <f t="shared" si="10"/>
        <v>592</v>
      </c>
    </row>
    <row r="593" spans="1:15" ht="13.15" customHeight="1">
      <c r="A593" s="139" t="s">
        <v>391</v>
      </c>
      <c r="B593" s="269" t="s">
        <v>281</v>
      </c>
      <c r="C593" s="269"/>
      <c r="D593" s="269"/>
      <c r="E593" s="269"/>
      <c r="F593" s="269"/>
      <c r="G593" s="269"/>
      <c r="H593" s="269"/>
      <c r="I593" s="269"/>
      <c r="J593" s="269"/>
      <c r="K593" s="269"/>
      <c r="L593" s="3">
        <v>36</v>
      </c>
      <c r="M593" s="3">
        <v>11</v>
      </c>
      <c r="N593" s="3">
        <v>6</v>
      </c>
      <c r="O593" s="3">
        <f t="shared" si="10"/>
        <v>593</v>
      </c>
    </row>
    <row r="594" spans="1:15" ht="13.15" customHeight="1">
      <c r="B594" s="269"/>
      <c r="C594" s="269"/>
      <c r="D594" s="269"/>
      <c r="E594" s="269"/>
      <c r="F594" s="269"/>
      <c r="G594" s="269"/>
      <c r="H594" s="269"/>
      <c r="I594" s="269"/>
      <c r="J594" s="269"/>
      <c r="K594" s="269"/>
      <c r="M594" s="3" t="s">
        <v>217</v>
      </c>
      <c r="O594" s="3">
        <f t="shared" si="10"/>
        <v>594</v>
      </c>
    </row>
    <row r="595" spans="1:15" ht="13.15" customHeight="1">
      <c r="B595" s="269"/>
      <c r="C595" s="269"/>
      <c r="D595" s="269"/>
      <c r="E595" s="269"/>
      <c r="F595" s="269"/>
      <c r="G595" s="269"/>
      <c r="H595" s="269"/>
      <c r="I595" s="269"/>
      <c r="J595" s="269"/>
      <c r="K595" s="269"/>
      <c r="M595" s="3" t="s">
        <v>217</v>
      </c>
      <c r="O595" s="3">
        <f t="shared" si="10"/>
        <v>595</v>
      </c>
    </row>
    <row r="596" spans="1:15" ht="13.15" customHeight="1">
      <c r="B596" s="269"/>
      <c r="C596" s="269"/>
      <c r="D596" s="269"/>
      <c r="E596" s="269"/>
      <c r="F596" s="269"/>
      <c r="G596" s="269"/>
      <c r="H596" s="269"/>
      <c r="I596" s="269"/>
      <c r="J596" s="269"/>
      <c r="K596" s="269"/>
      <c r="M596" s="3" t="s">
        <v>217</v>
      </c>
      <c r="O596" s="3">
        <f t="shared" si="10"/>
        <v>596</v>
      </c>
    </row>
    <row r="597" spans="1:15" ht="13.15" customHeight="1">
      <c r="B597" s="269"/>
      <c r="C597" s="269"/>
      <c r="D597" s="269"/>
      <c r="E597" s="269"/>
      <c r="F597" s="269"/>
      <c r="G597" s="269"/>
      <c r="H597" s="269"/>
      <c r="I597" s="269"/>
      <c r="J597" s="269"/>
      <c r="K597" s="269"/>
      <c r="M597" s="3" t="s">
        <v>217</v>
      </c>
      <c r="O597" s="3">
        <f t="shared" si="10"/>
        <v>597</v>
      </c>
    </row>
    <row r="598" spans="1:15" ht="13.15" customHeight="1">
      <c r="B598" s="269"/>
      <c r="C598" s="269"/>
      <c r="D598" s="269"/>
      <c r="E598" s="269"/>
      <c r="F598" s="269"/>
      <c r="G598" s="269"/>
      <c r="H598" s="269"/>
      <c r="I598" s="269"/>
      <c r="J598" s="269"/>
      <c r="K598" s="269"/>
      <c r="M598" s="3" t="s">
        <v>217</v>
      </c>
      <c r="O598" s="3">
        <f t="shared" si="10"/>
        <v>598</v>
      </c>
    </row>
    <row r="599" spans="1:15" ht="13.15" customHeight="1">
      <c r="B599" s="151"/>
      <c r="C599" s="151"/>
      <c r="D599" s="151"/>
      <c r="E599" s="151"/>
      <c r="F599" s="151"/>
      <c r="G599" s="151"/>
      <c r="H599" s="151"/>
      <c r="I599" s="151"/>
      <c r="J599" s="151"/>
      <c r="K599" s="151"/>
      <c r="M599" s="3" t="s">
        <v>217</v>
      </c>
      <c r="O599" s="3">
        <f t="shared" si="10"/>
        <v>599</v>
      </c>
    </row>
    <row r="600" spans="1:15" ht="13.15" customHeight="1">
      <c r="B600" s="157" t="s">
        <v>356</v>
      </c>
      <c r="C600" s="270" t="s">
        <v>282</v>
      </c>
      <c r="D600" s="273"/>
      <c r="E600" s="273"/>
      <c r="F600" s="273"/>
      <c r="G600" s="273"/>
      <c r="H600" s="273"/>
      <c r="I600" s="273"/>
      <c r="J600" s="273"/>
      <c r="K600" s="273"/>
      <c r="M600" s="3" t="s">
        <v>217</v>
      </c>
      <c r="O600" s="3">
        <f t="shared" si="10"/>
        <v>600</v>
      </c>
    </row>
    <row r="601" spans="1:15" ht="13.15" customHeight="1">
      <c r="C601" s="270"/>
      <c r="D601" s="273"/>
      <c r="E601" s="273"/>
      <c r="F601" s="273"/>
      <c r="G601" s="273"/>
      <c r="H601" s="273"/>
      <c r="I601" s="273"/>
      <c r="J601" s="273"/>
      <c r="K601" s="273"/>
      <c r="M601" s="3" t="s">
        <v>217</v>
      </c>
      <c r="O601" s="3">
        <f t="shared" si="10"/>
        <v>601</v>
      </c>
    </row>
    <row r="602" spans="1:15" ht="13.15" customHeight="1">
      <c r="C602" s="270"/>
      <c r="D602" s="273"/>
      <c r="E602" s="273"/>
      <c r="F602" s="273"/>
      <c r="G602" s="273"/>
      <c r="H602" s="273"/>
      <c r="I602" s="273"/>
      <c r="J602" s="273"/>
      <c r="K602" s="273"/>
      <c r="M602" s="3" t="s">
        <v>217</v>
      </c>
      <c r="O602" s="3">
        <f t="shared" si="10"/>
        <v>602</v>
      </c>
    </row>
    <row r="603" spans="1:15" ht="13.15" customHeight="1">
      <c r="C603" s="273"/>
      <c r="D603" s="273"/>
      <c r="E603" s="273"/>
      <c r="F603" s="273"/>
      <c r="G603" s="273"/>
      <c r="H603" s="273"/>
      <c r="I603" s="273"/>
      <c r="J603" s="273"/>
      <c r="K603" s="273"/>
      <c r="M603" s="3" t="s">
        <v>217</v>
      </c>
      <c r="O603" s="3">
        <f t="shared" si="10"/>
        <v>603</v>
      </c>
    </row>
    <row r="604" spans="1:15" ht="13.15" customHeight="1">
      <c r="C604" s="109"/>
      <c r="D604" s="109"/>
      <c r="E604" s="109"/>
      <c r="F604" s="109"/>
      <c r="G604" s="109"/>
      <c r="H604" s="109"/>
      <c r="I604" s="109"/>
      <c r="J604" s="109"/>
      <c r="K604" s="109"/>
      <c r="M604" s="3" t="s">
        <v>217</v>
      </c>
      <c r="O604" s="3">
        <f t="shared" si="10"/>
        <v>604</v>
      </c>
    </row>
    <row r="605" spans="1:15" ht="13.15" customHeight="1">
      <c r="A605" s="139" t="s">
        <v>392</v>
      </c>
      <c r="B605" s="254" t="s">
        <v>283</v>
      </c>
      <c r="C605" s="254"/>
      <c r="D605" s="254"/>
      <c r="E605" s="254"/>
      <c r="F605" s="254"/>
      <c r="G605" s="254"/>
      <c r="H605" s="254"/>
      <c r="I605" s="254"/>
      <c r="J605" s="254"/>
      <c r="K605" s="254"/>
      <c r="L605" s="3">
        <v>37</v>
      </c>
      <c r="M605" s="3">
        <v>11</v>
      </c>
      <c r="N605" s="3">
        <v>7</v>
      </c>
      <c r="O605" s="3">
        <f t="shared" si="10"/>
        <v>605</v>
      </c>
    </row>
    <row r="606" spans="1:15" ht="13.15" customHeight="1">
      <c r="B606" s="254"/>
      <c r="C606" s="254"/>
      <c r="D606" s="254"/>
      <c r="E606" s="254"/>
      <c r="F606" s="254"/>
      <c r="G606" s="254"/>
      <c r="H606" s="254"/>
      <c r="I606" s="254"/>
      <c r="J606" s="254"/>
      <c r="K606" s="254"/>
      <c r="M606" s="3" t="s">
        <v>217</v>
      </c>
      <c r="O606" s="3">
        <f t="shared" si="10"/>
        <v>606</v>
      </c>
    </row>
    <row r="607" spans="1:15" ht="13.15" customHeight="1">
      <c r="B607" s="254"/>
      <c r="C607" s="254"/>
      <c r="D607" s="254"/>
      <c r="E607" s="254"/>
      <c r="F607" s="254"/>
      <c r="G607" s="254"/>
      <c r="H607" s="254"/>
      <c r="I607" s="254"/>
      <c r="J607" s="254"/>
      <c r="K607" s="254"/>
      <c r="M607" s="3" t="s">
        <v>217</v>
      </c>
      <c r="O607" s="3">
        <f t="shared" si="10"/>
        <v>607</v>
      </c>
    </row>
    <row r="608" spans="1:15" ht="13.15" customHeight="1">
      <c r="B608" s="254"/>
      <c r="C608" s="254"/>
      <c r="D608" s="254"/>
      <c r="E608" s="254"/>
      <c r="F608" s="254"/>
      <c r="G608" s="254"/>
      <c r="H608" s="254"/>
      <c r="I608" s="254"/>
      <c r="J608" s="254"/>
      <c r="K608" s="254"/>
      <c r="M608" s="3" t="s">
        <v>217</v>
      </c>
      <c r="O608" s="3">
        <f t="shared" si="10"/>
        <v>608</v>
      </c>
    </row>
    <row r="609" spans="1:15" ht="13.15" customHeight="1">
      <c r="B609" s="254"/>
      <c r="C609" s="254"/>
      <c r="D609" s="254"/>
      <c r="E609" s="254"/>
      <c r="F609" s="254"/>
      <c r="G609" s="254"/>
      <c r="H609" s="254"/>
      <c r="I609" s="254"/>
      <c r="J609" s="254"/>
      <c r="K609" s="254"/>
      <c r="M609" s="3" t="s">
        <v>217</v>
      </c>
      <c r="O609" s="3">
        <f t="shared" si="10"/>
        <v>609</v>
      </c>
    </row>
    <row r="610" spans="1:15" ht="13.15" customHeight="1">
      <c r="B610" s="254"/>
      <c r="C610" s="254"/>
      <c r="D610" s="254"/>
      <c r="E610" s="254"/>
      <c r="F610" s="254"/>
      <c r="G610" s="254"/>
      <c r="H610" s="254"/>
      <c r="I610" s="254"/>
      <c r="J610" s="254"/>
      <c r="K610" s="254"/>
      <c r="M610" s="3" t="s">
        <v>217</v>
      </c>
      <c r="O610" s="3">
        <f t="shared" si="10"/>
        <v>610</v>
      </c>
    </row>
    <row r="611" spans="1:15" ht="13.15" customHeight="1">
      <c r="B611" s="254"/>
      <c r="C611" s="254"/>
      <c r="D611" s="254"/>
      <c r="E611" s="254"/>
      <c r="F611" s="254"/>
      <c r="G611" s="254"/>
      <c r="H611" s="254"/>
      <c r="I611" s="254"/>
      <c r="J611" s="254"/>
      <c r="K611" s="254"/>
      <c r="M611" s="3" t="s">
        <v>217</v>
      </c>
      <c r="O611" s="3">
        <f t="shared" si="10"/>
        <v>611</v>
      </c>
    </row>
    <row r="612" spans="1:15" ht="13.15" customHeight="1">
      <c r="B612" s="142"/>
      <c r="C612" s="142"/>
      <c r="D612" s="142"/>
      <c r="E612" s="142"/>
      <c r="F612" s="142"/>
      <c r="G612" s="142"/>
      <c r="H612" s="142"/>
      <c r="I612" s="142"/>
      <c r="J612" s="142"/>
      <c r="K612" s="142"/>
      <c r="M612" s="3" t="s">
        <v>217</v>
      </c>
      <c r="O612" s="3">
        <f t="shared" si="10"/>
        <v>612</v>
      </c>
    </row>
    <row r="613" spans="1:15" ht="13.9" customHeight="1">
      <c r="B613" s="157" t="s">
        <v>356</v>
      </c>
      <c r="C613" s="254" t="s">
        <v>284</v>
      </c>
      <c r="D613" s="254"/>
      <c r="E613" s="254"/>
      <c r="F613" s="254"/>
      <c r="G613" s="254"/>
      <c r="H613" s="254"/>
      <c r="I613" s="254"/>
      <c r="J613" s="254"/>
      <c r="K613" s="254"/>
      <c r="M613" s="3" t="s">
        <v>217</v>
      </c>
      <c r="O613" s="3">
        <f t="shared" si="10"/>
        <v>613</v>
      </c>
    </row>
    <row r="614" spans="1:15" ht="13.9" customHeight="1">
      <c r="B614" s="110"/>
      <c r="C614" s="254"/>
      <c r="D614" s="254"/>
      <c r="E614" s="254"/>
      <c r="F614" s="254"/>
      <c r="G614" s="254"/>
      <c r="H614" s="254"/>
      <c r="I614" s="254"/>
      <c r="J614" s="254"/>
      <c r="K614" s="254"/>
      <c r="M614" s="3" t="s">
        <v>217</v>
      </c>
      <c r="O614" s="3">
        <f t="shared" si="10"/>
        <v>614</v>
      </c>
    </row>
    <row r="615" spans="1:15" ht="12.75">
      <c r="B615" s="110"/>
      <c r="C615" s="254"/>
      <c r="D615" s="254"/>
      <c r="E615" s="254"/>
      <c r="F615" s="254"/>
      <c r="G615" s="254"/>
      <c r="H615" s="254"/>
      <c r="I615" s="254"/>
      <c r="J615" s="254"/>
      <c r="K615" s="254"/>
      <c r="M615" s="3" t="s">
        <v>217</v>
      </c>
      <c r="O615" s="3">
        <f t="shared" si="10"/>
        <v>615</v>
      </c>
    </row>
    <row r="616" spans="1:15" ht="12.75">
      <c r="B616" s="110"/>
      <c r="C616" s="142"/>
      <c r="D616" s="142"/>
      <c r="E616" s="142"/>
      <c r="F616" s="142"/>
      <c r="G616" s="142"/>
      <c r="H616" s="142"/>
      <c r="I616" s="142"/>
      <c r="J616" s="142"/>
      <c r="K616" s="142"/>
      <c r="M616" s="3" t="s">
        <v>217</v>
      </c>
      <c r="O616" s="3">
        <f t="shared" si="10"/>
        <v>616</v>
      </c>
    </row>
    <row r="617" spans="1:15" ht="13.15" customHeight="1">
      <c r="A617" s="139" t="s">
        <v>393</v>
      </c>
      <c r="B617" s="254" t="s">
        <v>285</v>
      </c>
      <c r="C617" s="254"/>
      <c r="D617" s="254"/>
      <c r="E617" s="254"/>
      <c r="F617" s="254"/>
      <c r="G617" s="254"/>
      <c r="H617" s="254"/>
      <c r="I617" s="254"/>
      <c r="J617" s="254"/>
      <c r="K617" s="254"/>
      <c r="L617" s="3">
        <v>38</v>
      </c>
      <c r="M617" s="3">
        <v>14</v>
      </c>
      <c r="N617" s="3">
        <v>10</v>
      </c>
      <c r="O617" s="3">
        <f t="shared" si="10"/>
        <v>617</v>
      </c>
    </row>
    <row r="618" spans="1:15" ht="13.15" customHeight="1">
      <c r="B618" s="254"/>
      <c r="C618" s="254"/>
      <c r="D618" s="254"/>
      <c r="E618" s="254"/>
      <c r="F618" s="254"/>
      <c r="G618" s="254"/>
      <c r="H618" s="254"/>
      <c r="I618" s="254"/>
      <c r="J618" s="254"/>
      <c r="K618" s="254"/>
      <c r="M618" s="3" t="s">
        <v>217</v>
      </c>
      <c r="O618" s="3">
        <f t="shared" si="10"/>
        <v>618</v>
      </c>
    </row>
    <row r="619" spans="1:15" ht="13.15" customHeight="1">
      <c r="B619" s="254"/>
      <c r="C619" s="254"/>
      <c r="D619" s="254"/>
      <c r="E619" s="254"/>
      <c r="F619" s="254"/>
      <c r="G619" s="254"/>
      <c r="H619" s="254"/>
      <c r="I619" s="254"/>
      <c r="J619" s="254"/>
      <c r="K619" s="254"/>
      <c r="M619" s="3" t="s">
        <v>217</v>
      </c>
      <c r="O619" s="3">
        <f t="shared" si="10"/>
        <v>619</v>
      </c>
    </row>
    <row r="620" spans="1:15" ht="13.15" customHeight="1">
      <c r="B620" s="254"/>
      <c r="C620" s="254"/>
      <c r="D620" s="254"/>
      <c r="E620" s="254"/>
      <c r="F620" s="254"/>
      <c r="G620" s="254"/>
      <c r="H620" s="254"/>
      <c r="I620" s="254"/>
      <c r="J620" s="254"/>
      <c r="K620" s="254"/>
      <c r="M620" s="3" t="s">
        <v>217</v>
      </c>
      <c r="O620" s="3">
        <f t="shared" si="10"/>
        <v>620</v>
      </c>
    </row>
    <row r="621" spans="1:15" ht="13.15" customHeight="1">
      <c r="B621" s="254"/>
      <c r="C621" s="254"/>
      <c r="D621" s="254"/>
      <c r="E621" s="254"/>
      <c r="F621" s="254"/>
      <c r="G621" s="254"/>
      <c r="H621" s="254"/>
      <c r="I621" s="254"/>
      <c r="J621" s="254"/>
      <c r="K621" s="254"/>
      <c r="M621" s="3" t="s">
        <v>217</v>
      </c>
      <c r="O621" s="3">
        <f t="shared" si="10"/>
        <v>621</v>
      </c>
    </row>
    <row r="622" spans="1:15" ht="13.15" customHeight="1">
      <c r="B622" s="254"/>
      <c r="C622" s="254"/>
      <c r="D622" s="254"/>
      <c r="E622" s="254"/>
      <c r="F622" s="254"/>
      <c r="G622" s="254"/>
      <c r="H622" s="254"/>
      <c r="I622" s="254"/>
      <c r="J622" s="254"/>
      <c r="K622" s="254"/>
      <c r="M622" s="3" t="s">
        <v>217</v>
      </c>
      <c r="O622" s="3">
        <f t="shared" si="10"/>
        <v>622</v>
      </c>
    </row>
    <row r="623" spans="1:15" ht="13.15" customHeight="1">
      <c r="B623" s="254"/>
      <c r="C623" s="254"/>
      <c r="D623" s="254"/>
      <c r="E623" s="254"/>
      <c r="F623" s="254"/>
      <c r="G623" s="254"/>
      <c r="H623" s="254"/>
      <c r="I623" s="254"/>
      <c r="J623" s="254"/>
      <c r="K623" s="254"/>
      <c r="M623" s="3" t="s">
        <v>217</v>
      </c>
      <c r="O623" s="3">
        <f t="shared" si="10"/>
        <v>623</v>
      </c>
    </row>
    <row r="624" spans="1:15" ht="13.15" customHeight="1">
      <c r="B624" s="254"/>
      <c r="C624" s="254"/>
      <c r="D624" s="254"/>
      <c r="E624" s="254"/>
      <c r="F624" s="254"/>
      <c r="G624" s="254"/>
      <c r="H624" s="254"/>
      <c r="I624" s="254"/>
      <c r="J624" s="254"/>
      <c r="K624" s="254"/>
      <c r="M624" s="3" t="s">
        <v>217</v>
      </c>
      <c r="O624" s="3">
        <f t="shared" si="10"/>
        <v>624</v>
      </c>
    </row>
    <row r="625" spans="1:15" ht="13.15" customHeight="1">
      <c r="B625" s="254"/>
      <c r="C625" s="254"/>
      <c r="D625" s="254"/>
      <c r="E625" s="254"/>
      <c r="F625" s="254"/>
      <c r="G625" s="254"/>
      <c r="H625" s="254"/>
      <c r="I625" s="254"/>
      <c r="J625" s="254"/>
      <c r="K625" s="254"/>
      <c r="M625" s="3" t="s">
        <v>217</v>
      </c>
      <c r="O625" s="3">
        <f t="shared" si="10"/>
        <v>625</v>
      </c>
    </row>
    <row r="626" spans="1:15" ht="13.15" customHeight="1">
      <c r="B626" s="254"/>
      <c r="C626" s="254"/>
      <c r="D626" s="254"/>
      <c r="E626" s="254"/>
      <c r="F626" s="254"/>
      <c r="G626" s="254"/>
      <c r="H626" s="254"/>
      <c r="I626" s="254"/>
      <c r="J626" s="254"/>
      <c r="K626" s="254"/>
      <c r="M626" s="3" t="s">
        <v>217</v>
      </c>
      <c r="O626" s="3">
        <f t="shared" si="10"/>
        <v>626</v>
      </c>
    </row>
    <row r="627" spans="1:15" ht="13.15" customHeight="1">
      <c r="B627" s="154"/>
      <c r="C627" s="154"/>
      <c r="D627" s="154"/>
      <c r="E627" s="154"/>
      <c r="F627" s="154"/>
      <c r="G627" s="154"/>
      <c r="H627" s="154"/>
      <c r="I627" s="154"/>
      <c r="J627" s="154"/>
      <c r="K627" s="154"/>
      <c r="M627" s="3" t="s">
        <v>217</v>
      </c>
      <c r="O627" s="3">
        <f t="shared" si="10"/>
        <v>627</v>
      </c>
    </row>
    <row r="628" spans="1:15" ht="13.15" customHeight="1">
      <c r="B628" s="157" t="s">
        <v>356</v>
      </c>
      <c r="C628" s="266" t="s">
        <v>286</v>
      </c>
      <c r="D628" s="266"/>
      <c r="E628" s="266"/>
      <c r="F628" s="266"/>
      <c r="G628" s="266"/>
      <c r="H628" s="266"/>
      <c r="I628" s="266"/>
      <c r="J628" s="266"/>
      <c r="K628" s="266"/>
      <c r="M628" s="3" t="s">
        <v>217</v>
      </c>
      <c r="O628" s="3">
        <f t="shared" si="10"/>
        <v>628</v>
      </c>
    </row>
    <row r="629" spans="1:15" ht="13.15" customHeight="1">
      <c r="B629" s="157"/>
      <c r="C629" s="266"/>
      <c r="D629" s="266"/>
      <c r="E629" s="266"/>
      <c r="F629" s="266"/>
      <c r="G629" s="266"/>
      <c r="H629" s="266"/>
      <c r="I629" s="266"/>
      <c r="J629" s="266"/>
      <c r="K629" s="266"/>
    </row>
    <row r="630" spans="1:15" ht="13.15" customHeight="1">
      <c r="B630" s="85"/>
      <c r="C630" s="266"/>
      <c r="D630" s="266"/>
      <c r="E630" s="266"/>
      <c r="F630" s="266"/>
      <c r="G630" s="266"/>
      <c r="H630" s="266"/>
      <c r="I630" s="266"/>
      <c r="J630" s="266"/>
      <c r="K630" s="266"/>
      <c r="M630" s="3" t="s">
        <v>217</v>
      </c>
      <c r="O630" s="3">
        <f t="shared" si="10"/>
        <v>630</v>
      </c>
    </row>
    <row r="631" spans="1:15" ht="13.15" customHeight="1">
      <c r="B631" s="85"/>
      <c r="C631" s="149"/>
      <c r="D631" s="149"/>
      <c r="E631" s="149"/>
      <c r="F631" s="149"/>
      <c r="G631" s="149"/>
      <c r="H631" s="149"/>
      <c r="I631" s="149"/>
      <c r="J631" s="149"/>
      <c r="K631" s="149"/>
      <c r="M631" s="3" t="s">
        <v>217</v>
      </c>
      <c r="O631" s="3">
        <f t="shared" si="10"/>
        <v>631</v>
      </c>
    </row>
    <row r="632" spans="1:15" ht="13.15" customHeight="1">
      <c r="A632" s="139" t="s">
        <v>395</v>
      </c>
      <c r="B632" s="254" t="s">
        <v>287</v>
      </c>
      <c r="C632" s="254"/>
      <c r="D632" s="254"/>
      <c r="E632" s="254"/>
      <c r="F632" s="254"/>
      <c r="G632" s="254"/>
      <c r="H632" s="254"/>
      <c r="I632" s="254"/>
      <c r="J632" s="254"/>
      <c r="K632" s="254"/>
      <c r="L632" s="3">
        <v>39</v>
      </c>
      <c r="M632" s="3">
        <v>5</v>
      </c>
      <c r="N632" s="3">
        <v>2</v>
      </c>
      <c r="O632" s="3">
        <f t="shared" si="10"/>
        <v>632</v>
      </c>
    </row>
    <row r="633" spans="1:15" ht="13.15" customHeight="1">
      <c r="B633" s="254"/>
      <c r="C633" s="254"/>
      <c r="D633" s="254"/>
      <c r="E633" s="254"/>
      <c r="F633" s="254"/>
      <c r="G633" s="254"/>
      <c r="H633" s="254"/>
      <c r="I633" s="254"/>
      <c r="J633" s="254"/>
      <c r="K633" s="254"/>
      <c r="M633" s="3" t="s">
        <v>217</v>
      </c>
      <c r="O633" s="3">
        <f t="shared" si="10"/>
        <v>633</v>
      </c>
    </row>
    <row r="634" spans="1:15" ht="13.15" customHeight="1">
      <c r="B634" s="154"/>
      <c r="C634" s="154"/>
      <c r="D634" s="154"/>
      <c r="E634" s="154"/>
      <c r="F634" s="154"/>
      <c r="G634" s="154"/>
      <c r="H634" s="154"/>
      <c r="I634" s="154"/>
      <c r="J634" s="154"/>
      <c r="K634" s="154"/>
      <c r="M634" s="3" t="s">
        <v>217</v>
      </c>
      <c r="O634" s="3">
        <f t="shared" si="10"/>
        <v>634</v>
      </c>
    </row>
    <row r="635" spans="1:15" ht="13.15" customHeight="1">
      <c r="B635" s="157" t="s">
        <v>356</v>
      </c>
      <c r="C635" s="272" t="s">
        <v>288</v>
      </c>
      <c r="D635" s="272"/>
      <c r="E635" s="272"/>
      <c r="F635" s="272"/>
      <c r="G635" s="272"/>
      <c r="H635" s="272"/>
      <c r="I635" s="272"/>
      <c r="J635" s="272"/>
      <c r="K635" s="272"/>
      <c r="M635" s="3" t="s">
        <v>217</v>
      </c>
      <c r="O635" s="3">
        <f t="shared" si="10"/>
        <v>635</v>
      </c>
    </row>
    <row r="636" spans="1:15" ht="13.15" customHeight="1">
      <c r="B636" s="154"/>
      <c r="C636" s="272"/>
      <c r="D636" s="272"/>
      <c r="E636" s="272"/>
      <c r="F636" s="272"/>
      <c r="G636" s="272"/>
      <c r="H636" s="272"/>
      <c r="I636" s="272"/>
      <c r="J636" s="272"/>
      <c r="K636" s="272"/>
      <c r="M636" s="3" t="s">
        <v>217</v>
      </c>
      <c r="O636" s="3">
        <f t="shared" si="10"/>
        <v>636</v>
      </c>
    </row>
    <row r="637" spans="1:15" ht="13.15" customHeight="1">
      <c r="B637" s="154"/>
      <c r="C637" s="154"/>
      <c r="D637" s="154"/>
      <c r="E637" s="154"/>
      <c r="F637" s="154"/>
      <c r="G637" s="154"/>
      <c r="H637" s="154"/>
      <c r="I637" s="154"/>
      <c r="J637" s="154"/>
      <c r="K637" s="154"/>
      <c r="M637" s="3" t="s">
        <v>217</v>
      </c>
      <c r="O637" s="3">
        <f t="shared" si="10"/>
        <v>637</v>
      </c>
    </row>
    <row r="638" spans="1:15" ht="13.15" customHeight="1">
      <c r="A638" s="139" t="s">
        <v>394</v>
      </c>
      <c r="B638" s="272" t="s">
        <v>289</v>
      </c>
      <c r="C638" s="272"/>
      <c r="D638" s="272"/>
      <c r="E638" s="272"/>
      <c r="F638" s="272"/>
      <c r="G638" s="272"/>
      <c r="H638" s="272"/>
      <c r="I638" s="272"/>
      <c r="J638" s="272"/>
      <c r="K638" s="272"/>
      <c r="L638" s="3">
        <v>40</v>
      </c>
      <c r="M638" s="3">
        <v>5</v>
      </c>
      <c r="N638" s="3">
        <v>3</v>
      </c>
      <c r="O638" s="3">
        <f t="shared" si="10"/>
        <v>638</v>
      </c>
    </row>
    <row r="639" spans="1:15" ht="13.15" customHeight="1">
      <c r="B639" s="272"/>
      <c r="C639" s="272"/>
      <c r="D639" s="272"/>
      <c r="E639" s="272"/>
      <c r="F639" s="272"/>
      <c r="G639" s="272"/>
      <c r="H639" s="272"/>
      <c r="I639" s="272"/>
      <c r="J639" s="272"/>
      <c r="K639" s="272"/>
      <c r="M639" s="3" t="s">
        <v>217</v>
      </c>
      <c r="O639" s="3">
        <f t="shared" si="10"/>
        <v>639</v>
      </c>
    </row>
    <row r="640" spans="1:15" ht="13.15" customHeight="1">
      <c r="B640" s="272"/>
      <c r="C640" s="272"/>
      <c r="D640" s="272"/>
      <c r="E640" s="272"/>
      <c r="F640" s="272"/>
      <c r="G640" s="272"/>
      <c r="H640" s="272"/>
      <c r="I640" s="272"/>
      <c r="J640" s="272"/>
      <c r="K640" s="272"/>
      <c r="M640" s="3" t="s">
        <v>217</v>
      </c>
      <c r="O640" s="3">
        <f t="shared" si="10"/>
        <v>640</v>
      </c>
    </row>
    <row r="641" spans="1:15" ht="13.15" customHeight="1">
      <c r="B641" s="154"/>
      <c r="C641" s="154"/>
      <c r="D641" s="154"/>
      <c r="E641" s="154"/>
      <c r="F641" s="154"/>
      <c r="G641" s="154"/>
      <c r="H641" s="154"/>
      <c r="I641" s="154"/>
      <c r="J641" s="154"/>
      <c r="K641" s="154"/>
      <c r="M641" s="3" t="s">
        <v>217</v>
      </c>
      <c r="O641" s="3">
        <f t="shared" si="10"/>
        <v>641</v>
      </c>
    </row>
    <row r="642" spans="1:15" ht="13.15" customHeight="1">
      <c r="B642" s="157" t="s">
        <v>356</v>
      </c>
      <c r="C642" s="254" t="s">
        <v>290</v>
      </c>
      <c r="D642" s="254"/>
      <c r="E642" s="254"/>
      <c r="F642" s="254"/>
      <c r="G642" s="254"/>
      <c r="H642" s="254"/>
      <c r="I642" s="254"/>
      <c r="J642" s="254"/>
      <c r="K642" s="254"/>
      <c r="M642" s="3" t="s">
        <v>217</v>
      </c>
      <c r="O642" s="3">
        <f t="shared" ref="O642:O729" si="11">ROW(M642)</f>
        <v>642</v>
      </c>
    </row>
    <row r="643" spans="1:15" ht="13.15" customHeight="1">
      <c r="M643" s="3" t="s">
        <v>217</v>
      </c>
      <c r="O643" s="3">
        <f t="shared" si="11"/>
        <v>643</v>
      </c>
    </row>
    <row r="644" spans="1:15" ht="13.15" customHeight="1">
      <c r="A644" s="139" t="s">
        <v>396</v>
      </c>
      <c r="B644" s="254" t="s">
        <v>291</v>
      </c>
      <c r="C644" s="254"/>
      <c r="D644" s="254"/>
      <c r="E644" s="254"/>
      <c r="F644" s="254"/>
      <c r="G644" s="254"/>
      <c r="H644" s="254"/>
      <c r="I644" s="254"/>
      <c r="J644" s="254"/>
      <c r="K644" s="254"/>
      <c r="L644" s="3">
        <v>41</v>
      </c>
      <c r="M644" s="3">
        <v>9</v>
      </c>
      <c r="N644" s="3">
        <v>2</v>
      </c>
      <c r="O644" s="3">
        <f t="shared" si="11"/>
        <v>644</v>
      </c>
    </row>
    <row r="645" spans="1:15" ht="13.15" customHeight="1">
      <c r="B645" s="254"/>
      <c r="C645" s="254"/>
      <c r="D645" s="254"/>
      <c r="E645" s="254"/>
      <c r="F645" s="254"/>
      <c r="G645" s="254"/>
      <c r="H645" s="254"/>
      <c r="I645" s="254"/>
      <c r="J645" s="254"/>
      <c r="K645" s="254"/>
      <c r="M645" s="3" t="s">
        <v>217</v>
      </c>
      <c r="O645" s="3">
        <f t="shared" si="11"/>
        <v>645</v>
      </c>
    </row>
    <row r="646" spans="1:15" ht="13.15" customHeight="1">
      <c r="B646" s="142"/>
      <c r="C646" s="142"/>
      <c r="D646" s="142"/>
      <c r="E646" s="142"/>
      <c r="F646" s="142"/>
      <c r="G646" s="142"/>
      <c r="H646" s="142"/>
      <c r="I646" s="142"/>
      <c r="J646" s="142"/>
      <c r="K646" s="142"/>
      <c r="M646" s="3" t="s">
        <v>217</v>
      </c>
      <c r="O646" s="3">
        <f t="shared" si="11"/>
        <v>646</v>
      </c>
    </row>
    <row r="647" spans="1:15" ht="13.15" customHeight="1">
      <c r="B647" s="157" t="s">
        <v>356</v>
      </c>
      <c r="C647" s="254" t="s">
        <v>292</v>
      </c>
      <c r="D647" s="254"/>
      <c r="E647" s="254"/>
      <c r="F647" s="254"/>
      <c r="G647" s="254"/>
      <c r="H647" s="254"/>
      <c r="I647" s="254"/>
      <c r="J647" s="254"/>
      <c r="K647" s="254"/>
      <c r="M647" s="3" t="s">
        <v>217</v>
      </c>
      <c r="O647" s="3">
        <f t="shared" si="11"/>
        <v>647</v>
      </c>
    </row>
    <row r="648" spans="1:15" ht="13.15" customHeight="1">
      <c r="B648" s="55"/>
      <c r="C648" s="254"/>
      <c r="D648" s="254"/>
      <c r="E648" s="254"/>
      <c r="F648" s="254"/>
      <c r="G648" s="254"/>
      <c r="H648" s="254"/>
      <c r="I648" s="254"/>
      <c r="J648" s="254"/>
      <c r="K648" s="254"/>
      <c r="M648" s="3" t="s">
        <v>217</v>
      </c>
      <c r="O648" s="3">
        <f t="shared" si="11"/>
        <v>648</v>
      </c>
    </row>
    <row r="649" spans="1:15" ht="13.15" customHeight="1">
      <c r="B649" s="55"/>
      <c r="C649" s="254"/>
      <c r="D649" s="254"/>
      <c r="E649" s="254"/>
      <c r="F649" s="254"/>
      <c r="G649" s="254"/>
      <c r="H649" s="254"/>
      <c r="I649" s="254"/>
      <c r="J649" s="254"/>
      <c r="K649" s="254"/>
      <c r="M649" s="3" t="s">
        <v>217</v>
      </c>
      <c r="O649" s="3">
        <f t="shared" si="11"/>
        <v>649</v>
      </c>
    </row>
    <row r="650" spans="1:15" ht="13.15" customHeight="1">
      <c r="B650" s="55"/>
      <c r="C650" s="254"/>
      <c r="D650" s="254"/>
      <c r="E650" s="254"/>
      <c r="F650" s="254"/>
      <c r="G650" s="254"/>
      <c r="H650" s="254"/>
      <c r="I650" s="254"/>
      <c r="J650" s="254"/>
      <c r="K650" s="254"/>
      <c r="M650" s="3" t="s">
        <v>217</v>
      </c>
      <c r="O650" s="3">
        <f t="shared" si="11"/>
        <v>650</v>
      </c>
    </row>
    <row r="651" spans="1:15" ht="13.15" customHeight="1">
      <c r="B651" s="55"/>
      <c r="C651" s="254"/>
      <c r="D651" s="254"/>
      <c r="E651" s="254"/>
      <c r="F651" s="254"/>
      <c r="G651" s="254"/>
      <c r="H651" s="254"/>
      <c r="I651" s="254"/>
      <c r="J651" s="254"/>
      <c r="K651" s="254"/>
      <c r="M651" s="3" t="s">
        <v>217</v>
      </c>
      <c r="O651" s="3">
        <f t="shared" si="11"/>
        <v>651</v>
      </c>
    </row>
    <row r="652" spans="1:15" ht="13.15" customHeight="1">
      <c r="B652" s="55"/>
      <c r="C652" s="254"/>
      <c r="D652" s="254"/>
      <c r="E652" s="254"/>
      <c r="F652" s="254"/>
      <c r="G652" s="254"/>
      <c r="H652" s="254"/>
      <c r="I652" s="254"/>
      <c r="J652" s="254"/>
      <c r="K652" s="254"/>
      <c r="M652" s="3" t="s">
        <v>217</v>
      </c>
      <c r="O652" s="3">
        <f t="shared" si="11"/>
        <v>652</v>
      </c>
    </row>
    <row r="653" spans="1:15" ht="13.15" customHeight="1">
      <c r="B653" s="58"/>
      <c r="C653" s="111"/>
      <c r="D653" s="111"/>
      <c r="E653" s="111"/>
      <c r="F653" s="111"/>
      <c r="G653" s="111"/>
      <c r="H653" s="111"/>
      <c r="I653" s="111"/>
      <c r="J653" s="111"/>
      <c r="K653" s="111"/>
      <c r="M653" s="3" t="s">
        <v>217</v>
      </c>
      <c r="O653" s="3">
        <f t="shared" si="11"/>
        <v>653</v>
      </c>
    </row>
    <row r="654" spans="1:15" ht="13.15" customHeight="1">
      <c r="A654" s="139" t="s">
        <v>397</v>
      </c>
      <c r="B654" s="254" t="s">
        <v>293</v>
      </c>
      <c r="C654" s="254"/>
      <c r="D654" s="254"/>
      <c r="E654" s="254"/>
      <c r="F654" s="254"/>
      <c r="G654" s="254"/>
      <c r="H654" s="254"/>
      <c r="I654" s="254"/>
      <c r="J654" s="254"/>
      <c r="K654" s="254"/>
      <c r="L654" s="3">
        <v>42</v>
      </c>
      <c r="M654" s="3">
        <v>15</v>
      </c>
      <c r="N654" s="3">
        <v>8</v>
      </c>
      <c r="O654" s="3">
        <f t="shared" si="11"/>
        <v>654</v>
      </c>
    </row>
    <row r="655" spans="1:15" ht="13.15" customHeight="1">
      <c r="B655" s="254"/>
      <c r="C655" s="254"/>
      <c r="D655" s="254"/>
      <c r="E655" s="254"/>
      <c r="F655" s="254"/>
      <c r="G655" s="254"/>
      <c r="H655" s="254"/>
      <c r="I655" s="254"/>
      <c r="J655" s="254"/>
      <c r="K655" s="254"/>
      <c r="M655" s="3" t="s">
        <v>217</v>
      </c>
      <c r="O655" s="3">
        <f t="shared" si="11"/>
        <v>655</v>
      </c>
    </row>
    <row r="656" spans="1:15" ht="13.15" customHeight="1">
      <c r="B656" s="254"/>
      <c r="C656" s="254"/>
      <c r="D656" s="254"/>
      <c r="E656" s="254"/>
      <c r="F656" s="254"/>
      <c r="G656" s="254"/>
      <c r="H656" s="254"/>
      <c r="I656" s="254"/>
      <c r="J656" s="254"/>
      <c r="K656" s="254"/>
      <c r="M656" s="3" t="s">
        <v>217</v>
      </c>
      <c r="O656" s="3">
        <f t="shared" si="11"/>
        <v>656</v>
      </c>
    </row>
    <row r="657" spans="1:15" ht="13.15" customHeight="1">
      <c r="B657" s="254"/>
      <c r="C657" s="254"/>
      <c r="D657" s="254"/>
      <c r="E657" s="254"/>
      <c r="F657" s="254"/>
      <c r="G657" s="254"/>
      <c r="H657" s="254"/>
      <c r="I657" s="254"/>
      <c r="J657" s="254"/>
      <c r="K657" s="254"/>
      <c r="M657" s="3" t="s">
        <v>217</v>
      </c>
      <c r="O657" s="3">
        <f t="shared" si="11"/>
        <v>657</v>
      </c>
    </row>
    <row r="658" spans="1:15" ht="13.15" customHeight="1">
      <c r="B658" s="254"/>
      <c r="C658" s="254"/>
      <c r="D658" s="254"/>
      <c r="E658" s="254"/>
      <c r="F658" s="254"/>
      <c r="G658" s="254"/>
      <c r="H658" s="254"/>
      <c r="I658" s="254"/>
      <c r="J658" s="254"/>
      <c r="K658" s="254"/>
      <c r="M658" s="3" t="s">
        <v>217</v>
      </c>
      <c r="O658" s="3">
        <f t="shared" si="11"/>
        <v>658</v>
      </c>
    </row>
    <row r="659" spans="1:15" ht="13.15" customHeight="1">
      <c r="B659" s="254"/>
      <c r="C659" s="254"/>
      <c r="D659" s="254"/>
      <c r="E659" s="254"/>
      <c r="F659" s="254"/>
      <c r="G659" s="254"/>
      <c r="H659" s="254"/>
      <c r="I659" s="254"/>
      <c r="J659" s="254"/>
      <c r="K659" s="254"/>
      <c r="M659" s="3" t="s">
        <v>217</v>
      </c>
      <c r="O659" s="3">
        <f t="shared" si="11"/>
        <v>659</v>
      </c>
    </row>
    <row r="660" spans="1:15" ht="13.15" customHeight="1">
      <c r="B660" s="254"/>
      <c r="C660" s="254"/>
      <c r="D660" s="254"/>
      <c r="E660" s="254"/>
      <c r="F660" s="254"/>
      <c r="G660" s="254"/>
      <c r="H660" s="254"/>
      <c r="I660" s="254"/>
      <c r="J660" s="254"/>
      <c r="K660" s="254"/>
      <c r="M660" s="3" t="s">
        <v>217</v>
      </c>
      <c r="O660" s="3">
        <f t="shared" si="11"/>
        <v>660</v>
      </c>
    </row>
    <row r="661" spans="1:15" ht="13.15" customHeight="1">
      <c r="B661" s="254"/>
      <c r="C661" s="254"/>
      <c r="D661" s="254"/>
      <c r="E661" s="254"/>
      <c r="F661" s="254"/>
      <c r="G661" s="254"/>
      <c r="H661" s="254"/>
      <c r="I661" s="254"/>
      <c r="J661" s="254"/>
      <c r="K661" s="254"/>
      <c r="M661" s="3" t="s">
        <v>217</v>
      </c>
      <c r="O661" s="3">
        <f t="shared" si="11"/>
        <v>661</v>
      </c>
    </row>
    <row r="662" spans="1:15" ht="13.15" customHeight="1">
      <c r="B662" s="98"/>
      <c r="C662" s="98"/>
      <c r="D662" s="98"/>
      <c r="E662" s="98"/>
      <c r="F662" s="98"/>
      <c r="G662" s="98"/>
      <c r="H662" s="98"/>
      <c r="I662" s="98"/>
      <c r="J662" s="98"/>
      <c r="K662" s="98"/>
      <c r="M662" s="3" t="s">
        <v>217</v>
      </c>
      <c r="O662" s="3">
        <f t="shared" si="11"/>
        <v>662</v>
      </c>
    </row>
    <row r="663" spans="1:15" ht="13.15" customHeight="1">
      <c r="B663" s="157" t="s">
        <v>356</v>
      </c>
      <c r="C663" s="254" t="s">
        <v>198</v>
      </c>
      <c r="D663" s="254"/>
      <c r="E663" s="254"/>
      <c r="F663" s="254"/>
      <c r="G663" s="254"/>
      <c r="H663" s="254"/>
      <c r="I663" s="254"/>
      <c r="J663" s="254"/>
      <c r="K663" s="254"/>
      <c r="M663" s="3" t="s">
        <v>217</v>
      </c>
      <c r="O663" s="3">
        <f t="shared" si="11"/>
        <v>663</v>
      </c>
    </row>
    <row r="664" spans="1:15" ht="13.15" customHeight="1">
      <c r="C664" s="254"/>
      <c r="D664" s="254"/>
      <c r="E664" s="254"/>
      <c r="F664" s="254"/>
      <c r="G664" s="254"/>
      <c r="H664" s="254"/>
      <c r="I664" s="254"/>
      <c r="J664" s="254"/>
      <c r="K664" s="254"/>
      <c r="M664" s="3" t="s">
        <v>217</v>
      </c>
      <c r="O664" s="3">
        <f t="shared" si="11"/>
        <v>664</v>
      </c>
    </row>
    <row r="665" spans="1:15" ht="13.15" customHeight="1">
      <c r="B665" s="155"/>
      <c r="C665" s="254"/>
      <c r="D665" s="254"/>
      <c r="E665" s="254"/>
      <c r="F665" s="254"/>
      <c r="G665" s="254"/>
      <c r="H665" s="254"/>
      <c r="I665" s="254"/>
      <c r="J665" s="254"/>
      <c r="K665" s="254"/>
      <c r="M665" s="3" t="s">
        <v>217</v>
      </c>
      <c r="O665" s="3">
        <f t="shared" si="11"/>
        <v>665</v>
      </c>
    </row>
    <row r="666" spans="1:15" ht="13.15" customHeight="1">
      <c r="B666" s="155"/>
      <c r="C666" s="142"/>
      <c r="D666" s="142"/>
      <c r="E666" s="142"/>
      <c r="F666" s="142"/>
      <c r="G666" s="142"/>
      <c r="H666" s="142"/>
      <c r="I666" s="142"/>
      <c r="J666" s="142"/>
      <c r="K666" s="142"/>
      <c r="M666" s="3" t="s">
        <v>217</v>
      </c>
      <c r="O666" s="3">
        <f t="shared" si="11"/>
        <v>666</v>
      </c>
    </row>
    <row r="667" spans="1:15" ht="13.15" customHeight="1">
      <c r="B667" s="157" t="s">
        <v>356</v>
      </c>
      <c r="C667" s="254" t="s">
        <v>294</v>
      </c>
      <c r="D667" s="254"/>
      <c r="E667" s="254"/>
      <c r="F667" s="254"/>
      <c r="G667" s="254"/>
      <c r="H667" s="254"/>
      <c r="I667" s="254"/>
      <c r="J667" s="254"/>
      <c r="K667" s="254"/>
      <c r="M667" s="3" t="s">
        <v>217</v>
      </c>
      <c r="O667" s="3">
        <f t="shared" si="11"/>
        <v>667</v>
      </c>
    </row>
    <row r="668" spans="1:15" ht="13.15" customHeight="1">
      <c r="B668" s="58"/>
      <c r="C668" s="254"/>
      <c r="D668" s="254"/>
      <c r="E668" s="254"/>
      <c r="F668" s="254"/>
      <c r="G668" s="254"/>
      <c r="H668" s="254"/>
      <c r="I668" s="254"/>
      <c r="J668" s="254"/>
      <c r="K668" s="254"/>
      <c r="M668" s="3" t="s">
        <v>217</v>
      </c>
      <c r="O668" s="3">
        <f t="shared" si="11"/>
        <v>668</v>
      </c>
    </row>
    <row r="669" spans="1:15" ht="13.15" customHeight="1">
      <c r="B669" s="58"/>
      <c r="C669" s="120"/>
      <c r="D669" s="120"/>
      <c r="E669" s="120"/>
      <c r="F669" s="120"/>
      <c r="G669" s="120"/>
      <c r="H669" s="120"/>
      <c r="I669" s="120"/>
      <c r="J669" s="120"/>
      <c r="K669" s="120"/>
      <c r="M669" s="3" t="s">
        <v>217</v>
      </c>
      <c r="O669" s="3">
        <f t="shared" si="11"/>
        <v>669</v>
      </c>
    </row>
    <row r="670" spans="1:15" ht="13.15" customHeight="1">
      <c r="A670" s="139" t="s">
        <v>398</v>
      </c>
      <c r="B670" s="254" t="s">
        <v>295</v>
      </c>
      <c r="C670" s="254"/>
      <c r="D670" s="254"/>
      <c r="E670" s="254"/>
      <c r="F670" s="254"/>
      <c r="G670" s="254"/>
      <c r="H670" s="254"/>
      <c r="I670" s="254"/>
      <c r="J670" s="254"/>
      <c r="K670" s="254"/>
      <c r="L670" s="3">
        <v>43</v>
      </c>
      <c r="M670" s="3">
        <v>6</v>
      </c>
      <c r="N670" s="3">
        <v>3</v>
      </c>
      <c r="O670" s="3">
        <f t="shared" si="11"/>
        <v>670</v>
      </c>
    </row>
    <row r="671" spans="1:15" ht="13.15" customHeight="1">
      <c r="B671" s="254"/>
      <c r="C671" s="254"/>
      <c r="D671" s="254"/>
      <c r="E671" s="254"/>
      <c r="F671" s="254"/>
      <c r="G671" s="254"/>
      <c r="H671" s="254"/>
      <c r="I671" s="254"/>
      <c r="J671" s="254"/>
      <c r="K671" s="254"/>
      <c r="M671" s="3" t="s">
        <v>217</v>
      </c>
      <c r="O671" s="3">
        <f t="shared" si="11"/>
        <v>671</v>
      </c>
    </row>
    <row r="672" spans="1:15" ht="13.15" customHeight="1">
      <c r="B672" s="254"/>
      <c r="C672" s="254"/>
      <c r="D672" s="254"/>
      <c r="E672" s="254"/>
      <c r="F672" s="254"/>
      <c r="G672" s="254"/>
      <c r="H672" s="254"/>
      <c r="I672" s="254"/>
      <c r="J672" s="254"/>
      <c r="K672" s="254"/>
      <c r="M672" s="3" t="s">
        <v>217</v>
      </c>
      <c r="O672" s="3">
        <f t="shared" si="11"/>
        <v>672</v>
      </c>
    </row>
    <row r="673" spans="1:15" ht="13.15" customHeight="1">
      <c r="B673" s="142"/>
      <c r="C673" s="142"/>
      <c r="D673" s="142"/>
      <c r="E673" s="142"/>
      <c r="F673" s="142"/>
      <c r="G673" s="142"/>
      <c r="H673" s="142"/>
      <c r="I673" s="142"/>
      <c r="J673" s="142"/>
      <c r="K673" s="142"/>
      <c r="M673" s="3" t="s">
        <v>217</v>
      </c>
      <c r="O673" s="3">
        <f t="shared" si="11"/>
        <v>673</v>
      </c>
    </row>
    <row r="674" spans="1:15" ht="13.15" customHeight="1">
      <c r="B674" s="157" t="s">
        <v>356</v>
      </c>
      <c r="C674" s="272" t="s">
        <v>199</v>
      </c>
      <c r="D674" s="272"/>
      <c r="E674" s="272"/>
      <c r="F674" s="272"/>
      <c r="G674" s="272"/>
      <c r="H674" s="272"/>
      <c r="I674" s="272"/>
      <c r="J674" s="272"/>
      <c r="K674" s="272"/>
      <c r="M674" s="3" t="s">
        <v>217</v>
      </c>
      <c r="O674" s="3">
        <f t="shared" si="11"/>
        <v>674</v>
      </c>
    </row>
    <row r="675" spans="1:15" ht="13.15" customHeight="1">
      <c r="B675" s="55"/>
      <c r="C675" s="272"/>
      <c r="D675" s="272"/>
      <c r="E675" s="272"/>
      <c r="F675" s="272"/>
      <c r="G675" s="272"/>
      <c r="H675" s="272"/>
      <c r="I675" s="272"/>
      <c r="J675" s="272"/>
      <c r="K675" s="272"/>
      <c r="M675" s="3" t="s">
        <v>217</v>
      </c>
      <c r="O675" s="3">
        <f t="shared" si="11"/>
        <v>675</v>
      </c>
    </row>
    <row r="676" spans="1:15" ht="13.15" customHeight="1">
      <c r="B676" s="55"/>
      <c r="C676" s="154"/>
      <c r="D676" s="154"/>
      <c r="E676" s="154"/>
      <c r="F676" s="154"/>
      <c r="G676" s="154"/>
      <c r="H676" s="154"/>
      <c r="I676" s="154"/>
      <c r="J676" s="154"/>
      <c r="K676" s="154"/>
      <c r="O676" s="3">
        <f t="shared" si="11"/>
        <v>676</v>
      </c>
    </row>
    <row r="677" spans="1:15" ht="13.15" customHeight="1">
      <c r="A677" s="139" t="s">
        <v>399</v>
      </c>
      <c r="B677" s="275" t="s">
        <v>433</v>
      </c>
      <c r="C677" s="275"/>
      <c r="D677" s="275"/>
      <c r="E677" s="275"/>
      <c r="F677" s="275"/>
      <c r="G677" s="275"/>
      <c r="H677" s="275"/>
      <c r="I677" s="275"/>
      <c r="J677" s="275"/>
      <c r="K677" s="275"/>
      <c r="L677" s="3">
        <v>44</v>
      </c>
      <c r="M677" s="3">
        <v>24</v>
      </c>
      <c r="N677" s="3">
        <v>16</v>
      </c>
      <c r="O677" s="3">
        <f t="shared" si="11"/>
        <v>677</v>
      </c>
    </row>
    <row r="678" spans="1:15" ht="13.15" customHeight="1">
      <c r="B678" s="275"/>
      <c r="C678" s="275"/>
      <c r="D678" s="275"/>
      <c r="E678" s="275"/>
      <c r="F678" s="275"/>
      <c r="G678" s="275"/>
      <c r="H678" s="275"/>
      <c r="I678" s="275"/>
      <c r="J678" s="275"/>
      <c r="K678" s="275"/>
      <c r="O678" s="3">
        <f t="shared" si="11"/>
        <v>678</v>
      </c>
    </row>
    <row r="679" spans="1:15" ht="13.15" customHeight="1">
      <c r="B679" s="275"/>
      <c r="C679" s="275"/>
      <c r="D679" s="275"/>
      <c r="E679" s="275"/>
      <c r="F679" s="275"/>
      <c r="G679" s="275"/>
      <c r="H679" s="275"/>
      <c r="I679" s="275"/>
      <c r="J679" s="275"/>
      <c r="K679" s="275"/>
      <c r="O679" s="3">
        <f t="shared" si="11"/>
        <v>679</v>
      </c>
    </row>
    <row r="680" spans="1:15" ht="13.15" customHeight="1">
      <c r="B680" s="275"/>
      <c r="C680" s="275"/>
      <c r="D680" s="275"/>
      <c r="E680" s="275"/>
      <c r="F680" s="275"/>
      <c r="G680" s="275"/>
      <c r="H680" s="275"/>
      <c r="I680" s="275"/>
      <c r="J680" s="275"/>
      <c r="K680" s="275"/>
      <c r="O680" s="3">
        <f t="shared" si="11"/>
        <v>680</v>
      </c>
    </row>
    <row r="681" spans="1:15" ht="13.15" customHeight="1">
      <c r="B681" s="275"/>
      <c r="C681" s="275"/>
      <c r="D681" s="275"/>
      <c r="E681" s="275"/>
      <c r="F681" s="275"/>
      <c r="G681" s="275"/>
      <c r="H681" s="275"/>
      <c r="I681" s="275"/>
      <c r="J681" s="275"/>
      <c r="K681" s="275"/>
      <c r="O681" s="3">
        <f t="shared" si="11"/>
        <v>681</v>
      </c>
    </row>
    <row r="682" spans="1:15" ht="13.15" customHeight="1">
      <c r="B682" s="275"/>
      <c r="C682" s="275"/>
      <c r="D682" s="275"/>
      <c r="E682" s="275"/>
      <c r="F682" s="275"/>
      <c r="G682" s="275"/>
      <c r="H682" s="275"/>
      <c r="I682" s="275"/>
      <c r="J682" s="275"/>
      <c r="K682" s="275"/>
      <c r="O682" s="3">
        <f t="shared" si="11"/>
        <v>682</v>
      </c>
    </row>
    <row r="683" spans="1:15" ht="13.15" customHeight="1">
      <c r="B683" s="275"/>
      <c r="C683" s="275"/>
      <c r="D683" s="275"/>
      <c r="E683" s="275"/>
      <c r="F683" s="275"/>
      <c r="G683" s="275"/>
      <c r="H683" s="275"/>
      <c r="I683" s="275"/>
      <c r="J683" s="275"/>
      <c r="K683" s="275"/>
      <c r="O683" s="3">
        <f t="shared" si="11"/>
        <v>683</v>
      </c>
    </row>
    <row r="684" spans="1:15" ht="13.15" customHeight="1">
      <c r="B684" s="275"/>
      <c r="C684" s="275"/>
      <c r="D684" s="275"/>
      <c r="E684" s="275"/>
      <c r="F684" s="275"/>
      <c r="G684" s="275"/>
      <c r="H684" s="275"/>
      <c r="I684" s="275"/>
      <c r="J684" s="275"/>
      <c r="K684" s="275"/>
      <c r="O684" s="3">
        <f t="shared" si="11"/>
        <v>684</v>
      </c>
    </row>
    <row r="685" spans="1:15" ht="13.15" customHeight="1">
      <c r="B685" s="275"/>
      <c r="C685" s="275"/>
      <c r="D685" s="275"/>
      <c r="E685" s="275"/>
      <c r="F685" s="275"/>
      <c r="G685" s="275"/>
      <c r="H685" s="275"/>
      <c r="I685" s="275"/>
      <c r="J685" s="275"/>
      <c r="K685" s="275"/>
      <c r="O685" s="3">
        <f t="shared" si="11"/>
        <v>685</v>
      </c>
    </row>
    <row r="686" spans="1:15" ht="13.15" customHeight="1">
      <c r="B686" s="275"/>
      <c r="C686" s="275"/>
      <c r="D686" s="275"/>
      <c r="E686" s="275"/>
      <c r="F686" s="275"/>
      <c r="G686" s="275"/>
      <c r="H686" s="275"/>
      <c r="I686" s="275"/>
      <c r="J686" s="275"/>
      <c r="K686" s="275"/>
      <c r="O686" s="3">
        <f t="shared" si="11"/>
        <v>686</v>
      </c>
    </row>
    <row r="687" spans="1:15" ht="13.15" customHeight="1">
      <c r="B687" s="275"/>
      <c r="C687" s="275"/>
      <c r="D687" s="275"/>
      <c r="E687" s="275"/>
      <c r="F687" s="275"/>
      <c r="G687" s="275"/>
      <c r="H687" s="275"/>
      <c r="I687" s="275"/>
      <c r="J687" s="275"/>
      <c r="K687" s="275"/>
      <c r="O687" s="3">
        <f t="shared" si="11"/>
        <v>687</v>
      </c>
    </row>
    <row r="688" spans="1:15" ht="13.15" customHeight="1">
      <c r="B688" s="275"/>
      <c r="C688" s="275"/>
      <c r="D688" s="275"/>
      <c r="E688" s="275"/>
      <c r="F688" s="275"/>
      <c r="G688" s="275"/>
      <c r="H688" s="275"/>
      <c r="I688" s="275"/>
      <c r="J688" s="275"/>
      <c r="K688" s="275"/>
      <c r="O688" s="3">
        <f t="shared" si="11"/>
        <v>688</v>
      </c>
    </row>
    <row r="689" spans="1:15" ht="13.15" customHeight="1">
      <c r="B689" s="275"/>
      <c r="C689" s="275"/>
      <c r="D689" s="275"/>
      <c r="E689" s="275"/>
      <c r="F689" s="275"/>
      <c r="G689" s="275"/>
      <c r="H689" s="275"/>
      <c r="I689" s="275"/>
      <c r="J689" s="275"/>
      <c r="K689" s="275"/>
      <c r="O689" s="3">
        <f t="shared" si="11"/>
        <v>689</v>
      </c>
    </row>
    <row r="690" spans="1:15" ht="13.15" customHeight="1">
      <c r="B690" s="275"/>
      <c r="C690" s="275"/>
      <c r="D690" s="275"/>
      <c r="E690" s="275"/>
      <c r="F690" s="275"/>
      <c r="G690" s="275"/>
      <c r="H690" s="275"/>
      <c r="I690" s="275"/>
      <c r="J690" s="275"/>
      <c r="K690" s="275"/>
      <c r="O690" s="3">
        <f t="shared" si="11"/>
        <v>690</v>
      </c>
    </row>
    <row r="691" spans="1:15" ht="13.15" customHeight="1">
      <c r="B691" s="275"/>
      <c r="C691" s="275"/>
      <c r="D691" s="275"/>
      <c r="E691" s="275"/>
      <c r="F691" s="275"/>
      <c r="G691" s="275"/>
      <c r="H691" s="275"/>
      <c r="I691" s="275"/>
      <c r="J691" s="275"/>
      <c r="K691" s="275"/>
      <c r="O691" s="3">
        <f t="shared" si="11"/>
        <v>691</v>
      </c>
    </row>
    <row r="692" spans="1:15" ht="13.15" customHeight="1">
      <c r="B692" s="275"/>
      <c r="C692" s="275"/>
      <c r="D692" s="275"/>
      <c r="E692" s="275"/>
      <c r="F692" s="275"/>
      <c r="G692" s="275"/>
      <c r="H692" s="275"/>
      <c r="I692" s="275"/>
      <c r="J692" s="275"/>
      <c r="K692" s="275"/>
      <c r="O692" s="3">
        <f t="shared" si="11"/>
        <v>692</v>
      </c>
    </row>
    <row r="693" spans="1:15" ht="13.15" customHeight="1">
      <c r="B693" s="55"/>
      <c r="D693" s="154"/>
      <c r="E693" s="154"/>
      <c r="F693" s="154"/>
      <c r="G693" s="154"/>
      <c r="H693" s="154"/>
      <c r="I693" s="154"/>
      <c r="J693" s="154"/>
      <c r="K693" s="154"/>
      <c r="O693" s="3">
        <f t="shared" si="11"/>
        <v>693</v>
      </c>
    </row>
    <row r="694" spans="1:15" ht="13.15" customHeight="1">
      <c r="B694" s="157" t="s">
        <v>356</v>
      </c>
      <c r="C694" s="275" t="s">
        <v>434</v>
      </c>
      <c r="D694" s="275"/>
      <c r="E694" s="275"/>
      <c r="F694" s="275"/>
      <c r="G694" s="275"/>
      <c r="H694" s="275"/>
      <c r="I694" s="275"/>
      <c r="J694" s="275"/>
      <c r="K694" s="275"/>
      <c r="O694" s="3">
        <f t="shared" si="11"/>
        <v>694</v>
      </c>
    </row>
    <row r="695" spans="1:15" ht="13.15" customHeight="1">
      <c r="B695" s="55"/>
      <c r="C695" s="275"/>
      <c r="D695" s="275"/>
      <c r="E695" s="275"/>
      <c r="F695" s="275"/>
      <c r="G695" s="275"/>
      <c r="H695" s="275"/>
      <c r="I695" s="275"/>
      <c r="J695" s="275"/>
      <c r="K695" s="275"/>
      <c r="O695" s="3">
        <f t="shared" si="11"/>
        <v>695</v>
      </c>
    </row>
    <row r="696" spans="1:15" ht="13.15" customHeight="1">
      <c r="B696" s="55"/>
      <c r="C696" s="275"/>
      <c r="D696" s="275"/>
      <c r="E696" s="275"/>
      <c r="F696" s="275"/>
      <c r="G696" s="275"/>
      <c r="H696" s="275"/>
      <c r="I696" s="275"/>
      <c r="J696" s="275"/>
      <c r="K696" s="275"/>
      <c r="O696" s="3">
        <f t="shared" si="11"/>
        <v>696</v>
      </c>
    </row>
    <row r="697" spans="1:15" ht="13.15" customHeight="1">
      <c r="B697" s="55"/>
      <c r="C697" s="275"/>
      <c r="D697" s="275"/>
      <c r="E697" s="275"/>
      <c r="F697" s="275"/>
      <c r="G697" s="275"/>
      <c r="H697" s="275"/>
      <c r="I697" s="275"/>
      <c r="J697" s="275"/>
      <c r="K697" s="275"/>
      <c r="O697" s="3">
        <f t="shared" si="11"/>
        <v>697</v>
      </c>
    </row>
    <row r="698" spans="1:15" ht="13.15" customHeight="1">
      <c r="B698" s="55"/>
      <c r="C698" s="275"/>
      <c r="D698" s="275"/>
      <c r="E698" s="275"/>
      <c r="F698" s="275"/>
      <c r="G698" s="275"/>
      <c r="H698" s="275"/>
      <c r="I698" s="275"/>
      <c r="J698" s="275"/>
      <c r="K698" s="275"/>
      <c r="O698" s="3">
        <f t="shared" si="11"/>
        <v>698</v>
      </c>
    </row>
    <row r="699" spans="1:15" ht="13.15" customHeight="1">
      <c r="B699" s="55"/>
      <c r="C699" s="275"/>
      <c r="D699" s="275"/>
      <c r="E699" s="275"/>
      <c r="F699" s="275"/>
      <c r="G699" s="275"/>
      <c r="H699" s="275"/>
      <c r="I699" s="275"/>
      <c r="J699" s="275"/>
      <c r="K699" s="275"/>
      <c r="O699" s="3">
        <f t="shared" si="11"/>
        <v>699</v>
      </c>
    </row>
    <row r="700" spans="1:15" ht="13.15" customHeight="1">
      <c r="B700" s="55"/>
      <c r="C700" s="275"/>
      <c r="D700" s="275"/>
      <c r="E700" s="275"/>
      <c r="F700" s="275"/>
      <c r="G700" s="275"/>
      <c r="H700" s="275"/>
      <c r="I700" s="275"/>
      <c r="J700" s="275"/>
      <c r="K700" s="275"/>
      <c r="O700" s="3">
        <f t="shared" si="11"/>
        <v>700</v>
      </c>
    </row>
    <row r="701" spans="1:15" ht="13.15" customHeight="1">
      <c r="A701" s="3"/>
      <c r="B701" s="58"/>
      <c r="M701" s="3" t="s">
        <v>217</v>
      </c>
      <c r="O701" s="3">
        <f t="shared" si="11"/>
        <v>701</v>
      </c>
    </row>
    <row r="702" spans="1:15" ht="13.15" customHeight="1">
      <c r="A702" s="139" t="s">
        <v>400</v>
      </c>
      <c r="B702" s="254" t="s">
        <v>296</v>
      </c>
      <c r="C702" s="254"/>
      <c r="D702" s="254"/>
      <c r="E702" s="254"/>
      <c r="F702" s="254"/>
      <c r="G702" s="254"/>
      <c r="H702" s="254"/>
      <c r="I702" s="254"/>
      <c r="J702" s="254"/>
      <c r="K702" s="254"/>
      <c r="L702" s="3">
        <v>45</v>
      </c>
      <c r="M702" s="3">
        <v>12</v>
      </c>
      <c r="N702" s="3">
        <v>5</v>
      </c>
      <c r="O702" s="3">
        <f t="shared" si="11"/>
        <v>702</v>
      </c>
    </row>
    <row r="703" spans="1:15" ht="13.15" customHeight="1">
      <c r="B703" s="254"/>
      <c r="C703" s="254"/>
      <c r="D703" s="254"/>
      <c r="E703" s="254"/>
      <c r="F703" s="254"/>
      <c r="G703" s="254"/>
      <c r="H703" s="254"/>
      <c r="I703" s="254"/>
      <c r="J703" s="254"/>
      <c r="K703" s="254"/>
      <c r="M703" s="3" t="s">
        <v>217</v>
      </c>
      <c r="O703" s="3">
        <f t="shared" si="11"/>
        <v>703</v>
      </c>
    </row>
    <row r="704" spans="1:15" ht="13.15" customHeight="1">
      <c r="B704" s="254"/>
      <c r="C704" s="254"/>
      <c r="D704" s="254"/>
      <c r="E704" s="254"/>
      <c r="F704" s="254"/>
      <c r="G704" s="254"/>
      <c r="H704" s="254"/>
      <c r="I704" s="254"/>
      <c r="J704" s="254"/>
      <c r="K704" s="254"/>
      <c r="M704" s="3" t="s">
        <v>217</v>
      </c>
      <c r="O704" s="3">
        <f t="shared" si="11"/>
        <v>704</v>
      </c>
    </row>
    <row r="705" spans="1:15" ht="13.15" customHeight="1">
      <c r="B705" s="254"/>
      <c r="C705" s="254"/>
      <c r="D705" s="254"/>
      <c r="E705" s="254"/>
      <c r="F705" s="254"/>
      <c r="G705" s="254"/>
      <c r="H705" s="254"/>
      <c r="I705" s="254"/>
      <c r="J705" s="254"/>
      <c r="K705" s="254"/>
      <c r="M705" s="3" t="s">
        <v>217</v>
      </c>
      <c r="O705" s="3">
        <f t="shared" si="11"/>
        <v>705</v>
      </c>
    </row>
    <row r="706" spans="1:15" ht="13.15" customHeight="1">
      <c r="B706" s="254"/>
      <c r="C706" s="254"/>
      <c r="D706" s="254"/>
      <c r="E706" s="254"/>
      <c r="F706" s="254"/>
      <c r="G706" s="254"/>
      <c r="H706" s="254"/>
      <c r="I706" s="254"/>
      <c r="J706" s="254"/>
      <c r="K706" s="254"/>
      <c r="M706" s="3" t="s">
        <v>217</v>
      </c>
      <c r="O706" s="3">
        <f t="shared" si="11"/>
        <v>706</v>
      </c>
    </row>
    <row r="707" spans="1:15" ht="13.15" customHeight="1">
      <c r="B707" s="3" t="s">
        <v>146</v>
      </c>
      <c r="M707" s="3" t="s">
        <v>217</v>
      </c>
      <c r="O707" s="3">
        <f t="shared" si="11"/>
        <v>707</v>
      </c>
    </row>
    <row r="708" spans="1:15" ht="13.15" customHeight="1">
      <c r="B708" s="157" t="s">
        <v>356</v>
      </c>
      <c r="C708" s="254" t="s">
        <v>297</v>
      </c>
      <c r="D708" s="254"/>
      <c r="E708" s="254"/>
      <c r="F708" s="254"/>
      <c r="G708" s="254"/>
      <c r="H708" s="254"/>
      <c r="I708" s="254"/>
      <c r="J708" s="254"/>
      <c r="K708" s="254"/>
      <c r="M708" s="3" t="s">
        <v>217</v>
      </c>
      <c r="O708" s="3">
        <f t="shared" si="11"/>
        <v>708</v>
      </c>
    </row>
    <row r="709" spans="1:15" ht="13.15" customHeight="1">
      <c r="B709" s="55"/>
      <c r="C709" s="254"/>
      <c r="D709" s="254"/>
      <c r="E709" s="254"/>
      <c r="F709" s="254"/>
      <c r="G709" s="254"/>
      <c r="H709" s="254"/>
      <c r="I709" s="254"/>
      <c r="J709" s="254"/>
      <c r="K709" s="254"/>
      <c r="M709" s="3" t="s">
        <v>217</v>
      </c>
      <c r="O709" s="3">
        <f t="shared" si="11"/>
        <v>709</v>
      </c>
    </row>
    <row r="710" spans="1:15" ht="13.15" customHeight="1">
      <c r="B710" s="55"/>
      <c r="C710" s="254"/>
      <c r="D710" s="254"/>
      <c r="E710" s="254"/>
      <c r="F710" s="254"/>
      <c r="G710" s="254"/>
      <c r="H710" s="254"/>
      <c r="I710" s="254"/>
      <c r="J710" s="254"/>
      <c r="K710" s="254"/>
      <c r="M710" s="3" t="s">
        <v>217</v>
      </c>
      <c r="O710" s="3">
        <f t="shared" si="11"/>
        <v>710</v>
      </c>
    </row>
    <row r="711" spans="1:15" ht="13.15" customHeight="1">
      <c r="B711" s="55"/>
      <c r="C711" s="254"/>
      <c r="D711" s="254"/>
      <c r="E711" s="254"/>
      <c r="F711" s="254"/>
      <c r="G711" s="254"/>
      <c r="H711" s="254"/>
      <c r="I711" s="254"/>
      <c r="J711" s="254"/>
      <c r="K711" s="254"/>
      <c r="M711" s="3" t="s">
        <v>217</v>
      </c>
      <c r="O711" s="3">
        <f t="shared" si="11"/>
        <v>711</v>
      </c>
    </row>
    <row r="712" spans="1:15" ht="13.15" customHeight="1">
      <c r="B712" s="3" t="s">
        <v>146</v>
      </c>
      <c r="C712" s="254"/>
      <c r="D712" s="254"/>
      <c r="E712" s="254"/>
      <c r="F712" s="254"/>
      <c r="G712" s="254"/>
      <c r="H712" s="254"/>
      <c r="I712" s="254"/>
      <c r="J712" s="254"/>
      <c r="K712" s="254"/>
      <c r="M712" s="3" t="s">
        <v>217</v>
      </c>
      <c r="O712" s="3">
        <f t="shared" si="11"/>
        <v>712</v>
      </c>
    </row>
    <row r="713" spans="1:15" ht="13.15" customHeight="1">
      <c r="C713" s="254"/>
      <c r="D713" s="254"/>
      <c r="E713" s="254"/>
      <c r="F713" s="254"/>
      <c r="G713" s="254"/>
      <c r="H713" s="254"/>
      <c r="I713" s="254"/>
      <c r="J713" s="254"/>
      <c r="K713" s="254"/>
      <c r="M713" s="3" t="s">
        <v>217</v>
      </c>
      <c r="O713" s="3">
        <f t="shared" si="11"/>
        <v>713</v>
      </c>
    </row>
    <row r="714" spans="1:15" ht="13.15" customHeight="1">
      <c r="C714" s="112"/>
      <c r="D714" s="112"/>
      <c r="E714" s="112"/>
      <c r="F714" s="112"/>
      <c r="G714" s="112"/>
      <c r="H714" s="112"/>
      <c r="I714" s="112"/>
      <c r="J714" s="112"/>
      <c r="K714" s="112"/>
      <c r="M714" s="3" t="s">
        <v>217</v>
      </c>
      <c r="O714" s="3">
        <f t="shared" si="11"/>
        <v>714</v>
      </c>
    </row>
    <row r="715" spans="1:15" ht="13.15" customHeight="1">
      <c r="A715" s="139" t="s">
        <v>401</v>
      </c>
      <c r="B715" s="254" t="s">
        <v>298</v>
      </c>
      <c r="C715" s="254"/>
      <c r="D715" s="254"/>
      <c r="E715" s="254"/>
      <c r="F715" s="254"/>
      <c r="G715" s="254"/>
      <c r="H715" s="254"/>
      <c r="I715" s="254"/>
      <c r="J715" s="254"/>
      <c r="K715" s="254"/>
      <c r="L715" s="3">
        <v>46</v>
      </c>
      <c r="M715" s="3">
        <v>7</v>
      </c>
      <c r="N715" s="3">
        <v>2</v>
      </c>
      <c r="O715" s="3">
        <f t="shared" si="11"/>
        <v>715</v>
      </c>
    </row>
    <row r="716" spans="1:15" ht="13.15" customHeight="1">
      <c r="A716" s="3"/>
      <c r="B716" s="254"/>
      <c r="C716" s="254"/>
      <c r="D716" s="254"/>
      <c r="E716" s="254"/>
      <c r="F716" s="254"/>
      <c r="G716" s="254"/>
      <c r="H716" s="254"/>
      <c r="I716" s="254"/>
      <c r="J716" s="254"/>
      <c r="K716" s="254"/>
      <c r="M716" s="3" t="s">
        <v>217</v>
      </c>
      <c r="O716" s="3">
        <f t="shared" si="11"/>
        <v>716</v>
      </c>
    </row>
    <row r="717" spans="1:15" ht="13.15" customHeight="1">
      <c r="B717" s="154"/>
      <c r="C717" s="154"/>
      <c r="D717" s="154"/>
      <c r="E717" s="154"/>
      <c r="F717" s="154"/>
      <c r="G717" s="154"/>
      <c r="H717" s="154"/>
      <c r="I717" s="154"/>
      <c r="J717" s="154"/>
      <c r="K717" s="154"/>
      <c r="M717" s="3" t="s">
        <v>217</v>
      </c>
      <c r="O717" s="3">
        <f t="shared" si="11"/>
        <v>717</v>
      </c>
    </row>
    <row r="718" spans="1:15" ht="13.15" customHeight="1">
      <c r="B718" s="157" t="s">
        <v>356</v>
      </c>
      <c r="C718" s="254" t="s">
        <v>299</v>
      </c>
      <c r="D718" s="254"/>
      <c r="E718" s="254"/>
      <c r="F718" s="254"/>
      <c r="G718" s="254"/>
      <c r="H718" s="254"/>
      <c r="I718" s="254"/>
      <c r="J718" s="254"/>
      <c r="K718" s="254"/>
      <c r="M718" s="3" t="s">
        <v>217</v>
      </c>
      <c r="O718" s="3">
        <f t="shared" si="11"/>
        <v>718</v>
      </c>
    </row>
    <row r="719" spans="1:15" ht="13.15" customHeight="1">
      <c r="B719" s="55"/>
      <c r="C719" s="254"/>
      <c r="D719" s="254"/>
      <c r="E719" s="254"/>
      <c r="F719" s="254"/>
      <c r="G719" s="254"/>
      <c r="H719" s="254"/>
      <c r="I719" s="254"/>
      <c r="J719" s="254"/>
      <c r="K719" s="254"/>
      <c r="M719" s="3" t="s">
        <v>217</v>
      </c>
      <c r="O719" s="3">
        <f t="shared" si="11"/>
        <v>719</v>
      </c>
    </row>
    <row r="720" spans="1:15" ht="13.15" customHeight="1">
      <c r="B720" s="55"/>
      <c r="C720" s="254"/>
      <c r="D720" s="254"/>
      <c r="E720" s="254"/>
      <c r="F720" s="254"/>
      <c r="G720" s="254"/>
      <c r="H720" s="254"/>
      <c r="I720" s="254"/>
      <c r="J720" s="254"/>
      <c r="K720" s="254"/>
      <c r="M720" s="3" t="s">
        <v>217</v>
      </c>
      <c r="O720" s="3">
        <f t="shared" si="11"/>
        <v>720</v>
      </c>
    </row>
    <row r="721" spans="1:15" ht="13.15" customHeight="1">
      <c r="B721" s="55"/>
      <c r="C721" s="254"/>
      <c r="D721" s="254"/>
      <c r="E721" s="254"/>
      <c r="F721" s="254"/>
      <c r="G721" s="254"/>
      <c r="H721" s="254"/>
      <c r="I721" s="254"/>
      <c r="J721" s="254"/>
      <c r="K721" s="254"/>
      <c r="M721" s="3" t="s">
        <v>217</v>
      </c>
      <c r="O721" s="3">
        <f t="shared" si="11"/>
        <v>721</v>
      </c>
    </row>
    <row r="722" spans="1:15" ht="13.15" customHeight="1">
      <c r="B722" s="274"/>
      <c r="C722" s="274"/>
      <c r="D722" s="274"/>
      <c r="E722" s="274"/>
      <c r="F722" s="274"/>
      <c r="G722" s="274"/>
      <c r="H722" s="274"/>
      <c r="I722" s="274"/>
      <c r="J722" s="274"/>
      <c r="K722" s="274"/>
      <c r="M722" s="3" t="s">
        <v>217</v>
      </c>
      <c r="O722" s="3">
        <f t="shared" si="11"/>
        <v>722</v>
      </c>
    </row>
    <row r="723" spans="1:15" ht="13.15" customHeight="1">
      <c r="A723" s="139" t="s">
        <v>402</v>
      </c>
      <c r="B723" s="254" t="s">
        <v>300</v>
      </c>
      <c r="C723" s="254"/>
      <c r="D723" s="254"/>
      <c r="E723" s="254"/>
      <c r="F723" s="254"/>
      <c r="G723" s="254"/>
      <c r="H723" s="254"/>
      <c r="I723" s="254"/>
      <c r="J723" s="254"/>
      <c r="K723" s="254"/>
      <c r="L723" s="3">
        <v>47</v>
      </c>
      <c r="M723" s="3">
        <v>15</v>
      </c>
      <c r="N723" s="3">
        <v>9</v>
      </c>
      <c r="O723" s="3">
        <f t="shared" si="11"/>
        <v>723</v>
      </c>
    </row>
    <row r="724" spans="1:15" ht="13.15" customHeight="1">
      <c r="B724" s="254"/>
      <c r="C724" s="254"/>
      <c r="D724" s="254"/>
      <c r="E724" s="254"/>
      <c r="F724" s="254"/>
      <c r="G724" s="254"/>
      <c r="H724" s="254"/>
      <c r="I724" s="254"/>
      <c r="J724" s="254"/>
      <c r="K724" s="254"/>
      <c r="M724" s="3" t="s">
        <v>217</v>
      </c>
      <c r="O724" s="3">
        <f t="shared" si="11"/>
        <v>724</v>
      </c>
    </row>
    <row r="725" spans="1:15" ht="13.15" customHeight="1">
      <c r="B725" s="254"/>
      <c r="C725" s="254"/>
      <c r="D725" s="254"/>
      <c r="E725" s="254"/>
      <c r="F725" s="254"/>
      <c r="G725" s="254"/>
      <c r="H725" s="254"/>
      <c r="I725" s="254"/>
      <c r="J725" s="254"/>
      <c r="K725" s="254"/>
      <c r="M725" s="3" t="s">
        <v>217</v>
      </c>
      <c r="O725" s="3">
        <f t="shared" si="11"/>
        <v>725</v>
      </c>
    </row>
    <row r="726" spans="1:15" ht="13.15" customHeight="1">
      <c r="B726" s="254"/>
      <c r="C726" s="254"/>
      <c r="D726" s="254"/>
      <c r="E726" s="254"/>
      <c r="F726" s="254"/>
      <c r="G726" s="254"/>
      <c r="H726" s="254"/>
      <c r="I726" s="254"/>
      <c r="J726" s="254"/>
      <c r="K726" s="254"/>
      <c r="M726" s="3" t="s">
        <v>217</v>
      </c>
      <c r="O726" s="3">
        <f t="shared" si="11"/>
        <v>726</v>
      </c>
    </row>
    <row r="727" spans="1:15" ht="13.15" customHeight="1">
      <c r="B727" s="254"/>
      <c r="C727" s="254"/>
      <c r="D727" s="254"/>
      <c r="E727" s="254"/>
      <c r="F727" s="254"/>
      <c r="G727" s="254"/>
      <c r="H727" s="254"/>
      <c r="I727" s="254"/>
      <c r="J727" s="254"/>
      <c r="K727" s="254"/>
      <c r="M727" s="3" t="s">
        <v>217</v>
      </c>
      <c r="O727" s="3">
        <f t="shared" si="11"/>
        <v>727</v>
      </c>
    </row>
    <row r="728" spans="1:15" ht="13.15" customHeight="1">
      <c r="B728" s="254"/>
      <c r="C728" s="254"/>
      <c r="D728" s="254"/>
      <c r="E728" s="254"/>
      <c r="F728" s="254"/>
      <c r="G728" s="254"/>
      <c r="H728" s="254"/>
      <c r="I728" s="254"/>
      <c r="J728" s="254"/>
      <c r="K728" s="254"/>
      <c r="M728" s="3" t="s">
        <v>217</v>
      </c>
      <c r="O728" s="3">
        <f t="shared" si="11"/>
        <v>728</v>
      </c>
    </row>
    <row r="729" spans="1:15" ht="13.15" customHeight="1">
      <c r="B729" s="254"/>
      <c r="C729" s="254"/>
      <c r="D729" s="254"/>
      <c r="E729" s="254"/>
      <c r="F729" s="254"/>
      <c r="G729" s="254"/>
      <c r="H729" s="254"/>
      <c r="I729" s="254"/>
      <c r="J729" s="254"/>
      <c r="K729" s="254"/>
      <c r="M729" s="3" t="s">
        <v>217</v>
      </c>
      <c r="O729" s="3">
        <f t="shared" si="11"/>
        <v>729</v>
      </c>
    </row>
    <row r="730" spans="1:15" ht="13.15" customHeight="1">
      <c r="B730" s="254"/>
      <c r="C730" s="254"/>
      <c r="D730" s="254"/>
      <c r="E730" s="254"/>
      <c r="F730" s="254"/>
      <c r="G730" s="254"/>
      <c r="H730" s="254"/>
      <c r="I730" s="254"/>
      <c r="J730" s="254"/>
      <c r="K730" s="254"/>
      <c r="M730" s="3" t="s">
        <v>217</v>
      </c>
      <c r="O730" s="3">
        <f t="shared" ref="O730:O793" si="12">ROW(M730)</f>
        <v>730</v>
      </c>
    </row>
    <row r="731" spans="1:15" ht="13.15" customHeight="1">
      <c r="B731" s="254"/>
      <c r="C731" s="254"/>
      <c r="D731" s="254"/>
      <c r="E731" s="254"/>
      <c r="F731" s="254"/>
      <c r="G731" s="254"/>
      <c r="H731" s="254"/>
      <c r="I731" s="254"/>
      <c r="J731" s="254"/>
      <c r="K731" s="254"/>
      <c r="M731" s="3" t="s">
        <v>217</v>
      </c>
      <c r="O731" s="3">
        <f t="shared" si="12"/>
        <v>731</v>
      </c>
    </row>
    <row r="732" spans="1:15" ht="13.15" customHeight="1">
      <c r="B732" s="154"/>
      <c r="C732" s="154"/>
      <c r="D732" s="154"/>
      <c r="E732" s="154"/>
      <c r="F732" s="154"/>
      <c r="G732" s="154"/>
      <c r="H732" s="154"/>
      <c r="I732" s="154"/>
      <c r="J732" s="154"/>
      <c r="K732" s="154"/>
      <c r="M732" s="3" t="s">
        <v>217</v>
      </c>
      <c r="O732" s="3">
        <f t="shared" si="12"/>
        <v>732</v>
      </c>
    </row>
    <row r="733" spans="1:15" ht="13.15" customHeight="1">
      <c r="B733" s="157" t="s">
        <v>356</v>
      </c>
      <c r="C733" s="254" t="s">
        <v>301</v>
      </c>
      <c r="D733" s="254"/>
      <c r="E733" s="254"/>
      <c r="F733" s="254"/>
      <c r="G733" s="254"/>
      <c r="H733" s="254"/>
      <c r="I733" s="254"/>
      <c r="J733" s="254"/>
      <c r="K733" s="254"/>
      <c r="M733" s="3" t="s">
        <v>217</v>
      </c>
      <c r="O733" s="3">
        <f t="shared" si="12"/>
        <v>733</v>
      </c>
    </row>
    <row r="734" spans="1:15" ht="13.15" customHeight="1">
      <c r="C734" s="254"/>
      <c r="D734" s="254"/>
      <c r="E734" s="254"/>
      <c r="F734" s="254"/>
      <c r="G734" s="254"/>
      <c r="H734" s="254"/>
      <c r="I734" s="254"/>
      <c r="J734" s="254"/>
      <c r="K734" s="254"/>
      <c r="M734" s="3" t="s">
        <v>217</v>
      </c>
      <c r="O734" s="3">
        <f t="shared" si="12"/>
        <v>734</v>
      </c>
    </row>
    <row r="735" spans="1:15" ht="13.15" customHeight="1">
      <c r="C735" s="254"/>
      <c r="D735" s="254"/>
      <c r="E735" s="254"/>
      <c r="F735" s="254"/>
      <c r="G735" s="254"/>
      <c r="H735" s="254"/>
      <c r="I735" s="254"/>
      <c r="J735" s="254"/>
      <c r="K735" s="254"/>
      <c r="M735" s="3" t="s">
        <v>217</v>
      </c>
      <c r="O735" s="3">
        <f t="shared" si="12"/>
        <v>735</v>
      </c>
    </row>
    <row r="736" spans="1:15" ht="13.15" customHeight="1">
      <c r="C736" s="254"/>
      <c r="D736" s="254"/>
      <c r="E736" s="254"/>
      <c r="F736" s="254"/>
      <c r="G736" s="254"/>
      <c r="H736" s="254"/>
      <c r="I736" s="254"/>
      <c r="J736" s="254"/>
      <c r="K736" s="254"/>
      <c r="M736" s="3" t="s">
        <v>217</v>
      </c>
      <c r="O736" s="3">
        <f t="shared" si="12"/>
        <v>736</v>
      </c>
    </row>
    <row r="737" spans="1:15" ht="13.15" customHeight="1">
      <c r="C737" s="254"/>
      <c r="D737" s="254"/>
      <c r="E737" s="254"/>
      <c r="F737" s="254"/>
      <c r="G737" s="254"/>
      <c r="H737" s="254"/>
      <c r="I737" s="254"/>
      <c r="J737" s="254"/>
      <c r="K737" s="254"/>
      <c r="M737" s="3" t="s">
        <v>217</v>
      </c>
      <c r="O737" s="3">
        <f t="shared" si="12"/>
        <v>737</v>
      </c>
    </row>
    <row r="738" spans="1:15" ht="13.15" customHeight="1">
      <c r="B738" s="58"/>
      <c r="C738" s="113"/>
      <c r="D738" s="113"/>
      <c r="E738" s="113"/>
      <c r="F738" s="113"/>
      <c r="G738" s="113"/>
      <c r="H738" s="113"/>
      <c r="I738" s="113"/>
      <c r="J738" s="113"/>
      <c r="K738" s="113"/>
      <c r="M738" s="3" t="s">
        <v>217</v>
      </c>
      <c r="O738" s="3">
        <f t="shared" si="12"/>
        <v>738</v>
      </c>
    </row>
    <row r="739" spans="1:15" ht="13.15" customHeight="1">
      <c r="A739" s="139" t="s">
        <v>403</v>
      </c>
      <c r="B739" s="254" t="s">
        <v>302</v>
      </c>
      <c r="C739" s="254"/>
      <c r="D739" s="254"/>
      <c r="E739" s="254"/>
      <c r="F739" s="254"/>
      <c r="G739" s="254"/>
      <c r="H739" s="254"/>
      <c r="I739" s="254"/>
      <c r="J739" s="254"/>
      <c r="K739" s="254"/>
      <c r="L739" s="3">
        <v>48</v>
      </c>
      <c r="M739" s="3">
        <v>10</v>
      </c>
      <c r="N739" s="3">
        <v>5</v>
      </c>
      <c r="O739" s="3">
        <f t="shared" si="12"/>
        <v>739</v>
      </c>
    </row>
    <row r="740" spans="1:15" ht="13.15" customHeight="1">
      <c r="B740" s="254"/>
      <c r="C740" s="254"/>
      <c r="D740" s="254"/>
      <c r="E740" s="254"/>
      <c r="F740" s="254"/>
      <c r="G740" s="254"/>
      <c r="H740" s="254"/>
      <c r="I740" s="254"/>
      <c r="J740" s="254"/>
      <c r="K740" s="254"/>
      <c r="M740" s="3" t="s">
        <v>217</v>
      </c>
      <c r="O740" s="3">
        <f t="shared" si="12"/>
        <v>740</v>
      </c>
    </row>
    <row r="741" spans="1:15" ht="13.15" customHeight="1">
      <c r="B741" s="254"/>
      <c r="C741" s="254"/>
      <c r="D741" s="254"/>
      <c r="E741" s="254"/>
      <c r="F741" s="254"/>
      <c r="G741" s="254"/>
      <c r="H741" s="254"/>
      <c r="I741" s="254"/>
      <c r="J741" s="254"/>
      <c r="K741" s="254"/>
      <c r="M741" s="3" t="s">
        <v>217</v>
      </c>
      <c r="O741" s="3">
        <f t="shared" si="12"/>
        <v>741</v>
      </c>
    </row>
    <row r="742" spans="1:15" ht="13.15" customHeight="1">
      <c r="B742" s="254"/>
      <c r="C742" s="254"/>
      <c r="D742" s="254"/>
      <c r="E742" s="254"/>
      <c r="F742" s="254"/>
      <c r="G742" s="254"/>
      <c r="H742" s="254"/>
      <c r="I742" s="254"/>
      <c r="J742" s="254"/>
      <c r="K742" s="254"/>
      <c r="M742" s="3" t="s">
        <v>217</v>
      </c>
      <c r="O742" s="3">
        <f t="shared" si="12"/>
        <v>742</v>
      </c>
    </row>
    <row r="743" spans="1:15" ht="13.15" customHeight="1">
      <c r="B743" s="254"/>
      <c r="C743" s="254"/>
      <c r="D743" s="254"/>
      <c r="E743" s="254"/>
      <c r="F743" s="254"/>
      <c r="G743" s="254"/>
      <c r="H743" s="254"/>
      <c r="I743" s="254"/>
      <c r="J743" s="254"/>
      <c r="K743" s="254"/>
      <c r="M743" s="3" t="s">
        <v>217</v>
      </c>
      <c r="O743" s="3">
        <f t="shared" si="12"/>
        <v>743</v>
      </c>
    </row>
    <row r="744" spans="1:15" ht="13.15" customHeight="1">
      <c r="B744" s="142"/>
      <c r="C744" s="142"/>
      <c r="D744" s="142"/>
      <c r="E744" s="142"/>
      <c r="F744" s="142"/>
      <c r="G744" s="142"/>
      <c r="H744" s="142"/>
      <c r="I744" s="142"/>
      <c r="J744" s="142"/>
      <c r="K744" s="142"/>
      <c r="M744" s="3" t="s">
        <v>217</v>
      </c>
      <c r="O744" s="3">
        <f t="shared" si="12"/>
        <v>744</v>
      </c>
    </row>
    <row r="745" spans="1:15" ht="13.15" customHeight="1">
      <c r="B745" s="157" t="s">
        <v>356</v>
      </c>
      <c r="C745" s="254" t="s">
        <v>303</v>
      </c>
      <c r="D745" s="254"/>
      <c r="E745" s="254"/>
      <c r="F745" s="254"/>
      <c r="G745" s="254"/>
      <c r="H745" s="254"/>
      <c r="I745" s="254"/>
      <c r="J745" s="254"/>
      <c r="K745" s="254"/>
      <c r="M745" s="3" t="s">
        <v>217</v>
      </c>
      <c r="O745" s="3">
        <f t="shared" si="12"/>
        <v>745</v>
      </c>
    </row>
    <row r="746" spans="1:15" ht="13.15" customHeight="1">
      <c r="B746" s="55"/>
      <c r="C746" s="254"/>
      <c r="D746" s="254"/>
      <c r="E746" s="254"/>
      <c r="F746" s="254"/>
      <c r="G746" s="254"/>
      <c r="H746" s="254"/>
      <c r="I746" s="254"/>
      <c r="J746" s="254"/>
      <c r="K746" s="254"/>
      <c r="M746" s="3" t="s">
        <v>217</v>
      </c>
      <c r="O746" s="3">
        <f t="shared" si="12"/>
        <v>746</v>
      </c>
    </row>
    <row r="747" spans="1:15" ht="13.15" customHeight="1">
      <c r="B747" s="55"/>
      <c r="C747" s="254"/>
      <c r="D747" s="254"/>
      <c r="E747" s="254"/>
      <c r="F747" s="254"/>
      <c r="G747" s="254"/>
      <c r="H747" s="254"/>
      <c r="I747" s="254"/>
      <c r="J747" s="254"/>
      <c r="K747" s="254"/>
      <c r="M747" s="3" t="s">
        <v>217</v>
      </c>
      <c r="O747" s="3">
        <f t="shared" si="12"/>
        <v>747</v>
      </c>
    </row>
    <row r="748" spans="1:15" ht="13.15" customHeight="1">
      <c r="B748" s="55"/>
      <c r="C748" s="254"/>
      <c r="D748" s="254"/>
      <c r="E748" s="254"/>
      <c r="F748" s="254"/>
      <c r="G748" s="254"/>
      <c r="H748" s="254"/>
      <c r="I748" s="254"/>
      <c r="J748" s="254"/>
      <c r="K748" s="254"/>
      <c r="M748" s="3" t="s">
        <v>217</v>
      </c>
      <c r="O748" s="3">
        <f t="shared" si="12"/>
        <v>748</v>
      </c>
    </row>
    <row r="749" spans="1:15" ht="13.15" customHeight="1">
      <c r="B749" s="55"/>
      <c r="C749" s="142"/>
      <c r="D749" s="142"/>
      <c r="E749" s="142"/>
      <c r="F749" s="142"/>
      <c r="G749" s="142"/>
      <c r="H749" s="142"/>
      <c r="I749" s="142"/>
      <c r="J749" s="142"/>
      <c r="K749" s="142"/>
      <c r="M749" s="3" t="s">
        <v>217</v>
      </c>
      <c r="O749" s="3">
        <f t="shared" si="12"/>
        <v>749</v>
      </c>
    </row>
    <row r="750" spans="1:15" ht="13.15" customHeight="1">
      <c r="A750" s="139" t="s">
        <v>404</v>
      </c>
      <c r="B750" s="258" t="s">
        <v>304</v>
      </c>
      <c r="C750" s="258"/>
      <c r="D750" s="258"/>
      <c r="E750" s="258"/>
      <c r="F750" s="258"/>
      <c r="G750" s="258"/>
      <c r="H750" s="258"/>
      <c r="I750" s="258"/>
      <c r="J750" s="258"/>
      <c r="K750" s="258"/>
      <c r="L750" s="3">
        <v>49</v>
      </c>
      <c r="M750" s="3">
        <v>14</v>
      </c>
      <c r="N750" s="3">
        <v>8</v>
      </c>
      <c r="O750" s="3">
        <f t="shared" si="12"/>
        <v>750</v>
      </c>
    </row>
    <row r="751" spans="1:15" ht="13.15" customHeight="1">
      <c r="B751" s="258"/>
      <c r="C751" s="258"/>
      <c r="D751" s="258"/>
      <c r="E751" s="258"/>
      <c r="F751" s="258"/>
      <c r="G751" s="258"/>
      <c r="H751" s="258"/>
      <c r="I751" s="258"/>
      <c r="J751" s="258"/>
      <c r="K751" s="258"/>
      <c r="M751" s="3" t="s">
        <v>217</v>
      </c>
      <c r="O751" s="3">
        <f t="shared" si="12"/>
        <v>751</v>
      </c>
    </row>
    <row r="752" spans="1:15" ht="13.15" customHeight="1">
      <c r="B752" s="258"/>
      <c r="C752" s="258"/>
      <c r="D752" s="258"/>
      <c r="E752" s="258"/>
      <c r="F752" s="258"/>
      <c r="G752" s="258"/>
      <c r="H752" s="258"/>
      <c r="I752" s="258"/>
      <c r="J752" s="258"/>
      <c r="K752" s="258"/>
      <c r="M752" s="3" t="s">
        <v>217</v>
      </c>
      <c r="O752" s="3">
        <f t="shared" si="12"/>
        <v>752</v>
      </c>
    </row>
    <row r="753" spans="1:15" ht="13.15" customHeight="1">
      <c r="B753" s="258"/>
      <c r="C753" s="258"/>
      <c r="D753" s="258"/>
      <c r="E753" s="258"/>
      <c r="F753" s="258"/>
      <c r="G753" s="258"/>
      <c r="H753" s="258"/>
      <c r="I753" s="258"/>
      <c r="J753" s="258"/>
      <c r="K753" s="258"/>
      <c r="M753" s="3" t="s">
        <v>217</v>
      </c>
      <c r="O753" s="3">
        <f t="shared" si="12"/>
        <v>753</v>
      </c>
    </row>
    <row r="754" spans="1:15" ht="13.15" customHeight="1">
      <c r="B754" s="258"/>
      <c r="C754" s="258"/>
      <c r="D754" s="258"/>
      <c r="E754" s="258"/>
      <c r="F754" s="258"/>
      <c r="G754" s="258"/>
      <c r="H754" s="258"/>
      <c r="I754" s="258"/>
      <c r="J754" s="258"/>
      <c r="K754" s="258"/>
      <c r="M754" s="3" t="s">
        <v>217</v>
      </c>
      <c r="O754" s="3">
        <f t="shared" si="12"/>
        <v>754</v>
      </c>
    </row>
    <row r="755" spans="1:15" ht="13.15" customHeight="1">
      <c r="B755" s="258"/>
      <c r="C755" s="258"/>
      <c r="D755" s="258"/>
      <c r="E755" s="258"/>
      <c r="F755" s="258"/>
      <c r="G755" s="258"/>
      <c r="H755" s="258"/>
      <c r="I755" s="258"/>
      <c r="J755" s="258"/>
      <c r="K755" s="258"/>
      <c r="M755" s="3" t="s">
        <v>217</v>
      </c>
      <c r="O755" s="3">
        <f t="shared" si="12"/>
        <v>755</v>
      </c>
    </row>
    <row r="756" spans="1:15" ht="13.15" customHeight="1">
      <c r="B756" s="258"/>
      <c r="C756" s="258"/>
      <c r="D756" s="258"/>
      <c r="E756" s="258"/>
      <c r="F756" s="258"/>
      <c r="G756" s="258"/>
      <c r="H756" s="258"/>
      <c r="I756" s="258"/>
      <c r="J756" s="258"/>
      <c r="K756" s="258"/>
      <c r="M756" s="3" t="s">
        <v>217</v>
      </c>
      <c r="O756" s="3">
        <f t="shared" si="12"/>
        <v>756</v>
      </c>
    </row>
    <row r="757" spans="1:15" ht="13.15" customHeight="1">
      <c r="B757" s="258"/>
      <c r="C757" s="258"/>
      <c r="D757" s="258"/>
      <c r="E757" s="258"/>
      <c r="F757" s="258"/>
      <c r="G757" s="258"/>
      <c r="H757" s="258"/>
      <c r="I757" s="258"/>
      <c r="J757" s="258"/>
      <c r="K757" s="258"/>
      <c r="M757" s="3" t="s">
        <v>217</v>
      </c>
      <c r="O757" s="3">
        <f t="shared" si="12"/>
        <v>757</v>
      </c>
    </row>
    <row r="758" spans="1:15" ht="13.15" customHeight="1">
      <c r="B758" s="143"/>
      <c r="C758" s="143"/>
      <c r="D758" s="143"/>
      <c r="E758" s="143"/>
      <c r="F758" s="143"/>
      <c r="G758" s="143"/>
      <c r="H758" s="143"/>
      <c r="I758" s="143"/>
      <c r="J758" s="143"/>
      <c r="K758" s="143"/>
      <c r="M758" s="3" t="s">
        <v>217</v>
      </c>
      <c r="O758" s="3">
        <f t="shared" si="12"/>
        <v>758</v>
      </c>
    </row>
    <row r="759" spans="1:15" ht="13.15" customHeight="1">
      <c r="B759" s="157" t="s">
        <v>356</v>
      </c>
      <c r="C759" s="258" t="s">
        <v>305</v>
      </c>
      <c r="D759" s="258"/>
      <c r="E759" s="258"/>
      <c r="F759" s="258"/>
      <c r="G759" s="258"/>
      <c r="H759" s="258"/>
      <c r="I759" s="258"/>
      <c r="J759" s="258"/>
      <c r="K759" s="258"/>
      <c r="M759" s="3" t="s">
        <v>217</v>
      </c>
      <c r="O759" s="3">
        <f t="shared" si="12"/>
        <v>759</v>
      </c>
    </row>
    <row r="760" spans="1:15" ht="13.15" customHeight="1">
      <c r="B760" s="143"/>
      <c r="C760" s="258"/>
      <c r="D760" s="258"/>
      <c r="E760" s="258"/>
      <c r="F760" s="258"/>
      <c r="G760" s="258"/>
      <c r="H760" s="258"/>
      <c r="I760" s="258"/>
      <c r="J760" s="258"/>
      <c r="K760" s="258"/>
      <c r="M760" s="3" t="s">
        <v>217</v>
      </c>
      <c r="O760" s="3">
        <f t="shared" si="12"/>
        <v>760</v>
      </c>
    </row>
    <row r="761" spans="1:15" ht="13.15" customHeight="1">
      <c r="B761" s="143"/>
      <c r="C761" s="258"/>
      <c r="D761" s="258"/>
      <c r="E761" s="258"/>
      <c r="F761" s="258"/>
      <c r="G761" s="258"/>
      <c r="H761" s="258"/>
      <c r="I761" s="258"/>
      <c r="J761" s="258"/>
      <c r="K761" s="258"/>
      <c r="M761" s="3" t="s">
        <v>217</v>
      </c>
      <c r="O761" s="3">
        <f t="shared" si="12"/>
        <v>761</v>
      </c>
    </row>
    <row r="762" spans="1:15" ht="13.15" customHeight="1">
      <c r="B762" s="143"/>
      <c r="C762" s="258"/>
      <c r="D762" s="258"/>
      <c r="E762" s="258"/>
      <c r="F762" s="258"/>
      <c r="G762" s="258"/>
      <c r="H762" s="258"/>
      <c r="I762" s="258"/>
      <c r="J762" s="258"/>
      <c r="K762" s="258"/>
      <c r="M762" s="3" t="s">
        <v>217</v>
      </c>
      <c r="O762" s="3">
        <f t="shared" si="12"/>
        <v>762</v>
      </c>
    </row>
    <row r="763" spans="1:15" ht="13.15" customHeight="1">
      <c r="B763" s="143"/>
      <c r="C763" s="258"/>
      <c r="D763" s="258"/>
      <c r="E763" s="258"/>
      <c r="F763" s="258"/>
      <c r="G763" s="258"/>
      <c r="H763" s="258"/>
      <c r="I763" s="258"/>
      <c r="J763" s="258"/>
      <c r="K763" s="258"/>
      <c r="M763" s="3" t="s">
        <v>217</v>
      </c>
      <c r="O763" s="3">
        <f t="shared" si="12"/>
        <v>763</v>
      </c>
    </row>
    <row r="764" spans="1:15" ht="13.15" customHeight="1">
      <c r="B764" s="143"/>
      <c r="C764" s="143"/>
      <c r="D764" s="143"/>
      <c r="E764" s="143"/>
      <c r="F764" s="143"/>
      <c r="G764" s="143"/>
      <c r="H764" s="143"/>
      <c r="I764" s="143"/>
      <c r="J764" s="143"/>
      <c r="K764" s="143"/>
      <c r="M764" s="3" t="s">
        <v>217</v>
      </c>
      <c r="O764" s="3">
        <f t="shared" si="12"/>
        <v>764</v>
      </c>
    </row>
    <row r="765" spans="1:15" ht="13.15" customHeight="1">
      <c r="A765" s="139" t="s">
        <v>405</v>
      </c>
      <c r="B765" s="254" t="s">
        <v>306</v>
      </c>
      <c r="C765" s="254"/>
      <c r="D765" s="254"/>
      <c r="E765" s="254"/>
      <c r="F765" s="254"/>
      <c r="G765" s="254"/>
      <c r="H765" s="254"/>
      <c r="I765" s="254"/>
      <c r="J765" s="254"/>
      <c r="K765" s="254"/>
      <c r="L765" s="3">
        <v>50</v>
      </c>
      <c r="M765" s="3">
        <v>11</v>
      </c>
      <c r="N765" s="3">
        <v>7</v>
      </c>
      <c r="O765" s="3">
        <f t="shared" si="12"/>
        <v>765</v>
      </c>
    </row>
    <row r="766" spans="1:15" ht="13.15" customHeight="1">
      <c r="B766" s="254"/>
      <c r="C766" s="254"/>
      <c r="D766" s="254"/>
      <c r="E766" s="254"/>
      <c r="F766" s="254"/>
      <c r="G766" s="254"/>
      <c r="H766" s="254"/>
      <c r="I766" s="254"/>
      <c r="J766" s="254"/>
      <c r="K766" s="254"/>
      <c r="M766" s="3" t="s">
        <v>217</v>
      </c>
      <c r="O766" s="3">
        <f t="shared" si="12"/>
        <v>766</v>
      </c>
    </row>
    <row r="767" spans="1:15" ht="13.15" customHeight="1">
      <c r="B767" s="254"/>
      <c r="C767" s="254"/>
      <c r="D767" s="254"/>
      <c r="E767" s="254"/>
      <c r="F767" s="254"/>
      <c r="G767" s="254"/>
      <c r="H767" s="254"/>
      <c r="I767" s="254"/>
      <c r="J767" s="254"/>
      <c r="K767" s="254"/>
      <c r="M767" s="3" t="s">
        <v>217</v>
      </c>
      <c r="O767" s="3">
        <f t="shared" si="12"/>
        <v>767</v>
      </c>
    </row>
    <row r="768" spans="1:15" ht="13.15" customHeight="1">
      <c r="B768" s="254"/>
      <c r="C768" s="254"/>
      <c r="D768" s="254"/>
      <c r="E768" s="254"/>
      <c r="F768" s="254"/>
      <c r="G768" s="254"/>
      <c r="H768" s="254"/>
      <c r="I768" s="254"/>
      <c r="J768" s="254"/>
      <c r="K768" s="254"/>
      <c r="O768" s="3">
        <f t="shared" si="12"/>
        <v>768</v>
      </c>
    </row>
    <row r="769" spans="1:17" ht="13.15" customHeight="1">
      <c r="B769" s="254"/>
      <c r="C769" s="254"/>
      <c r="D769" s="254"/>
      <c r="E769" s="254"/>
      <c r="F769" s="254"/>
      <c r="G769" s="254"/>
      <c r="H769" s="254"/>
      <c r="I769" s="254"/>
      <c r="J769" s="254"/>
      <c r="K769" s="254"/>
      <c r="M769" s="3" t="s">
        <v>217</v>
      </c>
      <c r="O769" s="3">
        <f t="shared" si="12"/>
        <v>769</v>
      </c>
    </row>
    <row r="770" spans="1:17" ht="13.15" customHeight="1">
      <c r="B770" s="254"/>
      <c r="C770" s="254"/>
      <c r="D770" s="254"/>
      <c r="E770" s="254"/>
      <c r="F770" s="254"/>
      <c r="G770" s="254"/>
      <c r="H770" s="254"/>
      <c r="I770" s="254"/>
      <c r="J770" s="254"/>
      <c r="K770" s="254"/>
      <c r="M770" s="3" t="s">
        <v>217</v>
      </c>
      <c r="O770" s="3">
        <f t="shared" si="12"/>
        <v>770</v>
      </c>
    </row>
    <row r="771" spans="1:17" ht="13.15" customHeight="1">
      <c r="B771" s="254"/>
      <c r="C771" s="254"/>
      <c r="D771" s="254"/>
      <c r="E771" s="254"/>
      <c r="F771" s="254"/>
      <c r="G771" s="254"/>
      <c r="H771" s="254"/>
      <c r="I771" s="254"/>
      <c r="J771" s="254"/>
      <c r="K771" s="254"/>
      <c r="M771" s="3" t="s">
        <v>217</v>
      </c>
      <c r="O771" s="3">
        <f t="shared" si="12"/>
        <v>771</v>
      </c>
    </row>
    <row r="772" spans="1:17" ht="13.15" customHeight="1">
      <c r="B772" s="142"/>
      <c r="C772" s="142"/>
      <c r="D772" s="142"/>
      <c r="E772" s="142"/>
      <c r="F772" s="142"/>
      <c r="G772" s="142"/>
      <c r="H772" s="142"/>
      <c r="I772" s="142"/>
      <c r="J772" s="142"/>
      <c r="K772" s="142"/>
      <c r="M772" s="3" t="s">
        <v>217</v>
      </c>
      <c r="O772" s="3">
        <f t="shared" si="12"/>
        <v>772</v>
      </c>
    </row>
    <row r="773" spans="1:17" ht="13.15" customHeight="1">
      <c r="B773" s="157" t="s">
        <v>356</v>
      </c>
      <c r="C773" s="254" t="s">
        <v>200</v>
      </c>
      <c r="D773" s="254"/>
      <c r="E773" s="254"/>
      <c r="F773" s="254"/>
      <c r="G773" s="254"/>
      <c r="H773" s="254"/>
      <c r="I773" s="254"/>
      <c r="J773" s="254"/>
      <c r="K773" s="254"/>
      <c r="M773" s="3" t="s">
        <v>217</v>
      </c>
      <c r="O773" s="3">
        <f t="shared" si="12"/>
        <v>773</v>
      </c>
    </row>
    <row r="774" spans="1:17" ht="13.15" customHeight="1">
      <c r="B774" s="143"/>
      <c r="C774" s="254"/>
      <c r="D774" s="254"/>
      <c r="E774" s="254"/>
      <c r="F774" s="254"/>
      <c r="G774" s="254"/>
      <c r="H774" s="254"/>
      <c r="I774" s="254"/>
      <c r="J774" s="254"/>
      <c r="K774" s="254"/>
      <c r="M774" s="3" t="s">
        <v>217</v>
      </c>
      <c r="O774" s="3">
        <f t="shared" si="12"/>
        <v>774</v>
      </c>
    </row>
    <row r="775" spans="1:17" ht="13.15" customHeight="1">
      <c r="B775" s="143"/>
      <c r="C775" s="254"/>
      <c r="D775" s="254"/>
      <c r="E775" s="254"/>
      <c r="F775" s="254"/>
      <c r="G775" s="254"/>
      <c r="H775" s="254"/>
      <c r="I775" s="254"/>
      <c r="J775" s="254"/>
      <c r="K775" s="254"/>
      <c r="M775" s="3" t="s">
        <v>217</v>
      </c>
      <c r="O775" s="3">
        <f t="shared" si="12"/>
        <v>775</v>
      </c>
    </row>
    <row r="776" spans="1:17" ht="13.15" customHeight="1">
      <c r="B776" s="142"/>
      <c r="C776" s="142"/>
      <c r="D776" s="142"/>
      <c r="E776" s="142"/>
      <c r="F776" s="142"/>
      <c r="G776" s="142"/>
      <c r="H776" s="142"/>
      <c r="I776" s="142"/>
      <c r="J776" s="142"/>
      <c r="K776" s="142"/>
      <c r="M776" s="3" t="s">
        <v>217</v>
      </c>
      <c r="O776" s="3">
        <f t="shared" si="12"/>
        <v>776</v>
      </c>
    </row>
    <row r="777" spans="1:17" s="58" customFormat="1" ht="13.15" customHeight="1">
      <c r="A777" s="139" t="s">
        <v>406</v>
      </c>
      <c r="B777" s="254" t="s">
        <v>307</v>
      </c>
      <c r="C777" s="254"/>
      <c r="D777" s="254"/>
      <c r="E777" s="254"/>
      <c r="F777" s="254"/>
      <c r="G777" s="254"/>
      <c r="H777" s="254"/>
      <c r="I777" s="254"/>
      <c r="J777" s="254"/>
      <c r="K777" s="254"/>
      <c r="L777" s="3">
        <v>51</v>
      </c>
      <c r="M777" s="58">
        <v>6</v>
      </c>
      <c r="N777" s="58">
        <v>3</v>
      </c>
      <c r="O777" s="3">
        <f t="shared" si="12"/>
        <v>777</v>
      </c>
      <c r="P777" s="3"/>
      <c r="Q777" s="3"/>
    </row>
    <row r="778" spans="1:17" s="58" customFormat="1" ht="13.15" customHeight="1">
      <c r="A778" s="139"/>
      <c r="B778" s="254"/>
      <c r="C778" s="254"/>
      <c r="D778" s="254"/>
      <c r="E778" s="254"/>
      <c r="F778" s="254"/>
      <c r="G778" s="254"/>
      <c r="H778" s="254"/>
      <c r="I778" s="254"/>
      <c r="J778" s="254"/>
      <c r="K778" s="254"/>
      <c r="M778" s="58" t="s">
        <v>217</v>
      </c>
      <c r="O778" s="3">
        <f t="shared" si="12"/>
        <v>778</v>
      </c>
      <c r="P778" s="3"/>
      <c r="Q778" s="3"/>
    </row>
    <row r="779" spans="1:17" s="58" customFormat="1" ht="13.15" customHeight="1">
      <c r="A779" s="139"/>
      <c r="B779" s="254"/>
      <c r="C779" s="254"/>
      <c r="D779" s="254"/>
      <c r="E779" s="254"/>
      <c r="F779" s="254"/>
      <c r="G779" s="254"/>
      <c r="H779" s="254"/>
      <c r="I779" s="254"/>
      <c r="J779" s="254"/>
      <c r="K779" s="254"/>
      <c r="M779" s="58" t="s">
        <v>217</v>
      </c>
      <c r="O779" s="3">
        <f t="shared" si="12"/>
        <v>779</v>
      </c>
      <c r="P779" s="3"/>
      <c r="Q779" s="3"/>
    </row>
    <row r="780" spans="1:17" s="58" customFormat="1" ht="13.15" customHeight="1">
      <c r="A780" s="139"/>
      <c r="B780" s="142"/>
      <c r="C780" s="142"/>
      <c r="D780" s="142"/>
      <c r="E780" s="142"/>
      <c r="F780" s="142"/>
      <c r="G780" s="142"/>
      <c r="H780" s="142"/>
      <c r="I780" s="142"/>
      <c r="J780" s="142"/>
      <c r="K780" s="142"/>
      <c r="M780" s="58" t="s">
        <v>217</v>
      </c>
      <c r="O780" s="3">
        <f t="shared" si="12"/>
        <v>780</v>
      </c>
      <c r="P780" s="3"/>
      <c r="Q780" s="3"/>
    </row>
    <row r="781" spans="1:17" s="58" customFormat="1" ht="13.15" customHeight="1">
      <c r="A781" s="139"/>
      <c r="B781" s="157" t="s">
        <v>356</v>
      </c>
      <c r="C781" s="254" t="s">
        <v>201</v>
      </c>
      <c r="D781" s="254"/>
      <c r="E781" s="254"/>
      <c r="F781" s="254"/>
      <c r="G781" s="254"/>
      <c r="H781" s="254"/>
      <c r="I781" s="254"/>
      <c r="J781" s="254"/>
      <c r="K781" s="254"/>
      <c r="M781" s="58" t="s">
        <v>217</v>
      </c>
      <c r="O781" s="3">
        <f t="shared" si="12"/>
        <v>781</v>
      </c>
      <c r="P781" s="3"/>
      <c r="Q781" s="3"/>
    </row>
    <row r="782" spans="1:17" s="58" customFormat="1" ht="13.15" customHeight="1">
      <c r="A782" s="139"/>
      <c r="B782" s="3"/>
      <c r="C782" s="254"/>
      <c r="D782" s="254"/>
      <c r="E782" s="254"/>
      <c r="F782" s="254"/>
      <c r="G782" s="254"/>
      <c r="H782" s="254"/>
      <c r="I782" s="254"/>
      <c r="J782" s="254"/>
      <c r="K782" s="254"/>
      <c r="M782" s="58" t="s">
        <v>217</v>
      </c>
      <c r="O782" s="3">
        <f t="shared" si="12"/>
        <v>782</v>
      </c>
      <c r="P782" s="3"/>
      <c r="Q782" s="3"/>
    </row>
    <row r="783" spans="1:17" ht="13.15" customHeight="1">
      <c r="A783" s="3"/>
      <c r="L783" s="58"/>
      <c r="M783" s="3" t="s">
        <v>217</v>
      </c>
      <c r="O783" s="3">
        <f t="shared" si="12"/>
        <v>783</v>
      </c>
    </row>
    <row r="784" spans="1:17" s="58" customFormat="1" ht="13.15" customHeight="1">
      <c r="A784" s="139" t="s">
        <v>407</v>
      </c>
      <c r="B784" s="276" t="s">
        <v>438</v>
      </c>
      <c r="C784" s="276"/>
      <c r="D784" s="276"/>
      <c r="E784" s="276"/>
      <c r="F784" s="276"/>
      <c r="G784" s="276"/>
      <c r="H784" s="276"/>
      <c r="I784" s="276"/>
      <c r="J784" s="276"/>
      <c r="K784" s="276"/>
      <c r="L784" s="58">
        <v>52</v>
      </c>
      <c r="M784" s="58">
        <v>20</v>
      </c>
      <c r="N784" s="58">
        <v>13</v>
      </c>
      <c r="O784" s="3">
        <f t="shared" si="12"/>
        <v>784</v>
      </c>
      <c r="P784" s="3"/>
    </row>
    <row r="785" spans="1:16" s="58" customFormat="1" ht="13.15" customHeight="1">
      <c r="A785" s="139"/>
      <c r="B785" s="276"/>
      <c r="C785" s="276"/>
      <c r="D785" s="276"/>
      <c r="E785" s="276"/>
      <c r="F785" s="276"/>
      <c r="G785" s="276"/>
      <c r="H785" s="276"/>
      <c r="I785" s="276"/>
      <c r="J785" s="276"/>
      <c r="K785" s="276"/>
      <c r="O785" s="3">
        <f t="shared" si="12"/>
        <v>785</v>
      </c>
      <c r="P785" s="3"/>
    </row>
    <row r="786" spans="1:16" s="58" customFormat="1" ht="13.15" customHeight="1">
      <c r="A786" s="139"/>
      <c r="B786" s="276"/>
      <c r="C786" s="276"/>
      <c r="D786" s="276"/>
      <c r="E786" s="276"/>
      <c r="F786" s="276"/>
      <c r="G786" s="276"/>
      <c r="H786" s="276"/>
      <c r="I786" s="276"/>
      <c r="J786" s="276"/>
      <c r="K786" s="276"/>
      <c r="O786" s="3">
        <f t="shared" si="12"/>
        <v>786</v>
      </c>
      <c r="P786" s="3"/>
    </row>
    <row r="787" spans="1:16" s="58" customFormat="1" ht="13.15" customHeight="1">
      <c r="A787" s="139"/>
      <c r="B787" s="276"/>
      <c r="C787" s="276"/>
      <c r="D787" s="276"/>
      <c r="E787" s="276"/>
      <c r="F787" s="276"/>
      <c r="G787" s="276"/>
      <c r="H787" s="276"/>
      <c r="I787" s="276"/>
      <c r="J787" s="276"/>
      <c r="K787" s="276"/>
      <c r="O787" s="3">
        <f t="shared" si="12"/>
        <v>787</v>
      </c>
      <c r="P787" s="3"/>
    </row>
    <row r="788" spans="1:16" s="58" customFormat="1" ht="13.15" customHeight="1">
      <c r="A788" s="139"/>
      <c r="B788" s="276"/>
      <c r="C788" s="276"/>
      <c r="D788" s="276"/>
      <c r="E788" s="276"/>
      <c r="F788" s="276"/>
      <c r="G788" s="276"/>
      <c r="H788" s="276"/>
      <c r="I788" s="276"/>
      <c r="J788" s="276"/>
      <c r="K788" s="276"/>
      <c r="O788" s="3">
        <f t="shared" si="12"/>
        <v>788</v>
      </c>
      <c r="P788" s="3"/>
    </row>
    <row r="789" spans="1:16" s="58" customFormat="1" ht="13.15" customHeight="1">
      <c r="A789" s="139"/>
      <c r="B789" s="276"/>
      <c r="C789" s="276"/>
      <c r="D789" s="276"/>
      <c r="E789" s="276"/>
      <c r="F789" s="276"/>
      <c r="G789" s="276"/>
      <c r="H789" s="276"/>
      <c r="I789" s="276"/>
      <c r="J789" s="276"/>
      <c r="K789" s="276"/>
      <c r="O789" s="3">
        <f t="shared" si="12"/>
        <v>789</v>
      </c>
      <c r="P789" s="3"/>
    </row>
    <row r="790" spans="1:16" s="58" customFormat="1" ht="13.15" customHeight="1">
      <c r="A790" s="139"/>
      <c r="B790" s="276"/>
      <c r="C790" s="276"/>
      <c r="D790" s="276"/>
      <c r="E790" s="276"/>
      <c r="F790" s="276"/>
      <c r="G790" s="276"/>
      <c r="H790" s="276"/>
      <c r="I790" s="276"/>
      <c r="J790" s="276"/>
      <c r="K790" s="276"/>
      <c r="O790" s="3">
        <f t="shared" si="12"/>
        <v>790</v>
      </c>
      <c r="P790" s="3"/>
    </row>
    <row r="791" spans="1:16" s="58" customFormat="1" ht="13.15" customHeight="1">
      <c r="A791" s="139"/>
      <c r="B791" s="276"/>
      <c r="C791" s="276"/>
      <c r="D791" s="276"/>
      <c r="E791" s="276"/>
      <c r="F791" s="276"/>
      <c r="G791" s="276"/>
      <c r="H791" s="276"/>
      <c r="I791" s="276"/>
      <c r="J791" s="276"/>
      <c r="K791" s="276"/>
      <c r="O791" s="3">
        <f t="shared" si="12"/>
        <v>791</v>
      </c>
      <c r="P791" s="3"/>
    </row>
    <row r="792" spans="1:16" s="58" customFormat="1" ht="13.15" customHeight="1">
      <c r="A792" s="139"/>
      <c r="B792" s="276"/>
      <c r="C792" s="276"/>
      <c r="D792" s="276"/>
      <c r="E792" s="276"/>
      <c r="F792" s="276"/>
      <c r="G792" s="276"/>
      <c r="H792" s="276"/>
      <c r="I792" s="276"/>
      <c r="J792" s="276"/>
      <c r="K792" s="276"/>
      <c r="O792" s="3">
        <f t="shared" si="12"/>
        <v>792</v>
      </c>
      <c r="P792" s="3"/>
    </row>
    <row r="793" spans="1:16" s="58" customFormat="1" ht="13.15" customHeight="1">
      <c r="A793" s="139"/>
      <c r="B793" s="276"/>
      <c r="C793" s="276"/>
      <c r="D793" s="276"/>
      <c r="E793" s="276"/>
      <c r="F793" s="276"/>
      <c r="G793" s="276"/>
      <c r="H793" s="276"/>
      <c r="I793" s="276"/>
      <c r="J793" s="276"/>
      <c r="K793" s="276"/>
      <c r="O793" s="3">
        <f t="shared" si="12"/>
        <v>793</v>
      </c>
      <c r="P793" s="3"/>
    </row>
    <row r="794" spans="1:16" s="58" customFormat="1" ht="13.15" customHeight="1">
      <c r="A794" s="139"/>
      <c r="B794" s="276"/>
      <c r="C794" s="276"/>
      <c r="D794" s="276"/>
      <c r="E794" s="276"/>
      <c r="F794" s="276"/>
      <c r="G794" s="276"/>
      <c r="H794" s="276"/>
      <c r="I794" s="276"/>
      <c r="J794" s="276"/>
      <c r="K794" s="276"/>
      <c r="O794" s="3">
        <f t="shared" ref="O794:O878" si="13">ROW(M794)</f>
        <v>794</v>
      </c>
      <c r="P794" s="3"/>
    </row>
    <row r="795" spans="1:16" s="58" customFormat="1" ht="13.15" customHeight="1">
      <c r="A795" s="139"/>
      <c r="B795" s="276"/>
      <c r="C795" s="276"/>
      <c r="D795" s="276"/>
      <c r="E795" s="276"/>
      <c r="F795" s="276"/>
      <c r="G795" s="276"/>
      <c r="H795" s="276"/>
      <c r="I795" s="276"/>
      <c r="J795" s="276"/>
      <c r="K795" s="276"/>
      <c r="O795" s="3">
        <f t="shared" si="13"/>
        <v>795</v>
      </c>
      <c r="P795" s="3"/>
    </row>
    <row r="796" spans="1:16" s="58" customFormat="1" ht="13.15" customHeight="1">
      <c r="A796" s="139"/>
      <c r="B796" s="276"/>
      <c r="C796" s="276"/>
      <c r="D796" s="276"/>
      <c r="E796" s="276"/>
      <c r="F796" s="276"/>
      <c r="G796" s="276"/>
      <c r="H796" s="276"/>
      <c r="I796" s="276"/>
      <c r="J796" s="276"/>
      <c r="K796" s="276"/>
      <c r="O796" s="3">
        <f t="shared" si="13"/>
        <v>796</v>
      </c>
      <c r="P796" s="3"/>
    </row>
    <row r="797" spans="1:16" s="58" customFormat="1" ht="13.15" customHeight="1">
      <c r="A797" s="139"/>
      <c r="B797" s="3"/>
      <c r="C797" s="142"/>
      <c r="D797" s="142"/>
      <c r="E797" s="142"/>
      <c r="F797" s="142"/>
      <c r="G797" s="142"/>
      <c r="H797" s="142"/>
      <c r="I797" s="142"/>
      <c r="J797" s="142"/>
      <c r="K797" s="142"/>
      <c r="O797" s="3">
        <f t="shared" si="13"/>
        <v>797</v>
      </c>
      <c r="P797" s="3"/>
    </row>
    <row r="798" spans="1:16" s="58" customFormat="1" ht="13.15" customHeight="1">
      <c r="A798" s="139"/>
      <c r="B798" s="157" t="s">
        <v>356</v>
      </c>
      <c r="C798" s="277" t="s">
        <v>428</v>
      </c>
      <c r="D798" s="277"/>
      <c r="E798" s="277"/>
      <c r="F798" s="277"/>
      <c r="G798" s="277"/>
      <c r="H798" s="277"/>
      <c r="I798" s="277"/>
      <c r="J798" s="277"/>
      <c r="K798" s="277"/>
      <c r="O798" s="3">
        <f t="shared" si="13"/>
        <v>798</v>
      </c>
      <c r="P798" s="3"/>
    </row>
    <row r="799" spans="1:16" s="58" customFormat="1" ht="13.15" customHeight="1">
      <c r="A799" s="139"/>
      <c r="B799" s="3"/>
      <c r="C799" s="277"/>
      <c r="D799" s="277"/>
      <c r="E799" s="277"/>
      <c r="F799" s="277"/>
      <c r="G799" s="277"/>
      <c r="H799" s="277"/>
      <c r="I799" s="277"/>
      <c r="J799" s="277"/>
      <c r="K799" s="277"/>
      <c r="O799" s="3">
        <f t="shared" si="13"/>
        <v>799</v>
      </c>
      <c r="P799" s="3"/>
    </row>
    <row r="800" spans="1:16" s="58" customFormat="1" ht="13.15" customHeight="1">
      <c r="A800" s="139"/>
      <c r="B800" s="3"/>
      <c r="C800" s="277"/>
      <c r="D800" s="277"/>
      <c r="E800" s="277"/>
      <c r="F800" s="277"/>
      <c r="G800" s="277"/>
      <c r="H800" s="277"/>
      <c r="I800" s="277"/>
      <c r="J800" s="277"/>
      <c r="K800" s="277"/>
      <c r="O800" s="3">
        <f t="shared" si="13"/>
        <v>800</v>
      </c>
      <c r="P800" s="3"/>
    </row>
    <row r="801" spans="1:16" s="58" customFormat="1" ht="13.15" customHeight="1">
      <c r="A801" s="139"/>
      <c r="B801" s="3"/>
      <c r="C801" s="277"/>
      <c r="D801" s="277"/>
      <c r="E801" s="277"/>
      <c r="F801" s="277"/>
      <c r="G801" s="277"/>
      <c r="H801" s="277"/>
      <c r="I801" s="277"/>
      <c r="J801" s="277"/>
      <c r="K801" s="277"/>
      <c r="O801" s="3">
        <f t="shared" si="13"/>
        <v>801</v>
      </c>
      <c r="P801" s="3"/>
    </row>
    <row r="802" spans="1:16" s="58" customFormat="1" ht="13.15" customHeight="1">
      <c r="A802" s="139"/>
      <c r="B802" s="3"/>
      <c r="C802" s="277"/>
      <c r="D802" s="277"/>
      <c r="E802" s="277"/>
      <c r="F802" s="277"/>
      <c r="G802" s="277"/>
      <c r="H802" s="277"/>
      <c r="I802" s="277"/>
      <c r="J802" s="277"/>
      <c r="K802" s="277"/>
      <c r="O802" s="3">
        <f t="shared" si="13"/>
        <v>802</v>
      </c>
      <c r="P802" s="3"/>
    </row>
    <row r="803" spans="1:16" s="58" customFormat="1" ht="13.15" customHeight="1">
      <c r="A803" s="139"/>
      <c r="B803" s="3"/>
      <c r="C803" s="277"/>
      <c r="D803" s="277"/>
      <c r="E803" s="277"/>
      <c r="F803" s="277"/>
      <c r="G803" s="277"/>
      <c r="H803" s="277"/>
      <c r="I803" s="277"/>
      <c r="J803" s="277"/>
      <c r="K803" s="277"/>
      <c r="O803" s="3">
        <f t="shared" si="13"/>
        <v>803</v>
      </c>
      <c r="P803" s="3"/>
    </row>
    <row r="804" spans="1:16" s="58" customFormat="1" ht="13.15" customHeight="1">
      <c r="A804" s="139"/>
      <c r="B804" s="3"/>
      <c r="C804" s="142"/>
      <c r="D804" s="142"/>
      <c r="E804" s="142"/>
      <c r="F804" s="142"/>
      <c r="G804" s="142"/>
      <c r="H804" s="142"/>
      <c r="I804" s="142"/>
      <c r="J804" s="142"/>
      <c r="K804" s="142"/>
      <c r="O804" s="3">
        <f t="shared" si="13"/>
        <v>804</v>
      </c>
      <c r="P804" s="3"/>
    </row>
    <row r="805" spans="1:16" s="58" customFormat="1" ht="13.15" customHeight="1">
      <c r="A805" s="139" t="s">
        <v>408</v>
      </c>
      <c r="B805" s="254" t="s">
        <v>308</v>
      </c>
      <c r="C805" s="254"/>
      <c r="D805" s="254"/>
      <c r="E805" s="254"/>
      <c r="F805" s="254"/>
      <c r="G805" s="254"/>
      <c r="H805" s="254"/>
      <c r="I805" s="254"/>
      <c r="J805" s="254"/>
      <c r="K805" s="254"/>
      <c r="L805" s="3">
        <v>53</v>
      </c>
      <c r="M805" s="58">
        <v>11</v>
      </c>
      <c r="N805" s="58">
        <v>1</v>
      </c>
      <c r="O805" s="3">
        <f t="shared" si="13"/>
        <v>805</v>
      </c>
      <c r="P805" s="3"/>
    </row>
    <row r="806" spans="1:16" s="58" customFormat="1" ht="13.15" customHeight="1">
      <c r="A806" s="139"/>
      <c r="B806" s="142"/>
      <c r="C806" s="142"/>
      <c r="D806" s="142"/>
      <c r="E806" s="142"/>
      <c r="F806" s="142"/>
      <c r="G806" s="142"/>
      <c r="H806" s="142"/>
      <c r="I806" s="142"/>
      <c r="J806" s="142"/>
      <c r="K806" s="142"/>
      <c r="M806" s="58" t="s">
        <v>217</v>
      </c>
      <c r="O806" s="3">
        <f t="shared" si="13"/>
        <v>806</v>
      </c>
      <c r="P806" s="3"/>
    </row>
    <row r="807" spans="1:16" s="58" customFormat="1" ht="13.15" customHeight="1">
      <c r="A807" s="139"/>
      <c r="B807" s="157" t="s">
        <v>356</v>
      </c>
      <c r="C807" s="254" t="s">
        <v>309</v>
      </c>
      <c r="D807" s="254"/>
      <c r="E807" s="254"/>
      <c r="F807" s="254"/>
      <c r="G807" s="254"/>
      <c r="H807" s="254"/>
      <c r="I807" s="254"/>
      <c r="J807" s="254"/>
      <c r="K807" s="254"/>
      <c r="M807" s="58" t="s">
        <v>217</v>
      </c>
      <c r="O807" s="3">
        <f t="shared" si="13"/>
        <v>807</v>
      </c>
      <c r="P807" s="3"/>
    </row>
    <row r="808" spans="1:16" s="58" customFormat="1" ht="13.15" customHeight="1">
      <c r="A808" s="139"/>
      <c r="B808" s="55"/>
      <c r="C808" s="254"/>
      <c r="D808" s="254"/>
      <c r="E808" s="254"/>
      <c r="F808" s="254"/>
      <c r="G808" s="254"/>
      <c r="H808" s="254"/>
      <c r="I808" s="254"/>
      <c r="J808" s="254"/>
      <c r="K808" s="254"/>
      <c r="M808" s="58" t="s">
        <v>217</v>
      </c>
      <c r="O808" s="3">
        <f t="shared" si="13"/>
        <v>808</v>
      </c>
      <c r="P808" s="3"/>
    </row>
    <row r="809" spans="1:16" s="58" customFormat="1" ht="13.15" customHeight="1">
      <c r="A809" s="139"/>
      <c r="B809" s="55"/>
      <c r="C809" s="254"/>
      <c r="D809" s="254"/>
      <c r="E809" s="254"/>
      <c r="F809" s="254"/>
      <c r="G809" s="254"/>
      <c r="H809" s="254"/>
      <c r="I809" s="254"/>
      <c r="J809" s="254"/>
      <c r="K809" s="254"/>
      <c r="M809" s="58" t="s">
        <v>217</v>
      </c>
      <c r="O809" s="3">
        <f t="shared" si="13"/>
        <v>809</v>
      </c>
      <c r="P809" s="3"/>
    </row>
    <row r="810" spans="1:16" s="58" customFormat="1" ht="13.15" customHeight="1">
      <c r="A810" s="139"/>
      <c r="B810" s="55"/>
      <c r="C810" s="254"/>
      <c r="D810" s="254"/>
      <c r="E810" s="254"/>
      <c r="F810" s="254"/>
      <c r="G810" s="254"/>
      <c r="H810" s="254"/>
      <c r="I810" s="254"/>
      <c r="J810" s="254"/>
      <c r="K810" s="254"/>
      <c r="M810" s="58" t="s">
        <v>217</v>
      </c>
      <c r="O810" s="3">
        <f t="shared" si="13"/>
        <v>810</v>
      </c>
      <c r="P810" s="3"/>
    </row>
    <row r="811" spans="1:16" ht="13.15" customHeight="1">
      <c r="C811" s="254"/>
      <c r="D811" s="254"/>
      <c r="E811" s="254"/>
      <c r="F811" s="254"/>
      <c r="G811" s="254"/>
      <c r="H811" s="254"/>
      <c r="I811" s="254"/>
      <c r="J811" s="254"/>
      <c r="K811" s="254"/>
      <c r="L811" s="58"/>
      <c r="M811" s="3" t="s">
        <v>217</v>
      </c>
      <c r="O811" s="3">
        <f t="shared" si="13"/>
        <v>811</v>
      </c>
    </row>
    <row r="812" spans="1:16" ht="13.15" customHeight="1">
      <c r="C812" s="254"/>
      <c r="D812" s="254"/>
      <c r="E812" s="254"/>
      <c r="F812" s="254"/>
      <c r="G812" s="254"/>
      <c r="H812" s="254"/>
      <c r="I812" s="254"/>
      <c r="J812" s="254"/>
      <c r="K812" s="254"/>
      <c r="M812" s="3" t="s">
        <v>217</v>
      </c>
      <c r="O812" s="3">
        <f t="shared" si="13"/>
        <v>812</v>
      </c>
    </row>
    <row r="813" spans="1:16" ht="13.15" customHeight="1">
      <c r="C813" s="254"/>
      <c r="D813" s="254"/>
      <c r="E813" s="254"/>
      <c r="F813" s="254"/>
      <c r="G813" s="254"/>
      <c r="H813" s="254"/>
      <c r="I813" s="254"/>
      <c r="J813" s="254"/>
      <c r="K813" s="254"/>
      <c r="M813" s="3" t="s">
        <v>217</v>
      </c>
      <c r="O813" s="3">
        <f t="shared" si="13"/>
        <v>813</v>
      </c>
    </row>
    <row r="814" spans="1:16" ht="13.15" customHeight="1">
      <c r="C814" s="254"/>
      <c r="D814" s="254"/>
      <c r="E814" s="254"/>
      <c r="F814" s="254"/>
      <c r="G814" s="254"/>
      <c r="H814" s="254"/>
      <c r="I814" s="254"/>
      <c r="J814" s="254"/>
      <c r="K814" s="254"/>
      <c r="M814" s="3" t="s">
        <v>217</v>
      </c>
      <c r="O814" s="3">
        <f t="shared" si="13"/>
        <v>814</v>
      </c>
    </row>
    <row r="815" spans="1:16" ht="13.15" customHeight="1">
      <c r="C815" s="254"/>
      <c r="D815" s="254"/>
      <c r="E815" s="254"/>
      <c r="F815" s="254"/>
      <c r="G815" s="254"/>
      <c r="H815" s="254"/>
      <c r="I815" s="254"/>
      <c r="J815" s="254"/>
      <c r="K815" s="254"/>
      <c r="M815" s="3" t="s">
        <v>217</v>
      </c>
      <c r="O815" s="3">
        <f t="shared" si="13"/>
        <v>815</v>
      </c>
    </row>
    <row r="816" spans="1:16" ht="13.15" customHeight="1">
      <c r="C816" s="85"/>
      <c r="D816" s="85"/>
      <c r="E816" s="85"/>
      <c r="F816" s="85"/>
      <c r="G816" s="85"/>
      <c r="H816" s="85"/>
      <c r="I816" s="85"/>
      <c r="J816" s="85"/>
      <c r="K816" s="85"/>
      <c r="M816" s="3" t="s">
        <v>217</v>
      </c>
      <c r="O816" s="3">
        <f t="shared" si="13"/>
        <v>816</v>
      </c>
    </row>
    <row r="817" spans="1:16" s="58" customFormat="1" ht="13.15" customHeight="1">
      <c r="A817" s="139" t="s">
        <v>409</v>
      </c>
      <c r="B817" s="254" t="s">
        <v>310</v>
      </c>
      <c r="C817" s="254"/>
      <c r="D817" s="254"/>
      <c r="E817" s="254"/>
      <c r="F817" s="254"/>
      <c r="G817" s="254"/>
      <c r="H817" s="254"/>
      <c r="I817" s="254"/>
      <c r="J817" s="254"/>
      <c r="K817" s="254"/>
      <c r="L817" s="3">
        <v>54</v>
      </c>
      <c r="M817" s="58">
        <v>10</v>
      </c>
      <c r="N817" s="58">
        <v>1</v>
      </c>
      <c r="O817" s="3">
        <f t="shared" si="13"/>
        <v>817</v>
      </c>
      <c r="P817" s="3"/>
    </row>
    <row r="818" spans="1:16" s="58" customFormat="1" ht="13.15" customHeight="1">
      <c r="A818" s="139"/>
      <c r="B818" s="254"/>
      <c r="C818" s="254"/>
      <c r="D818" s="254"/>
      <c r="E818" s="254"/>
      <c r="F818" s="254"/>
      <c r="G818" s="254"/>
      <c r="H818" s="254"/>
      <c r="I818" s="254"/>
      <c r="J818" s="254"/>
      <c r="K818" s="254"/>
      <c r="M818" s="58" t="s">
        <v>217</v>
      </c>
      <c r="O818" s="3">
        <f t="shared" si="13"/>
        <v>818</v>
      </c>
      <c r="P818" s="3"/>
    </row>
    <row r="819" spans="1:16" s="58" customFormat="1" ht="13.15" customHeight="1">
      <c r="A819" s="139"/>
      <c r="B819" s="157" t="s">
        <v>356</v>
      </c>
      <c r="C819" s="254" t="s">
        <v>311</v>
      </c>
      <c r="D819" s="254"/>
      <c r="E819" s="254"/>
      <c r="F819" s="254"/>
      <c r="G819" s="254"/>
      <c r="H819" s="254"/>
      <c r="I819" s="254"/>
      <c r="J819" s="254"/>
      <c r="K819" s="254"/>
      <c r="M819" s="58" t="s">
        <v>217</v>
      </c>
      <c r="O819" s="3">
        <f t="shared" si="13"/>
        <v>819</v>
      </c>
      <c r="P819" s="3"/>
    </row>
    <row r="820" spans="1:16" s="58" customFormat="1" ht="13.15" customHeight="1">
      <c r="A820" s="139"/>
      <c r="B820" s="55"/>
      <c r="C820" s="254"/>
      <c r="D820" s="254"/>
      <c r="E820" s="254"/>
      <c r="F820" s="254"/>
      <c r="G820" s="254"/>
      <c r="H820" s="254"/>
      <c r="I820" s="254"/>
      <c r="J820" s="254"/>
      <c r="K820" s="254"/>
      <c r="M820" s="58" t="s">
        <v>217</v>
      </c>
      <c r="O820" s="3">
        <f t="shared" si="13"/>
        <v>820</v>
      </c>
      <c r="P820" s="3"/>
    </row>
    <row r="821" spans="1:16" s="58" customFormat="1" ht="13.15" customHeight="1">
      <c r="A821" s="139"/>
      <c r="B821" s="55"/>
      <c r="C821" s="254"/>
      <c r="D821" s="254"/>
      <c r="E821" s="254"/>
      <c r="F821" s="254"/>
      <c r="G821" s="254"/>
      <c r="H821" s="254"/>
      <c r="I821" s="254"/>
      <c r="J821" s="254"/>
      <c r="K821" s="254"/>
      <c r="M821" s="58" t="s">
        <v>217</v>
      </c>
      <c r="O821" s="3">
        <f t="shared" si="13"/>
        <v>821</v>
      </c>
      <c r="P821" s="3"/>
    </row>
    <row r="822" spans="1:16" ht="13.15" customHeight="1">
      <c r="C822" s="254"/>
      <c r="D822" s="254"/>
      <c r="E822" s="254"/>
      <c r="F822" s="254"/>
      <c r="G822" s="254"/>
      <c r="H822" s="254"/>
      <c r="I822" s="254"/>
      <c r="J822" s="254"/>
      <c r="K822" s="254"/>
      <c r="L822" s="58"/>
      <c r="M822" s="3" t="s">
        <v>217</v>
      </c>
      <c r="O822" s="3">
        <f t="shared" si="13"/>
        <v>822</v>
      </c>
    </row>
    <row r="823" spans="1:16" ht="13.15" customHeight="1">
      <c r="C823" s="254"/>
      <c r="D823" s="254"/>
      <c r="E823" s="254"/>
      <c r="F823" s="254"/>
      <c r="G823" s="254"/>
      <c r="H823" s="254"/>
      <c r="I823" s="254"/>
      <c r="J823" s="254"/>
      <c r="K823" s="254"/>
      <c r="M823" s="3" t="s">
        <v>217</v>
      </c>
      <c r="O823" s="3">
        <f t="shared" si="13"/>
        <v>823</v>
      </c>
    </row>
    <row r="824" spans="1:16" ht="13.15" customHeight="1">
      <c r="C824" s="254"/>
      <c r="D824" s="254"/>
      <c r="E824" s="254"/>
      <c r="F824" s="254"/>
      <c r="G824" s="254"/>
      <c r="H824" s="254"/>
      <c r="I824" s="254"/>
      <c r="J824" s="254"/>
      <c r="K824" s="254"/>
      <c r="M824" s="3" t="s">
        <v>217</v>
      </c>
      <c r="O824" s="3">
        <f t="shared" si="13"/>
        <v>824</v>
      </c>
    </row>
    <row r="825" spans="1:16" ht="13.15" customHeight="1">
      <c r="C825" s="254"/>
      <c r="D825" s="254"/>
      <c r="E825" s="254"/>
      <c r="F825" s="254"/>
      <c r="G825" s="254"/>
      <c r="H825" s="254"/>
      <c r="I825" s="254"/>
      <c r="J825" s="254"/>
      <c r="K825" s="254"/>
      <c r="M825" s="3" t="s">
        <v>217</v>
      </c>
      <c r="O825" s="3">
        <f t="shared" si="13"/>
        <v>825</v>
      </c>
    </row>
    <row r="826" spans="1:16" ht="13.15" customHeight="1">
      <c r="C826" s="254"/>
      <c r="D826" s="254"/>
      <c r="E826" s="254"/>
      <c r="F826" s="254"/>
      <c r="G826" s="254"/>
      <c r="H826" s="254"/>
      <c r="I826" s="254"/>
      <c r="J826" s="254"/>
      <c r="K826" s="254"/>
      <c r="M826" s="3" t="s">
        <v>217</v>
      </c>
      <c r="O826" s="3">
        <f t="shared" si="13"/>
        <v>826</v>
      </c>
    </row>
    <row r="827" spans="1:16" ht="13.15" customHeight="1">
      <c r="C827" s="114"/>
      <c r="D827" s="114"/>
      <c r="E827" s="114"/>
      <c r="F827" s="114"/>
      <c r="G827" s="114"/>
      <c r="H827" s="114"/>
      <c r="I827" s="114"/>
      <c r="J827" s="114"/>
      <c r="K827" s="114"/>
      <c r="M827" s="3" t="s">
        <v>217</v>
      </c>
      <c r="O827" s="3">
        <f t="shared" si="13"/>
        <v>827</v>
      </c>
    </row>
    <row r="828" spans="1:16" s="58" customFormat="1" ht="13.15" customHeight="1">
      <c r="A828" s="139" t="s">
        <v>410</v>
      </c>
      <c r="B828" s="254" t="s">
        <v>312</v>
      </c>
      <c r="C828" s="254"/>
      <c r="D828" s="254"/>
      <c r="E828" s="254"/>
      <c r="F828" s="254"/>
      <c r="G828" s="254"/>
      <c r="H828" s="254"/>
      <c r="I828" s="254"/>
      <c r="J828" s="254"/>
      <c r="K828" s="254"/>
      <c r="L828" s="3">
        <v>55</v>
      </c>
      <c r="M828" s="58">
        <v>11</v>
      </c>
      <c r="N828" s="58">
        <v>2</v>
      </c>
      <c r="O828" s="3">
        <f t="shared" si="13"/>
        <v>828</v>
      </c>
      <c r="P828" s="3"/>
    </row>
    <row r="829" spans="1:16" s="58" customFormat="1" ht="13.15" customHeight="1">
      <c r="A829" s="139"/>
      <c r="B829" s="254"/>
      <c r="C829" s="254"/>
      <c r="D829" s="254"/>
      <c r="E829" s="254"/>
      <c r="F829" s="254"/>
      <c r="G829" s="254"/>
      <c r="H829" s="254"/>
      <c r="I829" s="254"/>
      <c r="J829" s="254"/>
      <c r="K829" s="254"/>
      <c r="M829" s="58" t="s">
        <v>217</v>
      </c>
      <c r="O829" s="3">
        <f t="shared" si="13"/>
        <v>829</v>
      </c>
      <c r="P829" s="3"/>
    </row>
    <row r="830" spans="1:16" s="58" customFormat="1" ht="13.15" customHeight="1">
      <c r="A830" s="139"/>
      <c r="B830" s="254"/>
      <c r="C830" s="254"/>
      <c r="D830" s="254"/>
      <c r="E830" s="254"/>
      <c r="F830" s="254"/>
      <c r="G830" s="254"/>
      <c r="H830" s="254"/>
      <c r="I830" s="254"/>
      <c r="J830" s="254"/>
      <c r="K830" s="254"/>
      <c r="M830" s="58" t="s">
        <v>217</v>
      </c>
      <c r="O830" s="3">
        <f t="shared" si="13"/>
        <v>830</v>
      </c>
      <c r="P830" s="3"/>
    </row>
    <row r="831" spans="1:16" s="58" customFormat="1" ht="13.15" customHeight="1">
      <c r="A831" s="139"/>
      <c r="B831" s="157" t="s">
        <v>356</v>
      </c>
      <c r="C831" s="254" t="s">
        <v>313</v>
      </c>
      <c r="D831" s="254"/>
      <c r="E831" s="254"/>
      <c r="F831" s="254"/>
      <c r="G831" s="254"/>
      <c r="H831" s="254"/>
      <c r="I831" s="254"/>
      <c r="J831" s="254"/>
      <c r="K831" s="254"/>
      <c r="M831" s="58" t="s">
        <v>217</v>
      </c>
      <c r="O831" s="3">
        <f t="shared" si="13"/>
        <v>831</v>
      </c>
      <c r="P831" s="3"/>
    </row>
    <row r="832" spans="1:16" s="58" customFormat="1" ht="13.15" customHeight="1">
      <c r="A832" s="139"/>
      <c r="B832" s="55"/>
      <c r="C832" s="254"/>
      <c r="D832" s="254"/>
      <c r="E832" s="254"/>
      <c r="F832" s="254"/>
      <c r="G832" s="254"/>
      <c r="H832" s="254"/>
      <c r="I832" s="254"/>
      <c r="J832" s="254"/>
      <c r="K832" s="254"/>
      <c r="M832" s="58" t="s">
        <v>217</v>
      </c>
      <c r="O832" s="3">
        <f t="shared" si="13"/>
        <v>832</v>
      </c>
      <c r="P832" s="3"/>
    </row>
    <row r="833" spans="1:16" s="58" customFormat="1" ht="13.15" customHeight="1">
      <c r="A833" s="139"/>
      <c r="B833" s="55"/>
      <c r="C833" s="254"/>
      <c r="D833" s="254"/>
      <c r="E833" s="254"/>
      <c r="F833" s="254"/>
      <c r="G833" s="254"/>
      <c r="H833" s="254"/>
      <c r="I833" s="254"/>
      <c r="J833" s="254"/>
      <c r="K833" s="254"/>
      <c r="M833" s="58" t="s">
        <v>217</v>
      </c>
      <c r="O833" s="3">
        <f t="shared" si="13"/>
        <v>833</v>
      </c>
      <c r="P833" s="3"/>
    </row>
    <row r="834" spans="1:16" ht="13.15" customHeight="1">
      <c r="C834" s="254"/>
      <c r="D834" s="254"/>
      <c r="E834" s="254"/>
      <c r="F834" s="254"/>
      <c r="G834" s="254"/>
      <c r="H834" s="254"/>
      <c r="I834" s="254"/>
      <c r="J834" s="254"/>
      <c r="K834" s="254"/>
      <c r="L834" s="58"/>
      <c r="M834" s="3" t="s">
        <v>217</v>
      </c>
      <c r="O834" s="3">
        <f t="shared" si="13"/>
        <v>834</v>
      </c>
    </row>
    <row r="835" spans="1:16" ht="13.15" customHeight="1">
      <c r="C835" s="254"/>
      <c r="D835" s="254"/>
      <c r="E835" s="254"/>
      <c r="F835" s="254"/>
      <c r="G835" s="254"/>
      <c r="H835" s="254"/>
      <c r="I835" s="254"/>
      <c r="J835" s="254"/>
      <c r="K835" s="254"/>
      <c r="M835" s="3" t="s">
        <v>217</v>
      </c>
      <c r="O835" s="3">
        <f t="shared" si="13"/>
        <v>835</v>
      </c>
    </row>
    <row r="836" spans="1:16" ht="13.15" customHeight="1">
      <c r="C836" s="254"/>
      <c r="D836" s="254"/>
      <c r="E836" s="254"/>
      <c r="F836" s="254"/>
      <c r="G836" s="254"/>
      <c r="H836" s="254"/>
      <c r="I836" s="254"/>
      <c r="J836" s="254"/>
      <c r="K836" s="254"/>
      <c r="M836" s="3" t="s">
        <v>217</v>
      </c>
      <c r="O836" s="3">
        <f t="shared" si="13"/>
        <v>836</v>
      </c>
    </row>
    <row r="837" spans="1:16" ht="13.15" customHeight="1">
      <c r="C837" s="254"/>
      <c r="D837" s="254"/>
      <c r="E837" s="254"/>
      <c r="F837" s="254"/>
      <c r="G837" s="254"/>
      <c r="H837" s="254"/>
      <c r="I837" s="254"/>
      <c r="J837" s="254"/>
      <c r="K837" s="254"/>
      <c r="M837" s="3" t="s">
        <v>217</v>
      </c>
      <c r="O837" s="3">
        <f t="shared" si="13"/>
        <v>837</v>
      </c>
    </row>
    <row r="838" spans="1:16" ht="13.15" customHeight="1">
      <c r="C838" s="254"/>
      <c r="D838" s="254"/>
      <c r="E838" s="254"/>
      <c r="F838" s="254"/>
      <c r="G838" s="254"/>
      <c r="H838" s="254"/>
      <c r="I838" s="254"/>
      <c r="J838" s="254"/>
      <c r="K838" s="254"/>
      <c r="M838" s="3" t="s">
        <v>217</v>
      </c>
      <c r="O838" s="3">
        <f t="shared" si="13"/>
        <v>838</v>
      </c>
    </row>
    <row r="839" spans="1:16" ht="13.15" customHeight="1">
      <c r="C839" s="87"/>
      <c r="D839" s="87"/>
      <c r="E839" s="87"/>
      <c r="F839" s="87"/>
      <c r="G839" s="87"/>
      <c r="H839" s="87"/>
      <c r="I839" s="87"/>
      <c r="J839" s="87"/>
      <c r="K839" s="87"/>
      <c r="M839" s="3" t="s">
        <v>217</v>
      </c>
      <c r="O839" s="3">
        <f t="shared" si="13"/>
        <v>839</v>
      </c>
    </row>
    <row r="840" spans="1:16" s="58" customFormat="1" ht="13.15" customHeight="1">
      <c r="A840" s="139" t="s">
        <v>411</v>
      </c>
      <c r="B840" s="254" t="s">
        <v>314</v>
      </c>
      <c r="C840" s="254"/>
      <c r="D840" s="254"/>
      <c r="E840" s="254"/>
      <c r="F840" s="254"/>
      <c r="G840" s="254"/>
      <c r="H840" s="254"/>
      <c r="I840" s="254"/>
      <c r="J840" s="254"/>
      <c r="K840" s="254"/>
      <c r="L840" s="3">
        <v>56</v>
      </c>
      <c r="M840" s="58">
        <v>10</v>
      </c>
      <c r="N840" s="58">
        <v>4</v>
      </c>
      <c r="O840" s="3">
        <f t="shared" si="13"/>
        <v>840</v>
      </c>
      <c r="P840" s="3"/>
    </row>
    <row r="841" spans="1:16" s="58" customFormat="1" ht="13.15" customHeight="1">
      <c r="A841" s="139"/>
      <c r="B841" s="254"/>
      <c r="C841" s="254"/>
      <c r="D841" s="254"/>
      <c r="E841" s="254"/>
      <c r="F841" s="254"/>
      <c r="G841" s="254"/>
      <c r="H841" s="254"/>
      <c r="I841" s="254"/>
      <c r="J841" s="254"/>
      <c r="K841" s="254"/>
      <c r="M841" s="58" t="s">
        <v>217</v>
      </c>
      <c r="O841" s="3">
        <f t="shared" si="13"/>
        <v>841</v>
      </c>
      <c r="P841" s="3"/>
    </row>
    <row r="842" spans="1:16" s="58" customFormat="1" ht="13.15" customHeight="1">
      <c r="A842" s="139"/>
      <c r="B842" s="254"/>
      <c r="C842" s="254"/>
      <c r="D842" s="254"/>
      <c r="E842" s="254"/>
      <c r="F842" s="254"/>
      <c r="G842" s="254"/>
      <c r="H842" s="254"/>
      <c r="I842" s="254"/>
      <c r="J842" s="254"/>
      <c r="K842" s="254"/>
      <c r="M842" s="58" t="s">
        <v>217</v>
      </c>
      <c r="O842" s="3">
        <f t="shared" si="13"/>
        <v>842</v>
      </c>
      <c r="P842" s="3"/>
    </row>
    <row r="843" spans="1:16" s="58" customFormat="1" ht="13.15" customHeight="1">
      <c r="A843" s="139"/>
      <c r="B843" s="254"/>
      <c r="C843" s="254"/>
      <c r="D843" s="254"/>
      <c r="E843" s="254"/>
      <c r="F843" s="254"/>
      <c r="G843" s="254"/>
      <c r="H843" s="254"/>
      <c r="I843" s="254"/>
      <c r="J843" s="254"/>
      <c r="K843" s="254"/>
      <c r="M843" s="58" t="s">
        <v>217</v>
      </c>
      <c r="O843" s="3">
        <f t="shared" si="13"/>
        <v>843</v>
      </c>
      <c r="P843" s="3"/>
    </row>
    <row r="844" spans="1:16" s="58" customFormat="1" ht="13.15" customHeight="1">
      <c r="A844" s="139"/>
      <c r="B844" s="142"/>
      <c r="C844" s="142"/>
      <c r="D844" s="142"/>
      <c r="E844" s="142"/>
      <c r="F844" s="142"/>
      <c r="G844" s="142"/>
      <c r="H844" s="142"/>
      <c r="I844" s="142"/>
      <c r="J844" s="142"/>
      <c r="K844" s="142"/>
      <c r="M844" s="58" t="s">
        <v>217</v>
      </c>
      <c r="O844" s="3">
        <f t="shared" si="13"/>
        <v>844</v>
      </c>
      <c r="P844" s="3"/>
    </row>
    <row r="845" spans="1:16" s="58" customFormat="1" ht="13.15" customHeight="1">
      <c r="A845" s="139"/>
      <c r="B845" s="157" t="s">
        <v>356</v>
      </c>
      <c r="C845" s="254" t="s">
        <v>315</v>
      </c>
      <c r="D845" s="254"/>
      <c r="E845" s="254"/>
      <c r="F845" s="254"/>
      <c r="G845" s="254"/>
      <c r="H845" s="254"/>
      <c r="I845" s="254"/>
      <c r="J845" s="254"/>
      <c r="K845" s="254"/>
      <c r="M845" s="58" t="s">
        <v>217</v>
      </c>
      <c r="O845" s="3">
        <f t="shared" si="13"/>
        <v>845</v>
      </c>
      <c r="P845" s="3"/>
    </row>
    <row r="846" spans="1:16" s="58" customFormat="1" ht="13.15" customHeight="1">
      <c r="A846" s="139"/>
      <c r="B846" s="55"/>
      <c r="C846" s="254"/>
      <c r="D846" s="254"/>
      <c r="E846" s="254"/>
      <c r="F846" s="254"/>
      <c r="G846" s="254"/>
      <c r="H846" s="254"/>
      <c r="I846" s="254"/>
      <c r="J846" s="254"/>
      <c r="K846" s="254"/>
      <c r="M846" s="58" t="s">
        <v>217</v>
      </c>
      <c r="O846" s="3">
        <f t="shared" si="13"/>
        <v>846</v>
      </c>
      <c r="P846" s="3"/>
    </row>
    <row r="847" spans="1:16" s="58" customFormat="1" ht="13.15" customHeight="1">
      <c r="A847" s="139"/>
      <c r="B847" s="55"/>
      <c r="C847" s="254"/>
      <c r="D847" s="254"/>
      <c r="E847" s="254"/>
      <c r="F847" s="254"/>
      <c r="G847" s="254"/>
      <c r="H847" s="254"/>
      <c r="I847" s="254"/>
      <c r="J847" s="254"/>
      <c r="K847" s="254"/>
      <c r="M847" s="58" t="s">
        <v>217</v>
      </c>
      <c r="O847" s="3">
        <f t="shared" si="13"/>
        <v>847</v>
      </c>
      <c r="P847" s="3"/>
    </row>
    <row r="848" spans="1:16" s="58" customFormat="1" ht="13.15" customHeight="1">
      <c r="A848" s="139"/>
      <c r="B848" s="55"/>
      <c r="C848" s="254"/>
      <c r="D848" s="254"/>
      <c r="E848" s="254"/>
      <c r="F848" s="254"/>
      <c r="G848" s="254"/>
      <c r="H848" s="254"/>
      <c r="I848" s="254"/>
      <c r="J848" s="254"/>
      <c r="K848" s="254"/>
      <c r="M848" s="58" t="s">
        <v>217</v>
      </c>
      <c r="O848" s="3">
        <f t="shared" si="13"/>
        <v>848</v>
      </c>
      <c r="P848" s="3"/>
    </row>
    <row r="849" spans="1:16" ht="13.15" customHeight="1">
      <c r="C849" s="254"/>
      <c r="D849" s="254"/>
      <c r="E849" s="254"/>
      <c r="F849" s="254"/>
      <c r="G849" s="254"/>
      <c r="H849" s="254"/>
      <c r="I849" s="254"/>
      <c r="J849" s="254"/>
      <c r="K849" s="254"/>
      <c r="L849" s="58"/>
      <c r="M849" s="3" t="s">
        <v>217</v>
      </c>
      <c r="O849" s="3">
        <f t="shared" si="13"/>
        <v>849</v>
      </c>
    </row>
    <row r="850" spans="1:16" ht="13.15" customHeight="1">
      <c r="C850" s="115"/>
      <c r="D850" s="115"/>
      <c r="E850" s="115"/>
      <c r="F850" s="115"/>
      <c r="G850" s="115"/>
      <c r="H850" s="115"/>
      <c r="I850" s="115"/>
      <c r="J850" s="115"/>
      <c r="K850" s="115"/>
      <c r="M850" s="3" t="s">
        <v>217</v>
      </c>
      <c r="O850" s="3">
        <f t="shared" si="13"/>
        <v>850</v>
      </c>
    </row>
    <row r="851" spans="1:16" s="58" customFormat="1" ht="13.15" customHeight="1">
      <c r="A851" s="139" t="s">
        <v>435</v>
      </c>
      <c r="B851" s="254" t="s">
        <v>316</v>
      </c>
      <c r="C851" s="254"/>
      <c r="D851" s="254"/>
      <c r="E851" s="254"/>
      <c r="F851" s="254"/>
      <c r="G851" s="254"/>
      <c r="H851" s="254"/>
      <c r="I851" s="254"/>
      <c r="J851" s="254"/>
      <c r="K851" s="254"/>
      <c r="L851" s="3">
        <v>57</v>
      </c>
      <c r="M851" s="58">
        <v>9</v>
      </c>
      <c r="N851" s="58">
        <v>5</v>
      </c>
      <c r="O851" s="3">
        <f t="shared" si="13"/>
        <v>851</v>
      </c>
      <c r="P851" s="3"/>
    </row>
    <row r="852" spans="1:16" s="58" customFormat="1" ht="13.15" customHeight="1">
      <c r="A852" s="139"/>
      <c r="B852" s="254"/>
      <c r="C852" s="254"/>
      <c r="D852" s="254"/>
      <c r="E852" s="254"/>
      <c r="F852" s="254"/>
      <c r="G852" s="254"/>
      <c r="H852" s="254"/>
      <c r="I852" s="254"/>
      <c r="J852" s="254"/>
      <c r="K852" s="254"/>
      <c r="M852" s="58" t="s">
        <v>217</v>
      </c>
      <c r="O852" s="3">
        <f t="shared" si="13"/>
        <v>852</v>
      </c>
      <c r="P852" s="3"/>
    </row>
    <row r="853" spans="1:16" s="58" customFormat="1" ht="13.15" customHeight="1">
      <c r="A853" s="139"/>
      <c r="B853" s="254"/>
      <c r="C853" s="254"/>
      <c r="D853" s="254"/>
      <c r="E853" s="254"/>
      <c r="F853" s="254"/>
      <c r="G853" s="254"/>
      <c r="H853" s="254"/>
      <c r="I853" s="254"/>
      <c r="J853" s="254"/>
      <c r="K853" s="254"/>
      <c r="M853" s="58" t="s">
        <v>217</v>
      </c>
      <c r="O853" s="3">
        <f t="shared" si="13"/>
        <v>853</v>
      </c>
      <c r="P853" s="3"/>
    </row>
    <row r="854" spans="1:16" s="58" customFormat="1" ht="13.15" customHeight="1">
      <c r="A854" s="139"/>
      <c r="B854" s="254"/>
      <c r="C854" s="254"/>
      <c r="D854" s="254"/>
      <c r="E854" s="254"/>
      <c r="F854" s="254"/>
      <c r="G854" s="254"/>
      <c r="H854" s="254"/>
      <c r="I854" s="254"/>
      <c r="J854" s="254"/>
      <c r="K854" s="254"/>
      <c r="M854" s="58" t="s">
        <v>217</v>
      </c>
      <c r="O854" s="3">
        <f t="shared" si="13"/>
        <v>854</v>
      </c>
      <c r="P854" s="3"/>
    </row>
    <row r="855" spans="1:16" s="58" customFormat="1" ht="13.15" customHeight="1">
      <c r="A855" s="139"/>
      <c r="B855" s="254"/>
      <c r="C855" s="254"/>
      <c r="D855" s="254"/>
      <c r="E855" s="254"/>
      <c r="F855" s="254"/>
      <c r="G855" s="254"/>
      <c r="H855" s="254"/>
      <c r="I855" s="254"/>
      <c r="J855" s="254"/>
      <c r="K855" s="254"/>
      <c r="M855" s="58" t="s">
        <v>217</v>
      </c>
      <c r="O855" s="3">
        <f t="shared" si="13"/>
        <v>855</v>
      </c>
      <c r="P855" s="3"/>
    </row>
    <row r="856" spans="1:16" s="58" customFormat="1" ht="13.15" customHeight="1">
      <c r="A856" s="139"/>
      <c r="B856" s="142"/>
      <c r="C856" s="142"/>
      <c r="D856" s="142"/>
      <c r="E856" s="142"/>
      <c r="F856" s="142"/>
      <c r="G856" s="142"/>
      <c r="H856" s="142"/>
      <c r="I856" s="142"/>
      <c r="J856" s="142"/>
      <c r="K856" s="142"/>
      <c r="M856" s="58" t="s">
        <v>217</v>
      </c>
      <c r="O856" s="3">
        <f t="shared" si="13"/>
        <v>856</v>
      </c>
      <c r="P856" s="3"/>
    </row>
    <row r="857" spans="1:16" s="58" customFormat="1" ht="13.15" customHeight="1">
      <c r="A857" s="139"/>
      <c r="B857" s="157" t="s">
        <v>356</v>
      </c>
      <c r="C857" s="254" t="s">
        <v>317</v>
      </c>
      <c r="D857" s="254"/>
      <c r="E857" s="254"/>
      <c r="F857" s="254"/>
      <c r="G857" s="254"/>
      <c r="H857" s="254"/>
      <c r="I857" s="254"/>
      <c r="J857" s="254"/>
      <c r="K857" s="254"/>
      <c r="M857" s="58" t="s">
        <v>217</v>
      </c>
      <c r="O857" s="3">
        <f t="shared" si="13"/>
        <v>857</v>
      </c>
      <c r="P857" s="3"/>
    </row>
    <row r="858" spans="1:16" s="58" customFormat="1" ht="13.15" customHeight="1">
      <c r="A858" s="139"/>
      <c r="B858" s="3"/>
      <c r="C858" s="254"/>
      <c r="D858" s="254"/>
      <c r="E858" s="254"/>
      <c r="F858" s="254"/>
      <c r="G858" s="254"/>
      <c r="H858" s="254"/>
      <c r="I858" s="254"/>
      <c r="J858" s="254"/>
      <c r="K858" s="254"/>
      <c r="M858" s="58" t="s">
        <v>217</v>
      </c>
      <c r="O858" s="3">
        <f t="shared" si="13"/>
        <v>858</v>
      </c>
      <c r="P858" s="3"/>
    </row>
    <row r="859" spans="1:16" s="58" customFormat="1" ht="13.15" customHeight="1">
      <c r="A859" s="139"/>
      <c r="B859" s="55"/>
      <c r="C859" s="254"/>
      <c r="D859" s="254"/>
      <c r="E859" s="254"/>
      <c r="F859" s="254"/>
      <c r="G859" s="254"/>
      <c r="H859" s="254"/>
      <c r="I859" s="254"/>
      <c r="J859" s="254"/>
      <c r="K859" s="254"/>
      <c r="M859" s="58" t="s">
        <v>217</v>
      </c>
      <c r="O859" s="3">
        <f t="shared" si="13"/>
        <v>859</v>
      </c>
      <c r="P859" s="3"/>
    </row>
    <row r="860" spans="1:16" s="58" customFormat="1" ht="13.15" customHeight="1">
      <c r="A860" s="139"/>
      <c r="M860" s="58" t="s">
        <v>217</v>
      </c>
      <c r="O860" s="3">
        <f t="shared" si="13"/>
        <v>860</v>
      </c>
      <c r="P860" s="3"/>
    </row>
    <row r="861" spans="1:16" ht="13.15" customHeight="1">
      <c r="A861" s="139" t="s">
        <v>412</v>
      </c>
      <c r="B861" s="254" t="s">
        <v>330</v>
      </c>
      <c r="C861" s="254"/>
      <c r="D861" s="254"/>
      <c r="E861" s="254"/>
      <c r="F861" s="254"/>
      <c r="G861" s="254"/>
      <c r="H861" s="254"/>
      <c r="I861" s="254"/>
      <c r="J861" s="254"/>
      <c r="K861" s="254"/>
      <c r="L861" s="3">
        <v>58</v>
      </c>
      <c r="M861" s="3">
        <v>21</v>
      </c>
      <c r="N861" s="3">
        <v>13</v>
      </c>
      <c r="O861" s="3">
        <f t="shared" si="13"/>
        <v>861</v>
      </c>
    </row>
    <row r="862" spans="1:16" ht="13.15" customHeight="1">
      <c r="B862" s="254"/>
      <c r="C862" s="254"/>
      <c r="D862" s="254"/>
      <c r="E862" s="254"/>
      <c r="F862" s="254"/>
      <c r="G862" s="254"/>
      <c r="H862" s="254"/>
      <c r="I862" s="254"/>
      <c r="J862" s="254"/>
      <c r="K862" s="254"/>
      <c r="M862" s="3" t="s">
        <v>217</v>
      </c>
      <c r="O862" s="3">
        <f t="shared" si="13"/>
        <v>862</v>
      </c>
    </row>
    <row r="863" spans="1:16" ht="13.15" customHeight="1">
      <c r="B863" s="254"/>
      <c r="C863" s="254"/>
      <c r="D863" s="254"/>
      <c r="E863" s="254"/>
      <c r="F863" s="254"/>
      <c r="G863" s="254"/>
      <c r="H863" s="254"/>
      <c r="I863" s="254"/>
      <c r="J863" s="254"/>
      <c r="K863" s="254"/>
      <c r="M863" s="3" t="s">
        <v>217</v>
      </c>
      <c r="O863" s="3">
        <f t="shared" si="13"/>
        <v>863</v>
      </c>
    </row>
    <row r="864" spans="1:16" ht="13.15" customHeight="1">
      <c r="B864" s="254"/>
      <c r="C864" s="254"/>
      <c r="D864" s="254"/>
      <c r="E864" s="254"/>
      <c r="F864" s="254"/>
      <c r="G864" s="254"/>
      <c r="H864" s="254"/>
      <c r="I864" s="254"/>
      <c r="J864" s="254"/>
      <c r="K864" s="254"/>
      <c r="M864" s="3" t="s">
        <v>217</v>
      </c>
      <c r="O864" s="3">
        <f t="shared" si="13"/>
        <v>864</v>
      </c>
    </row>
    <row r="865" spans="2:15" ht="13.15" customHeight="1">
      <c r="B865" s="254"/>
      <c r="C865" s="254"/>
      <c r="D865" s="254"/>
      <c r="E865" s="254"/>
      <c r="F865" s="254"/>
      <c r="G865" s="254"/>
      <c r="H865" s="254"/>
      <c r="I865" s="254"/>
      <c r="J865" s="254"/>
      <c r="K865" s="254"/>
      <c r="M865" s="3" t="s">
        <v>217</v>
      </c>
      <c r="O865" s="3">
        <f t="shared" si="13"/>
        <v>865</v>
      </c>
    </row>
    <row r="866" spans="2:15" ht="13.15" customHeight="1">
      <c r="B866" s="254"/>
      <c r="C866" s="254"/>
      <c r="D866" s="254"/>
      <c r="E866" s="254"/>
      <c r="F866" s="254"/>
      <c r="G866" s="254"/>
      <c r="H866" s="254"/>
      <c r="I866" s="254"/>
      <c r="J866" s="254"/>
      <c r="K866" s="254"/>
      <c r="M866" s="3" t="s">
        <v>217</v>
      </c>
      <c r="O866" s="3">
        <f t="shared" si="13"/>
        <v>866</v>
      </c>
    </row>
    <row r="867" spans="2:15" ht="13.15" customHeight="1">
      <c r="B867" s="254"/>
      <c r="C867" s="254"/>
      <c r="D867" s="254"/>
      <c r="E867" s="254"/>
      <c r="F867" s="254"/>
      <c r="G867" s="254"/>
      <c r="H867" s="254"/>
      <c r="I867" s="254"/>
      <c r="J867" s="254"/>
      <c r="K867" s="254"/>
      <c r="M867" s="3" t="s">
        <v>217</v>
      </c>
      <c r="O867" s="3">
        <f t="shared" si="13"/>
        <v>867</v>
      </c>
    </row>
    <row r="868" spans="2:15" ht="13.15" customHeight="1">
      <c r="B868" s="254"/>
      <c r="C868" s="254"/>
      <c r="D868" s="254"/>
      <c r="E868" s="254"/>
      <c r="F868" s="254"/>
      <c r="G868" s="254"/>
      <c r="H868" s="254"/>
      <c r="I868" s="254"/>
      <c r="J868" s="254"/>
      <c r="K868" s="254"/>
      <c r="M868" s="3" t="s">
        <v>217</v>
      </c>
      <c r="O868" s="3">
        <f t="shared" si="13"/>
        <v>868</v>
      </c>
    </row>
    <row r="869" spans="2:15" ht="13.15" customHeight="1">
      <c r="B869" s="254"/>
      <c r="C869" s="254"/>
      <c r="D869" s="254"/>
      <c r="E869" s="254"/>
      <c r="F869" s="254"/>
      <c r="G869" s="254"/>
      <c r="H869" s="254"/>
      <c r="I869" s="254"/>
      <c r="J869" s="254"/>
      <c r="K869" s="254"/>
      <c r="M869" s="3" t="s">
        <v>217</v>
      </c>
      <c r="O869" s="3">
        <f t="shared" si="13"/>
        <v>869</v>
      </c>
    </row>
    <row r="870" spans="2:15" ht="13.15" customHeight="1">
      <c r="B870" s="254"/>
      <c r="C870" s="254"/>
      <c r="D870" s="254"/>
      <c r="E870" s="254"/>
      <c r="F870" s="254"/>
      <c r="G870" s="254"/>
      <c r="H870" s="254"/>
      <c r="I870" s="254"/>
      <c r="J870" s="254"/>
      <c r="K870" s="254"/>
      <c r="M870" s="3" t="s">
        <v>217</v>
      </c>
      <c r="O870" s="3">
        <f t="shared" si="13"/>
        <v>870</v>
      </c>
    </row>
    <row r="871" spans="2:15" ht="13.15" customHeight="1">
      <c r="B871" s="254"/>
      <c r="C871" s="254"/>
      <c r="D871" s="254"/>
      <c r="E871" s="254"/>
      <c r="F871" s="254"/>
      <c r="G871" s="254"/>
      <c r="H871" s="254"/>
      <c r="I871" s="254"/>
      <c r="J871" s="254"/>
      <c r="K871" s="254"/>
      <c r="M871" s="3" t="s">
        <v>217</v>
      </c>
      <c r="O871" s="3">
        <f t="shared" si="13"/>
        <v>871</v>
      </c>
    </row>
    <row r="872" spans="2:15" ht="13.15" customHeight="1">
      <c r="B872" s="254"/>
      <c r="C872" s="254"/>
      <c r="D872" s="254"/>
      <c r="E872" s="254"/>
      <c r="F872" s="254"/>
      <c r="G872" s="254"/>
      <c r="H872" s="254"/>
      <c r="I872" s="254"/>
      <c r="J872" s="254"/>
      <c r="K872" s="254"/>
      <c r="M872" s="3" t="s">
        <v>217</v>
      </c>
      <c r="O872" s="3">
        <f t="shared" si="13"/>
        <v>872</v>
      </c>
    </row>
    <row r="873" spans="2:15" ht="13.15" customHeight="1">
      <c r="B873" s="254"/>
      <c r="C873" s="254"/>
      <c r="D873" s="254"/>
      <c r="E873" s="254"/>
      <c r="F873" s="254"/>
      <c r="G873" s="254"/>
      <c r="H873" s="254"/>
      <c r="I873" s="254"/>
      <c r="J873" s="254"/>
      <c r="K873" s="254"/>
      <c r="M873" s="3" t="s">
        <v>217</v>
      </c>
      <c r="O873" s="3">
        <f t="shared" si="13"/>
        <v>873</v>
      </c>
    </row>
    <row r="874" spans="2:15" ht="13.15" customHeight="1">
      <c r="B874" s="142"/>
      <c r="C874" s="142"/>
      <c r="D874" s="142"/>
      <c r="E874" s="142"/>
      <c r="F874" s="142"/>
      <c r="G874" s="142"/>
      <c r="H874" s="142"/>
      <c r="I874" s="142"/>
      <c r="J874" s="142"/>
      <c r="K874" s="142"/>
      <c r="M874" s="3" t="s">
        <v>217</v>
      </c>
      <c r="O874" s="3">
        <f t="shared" si="13"/>
        <v>874</v>
      </c>
    </row>
    <row r="875" spans="2:15" ht="13.15" customHeight="1">
      <c r="B875" s="157" t="s">
        <v>356</v>
      </c>
      <c r="C875" s="254" t="s">
        <v>318</v>
      </c>
      <c r="D875" s="254"/>
      <c r="E875" s="254"/>
      <c r="F875" s="254"/>
      <c r="G875" s="254"/>
      <c r="H875" s="254"/>
      <c r="I875" s="254"/>
      <c r="J875" s="254"/>
      <c r="K875" s="254"/>
      <c r="M875" s="3" t="s">
        <v>217</v>
      </c>
      <c r="O875" s="3">
        <f t="shared" si="13"/>
        <v>875</v>
      </c>
    </row>
    <row r="876" spans="2:15" ht="13.15" customHeight="1">
      <c r="C876" s="254"/>
      <c r="D876" s="254"/>
      <c r="E876" s="254"/>
      <c r="F876" s="254"/>
      <c r="G876" s="254"/>
      <c r="H876" s="254"/>
      <c r="I876" s="254"/>
      <c r="J876" s="254"/>
      <c r="K876" s="254"/>
      <c r="M876" s="3" t="s">
        <v>217</v>
      </c>
      <c r="O876" s="3">
        <f t="shared" si="13"/>
        <v>876</v>
      </c>
    </row>
    <row r="877" spans="2:15" ht="13.15" customHeight="1">
      <c r="B877" s="85"/>
      <c r="C877" s="254"/>
      <c r="D877" s="254"/>
      <c r="E877" s="254"/>
      <c r="F877" s="254"/>
      <c r="G877" s="254"/>
      <c r="H877" s="254"/>
      <c r="I877" s="254"/>
      <c r="J877" s="254"/>
      <c r="K877" s="254"/>
      <c r="M877" s="3" t="s">
        <v>217</v>
      </c>
      <c r="O877" s="3">
        <f t="shared" si="13"/>
        <v>877</v>
      </c>
    </row>
    <row r="878" spans="2:15" ht="13.15" customHeight="1">
      <c r="B878" s="85"/>
      <c r="C878" s="142"/>
      <c r="D878" s="142"/>
      <c r="E878" s="142"/>
      <c r="F878" s="142"/>
      <c r="G878" s="142"/>
      <c r="H878" s="142"/>
      <c r="I878" s="142"/>
      <c r="J878" s="142"/>
      <c r="K878" s="142"/>
      <c r="M878" s="3" t="s">
        <v>217</v>
      </c>
      <c r="O878" s="3">
        <f t="shared" si="13"/>
        <v>878</v>
      </c>
    </row>
    <row r="879" spans="2:15" ht="13.15" customHeight="1">
      <c r="B879" s="157" t="s">
        <v>356</v>
      </c>
      <c r="C879" s="254" t="s">
        <v>202</v>
      </c>
      <c r="D879" s="254"/>
      <c r="E879" s="254"/>
      <c r="F879" s="254"/>
      <c r="G879" s="254"/>
      <c r="H879" s="254"/>
      <c r="I879" s="254"/>
      <c r="J879" s="254"/>
      <c r="K879" s="254"/>
      <c r="M879" s="3" t="s">
        <v>217</v>
      </c>
      <c r="O879" s="3">
        <f t="shared" ref="O879:O942" si="14">ROW(M879)</f>
        <v>879</v>
      </c>
    </row>
    <row r="880" spans="2:15" ht="13.15" customHeight="1">
      <c r="C880" s="254"/>
      <c r="D880" s="254"/>
      <c r="E880" s="254"/>
      <c r="F880" s="254"/>
      <c r="G880" s="254"/>
      <c r="H880" s="254"/>
      <c r="I880" s="254"/>
      <c r="J880" s="254"/>
      <c r="K880" s="254"/>
      <c r="M880" s="3" t="s">
        <v>217</v>
      </c>
      <c r="O880" s="3">
        <f t="shared" si="14"/>
        <v>880</v>
      </c>
    </row>
    <row r="881" spans="1:15" ht="13.15" customHeight="1">
      <c r="C881" s="254"/>
      <c r="D881" s="254"/>
      <c r="E881" s="254"/>
      <c r="F881" s="254"/>
      <c r="G881" s="254"/>
      <c r="H881" s="254"/>
      <c r="I881" s="254"/>
      <c r="J881" s="254"/>
      <c r="K881" s="254"/>
      <c r="M881" s="3" t="s">
        <v>217</v>
      </c>
      <c r="O881" s="3">
        <f t="shared" si="14"/>
        <v>881</v>
      </c>
    </row>
    <row r="882" spans="1:15" ht="13.15" customHeight="1">
      <c r="C882" s="142"/>
      <c r="D882" s="142"/>
      <c r="E882" s="142"/>
      <c r="F882" s="142"/>
      <c r="G882" s="142"/>
      <c r="H882" s="142"/>
      <c r="I882" s="142"/>
      <c r="J882" s="142"/>
      <c r="K882" s="142"/>
      <c r="M882" s="3" t="s">
        <v>217</v>
      </c>
      <c r="O882" s="3">
        <f t="shared" si="14"/>
        <v>882</v>
      </c>
    </row>
    <row r="883" spans="1:15" ht="13.15" customHeight="1">
      <c r="A883" s="139" t="s">
        <v>413</v>
      </c>
      <c r="B883" s="254" t="s">
        <v>330</v>
      </c>
      <c r="C883" s="254"/>
      <c r="D883" s="254"/>
      <c r="E883" s="254"/>
      <c r="F883" s="254"/>
      <c r="G883" s="254"/>
      <c r="H883" s="254"/>
      <c r="I883" s="254"/>
      <c r="J883" s="254"/>
      <c r="K883" s="254"/>
      <c r="L883" s="3">
        <v>59</v>
      </c>
      <c r="M883" s="3">
        <v>21</v>
      </c>
      <c r="N883" s="3">
        <v>13</v>
      </c>
      <c r="O883" s="3">
        <f t="shared" si="14"/>
        <v>883</v>
      </c>
    </row>
    <row r="884" spans="1:15" ht="13.15" customHeight="1">
      <c r="B884" s="254"/>
      <c r="C884" s="254"/>
      <c r="D884" s="254"/>
      <c r="E884" s="254"/>
      <c r="F884" s="254"/>
      <c r="G884" s="254"/>
      <c r="H884" s="254"/>
      <c r="I884" s="254"/>
      <c r="J884" s="254"/>
      <c r="K884" s="254"/>
      <c r="M884" s="3" t="s">
        <v>217</v>
      </c>
      <c r="O884" s="3">
        <f t="shared" si="14"/>
        <v>884</v>
      </c>
    </row>
    <row r="885" spans="1:15" ht="13.15" customHeight="1">
      <c r="B885" s="254"/>
      <c r="C885" s="254"/>
      <c r="D885" s="254"/>
      <c r="E885" s="254"/>
      <c r="F885" s="254"/>
      <c r="G885" s="254"/>
      <c r="H885" s="254"/>
      <c r="I885" s="254"/>
      <c r="J885" s="254"/>
      <c r="K885" s="254"/>
      <c r="M885" s="3" t="s">
        <v>217</v>
      </c>
      <c r="O885" s="3">
        <f t="shared" si="14"/>
        <v>885</v>
      </c>
    </row>
    <row r="886" spans="1:15" ht="13.15" customHeight="1">
      <c r="B886" s="254"/>
      <c r="C886" s="254"/>
      <c r="D886" s="254"/>
      <c r="E886" s="254"/>
      <c r="F886" s="254"/>
      <c r="G886" s="254"/>
      <c r="H886" s="254"/>
      <c r="I886" s="254"/>
      <c r="J886" s="254"/>
      <c r="K886" s="254"/>
      <c r="M886" s="3" t="s">
        <v>217</v>
      </c>
      <c r="O886" s="3">
        <f t="shared" si="14"/>
        <v>886</v>
      </c>
    </row>
    <row r="887" spans="1:15" ht="13.15" customHeight="1">
      <c r="B887" s="254"/>
      <c r="C887" s="254"/>
      <c r="D887" s="254"/>
      <c r="E887" s="254"/>
      <c r="F887" s="254"/>
      <c r="G887" s="254"/>
      <c r="H887" s="254"/>
      <c r="I887" s="254"/>
      <c r="J887" s="254"/>
      <c r="K887" s="254"/>
      <c r="M887" s="3" t="s">
        <v>217</v>
      </c>
      <c r="O887" s="3">
        <f t="shared" si="14"/>
        <v>887</v>
      </c>
    </row>
    <row r="888" spans="1:15" ht="13.15" customHeight="1">
      <c r="B888" s="254"/>
      <c r="C888" s="254"/>
      <c r="D888" s="254"/>
      <c r="E888" s="254"/>
      <c r="F888" s="254"/>
      <c r="G888" s="254"/>
      <c r="H888" s="254"/>
      <c r="I888" s="254"/>
      <c r="J888" s="254"/>
      <c r="K888" s="254"/>
      <c r="M888" s="3" t="s">
        <v>217</v>
      </c>
      <c r="O888" s="3">
        <f t="shared" si="14"/>
        <v>888</v>
      </c>
    </row>
    <row r="889" spans="1:15" ht="13.15" customHeight="1">
      <c r="B889" s="254"/>
      <c r="C889" s="254"/>
      <c r="D889" s="254"/>
      <c r="E889" s="254"/>
      <c r="F889" s="254"/>
      <c r="G889" s="254"/>
      <c r="H889" s="254"/>
      <c r="I889" s="254"/>
      <c r="J889" s="254"/>
      <c r="K889" s="254"/>
      <c r="M889" s="3" t="s">
        <v>217</v>
      </c>
      <c r="O889" s="3">
        <f t="shared" si="14"/>
        <v>889</v>
      </c>
    </row>
    <row r="890" spans="1:15" ht="13.15" customHeight="1">
      <c r="B890" s="254"/>
      <c r="C890" s="254"/>
      <c r="D890" s="254"/>
      <c r="E890" s="254"/>
      <c r="F890" s="254"/>
      <c r="G890" s="254"/>
      <c r="H890" s="254"/>
      <c r="I890" s="254"/>
      <c r="J890" s="254"/>
      <c r="K890" s="254"/>
      <c r="M890" s="3" t="s">
        <v>217</v>
      </c>
      <c r="O890" s="3">
        <f t="shared" si="14"/>
        <v>890</v>
      </c>
    </row>
    <row r="891" spans="1:15" ht="13.15" customHeight="1">
      <c r="B891" s="254"/>
      <c r="C891" s="254"/>
      <c r="D891" s="254"/>
      <c r="E891" s="254"/>
      <c r="F891" s="254"/>
      <c r="G891" s="254"/>
      <c r="H891" s="254"/>
      <c r="I891" s="254"/>
      <c r="J891" s="254"/>
      <c r="K891" s="254"/>
      <c r="M891" s="3" t="s">
        <v>217</v>
      </c>
      <c r="O891" s="3">
        <f t="shared" si="14"/>
        <v>891</v>
      </c>
    </row>
    <row r="892" spans="1:15" ht="13.15" customHeight="1">
      <c r="B892" s="254"/>
      <c r="C892" s="254"/>
      <c r="D892" s="254"/>
      <c r="E892" s="254"/>
      <c r="F892" s="254"/>
      <c r="G892" s="254"/>
      <c r="H892" s="254"/>
      <c r="I892" s="254"/>
      <c r="J892" s="254"/>
      <c r="K892" s="254"/>
      <c r="M892" s="3" t="s">
        <v>217</v>
      </c>
      <c r="O892" s="3">
        <f t="shared" si="14"/>
        <v>892</v>
      </c>
    </row>
    <row r="893" spans="1:15" ht="13.15" customHeight="1">
      <c r="B893" s="254"/>
      <c r="C893" s="254"/>
      <c r="D893" s="254"/>
      <c r="E893" s="254"/>
      <c r="F893" s="254"/>
      <c r="G893" s="254"/>
      <c r="H893" s="254"/>
      <c r="I893" s="254"/>
      <c r="J893" s="254"/>
      <c r="K893" s="254"/>
      <c r="M893" s="3" t="s">
        <v>217</v>
      </c>
      <c r="O893" s="3">
        <f t="shared" si="14"/>
        <v>893</v>
      </c>
    </row>
    <row r="894" spans="1:15" ht="13.15" customHeight="1">
      <c r="B894" s="254"/>
      <c r="C894" s="254"/>
      <c r="D894" s="254"/>
      <c r="E894" s="254"/>
      <c r="F894" s="254"/>
      <c r="G894" s="254"/>
      <c r="H894" s="254"/>
      <c r="I894" s="254"/>
      <c r="J894" s="254"/>
      <c r="K894" s="254"/>
      <c r="M894" s="3" t="s">
        <v>217</v>
      </c>
      <c r="O894" s="3">
        <f t="shared" si="14"/>
        <v>894</v>
      </c>
    </row>
    <row r="895" spans="1:15" ht="13.15" customHeight="1">
      <c r="B895" s="254"/>
      <c r="C895" s="254"/>
      <c r="D895" s="254"/>
      <c r="E895" s="254"/>
      <c r="F895" s="254"/>
      <c r="G895" s="254"/>
      <c r="H895" s="254"/>
      <c r="I895" s="254"/>
      <c r="J895" s="254"/>
      <c r="K895" s="254"/>
      <c r="M895" s="3" t="s">
        <v>217</v>
      </c>
      <c r="O895" s="3">
        <f t="shared" si="14"/>
        <v>895</v>
      </c>
    </row>
    <row r="896" spans="1:15" ht="13.15" customHeight="1">
      <c r="B896" s="142"/>
      <c r="C896" s="142"/>
      <c r="D896" s="142"/>
      <c r="E896" s="142"/>
      <c r="F896" s="142"/>
      <c r="G896" s="142"/>
      <c r="H896" s="142"/>
      <c r="I896" s="142"/>
      <c r="J896" s="142"/>
      <c r="K896" s="142"/>
      <c r="M896" s="3" t="s">
        <v>217</v>
      </c>
      <c r="O896" s="3">
        <f t="shared" si="14"/>
        <v>896</v>
      </c>
    </row>
    <row r="897" spans="1:15" ht="13.15" customHeight="1">
      <c r="B897" s="157" t="s">
        <v>356</v>
      </c>
      <c r="C897" s="254" t="s">
        <v>318</v>
      </c>
      <c r="D897" s="254"/>
      <c r="E897" s="254"/>
      <c r="F897" s="254"/>
      <c r="G897" s="254"/>
      <c r="H897" s="254"/>
      <c r="I897" s="254"/>
      <c r="J897" s="254"/>
      <c r="K897" s="254"/>
      <c r="M897" s="3" t="s">
        <v>217</v>
      </c>
      <c r="O897" s="3">
        <f t="shared" si="14"/>
        <v>897</v>
      </c>
    </row>
    <row r="898" spans="1:15" ht="13.15" customHeight="1">
      <c r="C898" s="254"/>
      <c r="D898" s="254"/>
      <c r="E898" s="254"/>
      <c r="F898" s="254"/>
      <c r="G898" s="254"/>
      <c r="H898" s="254"/>
      <c r="I898" s="254"/>
      <c r="J898" s="254"/>
      <c r="K898" s="254"/>
      <c r="M898" s="3" t="s">
        <v>217</v>
      </c>
      <c r="O898" s="3">
        <f t="shared" si="14"/>
        <v>898</v>
      </c>
    </row>
    <row r="899" spans="1:15" ht="13.15" customHeight="1">
      <c r="B899" s="85"/>
      <c r="C899" s="254"/>
      <c r="D899" s="254"/>
      <c r="E899" s="254"/>
      <c r="F899" s="254"/>
      <c r="G899" s="254"/>
      <c r="H899" s="254"/>
      <c r="I899" s="254"/>
      <c r="J899" s="254"/>
      <c r="K899" s="254"/>
      <c r="M899" s="3" t="s">
        <v>217</v>
      </c>
      <c r="O899" s="3">
        <f t="shared" si="14"/>
        <v>899</v>
      </c>
    </row>
    <row r="900" spans="1:15" ht="13.15" customHeight="1">
      <c r="B900" s="85"/>
      <c r="C900" s="142"/>
      <c r="D900" s="142"/>
      <c r="E900" s="142"/>
      <c r="F900" s="142"/>
      <c r="G900" s="142"/>
      <c r="H900" s="142"/>
      <c r="I900" s="142"/>
      <c r="J900" s="142"/>
      <c r="K900" s="142"/>
      <c r="M900" s="3" t="s">
        <v>217</v>
      </c>
      <c r="O900" s="3">
        <f t="shared" si="14"/>
        <v>900</v>
      </c>
    </row>
    <row r="901" spans="1:15" ht="13.15" customHeight="1">
      <c r="B901" s="157" t="s">
        <v>356</v>
      </c>
      <c r="C901" s="254" t="s">
        <v>202</v>
      </c>
      <c r="D901" s="254"/>
      <c r="E901" s="254"/>
      <c r="F901" s="254"/>
      <c r="G901" s="254"/>
      <c r="H901" s="254"/>
      <c r="I901" s="254"/>
      <c r="J901" s="254"/>
      <c r="K901" s="254"/>
      <c r="M901" s="3" t="s">
        <v>217</v>
      </c>
      <c r="O901" s="3">
        <f t="shared" si="14"/>
        <v>901</v>
      </c>
    </row>
    <row r="902" spans="1:15" ht="13.15" customHeight="1">
      <c r="C902" s="254"/>
      <c r="D902" s="254"/>
      <c r="E902" s="254"/>
      <c r="F902" s="254"/>
      <c r="G902" s="254"/>
      <c r="H902" s="254"/>
      <c r="I902" s="254"/>
      <c r="J902" s="254"/>
      <c r="K902" s="254"/>
      <c r="M902" s="3" t="s">
        <v>217</v>
      </c>
      <c r="O902" s="3">
        <f t="shared" si="14"/>
        <v>902</v>
      </c>
    </row>
    <row r="903" spans="1:15" ht="13.15" customHeight="1">
      <c r="C903" s="254"/>
      <c r="D903" s="254"/>
      <c r="E903" s="254"/>
      <c r="F903" s="254"/>
      <c r="G903" s="254"/>
      <c r="H903" s="254"/>
      <c r="I903" s="254"/>
      <c r="J903" s="254"/>
      <c r="K903" s="254"/>
      <c r="M903" s="3" t="s">
        <v>217</v>
      </c>
      <c r="O903" s="3">
        <f t="shared" si="14"/>
        <v>903</v>
      </c>
    </row>
    <row r="904" spans="1:15" ht="13.15" customHeight="1">
      <c r="C904" s="142"/>
      <c r="D904" s="142"/>
      <c r="E904" s="142"/>
      <c r="F904" s="142"/>
      <c r="G904" s="142"/>
      <c r="H904" s="142"/>
      <c r="I904" s="142"/>
      <c r="J904" s="142"/>
      <c r="K904" s="142"/>
      <c r="M904" s="3" t="s">
        <v>217</v>
      </c>
      <c r="O904" s="3">
        <f t="shared" si="14"/>
        <v>904</v>
      </c>
    </row>
    <row r="905" spans="1:15" ht="13.15" customHeight="1">
      <c r="A905" s="139" t="s">
        <v>414</v>
      </c>
      <c r="B905" s="254" t="s">
        <v>319</v>
      </c>
      <c r="C905" s="254"/>
      <c r="D905" s="254"/>
      <c r="E905" s="254"/>
      <c r="F905" s="254"/>
      <c r="G905" s="254"/>
      <c r="H905" s="254"/>
      <c r="I905" s="254"/>
      <c r="J905" s="254"/>
      <c r="K905" s="254"/>
      <c r="L905" s="3">
        <v>60</v>
      </c>
      <c r="M905" s="3">
        <v>9</v>
      </c>
      <c r="N905" s="3">
        <v>6</v>
      </c>
      <c r="O905" s="3">
        <f t="shared" si="14"/>
        <v>905</v>
      </c>
    </row>
    <row r="906" spans="1:15" ht="13.15" customHeight="1">
      <c r="B906" s="254"/>
      <c r="C906" s="254"/>
      <c r="D906" s="254"/>
      <c r="E906" s="254"/>
      <c r="F906" s="254"/>
      <c r="G906" s="254"/>
      <c r="H906" s="254"/>
      <c r="I906" s="254"/>
      <c r="J906" s="254"/>
      <c r="K906" s="254"/>
      <c r="M906" s="3" t="s">
        <v>217</v>
      </c>
      <c r="O906" s="3">
        <f t="shared" si="14"/>
        <v>906</v>
      </c>
    </row>
    <row r="907" spans="1:15" ht="13.15" customHeight="1">
      <c r="B907" s="254"/>
      <c r="C907" s="254"/>
      <c r="D907" s="254"/>
      <c r="E907" s="254"/>
      <c r="F907" s="254"/>
      <c r="G907" s="254"/>
      <c r="H907" s="254"/>
      <c r="I907" s="254"/>
      <c r="J907" s="254"/>
      <c r="K907" s="254"/>
      <c r="M907" s="3" t="s">
        <v>217</v>
      </c>
      <c r="O907" s="3">
        <f t="shared" si="14"/>
        <v>907</v>
      </c>
    </row>
    <row r="908" spans="1:15" ht="13.15" customHeight="1">
      <c r="B908" s="254"/>
      <c r="C908" s="254"/>
      <c r="D908" s="254"/>
      <c r="E908" s="254"/>
      <c r="F908" s="254"/>
      <c r="G908" s="254"/>
      <c r="H908" s="254"/>
      <c r="I908" s="254"/>
      <c r="J908" s="254"/>
      <c r="K908" s="254"/>
      <c r="M908" s="3" t="s">
        <v>217</v>
      </c>
      <c r="O908" s="3">
        <f t="shared" si="14"/>
        <v>908</v>
      </c>
    </row>
    <row r="909" spans="1:15" ht="13.15" customHeight="1">
      <c r="B909" s="254"/>
      <c r="C909" s="254"/>
      <c r="D909" s="254"/>
      <c r="E909" s="254"/>
      <c r="F909" s="254"/>
      <c r="G909" s="254"/>
      <c r="H909" s="254"/>
      <c r="I909" s="254"/>
      <c r="J909" s="254"/>
      <c r="K909" s="254"/>
      <c r="M909" s="3" t="s">
        <v>217</v>
      </c>
      <c r="O909" s="3">
        <f t="shared" si="14"/>
        <v>909</v>
      </c>
    </row>
    <row r="910" spans="1:15" ht="13.15" customHeight="1">
      <c r="B910" s="254"/>
      <c r="C910" s="254"/>
      <c r="D910" s="254"/>
      <c r="E910" s="254"/>
      <c r="F910" s="254"/>
      <c r="G910" s="254"/>
      <c r="H910" s="254"/>
      <c r="I910" s="254"/>
      <c r="J910" s="254"/>
      <c r="K910" s="254"/>
      <c r="M910" s="3" t="s">
        <v>217</v>
      </c>
      <c r="O910" s="3">
        <f t="shared" si="14"/>
        <v>910</v>
      </c>
    </row>
    <row r="911" spans="1:15" ht="13.15" customHeight="1">
      <c r="B911" s="155"/>
      <c r="C911" s="155"/>
      <c r="D911" s="155"/>
      <c r="E911" s="155"/>
      <c r="F911" s="155"/>
      <c r="G911" s="155"/>
      <c r="H911" s="155"/>
      <c r="I911" s="155"/>
      <c r="J911" s="155"/>
      <c r="K911" s="155"/>
      <c r="M911" s="3" t="s">
        <v>217</v>
      </c>
      <c r="O911" s="3">
        <f t="shared" si="14"/>
        <v>911</v>
      </c>
    </row>
    <row r="912" spans="1:15" ht="13.15" customHeight="1">
      <c r="B912" s="157" t="s">
        <v>356</v>
      </c>
      <c r="C912" s="279" t="s">
        <v>320</v>
      </c>
      <c r="D912" s="279"/>
      <c r="E912" s="279"/>
      <c r="F912" s="279"/>
      <c r="G912" s="279"/>
      <c r="H912" s="279"/>
      <c r="I912" s="279"/>
      <c r="J912" s="279"/>
      <c r="K912" s="279"/>
      <c r="M912" s="3" t="s">
        <v>217</v>
      </c>
      <c r="O912" s="3">
        <f t="shared" si="14"/>
        <v>912</v>
      </c>
    </row>
    <row r="913" spans="1:15" ht="13.15" customHeight="1">
      <c r="B913" s="116"/>
      <c r="C913" s="279"/>
      <c r="D913" s="279"/>
      <c r="E913" s="279"/>
      <c r="F913" s="279"/>
      <c r="G913" s="279"/>
      <c r="H913" s="279"/>
      <c r="I913" s="279"/>
      <c r="J913" s="279"/>
      <c r="K913" s="279"/>
      <c r="M913" s="3" t="s">
        <v>217</v>
      </c>
      <c r="O913" s="3">
        <f t="shared" si="14"/>
        <v>913</v>
      </c>
    </row>
    <row r="914" spans="1:15" ht="13.15" customHeight="1">
      <c r="M914" s="3" t="s">
        <v>217</v>
      </c>
      <c r="O914" s="3">
        <f t="shared" si="14"/>
        <v>914</v>
      </c>
    </row>
    <row r="915" spans="1:15" ht="13.15" customHeight="1">
      <c r="A915" s="139" t="s">
        <v>415</v>
      </c>
      <c r="B915" s="254" t="s">
        <v>321</v>
      </c>
      <c r="C915" s="254"/>
      <c r="D915" s="254"/>
      <c r="E915" s="254"/>
      <c r="F915" s="254"/>
      <c r="G915" s="254"/>
      <c r="H915" s="254"/>
      <c r="I915" s="254"/>
      <c r="J915" s="254"/>
      <c r="K915" s="254"/>
      <c r="L915" s="3">
        <v>61</v>
      </c>
      <c r="M915" s="3">
        <v>13</v>
      </c>
      <c r="N915" s="3">
        <v>4</v>
      </c>
      <c r="O915" s="3">
        <f t="shared" si="14"/>
        <v>915</v>
      </c>
    </row>
    <row r="916" spans="1:15" ht="13.15" customHeight="1">
      <c r="B916" s="254"/>
      <c r="C916" s="254"/>
      <c r="D916" s="254"/>
      <c r="E916" s="254"/>
      <c r="F916" s="254"/>
      <c r="G916" s="254"/>
      <c r="H916" s="254"/>
      <c r="I916" s="254"/>
      <c r="J916" s="254"/>
      <c r="K916" s="254"/>
      <c r="M916" s="3" t="s">
        <v>217</v>
      </c>
      <c r="O916" s="3">
        <f t="shared" si="14"/>
        <v>916</v>
      </c>
    </row>
    <row r="917" spans="1:15" ht="13.15" customHeight="1">
      <c r="B917" s="254"/>
      <c r="C917" s="254"/>
      <c r="D917" s="254"/>
      <c r="E917" s="254"/>
      <c r="F917" s="254"/>
      <c r="G917" s="254"/>
      <c r="H917" s="254"/>
      <c r="I917" s="254"/>
      <c r="J917" s="254"/>
      <c r="K917" s="254"/>
      <c r="M917" s="3" t="s">
        <v>217</v>
      </c>
      <c r="O917" s="3">
        <f t="shared" si="14"/>
        <v>917</v>
      </c>
    </row>
    <row r="918" spans="1:15" ht="13.15" customHeight="1">
      <c r="B918" s="254"/>
      <c r="C918" s="254"/>
      <c r="D918" s="254"/>
      <c r="E918" s="254"/>
      <c r="F918" s="254"/>
      <c r="G918" s="254"/>
      <c r="H918" s="254"/>
      <c r="I918" s="254"/>
      <c r="J918" s="254"/>
      <c r="K918" s="254"/>
      <c r="M918" s="3" t="s">
        <v>217</v>
      </c>
      <c r="O918" s="3">
        <f t="shared" si="14"/>
        <v>918</v>
      </c>
    </row>
    <row r="919" spans="1:15" ht="13.15" customHeight="1">
      <c r="B919" s="142"/>
      <c r="C919" s="142"/>
      <c r="D919" s="142"/>
      <c r="E919" s="142"/>
      <c r="F919" s="142"/>
      <c r="G919" s="142"/>
      <c r="H919" s="142"/>
      <c r="I919" s="142"/>
      <c r="J919" s="142"/>
      <c r="K919" s="142"/>
      <c r="M919" s="3" t="s">
        <v>217</v>
      </c>
      <c r="O919" s="3">
        <f t="shared" si="14"/>
        <v>919</v>
      </c>
    </row>
    <row r="920" spans="1:15" ht="13.15" customHeight="1">
      <c r="B920" s="157" t="s">
        <v>356</v>
      </c>
      <c r="C920" s="254" t="s">
        <v>322</v>
      </c>
      <c r="D920" s="254"/>
      <c r="E920" s="254"/>
      <c r="F920" s="254"/>
      <c r="G920" s="254"/>
      <c r="H920" s="254"/>
      <c r="I920" s="254"/>
      <c r="J920" s="254"/>
      <c r="K920" s="254"/>
      <c r="M920" s="3" t="s">
        <v>217</v>
      </c>
      <c r="O920" s="3">
        <f t="shared" si="14"/>
        <v>920</v>
      </c>
    </row>
    <row r="921" spans="1:15" ht="13.15" customHeight="1">
      <c r="C921" s="254"/>
      <c r="D921" s="254"/>
      <c r="E921" s="254"/>
      <c r="F921" s="254"/>
      <c r="G921" s="254"/>
      <c r="H921" s="254"/>
      <c r="I921" s="254"/>
      <c r="J921" s="254"/>
      <c r="K921" s="254"/>
      <c r="M921" s="3" t="s">
        <v>217</v>
      </c>
      <c r="O921" s="3">
        <f t="shared" si="14"/>
        <v>921</v>
      </c>
    </row>
    <row r="922" spans="1:15" ht="13.15" customHeight="1">
      <c r="C922" s="254"/>
      <c r="D922" s="254"/>
      <c r="E922" s="254"/>
      <c r="F922" s="254"/>
      <c r="G922" s="254"/>
      <c r="H922" s="254"/>
      <c r="I922" s="254"/>
      <c r="J922" s="254"/>
      <c r="K922" s="254"/>
      <c r="M922" s="3" t="s">
        <v>217</v>
      </c>
      <c r="O922" s="3">
        <f t="shared" si="14"/>
        <v>922</v>
      </c>
    </row>
    <row r="923" spans="1:15" ht="13.15" customHeight="1">
      <c r="C923" s="254"/>
      <c r="D923" s="254"/>
      <c r="E923" s="254"/>
      <c r="F923" s="254"/>
      <c r="G923" s="254"/>
      <c r="H923" s="254"/>
      <c r="I923" s="254"/>
      <c r="J923" s="254"/>
      <c r="K923" s="254"/>
      <c r="M923" s="3" t="s">
        <v>217</v>
      </c>
      <c r="O923" s="3">
        <f t="shared" si="14"/>
        <v>923</v>
      </c>
    </row>
    <row r="924" spans="1:15" ht="13.15" customHeight="1">
      <c r="C924" s="254"/>
      <c r="D924" s="254"/>
      <c r="E924" s="254"/>
      <c r="F924" s="254"/>
      <c r="G924" s="254"/>
      <c r="H924" s="254"/>
      <c r="I924" s="254"/>
      <c r="J924" s="254"/>
      <c r="K924" s="254"/>
      <c r="M924" s="3" t="s">
        <v>217</v>
      </c>
      <c r="O924" s="3">
        <f t="shared" si="14"/>
        <v>924</v>
      </c>
    </row>
    <row r="925" spans="1:15" ht="13.15" customHeight="1">
      <c r="C925" s="254"/>
      <c r="D925" s="254"/>
      <c r="E925" s="254"/>
      <c r="F925" s="254"/>
      <c r="G925" s="254"/>
      <c r="H925" s="254"/>
      <c r="I925" s="254"/>
      <c r="J925" s="254"/>
      <c r="K925" s="254"/>
      <c r="O925" s="3">
        <f t="shared" si="14"/>
        <v>925</v>
      </c>
    </row>
    <row r="926" spans="1:15" ht="13.15" customHeight="1">
      <c r="C926" s="254"/>
      <c r="D926" s="254"/>
      <c r="E926" s="254"/>
      <c r="F926" s="254"/>
      <c r="G926" s="254"/>
      <c r="H926" s="254"/>
      <c r="I926" s="254"/>
      <c r="J926" s="254"/>
      <c r="K926" s="254"/>
      <c r="M926" s="3" t="s">
        <v>217</v>
      </c>
      <c r="O926" s="3">
        <f t="shared" si="14"/>
        <v>926</v>
      </c>
    </row>
    <row r="927" spans="1:15" ht="13.15" customHeight="1">
      <c r="A927" s="3"/>
      <c r="C927" s="254"/>
      <c r="D927" s="254"/>
      <c r="E927" s="254"/>
      <c r="F927" s="254"/>
      <c r="G927" s="254"/>
      <c r="H927" s="254"/>
      <c r="I927" s="254"/>
      <c r="J927" s="254"/>
      <c r="K927" s="254"/>
      <c r="M927" s="3" t="s">
        <v>217</v>
      </c>
      <c r="O927" s="3">
        <f t="shared" si="14"/>
        <v>927</v>
      </c>
    </row>
    <row r="928" spans="1:15" ht="13.15" customHeight="1">
      <c r="B928" s="3" t="s">
        <v>146</v>
      </c>
      <c r="M928" s="3" t="s">
        <v>217</v>
      </c>
      <c r="O928" s="3">
        <f t="shared" si="14"/>
        <v>928</v>
      </c>
    </row>
    <row r="929" spans="1:15" ht="13.15" customHeight="1">
      <c r="A929" s="139" t="s">
        <v>416</v>
      </c>
      <c r="B929" s="254" t="s">
        <v>323</v>
      </c>
      <c r="C929" s="254"/>
      <c r="D929" s="254"/>
      <c r="E929" s="254"/>
      <c r="F929" s="254"/>
      <c r="G929" s="254"/>
      <c r="H929" s="254"/>
      <c r="I929" s="254"/>
      <c r="J929" s="254"/>
      <c r="K929" s="254"/>
      <c r="L929" s="3">
        <v>62</v>
      </c>
      <c r="M929" s="3">
        <v>18</v>
      </c>
      <c r="N929" s="3">
        <v>6</v>
      </c>
      <c r="O929" s="3">
        <f t="shared" si="14"/>
        <v>929</v>
      </c>
    </row>
    <row r="930" spans="1:15" ht="13.15" customHeight="1">
      <c r="B930" s="254"/>
      <c r="C930" s="254"/>
      <c r="D930" s="254"/>
      <c r="E930" s="254"/>
      <c r="F930" s="254"/>
      <c r="G930" s="254"/>
      <c r="H930" s="254"/>
      <c r="I930" s="254"/>
      <c r="J930" s="254"/>
      <c r="K930" s="254"/>
      <c r="M930" s="3" t="s">
        <v>217</v>
      </c>
      <c r="O930" s="3">
        <f t="shared" si="14"/>
        <v>930</v>
      </c>
    </row>
    <row r="931" spans="1:15" ht="13.15" customHeight="1">
      <c r="B931" s="254"/>
      <c r="C931" s="254"/>
      <c r="D931" s="254"/>
      <c r="E931" s="254"/>
      <c r="F931" s="254"/>
      <c r="G931" s="254"/>
      <c r="H931" s="254"/>
      <c r="I931" s="254"/>
      <c r="J931" s="254"/>
      <c r="K931" s="254"/>
      <c r="M931" s="3" t="s">
        <v>217</v>
      </c>
      <c r="O931" s="3">
        <f t="shared" si="14"/>
        <v>931</v>
      </c>
    </row>
    <row r="932" spans="1:15" ht="13.15" customHeight="1">
      <c r="B932" s="254"/>
      <c r="C932" s="254"/>
      <c r="D932" s="254"/>
      <c r="E932" s="254"/>
      <c r="F932" s="254"/>
      <c r="G932" s="254"/>
      <c r="H932" s="254"/>
      <c r="I932" s="254"/>
      <c r="J932" s="254"/>
      <c r="K932" s="254"/>
      <c r="M932" s="3" t="s">
        <v>217</v>
      </c>
      <c r="O932" s="3">
        <f t="shared" si="14"/>
        <v>932</v>
      </c>
    </row>
    <row r="933" spans="1:15" ht="13.15" customHeight="1">
      <c r="B933" s="254"/>
      <c r="C933" s="254"/>
      <c r="D933" s="254"/>
      <c r="E933" s="254"/>
      <c r="F933" s="254"/>
      <c r="G933" s="254"/>
      <c r="H933" s="254"/>
      <c r="I933" s="254"/>
      <c r="J933" s="254"/>
      <c r="K933" s="254"/>
      <c r="M933" s="3" t="s">
        <v>217</v>
      </c>
      <c r="O933" s="3">
        <f t="shared" si="14"/>
        <v>933</v>
      </c>
    </row>
    <row r="934" spans="1:15" ht="13.15" customHeight="1">
      <c r="B934" s="254"/>
      <c r="C934" s="254"/>
      <c r="D934" s="254"/>
      <c r="E934" s="254"/>
      <c r="F934" s="254"/>
      <c r="G934" s="254"/>
      <c r="H934" s="254"/>
      <c r="I934" s="254"/>
      <c r="J934" s="254"/>
      <c r="K934" s="254"/>
      <c r="M934" s="3" t="s">
        <v>217</v>
      </c>
      <c r="O934" s="3">
        <f t="shared" si="14"/>
        <v>934</v>
      </c>
    </row>
    <row r="935" spans="1:15" ht="13.15" customHeight="1">
      <c r="B935" s="142"/>
      <c r="C935" s="142"/>
      <c r="D935" s="142"/>
      <c r="E935" s="142"/>
      <c r="F935" s="142"/>
      <c r="G935" s="142"/>
      <c r="H935" s="142"/>
      <c r="I935" s="142"/>
      <c r="J935" s="142"/>
      <c r="K935" s="142"/>
      <c r="M935" s="3" t="s">
        <v>217</v>
      </c>
      <c r="O935" s="3">
        <f t="shared" si="14"/>
        <v>935</v>
      </c>
    </row>
    <row r="936" spans="1:15" ht="13.15" customHeight="1">
      <c r="B936" s="157" t="s">
        <v>356</v>
      </c>
      <c r="C936" s="254" t="s">
        <v>324</v>
      </c>
      <c r="D936" s="254"/>
      <c r="E936" s="254"/>
      <c r="F936" s="254"/>
      <c r="G936" s="254"/>
      <c r="H936" s="254"/>
      <c r="I936" s="254"/>
      <c r="J936" s="254"/>
      <c r="K936" s="254"/>
      <c r="M936" s="3" t="s">
        <v>217</v>
      </c>
      <c r="O936" s="3">
        <f t="shared" si="14"/>
        <v>936</v>
      </c>
    </row>
    <row r="937" spans="1:15" ht="13.15" customHeight="1">
      <c r="B937" s="55"/>
      <c r="C937" s="254"/>
      <c r="D937" s="254"/>
      <c r="E937" s="254"/>
      <c r="F937" s="254"/>
      <c r="G937" s="254"/>
      <c r="H937" s="254"/>
      <c r="I937" s="254"/>
      <c r="J937" s="254"/>
      <c r="K937" s="254"/>
      <c r="M937" s="3" t="s">
        <v>217</v>
      </c>
      <c r="O937" s="3">
        <f t="shared" si="14"/>
        <v>937</v>
      </c>
    </row>
    <row r="938" spans="1:15" ht="13.15" customHeight="1">
      <c r="B938" s="55"/>
      <c r="C938" s="254"/>
      <c r="D938" s="254"/>
      <c r="E938" s="254"/>
      <c r="F938" s="254"/>
      <c r="G938" s="254"/>
      <c r="H938" s="254"/>
      <c r="I938" s="254"/>
      <c r="J938" s="254"/>
      <c r="K938" s="254"/>
      <c r="M938" s="3" t="s">
        <v>217</v>
      </c>
      <c r="O938" s="3">
        <f t="shared" si="14"/>
        <v>938</v>
      </c>
    </row>
    <row r="939" spans="1:15" ht="13.15" customHeight="1">
      <c r="B939" s="55"/>
      <c r="C939" s="254"/>
      <c r="D939" s="254"/>
      <c r="E939" s="254"/>
      <c r="F939" s="254"/>
      <c r="G939" s="254"/>
      <c r="H939" s="254"/>
      <c r="I939" s="254"/>
      <c r="J939" s="254"/>
      <c r="K939" s="254"/>
      <c r="M939" s="3" t="s">
        <v>217</v>
      </c>
      <c r="O939" s="3">
        <f t="shared" si="14"/>
        <v>939</v>
      </c>
    </row>
    <row r="940" spans="1:15" ht="13.15" customHeight="1">
      <c r="A940" s="3"/>
      <c r="B940" s="55"/>
      <c r="C940" s="254"/>
      <c r="D940" s="254"/>
      <c r="E940" s="254"/>
      <c r="F940" s="254"/>
      <c r="G940" s="254"/>
      <c r="H940" s="254"/>
      <c r="I940" s="254"/>
      <c r="J940" s="254"/>
      <c r="K940" s="254"/>
      <c r="M940" s="3" t="s">
        <v>217</v>
      </c>
      <c r="O940" s="3">
        <f t="shared" si="14"/>
        <v>940</v>
      </c>
    </row>
    <row r="941" spans="1:15" ht="13.15" customHeight="1">
      <c r="B941" s="55"/>
      <c r="C941" s="254"/>
      <c r="D941" s="254"/>
      <c r="E941" s="254"/>
      <c r="F941" s="254"/>
      <c r="G941" s="254"/>
      <c r="H941" s="254"/>
      <c r="I941" s="254"/>
      <c r="J941" s="254"/>
      <c r="K941" s="254"/>
      <c r="M941" s="3" t="s">
        <v>217</v>
      </c>
      <c r="O941" s="3">
        <f t="shared" si="14"/>
        <v>941</v>
      </c>
    </row>
    <row r="942" spans="1:15" ht="13.15" customHeight="1">
      <c r="C942" s="254"/>
      <c r="D942" s="254"/>
      <c r="E942" s="254"/>
      <c r="F942" s="254"/>
      <c r="G942" s="254"/>
      <c r="H942" s="254"/>
      <c r="I942" s="254"/>
      <c r="J942" s="254"/>
      <c r="K942" s="254"/>
      <c r="M942" s="3" t="s">
        <v>217</v>
      </c>
      <c r="O942" s="3">
        <f t="shared" si="14"/>
        <v>942</v>
      </c>
    </row>
    <row r="943" spans="1:15" ht="13.15" customHeight="1">
      <c r="C943" s="254"/>
      <c r="D943" s="254"/>
      <c r="E943" s="254"/>
      <c r="F943" s="254"/>
      <c r="G943" s="254"/>
      <c r="H943" s="254"/>
      <c r="I943" s="254"/>
      <c r="J943" s="254"/>
      <c r="K943" s="254"/>
      <c r="M943" s="3" t="s">
        <v>217</v>
      </c>
      <c r="O943" s="3">
        <f t="shared" ref="O943:O968" si="15">ROW(M943)</f>
        <v>943</v>
      </c>
    </row>
    <row r="944" spans="1:15" ht="13.15" customHeight="1">
      <c r="C944" s="117"/>
      <c r="D944" s="117"/>
      <c r="E944" s="117"/>
      <c r="F944" s="117"/>
      <c r="G944" s="117"/>
      <c r="H944" s="117"/>
      <c r="I944" s="117"/>
      <c r="J944" s="117"/>
      <c r="K944" s="117"/>
      <c r="M944" s="3" t="s">
        <v>217</v>
      </c>
      <c r="O944" s="3">
        <f t="shared" si="15"/>
        <v>944</v>
      </c>
    </row>
    <row r="945" spans="1:15" ht="13.15" customHeight="1">
      <c r="B945" s="157" t="s">
        <v>356</v>
      </c>
      <c r="C945" s="254" t="s">
        <v>325</v>
      </c>
      <c r="D945" s="254"/>
      <c r="E945" s="254"/>
      <c r="F945" s="254"/>
      <c r="G945" s="254"/>
      <c r="H945" s="254"/>
      <c r="I945" s="254"/>
      <c r="J945" s="254"/>
      <c r="K945" s="254"/>
      <c r="M945" s="3" t="s">
        <v>217</v>
      </c>
      <c r="O945" s="3">
        <f t="shared" si="15"/>
        <v>945</v>
      </c>
    </row>
    <row r="946" spans="1:15" ht="13.15" customHeight="1">
      <c r="C946" s="254"/>
      <c r="D946" s="254"/>
      <c r="E946" s="254"/>
      <c r="F946" s="254"/>
      <c r="G946" s="254"/>
      <c r="H946" s="254"/>
      <c r="I946" s="254"/>
      <c r="J946" s="254"/>
      <c r="K946" s="254"/>
      <c r="M946" s="3" t="s">
        <v>217</v>
      </c>
      <c r="O946" s="3">
        <f t="shared" si="15"/>
        <v>946</v>
      </c>
    </row>
    <row r="947" spans="1:15" ht="13.15" customHeight="1">
      <c r="C947" s="142"/>
      <c r="D947" s="142"/>
      <c r="E947" s="142"/>
      <c r="F947" s="142"/>
      <c r="G947" s="142"/>
      <c r="H947" s="142"/>
      <c r="I947" s="142"/>
      <c r="J947" s="142"/>
      <c r="K947" s="142"/>
      <c r="M947" s="3" t="s">
        <v>217</v>
      </c>
      <c r="O947" s="3">
        <f t="shared" si="15"/>
        <v>947</v>
      </c>
    </row>
    <row r="948" spans="1:15" ht="13.15" customHeight="1">
      <c r="A948" s="139" t="s">
        <v>429</v>
      </c>
      <c r="B948" s="254" t="s">
        <v>326</v>
      </c>
      <c r="C948" s="254"/>
      <c r="D948" s="254"/>
      <c r="E948" s="254"/>
      <c r="F948" s="254"/>
      <c r="G948" s="254"/>
      <c r="H948" s="254"/>
      <c r="I948" s="254"/>
      <c r="J948" s="254"/>
      <c r="K948" s="254"/>
      <c r="L948" s="3">
        <v>63</v>
      </c>
      <c r="M948" s="3">
        <v>19</v>
      </c>
      <c r="N948" s="3">
        <v>10</v>
      </c>
      <c r="O948" s="3">
        <f t="shared" si="15"/>
        <v>948</v>
      </c>
    </row>
    <row r="949" spans="1:15" ht="13.15" customHeight="1">
      <c r="B949" s="254"/>
      <c r="C949" s="254"/>
      <c r="D949" s="254"/>
      <c r="E949" s="254"/>
      <c r="F949" s="254"/>
      <c r="G949" s="254"/>
      <c r="H949" s="254"/>
      <c r="I949" s="254"/>
      <c r="J949" s="254"/>
      <c r="K949" s="254"/>
      <c r="M949" s="3" t="s">
        <v>217</v>
      </c>
      <c r="O949" s="3">
        <f t="shared" si="15"/>
        <v>949</v>
      </c>
    </row>
    <row r="950" spans="1:15" ht="13.15" customHeight="1">
      <c r="B950" s="254"/>
      <c r="C950" s="254"/>
      <c r="D950" s="254"/>
      <c r="E950" s="254"/>
      <c r="F950" s="254"/>
      <c r="G950" s="254"/>
      <c r="H950" s="254"/>
      <c r="I950" s="254"/>
      <c r="J950" s="254"/>
      <c r="K950" s="254"/>
      <c r="M950" s="3" t="s">
        <v>217</v>
      </c>
      <c r="O950" s="3">
        <f t="shared" si="15"/>
        <v>950</v>
      </c>
    </row>
    <row r="951" spans="1:15" ht="13.15" customHeight="1">
      <c r="B951" s="254"/>
      <c r="C951" s="254"/>
      <c r="D951" s="254"/>
      <c r="E951" s="254"/>
      <c r="F951" s="254"/>
      <c r="G951" s="254"/>
      <c r="H951" s="254"/>
      <c r="I951" s="254"/>
      <c r="J951" s="254"/>
      <c r="K951" s="254"/>
      <c r="M951" s="3" t="s">
        <v>217</v>
      </c>
      <c r="O951" s="3">
        <f t="shared" si="15"/>
        <v>951</v>
      </c>
    </row>
    <row r="952" spans="1:15" ht="13.15" customHeight="1">
      <c r="B952" s="254"/>
      <c r="C952" s="254"/>
      <c r="D952" s="254"/>
      <c r="E952" s="254"/>
      <c r="F952" s="254"/>
      <c r="G952" s="254"/>
      <c r="H952" s="254"/>
      <c r="I952" s="254"/>
      <c r="J952" s="254"/>
      <c r="K952" s="254"/>
      <c r="M952" s="3" t="s">
        <v>217</v>
      </c>
      <c r="O952" s="3">
        <f t="shared" si="15"/>
        <v>952</v>
      </c>
    </row>
    <row r="953" spans="1:15" ht="13.15" customHeight="1">
      <c r="B953" s="254"/>
      <c r="C953" s="254"/>
      <c r="D953" s="254"/>
      <c r="E953" s="254"/>
      <c r="F953" s="254"/>
      <c r="G953" s="254"/>
      <c r="H953" s="254"/>
      <c r="I953" s="254"/>
      <c r="J953" s="254"/>
      <c r="K953" s="254"/>
      <c r="M953" s="3" t="s">
        <v>217</v>
      </c>
      <c r="O953" s="3">
        <f t="shared" si="15"/>
        <v>953</v>
      </c>
    </row>
    <row r="954" spans="1:15" ht="13.15" customHeight="1">
      <c r="B954" s="254"/>
      <c r="C954" s="254"/>
      <c r="D954" s="254"/>
      <c r="E954" s="254"/>
      <c r="F954" s="254"/>
      <c r="G954" s="254"/>
      <c r="H954" s="254"/>
      <c r="I954" s="254"/>
      <c r="J954" s="254"/>
      <c r="K954" s="254"/>
      <c r="M954" s="3" t="s">
        <v>217</v>
      </c>
      <c r="O954" s="3">
        <f t="shared" si="15"/>
        <v>954</v>
      </c>
    </row>
    <row r="955" spans="1:15" ht="13.15" customHeight="1">
      <c r="A955" s="3"/>
      <c r="B955" s="254"/>
      <c r="C955" s="254"/>
      <c r="D955" s="254"/>
      <c r="E955" s="254"/>
      <c r="F955" s="254"/>
      <c r="G955" s="254"/>
      <c r="H955" s="254"/>
      <c r="I955" s="254"/>
      <c r="J955" s="254"/>
      <c r="K955" s="254"/>
      <c r="M955" s="3" t="s">
        <v>217</v>
      </c>
      <c r="O955" s="3">
        <f t="shared" si="15"/>
        <v>955</v>
      </c>
    </row>
    <row r="956" spans="1:15" ht="13.15" customHeight="1">
      <c r="B956" s="254"/>
      <c r="C956" s="254"/>
      <c r="D956" s="254"/>
      <c r="E956" s="254"/>
      <c r="F956" s="254"/>
      <c r="G956" s="254"/>
      <c r="H956" s="254"/>
      <c r="I956" s="254"/>
      <c r="J956" s="254"/>
      <c r="K956" s="254"/>
      <c r="M956" s="3" t="s">
        <v>217</v>
      </c>
      <c r="O956" s="3">
        <f t="shared" si="15"/>
        <v>956</v>
      </c>
    </row>
    <row r="957" spans="1:15" ht="13.15" customHeight="1">
      <c r="B957" s="254"/>
      <c r="C957" s="254"/>
      <c r="D957" s="254"/>
      <c r="E957" s="254"/>
      <c r="F957" s="254"/>
      <c r="G957" s="254"/>
      <c r="H957" s="254"/>
      <c r="I957" s="254"/>
      <c r="J957" s="254"/>
      <c r="K957" s="254"/>
      <c r="M957" s="3" t="s">
        <v>217</v>
      </c>
      <c r="O957" s="3">
        <f t="shared" si="15"/>
        <v>957</v>
      </c>
    </row>
    <row r="958" spans="1:15" ht="13.15" customHeight="1">
      <c r="B958" s="142"/>
      <c r="C958" s="142"/>
      <c r="D958" s="142"/>
      <c r="E958" s="142"/>
      <c r="F958" s="142"/>
      <c r="G958" s="142"/>
      <c r="H958" s="142"/>
      <c r="I958" s="142"/>
      <c r="J958" s="142"/>
      <c r="K958" s="142"/>
      <c r="M958" s="3" t="s">
        <v>217</v>
      </c>
      <c r="O958" s="3">
        <f t="shared" si="15"/>
        <v>958</v>
      </c>
    </row>
    <row r="959" spans="1:15" ht="13.15" customHeight="1">
      <c r="B959" s="157" t="s">
        <v>356</v>
      </c>
      <c r="C959" s="258" t="s">
        <v>327</v>
      </c>
      <c r="D959" s="258"/>
      <c r="E959" s="258"/>
      <c r="F959" s="258"/>
      <c r="G959" s="258"/>
      <c r="H959" s="258"/>
      <c r="I959" s="258"/>
      <c r="J959" s="258"/>
      <c r="K959" s="258"/>
      <c r="M959" s="3" t="s">
        <v>217</v>
      </c>
      <c r="O959" s="3">
        <f t="shared" si="15"/>
        <v>959</v>
      </c>
    </row>
    <row r="960" spans="1:15" ht="13.15" customHeight="1">
      <c r="C960" s="258"/>
      <c r="D960" s="258"/>
      <c r="E960" s="258"/>
      <c r="F960" s="258"/>
      <c r="G960" s="258"/>
      <c r="H960" s="258"/>
      <c r="I960" s="258"/>
      <c r="J960" s="258"/>
      <c r="K960" s="258"/>
      <c r="M960" s="3" t="s">
        <v>217</v>
      </c>
      <c r="O960" s="3">
        <f t="shared" si="15"/>
        <v>960</v>
      </c>
    </row>
    <row r="961" spans="1:15" ht="13.15" customHeight="1">
      <c r="C961" s="258"/>
      <c r="D961" s="258"/>
      <c r="E961" s="258"/>
      <c r="F961" s="258"/>
      <c r="G961" s="258"/>
      <c r="H961" s="258"/>
      <c r="I961" s="258"/>
      <c r="J961" s="258"/>
      <c r="K961" s="258"/>
      <c r="M961" s="3" t="s">
        <v>217</v>
      </c>
      <c r="O961" s="3">
        <f t="shared" si="15"/>
        <v>961</v>
      </c>
    </row>
    <row r="962" spans="1:15" ht="13.15" customHeight="1">
      <c r="C962" s="258"/>
      <c r="D962" s="258"/>
      <c r="E962" s="258"/>
      <c r="F962" s="258"/>
      <c r="G962" s="258"/>
      <c r="H962" s="258"/>
      <c r="I962" s="258"/>
      <c r="J962" s="258"/>
      <c r="K962" s="258"/>
      <c r="M962" s="3" t="s">
        <v>217</v>
      </c>
      <c r="O962" s="3">
        <f t="shared" si="15"/>
        <v>962</v>
      </c>
    </row>
    <row r="963" spans="1:15" ht="13.15" customHeight="1">
      <c r="C963" s="258"/>
      <c r="D963" s="258"/>
      <c r="E963" s="258"/>
      <c r="F963" s="258"/>
      <c r="G963" s="258"/>
      <c r="H963" s="258"/>
      <c r="I963" s="258"/>
      <c r="J963" s="258"/>
      <c r="K963" s="258"/>
      <c r="M963" s="3" t="s">
        <v>217</v>
      </c>
      <c r="O963" s="3">
        <f t="shared" si="15"/>
        <v>963</v>
      </c>
    </row>
    <row r="964" spans="1:15" ht="13.15" customHeight="1">
      <c r="C964" s="258"/>
      <c r="D964" s="258"/>
      <c r="E964" s="258"/>
      <c r="F964" s="258"/>
      <c r="G964" s="258"/>
      <c r="H964" s="258"/>
      <c r="I964" s="258"/>
      <c r="J964" s="258"/>
      <c r="K964" s="258"/>
      <c r="M964" s="3" t="s">
        <v>217</v>
      </c>
      <c r="O964" s="3">
        <f t="shared" si="15"/>
        <v>964</v>
      </c>
    </row>
    <row r="965" spans="1:15" ht="13.15" customHeight="1">
      <c r="C965" s="258"/>
      <c r="D965" s="258"/>
      <c r="E965" s="258"/>
      <c r="F965" s="258"/>
      <c r="G965" s="258"/>
      <c r="H965" s="258"/>
      <c r="I965" s="258"/>
      <c r="J965" s="258"/>
      <c r="K965" s="258"/>
      <c r="M965" s="3" t="s">
        <v>217</v>
      </c>
      <c r="O965" s="3">
        <f t="shared" si="15"/>
        <v>965</v>
      </c>
    </row>
    <row r="966" spans="1:15" ht="13.15" customHeight="1">
      <c r="C966" s="258"/>
      <c r="D966" s="258"/>
      <c r="E966" s="258"/>
      <c r="F966" s="258"/>
      <c r="G966" s="258"/>
      <c r="H966" s="258"/>
      <c r="I966" s="258"/>
      <c r="J966" s="258"/>
      <c r="K966" s="258"/>
      <c r="M966" s="3" t="s">
        <v>217</v>
      </c>
      <c r="O966" s="3">
        <f t="shared" si="15"/>
        <v>966</v>
      </c>
    </row>
    <row r="967" spans="1:15" ht="13.15" customHeight="1" thickBot="1">
      <c r="C967" s="143"/>
      <c r="D967" s="143"/>
      <c r="E967" s="143"/>
      <c r="F967" s="143"/>
      <c r="G967" s="143"/>
      <c r="H967" s="143"/>
      <c r="I967" s="143"/>
      <c r="J967" s="143"/>
      <c r="K967" s="143"/>
      <c r="M967" s="3" t="s">
        <v>217</v>
      </c>
      <c r="O967" s="3">
        <f t="shared" si="15"/>
        <v>967</v>
      </c>
    </row>
    <row r="968" spans="1:15" ht="13.15" customHeight="1">
      <c r="A968" s="160" t="s">
        <v>436</v>
      </c>
      <c r="B968" s="161" t="s">
        <v>147</v>
      </c>
      <c r="C968" s="162"/>
      <c r="D968" s="162"/>
      <c r="E968" s="162"/>
      <c r="F968" s="162"/>
      <c r="G968" s="162"/>
      <c r="H968" s="162"/>
      <c r="I968" s="162"/>
      <c r="J968" s="162"/>
      <c r="K968" s="162"/>
      <c r="L968" s="3">
        <v>64</v>
      </c>
      <c r="M968" s="3">
        <v>10</v>
      </c>
      <c r="O968" s="3">
        <f t="shared" si="15"/>
        <v>968</v>
      </c>
    </row>
    <row r="969" spans="1:15" ht="13.15" customHeight="1">
      <c r="B969" s="254" t="s">
        <v>328</v>
      </c>
      <c r="C969" s="254"/>
      <c r="D969" s="254"/>
      <c r="E969" s="254"/>
      <c r="F969" s="254"/>
      <c r="G969" s="254"/>
      <c r="H969" s="254"/>
      <c r="I969" s="254"/>
      <c r="J969" s="254"/>
      <c r="K969" s="254"/>
      <c r="M969" s="3" t="s">
        <v>217</v>
      </c>
    </row>
    <row r="970" spans="1:15" ht="13.15" customHeight="1">
      <c r="B970" s="254"/>
      <c r="C970" s="254"/>
      <c r="D970" s="254"/>
      <c r="E970" s="254"/>
      <c r="F970" s="254"/>
      <c r="G970" s="254"/>
      <c r="H970" s="254"/>
      <c r="I970" s="254"/>
      <c r="J970" s="254"/>
      <c r="K970" s="254"/>
      <c r="M970" s="3" t="s">
        <v>217</v>
      </c>
    </row>
    <row r="971" spans="1:15" ht="13.15" customHeight="1">
      <c r="B971" s="254"/>
      <c r="C971" s="254"/>
      <c r="D971" s="254"/>
      <c r="E971" s="254"/>
      <c r="F971" s="254"/>
      <c r="G971" s="254"/>
      <c r="H971" s="254"/>
      <c r="I971" s="254"/>
      <c r="J971" s="254"/>
      <c r="K971" s="254"/>
    </row>
    <row r="972" spans="1:15" ht="13.15" customHeight="1">
      <c r="B972" s="254"/>
      <c r="C972" s="254"/>
      <c r="D972" s="254"/>
      <c r="E972" s="254"/>
      <c r="F972" s="254"/>
      <c r="G972" s="254"/>
      <c r="H972" s="254"/>
      <c r="I972" s="254"/>
      <c r="J972" s="254"/>
      <c r="K972" s="254"/>
    </row>
    <row r="973" spans="1:15" ht="13.15" customHeight="1">
      <c r="B973" s="155"/>
      <c r="C973" s="155"/>
      <c r="D973" s="155"/>
      <c r="E973" s="155"/>
      <c r="F973" s="155"/>
      <c r="G973" s="155"/>
      <c r="H973" s="155"/>
      <c r="I973" s="155"/>
      <c r="J973" s="155"/>
      <c r="K973" s="155"/>
    </row>
    <row r="974" spans="1:15" ht="13.15" customHeight="1">
      <c r="B974" s="118" t="s">
        <v>148</v>
      </c>
    </row>
    <row r="975" spans="1:15" ht="13.15" customHeight="1">
      <c r="B975" s="279" t="s">
        <v>329</v>
      </c>
      <c r="C975" s="279"/>
      <c r="D975" s="279"/>
      <c r="E975" s="279"/>
      <c r="F975" s="279"/>
      <c r="G975" s="279"/>
      <c r="H975" s="279"/>
      <c r="I975" s="279"/>
      <c r="J975" s="279"/>
      <c r="K975" s="279"/>
    </row>
    <row r="976" spans="1:15" ht="13.15" customHeight="1">
      <c r="B976" s="279"/>
      <c r="C976" s="279"/>
      <c r="D976" s="279"/>
      <c r="E976" s="279"/>
      <c r="F976" s="279"/>
      <c r="G976" s="279"/>
      <c r="H976" s="279"/>
      <c r="I976" s="279"/>
      <c r="J976" s="279"/>
      <c r="K976" s="279"/>
    </row>
    <row r="977" spans="2:15" ht="13.15" customHeight="1">
      <c r="B977" s="279"/>
      <c r="C977" s="279"/>
      <c r="D977" s="279"/>
      <c r="E977" s="279"/>
      <c r="F977" s="279"/>
      <c r="G977" s="279"/>
      <c r="H977" s="279"/>
      <c r="I977" s="279"/>
      <c r="J977" s="279"/>
      <c r="K977" s="279"/>
    </row>
    <row r="979" spans="2:15" ht="13.15" customHeight="1">
      <c r="B979" s="85"/>
      <c r="C979" s="85"/>
      <c r="D979" s="85"/>
      <c r="E979" s="85"/>
      <c r="F979" s="85"/>
      <c r="G979" s="85"/>
      <c r="H979" s="85"/>
      <c r="I979" s="85"/>
      <c r="J979" s="85"/>
      <c r="K979" s="85"/>
    </row>
    <row r="980" spans="2:15" ht="21">
      <c r="B980" s="133" t="s">
        <v>166</v>
      </c>
      <c r="L980" s="3">
        <v>1</v>
      </c>
      <c r="M980" s="3">
        <v>13</v>
      </c>
      <c r="N980" s="3">
        <f t="shared" ref="N980:N1052" si="16">ROW(M980)</f>
        <v>980</v>
      </c>
      <c r="O980" s="134" t="s">
        <v>332</v>
      </c>
    </row>
    <row r="981" spans="2:15" ht="13.15" customHeight="1">
      <c r="B981" s="278" t="s">
        <v>203</v>
      </c>
      <c r="C981" s="278"/>
      <c r="D981" s="278"/>
      <c r="E981" s="278"/>
      <c r="F981" s="278"/>
      <c r="G981" s="278"/>
      <c r="H981" s="278"/>
      <c r="I981" s="278"/>
      <c r="J981" s="278"/>
      <c r="K981" s="278"/>
      <c r="N981" s="3">
        <f t="shared" si="16"/>
        <v>981</v>
      </c>
    </row>
    <row r="982" spans="2:15" ht="13.15" customHeight="1">
      <c r="B982" s="278"/>
      <c r="C982" s="278"/>
      <c r="D982" s="278"/>
      <c r="E982" s="278"/>
      <c r="F982" s="278"/>
      <c r="G982" s="278"/>
      <c r="H982" s="278"/>
      <c r="I982" s="278"/>
      <c r="J982" s="278"/>
      <c r="K982" s="278"/>
      <c r="N982" s="3">
        <f t="shared" si="16"/>
        <v>982</v>
      </c>
    </row>
    <row r="983" spans="2:15" ht="13.15" customHeight="1">
      <c r="B983" s="278"/>
      <c r="C983" s="278"/>
      <c r="D983" s="278"/>
      <c r="E983" s="278"/>
      <c r="F983" s="278"/>
      <c r="G983" s="278"/>
      <c r="H983" s="278"/>
      <c r="I983" s="278"/>
      <c r="J983" s="278"/>
      <c r="K983" s="278"/>
      <c r="N983" s="3">
        <f t="shared" si="16"/>
        <v>983</v>
      </c>
    </row>
    <row r="984" spans="2:15" ht="13.15" customHeight="1">
      <c r="B984" s="278"/>
      <c r="C984" s="278"/>
      <c r="D984" s="278"/>
      <c r="E984" s="278"/>
      <c r="F984" s="278"/>
      <c r="G984" s="278"/>
      <c r="H984" s="278"/>
      <c r="I984" s="278"/>
      <c r="J984" s="278"/>
      <c r="K984" s="278"/>
      <c r="N984" s="3">
        <f t="shared" si="16"/>
        <v>984</v>
      </c>
    </row>
    <row r="985" spans="2:15" ht="13.15" customHeight="1">
      <c r="B985" s="278"/>
      <c r="C985" s="278"/>
      <c r="D985" s="278"/>
      <c r="E985" s="278"/>
      <c r="F985" s="278"/>
      <c r="G985" s="278"/>
      <c r="H985" s="278"/>
      <c r="I985" s="278"/>
      <c r="J985" s="278"/>
      <c r="K985" s="278"/>
      <c r="N985" s="3">
        <f t="shared" si="16"/>
        <v>985</v>
      </c>
    </row>
    <row r="986" spans="2:15" ht="13.15" customHeight="1">
      <c r="B986" s="278"/>
      <c r="C986" s="278"/>
      <c r="D986" s="278"/>
      <c r="E986" s="278"/>
      <c r="F986" s="278"/>
      <c r="G986" s="278"/>
      <c r="H986" s="278"/>
      <c r="I986" s="278"/>
      <c r="J986" s="278"/>
      <c r="K986" s="278"/>
      <c r="N986" s="3">
        <f t="shared" si="16"/>
        <v>986</v>
      </c>
    </row>
    <row r="987" spans="2:15" ht="13.15" customHeight="1">
      <c r="B987" s="278"/>
      <c r="C987" s="278"/>
      <c r="D987" s="278"/>
      <c r="E987" s="278"/>
      <c r="F987" s="278"/>
      <c r="G987" s="278"/>
      <c r="H987" s="278"/>
      <c r="I987" s="278"/>
      <c r="J987" s="278"/>
      <c r="K987" s="278"/>
      <c r="N987" s="3">
        <f t="shared" si="16"/>
        <v>987</v>
      </c>
    </row>
    <row r="988" spans="2:15" ht="13.15" customHeight="1">
      <c r="B988" s="278"/>
      <c r="C988" s="278"/>
      <c r="D988" s="278"/>
      <c r="E988" s="278"/>
      <c r="F988" s="278"/>
      <c r="G988" s="278"/>
      <c r="H988" s="278"/>
      <c r="I988" s="278"/>
      <c r="J988" s="278"/>
      <c r="K988" s="278"/>
      <c r="N988" s="3">
        <f t="shared" si="16"/>
        <v>988</v>
      </c>
    </row>
    <row r="989" spans="2:15" ht="13.15" customHeight="1">
      <c r="B989" s="278"/>
      <c r="C989" s="278"/>
      <c r="D989" s="278"/>
      <c r="E989" s="278"/>
      <c r="F989" s="278"/>
      <c r="G989" s="278"/>
      <c r="H989" s="278"/>
      <c r="I989" s="278"/>
      <c r="J989" s="278"/>
      <c r="K989" s="278"/>
    </row>
    <row r="990" spans="2:15" ht="13.15" customHeight="1">
      <c r="B990" s="278"/>
      <c r="C990" s="278"/>
      <c r="D990" s="278"/>
      <c r="E990" s="278"/>
      <c r="F990" s="278"/>
      <c r="G990" s="278"/>
      <c r="H990" s="278"/>
      <c r="I990" s="278"/>
      <c r="J990" s="278"/>
      <c r="K990" s="278"/>
    </row>
    <row r="991" spans="2:15" ht="13.15" customHeight="1">
      <c r="B991" s="278"/>
      <c r="C991" s="278"/>
      <c r="D991" s="278"/>
      <c r="E991" s="278"/>
      <c r="F991" s="278"/>
      <c r="G991" s="278"/>
      <c r="H991" s="278"/>
      <c r="I991" s="278"/>
      <c r="J991" s="278"/>
      <c r="K991" s="278"/>
    </row>
    <row r="992" spans="2:15" ht="13.15" customHeight="1">
      <c r="B992" s="278"/>
      <c r="C992" s="278"/>
      <c r="D992" s="278"/>
      <c r="E992" s="278"/>
      <c r="F992" s="278"/>
      <c r="G992" s="278"/>
      <c r="H992" s="278"/>
      <c r="I992" s="278"/>
      <c r="J992" s="278"/>
      <c r="K992" s="278"/>
      <c r="N992" s="3">
        <f t="shared" si="16"/>
        <v>992</v>
      </c>
    </row>
    <row r="993" spans="1:15" ht="13.15" customHeight="1">
      <c r="B993" s="141"/>
      <c r="C993" s="141"/>
      <c r="D993" s="141"/>
      <c r="E993" s="141"/>
      <c r="F993" s="141"/>
      <c r="G993" s="141"/>
      <c r="H993" s="141"/>
      <c r="I993" s="141"/>
      <c r="J993" s="141"/>
      <c r="K993" s="141"/>
      <c r="N993" s="3">
        <f t="shared" si="16"/>
        <v>993</v>
      </c>
    </row>
    <row r="994" spans="1:15" ht="21">
      <c r="B994" s="133" t="s">
        <v>167</v>
      </c>
      <c r="C994" s="135"/>
      <c r="D994" s="135"/>
      <c r="E994" s="135"/>
      <c r="F994" s="135"/>
      <c r="G994" s="135"/>
      <c r="H994" s="135"/>
      <c r="I994" s="135"/>
      <c r="J994" s="135"/>
      <c r="K994" s="135"/>
      <c r="L994" s="3">
        <v>2</v>
      </c>
      <c r="M994" s="3">
        <v>10</v>
      </c>
      <c r="N994" s="3">
        <f t="shared" si="16"/>
        <v>994</v>
      </c>
      <c r="O994" s="134" t="s">
        <v>333</v>
      </c>
    </row>
    <row r="995" spans="1:15" ht="13.15" customHeight="1">
      <c r="B995" s="282" t="s">
        <v>204</v>
      </c>
      <c r="C995" s="282"/>
      <c r="D995" s="282"/>
      <c r="E995" s="282"/>
      <c r="F995" s="282"/>
      <c r="G995" s="282"/>
      <c r="H995" s="282"/>
      <c r="I995" s="282"/>
      <c r="J995" s="282"/>
      <c r="K995" s="282"/>
      <c r="N995" s="3">
        <f t="shared" si="16"/>
        <v>995</v>
      </c>
    </row>
    <row r="996" spans="1:15" ht="13.15" customHeight="1">
      <c r="B996" s="282"/>
      <c r="C996" s="282"/>
      <c r="D996" s="282"/>
      <c r="E996" s="282"/>
      <c r="F996" s="282"/>
      <c r="G996" s="282"/>
      <c r="H996" s="282"/>
      <c r="I996" s="282"/>
      <c r="J996" s="282"/>
      <c r="K996" s="282"/>
      <c r="N996" s="3">
        <f t="shared" si="16"/>
        <v>996</v>
      </c>
    </row>
    <row r="997" spans="1:15" ht="13.15" customHeight="1">
      <c r="B997" s="282"/>
      <c r="C997" s="282"/>
      <c r="D997" s="282"/>
      <c r="E997" s="282"/>
      <c r="F997" s="282"/>
      <c r="G997" s="282"/>
      <c r="H997" s="282"/>
      <c r="I997" s="282"/>
      <c r="J997" s="282"/>
      <c r="K997" s="282"/>
      <c r="N997" s="3">
        <f t="shared" si="16"/>
        <v>997</v>
      </c>
    </row>
    <row r="998" spans="1:15" ht="13.15" customHeight="1">
      <c r="B998" s="278" t="s">
        <v>205</v>
      </c>
      <c r="C998" s="278"/>
      <c r="D998" s="278"/>
      <c r="E998" s="278"/>
      <c r="F998" s="278"/>
      <c r="G998" s="278"/>
      <c r="H998" s="278"/>
      <c r="I998" s="278"/>
      <c r="J998" s="278"/>
      <c r="K998" s="278"/>
      <c r="N998" s="3">
        <f t="shared" si="16"/>
        <v>998</v>
      </c>
    </row>
    <row r="999" spans="1:15" ht="13.15" customHeight="1">
      <c r="B999" s="278"/>
      <c r="C999" s="278"/>
      <c r="D999" s="278"/>
      <c r="E999" s="278"/>
      <c r="F999" s="278"/>
      <c r="G999" s="278"/>
      <c r="H999" s="278"/>
      <c r="I999" s="278"/>
      <c r="J999" s="278"/>
      <c r="K999" s="278"/>
      <c r="N999" s="3">
        <f t="shared" si="16"/>
        <v>999</v>
      </c>
    </row>
    <row r="1000" spans="1:15" ht="13.15" customHeight="1">
      <c r="B1000" s="278"/>
      <c r="C1000" s="278"/>
      <c r="D1000" s="278"/>
      <c r="E1000" s="278"/>
      <c r="F1000" s="278"/>
      <c r="G1000" s="278"/>
      <c r="H1000" s="278"/>
      <c r="I1000" s="278"/>
      <c r="J1000" s="278"/>
      <c r="K1000" s="278"/>
      <c r="N1000" s="3">
        <f t="shared" si="16"/>
        <v>1000</v>
      </c>
    </row>
    <row r="1001" spans="1:15" ht="13.15" customHeight="1">
      <c r="B1001" s="278"/>
      <c r="C1001" s="278"/>
      <c r="D1001" s="278"/>
      <c r="E1001" s="278"/>
      <c r="F1001" s="278"/>
      <c r="G1001" s="278"/>
      <c r="H1001" s="278"/>
      <c r="I1001" s="278"/>
      <c r="J1001" s="278"/>
      <c r="K1001" s="278"/>
      <c r="N1001" s="3">
        <f t="shared" si="16"/>
        <v>1001</v>
      </c>
    </row>
    <row r="1002" spans="1:15" ht="13.15" customHeight="1">
      <c r="B1002" s="278"/>
      <c r="C1002" s="278"/>
      <c r="D1002" s="278"/>
      <c r="E1002" s="278"/>
      <c r="F1002" s="278"/>
      <c r="G1002" s="278"/>
      <c r="H1002" s="278"/>
      <c r="I1002" s="278"/>
      <c r="J1002" s="278"/>
      <c r="K1002" s="278"/>
    </row>
    <row r="1003" spans="1:15" ht="13.15" customHeight="1">
      <c r="B1003" s="278"/>
      <c r="C1003" s="278"/>
      <c r="D1003" s="278"/>
      <c r="E1003" s="278"/>
      <c r="F1003" s="278"/>
      <c r="G1003" s="278"/>
      <c r="H1003" s="278"/>
      <c r="I1003" s="278"/>
      <c r="J1003" s="278"/>
      <c r="K1003" s="278"/>
      <c r="N1003" s="3">
        <f t="shared" si="16"/>
        <v>1003</v>
      </c>
    </row>
    <row r="1004" spans="1:15" ht="15">
      <c r="B1004" s="144"/>
      <c r="C1004" s="144"/>
      <c r="D1004" s="144"/>
      <c r="E1004" s="144"/>
      <c r="F1004" s="144"/>
      <c r="G1004" s="144"/>
      <c r="H1004" s="144"/>
      <c r="I1004" s="144"/>
      <c r="J1004" s="144"/>
      <c r="K1004" s="144"/>
      <c r="N1004" s="3">
        <f t="shared" si="16"/>
        <v>1004</v>
      </c>
    </row>
    <row r="1005" spans="1:15" ht="21">
      <c r="B1005" s="133" t="s">
        <v>168</v>
      </c>
      <c r="L1005" s="3">
        <v>3</v>
      </c>
      <c r="M1005" s="3">
        <v>5</v>
      </c>
      <c r="N1005" s="3">
        <f t="shared" si="16"/>
        <v>1005</v>
      </c>
      <c r="O1005" s="134" t="s">
        <v>334</v>
      </c>
    </row>
    <row r="1006" spans="1:15" ht="13.15" customHeight="1">
      <c r="A1006" s="140"/>
      <c r="B1006" s="278" t="s">
        <v>206</v>
      </c>
      <c r="C1006" s="278"/>
      <c r="D1006" s="278"/>
      <c r="E1006" s="278"/>
      <c r="F1006" s="278"/>
      <c r="G1006" s="278"/>
      <c r="H1006" s="278"/>
      <c r="I1006" s="278"/>
      <c r="J1006" s="278"/>
      <c r="K1006" s="278"/>
      <c r="N1006" s="3">
        <f t="shared" si="16"/>
        <v>1006</v>
      </c>
    </row>
    <row r="1007" spans="1:15" ht="13.15" customHeight="1">
      <c r="B1007" s="278"/>
      <c r="C1007" s="278"/>
      <c r="D1007" s="278"/>
      <c r="E1007" s="278"/>
      <c r="F1007" s="278"/>
      <c r="G1007" s="278"/>
      <c r="H1007" s="278"/>
      <c r="I1007" s="278"/>
      <c r="J1007" s="278"/>
      <c r="K1007" s="278"/>
      <c r="N1007" s="3">
        <f t="shared" si="16"/>
        <v>1007</v>
      </c>
    </row>
    <row r="1008" spans="1:15" ht="13.15" customHeight="1">
      <c r="B1008" s="278"/>
      <c r="C1008" s="278"/>
      <c r="D1008" s="278"/>
      <c r="E1008" s="278"/>
      <c r="F1008" s="278"/>
      <c r="G1008" s="278"/>
      <c r="H1008" s="278"/>
      <c r="I1008" s="278"/>
      <c r="J1008" s="278"/>
      <c r="K1008" s="278"/>
    </row>
    <row r="1009" spans="1:15" ht="13.15" customHeight="1">
      <c r="B1009" s="278"/>
      <c r="C1009" s="278"/>
      <c r="D1009" s="278"/>
      <c r="E1009" s="278"/>
      <c r="F1009" s="278"/>
      <c r="G1009" s="278"/>
      <c r="H1009" s="278"/>
      <c r="I1009" s="278"/>
      <c r="J1009" s="278"/>
      <c r="K1009" s="278"/>
      <c r="N1009" s="3">
        <f t="shared" si="16"/>
        <v>1009</v>
      </c>
    </row>
    <row r="1010" spans="1:15" ht="13.15" customHeight="1">
      <c r="B1010" s="141"/>
      <c r="C1010" s="141"/>
      <c r="D1010" s="141"/>
      <c r="E1010" s="141"/>
      <c r="F1010" s="141"/>
      <c r="G1010" s="141"/>
      <c r="H1010" s="141"/>
      <c r="I1010" s="141"/>
      <c r="J1010" s="141"/>
      <c r="K1010" s="141"/>
      <c r="N1010" s="3">
        <f t="shared" si="16"/>
        <v>1010</v>
      </c>
    </row>
    <row r="1011" spans="1:15" ht="21">
      <c r="B1011" s="133" t="s">
        <v>420</v>
      </c>
      <c r="C1011" s="135"/>
      <c r="D1011" s="135"/>
      <c r="E1011" s="135"/>
      <c r="F1011" s="135"/>
      <c r="G1011" s="135"/>
      <c r="H1011" s="135"/>
      <c r="I1011" s="135"/>
      <c r="J1011" s="135"/>
      <c r="K1011" s="135"/>
      <c r="L1011" s="3">
        <v>4</v>
      </c>
      <c r="M1011" s="3">
        <v>5</v>
      </c>
      <c r="N1011" s="3">
        <f t="shared" si="16"/>
        <v>1011</v>
      </c>
      <c r="O1011" s="134" t="s">
        <v>335</v>
      </c>
    </row>
    <row r="1012" spans="1:15" ht="13.15" customHeight="1">
      <c r="B1012" s="280" t="s">
        <v>207</v>
      </c>
      <c r="C1012" s="280"/>
      <c r="D1012" s="280"/>
      <c r="E1012" s="280"/>
      <c r="F1012" s="280"/>
      <c r="G1012" s="280"/>
      <c r="H1012" s="280"/>
      <c r="I1012" s="280"/>
      <c r="J1012" s="280"/>
      <c r="K1012" s="280"/>
      <c r="N1012" s="3">
        <f t="shared" si="16"/>
        <v>1012</v>
      </c>
    </row>
    <row r="1013" spans="1:15" ht="13.15" customHeight="1">
      <c r="B1013" s="280"/>
      <c r="C1013" s="280"/>
      <c r="D1013" s="280"/>
      <c r="E1013" s="280"/>
      <c r="F1013" s="280"/>
      <c r="G1013" s="280"/>
      <c r="H1013" s="280"/>
      <c r="I1013" s="280"/>
      <c r="J1013" s="280"/>
      <c r="K1013" s="280"/>
      <c r="N1013" s="3">
        <f t="shared" si="16"/>
        <v>1013</v>
      </c>
    </row>
    <row r="1014" spans="1:15" ht="13.15" customHeight="1">
      <c r="B1014" s="280"/>
      <c r="C1014" s="280"/>
      <c r="D1014" s="280"/>
      <c r="E1014" s="280"/>
      <c r="F1014" s="280"/>
      <c r="G1014" s="280"/>
      <c r="H1014" s="280"/>
      <c r="I1014" s="280"/>
      <c r="J1014" s="280"/>
      <c r="K1014" s="280"/>
    </row>
    <row r="1015" spans="1:15" ht="13.15" customHeight="1">
      <c r="A1015" s="140"/>
      <c r="B1015" s="280"/>
      <c r="C1015" s="280"/>
      <c r="D1015" s="280"/>
      <c r="E1015" s="280"/>
      <c r="F1015" s="280"/>
      <c r="G1015" s="280"/>
      <c r="H1015" s="280"/>
      <c r="I1015" s="280"/>
      <c r="J1015" s="280"/>
      <c r="K1015" s="280"/>
      <c r="N1015" s="3">
        <f t="shared" si="16"/>
        <v>1015</v>
      </c>
    </row>
    <row r="1016" spans="1:15" ht="12.75">
      <c r="N1016" s="3">
        <f t="shared" si="16"/>
        <v>1016</v>
      </c>
    </row>
    <row r="1017" spans="1:15" ht="21">
      <c r="B1017" s="133" t="s">
        <v>165</v>
      </c>
      <c r="L1017" s="3">
        <v>5</v>
      </c>
      <c r="M1017" s="3">
        <v>7</v>
      </c>
      <c r="N1017" s="3">
        <f t="shared" si="16"/>
        <v>1017</v>
      </c>
      <c r="O1017" s="134" t="s">
        <v>336</v>
      </c>
    </row>
    <row r="1018" spans="1:15" ht="13.15" customHeight="1">
      <c r="B1018" s="283" t="s">
        <v>422</v>
      </c>
      <c r="C1018" s="283"/>
      <c r="D1018" s="283"/>
      <c r="E1018" s="283"/>
      <c r="F1018" s="283"/>
      <c r="G1018" s="283"/>
      <c r="H1018" s="283"/>
      <c r="I1018" s="283"/>
      <c r="J1018" s="283"/>
      <c r="K1018" s="283"/>
      <c r="N1018" s="3">
        <f t="shared" si="16"/>
        <v>1018</v>
      </c>
      <c r="O1018" s="134"/>
    </row>
    <row r="1019" spans="1:15" ht="13.15" customHeight="1">
      <c r="B1019" s="283"/>
      <c r="C1019" s="283"/>
      <c r="D1019" s="283"/>
      <c r="E1019" s="283"/>
      <c r="F1019" s="283"/>
      <c r="G1019" s="283"/>
      <c r="H1019" s="283"/>
      <c r="I1019" s="283"/>
      <c r="J1019" s="283"/>
      <c r="K1019" s="283"/>
      <c r="N1019" s="3">
        <f t="shared" si="16"/>
        <v>1019</v>
      </c>
      <c r="O1019" s="134"/>
    </row>
    <row r="1020" spans="1:15" ht="13.15" customHeight="1">
      <c r="B1020" s="283"/>
      <c r="C1020" s="283"/>
      <c r="D1020" s="283"/>
      <c r="E1020" s="283"/>
      <c r="F1020" s="283"/>
      <c r="G1020" s="283"/>
      <c r="H1020" s="283"/>
      <c r="I1020" s="283"/>
      <c r="J1020" s="283"/>
      <c r="K1020" s="283"/>
      <c r="N1020" s="3">
        <f t="shared" si="16"/>
        <v>1020</v>
      </c>
      <c r="O1020" s="134"/>
    </row>
    <row r="1021" spans="1:15" ht="13.15" customHeight="1">
      <c r="B1021" s="283"/>
      <c r="C1021" s="283"/>
      <c r="D1021" s="283"/>
      <c r="E1021" s="283"/>
      <c r="F1021" s="283"/>
      <c r="G1021" s="283"/>
      <c r="H1021" s="283"/>
      <c r="I1021" s="283"/>
      <c r="J1021" s="283"/>
      <c r="K1021" s="283"/>
      <c r="O1021" s="134"/>
    </row>
    <row r="1022" spans="1:15" ht="13.15" customHeight="1">
      <c r="B1022" s="283"/>
      <c r="C1022" s="283"/>
      <c r="D1022" s="283"/>
      <c r="E1022" s="283"/>
      <c r="F1022" s="283"/>
      <c r="G1022" s="283"/>
      <c r="H1022" s="283"/>
      <c r="I1022" s="283"/>
      <c r="J1022" s="283"/>
      <c r="K1022" s="283"/>
      <c r="O1022" s="134"/>
    </row>
    <row r="1023" spans="1:15" ht="13.15" customHeight="1">
      <c r="B1023" s="283"/>
      <c r="C1023" s="283"/>
      <c r="D1023" s="283"/>
      <c r="E1023" s="283"/>
      <c r="F1023" s="283"/>
      <c r="G1023" s="283"/>
      <c r="H1023" s="283"/>
      <c r="I1023" s="283"/>
      <c r="J1023" s="283"/>
      <c r="K1023" s="283"/>
      <c r="N1023" s="3">
        <f t="shared" si="16"/>
        <v>1023</v>
      </c>
      <c r="O1023" s="134"/>
    </row>
    <row r="1024" spans="1:15" ht="13.15" customHeight="1">
      <c r="B1024" s="159"/>
      <c r="C1024" s="159"/>
      <c r="D1024" s="159"/>
      <c r="E1024" s="159"/>
      <c r="F1024" s="159"/>
      <c r="G1024" s="159"/>
      <c r="H1024" s="159"/>
      <c r="I1024" s="159"/>
      <c r="J1024" s="159"/>
      <c r="K1024" s="159"/>
      <c r="O1024" s="134"/>
    </row>
    <row r="1025" spans="2:16" ht="21">
      <c r="B1025" s="133" t="s">
        <v>169</v>
      </c>
      <c r="L1025" s="137" t="s">
        <v>208</v>
      </c>
      <c r="M1025" s="3">
        <v>9</v>
      </c>
      <c r="N1025" s="3">
        <f t="shared" si="16"/>
        <v>1025</v>
      </c>
      <c r="O1025" s="137" t="s">
        <v>337</v>
      </c>
    </row>
    <row r="1026" spans="2:16" ht="14.45" customHeight="1">
      <c r="B1026" s="278" t="s">
        <v>209</v>
      </c>
      <c r="C1026" s="278"/>
      <c r="D1026" s="278"/>
      <c r="E1026" s="278"/>
      <c r="F1026" s="278"/>
      <c r="G1026" s="278"/>
      <c r="H1026" s="278"/>
      <c r="I1026" s="278"/>
      <c r="J1026" s="278"/>
      <c r="K1026" s="278"/>
      <c r="L1026" s="137"/>
      <c r="N1026" s="3">
        <f t="shared" si="16"/>
        <v>1026</v>
      </c>
    </row>
    <row r="1027" spans="2:16" ht="13.15" customHeight="1">
      <c r="B1027" s="278"/>
      <c r="C1027" s="278"/>
      <c r="D1027" s="278"/>
      <c r="E1027" s="278"/>
      <c r="F1027" s="278"/>
      <c r="G1027" s="278"/>
      <c r="H1027" s="278"/>
      <c r="I1027" s="278"/>
      <c r="J1027" s="278"/>
      <c r="K1027" s="278"/>
      <c r="L1027" s="137"/>
      <c r="N1027" s="3">
        <f t="shared" si="16"/>
        <v>1027</v>
      </c>
    </row>
    <row r="1028" spans="2:16" ht="13.15" customHeight="1">
      <c r="B1028" s="278"/>
      <c r="C1028" s="278"/>
      <c r="D1028" s="278"/>
      <c r="E1028" s="278"/>
      <c r="F1028" s="278"/>
      <c r="G1028" s="278"/>
      <c r="H1028" s="278"/>
      <c r="I1028" s="278"/>
      <c r="J1028" s="278"/>
      <c r="K1028" s="278"/>
      <c r="L1028" s="137"/>
      <c r="N1028" s="3">
        <f t="shared" si="16"/>
        <v>1028</v>
      </c>
    </row>
    <row r="1029" spans="2:16" ht="13.15" customHeight="1">
      <c r="B1029" s="278"/>
      <c r="C1029" s="278"/>
      <c r="D1029" s="278"/>
      <c r="E1029" s="278"/>
      <c r="F1029" s="278"/>
      <c r="G1029" s="278"/>
      <c r="H1029" s="278"/>
      <c r="I1029" s="278"/>
      <c r="J1029" s="278"/>
      <c r="K1029" s="278"/>
      <c r="L1029" s="137"/>
      <c r="N1029" s="3">
        <f t="shared" si="16"/>
        <v>1029</v>
      </c>
    </row>
    <row r="1030" spans="2:16" ht="13.15" customHeight="1">
      <c r="B1030" s="278"/>
      <c r="C1030" s="278"/>
      <c r="D1030" s="278"/>
      <c r="E1030" s="278"/>
      <c r="F1030" s="278"/>
      <c r="G1030" s="278"/>
      <c r="H1030" s="278"/>
      <c r="I1030" s="278"/>
      <c r="J1030" s="278"/>
      <c r="K1030" s="278"/>
      <c r="L1030" s="137"/>
      <c r="N1030" s="3">
        <f t="shared" si="16"/>
        <v>1030</v>
      </c>
    </row>
    <row r="1031" spans="2:16" ht="12.75">
      <c r="B1031" s="278"/>
      <c r="C1031" s="278"/>
      <c r="D1031" s="278"/>
      <c r="E1031" s="278"/>
      <c r="F1031" s="278"/>
      <c r="G1031" s="278"/>
      <c r="H1031" s="278"/>
      <c r="I1031" s="278"/>
      <c r="J1031" s="278"/>
      <c r="K1031" s="278"/>
      <c r="L1031" s="137"/>
      <c r="N1031" s="3">
        <f t="shared" si="16"/>
        <v>1031</v>
      </c>
    </row>
    <row r="1032" spans="2:16" ht="12.75">
      <c r="L1032" s="137"/>
      <c r="N1032" s="3">
        <f t="shared" si="16"/>
        <v>1032</v>
      </c>
    </row>
    <row r="1033" spans="2:16" ht="17.25">
      <c r="B1033" s="136" t="s">
        <v>170</v>
      </c>
      <c r="L1033" s="137"/>
      <c r="N1033" s="3">
        <f t="shared" si="16"/>
        <v>1033</v>
      </c>
      <c r="P1033" s="3" t="s">
        <v>337</v>
      </c>
    </row>
    <row r="1034" spans="2:16" ht="15.6" customHeight="1">
      <c r="B1034" s="136"/>
      <c r="L1034" s="137"/>
      <c r="N1034" s="3">
        <f t="shared" si="16"/>
        <v>1034</v>
      </c>
    </row>
    <row r="1035" spans="2:16" ht="21">
      <c r="B1035" s="133" t="s">
        <v>169</v>
      </c>
      <c r="L1035" s="137" t="s">
        <v>210</v>
      </c>
      <c r="M1035" s="3">
        <v>9</v>
      </c>
      <c r="N1035" s="3">
        <f t="shared" si="16"/>
        <v>1035</v>
      </c>
      <c r="O1035" s="137" t="s">
        <v>338</v>
      </c>
    </row>
    <row r="1036" spans="2:16" ht="13.15" customHeight="1">
      <c r="B1036" s="278" t="s">
        <v>209</v>
      </c>
      <c r="C1036" s="278"/>
      <c r="D1036" s="278"/>
      <c r="E1036" s="278"/>
      <c r="F1036" s="278"/>
      <c r="G1036" s="278"/>
      <c r="H1036" s="278"/>
      <c r="I1036" s="278"/>
      <c r="J1036" s="278"/>
      <c r="K1036" s="278"/>
      <c r="L1036" s="137"/>
      <c r="N1036" s="3">
        <f t="shared" si="16"/>
        <v>1036</v>
      </c>
    </row>
    <row r="1037" spans="2:16" ht="13.15" customHeight="1">
      <c r="B1037" s="278"/>
      <c r="C1037" s="278"/>
      <c r="D1037" s="278"/>
      <c r="E1037" s="278"/>
      <c r="F1037" s="278"/>
      <c r="G1037" s="278"/>
      <c r="H1037" s="278"/>
      <c r="I1037" s="278"/>
      <c r="J1037" s="278"/>
      <c r="K1037" s="278"/>
      <c r="L1037" s="137"/>
      <c r="N1037" s="3">
        <f t="shared" si="16"/>
        <v>1037</v>
      </c>
    </row>
    <row r="1038" spans="2:16" ht="13.15" customHeight="1">
      <c r="B1038" s="278"/>
      <c r="C1038" s="278"/>
      <c r="D1038" s="278"/>
      <c r="E1038" s="278"/>
      <c r="F1038" s="278"/>
      <c r="G1038" s="278"/>
      <c r="H1038" s="278"/>
      <c r="I1038" s="278"/>
      <c r="J1038" s="278"/>
      <c r="K1038" s="278"/>
      <c r="L1038" s="137"/>
      <c r="N1038" s="3">
        <f t="shared" si="16"/>
        <v>1038</v>
      </c>
    </row>
    <row r="1039" spans="2:16" ht="12.75" customHeight="1">
      <c r="B1039" s="278"/>
      <c r="C1039" s="278"/>
      <c r="D1039" s="278"/>
      <c r="E1039" s="278"/>
      <c r="F1039" s="278"/>
      <c r="G1039" s="278"/>
      <c r="H1039" s="278"/>
      <c r="I1039" s="278"/>
      <c r="J1039" s="278"/>
      <c r="K1039" s="278"/>
      <c r="L1039" s="137"/>
      <c r="N1039" s="3">
        <f t="shared" si="16"/>
        <v>1039</v>
      </c>
    </row>
    <row r="1040" spans="2:16" ht="12.75" customHeight="1">
      <c r="B1040" s="278"/>
      <c r="C1040" s="278"/>
      <c r="D1040" s="278"/>
      <c r="E1040" s="278"/>
      <c r="F1040" s="278"/>
      <c r="G1040" s="278"/>
      <c r="H1040" s="278"/>
      <c r="I1040" s="278"/>
      <c r="J1040" s="278"/>
      <c r="K1040" s="278"/>
      <c r="L1040" s="137"/>
      <c r="N1040" s="3">
        <f t="shared" si="16"/>
        <v>1040</v>
      </c>
    </row>
    <row r="1041" spans="2:16" ht="12.75" customHeight="1">
      <c r="B1041" s="278"/>
      <c r="C1041" s="278"/>
      <c r="D1041" s="278"/>
      <c r="E1041" s="278"/>
      <c r="F1041" s="278"/>
      <c r="G1041" s="278"/>
      <c r="H1041" s="278"/>
      <c r="I1041" s="278"/>
      <c r="J1041" s="278"/>
      <c r="K1041" s="278"/>
      <c r="L1041" s="137"/>
      <c r="N1041" s="3">
        <f t="shared" si="16"/>
        <v>1041</v>
      </c>
    </row>
    <row r="1042" spans="2:16" ht="13.9" customHeight="1">
      <c r="B1042" s="136"/>
      <c r="L1042" s="137"/>
      <c r="N1042" s="3">
        <f t="shared" si="16"/>
        <v>1042</v>
      </c>
    </row>
    <row r="1043" spans="2:16" ht="17.25">
      <c r="B1043" s="136" t="s">
        <v>171</v>
      </c>
      <c r="L1043" s="137"/>
      <c r="N1043" s="3">
        <f t="shared" si="16"/>
        <v>1043</v>
      </c>
      <c r="P1043" s="3" t="s">
        <v>338</v>
      </c>
    </row>
    <row r="1044" spans="2:16" ht="17.25">
      <c r="B1044" s="136"/>
      <c r="L1044" s="137"/>
      <c r="N1044" s="3">
        <f t="shared" si="16"/>
        <v>1044</v>
      </c>
    </row>
    <row r="1045" spans="2:16" ht="21">
      <c r="B1045" s="133" t="s">
        <v>169</v>
      </c>
      <c r="L1045" s="137" t="s">
        <v>211</v>
      </c>
      <c r="M1045" s="3">
        <v>9</v>
      </c>
      <c r="N1045" s="3">
        <f t="shared" si="16"/>
        <v>1045</v>
      </c>
      <c r="O1045" s="137" t="s">
        <v>339</v>
      </c>
    </row>
    <row r="1046" spans="2:16" ht="12.75" customHeight="1">
      <c r="B1046" s="278" t="s">
        <v>209</v>
      </c>
      <c r="C1046" s="278"/>
      <c r="D1046" s="278"/>
      <c r="E1046" s="278"/>
      <c r="F1046" s="278"/>
      <c r="G1046" s="278"/>
      <c r="H1046" s="278"/>
      <c r="I1046" s="278"/>
      <c r="J1046" s="278"/>
      <c r="K1046" s="278"/>
      <c r="N1046" s="3">
        <f t="shared" si="16"/>
        <v>1046</v>
      </c>
    </row>
    <row r="1047" spans="2:16" ht="12.75" customHeight="1">
      <c r="B1047" s="278"/>
      <c r="C1047" s="278"/>
      <c r="D1047" s="278"/>
      <c r="E1047" s="278"/>
      <c r="F1047" s="278"/>
      <c r="G1047" s="278"/>
      <c r="H1047" s="278"/>
      <c r="I1047" s="278"/>
      <c r="J1047" s="278"/>
      <c r="K1047" s="278"/>
      <c r="N1047" s="3">
        <f t="shared" si="16"/>
        <v>1047</v>
      </c>
    </row>
    <row r="1048" spans="2:16" ht="12.75" customHeight="1">
      <c r="B1048" s="278"/>
      <c r="C1048" s="278"/>
      <c r="D1048" s="278"/>
      <c r="E1048" s="278"/>
      <c r="F1048" s="278"/>
      <c r="G1048" s="278"/>
      <c r="H1048" s="278"/>
      <c r="I1048" s="278"/>
      <c r="J1048" s="278"/>
      <c r="K1048" s="278"/>
      <c r="N1048" s="3">
        <f t="shared" si="16"/>
        <v>1048</v>
      </c>
    </row>
    <row r="1049" spans="2:16" ht="12.75" customHeight="1">
      <c r="B1049" s="278"/>
      <c r="C1049" s="278"/>
      <c r="D1049" s="278"/>
      <c r="E1049" s="278"/>
      <c r="F1049" s="278"/>
      <c r="G1049" s="278"/>
      <c r="H1049" s="278"/>
      <c r="I1049" s="278"/>
      <c r="J1049" s="278"/>
      <c r="K1049" s="278"/>
      <c r="N1049" s="3">
        <f t="shared" si="16"/>
        <v>1049</v>
      </c>
    </row>
    <row r="1050" spans="2:16" ht="12.75" customHeight="1">
      <c r="B1050" s="278"/>
      <c r="C1050" s="278"/>
      <c r="D1050" s="278"/>
      <c r="E1050" s="278"/>
      <c r="F1050" s="278"/>
      <c r="G1050" s="278"/>
      <c r="H1050" s="278"/>
      <c r="I1050" s="278"/>
      <c r="J1050" s="278"/>
      <c r="K1050" s="278"/>
      <c r="N1050" s="3">
        <f t="shared" si="16"/>
        <v>1050</v>
      </c>
    </row>
    <row r="1051" spans="2:16" ht="12.75" customHeight="1">
      <c r="B1051" s="278"/>
      <c r="C1051" s="278"/>
      <c r="D1051" s="278"/>
      <c r="E1051" s="278"/>
      <c r="F1051" s="278"/>
      <c r="G1051" s="278"/>
      <c r="H1051" s="278"/>
      <c r="I1051" s="278"/>
      <c r="J1051" s="278"/>
      <c r="K1051" s="278"/>
      <c r="N1051" s="3">
        <f t="shared" si="16"/>
        <v>1051</v>
      </c>
    </row>
    <row r="1052" spans="2:16" ht="12.75">
      <c r="N1052" s="3">
        <f t="shared" si="16"/>
        <v>1052</v>
      </c>
    </row>
    <row r="1053" spans="2:16" ht="17.25">
      <c r="B1053" s="136" t="s">
        <v>212</v>
      </c>
      <c r="N1053" s="3">
        <f t="shared" ref="N1053:N1079" si="17">ROW(M1053)</f>
        <v>1053</v>
      </c>
      <c r="P1053" s="3" t="s">
        <v>339</v>
      </c>
    </row>
    <row r="1054" spans="2:16" ht="17.25">
      <c r="B1054" s="136"/>
      <c r="N1054" s="3">
        <f t="shared" si="17"/>
        <v>1054</v>
      </c>
    </row>
    <row r="1055" spans="2:16" ht="21">
      <c r="B1055" s="133" t="s">
        <v>172</v>
      </c>
      <c r="L1055" s="3">
        <v>7</v>
      </c>
      <c r="M1055" s="3">
        <v>2</v>
      </c>
      <c r="N1055" s="3">
        <f t="shared" si="17"/>
        <v>1055</v>
      </c>
      <c r="O1055" s="134" t="s">
        <v>340</v>
      </c>
    </row>
    <row r="1056" spans="2:16" ht="18" customHeight="1">
      <c r="B1056" s="138" t="s">
        <v>173</v>
      </c>
      <c r="N1056" s="3">
        <f t="shared" si="17"/>
        <v>1056</v>
      </c>
    </row>
    <row r="1057" spans="2:15" ht="15.95" customHeight="1">
      <c r="N1057" s="3">
        <f t="shared" si="17"/>
        <v>1057</v>
      </c>
    </row>
    <row r="1058" spans="2:15" ht="21">
      <c r="B1058" s="133" t="s">
        <v>174</v>
      </c>
      <c r="L1058" s="3">
        <v>8</v>
      </c>
      <c r="M1058" s="3">
        <v>9</v>
      </c>
      <c r="N1058" s="3">
        <f t="shared" si="17"/>
        <v>1058</v>
      </c>
      <c r="O1058" s="134" t="s">
        <v>341</v>
      </c>
    </row>
    <row r="1059" spans="2:15" ht="13.15" customHeight="1">
      <c r="B1059" s="280" t="s">
        <v>213</v>
      </c>
      <c r="C1059" s="280"/>
      <c r="D1059" s="280"/>
      <c r="E1059" s="280"/>
      <c r="F1059" s="280"/>
      <c r="G1059" s="280"/>
      <c r="H1059" s="280"/>
      <c r="I1059" s="280"/>
      <c r="J1059" s="280"/>
      <c r="K1059" s="280"/>
      <c r="N1059" s="3">
        <f t="shared" si="17"/>
        <v>1059</v>
      </c>
    </row>
    <row r="1060" spans="2:15" ht="13.15" customHeight="1">
      <c r="B1060" s="280"/>
      <c r="C1060" s="280"/>
      <c r="D1060" s="280"/>
      <c r="E1060" s="280"/>
      <c r="F1060" s="280"/>
      <c r="G1060" s="280"/>
      <c r="H1060" s="280"/>
      <c r="I1060" s="280"/>
      <c r="J1060" s="280"/>
      <c r="K1060" s="280"/>
      <c r="N1060" s="3">
        <f t="shared" si="17"/>
        <v>1060</v>
      </c>
    </row>
    <row r="1061" spans="2:15" ht="13.15" customHeight="1">
      <c r="B1061" s="280"/>
      <c r="C1061" s="280"/>
      <c r="D1061" s="280"/>
      <c r="E1061" s="280"/>
      <c r="F1061" s="280"/>
      <c r="G1061" s="280"/>
      <c r="H1061" s="280"/>
      <c r="I1061" s="280"/>
      <c r="J1061" s="280"/>
      <c r="K1061" s="280"/>
      <c r="N1061" s="3">
        <f t="shared" si="17"/>
        <v>1061</v>
      </c>
    </row>
    <row r="1062" spans="2:15" ht="13.15" customHeight="1">
      <c r="B1062" s="280"/>
      <c r="C1062" s="280"/>
      <c r="D1062" s="280"/>
      <c r="E1062" s="280"/>
      <c r="F1062" s="280"/>
      <c r="G1062" s="280"/>
      <c r="H1062" s="280"/>
      <c r="I1062" s="280"/>
      <c r="J1062" s="280"/>
      <c r="K1062" s="280"/>
    </row>
    <row r="1063" spans="2:15" ht="13.15" customHeight="1">
      <c r="B1063" s="280"/>
      <c r="C1063" s="280"/>
      <c r="D1063" s="280"/>
      <c r="E1063" s="280"/>
      <c r="F1063" s="280"/>
      <c r="G1063" s="280"/>
      <c r="H1063" s="280"/>
      <c r="I1063" s="280"/>
      <c r="J1063" s="280"/>
      <c r="K1063" s="280"/>
      <c r="N1063" s="3">
        <f t="shared" si="17"/>
        <v>1063</v>
      </c>
    </row>
    <row r="1064" spans="2:15" ht="15" customHeight="1">
      <c r="B1064" s="281" t="s">
        <v>214</v>
      </c>
      <c r="C1064" s="281"/>
      <c r="D1064" s="281"/>
      <c r="E1064" s="281"/>
      <c r="F1064" s="281"/>
      <c r="G1064" s="281"/>
      <c r="H1064" s="281"/>
      <c r="I1064" s="281"/>
      <c r="J1064" s="281"/>
      <c r="K1064" s="281"/>
      <c r="N1064" s="3">
        <f t="shared" si="17"/>
        <v>1064</v>
      </c>
    </row>
    <row r="1065" spans="2:15" ht="15" customHeight="1">
      <c r="B1065" s="281"/>
      <c r="C1065" s="281"/>
      <c r="D1065" s="281"/>
      <c r="E1065" s="281"/>
      <c r="F1065" s="281"/>
      <c r="G1065" s="281"/>
      <c r="H1065" s="281"/>
      <c r="I1065" s="281"/>
      <c r="J1065" s="281"/>
      <c r="K1065" s="281"/>
      <c r="N1065" s="3">
        <f t="shared" si="17"/>
        <v>1065</v>
      </c>
    </row>
    <row r="1066" spans="2:15" ht="15" customHeight="1">
      <c r="B1066" s="281"/>
      <c r="C1066" s="281"/>
      <c r="D1066" s="281"/>
      <c r="E1066" s="281"/>
      <c r="F1066" s="281"/>
      <c r="G1066" s="281"/>
      <c r="H1066" s="281"/>
      <c r="I1066" s="281"/>
      <c r="J1066" s="281"/>
      <c r="K1066" s="281"/>
      <c r="N1066" s="3">
        <f t="shared" si="17"/>
        <v>1066</v>
      </c>
    </row>
    <row r="1067" spans="2:15" ht="12.75">
      <c r="N1067" s="3">
        <f t="shared" si="17"/>
        <v>1067</v>
      </c>
    </row>
    <row r="1068" spans="2:15" ht="15.95" customHeight="1">
      <c r="B1068" s="133" t="s">
        <v>175</v>
      </c>
      <c r="L1068" s="3">
        <v>9</v>
      </c>
      <c r="M1068" s="3">
        <v>5</v>
      </c>
      <c r="N1068" s="3">
        <f t="shared" si="17"/>
        <v>1068</v>
      </c>
      <c r="O1068" s="134" t="s">
        <v>343</v>
      </c>
    </row>
    <row r="1069" spans="2:15" ht="13.15" customHeight="1">
      <c r="B1069" s="278" t="s">
        <v>215</v>
      </c>
      <c r="C1069" s="278"/>
      <c r="D1069" s="278"/>
      <c r="E1069" s="278"/>
      <c r="F1069" s="278"/>
      <c r="G1069" s="278"/>
      <c r="H1069" s="278"/>
      <c r="I1069" s="278"/>
      <c r="J1069" s="278"/>
      <c r="K1069" s="278"/>
      <c r="N1069" s="3">
        <f t="shared" si="17"/>
        <v>1069</v>
      </c>
      <c r="O1069" s="137"/>
    </row>
    <row r="1070" spans="2:15" ht="13.15" customHeight="1">
      <c r="B1070" s="278"/>
      <c r="C1070" s="278"/>
      <c r="D1070" s="278"/>
      <c r="E1070" s="278"/>
      <c r="F1070" s="278"/>
      <c r="G1070" s="278"/>
      <c r="H1070" s="278"/>
      <c r="I1070" s="278"/>
      <c r="J1070" s="278"/>
      <c r="K1070" s="278"/>
      <c r="N1070" s="3">
        <f t="shared" si="17"/>
        <v>1070</v>
      </c>
      <c r="O1070" s="137"/>
    </row>
    <row r="1071" spans="2:15" ht="13.15" customHeight="1">
      <c r="B1071" s="278"/>
      <c r="C1071" s="278"/>
      <c r="D1071" s="278"/>
      <c r="E1071" s="278"/>
      <c r="F1071" s="278"/>
      <c r="G1071" s="278"/>
      <c r="H1071" s="278"/>
      <c r="I1071" s="278"/>
      <c r="J1071" s="278"/>
      <c r="K1071" s="278"/>
      <c r="O1071" s="137"/>
    </row>
    <row r="1072" spans="2:15" ht="13.15" customHeight="1">
      <c r="B1072" s="278"/>
      <c r="C1072" s="278"/>
      <c r="D1072" s="278"/>
      <c r="E1072" s="278"/>
      <c r="F1072" s="278"/>
      <c r="G1072" s="278"/>
      <c r="H1072" s="278"/>
      <c r="I1072" s="278"/>
      <c r="J1072" s="278"/>
      <c r="K1072" s="278"/>
      <c r="N1072" s="3">
        <f t="shared" si="17"/>
        <v>1072</v>
      </c>
      <c r="O1072" s="137"/>
    </row>
    <row r="1073" spans="2:15" ht="15">
      <c r="B1073" s="135"/>
      <c r="C1073" s="135"/>
      <c r="D1073" s="135"/>
      <c r="E1073" s="135"/>
      <c r="F1073" s="135"/>
      <c r="G1073" s="135"/>
      <c r="H1073" s="135"/>
      <c r="I1073" s="135"/>
      <c r="J1073" s="135"/>
      <c r="K1073" s="135"/>
      <c r="N1073" s="3">
        <f t="shared" si="17"/>
        <v>1073</v>
      </c>
      <c r="O1073" s="137"/>
    </row>
    <row r="1074" spans="2:15" ht="21">
      <c r="B1074" s="133" t="s">
        <v>176</v>
      </c>
      <c r="C1074" s="135"/>
      <c r="D1074" s="135"/>
      <c r="E1074" s="135"/>
      <c r="F1074" s="135"/>
      <c r="G1074" s="135"/>
      <c r="H1074" s="135"/>
      <c r="I1074" s="135"/>
      <c r="J1074" s="135"/>
      <c r="K1074" s="135"/>
      <c r="L1074" s="3">
        <v>10</v>
      </c>
      <c r="M1074" s="3">
        <v>6</v>
      </c>
      <c r="N1074" s="3">
        <f t="shared" si="17"/>
        <v>1074</v>
      </c>
      <c r="O1074" s="137" t="s">
        <v>342</v>
      </c>
    </row>
    <row r="1075" spans="2:15" ht="13.15" customHeight="1">
      <c r="B1075" s="278" t="s">
        <v>216</v>
      </c>
      <c r="C1075" s="278"/>
      <c r="D1075" s="278"/>
      <c r="E1075" s="278"/>
      <c r="F1075" s="278"/>
      <c r="G1075" s="278"/>
      <c r="H1075" s="278"/>
      <c r="I1075" s="278"/>
      <c r="J1075" s="278"/>
      <c r="K1075" s="278"/>
      <c r="N1075" s="3">
        <f t="shared" si="17"/>
        <v>1075</v>
      </c>
      <c r="O1075" s="137"/>
    </row>
    <row r="1076" spans="2:15" ht="13.15" customHeight="1">
      <c r="B1076" s="278"/>
      <c r="C1076" s="278"/>
      <c r="D1076" s="278"/>
      <c r="E1076" s="278"/>
      <c r="F1076" s="278"/>
      <c r="G1076" s="278"/>
      <c r="H1076" s="278"/>
      <c r="I1076" s="278"/>
      <c r="J1076" s="278"/>
      <c r="K1076" s="278"/>
      <c r="N1076" s="3">
        <f t="shared" si="17"/>
        <v>1076</v>
      </c>
    </row>
    <row r="1077" spans="2:15" ht="13.15" customHeight="1">
      <c r="B1077" s="278"/>
      <c r="C1077" s="278"/>
      <c r="D1077" s="278"/>
      <c r="E1077" s="278"/>
      <c r="F1077" s="278"/>
      <c r="G1077" s="278"/>
      <c r="H1077" s="278"/>
      <c r="I1077" s="278"/>
      <c r="J1077" s="278"/>
      <c r="K1077" s="278"/>
      <c r="N1077" s="3">
        <f t="shared" si="17"/>
        <v>1077</v>
      </c>
    </row>
    <row r="1078" spans="2:15" ht="13.15" customHeight="1">
      <c r="B1078" s="278"/>
      <c r="C1078" s="278"/>
      <c r="D1078" s="278"/>
      <c r="E1078" s="278"/>
      <c r="F1078" s="278"/>
      <c r="G1078" s="278"/>
      <c r="H1078" s="278"/>
      <c r="I1078" s="278"/>
      <c r="J1078" s="278"/>
      <c r="K1078" s="278"/>
      <c r="N1078" s="3">
        <f t="shared" si="17"/>
        <v>1078</v>
      </c>
    </row>
    <row r="1079" spans="2:15" ht="12.75" customHeight="1">
      <c r="B1079" s="278"/>
      <c r="C1079" s="278"/>
      <c r="D1079" s="278"/>
      <c r="E1079" s="278"/>
      <c r="F1079" s="278"/>
      <c r="G1079" s="278"/>
      <c r="H1079" s="278"/>
      <c r="I1079" s="278"/>
      <c r="J1079" s="278"/>
      <c r="K1079" s="278"/>
      <c r="N1079" s="3">
        <f t="shared" si="17"/>
        <v>1079</v>
      </c>
    </row>
    <row r="1080" spans="2:15" ht="13.15" customHeight="1">
      <c r="B1080" s="135"/>
      <c r="C1080" s="135"/>
      <c r="D1080" s="135"/>
      <c r="E1080" s="135"/>
      <c r="F1080" s="135"/>
      <c r="G1080" s="135"/>
      <c r="H1080" s="135"/>
      <c r="I1080" s="135"/>
      <c r="J1080" s="135"/>
      <c r="K1080" s="135"/>
    </row>
    <row r="1084" spans="2:15" ht="13.15" customHeight="1">
      <c r="B1084" s="136" t="s">
        <v>177</v>
      </c>
    </row>
    <row r="1085" spans="2:15" ht="13.15" customHeight="1">
      <c r="B1085" s="136" t="s">
        <v>178</v>
      </c>
    </row>
    <row r="1086" spans="2:15" ht="13.15" customHeight="1">
      <c r="B1086" s="136" t="s">
        <v>131</v>
      </c>
    </row>
    <row r="1087" spans="2:15" ht="13.35" customHeight="1"/>
    <row r="1088" spans="2:15" ht="13.35" customHeight="1"/>
    <row r="1089" ht="13.35" customHeight="1"/>
    <row r="1090" ht="13.35" customHeight="1"/>
    <row r="1091" ht="13.35" customHeight="1"/>
    <row r="1092" ht="13.35" customHeight="1"/>
    <row r="1093" ht="13.35" customHeight="1"/>
    <row r="1094" ht="13.35" customHeight="1"/>
    <row r="1095" ht="13.35" customHeight="1"/>
    <row r="1096" ht="13.35" customHeight="1"/>
    <row r="1097" ht="13.35" customHeight="1"/>
    <row r="1098" ht="13.35" customHeight="1"/>
    <row r="1099" ht="13.35" customHeight="1"/>
    <row r="1100" ht="13.35" customHeight="1"/>
    <row r="1101" ht="13.35" customHeight="1"/>
  </sheetData>
  <mergeCells count="160">
    <mergeCell ref="B1046:K1051"/>
    <mergeCell ref="B1059:K1063"/>
    <mergeCell ref="B1064:K1066"/>
    <mergeCell ref="B1069:K1072"/>
    <mergeCell ref="B1075:K1079"/>
    <mergeCell ref="B995:K997"/>
    <mergeCell ref="B998:K1003"/>
    <mergeCell ref="B1006:K1009"/>
    <mergeCell ref="B1012:K1015"/>
    <mergeCell ref="B1026:K1031"/>
    <mergeCell ref="B1036:K1041"/>
    <mergeCell ref="B1018:K1023"/>
    <mergeCell ref="B981:K992"/>
    <mergeCell ref="B883:K895"/>
    <mergeCell ref="C897:K899"/>
    <mergeCell ref="C901:K903"/>
    <mergeCell ref="B905:K910"/>
    <mergeCell ref="C912:K913"/>
    <mergeCell ref="B915:K918"/>
    <mergeCell ref="C920:K927"/>
    <mergeCell ref="B929:K934"/>
    <mergeCell ref="C936:K943"/>
    <mergeCell ref="C945:K946"/>
    <mergeCell ref="B948:K957"/>
    <mergeCell ref="C959:K966"/>
    <mergeCell ref="B969:K972"/>
    <mergeCell ref="B975:K977"/>
    <mergeCell ref="B777:K779"/>
    <mergeCell ref="C781:K782"/>
    <mergeCell ref="B739:K743"/>
    <mergeCell ref="C745:K748"/>
    <mergeCell ref="B750:K757"/>
    <mergeCell ref="C759:K763"/>
    <mergeCell ref="B765:K771"/>
    <mergeCell ref="C773:K775"/>
    <mergeCell ref="C845:K849"/>
    <mergeCell ref="B784:K796"/>
    <mergeCell ref="C798:K803"/>
    <mergeCell ref="B805:K805"/>
    <mergeCell ref="C807:K815"/>
    <mergeCell ref="B817:K818"/>
    <mergeCell ref="C819:K826"/>
    <mergeCell ref="B828:K830"/>
    <mergeCell ref="C831:K838"/>
    <mergeCell ref="B840:K843"/>
    <mergeCell ref="C708:K713"/>
    <mergeCell ref="B715:K716"/>
    <mergeCell ref="C718:K721"/>
    <mergeCell ref="B722:K722"/>
    <mergeCell ref="B723:K731"/>
    <mergeCell ref="C733:K737"/>
    <mergeCell ref="B654:K661"/>
    <mergeCell ref="C663:K665"/>
    <mergeCell ref="C667:K668"/>
    <mergeCell ref="B670:K672"/>
    <mergeCell ref="C674:K675"/>
    <mergeCell ref="B702:K706"/>
    <mergeCell ref="B677:K692"/>
    <mergeCell ref="C694:K700"/>
    <mergeCell ref="B632:K633"/>
    <mergeCell ref="C635:K636"/>
    <mergeCell ref="B638:K640"/>
    <mergeCell ref="C642:K642"/>
    <mergeCell ref="B644:K645"/>
    <mergeCell ref="C647:K652"/>
    <mergeCell ref="B593:K598"/>
    <mergeCell ref="C600:K603"/>
    <mergeCell ref="B605:K611"/>
    <mergeCell ref="C613:K615"/>
    <mergeCell ref="B617:K626"/>
    <mergeCell ref="C628:K630"/>
    <mergeCell ref="B559:K567"/>
    <mergeCell ref="C569:K572"/>
    <mergeCell ref="B574:K575"/>
    <mergeCell ref="C577:K579"/>
    <mergeCell ref="B581:K585"/>
    <mergeCell ref="C587:K591"/>
    <mergeCell ref="B507:K510"/>
    <mergeCell ref="C512:K513"/>
    <mergeCell ref="B515:K525"/>
    <mergeCell ref="C527:K535"/>
    <mergeCell ref="B537:K547"/>
    <mergeCell ref="C549:K557"/>
    <mergeCell ref="B472:K484"/>
    <mergeCell ref="C486:K487"/>
    <mergeCell ref="B489:K494"/>
    <mergeCell ref="C496:K497"/>
    <mergeCell ref="B499:K502"/>
    <mergeCell ref="C504:K505"/>
    <mergeCell ref="B435:K438"/>
    <mergeCell ref="C440:K442"/>
    <mergeCell ref="B444:K453"/>
    <mergeCell ref="C455:K458"/>
    <mergeCell ref="B460:K464"/>
    <mergeCell ref="C466:K470"/>
    <mergeCell ref="C395:K395"/>
    <mergeCell ref="B397:K404"/>
    <mergeCell ref="C406:K410"/>
    <mergeCell ref="C412:K412"/>
    <mergeCell ref="B414:K429"/>
    <mergeCell ref="C431:K433"/>
    <mergeCell ref="B354:K361"/>
    <mergeCell ref="C363:K363"/>
    <mergeCell ref="B365:K375"/>
    <mergeCell ref="C377:K378"/>
    <mergeCell ref="B382:K390"/>
    <mergeCell ref="C392:K394"/>
    <mergeCell ref="B204:K206"/>
    <mergeCell ref="C321:J323"/>
    <mergeCell ref="C325:K325"/>
    <mergeCell ref="B327:K331"/>
    <mergeCell ref="C333:K336"/>
    <mergeCell ref="B338:K343"/>
    <mergeCell ref="C345:K352"/>
    <mergeCell ref="C259:K268"/>
    <mergeCell ref="B270:K278"/>
    <mergeCell ref="C286:K295"/>
    <mergeCell ref="B297:K304"/>
    <mergeCell ref="C306:K312"/>
    <mergeCell ref="B314:K319"/>
    <mergeCell ref="C280:K284"/>
    <mergeCell ref="B2:K12"/>
    <mergeCell ref="C14:K20"/>
    <mergeCell ref="C22:K27"/>
    <mergeCell ref="B29:K35"/>
    <mergeCell ref="C37:K41"/>
    <mergeCell ref="C43:K47"/>
    <mergeCell ref="C136:K139"/>
    <mergeCell ref="B141:K150"/>
    <mergeCell ref="S141:W141"/>
    <mergeCell ref="B85:K93"/>
    <mergeCell ref="C95:K103"/>
    <mergeCell ref="C105:K110"/>
    <mergeCell ref="B112:K118"/>
    <mergeCell ref="C120:K125"/>
    <mergeCell ref="B127:K134"/>
    <mergeCell ref="B851:K855"/>
    <mergeCell ref="C857:K859"/>
    <mergeCell ref="B861:K873"/>
    <mergeCell ref="C875:K877"/>
    <mergeCell ref="C879:K881"/>
    <mergeCell ref="B49:K54"/>
    <mergeCell ref="C56:K59"/>
    <mergeCell ref="C61:K64"/>
    <mergeCell ref="B66:K70"/>
    <mergeCell ref="C72:K77"/>
    <mergeCell ref="C79:K83"/>
    <mergeCell ref="C152:K154"/>
    <mergeCell ref="B156:K164"/>
    <mergeCell ref="C166:K171"/>
    <mergeCell ref="C208:K215"/>
    <mergeCell ref="B217:K227"/>
    <mergeCell ref="C229:K232"/>
    <mergeCell ref="C234:K240"/>
    <mergeCell ref="B242:K246"/>
    <mergeCell ref="C248:K257"/>
    <mergeCell ref="C173:K180"/>
    <mergeCell ref="B182:K185"/>
    <mergeCell ref="C187:K194"/>
    <mergeCell ref="C196:K20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67A2E31681C4434EAE8B39D83691A76B" ma:contentTypeVersion="9" ma:contentTypeDescription="Creare un nuovo documento." ma:contentTypeScope="" ma:versionID="1947848a9ab235077a4daff6d6cca8fa">
  <xsd:schema xmlns:xsd="http://www.w3.org/2001/XMLSchema" xmlns:xs="http://www.w3.org/2001/XMLSchema" xmlns:p="http://schemas.microsoft.com/office/2006/metadata/properties" xmlns:ns3="f07c0e2a-de7f-454d-a64d-a8f945ecc089" targetNamespace="http://schemas.microsoft.com/office/2006/metadata/properties" ma:root="true" ma:fieldsID="676f0e6112eadb2e205b9922d686e24d" ns3:_="">
    <xsd:import namespace="f07c0e2a-de7f-454d-a64d-a8f945ecc089"/>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7c0e2a-de7f-454d-a64d-a8f945ecc0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4AA4B6-F88F-495C-A21E-E4FEE0CA18ED}">
  <ds:schemaRefs>
    <ds:schemaRef ds:uri="http://schemas.microsoft.com/sharepoint/v3/contenttype/forms"/>
  </ds:schemaRefs>
</ds:datastoreItem>
</file>

<file path=customXml/itemProps2.xml><?xml version="1.0" encoding="utf-8"?>
<ds:datastoreItem xmlns:ds="http://schemas.openxmlformats.org/officeDocument/2006/customXml" ds:itemID="{8104D1DD-5D72-4007-AC12-22964161B4DD}">
  <ds:schemaRefs>
    <ds:schemaRef ds:uri="http://schemas.microsoft.com/office/2006/metadata/properties"/>
    <ds:schemaRef ds:uri="f07c0e2a-de7f-454d-a64d-a8f945ecc089"/>
    <ds:schemaRef ds:uri="http://purl.org/dc/dcmitype/"/>
    <ds:schemaRef ds:uri="http://www.w3.org/XML/1998/namespace"/>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elements/1.1/"/>
  </ds:schemaRefs>
</ds:datastoreItem>
</file>

<file path=customXml/itemProps3.xml><?xml version="1.0" encoding="utf-8"?>
<ds:datastoreItem xmlns:ds="http://schemas.openxmlformats.org/officeDocument/2006/customXml" ds:itemID="{4C3A3DA7-9A8D-43B5-A099-088389CA3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07c0e2a-de7f-454d-a64d-a8f945ecc0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2378f6b-f1b0-4815-a8da-8a787c8cf5d3}" enabled="1" method="Privileged" siteId="{028226e0-99ea-4fab-9d1b-daa440c9e28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6</vt:i4>
      </vt:variant>
    </vt:vector>
  </HeadingPairs>
  <TitlesOfParts>
    <vt:vector size="10" baseType="lpstr">
      <vt:lpstr>Base</vt:lpstr>
      <vt:lpstr>Riferimenti</vt:lpstr>
      <vt:lpstr>Spiegazioni</vt:lpstr>
      <vt:lpstr>Sorgente</vt:lpstr>
      <vt:lpstr>Base!Area_stampa</vt:lpstr>
      <vt:lpstr>Spiegazioni!Area_stampa</vt:lpstr>
      <vt:lpstr>codfisc</vt:lpstr>
      <vt:lpstr>Base!dref</vt:lpstr>
      <vt:lpstr>nacc</vt:lpstr>
      <vt:lpstr>Base!nPaz</vt:lpstr>
    </vt:vector>
  </TitlesOfParts>
  <Company>Bonus.inc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Bonus</dc:creator>
  <cp:lastModifiedBy>Tiozzo Mattia</cp:lastModifiedBy>
  <cp:lastPrinted>2025-12-06T11:54:07Z</cp:lastPrinted>
  <dcterms:created xsi:type="dcterms:W3CDTF">2004-01-18T19:58:30Z</dcterms:created>
  <dcterms:modified xsi:type="dcterms:W3CDTF">2025-12-17T21:14:11Z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0x01010067A2E31681C4434EAE8B39D83691A76B</vt:lpwstr>
  </property>
</Properties>
</file>