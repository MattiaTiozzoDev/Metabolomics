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TheBonus\Desktop\HOMICA\"/>
    </mc:Choice>
  </mc:AlternateContent>
  <xr:revisionPtr revIDLastSave="0" documentId="13_ncr:1_{D44E5672-03CB-4044-B33F-4EF07912FCE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ase" sheetId="2" r:id="rId1"/>
    <sheet name="Calcoli" sheetId="3" r:id="rId2"/>
    <sheet name="Foglio1" sheetId="4" state="hidden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608" i="2" l="1"/>
  <c r="G3564" i="2"/>
  <c r="G3520" i="2"/>
  <c r="G3476" i="2"/>
  <c r="G3388" i="2"/>
  <c r="G3344" i="2"/>
  <c r="G3300" i="2"/>
  <c r="G3256" i="2"/>
  <c r="G3168" i="2"/>
  <c r="G3124" i="2"/>
  <c r="G3080" i="2"/>
  <c r="G3036" i="2"/>
  <c r="G2948" i="2"/>
  <c r="G2904" i="2"/>
  <c r="G2860" i="2"/>
  <c r="G2816" i="2"/>
  <c r="G2728" i="2"/>
  <c r="G2684" i="2"/>
  <c r="G2640" i="2"/>
  <c r="G2596" i="2"/>
  <c r="G2508" i="2"/>
  <c r="G2464" i="2"/>
  <c r="G2420" i="2"/>
  <c r="G2376" i="2"/>
  <c r="G2288" i="2"/>
  <c r="G2244" i="2"/>
  <c r="G2200" i="2"/>
  <c r="G2156" i="2"/>
  <c r="G1980" i="2"/>
  <c r="G1936" i="2"/>
  <c r="G1848" i="2"/>
  <c r="G1804" i="2"/>
  <c r="G1760" i="2"/>
  <c r="G1716" i="2"/>
  <c r="G1628" i="2"/>
  <c r="G1584" i="2"/>
  <c r="G1540" i="2"/>
  <c r="G1496" i="2"/>
  <c r="G1408" i="2"/>
  <c r="G1364" i="2"/>
  <c r="G1320" i="2"/>
  <c r="G1276" i="2"/>
  <c r="G1188" i="2"/>
  <c r="G1144" i="2"/>
  <c r="G1100" i="2"/>
  <c r="G1056" i="2"/>
  <c r="G968" i="2"/>
  <c r="G924" i="2"/>
  <c r="G880" i="2"/>
  <c r="G836" i="2"/>
  <c r="G748" i="2"/>
  <c r="G704" i="2"/>
  <c r="G660" i="2"/>
  <c r="G616" i="2"/>
  <c r="G528" i="2"/>
  <c r="G484" i="2"/>
  <c r="G440" i="2"/>
  <c r="G396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Z5" i="2"/>
  <c r="Z4" i="2"/>
  <c r="I7" i="3" s="1"/>
  <c r="Z3" i="2"/>
  <c r="F6" i="3"/>
  <c r="F7" i="3"/>
  <c r="B6" i="3"/>
  <c r="C6" i="3"/>
  <c r="C7" i="3"/>
  <c r="C3" i="3"/>
  <c r="C4" i="3"/>
  <c r="AY72" i="3"/>
  <c r="AZ72" i="3"/>
  <c r="BA72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AY73" i="3"/>
  <c r="AZ73" i="3"/>
  <c r="BA73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AY74" i="3"/>
  <c r="AZ74" i="3"/>
  <c r="BA74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AY75" i="3"/>
  <c r="AZ75" i="3"/>
  <c r="BA75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AY76" i="3"/>
  <c r="AZ76" i="3"/>
  <c r="BA76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AY77" i="3"/>
  <c r="AZ77" i="3"/>
  <c r="BA77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AY78" i="3"/>
  <c r="AZ78" i="3"/>
  <c r="BA78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AY79" i="3"/>
  <c r="AZ79" i="3"/>
  <c r="BA79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AY80" i="3"/>
  <c r="AZ80" i="3"/>
  <c r="BA80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AY81" i="3"/>
  <c r="AZ81" i="3"/>
  <c r="BA81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AY82" i="3"/>
  <c r="AZ82" i="3"/>
  <c r="BA82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AY83" i="3"/>
  <c r="AZ83" i="3"/>
  <c r="BA83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AY84" i="3"/>
  <c r="AZ84" i="3"/>
  <c r="BA84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AY85" i="3"/>
  <c r="AZ85" i="3"/>
  <c r="BA85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AY87" i="3"/>
  <c r="AZ87" i="3"/>
  <c r="BA87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AY88" i="3"/>
  <c r="AZ88" i="3"/>
  <c r="BA88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AY89" i="3"/>
  <c r="AZ89" i="3"/>
  <c r="BA89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AY90" i="3"/>
  <c r="AZ90" i="3"/>
  <c r="BA90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AY91" i="3"/>
  <c r="AZ91" i="3"/>
  <c r="BA91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AY92" i="3"/>
  <c r="AZ92" i="3"/>
  <c r="BA92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AY93" i="3"/>
  <c r="AZ93" i="3"/>
  <c r="BA93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AY94" i="3"/>
  <c r="AZ94" i="3"/>
  <c r="BA94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AY95" i="3"/>
  <c r="AZ95" i="3"/>
  <c r="BA95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AY96" i="3"/>
  <c r="AZ96" i="3"/>
  <c r="BA96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AY97" i="3"/>
  <c r="AZ97" i="3"/>
  <c r="BA97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AY98" i="3"/>
  <c r="AZ98" i="3"/>
  <c r="BA98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AY99" i="3"/>
  <c r="AZ99" i="3"/>
  <c r="BA99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AY100" i="3"/>
  <c r="AZ100" i="3"/>
  <c r="BA100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AY101" i="3"/>
  <c r="AZ101" i="3"/>
  <c r="BA101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AY102" i="3"/>
  <c r="AZ102" i="3"/>
  <c r="BA102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AY103" i="3"/>
  <c r="AZ103" i="3"/>
  <c r="BA103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AY104" i="3"/>
  <c r="AZ104" i="3"/>
  <c r="BA104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AY105" i="3"/>
  <c r="AZ105" i="3"/>
  <c r="BA105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AY106" i="3"/>
  <c r="AZ106" i="3"/>
  <c r="BA106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AY107" i="3"/>
  <c r="AZ107" i="3"/>
  <c r="BA107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AY110" i="3"/>
  <c r="AZ110" i="3"/>
  <c r="BA110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AY111" i="3"/>
  <c r="AZ111" i="3"/>
  <c r="BA111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AY112" i="3"/>
  <c r="AZ112" i="3"/>
  <c r="BA112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AY113" i="3"/>
  <c r="AZ113" i="3"/>
  <c r="BA113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AY114" i="3"/>
  <c r="AZ114" i="3"/>
  <c r="BA114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AY115" i="3"/>
  <c r="AZ115" i="3"/>
  <c r="BA115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AX101" i="3"/>
  <c r="AX102" i="3"/>
  <c r="AX103" i="3"/>
  <c r="AX104" i="3"/>
  <c r="AX105" i="3"/>
  <c r="AX106" i="3"/>
  <c r="AX107" i="3"/>
  <c r="AX108" i="3"/>
  <c r="AX109" i="3"/>
  <c r="AX110" i="3"/>
  <c r="AX111" i="3"/>
  <c r="AX112" i="3"/>
  <c r="AX113" i="3"/>
  <c r="AX114" i="3"/>
  <c r="AX115" i="3"/>
  <c r="AX50" i="3"/>
  <c r="E110" i="3"/>
  <c r="F110" i="3" s="1"/>
  <c r="G110" i="3"/>
  <c r="H110" i="3"/>
  <c r="E111" i="3"/>
  <c r="F111" i="3"/>
  <c r="G111" i="3"/>
  <c r="H111" i="3"/>
  <c r="E112" i="3"/>
  <c r="E113" i="3" s="1"/>
  <c r="F112" i="3"/>
  <c r="G112" i="3"/>
  <c r="H112" i="3"/>
  <c r="E98" i="3"/>
  <c r="H98" i="3" s="1"/>
  <c r="F98" i="3"/>
  <c r="G98" i="3"/>
  <c r="E99" i="3"/>
  <c r="F99" i="3"/>
  <c r="G99" i="3"/>
  <c r="H99" i="3"/>
  <c r="E100" i="3"/>
  <c r="E101" i="3" s="1"/>
  <c r="F100" i="3"/>
  <c r="G100" i="3"/>
  <c r="H100" i="3"/>
  <c r="E72" i="3"/>
  <c r="F72" i="3" s="1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H50" i="3"/>
  <c r="G50" i="3"/>
  <c r="F50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W87" i="3" s="1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W88" i="3" s="1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W89" i="3" s="1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W90" i="3" s="1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W91" i="3" s="1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W92" i="3" s="1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W93" i="3" s="1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W94" i="3" s="1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W95" i="3" s="1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W96" i="3" s="1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W97" i="3" s="1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W98" i="3" s="1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W99" i="3" s="1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W100" i="3" s="1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W101" i="3" s="1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W102" i="3" s="1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W103" i="3" s="1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W104" i="3" s="1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W105" i="3" s="1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W106" i="3" s="1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W107" i="3" s="1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W108" i="3" s="1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W109" i="3" s="1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W110" i="3" s="1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W111" i="3" s="1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W112" i="3" s="1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W113" i="3" s="1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W114" i="3" s="1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W115" i="3" s="1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W72" i="3" s="1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W73" i="3" s="1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W74" i="3" s="1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W75" i="3" s="1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W76" i="3" s="1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W77" i="3" s="1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W78" i="3" s="1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W79" i="3" s="1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W80" i="3" s="1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W81" i="3" s="1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W82" i="3" s="1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W83" i="3" s="1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W84" i="3" s="1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W85" i="3" s="1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W86" i="3" s="1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50" i="3"/>
  <c r="H3" i="3"/>
  <c r="G3" i="3"/>
  <c r="F3" i="3"/>
  <c r="B3" i="3"/>
  <c r="D3" i="3"/>
  <c r="K61" i="3" l="1"/>
  <c r="L52" i="3"/>
  <c r="J61" i="3"/>
  <c r="J71" i="3"/>
  <c r="I61" i="3"/>
  <c r="L60" i="3"/>
  <c r="L112" i="3"/>
  <c r="L70" i="3"/>
  <c r="J70" i="3"/>
  <c r="I56" i="3"/>
  <c r="L100" i="3"/>
  <c r="J69" i="3"/>
  <c r="J111" i="3"/>
  <c r="I69" i="3"/>
  <c r="J100" i="3"/>
  <c r="I55" i="3"/>
  <c r="L110" i="3"/>
  <c r="K68" i="3"/>
  <c r="K110" i="3"/>
  <c r="K54" i="3"/>
  <c r="K99" i="3"/>
  <c r="K66" i="3"/>
  <c r="J64" i="3"/>
  <c r="I54" i="3"/>
  <c r="L7" i="3"/>
  <c r="I64" i="3"/>
  <c r="K7" i="3"/>
  <c r="L63" i="3"/>
  <c r="K53" i="3"/>
  <c r="J7" i="3"/>
  <c r="K63" i="3"/>
  <c r="J53" i="3"/>
  <c r="I71" i="3"/>
  <c r="J60" i="3"/>
  <c r="K112" i="3"/>
  <c r="I60" i="3"/>
  <c r="J112" i="3"/>
  <c r="I70" i="3"/>
  <c r="L59" i="3"/>
  <c r="I112" i="3"/>
  <c r="L69" i="3"/>
  <c r="K59" i="3"/>
  <c r="L111" i="3"/>
  <c r="K69" i="3"/>
  <c r="K111" i="3"/>
  <c r="L55" i="3"/>
  <c r="K100" i="3"/>
  <c r="J55" i="3"/>
  <c r="I111" i="3"/>
  <c r="L68" i="3"/>
  <c r="I100" i="3"/>
  <c r="L54" i="3"/>
  <c r="L6" i="3"/>
  <c r="I51" i="3"/>
  <c r="J59" i="3"/>
  <c r="J66" i="3"/>
  <c r="L99" i="3"/>
  <c r="L66" i="3"/>
  <c r="J54" i="3"/>
  <c r="L53" i="3"/>
  <c r="J63" i="3"/>
  <c r="I53" i="3"/>
  <c r="L3" i="3"/>
  <c r="I72" i="3"/>
  <c r="J58" i="3"/>
  <c r="L71" i="3"/>
  <c r="L64" i="3"/>
  <c r="I58" i="3"/>
  <c r="K52" i="3"/>
  <c r="I63" i="3"/>
  <c r="J68" i="3"/>
  <c r="J99" i="3"/>
  <c r="L57" i="3"/>
  <c r="J3" i="3"/>
  <c r="J110" i="3"/>
  <c r="I66" i="3"/>
  <c r="I59" i="3"/>
  <c r="L50" i="3"/>
  <c r="K6" i="3"/>
  <c r="I3" i="3"/>
  <c r="I110" i="3"/>
  <c r="L65" i="3"/>
  <c r="L58" i="3"/>
  <c r="J50" i="3"/>
  <c r="J6" i="3"/>
  <c r="K3" i="3"/>
  <c r="J65" i="3"/>
  <c r="K58" i="3"/>
  <c r="I50" i="3"/>
  <c r="I6" i="3"/>
  <c r="I65" i="3"/>
  <c r="K71" i="3"/>
  <c r="K64" i="3"/>
  <c r="J56" i="3"/>
  <c r="I99" i="3"/>
  <c r="I68" i="3"/>
  <c r="K57" i="3"/>
  <c r="J52" i="3"/>
  <c r="L98" i="3"/>
  <c r="L67" i="3"/>
  <c r="K62" i="3"/>
  <c r="J57" i="3"/>
  <c r="I52" i="3"/>
  <c r="K98" i="3"/>
  <c r="L72" i="3"/>
  <c r="K67" i="3"/>
  <c r="J62" i="3"/>
  <c r="I57" i="3"/>
  <c r="L51" i="3"/>
  <c r="J113" i="3"/>
  <c r="J98" i="3"/>
  <c r="K72" i="3"/>
  <c r="J67" i="3"/>
  <c r="I62" i="3"/>
  <c r="L56" i="3"/>
  <c r="K51" i="3"/>
  <c r="L62" i="3"/>
  <c r="I98" i="3"/>
  <c r="J72" i="3"/>
  <c r="I67" i="3"/>
  <c r="L61" i="3"/>
  <c r="K56" i="3"/>
  <c r="J51" i="3"/>
  <c r="K70" i="3"/>
  <c r="K65" i="3"/>
  <c r="K60" i="3"/>
  <c r="K55" i="3"/>
  <c r="K50" i="3"/>
  <c r="G113" i="3"/>
  <c r="E114" i="3"/>
  <c r="F113" i="3"/>
  <c r="L113" i="3" s="1"/>
  <c r="H113" i="3"/>
  <c r="F101" i="3"/>
  <c r="I101" i="3" s="1"/>
  <c r="G101" i="3"/>
  <c r="H101" i="3"/>
  <c r="E102" i="3"/>
  <c r="E73" i="3"/>
  <c r="H72" i="3"/>
  <c r="G72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L101" i="3" l="1"/>
  <c r="K101" i="3"/>
  <c r="J101" i="3"/>
  <c r="I113" i="3"/>
  <c r="K113" i="3"/>
  <c r="E115" i="3"/>
  <c r="G114" i="3"/>
  <c r="H114" i="3"/>
  <c r="F114" i="3"/>
  <c r="E103" i="3"/>
  <c r="F102" i="3"/>
  <c r="G102" i="3"/>
  <c r="H102" i="3"/>
  <c r="E74" i="3"/>
  <c r="F73" i="3"/>
  <c r="G73" i="3"/>
  <c r="H73" i="3"/>
  <c r="L102" i="3" l="1"/>
  <c r="K102" i="3"/>
  <c r="J102" i="3"/>
  <c r="I102" i="3"/>
  <c r="K73" i="3"/>
  <c r="I73" i="3"/>
  <c r="J73" i="3"/>
  <c r="L73" i="3"/>
  <c r="K114" i="3"/>
  <c r="I114" i="3"/>
  <c r="J114" i="3"/>
  <c r="L114" i="3"/>
  <c r="G115" i="3"/>
  <c r="H115" i="3"/>
  <c r="F115" i="3"/>
  <c r="F103" i="3"/>
  <c r="G103" i="3"/>
  <c r="H103" i="3"/>
  <c r="E104" i="3"/>
  <c r="E75" i="3"/>
  <c r="G74" i="3"/>
  <c r="F74" i="3"/>
  <c r="H74" i="3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1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10" i="4"/>
  <c r="I2" i="4"/>
  <c r="I3" i="4"/>
  <c r="I4" i="4"/>
  <c r="I5" i="4"/>
  <c r="I6" i="4"/>
  <c r="I7" i="4"/>
  <c r="I8" i="4"/>
  <c r="I9" i="4"/>
  <c r="I1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10" i="4"/>
  <c r="F2" i="4"/>
  <c r="F3" i="4"/>
  <c r="F4" i="4"/>
  <c r="F5" i="4"/>
  <c r="F6" i="4"/>
  <c r="F7" i="4"/>
  <c r="F8" i="4"/>
  <c r="F9" i="4"/>
  <c r="F1" i="4"/>
  <c r="J115" i="3" l="1"/>
  <c r="K115" i="3"/>
  <c r="I115" i="3"/>
  <c r="L115" i="3"/>
  <c r="K74" i="3"/>
  <c r="J74" i="3"/>
  <c r="L74" i="3"/>
  <c r="I74" i="3"/>
  <c r="J103" i="3"/>
  <c r="L103" i="3"/>
  <c r="K103" i="3"/>
  <c r="I103" i="3"/>
  <c r="F104" i="3"/>
  <c r="G104" i="3"/>
  <c r="H104" i="3"/>
  <c r="E105" i="3"/>
  <c r="F75" i="3"/>
  <c r="G75" i="3"/>
  <c r="H75" i="3"/>
  <c r="E76" i="3"/>
  <c r="E4" i="3"/>
  <c r="I75" i="3" l="1"/>
  <c r="J75" i="3"/>
  <c r="L75" i="3"/>
  <c r="K75" i="3"/>
  <c r="J104" i="3"/>
  <c r="I104" i="3"/>
  <c r="K104" i="3"/>
  <c r="L104" i="3"/>
  <c r="H105" i="3"/>
  <c r="E106" i="3"/>
  <c r="G105" i="3"/>
  <c r="F105" i="3"/>
  <c r="E77" i="3"/>
  <c r="G76" i="3"/>
  <c r="F76" i="3"/>
  <c r="H76" i="3"/>
  <c r="F4" i="3"/>
  <c r="G4" i="3"/>
  <c r="H4" i="3"/>
  <c r="AX4" i="3"/>
  <c r="BF4" i="3"/>
  <c r="BN4" i="3"/>
  <c r="AY4" i="3"/>
  <c r="BG4" i="3"/>
  <c r="BO4" i="3"/>
  <c r="BK4" i="3"/>
  <c r="AZ4" i="3"/>
  <c r="BH4" i="3"/>
  <c r="BP4" i="3"/>
  <c r="BA4" i="3"/>
  <c r="BI4" i="3"/>
  <c r="BQ4" i="3"/>
  <c r="BB4" i="3"/>
  <c r="BJ4" i="3"/>
  <c r="BR4" i="3"/>
  <c r="BS4" i="3"/>
  <c r="BC4" i="3"/>
  <c r="BD4" i="3"/>
  <c r="BL4" i="3"/>
  <c r="BT4" i="3"/>
  <c r="BE4" i="3"/>
  <c r="BM4" i="3"/>
  <c r="E5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M3" i="3"/>
  <c r="L76" i="3" l="1"/>
  <c r="K76" i="3"/>
  <c r="I76" i="3"/>
  <c r="J76" i="3"/>
  <c r="K105" i="3"/>
  <c r="J105" i="3"/>
  <c r="I105" i="3"/>
  <c r="L105" i="3"/>
  <c r="I4" i="3"/>
  <c r="L4" i="3"/>
  <c r="K4" i="3"/>
  <c r="J4" i="3"/>
  <c r="F106" i="3"/>
  <c r="G106" i="3"/>
  <c r="H106" i="3"/>
  <c r="E107" i="3"/>
  <c r="F77" i="3"/>
  <c r="G77" i="3"/>
  <c r="H77" i="3"/>
  <c r="E78" i="3"/>
  <c r="F5" i="3"/>
  <c r="H5" i="3"/>
  <c r="G5" i="3"/>
  <c r="AW3" i="3"/>
  <c r="AY5" i="3"/>
  <c r="BG5" i="3"/>
  <c r="BO5" i="3"/>
  <c r="BL5" i="3"/>
  <c r="BF5" i="3"/>
  <c r="AZ5" i="3"/>
  <c r="BH5" i="3"/>
  <c r="BP5" i="3"/>
  <c r="BN5" i="3"/>
  <c r="BA5" i="3"/>
  <c r="BI5" i="3"/>
  <c r="BQ5" i="3"/>
  <c r="BT5" i="3"/>
  <c r="BB5" i="3"/>
  <c r="BJ5" i="3"/>
  <c r="BR5" i="3"/>
  <c r="BD5" i="3"/>
  <c r="BC5" i="3"/>
  <c r="BK5" i="3"/>
  <c r="BS5" i="3"/>
  <c r="BE5" i="3"/>
  <c r="BM5" i="3"/>
  <c r="AX5" i="3"/>
  <c r="E6" i="3"/>
  <c r="L5" i="3" l="1"/>
  <c r="J5" i="3"/>
  <c r="I5" i="3"/>
  <c r="K5" i="3"/>
  <c r="I77" i="3"/>
  <c r="J77" i="3"/>
  <c r="K77" i="3"/>
  <c r="L77" i="3"/>
  <c r="K106" i="3"/>
  <c r="L106" i="3"/>
  <c r="J106" i="3"/>
  <c r="I106" i="3"/>
  <c r="E108" i="3"/>
  <c r="F107" i="3"/>
  <c r="G107" i="3"/>
  <c r="H107" i="3"/>
  <c r="H78" i="3"/>
  <c r="E79" i="3"/>
  <c r="F78" i="3"/>
  <c r="G78" i="3"/>
  <c r="G6" i="3"/>
  <c r="H6" i="3"/>
  <c r="AZ6" i="3"/>
  <c r="BH6" i="3"/>
  <c r="BP6" i="3"/>
  <c r="BA6" i="3"/>
  <c r="BI6" i="3"/>
  <c r="BQ6" i="3"/>
  <c r="BB6" i="3"/>
  <c r="BJ6" i="3"/>
  <c r="BR6" i="3"/>
  <c r="BM6" i="3"/>
  <c r="BC6" i="3"/>
  <c r="BK6" i="3"/>
  <c r="BS6" i="3"/>
  <c r="BE6" i="3"/>
  <c r="BG6" i="3"/>
  <c r="BD6" i="3"/>
  <c r="BL6" i="3"/>
  <c r="BT6" i="3"/>
  <c r="AY6" i="3"/>
  <c r="AX6" i="3"/>
  <c r="BF6" i="3"/>
  <c r="BN6" i="3"/>
  <c r="BO6" i="3"/>
  <c r="E7" i="3"/>
  <c r="A4" i="3"/>
  <c r="I78" i="3" l="1"/>
  <c r="L78" i="3"/>
  <c r="J78" i="3"/>
  <c r="K78" i="3"/>
  <c r="I107" i="3"/>
  <c r="J107" i="3"/>
  <c r="L107" i="3"/>
  <c r="K107" i="3"/>
  <c r="F108" i="3"/>
  <c r="G108" i="3"/>
  <c r="H108" i="3"/>
  <c r="E109" i="3"/>
  <c r="E80" i="3"/>
  <c r="G79" i="3"/>
  <c r="F79" i="3"/>
  <c r="H79" i="3"/>
  <c r="B4" i="3"/>
  <c r="D4" i="3"/>
  <c r="G7" i="3"/>
  <c r="H7" i="3"/>
  <c r="E8" i="3"/>
  <c r="BL7" i="3"/>
  <c r="BN7" i="3"/>
  <c r="BM7" i="3"/>
  <c r="BO7" i="3"/>
  <c r="BD7" i="3"/>
  <c r="BG7" i="3"/>
  <c r="BI7" i="3"/>
  <c r="BE7" i="3"/>
  <c r="BF7" i="3"/>
  <c r="BH7" i="3"/>
  <c r="BJ7" i="3"/>
  <c r="BK7" i="3"/>
  <c r="BP7" i="3"/>
  <c r="BB7" i="3"/>
  <c r="BR7" i="3"/>
  <c r="BC7" i="3"/>
  <c r="BQ7" i="3"/>
  <c r="BS7" i="3"/>
  <c r="BT7" i="3"/>
  <c r="AY7" i="3"/>
  <c r="AZ7" i="3"/>
  <c r="AX7" i="3"/>
  <c r="BA7" i="3"/>
  <c r="M4" i="3"/>
  <c r="N4" i="3"/>
  <c r="O4" i="3"/>
  <c r="P4" i="3"/>
  <c r="Q4" i="3"/>
  <c r="Y4" i="3"/>
  <c r="AG4" i="3"/>
  <c r="AO4" i="3"/>
  <c r="R4" i="3"/>
  <c r="S4" i="3"/>
  <c r="AB4" i="3"/>
  <c r="AK4" i="3"/>
  <c r="AT4" i="3"/>
  <c r="T4" i="3"/>
  <c r="AC4" i="3"/>
  <c r="AL4" i="3"/>
  <c r="AU4" i="3"/>
  <c r="U4" i="3"/>
  <c r="AD4" i="3"/>
  <c r="AM4" i="3"/>
  <c r="AV4" i="3"/>
  <c r="V4" i="3"/>
  <c r="AE4" i="3"/>
  <c r="AN4" i="3"/>
  <c r="W4" i="3"/>
  <c r="AF4" i="3"/>
  <c r="AP4" i="3"/>
  <c r="X4" i="3"/>
  <c r="AH4" i="3"/>
  <c r="AQ4" i="3"/>
  <c r="Z4" i="3"/>
  <c r="AI4" i="3"/>
  <c r="AR4" i="3"/>
  <c r="AA4" i="3"/>
  <c r="AJ4" i="3"/>
  <c r="AS4" i="3"/>
  <c r="A5" i="3"/>
  <c r="K79" i="3" l="1"/>
  <c r="J79" i="3"/>
  <c r="I79" i="3"/>
  <c r="L79" i="3"/>
  <c r="L108" i="3"/>
  <c r="J108" i="3"/>
  <c r="K108" i="3"/>
  <c r="I108" i="3"/>
  <c r="G109" i="3"/>
  <c r="F109" i="3"/>
  <c r="H109" i="3"/>
  <c r="G80" i="3"/>
  <c r="F80" i="3"/>
  <c r="E81" i="3"/>
  <c r="H80" i="3"/>
  <c r="C5" i="3"/>
  <c r="B5" i="3"/>
  <c r="D5" i="3"/>
  <c r="F8" i="3"/>
  <c r="G8" i="3"/>
  <c r="H8" i="3"/>
  <c r="AW4" i="3"/>
  <c r="E9" i="3"/>
  <c r="BI8" i="3"/>
  <c r="BK8" i="3"/>
  <c r="BJ8" i="3"/>
  <c r="BL8" i="3"/>
  <c r="BE8" i="3"/>
  <c r="BN8" i="3"/>
  <c r="BQ8" i="3"/>
  <c r="BF8" i="3"/>
  <c r="BG8" i="3"/>
  <c r="BH8" i="3"/>
  <c r="BM8" i="3"/>
  <c r="BO8" i="3"/>
  <c r="BP8" i="3"/>
  <c r="AY8" i="3"/>
  <c r="BD8" i="3"/>
  <c r="AX8" i="3"/>
  <c r="AZ8" i="3"/>
  <c r="BA8" i="3"/>
  <c r="BB8" i="3"/>
  <c r="BC8" i="3"/>
  <c r="BS8" i="3"/>
  <c r="BR8" i="3"/>
  <c r="BT8" i="3"/>
  <c r="M5" i="3"/>
  <c r="U5" i="3"/>
  <c r="AC5" i="3"/>
  <c r="AK5" i="3"/>
  <c r="AS5" i="3"/>
  <c r="S5" i="3"/>
  <c r="AB5" i="3"/>
  <c r="T5" i="3"/>
  <c r="V5" i="3"/>
  <c r="N5" i="3"/>
  <c r="W5" i="3"/>
  <c r="AF5" i="3"/>
  <c r="AO5" i="3"/>
  <c r="O5" i="3"/>
  <c r="X5" i="3"/>
  <c r="AG5" i="3"/>
  <c r="AP5" i="3"/>
  <c r="P5" i="3"/>
  <c r="Y5" i="3"/>
  <c r="AH5" i="3"/>
  <c r="AQ5" i="3"/>
  <c r="Q5" i="3"/>
  <c r="Z5" i="3"/>
  <c r="AI5" i="3"/>
  <c r="AR5" i="3"/>
  <c r="AL5" i="3"/>
  <c r="AM5" i="3"/>
  <c r="AN5" i="3"/>
  <c r="R5" i="3"/>
  <c r="AT5" i="3"/>
  <c r="AA5" i="3"/>
  <c r="AU5" i="3"/>
  <c r="AD5" i="3"/>
  <c r="AV5" i="3"/>
  <c r="AE5" i="3"/>
  <c r="AJ5" i="3"/>
  <c r="A6" i="3"/>
  <c r="L8" i="3" l="1"/>
  <c r="K8" i="3"/>
  <c r="I8" i="3"/>
  <c r="J8" i="3"/>
  <c r="K109" i="3"/>
  <c r="J109" i="3"/>
  <c r="I109" i="3"/>
  <c r="L109" i="3"/>
  <c r="I80" i="3"/>
  <c r="J80" i="3"/>
  <c r="K80" i="3"/>
  <c r="L80" i="3"/>
  <c r="E82" i="3"/>
  <c r="G81" i="3"/>
  <c r="H81" i="3"/>
  <c r="F81" i="3"/>
  <c r="D6" i="3"/>
  <c r="G9" i="3"/>
  <c r="H9" i="3"/>
  <c r="F9" i="3"/>
  <c r="AW5" i="3"/>
  <c r="E10" i="3"/>
  <c r="BF9" i="3"/>
  <c r="BH9" i="3"/>
  <c r="BG9" i="3"/>
  <c r="BI9" i="3"/>
  <c r="BJ9" i="3"/>
  <c r="BM9" i="3"/>
  <c r="BO9" i="3"/>
  <c r="BR9" i="3"/>
  <c r="BK9" i="3"/>
  <c r="BL9" i="3"/>
  <c r="BN9" i="3"/>
  <c r="BP9" i="3"/>
  <c r="BQ9" i="3"/>
  <c r="BB9" i="3"/>
  <c r="BD9" i="3"/>
  <c r="BE9" i="3"/>
  <c r="BS9" i="3"/>
  <c r="BC9" i="3"/>
  <c r="BT9" i="3"/>
  <c r="BA9" i="3"/>
  <c r="AX9" i="3"/>
  <c r="AY9" i="3"/>
  <c r="AZ9" i="3"/>
  <c r="Q6" i="3"/>
  <c r="Y6" i="3"/>
  <c r="AG6" i="3"/>
  <c r="AO6" i="3"/>
  <c r="N6" i="3"/>
  <c r="W6" i="3"/>
  <c r="AF6" i="3"/>
  <c r="AP6" i="3"/>
  <c r="O6" i="3"/>
  <c r="X6" i="3"/>
  <c r="AH6" i="3"/>
  <c r="AQ6" i="3"/>
  <c r="R6" i="3"/>
  <c r="AA6" i="3"/>
  <c r="AJ6" i="3"/>
  <c r="AS6" i="3"/>
  <c r="S6" i="3"/>
  <c r="AE6" i="3"/>
  <c r="AU6" i="3"/>
  <c r="T6" i="3"/>
  <c r="AI6" i="3"/>
  <c r="AV6" i="3"/>
  <c r="U6" i="3"/>
  <c r="AK6" i="3"/>
  <c r="V6" i="3"/>
  <c r="AL6" i="3"/>
  <c r="Z6" i="3"/>
  <c r="AM6" i="3"/>
  <c r="AB6" i="3"/>
  <c r="AN6" i="3"/>
  <c r="M6" i="3"/>
  <c r="AC6" i="3"/>
  <c r="AR6" i="3"/>
  <c r="P6" i="3"/>
  <c r="AD6" i="3"/>
  <c r="AT6" i="3"/>
  <c r="A7" i="3"/>
  <c r="J81" i="3" l="1"/>
  <c r="I81" i="3"/>
  <c r="K81" i="3"/>
  <c r="L81" i="3"/>
  <c r="J9" i="3"/>
  <c r="I9" i="3"/>
  <c r="K9" i="3"/>
  <c r="L9" i="3"/>
  <c r="F82" i="3"/>
  <c r="G82" i="3"/>
  <c r="H82" i="3"/>
  <c r="E83" i="3"/>
  <c r="B7" i="3"/>
  <c r="D7" i="3"/>
  <c r="G10" i="3"/>
  <c r="H10" i="3"/>
  <c r="F10" i="3"/>
  <c r="AW6" i="3"/>
  <c r="E11" i="3"/>
  <c r="BC10" i="3"/>
  <c r="BE10" i="3"/>
  <c r="BD10" i="3"/>
  <c r="BF10" i="3"/>
  <c r="BK10" i="3"/>
  <c r="BN10" i="3"/>
  <c r="BP10" i="3"/>
  <c r="BS10" i="3"/>
  <c r="BL10" i="3"/>
  <c r="BM10" i="3"/>
  <c r="BO10" i="3"/>
  <c r="BQ10" i="3"/>
  <c r="BR10" i="3"/>
  <c r="AX10" i="3"/>
  <c r="AZ10" i="3"/>
  <c r="BA10" i="3"/>
  <c r="BB10" i="3"/>
  <c r="BG10" i="3"/>
  <c r="BH10" i="3"/>
  <c r="AY10" i="3"/>
  <c r="BI10" i="3"/>
  <c r="BJ10" i="3"/>
  <c r="BT10" i="3"/>
  <c r="M7" i="3"/>
  <c r="U7" i="3"/>
  <c r="AC7" i="3"/>
  <c r="AK7" i="3"/>
  <c r="AS7" i="3"/>
  <c r="O7" i="3"/>
  <c r="X7" i="3"/>
  <c r="AG7" i="3"/>
  <c r="AP7" i="3"/>
  <c r="P7" i="3"/>
  <c r="Y7" i="3"/>
  <c r="AH7" i="3"/>
  <c r="AQ7" i="3"/>
  <c r="R7" i="3"/>
  <c r="AA7" i="3"/>
  <c r="AJ7" i="3"/>
  <c r="AT7" i="3"/>
  <c r="Z7" i="3"/>
  <c r="N7" i="3"/>
  <c r="Q7" i="3"/>
  <c r="AE7" i="3"/>
  <c r="AU7" i="3"/>
  <c r="S7" i="3"/>
  <c r="T7" i="3"/>
  <c r="AI7" i="3"/>
  <c r="V7" i="3"/>
  <c r="AL7" i="3"/>
  <c r="AM7" i="3"/>
  <c r="AN7" i="3"/>
  <c r="AO7" i="3"/>
  <c r="AR7" i="3"/>
  <c r="W7" i="3"/>
  <c r="AV7" i="3"/>
  <c r="AB7" i="3"/>
  <c r="AD7" i="3"/>
  <c r="AF7" i="3"/>
  <c r="A8" i="3"/>
  <c r="L10" i="3" l="1"/>
  <c r="J10" i="3"/>
  <c r="I10" i="3"/>
  <c r="K10" i="3"/>
  <c r="J82" i="3"/>
  <c r="I82" i="3"/>
  <c r="L82" i="3"/>
  <c r="K82" i="3"/>
  <c r="E84" i="3"/>
  <c r="F83" i="3"/>
  <c r="G83" i="3"/>
  <c r="H83" i="3"/>
  <c r="H11" i="3"/>
  <c r="F11" i="3"/>
  <c r="G11" i="3"/>
  <c r="C8" i="3"/>
  <c r="B8" i="3"/>
  <c r="D8" i="3"/>
  <c r="AW7" i="3"/>
  <c r="E12" i="3"/>
  <c r="AZ11" i="3"/>
  <c r="BT11" i="3"/>
  <c r="BB11" i="3"/>
  <c r="BC11" i="3"/>
  <c r="BA11" i="3"/>
  <c r="BL11" i="3"/>
  <c r="BO11" i="3"/>
  <c r="BQ11" i="3"/>
  <c r="BM11" i="3"/>
  <c r="BN11" i="3"/>
  <c r="BP11" i="3"/>
  <c r="BR11" i="3"/>
  <c r="BS11" i="3"/>
  <c r="BF11" i="3"/>
  <c r="BJ11" i="3"/>
  <c r="BK11" i="3"/>
  <c r="BG11" i="3"/>
  <c r="BH11" i="3"/>
  <c r="BI11" i="3"/>
  <c r="BE11" i="3"/>
  <c r="BD11" i="3"/>
  <c r="AX11" i="3"/>
  <c r="AY11" i="3"/>
  <c r="Q8" i="3"/>
  <c r="Y8" i="3"/>
  <c r="AG8" i="3"/>
  <c r="AO8" i="3"/>
  <c r="O8" i="3"/>
  <c r="X8" i="3"/>
  <c r="AH8" i="3"/>
  <c r="AQ8" i="3"/>
  <c r="P8" i="3"/>
  <c r="Z8" i="3"/>
  <c r="AI8" i="3"/>
  <c r="AR8" i="3"/>
  <c r="S8" i="3"/>
  <c r="AB8" i="3"/>
  <c r="AK8" i="3"/>
  <c r="AT8" i="3"/>
  <c r="W8" i="3"/>
  <c r="AM8" i="3"/>
  <c r="M8" i="3"/>
  <c r="AC8" i="3"/>
  <c r="AP8" i="3"/>
  <c r="N8" i="3"/>
  <c r="AD8" i="3"/>
  <c r="AS8" i="3"/>
  <c r="V8" i="3"/>
  <c r="AV8" i="3"/>
  <c r="AA8" i="3"/>
  <c r="AE8" i="3"/>
  <c r="AF8" i="3"/>
  <c r="AJ8" i="3"/>
  <c r="R8" i="3"/>
  <c r="AL8" i="3"/>
  <c r="T8" i="3"/>
  <c r="AN8" i="3"/>
  <c r="U8" i="3"/>
  <c r="AU8" i="3"/>
  <c r="A9" i="3"/>
  <c r="I11" i="3" l="1"/>
  <c r="J11" i="3"/>
  <c r="L11" i="3"/>
  <c r="K11" i="3"/>
  <c r="L83" i="3"/>
  <c r="K83" i="3"/>
  <c r="J83" i="3"/>
  <c r="I83" i="3"/>
  <c r="E85" i="3"/>
  <c r="H84" i="3"/>
  <c r="F84" i="3"/>
  <c r="G84" i="3"/>
  <c r="C9" i="3"/>
  <c r="D9" i="3"/>
  <c r="B9" i="3"/>
  <c r="H12" i="3"/>
  <c r="F12" i="3"/>
  <c r="G12" i="3"/>
  <c r="AW8" i="3"/>
  <c r="E13" i="3"/>
  <c r="BQ12" i="3"/>
  <c r="AY12" i="3"/>
  <c r="AX12" i="3"/>
  <c r="BR12" i="3"/>
  <c r="BS12" i="3"/>
  <c r="AZ12" i="3"/>
  <c r="BT12" i="3"/>
  <c r="BM12" i="3"/>
  <c r="BP12" i="3"/>
  <c r="BA12" i="3"/>
  <c r="BN12" i="3"/>
  <c r="BO12" i="3"/>
  <c r="BB12" i="3"/>
  <c r="BC12" i="3"/>
  <c r="BD12" i="3"/>
  <c r="BE12" i="3"/>
  <c r="BF12" i="3"/>
  <c r="BG12" i="3"/>
  <c r="BH12" i="3"/>
  <c r="BJ12" i="3"/>
  <c r="BK12" i="3"/>
  <c r="BI12" i="3"/>
  <c r="BL12" i="3"/>
  <c r="M9" i="3"/>
  <c r="U9" i="3"/>
  <c r="AC9" i="3"/>
  <c r="AK9" i="3"/>
  <c r="AS9" i="3"/>
  <c r="P9" i="3"/>
  <c r="Y9" i="3"/>
  <c r="AH9" i="3"/>
  <c r="AQ9" i="3"/>
  <c r="Q9" i="3"/>
  <c r="Z9" i="3"/>
  <c r="AI9" i="3"/>
  <c r="AR9" i="3"/>
  <c r="S9" i="3"/>
  <c r="AB9" i="3"/>
  <c r="AL9" i="3"/>
  <c r="AU9" i="3"/>
  <c r="R9" i="3"/>
  <c r="AF9" i="3"/>
  <c r="AV9" i="3"/>
  <c r="V9" i="3"/>
  <c r="AJ9" i="3"/>
  <c r="W9" i="3"/>
  <c r="AM9" i="3"/>
  <c r="AG9" i="3"/>
  <c r="N9" i="3"/>
  <c r="AN9" i="3"/>
  <c r="O9" i="3"/>
  <c r="AO9" i="3"/>
  <c r="T9" i="3"/>
  <c r="AP9" i="3"/>
  <c r="X9" i="3"/>
  <c r="AT9" i="3"/>
  <c r="AA9" i="3"/>
  <c r="AD9" i="3"/>
  <c r="AE9" i="3"/>
  <c r="A10" i="3"/>
  <c r="K84" i="3" l="1"/>
  <c r="I84" i="3"/>
  <c r="L84" i="3"/>
  <c r="J84" i="3"/>
  <c r="J12" i="3"/>
  <c r="I12" i="3"/>
  <c r="L12" i="3"/>
  <c r="K12" i="3"/>
  <c r="G85" i="3"/>
  <c r="F85" i="3"/>
  <c r="H85" i="3"/>
  <c r="E86" i="3"/>
  <c r="C10" i="3"/>
  <c r="B10" i="3"/>
  <c r="D10" i="3"/>
  <c r="F13" i="3"/>
  <c r="H13" i="3"/>
  <c r="G13" i="3"/>
  <c r="AW9" i="3"/>
  <c r="E14" i="3"/>
  <c r="BN13" i="3"/>
  <c r="BP13" i="3"/>
  <c r="BO13" i="3"/>
  <c r="BQ13" i="3"/>
  <c r="BR13" i="3"/>
  <c r="AX13" i="3"/>
  <c r="AY13" i="3"/>
  <c r="BB13" i="3"/>
  <c r="BS13" i="3"/>
  <c r="BT13" i="3"/>
  <c r="AZ13" i="3"/>
  <c r="BA13" i="3"/>
  <c r="BF13" i="3"/>
  <c r="BH13" i="3"/>
  <c r="BI13" i="3"/>
  <c r="BJ13" i="3"/>
  <c r="BM13" i="3"/>
  <c r="BG13" i="3"/>
  <c r="BK13" i="3"/>
  <c r="BL13" i="3"/>
  <c r="BD13" i="3"/>
  <c r="BE13" i="3"/>
  <c r="BC13" i="3"/>
  <c r="Q10" i="3"/>
  <c r="Y10" i="3"/>
  <c r="AG10" i="3"/>
  <c r="AO10" i="3"/>
  <c r="P10" i="3"/>
  <c r="Z10" i="3"/>
  <c r="AI10" i="3"/>
  <c r="AR10" i="3"/>
  <c r="R10" i="3"/>
  <c r="AA10" i="3"/>
  <c r="AJ10" i="3"/>
  <c r="AS10" i="3"/>
  <c r="T10" i="3"/>
  <c r="AC10" i="3"/>
  <c r="AL10" i="3"/>
  <c r="AU10" i="3"/>
  <c r="X10" i="3"/>
  <c r="AN10" i="3"/>
  <c r="N10" i="3"/>
  <c r="AD10" i="3"/>
  <c r="AQ10" i="3"/>
  <c r="O10" i="3"/>
  <c r="AE10" i="3"/>
  <c r="AT10" i="3"/>
  <c r="V10" i="3"/>
  <c r="AV10" i="3"/>
  <c r="W10" i="3"/>
  <c r="AB10" i="3"/>
  <c r="AF10" i="3"/>
  <c r="AH10" i="3"/>
  <c r="M10" i="3"/>
  <c r="AK10" i="3"/>
  <c r="S10" i="3"/>
  <c r="AM10" i="3"/>
  <c r="U10" i="3"/>
  <c r="AP10" i="3"/>
  <c r="A11" i="3"/>
  <c r="J85" i="3" l="1"/>
  <c r="L85" i="3"/>
  <c r="I85" i="3"/>
  <c r="K85" i="3"/>
  <c r="L13" i="3"/>
  <c r="K13" i="3"/>
  <c r="J13" i="3"/>
  <c r="I13" i="3"/>
  <c r="E87" i="3"/>
  <c r="F86" i="3"/>
  <c r="G86" i="3"/>
  <c r="H86" i="3"/>
  <c r="D11" i="3"/>
  <c r="G14" i="3"/>
  <c r="F14" i="3"/>
  <c r="H14" i="3"/>
  <c r="AW10" i="3"/>
  <c r="E15" i="3"/>
  <c r="BK14" i="3"/>
  <c r="BM14" i="3"/>
  <c r="BL14" i="3"/>
  <c r="BN14" i="3"/>
  <c r="BS14" i="3"/>
  <c r="AX14" i="3"/>
  <c r="AZ14" i="3"/>
  <c r="BA14" i="3"/>
  <c r="BT14" i="3"/>
  <c r="AY14" i="3"/>
  <c r="BB14" i="3"/>
  <c r="BC14" i="3"/>
  <c r="BD14" i="3"/>
  <c r="BF14" i="3"/>
  <c r="BG14" i="3"/>
  <c r="BH14" i="3"/>
  <c r="BE14" i="3"/>
  <c r="BJ14" i="3"/>
  <c r="BI14" i="3"/>
  <c r="BO14" i="3"/>
  <c r="BP14" i="3"/>
  <c r="BQ14" i="3"/>
  <c r="BR14" i="3"/>
  <c r="M11" i="3"/>
  <c r="U11" i="3"/>
  <c r="AC11" i="3"/>
  <c r="AK11" i="3"/>
  <c r="AS11" i="3"/>
  <c r="Q11" i="3"/>
  <c r="Z11" i="3"/>
  <c r="AI11" i="3"/>
  <c r="AR11" i="3"/>
  <c r="R11" i="3"/>
  <c r="AA11" i="3"/>
  <c r="AJ11" i="3"/>
  <c r="AT11" i="3"/>
  <c r="T11" i="3"/>
  <c r="AD11" i="3"/>
  <c r="AM11" i="3"/>
  <c r="AV11" i="3"/>
  <c r="S11" i="3"/>
  <c r="AG11" i="3"/>
  <c r="W11" i="3"/>
  <c r="AL11" i="3"/>
  <c r="X11" i="3"/>
  <c r="AN11" i="3"/>
  <c r="AF11" i="3"/>
  <c r="N11" i="3"/>
  <c r="AH11" i="3"/>
  <c r="O11" i="3"/>
  <c r="AO11" i="3"/>
  <c r="P11" i="3"/>
  <c r="AP11" i="3"/>
  <c r="V11" i="3"/>
  <c r="AQ11" i="3"/>
  <c r="Y11" i="3"/>
  <c r="AU11" i="3"/>
  <c r="AB11" i="3"/>
  <c r="AE11" i="3"/>
  <c r="A12" i="3"/>
  <c r="J86" i="3" l="1"/>
  <c r="K86" i="3"/>
  <c r="L86" i="3"/>
  <c r="I86" i="3"/>
  <c r="I14" i="3"/>
  <c r="I1" i="3" s="1"/>
  <c r="L14" i="3"/>
  <c r="J14" i="3"/>
  <c r="K14" i="3"/>
  <c r="F87" i="3"/>
  <c r="G87" i="3"/>
  <c r="H87" i="3"/>
  <c r="E88" i="3"/>
  <c r="D12" i="3"/>
  <c r="F15" i="3"/>
  <c r="G15" i="3"/>
  <c r="H15" i="3"/>
  <c r="AW11" i="3"/>
  <c r="E16" i="3"/>
  <c r="BH15" i="3"/>
  <c r="BJ15" i="3"/>
  <c r="BI15" i="3"/>
  <c r="BK15" i="3"/>
  <c r="BT15" i="3"/>
  <c r="AY15" i="3"/>
  <c r="BA15" i="3"/>
  <c r="BD15" i="3"/>
  <c r="AX15" i="3"/>
  <c r="AZ15" i="3"/>
  <c r="BB15" i="3"/>
  <c r="BC15" i="3"/>
  <c r="BF15" i="3"/>
  <c r="BM15" i="3"/>
  <c r="BN15" i="3"/>
  <c r="BP15" i="3"/>
  <c r="BS15" i="3"/>
  <c r="BG15" i="3"/>
  <c r="BL15" i="3"/>
  <c r="BO15" i="3"/>
  <c r="BQ15" i="3"/>
  <c r="BR15" i="3"/>
  <c r="BE15" i="3"/>
  <c r="Q12" i="3"/>
  <c r="Y12" i="3"/>
  <c r="AG12" i="3"/>
  <c r="AO12" i="3"/>
  <c r="R12" i="3"/>
  <c r="AA12" i="3"/>
  <c r="AJ12" i="3"/>
  <c r="AS12" i="3"/>
  <c r="S12" i="3"/>
  <c r="AB12" i="3"/>
  <c r="AK12" i="3"/>
  <c r="AT12" i="3"/>
  <c r="U12" i="3"/>
  <c r="AD12" i="3"/>
  <c r="AM12" i="3"/>
  <c r="AV12" i="3"/>
  <c r="M12" i="3"/>
  <c r="Z12" i="3"/>
  <c r="AP12" i="3"/>
  <c r="O12" i="3"/>
  <c r="AE12" i="3"/>
  <c r="AR12" i="3"/>
  <c r="P12" i="3"/>
  <c r="AF12" i="3"/>
  <c r="AU12" i="3"/>
  <c r="V12" i="3"/>
  <c r="AQ12" i="3"/>
  <c r="W12" i="3"/>
  <c r="X12" i="3"/>
  <c r="AC12" i="3"/>
  <c r="AH12" i="3"/>
  <c r="AI12" i="3"/>
  <c r="N12" i="3"/>
  <c r="AL12" i="3"/>
  <c r="AN12" i="3"/>
  <c r="T12" i="3"/>
  <c r="A13" i="3"/>
  <c r="L87" i="3" l="1"/>
  <c r="K87" i="3"/>
  <c r="I87" i="3"/>
  <c r="J87" i="3"/>
  <c r="L15" i="3"/>
  <c r="J15" i="3"/>
  <c r="K15" i="3"/>
  <c r="I15" i="3"/>
  <c r="E89" i="3"/>
  <c r="H88" i="3"/>
  <c r="F88" i="3"/>
  <c r="G88" i="3"/>
  <c r="D13" i="3"/>
  <c r="G16" i="3"/>
  <c r="H16" i="3"/>
  <c r="F16" i="3"/>
  <c r="AW12" i="3"/>
  <c r="E17" i="3"/>
  <c r="BE16" i="3"/>
  <c r="BH16" i="3"/>
  <c r="BF16" i="3"/>
  <c r="BG16" i="3"/>
  <c r="AZ16" i="3"/>
  <c r="BD16" i="3"/>
  <c r="BI16" i="3"/>
  <c r="AX16" i="3"/>
  <c r="AY16" i="3"/>
  <c r="BA16" i="3"/>
  <c r="BB16" i="3"/>
  <c r="BC16" i="3"/>
  <c r="BT16" i="3"/>
  <c r="BJ16" i="3"/>
  <c r="BK16" i="3"/>
  <c r="BL16" i="3"/>
  <c r="BR16" i="3"/>
  <c r="BS16" i="3"/>
  <c r="BO16" i="3"/>
  <c r="BP16" i="3"/>
  <c r="BM16" i="3"/>
  <c r="BN16" i="3"/>
  <c r="BQ16" i="3"/>
  <c r="M13" i="3"/>
  <c r="U13" i="3"/>
  <c r="AC13" i="3"/>
  <c r="AK13" i="3"/>
  <c r="AS13" i="3"/>
  <c r="R13" i="3"/>
  <c r="AA13" i="3"/>
  <c r="AJ13" i="3"/>
  <c r="AT13" i="3"/>
  <c r="S13" i="3"/>
  <c r="AB13" i="3"/>
  <c r="AL13" i="3"/>
  <c r="AU13" i="3"/>
  <c r="V13" i="3"/>
  <c r="AE13" i="3"/>
  <c r="AN13" i="3"/>
  <c r="T13" i="3"/>
  <c r="AH13" i="3"/>
  <c r="X13" i="3"/>
  <c r="AM13" i="3"/>
  <c r="Y13" i="3"/>
  <c r="AO13" i="3"/>
  <c r="AF13" i="3"/>
  <c r="N13" i="3"/>
  <c r="AG13" i="3"/>
  <c r="O13" i="3"/>
  <c r="AI13" i="3"/>
  <c r="P13" i="3"/>
  <c r="AP13" i="3"/>
  <c r="Q13" i="3"/>
  <c r="AQ13" i="3"/>
  <c r="W13" i="3"/>
  <c r="AR13" i="3"/>
  <c r="Z13" i="3"/>
  <c r="AV13" i="3"/>
  <c r="AD13" i="3"/>
  <c r="A14" i="3"/>
  <c r="L88" i="3" l="1"/>
  <c r="J88" i="3"/>
  <c r="K88" i="3"/>
  <c r="I88" i="3"/>
  <c r="L16" i="3"/>
  <c r="K16" i="3"/>
  <c r="J16" i="3"/>
  <c r="I16" i="3"/>
  <c r="F89" i="3"/>
  <c r="G89" i="3"/>
  <c r="E90" i="3"/>
  <c r="H89" i="3"/>
  <c r="D14" i="3"/>
  <c r="F17" i="3"/>
  <c r="G17" i="3"/>
  <c r="H17" i="3"/>
  <c r="AW13" i="3"/>
  <c r="E18" i="3"/>
  <c r="BB17" i="3"/>
  <c r="BD17" i="3"/>
  <c r="BC17" i="3"/>
  <c r="BE17" i="3"/>
  <c r="AX17" i="3"/>
  <c r="BA17" i="3"/>
  <c r="BF17" i="3"/>
  <c r="BG17" i="3"/>
  <c r="AY17" i="3"/>
  <c r="AZ17" i="3"/>
  <c r="BH17" i="3"/>
  <c r="BI17" i="3"/>
  <c r="BJ17" i="3"/>
  <c r="BL17" i="3"/>
  <c r="BN17" i="3"/>
  <c r="BO17" i="3"/>
  <c r="BP17" i="3"/>
  <c r="BQ17" i="3"/>
  <c r="BR17" i="3"/>
  <c r="BT17" i="3"/>
  <c r="BK17" i="3"/>
  <c r="BM17" i="3"/>
  <c r="BS17" i="3"/>
  <c r="Q14" i="3"/>
  <c r="Y14" i="3"/>
  <c r="AG14" i="3"/>
  <c r="AO14" i="3"/>
  <c r="S14" i="3"/>
  <c r="AB14" i="3"/>
  <c r="AK14" i="3"/>
  <c r="AT14" i="3"/>
  <c r="T14" i="3"/>
  <c r="AC14" i="3"/>
  <c r="AL14" i="3"/>
  <c r="AU14" i="3"/>
  <c r="M14" i="3"/>
  <c r="V14" i="3"/>
  <c r="AE14" i="3"/>
  <c r="AN14" i="3"/>
  <c r="N14" i="3"/>
  <c r="AA14" i="3"/>
  <c r="AQ14" i="3"/>
  <c r="P14" i="3"/>
  <c r="AF14" i="3"/>
  <c r="AS14" i="3"/>
  <c r="R14" i="3"/>
  <c r="AH14" i="3"/>
  <c r="AV14" i="3"/>
  <c r="U14" i="3"/>
  <c r="AP14" i="3"/>
  <c r="W14" i="3"/>
  <c r="AR14" i="3"/>
  <c r="X14" i="3"/>
  <c r="Z14" i="3"/>
  <c r="AD14" i="3"/>
  <c r="AI14" i="3"/>
  <c r="AJ14" i="3"/>
  <c r="O14" i="3"/>
  <c r="AM14" i="3"/>
  <c r="A15" i="3"/>
  <c r="L17" i="3" l="1"/>
  <c r="J17" i="3"/>
  <c r="K17" i="3"/>
  <c r="I17" i="3"/>
  <c r="L89" i="3"/>
  <c r="K89" i="3"/>
  <c r="I89" i="3"/>
  <c r="J89" i="3"/>
  <c r="G90" i="3"/>
  <c r="E91" i="3"/>
  <c r="F90" i="3"/>
  <c r="H90" i="3"/>
  <c r="C15" i="3"/>
  <c r="D15" i="3"/>
  <c r="B15" i="3"/>
  <c r="F18" i="3"/>
  <c r="H18" i="3"/>
  <c r="G18" i="3"/>
  <c r="AW14" i="3"/>
  <c r="E19" i="3"/>
  <c r="AY18" i="3"/>
  <c r="BS18" i="3"/>
  <c r="BA18" i="3"/>
  <c r="AZ18" i="3"/>
  <c r="BT18" i="3"/>
  <c r="BB18" i="3"/>
  <c r="BC18" i="3"/>
  <c r="BF18" i="3"/>
  <c r="BH18" i="3"/>
  <c r="BI18" i="3"/>
  <c r="BK18" i="3"/>
  <c r="BD18" i="3"/>
  <c r="BE18" i="3"/>
  <c r="BG18" i="3"/>
  <c r="BJ18" i="3"/>
  <c r="AX18" i="3"/>
  <c r="BL18" i="3"/>
  <c r="BM18" i="3"/>
  <c r="BN18" i="3"/>
  <c r="BO18" i="3"/>
  <c r="BP18" i="3"/>
  <c r="BQ18" i="3"/>
  <c r="BR18" i="3"/>
  <c r="M15" i="3"/>
  <c r="U15" i="3"/>
  <c r="AC15" i="3"/>
  <c r="AK15" i="3"/>
  <c r="AS15" i="3"/>
  <c r="S15" i="3"/>
  <c r="AB15" i="3"/>
  <c r="AL15" i="3"/>
  <c r="AU15" i="3"/>
  <c r="T15" i="3"/>
  <c r="AD15" i="3"/>
  <c r="AM15" i="3"/>
  <c r="AV15" i="3"/>
  <c r="N15" i="3"/>
  <c r="W15" i="3"/>
  <c r="AF15" i="3"/>
  <c r="AO15" i="3"/>
  <c r="V15" i="3"/>
  <c r="AI15" i="3"/>
  <c r="Y15" i="3"/>
  <c r="AN15" i="3"/>
  <c r="Z15" i="3"/>
  <c r="AP15" i="3"/>
  <c r="AE15" i="3"/>
  <c r="AG15" i="3"/>
  <c r="O15" i="3"/>
  <c r="AH15" i="3"/>
  <c r="P15" i="3"/>
  <c r="AJ15" i="3"/>
  <c r="Q15" i="3"/>
  <c r="AQ15" i="3"/>
  <c r="R15" i="3"/>
  <c r="AR15" i="3"/>
  <c r="X15" i="3"/>
  <c r="AT15" i="3"/>
  <c r="AA15" i="3"/>
  <c r="A16" i="3"/>
  <c r="J90" i="3" l="1"/>
  <c r="L90" i="3"/>
  <c r="I90" i="3"/>
  <c r="K90" i="3"/>
  <c r="K18" i="3"/>
  <c r="J18" i="3"/>
  <c r="I18" i="3"/>
  <c r="L18" i="3"/>
  <c r="E92" i="3"/>
  <c r="G91" i="3"/>
  <c r="H91" i="3"/>
  <c r="F91" i="3"/>
  <c r="D16" i="3"/>
  <c r="B16" i="3"/>
  <c r="C16" i="3"/>
  <c r="F19" i="3"/>
  <c r="G19" i="3"/>
  <c r="H19" i="3"/>
  <c r="AW15" i="3"/>
  <c r="E20" i="3"/>
  <c r="BP19" i="3"/>
  <c r="BR19" i="3"/>
  <c r="AY19" i="3"/>
  <c r="BQ19" i="3"/>
  <c r="AX19" i="3"/>
  <c r="BS19" i="3"/>
  <c r="BD19" i="3"/>
  <c r="BG19" i="3"/>
  <c r="BH19" i="3"/>
  <c r="BI19" i="3"/>
  <c r="BE19" i="3"/>
  <c r="BF19" i="3"/>
  <c r="BJ19" i="3"/>
  <c r="BL19" i="3"/>
  <c r="BK19" i="3"/>
  <c r="BA19" i="3"/>
  <c r="BM19" i="3"/>
  <c r="BB19" i="3"/>
  <c r="BC19" i="3"/>
  <c r="BN19" i="3"/>
  <c r="BO19" i="3"/>
  <c r="BT19" i="3"/>
  <c r="AZ19" i="3"/>
  <c r="Q16" i="3"/>
  <c r="Y16" i="3"/>
  <c r="AG16" i="3"/>
  <c r="AO16" i="3"/>
  <c r="T16" i="3"/>
  <c r="AC16" i="3"/>
  <c r="AL16" i="3"/>
  <c r="AU16" i="3"/>
  <c r="U16" i="3"/>
  <c r="AD16" i="3"/>
  <c r="AM16" i="3"/>
  <c r="AV16" i="3"/>
  <c r="N16" i="3"/>
  <c r="W16" i="3"/>
  <c r="AF16" i="3"/>
  <c r="AP16" i="3"/>
  <c r="O16" i="3"/>
  <c r="AB16" i="3"/>
  <c r="AR16" i="3"/>
  <c r="R16" i="3"/>
  <c r="AH16" i="3"/>
  <c r="AT16" i="3"/>
  <c r="S16" i="3"/>
  <c r="AI16" i="3"/>
  <c r="P16" i="3"/>
  <c r="V16" i="3"/>
  <c r="AQ16" i="3"/>
  <c r="X16" i="3"/>
  <c r="Z16" i="3"/>
  <c r="AA16" i="3"/>
  <c r="AJ16" i="3"/>
  <c r="AN16" i="3"/>
  <c r="AS16" i="3"/>
  <c r="M16" i="3"/>
  <c r="AK16" i="3"/>
  <c r="AE16" i="3"/>
  <c r="A17" i="3"/>
  <c r="I19" i="3" l="1"/>
  <c r="K19" i="3"/>
  <c r="L19" i="3"/>
  <c r="J19" i="3"/>
  <c r="J91" i="3"/>
  <c r="I91" i="3"/>
  <c r="L91" i="3"/>
  <c r="K91" i="3"/>
  <c r="F92" i="3"/>
  <c r="G92" i="3"/>
  <c r="H92" i="3"/>
  <c r="E93" i="3"/>
  <c r="D17" i="3"/>
  <c r="C17" i="3"/>
  <c r="B17" i="3"/>
  <c r="G20" i="3"/>
  <c r="F20" i="3"/>
  <c r="H20" i="3"/>
  <c r="AW16" i="3"/>
  <c r="E21" i="3"/>
  <c r="BM20" i="3"/>
  <c r="BO20" i="3"/>
  <c r="BN20" i="3"/>
  <c r="BP20" i="3"/>
  <c r="BE20" i="3"/>
  <c r="BH20" i="3"/>
  <c r="BJ20" i="3"/>
  <c r="BK20" i="3"/>
  <c r="BF20" i="3"/>
  <c r="BG20" i="3"/>
  <c r="BI20" i="3"/>
  <c r="BL20" i="3"/>
  <c r="BQ20" i="3"/>
  <c r="AY20" i="3"/>
  <c r="AZ20" i="3"/>
  <c r="AX20" i="3"/>
  <c r="BA20" i="3"/>
  <c r="BB20" i="3"/>
  <c r="BT20" i="3"/>
  <c r="BC20" i="3"/>
  <c r="BD20" i="3"/>
  <c r="BR20" i="3"/>
  <c r="BS20" i="3"/>
  <c r="M17" i="3"/>
  <c r="U17" i="3"/>
  <c r="AC17" i="3"/>
  <c r="AK17" i="3"/>
  <c r="AS17" i="3"/>
  <c r="T17" i="3"/>
  <c r="AD17" i="3"/>
  <c r="AM17" i="3"/>
  <c r="AV17" i="3"/>
  <c r="V17" i="3"/>
  <c r="AE17" i="3"/>
  <c r="AN17" i="3"/>
  <c r="O17" i="3"/>
  <c r="X17" i="3"/>
  <c r="AG17" i="3"/>
  <c r="AP17" i="3"/>
  <c r="W17" i="3"/>
  <c r="AJ17" i="3"/>
  <c r="Z17" i="3"/>
  <c r="AO17" i="3"/>
  <c r="N17" i="3"/>
  <c r="AA17" i="3"/>
  <c r="AQ17" i="3"/>
  <c r="P17" i="3"/>
  <c r="AI17" i="3"/>
  <c r="Q17" i="3"/>
  <c r="AL17" i="3"/>
  <c r="S17" i="3"/>
  <c r="AT17" i="3"/>
  <c r="AU17" i="3"/>
  <c r="R17" i="3"/>
  <c r="Y17" i="3"/>
  <c r="AB17" i="3"/>
  <c r="AF17" i="3"/>
  <c r="AR17" i="3"/>
  <c r="AH17" i="3"/>
  <c r="A18" i="3"/>
  <c r="L20" i="3" l="1"/>
  <c r="I20" i="3"/>
  <c r="K20" i="3"/>
  <c r="J20" i="3"/>
  <c r="K92" i="3"/>
  <c r="L92" i="3"/>
  <c r="J92" i="3"/>
  <c r="I92" i="3"/>
  <c r="H93" i="3"/>
  <c r="E94" i="3"/>
  <c r="F93" i="3"/>
  <c r="G93" i="3"/>
  <c r="B18" i="3"/>
  <c r="D18" i="3"/>
  <c r="C18" i="3"/>
  <c r="H21" i="3"/>
  <c r="F21" i="3"/>
  <c r="G21" i="3"/>
  <c r="AW17" i="3"/>
  <c r="E22" i="3"/>
  <c r="BJ21" i="3"/>
  <c r="BM21" i="3"/>
  <c r="BK21" i="3"/>
  <c r="BL21" i="3"/>
  <c r="BF21" i="3"/>
  <c r="BH21" i="3"/>
  <c r="BI21" i="3"/>
  <c r="BN21" i="3"/>
  <c r="BQ21" i="3"/>
  <c r="BR21" i="3"/>
  <c r="BG21" i="3"/>
  <c r="BO21" i="3"/>
  <c r="BP21" i="3"/>
  <c r="BA21" i="3"/>
  <c r="BC21" i="3"/>
  <c r="BE21" i="3"/>
  <c r="BS21" i="3"/>
  <c r="BT21" i="3"/>
  <c r="BB21" i="3"/>
  <c r="BD21" i="3"/>
  <c r="AX21" i="3"/>
  <c r="AY21" i="3"/>
  <c r="AZ21" i="3"/>
  <c r="Q18" i="3"/>
  <c r="Y18" i="3"/>
  <c r="AG18" i="3"/>
  <c r="AO18" i="3"/>
  <c r="U18" i="3"/>
  <c r="AD18" i="3"/>
  <c r="AM18" i="3"/>
  <c r="AV18" i="3"/>
  <c r="M18" i="3"/>
  <c r="V18" i="3"/>
  <c r="AE18" i="3"/>
  <c r="AN18" i="3"/>
  <c r="O18" i="3"/>
  <c r="X18" i="3"/>
  <c r="AH18" i="3"/>
  <c r="AQ18" i="3"/>
  <c r="P18" i="3"/>
  <c r="AC18" i="3"/>
  <c r="AS18" i="3"/>
  <c r="S18" i="3"/>
  <c r="AI18" i="3"/>
  <c r="AU18" i="3"/>
  <c r="T18" i="3"/>
  <c r="AJ18" i="3"/>
  <c r="Z18" i="3"/>
  <c r="AT18" i="3"/>
  <c r="AA18" i="3"/>
  <c r="AF18" i="3"/>
  <c r="AR18" i="3"/>
  <c r="N18" i="3"/>
  <c r="R18" i="3"/>
  <c r="W18" i="3"/>
  <c r="AB18" i="3"/>
  <c r="AK18" i="3"/>
  <c r="AL18" i="3"/>
  <c r="AP18" i="3"/>
  <c r="A19" i="3"/>
  <c r="L93" i="3" l="1"/>
  <c r="K93" i="3"/>
  <c r="I93" i="3"/>
  <c r="J93" i="3"/>
  <c r="L21" i="3"/>
  <c r="K21" i="3"/>
  <c r="J21" i="3"/>
  <c r="I21" i="3"/>
  <c r="E95" i="3"/>
  <c r="F94" i="3"/>
  <c r="G94" i="3"/>
  <c r="H94" i="3"/>
  <c r="B19" i="3"/>
  <c r="D19" i="3"/>
  <c r="C19" i="3"/>
  <c r="F22" i="3"/>
  <c r="G22" i="3"/>
  <c r="H22" i="3"/>
  <c r="AW18" i="3"/>
  <c r="E23" i="3"/>
  <c r="BG22" i="3"/>
  <c r="BH22" i="3"/>
  <c r="BI22" i="3"/>
  <c r="BJ22" i="3"/>
  <c r="BK22" i="3"/>
  <c r="BN22" i="3"/>
  <c r="BP22" i="3"/>
  <c r="BQ22" i="3"/>
  <c r="BL22" i="3"/>
  <c r="BM22" i="3"/>
  <c r="BO22" i="3"/>
  <c r="BR22" i="3"/>
  <c r="BS22" i="3"/>
  <c r="AX22" i="3"/>
  <c r="BA22" i="3"/>
  <c r="BB22" i="3"/>
  <c r="AY22" i="3"/>
  <c r="AZ22" i="3"/>
  <c r="BF22" i="3"/>
  <c r="BT22" i="3"/>
  <c r="BC22" i="3"/>
  <c r="BD22" i="3"/>
  <c r="BE22" i="3"/>
  <c r="M19" i="3"/>
  <c r="U19" i="3"/>
  <c r="AC19" i="3"/>
  <c r="AK19" i="3"/>
  <c r="AS19" i="3"/>
  <c r="V19" i="3"/>
  <c r="AE19" i="3"/>
  <c r="AN19" i="3"/>
  <c r="N19" i="3"/>
  <c r="W19" i="3"/>
  <c r="AF19" i="3"/>
  <c r="AO19" i="3"/>
  <c r="P19" i="3"/>
  <c r="Y19" i="3"/>
  <c r="AH19" i="3"/>
  <c r="AQ19" i="3"/>
  <c r="X19" i="3"/>
  <c r="AL19" i="3"/>
  <c r="AA19" i="3"/>
  <c r="AP19" i="3"/>
  <c r="O19" i="3"/>
  <c r="AB19" i="3"/>
  <c r="AR19" i="3"/>
  <c r="AI19" i="3"/>
  <c r="Q19" i="3"/>
  <c r="AJ19" i="3"/>
  <c r="S19" i="3"/>
  <c r="AT19" i="3"/>
  <c r="AV19" i="3"/>
  <c r="R19" i="3"/>
  <c r="T19" i="3"/>
  <c r="Z19" i="3"/>
  <c r="AD19" i="3"/>
  <c r="AG19" i="3"/>
  <c r="AU19" i="3"/>
  <c r="AM19" i="3"/>
  <c r="A20" i="3"/>
  <c r="L94" i="3" l="1"/>
  <c r="K94" i="3"/>
  <c r="J94" i="3"/>
  <c r="I94" i="3"/>
  <c r="K22" i="3"/>
  <c r="I22" i="3"/>
  <c r="L22" i="3"/>
  <c r="J22" i="3"/>
  <c r="G95" i="3"/>
  <c r="F95" i="3"/>
  <c r="E96" i="3"/>
  <c r="H95" i="3"/>
  <c r="H23" i="3"/>
  <c r="G23" i="3"/>
  <c r="F23" i="3"/>
  <c r="B20" i="3"/>
  <c r="D20" i="3"/>
  <c r="C20" i="3"/>
  <c r="AW19" i="3"/>
  <c r="E24" i="3"/>
  <c r="BD23" i="3"/>
  <c r="BF23" i="3"/>
  <c r="BG23" i="3"/>
  <c r="BE23" i="3"/>
  <c r="BL23" i="3"/>
  <c r="BO23" i="3"/>
  <c r="BP23" i="3"/>
  <c r="BM23" i="3"/>
  <c r="BN23" i="3"/>
  <c r="BQ23" i="3"/>
  <c r="BR23" i="3"/>
  <c r="BS23" i="3"/>
  <c r="BT23" i="3"/>
  <c r="BA23" i="3"/>
  <c r="BH23" i="3"/>
  <c r="BI23" i="3"/>
  <c r="BB23" i="3"/>
  <c r="BC23" i="3"/>
  <c r="BJ23" i="3"/>
  <c r="BK23" i="3"/>
  <c r="AX23" i="3"/>
  <c r="AY23" i="3"/>
  <c r="AZ23" i="3"/>
  <c r="Q20" i="3"/>
  <c r="Y20" i="3"/>
  <c r="AG20" i="3"/>
  <c r="AO20" i="3"/>
  <c r="M20" i="3"/>
  <c r="V20" i="3"/>
  <c r="AE20" i="3"/>
  <c r="AN20" i="3"/>
  <c r="N20" i="3"/>
  <c r="W20" i="3"/>
  <c r="AF20" i="3"/>
  <c r="AP20" i="3"/>
  <c r="P20" i="3"/>
  <c r="Z20" i="3"/>
  <c r="AI20" i="3"/>
  <c r="AR20" i="3"/>
  <c r="R20" i="3"/>
  <c r="AD20" i="3"/>
  <c r="AT20" i="3"/>
  <c r="T20" i="3"/>
  <c r="AJ20" i="3"/>
  <c r="AV20" i="3"/>
  <c r="U20" i="3"/>
  <c r="AK20" i="3"/>
  <c r="X20" i="3"/>
  <c r="AS20" i="3"/>
  <c r="AA20" i="3"/>
  <c r="AU20" i="3"/>
  <c r="AC20" i="3"/>
  <c r="O20" i="3"/>
  <c r="S20" i="3"/>
  <c r="AB20" i="3"/>
  <c r="AH20" i="3"/>
  <c r="AL20" i="3"/>
  <c r="AM20" i="3"/>
  <c r="AQ20" i="3"/>
  <c r="A21" i="3"/>
  <c r="J23" i="3" l="1"/>
  <c r="L23" i="3"/>
  <c r="K23" i="3"/>
  <c r="I23" i="3"/>
  <c r="K95" i="3"/>
  <c r="J95" i="3"/>
  <c r="I95" i="3"/>
  <c r="L95" i="3"/>
  <c r="E97" i="3"/>
  <c r="F96" i="3"/>
  <c r="H96" i="3"/>
  <c r="G96" i="3"/>
  <c r="B21" i="3"/>
  <c r="D21" i="3"/>
  <c r="C21" i="3"/>
  <c r="F24" i="3"/>
  <c r="G24" i="3"/>
  <c r="H24" i="3"/>
  <c r="AW20" i="3"/>
  <c r="E25" i="3"/>
  <c r="BA24" i="3"/>
  <c r="BB24" i="3"/>
  <c r="BC24" i="3"/>
  <c r="BD24" i="3"/>
  <c r="BM24" i="3"/>
  <c r="BP24" i="3"/>
  <c r="BR24" i="3"/>
  <c r="BS24" i="3"/>
  <c r="BT24" i="3"/>
  <c r="BN24" i="3"/>
  <c r="BO24" i="3"/>
  <c r="BQ24" i="3"/>
  <c r="AY24" i="3"/>
  <c r="AZ24" i="3"/>
  <c r="BE24" i="3"/>
  <c r="BF24" i="3"/>
  <c r="AX24" i="3"/>
  <c r="BJ24" i="3"/>
  <c r="BK24" i="3"/>
  <c r="BG24" i="3"/>
  <c r="BH24" i="3"/>
  <c r="BI24" i="3"/>
  <c r="BL24" i="3"/>
  <c r="M21" i="3"/>
  <c r="U21" i="3"/>
  <c r="AC21" i="3"/>
  <c r="AK21" i="3"/>
  <c r="AS21" i="3"/>
  <c r="N21" i="3"/>
  <c r="W21" i="3"/>
  <c r="AF21" i="3"/>
  <c r="AO21" i="3"/>
  <c r="O21" i="3"/>
  <c r="X21" i="3"/>
  <c r="AG21" i="3"/>
  <c r="AP21" i="3"/>
  <c r="Q21" i="3"/>
  <c r="Z21" i="3"/>
  <c r="AI21" i="3"/>
  <c r="AR21" i="3"/>
  <c r="Y21" i="3"/>
  <c r="AM21" i="3"/>
  <c r="AB21" i="3"/>
  <c r="AQ21" i="3"/>
  <c r="P21" i="3"/>
  <c r="AD21" i="3"/>
  <c r="AT21" i="3"/>
  <c r="AH21" i="3"/>
  <c r="AJ21" i="3"/>
  <c r="S21" i="3"/>
  <c r="AN21" i="3"/>
  <c r="R21" i="3"/>
  <c r="T21" i="3"/>
  <c r="V21" i="3"/>
  <c r="AA21" i="3"/>
  <c r="AE21" i="3"/>
  <c r="AL21" i="3"/>
  <c r="AV21" i="3"/>
  <c r="AU21" i="3"/>
  <c r="A22" i="3"/>
  <c r="J24" i="3" l="1"/>
  <c r="K24" i="3"/>
  <c r="I24" i="3"/>
  <c r="L24" i="3"/>
  <c r="J96" i="3"/>
  <c r="I96" i="3"/>
  <c r="L96" i="3"/>
  <c r="K96" i="3"/>
  <c r="F97" i="3"/>
  <c r="G97" i="3"/>
  <c r="H97" i="3"/>
  <c r="B22" i="3"/>
  <c r="D22" i="3"/>
  <c r="C22" i="3"/>
  <c r="G25" i="3"/>
  <c r="F25" i="3"/>
  <c r="H25" i="3"/>
  <c r="AW21" i="3"/>
  <c r="E26" i="3"/>
  <c r="AX25" i="3"/>
  <c r="BR25" i="3"/>
  <c r="AZ25" i="3"/>
  <c r="AY25" i="3"/>
  <c r="BS25" i="3"/>
  <c r="BT25" i="3"/>
  <c r="BM25" i="3"/>
  <c r="BP25" i="3"/>
  <c r="BA25" i="3"/>
  <c r="BN25" i="3"/>
  <c r="BO25" i="3"/>
  <c r="BQ25" i="3"/>
  <c r="BD25" i="3"/>
  <c r="BF25" i="3"/>
  <c r="BI25" i="3"/>
  <c r="BJ25" i="3"/>
  <c r="BK25" i="3"/>
  <c r="BL25" i="3"/>
  <c r="BE25" i="3"/>
  <c r="BG25" i="3"/>
  <c r="BH25" i="3"/>
  <c r="BB25" i="3"/>
  <c r="BC25" i="3"/>
  <c r="Q22" i="3"/>
  <c r="Y22" i="3"/>
  <c r="AG22" i="3"/>
  <c r="AO22" i="3"/>
  <c r="N22" i="3"/>
  <c r="W22" i="3"/>
  <c r="AF22" i="3"/>
  <c r="AP22" i="3"/>
  <c r="O22" i="3"/>
  <c r="X22" i="3"/>
  <c r="AH22" i="3"/>
  <c r="AQ22" i="3"/>
  <c r="R22" i="3"/>
  <c r="AA22" i="3"/>
  <c r="AJ22" i="3"/>
  <c r="AS22" i="3"/>
  <c r="S22" i="3"/>
  <c r="AE22" i="3"/>
  <c r="AU22" i="3"/>
  <c r="U22" i="3"/>
  <c r="AK22" i="3"/>
  <c r="V22" i="3"/>
  <c r="AL22" i="3"/>
  <c r="T22" i="3"/>
  <c r="AR22" i="3"/>
  <c r="Z22" i="3"/>
  <c r="AT22" i="3"/>
  <c r="AC22" i="3"/>
  <c r="M22" i="3"/>
  <c r="P22" i="3"/>
  <c r="AB22" i="3"/>
  <c r="AD22" i="3"/>
  <c r="AI22" i="3"/>
  <c r="AM22" i="3"/>
  <c r="AN22" i="3"/>
  <c r="AV22" i="3"/>
  <c r="A23" i="3"/>
  <c r="L25" i="3" l="1"/>
  <c r="I25" i="3"/>
  <c r="K25" i="3"/>
  <c r="J25" i="3"/>
  <c r="I97" i="3"/>
  <c r="K97" i="3"/>
  <c r="L97" i="3"/>
  <c r="J97" i="3"/>
  <c r="B23" i="3"/>
  <c r="D23" i="3"/>
  <c r="C23" i="3"/>
  <c r="H26" i="3"/>
  <c r="F26" i="3"/>
  <c r="G26" i="3"/>
  <c r="AW22" i="3"/>
  <c r="A24" i="3"/>
  <c r="E27" i="3"/>
  <c r="BO26" i="3"/>
  <c r="BQ26" i="3"/>
  <c r="BP26" i="3"/>
  <c r="BM26" i="3"/>
  <c r="BS26" i="3"/>
  <c r="BT26" i="3"/>
  <c r="BN26" i="3"/>
  <c r="BR26" i="3"/>
  <c r="AX26" i="3"/>
  <c r="AY26" i="3"/>
  <c r="AZ26" i="3"/>
  <c r="BA26" i="3"/>
  <c r="BC26" i="3"/>
  <c r="BB26" i="3"/>
  <c r="BD26" i="3"/>
  <c r="BL26" i="3"/>
  <c r="BG26" i="3"/>
  <c r="BI26" i="3"/>
  <c r="BJ26" i="3"/>
  <c r="BK26" i="3"/>
  <c r="BE26" i="3"/>
  <c r="BF26" i="3"/>
  <c r="BH26" i="3"/>
  <c r="N23" i="3"/>
  <c r="V23" i="3"/>
  <c r="AD23" i="3"/>
  <c r="AL23" i="3"/>
  <c r="AT23" i="3"/>
  <c r="O23" i="3"/>
  <c r="W23" i="3"/>
  <c r="AE23" i="3"/>
  <c r="AM23" i="3"/>
  <c r="AU23" i="3"/>
  <c r="Q23" i="3"/>
  <c r="Y23" i="3"/>
  <c r="AG23" i="3"/>
  <c r="AO23" i="3"/>
  <c r="X23" i="3"/>
  <c r="AJ23" i="3"/>
  <c r="M23" i="3"/>
  <c r="AA23" i="3"/>
  <c r="AN23" i="3"/>
  <c r="P23" i="3"/>
  <c r="AB23" i="3"/>
  <c r="AP23" i="3"/>
  <c r="AC23" i="3"/>
  <c r="AV23" i="3"/>
  <c r="AF23" i="3"/>
  <c r="R23" i="3"/>
  <c r="AI23" i="3"/>
  <c r="S23" i="3"/>
  <c r="AS23" i="3"/>
  <c r="T23" i="3"/>
  <c r="U23" i="3"/>
  <c r="Z23" i="3"/>
  <c r="AH23" i="3"/>
  <c r="AK23" i="3"/>
  <c r="AR23" i="3"/>
  <c r="AQ23" i="3"/>
  <c r="I26" i="3" l="1"/>
  <c r="J26" i="3"/>
  <c r="K26" i="3"/>
  <c r="L26" i="3"/>
  <c r="B24" i="3"/>
  <c r="C24" i="3"/>
  <c r="D24" i="3"/>
  <c r="F27" i="3"/>
  <c r="G27" i="3"/>
  <c r="H27" i="3"/>
  <c r="AW23" i="3"/>
  <c r="E28" i="3"/>
  <c r="BL27" i="3"/>
  <c r="BM27" i="3"/>
  <c r="BN27" i="3"/>
  <c r="BP27" i="3"/>
  <c r="AX27" i="3"/>
  <c r="AY27" i="3"/>
  <c r="BQ27" i="3"/>
  <c r="BR27" i="3"/>
  <c r="BS27" i="3"/>
  <c r="BT27" i="3"/>
  <c r="AZ27" i="3"/>
  <c r="BA27" i="3"/>
  <c r="BB27" i="3"/>
  <c r="BE27" i="3"/>
  <c r="BF27" i="3"/>
  <c r="BK27" i="3"/>
  <c r="BC27" i="3"/>
  <c r="BD27" i="3"/>
  <c r="BG27" i="3"/>
  <c r="BH27" i="3"/>
  <c r="BI27" i="3"/>
  <c r="BJ27" i="3"/>
  <c r="BO27" i="3"/>
  <c r="R24" i="3"/>
  <c r="Z24" i="3"/>
  <c r="AH24" i="3"/>
  <c r="AP24" i="3"/>
  <c r="S24" i="3"/>
  <c r="M24" i="3"/>
  <c r="U24" i="3"/>
  <c r="AC24" i="3"/>
  <c r="N24" i="3"/>
  <c r="Y24" i="3"/>
  <c r="AJ24" i="3"/>
  <c r="AS24" i="3"/>
  <c r="P24" i="3"/>
  <c r="AB24" i="3"/>
  <c r="AL24" i="3"/>
  <c r="AU24" i="3"/>
  <c r="Q24" i="3"/>
  <c r="AD24" i="3"/>
  <c r="AM24" i="3"/>
  <c r="AV24" i="3"/>
  <c r="AF24" i="3"/>
  <c r="AT24" i="3"/>
  <c r="O24" i="3"/>
  <c r="AG24" i="3"/>
  <c r="V24" i="3"/>
  <c r="AK24" i="3"/>
  <c r="AO24" i="3"/>
  <c r="T24" i="3"/>
  <c r="AQ24" i="3"/>
  <c r="W24" i="3"/>
  <c r="AR24" i="3"/>
  <c r="X24" i="3"/>
  <c r="AA24" i="3"/>
  <c r="AE24" i="3"/>
  <c r="AI24" i="3"/>
  <c r="AN24" i="3"/>
  <c r="A25" i="3"/>
  <c r="I27" i="3" l="1"/>
  <c r="J27" i="3"/>
  <c r="K27" i="3"/>
  <c r="L27" i="3"/>
  <c r="C25" i="3"/>
  <c r="B25" i="3"/>
  <c r="D25" i="3"/>
  <c r="H28" i="3"/>
  <c r="F28" i="3"/>
  <c r="G28" i="3"/>
  <c r="AW24" i="3"/>
  <c r="E29" i="3"/>
  <c r="BI28" i="3"/>
  <c r="BK28" i="3"/>
  <c r="BJ28" i="3"/>
  <c r="BP28" i="3"/>
  <c r="BR28" i="3"/>
  <c r="BS28" i="3"/>
  <c r="AZ28" i="3"/>
  <c r="BA28" i="3"/>
  <c r="BQ28" i="3"/>
  <c r="BT28" i="3"/>
  <c r="AX28" i="3"/>
  <c r="AY28" i="3"/>
  <c r="BN28" i="3"/>
  <c r="BB28" i="3"/>
  <c r="BO28" i="3"/>
  <c r="BC28" i="3"/>
  <c r="BD28" i="3"/>
  <c r="BG28" i="3"/>
  <c r="BH28" i="3"/>
  <c r="BL28" i="3"/>
  <c r="BE28" i="3"/>
  <c r="BF28" i="3"/>
  <c r="BM28" i="3"/>
  <c r="N25" i="3"/>
  <c r="V25" i="3"/>
  <c r="R25" i="3"/>
  <c r="AA25" i="3"/>
  <c r="AI25" i="3"/>
  <c r="AQ25" i="3"/>
  <c r="T25" i="3"/>
  <c r="AC25" i="3"/>
  <c r="AK25" i="3"/>
  <c r="AS25" i="3"/>
  <c r="U25" i="3"/>
  <c r="AD25" i="3"/>
  <c r="AL25" i="3"/>
  <c r="AT25" i="3"/>
  <c r="Y25" i="3"/>
  <c r="AM25" i="3"/>
  <c r="M25" i="3"/>
  <c r="Z25" i="3"/>
  <c r="AN25" i="3"/>
  <c r="P25" i="3"/>
  <c r="AE25" i="3"/>
  <c r="AP25" i="3"/>
  <c r="AB25" i="3"/>
  <c r="AV25" i="3"/>
  <c r="AF25" i="3"/>
  <c r="AG25" i="3"/>
  <c r="O25" i="3"/>
  <c r="AH25" i="3"/>
  <c r="AJ25" i="3"/>
  <c r="Q25" i="3"/>
  <c r="S25" i="3"/>
  <c r="AO25" i="3"/>
  <c r="X25" i="3"/>
  <c r="W25" i="3"/>
  <c r="AR25" i="3"/>
  <c r="AU25" i="3"/>
  <c r="A26" i="3"/>
  <c r="J28" i="3" l="1"/>
  <c r="I28" i="3"/>
  <c r="L28" i="3"/>
  <c r="K28" i="3"/>
  <c r="F29" i="3"/>
  <c r="H29" i="3"/>
  <c r="G29" i="3"/>
  <c r="B26" i="3"/>
  <c r="C26" i="3"/>
  <c r="D26" i="3"/>
  <c r="AW25" i="3"/>
  <c r="E30" i="3"/>
  <c r="BF29" i="3"/>
  <c r="BH29" i="3"/>
  <c r="BG29" i="3"/>
  <c r="BP29" i="3"/>
  <c r="BS29" i="3"/>
  <c r="BT29" i="3"/>
  <c r="AX29" i="3"/>
  <c r="AY29" i="3"/>
  <c r="BQ29" i="3"/>
  <c r="BR29" i="3"/>
  <c r="AZ29" i="3"/>
  <c r="BA29" i="3"/>
  <c r="BB29" i="3"/>
  <c r="BD29" i="3"/>
  <c r="BE29" i="3"/>
  <c r="BI29" i="3"/>
  <c r="BJ29" i="3"/>
  <c r="BK29" i="3"/>
  <c r="BM29" i="3"/>
  <c r="BC29" i="3"/>
  <c r="BL29" i="3"/>
  <c r="BN29" i="3"/>
  <c r="BO29" i="3"/>
  <c r="O26" i="3"/>
  <c r="W26" i="3"/>
  <c r="AE26" i="3"/>
  <c r="AM26" i="3"/>
  <c r="AU26" i="3"/>
  <c r="Q26" i="3"/>
  <c r="Y26" i="3"/>
  <c r="AG26" i="3"/>
  <c r="AO26" i="3"/>
  <c r="R26" i="3"/>
  <c r="Z26" i="3"/>
  <c r="AH26" i="3"/>
  <c r="AP26" i="3"/>
  <c r="N26" i="3"/>
  <c r="AB26" i="3"/>
  <c r="AN26" i="3"/>
  <c r="P26" i="3"/>
  <c r="AC26" i="3"/>
  <c r="AQ26" i="3"/>
  <c r="T26" i="3"/>
  <c r="AF26" i="3"/>
  <c r="AS26" i="3"/>
  <c r="AI26" i="3"/>
  <c r="M26" i="3"/>
  <c r="AJ26" i="3"/>
  <c r="S26" i="3"/>
  <c r="AK26" i="3"/>
  <c r="U26" i="3"/>
  <c r="AL26" i="3"/>
  <c r="V26" i="3"/>
  <c r="AR26" i="3"/>
  <c r="X26" i="3"/>
  <c r="AT26" i="3"/>
  <c r="AD26" i="3"/>
  <c r="AA26" i="3"/>
  <c r="AV26" i="3"/>
  <c r="A27" i="3"/>
  <c r="L29" i="3" l="1"/>
  <c r="K29" i="3"/>
  <c r="I29" i="3"/>
  <c r="J29" i="3"/>
  <c r="B27" i="3"/>
  <c r="C27" i="3"/>
  <c r="D27" i="3"/>
  <c r="G30" i="3"/>
  <c r="H30" i="3"/>
  <c r="F30" i="3"/>
  <c r="AW26" i="3"/>
  <c r="E31" i="3"/>
  <c r="BC30" i="3"/>
  <c r="BD30" i="3"/>
  <c r="BE30" i="3"/>
  <c r="BP30" i="3"/>
  <c r="BS30" i="3"/>
  <c r="BQ30" i="3"/>
  <c r="BR30" i="3"/>
  <c r="BT30" i="3"/>
  <c r="AX30" i="3"/>
  <c r="AY30" i="3"/>
  <c r="AZ30" i="3"/>
  <c r="BA30" i="3"/>
  <c r="BL30" i="3"/>
  <c r="BO30" i="3"/>
  <c r="BM30" i="3"/>
  <c r="BN30" i="3"/>
  <c r="BH30" i="3"/>
  <c r="BI30" i="3"/>
  <c r="BK30" i="3"/>
  <c r="BB30" i="3"/>
  <c r="BF30" i="3"/>
  <c r="BG30" i="3"/>
  <c r="BJ30" i="3"/>
  <c r="S27" i="3"/>
  <c r="AA27" i="3"/>
  <c r="AI27" i="3"/>
  <c r="AQ27" i="3"/>
  <c r="M27" i="3"/>
  <c r="U27" i="3"/>
  <c r="AC27" i="3"/>
  <c r="AK27" i="3"/>
  <c r="AS27" i="3"/>
  <c r="N27" i="3"/>
  <c r="V27" i="3"/>
  <c r="AD27" i="3"/>
  <c r="AL27" i="3"/>
  <c r="AT27" i="3"/>
  <c r="Q27" i="3"/>
  <c r="AE27" i="3"/>
  <c r="AP27" i="3"/>
  <c r="R27" i="3"/>
  <c r="AF27" i="3"/>
  <c r="AR27" i="3"/>
  <c r="W27" i="3"/>
  <c r="AH27" i="3"/>
  <c r="AV27" i="3"/>
  <c r="P27" i="3"/>
  <c r="AM27" i="3"/>
  <c r="T27" i="3"/>
  <c r="AN27" i="3"/>
  <c r="X27" i="3"/>
  <c r="AO27" i="3"/>
  <c r="Y27" i="3"/>
  <c r="AU27" i="3"/>
  <c r="Z27" i="3"/>
  <c r="AB27" i="3"/>
  <c r="AJ27" i="3"/>
  <c r="AG27" i="3"/>
  <c r="O27" i="3"/>
  <c r="A28" i="3"/>
  <c r="J30" i="3" l="1"/>
  <c r="L30" i="3"/>
  <c r="I30" i="3"/>
  <c r="K30" i="3"/>
  <c r="G31" i="3"/>
  <c r="H31" i="3"/>
  <c r="F31" i="3"/>
  <c r="B28" i="3"/>
  <c r="C28" i="3"/>
  <c r="D28" i="3"/>
  <c r="AW27" i="3"/>
  <c r="E32" i="3"/>
  <c r="AZ31" i="3"/>
  <c r="BT31" i="3"/>
  <c r="BA31" i="3"/>
  <c r="BB31" i="3"/>
  <c r="BP31" i="3"/>
  <c r="BS31" i="3"/>
  <c r="AX31" i="3"/>
  <c r="BC31" i="3"/>
  <c r="BQ31" i="3"/>
  <c r="BR31" i="3"/>
  <c r="AY31" i="3"/>
  <c r="BD31" i="3"/>
  <c r="BG31" i="3"/>
  <c r="BI31" i="3"/>
  <c r="BJ31" i="3"/>
  <c r="BK31" i="3"/>
  <c r="BL31" i="3"/>
  <c r="BE31" i="3"/>
  <c r="BF31" i="3"/>
  <c r="BH31" i="3"/>
  <c r="BM31" i="3"/>
  <c r="BN31" i="3"/>
  <c r="BO31" i="3"/>
  <c r="O28" i="3"/>
  <c r="W28" i="3"/>
  <c r="AE28" i="3"/>
  <c r="AM28" i="3"/>
  <c r="AU28" i="3"/>
  <c r="Q28" i="3"/>
  <c r="Y28" i="3"/>
  <c r="AG28" i="3"/>
  <c r="AO28" i="3"/>
  <c r="R28" i="3"/>
  <c r="Z28" i="3"/>
  <c r="AH28" i="3"/>
  <c r="AP28" i="3"/>
  <c r="T28" i="3"/>
  <c r="AF28" i="3"/>
  <c r="AS28" i="3"/>
  <c r="U28" i="3"/>
  <c r="AI28" i="3"/>
  <c r="AT28" i="3"/>
  <c r="X28" i="3"/>
  <c r="AK28" i="3"/>
  <c r="V28" i="3"/>
  <c r="AQ28" i="3"/>
  <c r="AA28" i="3"/>
  <c r="AR28" i="3"/>
  <c r="AB28" i="3"/>
  <c r="AV28" i="3"/>
  <c r="AC28" i="3"/>
  <c r="M28" i="3"/>
  <c r="AD28" i="3"/>
  <c r="N28" i="3"/>
  <c r="AJ28" i="3"/>
  <c r="AN28" i="3"/>
  <c r="P28" i="3"/>
  <c r="AL28" i="3"/>
  <c r="S28" i="3"/>
  <c r="A29" i="3"/>
  <c r="I31" i="3" l="1"/>
  <c r="L31" i="3"/>
  <c r="J31" i="3"/>
  <c r="K31" i="3"/>
  <c r="G32" i="3"/>
  <c r="F32" i="3"/>
  <c r="H32" i="3"/>
  <c r="C29" i="3"/>
  <c r="B29" i="3"/>
  <c r="D29" i="3"/>
  <c r="AW28" i="3"/>
  <c r="E33" i="3"/>
  <c r="BQ32" i="3"/>
  <c r="AY32" i="3"/>
  <c r="AX32" i="3"/>
  <c r="BR32" i="3"/>
  <c r="BS32" i="3"/>
  <c r="BP32" i="3"/>
  <c r="AZ32" i="3"/>
  <c r="BB32" i="3"/>
  <c r="BD32" i="3"/>
  <c r="BT32" i="3"/>
  <c r="BA32" i="3"/>
  <c r="BC32" i="3"/>
  <c r="BJ32" i="3"/>
  <c r="BL32" i="3"/>
  <c r="BN32" i="3"/>
  <c r="BO32" i="3"/>
  <c r="BK32" i="3"/>
  <c r="BM32" i="3"/>
  <c r="BE32" i="3"/>
  <c r="BF32" i="3"/>
  <c r="BG32" i="3"/>
  <c r="BH32" i="3"/>
  <c r="BI32" i="3"/>
  <c r="S29" i="3"/>
  <c r="AA29" i="3"/>
  <c r="AI29" i="3"/>
  <c r="AQ29" i="3"/>
  <c r="M29" i="3"/>
  <c r="U29" i="3"/>
  <c r="AC29" i="3"/>
  <c r="AK29" i="3"/>
  <c r="AS29" i="3"/>
  <c r="N29" i="3"/>
  <c r="V29" i="3"/>
  <c r="AD29" i="3"/>
  <c r="AL29" i="3"/>
  <c r="AT29" i="3"/>
  <c r="W29" i="3"/>
  <c r="AH29" i="3"/>
  <c r="AV29" i="3"/>
  <c r="X29" i="3"/>
  <c r="AJ29" i="3"/>
  <c r="O29" i="3"/>
  <c r="Z29" i="3"/>
  <c r="AN29" i="3"/>
  <c r="AB29" i="3"/>
  <c r="AU29" i="3"/>
  <c r="AE29" i="3"/>
  <c r="AF29" i="3"/>
  <c r="P29" i="3"/>
  <c r="AG29" i="3"/>
  <c r="Q29" i="3"/>
  <c r="AM29" i="3"/>
  <c r="R29" i="3"/>
  <c r="AO29" i="3"/>
  <c r="AR29" i="3"/>
  <c r="T29" i="3"/>
  <c r="AP29" i="3"/>
  <c r="Y29" i="3"/>
  <c r="A30" i="3"/>
  <c r="I32" i="3" l="1"/>
  <c r="L32" i="3"/>
  <c r="J32" i="3"/>
  <c r="K32" i="3"/>
  <c r="C30" i="3"/>
  <c r="B30" i="3"/>
  <c r="D30" i="3"/>
  <c r="F33" i="3"/>
  <c r="G33" i="3"/>
  <c r="H33" i="3"/>
  <c r="AW29" i="3"/>
  <c r="E34" i="3"/>
  <c r="BN33" i="3"/>
  <c r="BP33" i="3"/>
  <c r="BO33" i="3"/>
  <c r="BS33" i="3"/>
  <c r="BA33" i="3"/>
  <c r="BT33" i="3"/>
  <c r="AX33" i="3"/>
  <c r="AY33" i="3"/>
  <c r="AZ33" i="3"/>
  <c r="BB33" i="3"/>
  <c r="BC33" i="3"/>
  <c r="BD33" i="3"/>
  <c r="BF33" i="3"/>
  <c r="BG33" i="3"/>
  <c r="BE33" i="3"/>
  <c r="BH33" i="3"/>
  <c r="BI33" i="3"/>
  <c r="BJ33" i="3"/>
  <c r="BM33" i="3"/>
  <c r="BQ33" i="3"/>
  <c r="BK33" i="3"/>
  <c r="BL33" i="3"/>
  <c r="BR33" i="3"/>
  <c r="O30" i="3"/>
  <c r="W30" i="3"/>
  <c r="AE30" i="3"/>
  <c r="AM30" i="3"/>
  <c r="AU30" i="3"/>
  <c r="Q30" i="3"/>
  <c r="Y30" i="3"/>
  <c r="AG30" i="3"/>
  <c r="AO30" i="3"/>
  <c r="R30" i="3"/>
  <c r="Z30" i="3"/>
  <c r="AH30" i="3"/>
  <c r="AP30" i="3"/>
  <c r="X30" i="3"/>
  <c r="AK30" i="3"/>
  <c r="M30" i="3"/>
  <c r="AA30" i="3"/>
  <c r="AL30" i="3"/>
  <c r="P30" i="3"/>
  <c r="AC30" i="3"/>
  <c r="AQ30" i="3"/>
  <c r="AF30" i="3"/>
  <c r="N30" i="3"/>
  <c r="AI30" i="3"/>
  <c r="S30" i="3"/>
  <c r="AJ30" i="3"/>
  <c r="T30" i="3"/>
  <c r="AN30" i="3"/>
  <c r="AR30" i="3"/>
  <c r="U30" i="3"/>
  <c r="V30" i="3"/>
  <c r="AS30" i="3"/>
  <c r="AV30" i="3"/>
  <c r="AB30" i="3"/>
  <c r="AT30" i="3"/>
  <c r="AD30" i="3"/>
  <c r="A31" i="3"/>
  <c r="I33" i="3" l="1"/>
  <c r="K33" i="3"/>
  <c r="J33" i="3"/>
  <c r="L33" i="3"/>
  <c r="F34" i="3"/>
  <c r="G34" i="3"/>
  <c r="H34" i="3"/>
  <c r="D31" i="3"/>
  <c r="C31" i="3"/>
  <c r="B31" i="3"/>
  <c r="AW30" i="3"/>
  <c r="E35" i="3"/>
  <c r="BK34" i="3"/>
  <c r="BL34" i="3"/>
  <c r="BM34" i="3"/>
  <c r="BS34" i="3"/>
  <c r="AX34" i="3"/>
  <c r="AY34" i="3"/>
  <c r="AZ34" i="3"/>
  <c r="BB34" i="3"/>
  <c r="BC34" i="3"/>
  <c r="BT34" i="3"/>
  <c r="BA34" i="3"/>
  <c r="BD34" i="3"/>
  <c r="BH34" i="3"/>
  <c r="BN34" i="3"/>
  <c r="BO34" i="3"/>
  <c r="BP34" i="3"/>
  <c r="BQ34" i="3"/>
  <c r="BR34" i="3"/>
  <c r="BI34" i="3"/>
  <c r="BJ34" i="3"/>
  <c r="BE34" i="3"/>
  <c r="BF34" i="3"/>
  <c r="BG34" i="3"/>
  <c r="S31" i="3"/>
  <c r="AA31" i="3"/>
  <c r="AI31" i="3"/>
  <c r="AQ31" i="3"/>
  <c r="M31" i="3"/>
  <c r="U31" i="3"/>
  <c r="AC31" i="3"/>
  <c r="AK31" i="3"/>
  <c r="AS31" i="3"/>
  <c r="N31" i="3"/>
  <c r="V31" i="3"/>
  <c r="AD31" i="3"/>
  <c r="AL31" i="3"/>
  <c r="AT31" i="3"/>
  <c r="O31" i="3"/>
  <c r="Z31" i="3"/>
  <c r="AN31" i="3"/>
  <c r="P31" i="3"/>
  <c r="AB31" i="3"/>
  <c r="AO31" i="3"/>
  <c r="R31" i="3"/>
  <c r="AF31" i="3"/>
  <c r="AR31" i="3"/>
  <c r="Q31" i="3"/>
  <c r="AJ31" i="3"/>
  <c r="T31" i="3"/>
  <c r="AM31" i="3"/>
  <c r="W31" i="3"/>
  <c r="AP31" i="3"/>
  <c r="X31" i="3"/>
  <c r="AU31" i="3"/>
  <c r="Y31" i="3"/>
  <c r="AV31" i="3"/>
  <c r="AE31" i="3"/>
  <c r="AG31" i="3"/>
  <c r="AH31" i="3"/>
  <c r="A32" i="3"/>
  <c r="L34" i="3" l="1"/>
  <c r="I34" i="3"/>
  <c r="K34" i="3"/>
  <c r="J34" i="3"/>
  <c r="D32" i="3"/>
  <c r="C32" i="3"/>
  <c r="B32" i="3"/>
  <c r="G35" i="3"/>
  <c r="F35" i="3"/>
  <c r="H35" i="3"/>
  <c r="AW31" i="3"/>
  <c r="E36" i="3"/>
  <c r="BH35" i="3"/>
  <c r="BJ35" i="3"/>
  <c r="BI35" i="3"/>
  <c r="BS35" i="3"/>
  <c r="AY35" i="3"/>
  <c r="BA35" i="3"/>
  <c r="BT35" i="3"/>
  <c r="AX35" i="3"/>
  <c r="AZ35" i="3"/>
  <c r="BB35" i="3"/>
  <c r="BD35" i="3"/>
  <c r="BC35" i="3"/>
  <c r="BG35" i="3"/>
  <c r="BK35" i="3"/>
  <c r="BE35" i="3"/>
  <c r="BF35" i="3"/>
  <c r="BN35" i="3"/>
  <c r="BP35" i="3"/>
  <c r="BQ35" i="3"/>
  <c r="BR35" i="3"/>
  <c r="BL35" i="3"/>
  <c r="BM35" i="3"/>
  <c r="BO35" i="3"/>
  <c r="O32" i="3"/>
  <c r="W32" i="3"/>
  <c r="AE32" i="3"/>
  <c r="AM32" i="3"/>
  <c r="Q32" i="3"/>
  <c r="Y32" i="3"/>
  <c r="AG32" i="3"/>
  <c r="AO32" i="3"/>
  <c r="R32" i="3"/>
  <c r="Z32" i="3"/>
  <c r="AH32" i="3"/>
  <c r="AP32" i="3"/>
  <c r="P32" i="3"/>
  <c r="AC32" i="3"/>
  <c r="AQ32" i="3"/>
  <c r="S32" i="3"/>
  <c r="AD32" i="3"/>
  <c r="AR32" i="3"/>
  <c r="U32" i="3"/>
  <c r="AI32" i="3"/>
  <c r="AT32" i="3"/>
  <c r="V32" i="3"/>
  <c r="AN32" i="3"/>
  <c r="X32" i="3"/>
  <c r="AS32" i="3"/>
  <c r="AA32" i="3"/>
  <c r="AU32" i="3"/>
  <c r="AB32" i="3"/>
  <c r="AV32" i="3"/>
  <c r="AF32" i="3"/>
  <c r="M32" i="3"/>
  <c r="AJ32" i="3"/>
  <c r="T32" i="3"/>
  <c r="N32" i="3"/>
  <c r="AK32" i="3"/>
  <c r="AL32" i="3"/>
  <c r="A33" i="3"/>
  <c r="J35" i="3" l="1"/>
  <c r="L35" i="3"/>
  <c r="I35" i="3"/>
  <c r="K35" i="3"/>
  <c r="D33" i="3"/>
  <c r="C33" i="3"/>
  <c r="B33" i="3"/>
  <c r="F36" i="3"/>
  <c r="G36" i="3"/>
  <c r="H36" i="3"/>
  <c r="AW32" i="3"/>
  <c r="E37" i="3"/>
  <c r="BE36" i="3"/>
  <c r="BF36" i="3"/>
  <c r="BG36" i="3"/>
  <c r="BS36" i="3"/>
  <c r="AZ36" i="3"/>
  <c r="BT36" i="3"/>
  <c r="AX36" i="3"/>
  <c r="AY36" i="3"/>
  <c r="BA36" i="3"/>
  <c r="BB36" i="3"/>
  <c r="BC36" i="3"/>
  <c r="BH36" i="3"/>
  <c r="BJ36" i="3"/>
  <c r="BM36" i="3"/>
  <c r="BN36" i="3"/>
  <c r="BP36" i="3"/>
  <c r="BQ36" i="3"/>
  <c r="BI36" i="3"/>
  <c r="BK36" i="3"/>
  <c r="BL36" i="3"/>
  <c r="BO36" i="3"/>
  <c r="BR36" i="3"/>
  <c r="BD36" i="3"/>
  <c r="O33" i="3"/>
  <c r="W33" i="3"/>
  <c r="AE33" i="3"/>
  <c r="AM33" i="3"/>
  <c r="AU33" i="3"/>
  <c r="P33" i="3"/>
  <c r="X33" i="3"/>
  <c r="AF33" i="3"/>
  <c r="AN33" i="3"/>
  <c r="AV33" i="3"/>
  <c r="R33" i="3"/>
  <c r="Z33" i="3"/>
  <c r="AH33" i="3"/>
  <c r="AP33" i="3"/>
  <c r="T33" i="3"/>
  <c r="AG33" i="3"/>
  <c r="AS33" i="3"/>
  <c r="U33" i="3"/>
  <c r="AI33" i="3"/>
  <c r="AT33" i="3"/>
  <c r="V33" i="3"/>
  <c r="AJ33" i="3"/>
  <c r="Y33" i="3"/>
  <c r="AK33" i="3"/>
  <c r="AA33" i="3"/>
  <c r="M33" i="3"/>
  <c r="AL33" i="3"/>
  <c r="N33" i="3"/>
  <c r="AB33" i="3"/>
  <c r="AO33" i="3"/>
  <c r="S33" i="3"/>
  <c r="AR33" i="3"/>
  <c r="Q33" i="3"/>
  <c r="AC33" i="3"/>
  <c r="AQ33" i="3"/>
  <c r="AD33" i="3"/>
  <c r="A34" i="3"/>
  <c r="L36" i="3" l="1"/>
  <c r="I36" i="3"/>
  <c r="J36" i="3"/>
  <c r="K36" i="3"/>
  <c r="F37" i="3"/>
  <c r="G37" i="3"/>
  <c r="H37" i="3"/>
  <c r="C34" i="3"/>
  <c r="D34" i="3"/>
  <c r="B34" i="3"/>
  <c r="AW33" i="3"/>
  <c r="E38" i="3"/>
  <c r="BB37" i="3"/>
  <c r="BC37" i="3"/>
  <c r="BD37" i="3"/>
  <c r="BS37" i="3"/>
  <c r="AY37" i="3"/>
  <c r="BA37" i="3"/>
  <c r="BE37" i="3"/>
  <c r="BF37" i="3"/>
  <c r="BT37" i="3"/>
  <c r="AX37" i="3"/>
  <c r="AZ37" i="3"/>
  <c r="BP37" i="3"/>
  <c r="BQ37" i="3"/>
  <c r="BR37" i="3"/>
  <c r="BG37" i="3"/>
  <c r="BH37" i="3"/>
  <c r="BL37" i="3"/>
  <c r="BM37" i="3"/>
  <c r="BI37" i="3"/>
  <c r="BJ37" i="3"/>
  <c r="BK37" i="3"/>
  <c r="BN37" i="3"/>
  <c r="BO37" i="3"/>
  <c r="S34" i="3"/>
  <c r="AA34" i="3"/>
  <c r="AI34" i="3"/>
  <c r="AQ34" i="3"/>
  <c r="T34" i="3"/>
  <c r="AB34" i="3"/>
  <c r="AJ34" i="3"/>
  <c r="AR34" i="3"/>
  <c r="N34" i="3"/>
  <c r="V34" i="3"/>
  <c r="AD34" i="3"/>
  <c r="AL34" i="3"/>
  <c r="AT34" i="3"/>
  <c r="W34" i="3"/>
  <c r="AH34" i="3"/>
  <c r="AV34" i="3"/>
  <c r="X34" i="3"/>
  <c r="AK34" i="3"/>
  <c r="M34" i="3"/>
  <c r="Y34" i="3"/>
  <c r="AM34" i="3"/>
  <c r="O34" i="3"/>
  <c r="Z34" i="3"/>
  <c r="AN34" i="3"/>
  <c r="P34" i="3"/>
  <c r="AO34" i="3"/>
  <c r="AC34" i="3"/>
  <c r="Q34" i="3"/>
  <c r="AE34" i="3"/>
  <c r="AP34" i="3"/>
  <c r="AG34" i="3"/>
  <c r="R34" i="3"/>
  <c r="AF34" i="3"/>
  <c r="AS34" i="3"/>
  <c r="U34" i="3"/>
  <c r="AU34" i="3"/>
  <c r="A35" i="3"/>
  <c r="J37" i="3" l="1"/>
  <c r="L37" i="3"/>
  <c r="I37" i="3"/>
  <c r="K37" i="3"/>
  <c r="D35" i="3"/>
  <c r="C35" i="3"/>
  <c r="B35" i="3"/>
  <c r="H38" i="3"/>
  <c r="F38" i="3"/>
  <c r="G38" i="3"/>
  <c r="AW34" i="3"/>
  <c r="E39" i="3"/>
  <c r="AY38" i="3"/>
  <c r="BS38" i="3"/>
  <c r="BA38" i="3"/>
  <c r="AZ38" i="3"/>
  <c r="BT38" i="3"/>
  <c r="AX38" i="3"/>
  <c r="BB38" i="3"/>
  <c r="BC38" i="3"/>
  <c r="BD38" i="3"/>
  <c r="BE38" i="3"/>
  <c r="BF38" i="3"/>
  <c r="BG38" i="3"/>
  <c r="BH38" i="3"/>
  <c r="BK38" i="3"/>
  <c r="BL38" i="3"/>
  <c r="BN38" i="3"/>
  <c r="BO38" i="3"/>
  <c r="BI38" i="3"/>
  <c r="BJ38" i="3"/>
  <c r="BM38" i="3"/>
  <c r="BP38" i="3"/>
  <c r="BQ38" i="3"/>
  <c r="BR38" i="3"/>
  <c r="O35" i="3"/>
  <c r="W35" i="3"/>
  <c r="AE35" i="3"/>
  <c r="AM35" i="3"/>
  <c r="AU35" i="3"/>
  <c r="P35" i="3"/>
  <c r="X35" i="3"/>
  <c r="AF35" i="3"/>
  <c r="AN35" i="3"/>
  <c r="AV35" i="3"/>
  <c r="R35" i="3"/>
  <c r="Z35" i="3"/>
  <c r="AH35" i="3"/>
  <c r="AP35" i="3"/>
  <c r="Y35" i="3"/>
  <c r="AK35" i="3"/>
  <c r="M35" i="3"/>
  <c r="AA35" i="3"/>
  <c r="AL35" i="3"/>
  <c r="N35" i="3"/>
  <c r="AB35" i="3"/>
  <c r="AO35" i="3"/>
  <c r="Q35" i="3"/>
  <c r="AC35" i="3"/>
  <c r="AQ35" i="3"/>
  <c r="AD35" i="3"/>
  <c r="AR35" i="3"/>
  <c r="S35" i="3"/>
  <c r="T35" i="3"/>
  <c r="AG35" i="3"/>
  <c r="AS35" i="3"/>
  <c r="V35" i="3"/>
  <c r="U35" i="3"/>
  <c r="AI35" i="3"/>
  <c r="AT35" i="3"/>
  <c r="AJ35" i="3"/>
  <c r="A36" i="3"/>
  <c r="I38" i="3" l="1"/>
  <c r="J38" i="3"/>
  <c r="L38" i="3"/>
  <c r="K38" i="3"/>
  <c r="D36" i="3"/>
  <c r="C36" i="3"/>
  <c r="B36" i="3"/>
  <c r="G39" i="3"/>
  <c r="F39" i="3"/>
  <c r="H39" i="3"/>
  <c r="AW35" i="3"/>
  <c r="E40" i="3"/>
  <c r="BP39" i="3"/>
  <c r="BQ39" i="3"/>
  <c r="AX39" i="3"/>
  <c r="BR39" i="3"/>
  <c r="AY39" i="3"/>
  <c r="BD39" i="3"/>
  <c r="AZ39" i="3"/>
  <c r="BA39" i="3"/>
  <c r="BB39" i="3"/>
  <c r="BC39" i="3"/>
  <c r="BE39" i="3"/>
  <c r="BF39" i="3"/>
  <c r="BL39" i="3"/>
  <c r="BN39" i="3"/>
  <c r="BS39" i="3"/>
  <c r="BT39" i="3"/>
  <c r="BM39" i="3"/>
  <c r="BO39" i="3"/>
  <c r="BH39" i="3"/>
  <c r="BI39" i="3"/>
  <c r="BJ39" i="3"/>
  <c r="BK39" i="3"/>
  <c r="BG39" i="3"/>
  <c r="S36" i="3"/>
  <c r="AA36" i="3"/>
  <c r="AI36" i="3"/>
  <c r="AQ36" i="3"/>
  <c r="T36" i="3"/>
  <c r="AB36" i="3"/>
  <c r="AJ36" i="3"/>
  <c r="AR36" i="3"/>
  <c r="N36" i="3"/>
  <c r="V36" i="3"/>
  <c r="AD36" i="3"/>
  <c r="AL36" i="3"/>
  <c r="AT36" i="3"/>
  <c r="O36" i="3"/>
  <c r="Z36" i="3"/>
  <c r="AN36" i="3"/>
  <c r="P36" i="3"/>
  <c r="AC36" i="3"/>
  <c r="AO36" i="3"/>
  <c r="Q36" i="3"/>
  <c r="AE36" i="3"/>
  <c r="AP36" i="3"/>
  <c r="R36" i="3"/>
  <c r="AF36" i="3"/>
  <c r="AS36" i="3"/>
  <c r="U36" i="3"/>
  <c r="AU36" i="3"/>
  <c r="AG36" i="3"/>
  <c r="W36" i="3"/>
  <c r="AH36" i="3"/>
  <c r="AV36" i="3"/>
  <c r="M36" i="3"/>
  <c r="X36" i="3"/>
  <c r="AK36" i="3"/>
  <c r="Y36" i="3"/>
  <c r="AM36" i="3"/>
  <c r="A37" i="3"/>
  <c r="I39" i="3" l="1"/>
  <c r="L39" i="3"/>
  <c r="J39" i="3"/>
  <c r="K39" i="3"/>
  <c r="D37" i="3"/>
  <c r="C37" i="3"/>
  <c r="B37" i="3"/>
  <c r="G40" i="3"/>
  <c r="F40" i="3"/>
  <c r="H40" i="3"/>
  <c r="AW36" i="3"/>
  <c r="E41" i="3"/>
  <c r="BM40" i="3"/>
  <c r="BO40" i="3"/>
  <c r="BN40" i="3"/>
  <c r="AY40" i="3"/>
  <c r="AZ40" i="3"/>
  <c r="BB40" i="3"/>
  <c r="BA40" i="3"/>
  <c r="BC40" i="3"/>
  <c r="BD40" i="3"/>
  <c r="BE40" i="3"/>
  <c r="BF40" i="3"/>
  <c r="AX40" i="3"/>
  <c r="BH40" i="3"/>
  <c r="BI40" i="3"/>
  <c r="BG40" i="3"/>
  <c r="BJ40" i="3"/>
  <c r="BK40" i="3"/>
  <c r="BR40" i="3"/>
  <c r="BT40" i="3"/>
  <c r="BS40" i="3"/>
  <c r="BL40" i="3"/>
  <c r="BP40" i="3"/>
  <c r="BQ40" i="3"/>
  <c r="O37" i="3"/>
  <c r="W37" i="3"/>
  <c r="AE37" i="3"/>
  <c r="AM37" i="3"/>
  <c r="AU37" i="3"/>
  <c r="P37" i="3"/>
  <c r="X37" i="3"/>
  <c r="AF37" i="3"/>
  <c r="AN37" i="3"/>
  <c r="AV37" i="3"/>
  <c r="R37" i="3"/>
  <c r="Z37" i="3"/>
  <c r="AH37" i="3"/>
  <c r="AP37" i="3"/>
  <c r="Q37" i="3"/>
  <c r="AC37" i="3"/>
  <c r="AQ37" i="3"/>
  <c r="S37" i="3"/>
  <c r="AD37" i="3"/>
  <c r="AR37" i="3"/>
  <c r="T37" i="3"/>
  <c r="AG37" i="3"/>
  <c r="AS37" i="3"/>
  <c r="U37" i="3"/>
  <c r="AI37" i="3"/>
  <c r="AT37" i="3"/>
  <c r="AJ37" i="3"/>
  <c r="V37" i="3"/>
  <c r="Y37" i="3"/>
  <c r="AK37" i="3"/>
  <c r="N37" i="3"/>
  <c r="AO37" i="3"/>
  <c r="M37" i="3"/>
  <c r="AA37" i="3"/>
  <c r="AL37" i="3"/>
  <c r="AB37" i="3"/>
  <c r="A38" i="3"/>
  <c r="J40" i="3" l="1"/>
  <c r="K40" i="3"/>
  <c r="L40" i="3"/>
  <c r="I40" i="3"/>
  <c r="B38" i="3"/>
  <c r="D38" i="3"/>
  <c r="C38" i="3"/>
  <c r="F41" i="3"/>
  <c r="G41" i="3"/>
  <c r="H41" i="3"/>
  <c r="AW37" i="3"/>
  <c r="E42" i="3"/>
  <c r="BJ41" i="3"/>
  <c r="BK41" i="3"/>
  <c r="BL41" i="3"/>
  <c r="AY41" i="3"/>
  <c r="BA41" i="3"/>
  <c r="BB41" i="3"/>
  <c r="BE41" i="3"/>
  <c r="BF41" i="3"/>
  <c r="AZ41" i="3"/>
  <c r="BC41" i="3"/>
  <c r="BD41" i="3"/>
  <c r="BH41" i="3"/>
  <c r="BI41" i="3"/>
  <c r="BN41" i="3"/>
  <c r="BP41" i="3"/>
  <c r="BQ41" i="3"/>
  <c r="BR41" i="3"/>
  <c r="BM41" i="3"/>
  <c r="BO41" i="3"/>
  <c r="BS41" i="3"/>
  <c r="BT41" i="3"/>
  <c r="AX41" i="3"/>
  <c r="BG41" i="3"/>
  <c r="S38" i="3"/>
  <c r="AA38" i="3"/>
  <c r="AI38" i="3"/>
  <c r="AQ38" i="3"/>
  <c r="T38" i="3"/>
  <c r="AB38" i="3"/>
  <c r="AJ38" i="3"/>
  <c r="AR38" i="3"/>
  <c r="N38" i="3"/>
  <c r="V38" i="3"/>
  <c r="AD38" i="3"/>
  <c r="AL38" i="3"/>
  <c r="AT38" i="3"/>
  <c r="R38" i="3"/>
  <c r="AF38" i="3"/>
  <c r="AS38" i="3"/>
  <c r="U38" i="3"/>
  <c r="AG38" i="3"/>
  <c r="AU38" i="3"/>
  <c r="W38" i="3"/>
  <c r="AH38" i="3"/>
  <c r="AV38" i="3"/>
  <c r="X38" i="3"/>
  <c r="AK38" i="3"/>
  <c r="Y38" i="3"/>
  <c r="M38" i="3"/>
  <c r="AM38" i="3"/>
  <c r="O38" i="3"/>
  <c r="Z38" i="3"/>
  <c r="AN38" i="3"/>
  <c r="AE38" i="3"/>
  <c r="AP38" i="3"/>
  <c r="P38" i="3"/>
  <c r="AC38" i="3"/>
  <c r="AO38" i="3"/>
  <c r="Q38" i="3"/>
  <c r="A39" i="3"/>
  <c r="L41" i="3" l="1"/>
  <c r="J41" i="3"/>
  <c r="K41" i="3"/>
  <c r="I41" i="3"/>
  <c r="D39" i="3"/>
  <c r="B39" i="3"/>
  <c r="C39" i="3"/>
  <c r="F42" i="3"/>
  <c r="G42" i="3"/>
  <c r="H42" i="3"/>
  <c r="AW38" i="3"/>
  <c r="E43" i="3"/>
  <c r="BG42" i="3"/>
  <c r="BI42" i="3"/>
  <c r="BH42" i="3"/>
  <c r="AY42" i="3"/>
  <c r="BC42" i="3"/>
  <c r="BD42" i="3"/>
  <c r="AZ42" i="3"/>
  <c r="BA42" i="3"/>
  <c r="BB42" i="3"/>
  <c r="BE42" i="3"/>
  <c r="BF42" i="3"/>
  <c r="BS42" i="3"/>
  <c r="AX42" i="3"/>
  <c r="BJ42" i="3"/>
  <c r="BT42" i="3"/>
  <c r="BM42" i="3"/>
  <c r="BN42" i="3"/>
  <c r="BQ42" i="3"/>
  <c r="BK42" i="3"/>
  <c r="BL42" i="3"/>
  <c r="BO42" i="3"/>
  <c r="BP42" i="3"/>
  <c r="BR42" i="3"/>
  <c r="O39" i="3"/>
  <c r="W39" i="3"/>
  <c r="AE39" i="3"/>
  <c r="AM39" i="3"/>
  <c r="AU39" i="3"/>
  <c r="P39" i="3"/>
  <c r="X39" i="3"/>
  <c r="AF39" i="3"/>
  <c r="AN39" i="3"/>
  <c r="AV39" i="3"/>
  <c r="R39" i="3"/>
  <c r="Z39" i="3"/>
  <c r="AH39" i="3"/>
  <c r="AP39" i="3"/>
  <c r="U39" i="3"/>
  <c r="AI39" i="3"/>
  <c r="AT39" i="3"/>
  <c r="V39" i="3"/>
  <c r="AJ39" i="3"/>
  <c r="Y39" i="3"/>
  <c r="AK39" i="3"/>
  <c r="M39" i="3"/>
  <c r="AA39" i="3"/>
  <c r="AL39" i="3"/>
  <c r="N39" i="3"/>
  <c r="AO39" i="3"/>
  <c r="AB39" i="3"/>
  <c r="Q39" i="3"/>
  <c r="AC39" i="3"/>
  <c r="AQ39" i="3"/>
  <c r="AG39" i="3"/>
  <c r="S39" i="3"/>
  <c r="AD39" i="3"/>
  <c r="AR39" i="3"/>
  <c r="T39" i="3"/>
  <c r="AS39" i="3"/>
  <c r="A40" i="3"/>
  <c r="L42" i="3" l="1"/>
  <c r="K42" i="3"/>
  <c r="J42" i="3"/>
  <c r="I42" i="3"/>
  <c r="D40" i="3"/>
  <c r="B40" i="3"/>
  <c r="C40" i="3"/>
  <c r="H43" i="3"/>
  <c r="G43" i="3"/>
  <c r="F43" i="3"/>
  <c r="N40" i="3"/>
  <c r="V40" i="3"/>
  <c r="AD40" i="3"/>
  <c r="AL40" i="3"/>
  <c r="AT40" i="3"/>
  <c r="P40" i="3"/>
  <c r="X40" i="3"/>
  <c r="AF40" i="3"/>
  <c r="AN40" i="3"/>
  <c r="AV40" i="3"/>
  <c r="Q40" i="3"/>
  <c r="Y40" i="3"/>
  <c r="AG40" i="3"/>
  <c r="AO40" i="3"/>
  <c r="Z40" i="3"/>
  <c r="AK40" i="3"/>
  <c r="M40" i="3"/>
  <c r="AA40" i="3"/>
  <c r="AM40" i="3"/>
  <c r="R40" i="3"/>
  <c r="AC40" i="3"/>
  <c r="AQ40" i="3"/>
  <c r="U40" i="3"/>
  <c r="AR40" i="3"/>
  <c r="AB40" i="3"/>
  <c r="W40" i="3"/>
  <c r="AS40" i="3"/>
  <c r="AU40" i="3"/>
  <c r="O40" i="3"/>
  <c r="AE40" i="3"/>
  <c r="AH40" i="3"/>
  <c r="AI40" i="3"/>
  <c r="AJ40" i="3"/>
  <c r="S40" i="3"/>
  <c r="T40" i="3"/>
  <c r="AP40" i="3"/>
  <c r="AW39" i="3"/>
  <c r="E44" i="3"/>
  <c r="BD43" i="3"/>
  <c r="BF43" i="3"/>
  <c r="BE43" i="3"/>
  <c r="AY43" i="3"/>
  <c r="AZ43" i="3"/>
  <c r="BB43" i="3"/>
  <c r="BA43" i="3"/>
  <c r="BC43" i="3"/>
  <c r="BG43" i="3"/>
  <c r="BH43" i="3"/>
  <c r="BI43" i="3"/>
  <c r="AX43" i="3"/>
  <c r="BK43" i="3"/>
  <c r="BL43" i="3"/>
  <c r="BO43" i="3"/>
  <c r="BP43" i="3"/>
  <c r="BJ43" i="3"/>
  <c r="BM43" i="3"/>
  <c r="BN43" i="3"/>
  <c r="BQ43" i="3"/>
  <c r="BR43" i="3"/>
  <c r="BS43" i="3"/>
  <c r="BT43" i="3"/>
  <c r="A41" i="3"/>
  <c r="I43" i="3" l="1"/>
  <c r="L43" i="3"/>
  <c r="K43" i="3"/>
  <c r="J43" i="3"/>
  <c r="B41" i="3"/>
  <c r="D41" i="3"/>
  <c r="C41" i="3"/>
  <c r="F44" i="3"/>
  <c r="H44" i="3"/>
  <c r="G44" i="3"/>
  <c r="R41" i="3"/>
  <c r="Z41" i="3"/>
  <c r="AH41" i="3"/>
  <c r="AP41" i="3"/>
  <c r="T41" i="3"/>
  <c r="AB41" i="3"/>
  <c r="AJ41" i="3"/>
  <c r="AR41" i="3"/>
  <c r="M41" i="3"/>
  <c r="U41" i="3"/>
  <c r="AC41" i="3"/>
  <c r="AK41" i="3"/>
  <c r="O41" i="3"/>
  <c r="AA41" i="3"/>
  <c r="AN41" i="3"/>
  <c r="P41" i="3"/>
  <c r="AD41" i="3"/>
  <c r="AO41" i="3"/>
  <c r="S41" i="3"/>
  <c r="AF41" i="3"/>
  <c r="AS41" i="3"/>
  <c r="Y41" i="3"/>
  <c r="AU41" i="3"/>
  <c r="AG41" i="3"/>
  <c r="V41" i="3"/>
  <c r="AE41" i="3"/>
  <c r="AV41" i="3"/>
  <c r="AM41" i="3"/>
  <c r="N41" i="3"/>
  <c r="AI41" i="3"/>
  <c r="Q41" i="3"/>
  <c r="AL41" i="3"/>
  <c r="X41" i="3"/>
  <c r="AQ41" i="3"/>
  <c r="AT41" i="3"/>
  <c r="W41" i="3"/>
  <c r="AW40" i="3"/>
  <c r="E45" i="3"/>
  <c r="BA44" i="3"/>
  <c r="BB44" i="3"/>
  <c r="BC44" i="3"/>
  <c r="AY44" i="3"/>
  <c r="BD44" i="3"/>
  <c r="BI44" i="3"/>
  <c r="AZ44" i="3"/>
  <c r="BE44" i="3"/>
  <c r="BF44" i="3"/>
  <c r="BG44" i="3"/>
  <c r="BH44" i="3"/>
  <c r="BO44" i="3"/>
  <c r="BP44" i="3"/>
  <c r="BR44" i="3"/>
  <c r="BS44" i="3"/>
  <c r="BQ44" i="3"/>
  <c r="BT44" i="3"/>
  <c r="BN44" i="3"/>
  <c r="BK44" i="3"/>
  <c r="BL44" i="3"/>
  <c r="BM44" i="3"/>
  <c r="AX44" i="3"/>
  <c r="BJ44" i="3"/>
  <c r="A42" i="3"/>
  <c r="K44" i="3" l="1"/>
  <c r="I44" i="3"/>
  <c r="J44" i="3"/>
  <c r="L44" i="3"/>
  <c r="G45" i="3"/>
  <c r="F45" i="3"/>
  <c r="H45" i="3"/>
  <c r="B42" i="3"/>
  <c r="C42" i="3"/>
  <c r="D42" i="3"/>
  <c r="N42" i="3"/>
  <c r="V42" i="3"/>
  <c r="AD42" i="3"/>
  <c r="AL42" i="3"/>
  <c r="O42" i="3"/>
  <c r="X42" i="3"/>
  <c r="AG42" i="3"/>
  <c r="AP42" i="3"/>
  <c r="P42" i="3"/>
  <c r="Y42" i="3"/>
  <c r="AH42" i="3"/>
  <c r="AQ42" i="3"/>
  <c r="R42" i="3"/>
  <c r="AA42" i="3"/>
  <c r="AJ42" i="3"/>
  <c r="AS42" i="3"/>
  <c r="Z42" i="3"/>
  <c r="AN42" i="3"/>
  <c r="AC42" i="3"/>
  <c r="AI42" i="3"/>
  <c r="AB42" i="3"/>
  <c r="AO42" i="3"/>
  <c r="M42" i="3"/>
  <c r="AR42" i="3"/>
  <c r="AV42" i="3"/>
  <c r="Q42" i="3"/>
  <c r="AE42" i="3"/>
  <c r="AT42" i="3"/>
  <c r="S42" i="3"/>
  <c r="AF42" i="3"/>
  <c r="AU42" i="3"/>
  <c r="T42" i="3"/>
  <c r="AK42" i="3"/>
  <c r="AM42" i="3"/>
  <c r="W42" i="3"/>
  <c r="U42" i="3"/>
  <c r="AW41" i="3"/>
  <c r="E46" i="3"/>
  <c r="AX45" i="3"/>
  <c r="BR45" i="3"/>
  <c r="AZ45" i="3"/>
  <c r="BT45" i="3"/>
  <c r="AY45" i="3"/>
  <c r="BS45" i="3"/>
  <c r="BB45" i="3"/>
  <c r="BC45" i="3"/>
  <c r="BE45" i="3"/>
  <c r="BG45" i="3"/>
  <c r="BH45" i="3"/>
  <c r="BD45" i="3"/>
  <c r="BF45" i="3"/>
  <c r="BI45" i="3"/>
  <c r="BA45" i="3"/>
  <c r="BJ45" i="3"/>
  <c r="BK45" i="3"/>
  <c r="BL45" i="3"/>
  <c r="BM45" i="3"/>
  <c r="BN45" i="3"/>
  <c r="BO45" i="3"/>
  <c r="BP45" i="3"/>
  <c r="BQ45" i="3"/>
  <c r="A43" i="3"/>
  <c r="J45" i="3" l="1"/>
  <c r="I45" i="3"/>
  <c r="L45" i="3"/>
  <c r="K45" i="3"/>
  <c r="B43" i="3"/>
  <c r="C43" i="3"/>
  <c r="D43" i="3"/>
  <c r="G46" i="3"/>
  <c r="H46" i="3"/>
  <c r="F46" i="3"/>
  <c r="N43" i="3"/>
  <c r="V43" i="3"/>
  <c r="AD43" i="3"/>
  <c r="AL43" i="3"/>
  <c r="AT43" i="3"/>
  <c r="O43" i="3"/>
  <c r="W43" i="3"/>
  <c r="AE43" i="3"/>
  <c r="AM43" i="3"/>
  <c r="AU43" i="3"/>
  <c r="Q43" i="3"/>
  <c r="Y43" i="3"/>
  <c r="AG43" i="3"/>
  <c r="AO43" i="3"/>
  <c r="R43" i="3"/>
  <c r="AC43" i="3"/>
  <c r="AQ43" i="3"/>
  <c r="T43" i="3"/>
  <c r="AS43" i="3"/>
  <c r="S43" i="3"/>
  <c r="AF43" i="3"/>
  <c r="AR43" i="3"/>
  <c r="AH43" i="3"/>
  <c r="AK43" i="3"/>
  <c r="U43" i="3"/>
  <c r="AI43" i="3"/>
  <c r="AV43" i="3"/>
  <c r="X43" i="3"/>
  <c r="AJ43" i="3"/>
  <c r="Z43" i="3"/>
  <c r="P43" i="3"/>
  <c r="AA43" i="3"/>
  <c r="AB43" i="3"/>
  <c r="M43" i="3"/>
  <c r="AN43" i="3"/>
  <c r="AP43" i="3"/>
  <c r="AW42" i="3"/>
  <c r="E47" i="3"/>
  <c r="BO46" i="3"/>
  <c r="BP46" i="3"/>
  <c r="BQ46" i="3"/>
  <c r="BB46" i="3"/>
  <c r="BF46" i="3"/>
  <c r="BC46" i="3"/>
  <c r="BD46" i="3"/>
  <c r="BE46" i="3"/>
  <c r="BG46" i="3"/>
  <c r="BH46" i="3"/>
  <c r="BI46" i="3"/>
  <c r="BK46" i="3"/>
  <c r="BM46" i="3"/>
  <c r="BS46" i="3"/>
  <c r="BT46" i="3"/>
  <c r="BL46" i="3"/>
  <c r="BN46" i="3"/>
  <c r="BR46" i="3"/>
  <c r="AY46" i="3"/>
  <c r="AZ46" i="3"/>
  <c r="BJ46" i="3"/>
  <c r="AX46" i="3"/>
  <c r="BA46" i="3"/>
  <c r="A44" i="3"/>
  <c r="L46" i="3" l="1"/>
  <c r="J46" i="3"/>
  <c r="K46" i="3"/>
  <c r="I46" i="3"/>
  <c r="B44" i="3"/>
  <c r="D44" i="3"/>
  <c r="C44" i="3"/>
  <c r="AW43" i="3"/>
  <c r="F47" i="3"/>
  <c r="G47" i="3"/>
  <c r="H47" i="3"/>
  <c r="R44" i="3"/>
  <c r="Z44" i="3"/>
  <c r="AH44" i="3"/>
  <c r="AP44" i="3"/>
  <c r="S44" i="3"/>
  <c r="AA44" i="3"/>
  <c r="AI44" i="3"/>
  <c r="AQ44" i="3"/>
  <c r="M44" i="3"/>
  <c r="U44" i="3"/>
  <c r="AC44" i="3"/>
  <c r="AK44" i="3"/>
  <c r="AS44" i="3"/>
  <c r="T44" i="3"/>
  <c r="AF44" i="3"/>
  <c r="AT44" i="3"/>
  <c r="AV44" i="3"/>
  <c r="AB44" i="3"/>
  <c r="V44" i="3"/>
  <c r="AG44" i="3"/>
  <c r="AU44" i="3"/>
  <c r="W44" i="3"/>
  <c r="AJ44" i="3"/>
  <c r="AN44" i="3"/>
  <c r="X44" i="3"/>
  <c r="AL44" i="3"/>
  <c r="N44" i="3"/>
  <c r="Y44" i="3"/>
  <c r="AM44" i="3"/>
  <c r="O44" i="3"/>
  <c r="AE44" i="3"/>
  <c r="AO44" i="3"/>
  <c r="AR44" i="3"/>
  <c r="Q44" i="3"/>
  <c r="P44" i="3"/>
  <c r="AD44" i="3"/>
  <c r="BA47" i="3"/>
  <c r="BI47" i="3"/>
  <c r="BQ47" i="3"/>
  <c r="BB47" i="3"/>
  <c r="BJ47" i="3"/>
  <c r="BR47" i="3"/>
  <c r="BC47" i="3"/>
  <c r="BK47" i="3"/>
  <c r="BS47" i="3"/>
  <c r="BD47" i="3"/>
  <c r="BL47" i="3"/>
  <c r="BT47" i="3"/>
  <c r="BE47" i="3"/>
  <c r="BM47" i="3"/>
  <c r="AX47" i="3"/>
  <c r="BF47" i="3"/>
  <c r="BN47" i="3"/>
  <c r="BO47" i="3"/>
  <c r="BP47" i="3"/>
  <c r="AY47" i="3"/>
  <c r="BH47" i="3"/>
  <c r="AZ47" i="3"/>
  <c r="BG47" i="3"/>
  <c r="E48" i="3"/>
  <c r="A45" i="3"/>
  <c r="L47" i="3" l="1"/>
  <c r="J47" i="3"/>
  <c r="K47" i="3"/>
  <c r="I47" i="3"/>
  <c r="C45" i="3"/>
  <c r="B45" i="3"/>
  <c r="D45" i="3"/>
  <c r="E49" i="3"/>
  <c r="H48" i="3"/>
  <c r="F48" i="3"/>
  <c r="G48" i="3"/>
  <c r="AW44" i="3"/>
  <c r="N45" i="3"/>
  <c r="V45" i="3"/>
  <c r="AD45" i="3"/>
  <c r="AL45" i="3"/>
  <c r="AT45" i="3"/>
  <c r="O45" i="3"/>
  <c r="W45" i="3"/>
  <c r="AE45" i="3"/>
  <c r="AM45" i="3"/>
  <c r="AU45" i="3"/>
  <c r="Q45" i="3"/>
  <c r="Y45" i="3"/>
  <c r="AG45" i="3"/>
  <c r="AO45" i="3"/>
  <c r="U45" i="3"/>
  <c r="AI45" i="3"/>
  <c r="AV45" i="3"/>
  <c r="AK45" i="3"/>
  <c r="R45" i="3"/>
  <c r="X45" i="3"/>
  <c r="AJ45" i="3"/>
  <c r="Z45" i="3"/>
  <c r="AB45" i="3"/>
  <c r="AQ45" i="3"/>
  <c r="M45" i="3"/>
  <c r="AA45" i="3"/>
  <c r="AN45" i="3"/>
  <c r="P45" i="3"/>
  <c r="AP45" i="3"/>
  <c r="AC45" i="3"/>
  <c r="AS45" i="3"/>
  <c r="T45" i="3"/>
  <c r="AF45" i="3"/>
  <c r="AR45" i="3"/>
  <c r="S45" i="3"/>
  <c r="AH45" i="3"/>
  <c r="BB48" i="3"/>
  <c r="BJ48" i="3"/>
  <c r="BR48" i="3"/>
  <c r="BC48" i="3"/>
  <c r="BK48" i="3"/>
  <c r="BS48" i="3"/>
  <c r="BD48" i="3"/>
  <c r="BL48" i="3"/>
  <c r="BT48" i="3"/>
  <c r="BE48" i="3"/>
  <c r="BM48" i="3"/>
  <c r="AX48" i="3"/>
  <c r="BF48" i="3"/>
  <c r="BN48" i="3"/>
  <c r="AY48" i="3"/>
  <c r="BG48" i="3"/>
  <c r="BO48" i="3"/>
  <c r="BQ48" i="3"/>
  <c r="AZ48" i="3"/>
  <c r="BA48" i="3"/>
  <c r="BH48" i="3"/>
  <c r="BI48" i="3"/>
  <c r="BP48" i="3"/>
  <c r="A46" i="3"/>
  <c r="I48" i="3" l="1"/>
  <c r="J48" i="3"/>
  <c r="L48" i="3"/>
  <c r="K48" i="3"/>
  <c r="C46" i="3"/>
  <c r="B46" i="3"/>
  <c r="D46" i="3"/>
  <c r="G49" i="3"/>
  <c r="H49" i="3"/>
  <c r="F49" i="3"/>
  <c r="E50" i="3"/>
  <c r="AW45" i="3"/>
  <c r="R46" i="3"/>
  <c r="Z46" i="3"/>
  <c r="AH46" i="3"/>
  <c r="AP46" i="3"/>
  <c r="S46" i="3"/>
  <c r="AA46" i="3"/>
  <c r="AI46" i="3"/>
  <c r="AQ46" i="3"/>
  <c r="M46" i="3"/>
  <c r="U46" i="3"/>
  <c r="AC46" i="3"/>
  <c r="AK46" i="3"/>
  <c r="AS46" i="3"/>
  <c r="X46" i="3"/>
  <c r="AL46" i="3"/>
  <c r="AB46" i="3"/>
  <c r="Q46" i="3"/>
  <c r="T46" i="3"/>
  <c r="N46" i="3"/>
  <c r="Y46" i="3"/>
  <c r="AM46" i="3"/>
  <c r="O46" i="3"/>
  <c r="AN46" i="3"/>
  <c r="AE46" i="3"/>
  <c r="AT46" i="3"/>
  <c r="P46" i="3"/>
  <c r="AD46" i="3"/>
  <c r="AO46" i="3"/>
  <c r="AR46" i="3"/>
  <c r="AF46" i="3"/>
  <c r="V46" i="3"/>
  <c r="W46" i="3"/>
  <c r="AV46" i="3"/>
  <c r="AJ46" i="3"/>
  <c r="AU46" i="3"/>
  <c r="AG46" i="3"/>
  <c r="BC49" i="3"/>
  <c r="BK49" i="3"/>
  <c r="BS49" i="3"/>
  <c r="BD49" i="3"/>
  <c r="BL49" i="3"/>
  <c r="BT49" i="3"/>
  <c r="BE49" i="3"/>
  <c r="BM49" i="3"/>
  <c r="AX49" i="3"/>
  <c r="BF49" i="3"/>
  <c r="BN49" i="3"/>
  <c r="AY49" i="3"/>
  <c r="BG49" i="3"/>
  <c r="BO49" i="3"/>
  <c r="AZ49" i="3"/>
  <c r="BH49" i="3"/>
  <c r="BP49" i="3"/>
  <c r="BA49" i="3"/>
  <c r="BJ49" i="3"/>
  <c r="BQ49" i="3"/>
  <c r="BB49" i="3"/>
  <c r="BI49" i="3"/>
  <c r="BR49" i="3"/>
  <c r="A47" i="3"/>
  <c r="I49" i="3" l="1"/>
  <c r="K49" i="3"/>
  <c r="L49" i="3"/>
  <c r="J49" i="3"/>
  <c r="E51" i="3"/>
  <c r="B47" i="3"/>
  <c r="C47" i="3"/>
  <c r="D47" i="3"/>
  <c r="AW46" i="3"/>
  <c r="N47" i="3"/>
  <c r="V47" i="3"/>
  <c r="AD47" i="3"/>
  <c r="AL47" i="3"/>
  <c r="AT47" i="3"/>
  <c r="O47" i="3"/>
  <c r="W47" i="3"/>
  <c r="AE47" i="3"/>
  <c r="AM47" i="3"/>
  <c r="AU47" i="3"/>
  <c r="Q47" i="3"/>
  <c r="Y47" i="3"/>
  <c r="AG47" i="3"/>
  <c r="AO47" i="3"/>
  <c r="M47" i="3"/>
  <c r="AA47" i="3"/>
  <c r="AN47" i="3"/>
  <c r="R47" i="3"/>
  <c r="AQ47" i="3"/>
  <c r="T47" i="3"/>
  <c r="U47" i="3"/>
  <c r="P47" i="3"/>
  <c r="AB47" i="3"/>
  <c r="AP47" i="3"/>
  <c r="AC47" i="3"/>
  <c r="AH47" i="3"/>
  <c r="AV47" i="3"/>
  <c r="S47" i="3"/>
  <c r="AF47" i="3"/>
  <c r="AR47" i="3"/>
  <c r="AS47" i="3"/>
  <c r="AI47" i="3"/>
  <c r="Z47" i="3"/>
  <c r="X47" i="3"/>
  <c r="AJ47" i="3"/>
  <c r="AK47" i="3"/>
  <c r="BD50" i="3"/>
  <c r="BL50" i="3"/>
  <c r="BT50" i="3"/>
  <c r="BE50" i="3"/>
  <c r="BM50" i="3"/>
  <c r="BF50" i="3"/>
  <c r="BN50" i="3"/>
  <c r="AY50" i="3"/>
  <c r="BG50" i="3"/>
  <c r="BO50" i="3"/>
  <c r="AZ50" i="3"/>
  <c r="BH50" i="3"/>
  <c r="BP50" i="3"/>
  <c r="BA50" i="3"/>
  <c r="BI50" i="3"/>
  <c r="BQ50" i="3"/>
  <c r="BJ50" i="3"/>
  <c r="BK50" i="3"/>
  <c r="BS50" i="3"/>
  <c r="BR50" i="3"/>
  <c r="BC50" i="3"/>
  <c r="BB50" i="3"/>
  <c r="A48" i="3"/>
  <c r="C48" i="3" l="1"/>
  <c r="B48" i="3"/>
  <c r="D48" i="3"/>
  <c r="E52" i="3"/>
  <c r="AW47" i="3"/>
  <c r="Q48" i="3"/>
  <c r="Y48" i="3"/>
  <c r="AG48" i="3"/>
  <c r="AO48" i="3"/>
  <c r="R48" i="3"/>
  <c r="Z48" i="3"/>
  <c r="AH48" i="3"/>
  <c r="AP48" i="3"/>
  <c r="T48" i="3"/>
  <c r="AB48" i="3"/>
  <c r="AJ48" i="3"/>
  <c r="AR48" i="3"/>
  <c r="O48" i="3"/>
  <c r="AC48" i="3"/>
  <c r="AN48" i="3"/>
  <c r="AE48" i="3"/>
  <c r="AI48" i="3"/>
  <c r="W48" i="3"/>
  <c r="P48" i="3"/>
  <c r="AD48" i="3"/>
  <c r="AQ48" i="3"/>
  <c r="S48" i="3"/>
  <c r="AS48" i="3"/>
  <c r="V48" i="3"/>
  <c r="AV48" i="3"/>
  <c r="U48" i="3"/>
  <c r="AF48" i="3"/>
  <c r="AT48" i="3"/>
  <c r="AU48" i="3"/>
  <c r="AK48" i="3"/>
  <c r="AM48" i="3"/>
  <c r="X48" i="3"/>
  <c r="M48" i="3"/>
  <c r="N48" i="3"/>
  <c r="AA48" i="3"/>
  <c r="AL48" i="3"/>
  <c r="BE51" i="3"/>
  <c r="BM51" i="3"/>
  <c r="BF51" i="3"/>
  <c r="BN51" i="3"/>
  <c r="AY51" i="3"/>
  <c r="BG51" i="3"/>
  <c r="BO51" i="3"/>
  <c r="AZ51" i="3"/>
  <c r="BH51" i="3"/>
  <c r="BP51" i="3"/>
  <c r="BA51" i="3"/>
  <c r="BI51" i="3"/>
  <c r="BQ51" i="3"/>
  <c r="BB51" i="3"/>
  <c r="BJ51" i="3"/>
  <c r="BR51" i="3"/>
  <c r="BS51" i="3"/>
  <c r="BL51" i="3"/>
  <c r="BT51" i="3"/>
  <c r="BC51" i="3"/>
  <c r="BD51" i="3"/>
  <c r="BK51" i="3"/>
  <c r="A49" i="3"/>
  <c r="C49" i="3" l="1"/>
  <c r="D49" i="3"/>
  <c r="B49" i="3"/>
  <c r="E53" i="3"/>
  <c r="AW48" i="3"/>
  <c r="M49" i="3"/>
  <c r="U49" i="3"/>
  <c r="AC49" i="3"/>
  <c r="AK49" i="3"/>
  <c r="AS49" i="3"/>
  <c r="N49" i="3"/>
  <c r="V49" i="3"/>
  <c r="AD49" i="3"/>
  <c r="AL49" i="3"/>
  <c r="AT49" i="3"/>
  <c r="P49" i="3"/>
  <c r="X49" i="3"/>
  <c r="AF49" i="3"/>
  <c r="AN49" i="3"/>
  <c r="AV49" i="3"/>
  <c r="R49" i="3"/>
  <c r="AE49" i="3"/>
  <c r="AQ49" i="3"/>
  <c r="T49" i="3"/>
  <c r="AU49" i="3"/>
  <c r="AJ49" i="3"/>
  <c r="Z49" i="3"/>
  <c r="S49" i="3"/>
  <c r="AG49" i="3"/>
  <c r="AR49" i="3"/>
  <c r="AH49" i="3"/>
  <c r="Y49" i="3"/>
  <c r="W49" i="3"/>
  <c r="AI49" i="3"/>
  <c r="O49" i="3"/>
  <c r="Q49" i="3"/>
  <c r="AB49" i="3"/>
  <c r="AO49" i="3"/>
  <c r="AP49" i="3"/>
  <c r="AA49" i="3"/>
  <c r="AM49" i="3"/>
  <c r="BF52" i="3"/>
  <c r="BN52" i="3"/>
  <c r="AY52" i="3"/>
  <c r="BG52" i="3"/>
  <c r="BO52" i="3"/>
  <c r="AZ52" i="3"/>
  <c r="BH52" i="3"/>
  <c r="BP52" i="3"/>
  <c r="BA52" i="3"/>
  <c r="BI52" i="3"/>
  <c r="BQ52" i="3"/>
  <c r="BB52" i="3"/>
  <c r="BJ52" i="3"/>
  <c r="BR52" i="3"/>
  <c r="BC52" i="3"/>
  <c r="BK52" i="3"/>
  <c r="BS52" i="3"/>
  <c r="BL52" i="3"/>
  <c r="BD52" i="3"/>
  <c r="BE52" i="3"/>
  <c r="BM52" i="3"/>
  <c r="BT52" i="3"/>
  <c r="A50" i="3"/>
  <c r="D50" i="3" l="1"/>
  <c r="C50" i="3"/>
  <c r="B50" i="3"/>
  <c r="E54" i="3"/>
  <c r="AW49" i="3"/>
  <c r="AY53" i="3"/>
  <c r="BG53" i="3"/>
  <c r="BO53" i="3"/>
  <c r="AZ53" i="3"/>
  <c r="BH53" i="3"/>
  <c r="BP53" i="3"/>
  <c r="BA53" i="3"/>
  <c r="BI53" i="3"/>
  <c r="BQ53" i="3"/>
  <c r="BB53" i="3"/>
  <c r="BJ53" i="3"/>
  <c r="BR53" i="3"/>
  <c r="BC53" i="3"/>
  <c r="BK53" i="3"/>
  <c r="BS53" i="3"/>
  <c r="BD53" i="3"/>
  <c r="BL53" i="3"/>
  <c r="BT53" i="3"/>
  <c r="BE53" i="3"/>
  <c r="BF53" i="3"/>
  <c r="BN53" i="3"/>
  <c r="BM53" i="3"/>
  <c r="A51" i="3"/>
  <c r="D51" i="3" l="1"/>
  <c r="B51" i="3"/>
  <c r="C51" i="3"/>
  <c r="E55" i="3"/>
  <c r="AW51" i="3"/>
  <c r="AW50" i="3"/>
  <c r="AZ54" i="3"/>
  <c r="BH54" i="3"/>
  <c r="BP54" i="3"/>
  <c r="BA54" i="3"/>
  <c r="BI54" i="3"/>
  <c r="BQ54" i="3"/>
  <c r="BB54" i="3"/>
  <c r="BJ54" i="3"/>
  <c r="BR54" i="3"/>
  <c r="BC54" i="3"/>
  <c r="BK54" i="3"/>
  <c r="BS54" i="3"/>
  <c r="BD54" i="3"/>
  <c r="BL54" i="3"/>
  <c r="BT54" i="3"/>
  <c r="BE54" i="3"/>
  <c r="BM54" i="3"/>
  <c r="BN54" i="3"/>
  <c r="BO54" i="3"/>
  <c r="BG54" i="3"/>
  <c r="AY54" i="3"/>
  <c r="BF54" i="3"/>
  <c r="A52" i="3"/>
  <c r="B52" i="3" l="1"/>
  <c r="D52" i="3"/>
  <c r="C52" i="3"/>
  <c r="E56" i="3"/>
  <c r="BA55" i="3"/>
  <c r="BB55" i="3"/>
  <c r="BJ55" i="3"/>
  <c r="BR55" i="3"/>
  <c r="BC55" i="3"/>
  <c r="BK55" i="3"/>
  <c r="BS55" i="3"/>
  <c r="BD55" i="3"/>
  <c r="BL55" i="3"/>
  <c r="BT55" i="3"/>
  <c r="BE55" i="3"/>
  <c r="BM55" i="3"/>
  <c r="BF55" i="3"/>
  <c r="BN55" i="3"/>
  <c r="BP55" i="3"/>
  <c r="AZ55" i="3"/>
  <c r="BQ55" i="3"/>
  <c r="BG55" i="3"/>
  <c r="AY55" i="3"/>
  <c r="BH55" i="3"/>
  <c r="BI55" i="3"/>
  <c r="BO55" i="3"/>
  <c r="A53" i="3"/>
  <c r="E57" i="3" l="1"/>
  <c r="B53" i="3"/>
  <c r="C53" i="3"/>
  <c r="D53" i="3"/>
  <c r="AW52" i="3"/>
  <c r="BC56" i="3"/>
  <c r="BK56" i="3"/>
  <c r="BS56" i="3"/>
  <c r="BD56" i="3"/>
  <c r="BL56" i="3"/>
  <c r="BT56" i="3"/>
  <c r="BE56" i="3"/>
  <c r="BM56" i="3"/>
  <c r="BF56" i="3"/>
  <c r="BN56" i="3"/>
  <c r="AY56" i="3"/>
  <c r="BG56" i="3"/>
  <c r="BO56" i="3"/>
  <c r="BP56" i="3"/>
  <c r="BB56" i="3"/>
  <c r="BJ56" i="3"/>
  <c r="BQ56" i="3"/>
  <c r="AZ56" i="3"/>
  <c r="BR56" i="3"/>
  <c r="BA56" i="3"/>
  <c r="BH56" i="3"/>
  <c r="BI56" i="3"/>
  <c r="A54" i="3"/>
  <c r="B54" i="3" l="1"/>
  <c r="C54" i="3"/>
  <c r="D54" i="3"/>
  <c r="E58" i="3"/>
  <c r="AW53" i="3"/>
  <c r="BD57" i="3"/>
  <c r="BL57" i="3"/>
  <c r="BT57" i="3"/>
  <c r="BE57" i="3"/>
  <c r="BM57" i="3"/>
  <c r="BF57" i="3"/>
  <c r="BN57" i="3"/>
  <c r="AY57" i="3"/>
  <c r="BG57" i="3"/>
  <c r="BO57" i="3"/>
  <c r="AZ57" i="3"/>
  <c r="BH57" i="3"/>
  <c r="BP57" i="3"/>
  <c r="BK57" i="3"/>
  <c r="BA57" i="3"/>
  <c r="BQ57" i="3"/>
  <c r="BS57" i="3"/>
  <c r="BR57" i="3"/>
  <c r="BB57" i="3"/>
  <c r="BC57" i="3"/>
  <c r="BI57" i="3"/>
  <c r="BJ57" i="3"/>
  <c r="A55" i="3"/>
  <c r="D55" i="3" l="1"/>
  <c r="B55" i="3"/>
  <c r="C55" i="3"/>
  <c r="E59" i="3"/>
  <c r="AW54" i="3"/>
  <c r="BE58" i="3"/>
  <c r="BM58" i="3"/>
  <c r="BF58" i="3"/>
  <c r="BN58" i="3"/>
  <c r="AY58" i="3"/>
  <c r="BG58" i="3"/>
  <c r="BO58" i="3"/>
  <c r="AZ58" i="3"/>
  <c r="BH58" i="3"/>
  <c r="BP58" i="3"/>
  <c r="BA58" i="3"/>
  <c r="BI58" i="3"/>
  <c r="BQ58" i="3"/>
  <c r="BK58" i="3"/>
  <c r="BT58" i="3"/>
  <c r="BL58" i="3"/>
  <c r="BB58" i="3"/>
  <c r="BR58" i="3"/>
  <c r="BS58" i="3"/>
  <c r="BJ58" i="3"/>
  <c r="BC58" i="3"/>
  <c r="BD58" i="3"/>
  <c r="A56" i="3"/>
  <c r="B56" i="3" l="1"/>
  <c r="C56" i="3"/>
  <c r="D56" i="3"/>
  <c r="E60" i="3"/>
  <c r="AW55" i="3"/>
  <c r="BF59" i="3"/>
  <c r="BN59" i="3"/>
  <c r="AY59" i="3"/>
  <c r="BG59" i="3"/>
  <c r="BO59" i="3"/>
  <c r="AZ59" i="3"/>
  <c r="BH59" i="3"/>
  <c r="BP59" i="3"/>
  <c r="BA59" i="3"/>
  <c r="BI59" i="3"/>
  <c r="BQ59" i="3"/>
  <c r="BB59" i="3"/>
  <c r="BJ59" i="3"/>
  <c r="BR59" i="3"/>
  <c r="BK59" i="3"/>
  <c r="BS59" i="3"/>
  <c r="BL59" i="3"/>
  <c r="BE59" i="3"/>
  <c r="BM59" i="3"/>
  <c r="BT59" i="3"/>
  <c r="BC59" i="3"/>
  <c r="BD59" i="3"/>
  <c r="A57" i="3"/>
  <c r="C57" i="3" l="1"/>
  <c r="B57" i="3"/>
  <c r="D57" i="3"/>
  <c r="E61" i="3"/>
  <c r="AW56" i="3"/>
  <c r="AY60" i="3"/>
  <c r="BG60" i="3"/>
  <c r="BO60" i="3"/>
  <c r="AZ60" i="3"/>
  <c r="BH60" i="3"/>
  <c r="BP60" i="3"/>
  <c r="BA60" i="3"/>
  <c r="BI60" i="3"/>
  <c r="BQ60" i="3"/>
  <c r="BB60" i="3"/>
  <c r="BJ60" i="3"/>
  <c r="BR60" i="3"/>
  <c r="BC60" i="3"/>
  <c r="BK60" i="3"/>
  <c r="BS60" i="3"/>
  <c r="BF60" i="3"/>
  <c r="BL60" i="3"/>
  <c r="BN60" i="3"/>
  <c r="BT60" i="3"/>
  <c r="BM60" i="3"/>
  <c r="BD60" i="3"/>
  <c r="BE60" i="3"/>
  <c r="A58" i="3"/>
  <c r="D58" i="3" l="1"/>
  <c r="C58" i="3"/>
  <c r="B58" i="3"/>
  <c r="E62" i="3"/>
  <c r="AW57" i="3"/>
  <c r="AZ61" i="3"/>
  <c r="BH61" i="3"/>
  <c r="BP61" i="3"/>
  <c r="BA61" i="3"/>
  <c r="BI61" i="3"/>
  <c r="BQ61" i="3"/>
  <c r="BB61" i="3"/>
  <c r="BJ61" i="3"/>
  <c r="BR61" i="3"/>
  <c r="BC61" i="3"/>
  <c r="BK61" i="3"/>
  <c r="BS61" i="3"/>
  <c r="BD61" i="3"/>
  <c r="BL61" i="3"/>
  <c r="BT61" i="3"/>
  <c r="BF61" i="3"/>
  <c r="BO61" i="3"/>
  <c r="BE61" i="3"/>
  <c r="BG61" i="3"/>
  <c r="BM61" i="3"/>
  <c r="BN61" i="3"/>
  <c r="AY61" i="3"/>
  <c r="A59" i="3"/>
  <c r="E63" i="3" l="1"/>
  <c r="D59" i="3"/>
  <c r="B59" i="3"/>
  <c r="C59" i="3"/>
  <c r="AW58" i="3"/>
  <c r="AW59" i="3"/>
  <c r="BA62" i="3"/>
  <c r="BI62" i="3"/>
  <c r="BQ62" i="3"/>
  <c r="BB62" i="3"/>
  <c r="BJ62" i="3"/>
  <c r="BR62" i="3"/>
  <c r="BC62" i="3"/>
  <c r="BK62" i="3"/>
  <c r="BS62" i="3"/>
  <c r="BD62" i="3"/>
  <c r="BL62" i="3"/>
  <c r="BT62" i="3"/>
  <c r="BE62" i="3"/>
  <c r="BM62" i="3"/>
  <c r="BF62" i="3"/>
  <c r="BN62" i="3"/>
  <c r="BG62" i="3"/>
  <c r="BH62" i="3"/>
  <c r="BO62" i="3"/>
  <c r="AZ62" i="3"/>
  <c r="BP62" i="3"/>
  <c r="AY62" i="3"/>
  <c r="A60" i="3"/>
  <c r="B60" i="3" l="1"/>
  <c r="C60" i="3"/>
  <c r="D60" i="3"/>
  <c r="E64" i="3"/>
  <c r="BB63" i="3"/>
  <c r="BJ63" i="3"/>
  <c r="BR63" i="3"/>
  <c r="BC63" i="3"/>
  <c r="BK63" i="3"/>
  <c r="BS63" i="3"/>
  <c r="BD63" i="3"/>
  <c r="BL63" i="3"/>
  <c r="BT63" i="3"/>
  <c r="BE63" i="3"/>
  <c r="BM63" i="3"/>
  <c r="BF63" i="3"/>
  <c r="BN63" i="3"/>
  <c r="BA63" i="3"/>
  <c r="BG63" i="3"/>
  <c r="BI63" i="3"/>
  <c r="BO63" i="3"/>
  <c r="BH63" i="3"/>
  <c r="BP63" i="3"/>
  <c r="BQ63" i="3"/>
  <c r="AY63" i="3"/>
  <c r="AZ63" i="3"/>
  <c r="A61" i="3"/>
  <c r="B61" i="3" l="1"/>
  <c r="C61" i="3"/>
  <c r="D61" i="3"/>
  <c r="E65" i="3"/>
  <c r="BC64" i="3"/>
  <c r="BK64" i="3"/>
  <c r="BS64" i="3"/>
  <c r="BD64" i="3"/>
  <c r="BL64" i="3"/>
  <c r="BT64" i="3"/>
  <c r="BE64" i="3"/>
  <c r="BM64" i="3"/>
  <c r="BF64" i="3"/>
  <c r="BN64" i="3"/>
  <c r="AY64" i="3"/>
  <c r="BG64" i="3"/>
  <c r="BO64" i="3"/>
  <c r="BA64" i="3"/>
  <c r="BJ64" i="3"/>
  <c r="BB64" i="3"/>
  <c r="AZ64" i="3"/>
  <c r="BH64" i="3"/>
  <c r="BI64" i="3"/>
  <c r="BP64" i="3"/>
  <c r="BR64" i="3"/>
  <c r="BQ64" i="3"/>
  <c r="AW60" i="3"/>
  <c r="A62" i="3"/>
  <c r="C62" i="3" l="1"/>
  <c r="D62" i="3"/>
  <c r="B62" i="3"/>
  <c r="E66" i="3"/>
  <c r="BD65" i="3"/>
  <c r="BL65" i="3"/>
  <c r="BT65" i="3"/>
  <c r="BE65" i="3"/>
  <c r="BM65" i="3"/>
  <c r="BF65" i="3"/>
  <c r="BN65" i="3"/>
  <c r="AY65" i="3"/>
  <c r="BG65" i="3"/>
  <c r="BO65" i="3"/>
  <c r="AZ65" i="3"/>
  <c r="BH65" i="3"/>
  <c r="BP65" i="3"/>
  <c r="BA65" i="3"/>
  <c r="BS65" i="3"/>
  <c r="BI65" i="3"/>
  <c r="BR65" i="3"/>
  <c r="BB65" i="3"/>
  <c r="BC65" i="3"/>
  <c r="BJ65" i="3"/>
  <c r="BK65" i="3"/>
  <c r="BQ65" i="3"/>
  <c r="AW61" i="3"/>
  <c r="A63" i="3"/>
  <c r="B63" i="3" l="1"/>
  <c r="C63" i="3"/>
  <c r="D63" i="3"/>
  <c r="E67" i="3"/>
  <c r="BE66" i="3"/>
  <c r="BM66" i="3"/>
  <c r="BF66" i="3"/>
  <c r="BN66" i="3"/>
  <c r="AY66" i="3"/>
  <c r="BG66" i="3"/>
  <c r="BO66" i="3"/>
  <c r="AZ66" i="3"/>
  <c r="BH66" i="3"/>
  <c r="BP66" i="3"/>
  <c r="BA66" i="3"/>
  <c r="BI66" i="3"/>
  <c r="BQ66" i="3"/>
  <c r="BS66" i="3"/>
  <c r="BB66" i="3"/>
  <c r="BT66" i="3"/>
  <c r="BD66" i="3"/>
  <c r="BJ66" i="3"/>
  <c r="BC66" i="3"/>
  <c r="BR66" i="3"/>
  <c r="BK66" i="3"/>
  <c r="BL66" i="3"/>
  <c r="AW62" i="3"/>
  <c r="A64" i="3"/>
  <c r="D64" i="3" l="1"/>
  <c r="B64" i="3"/>
  <c r="C64" i="3"/>
  <c r="E68" i="3"/>
  <c r="BF67" i="3"/>
  <c r="BN67" i="3"/>
  <c r="AY67" i="3"/>
  <c r="BG67" i="3"/>
  <c r="BO67" i="3"/>
  <c r="AZ67" i="3"/>
  <c r="BH67" i="3"/>
  <c r="BP67" i="3"/>
  <c r="BA67" i="3"/>
  <c r="BI67" i="3"/>
  <c r="BQ67" i="3"/>
  <c r="BB67" i="3"/>
  <c r="BJ67" i="3"/>
  <c r="BR67" i="3"/>
  <c r="BS67" i="3"/>
  <c r="BE67" i="3"/>
  <c r="BT67" i="3"/>
  <c r="BC67" i="3"/>
  <c r="BD67" i="3"/>
  <c r="BK67" i="3"/>
  <c r="BL67" i="3"/>
  <c r="BM67" i="3"/>
  <c r="AW63" i="3"/>
  <c r="A65" i="3"/>
  <c r="B65" i="3" l="1"/>
  <c r="C65" i="3"/>
  <c r="D65" i="3"/>
  <c r="E69" i="3"/>
  <c r="AY68" i="3"/>
  <c r="BG68" i="3"/>
  <c r="BO68" i="3"/>
  <c r="AZ68" i="3"/>
  <c r="BH68" i="3"/>
  <c r="BP68" i="3"/>
  <c r="BR68" i="3"/>
  <c r="BA68" i="3"/>
  <c r="BI68" i="3"/>
  <c r="BQ68" i="3"/>
  <c r="BB68" i="3"/>
  <c r="BJ68" i="3"/>
  <c r="BC68" i="3"/>
  <c r="BK68" i="3"/>
  <c r="BS68" i="3"/>
  <c r="BN68" i="3"/>
  <c r="BD68" i="3"/>
  <c r="BT68" i="3"/>
  <c r="BE68" i="3"/>
  <c r="BF68" i="3"/>
  <c r="BM68" i="3"/>
  <c r="BL68" i="3"/>
  <c r="AW64" i="3"/>
  <c r="A66" i="3"/>
  <c r="C66" i="3" l="1"/>
  <c r="D66" i="3"/>
  <c r="B66" i="3"/>
  <c r="E70" i="3"/>
  <c r="AZ69" i="3"/>
  <c r="BH69" i="3"/>
  <c r="BP69" i="3"/>
  <c r="BQ69" i="3"/>
  <c r="BK69" i="3"/>
  <c r="BA69" i="3"/>
  <c r="BI69" i="3"/>
  <c r="BB69" i="3"/>
  <c r="BJ69" i="3"/>
  <c r="BR69" i="3"/>
  <c r="BS69" i="3"/>
  <c r="BC69" i="3"/>
  <c r="BD69" i="3"/>
  <c r="BL69" i="3"/>
  <c r="BT69" i="3"/>
  <c r="BN69" i="3"/>
  <c r="BM69" i="3"/>
  <c r="BO69" i="3"/>
  <c r="AY69" i="3"/>
  <c r="BE69" i="3"/>
  <c r="BF69" i="3"/>
  <c r="BG69" i="3"/>
  <c r="AW65" i="3"/>
  <c r="A67" i="3"/>
  <c r="C67" i="3" l="1"/>
  <c r="B67" i="3"/>
  <c r="D67" i="3"/>
  <c r="E71" i="3"/>
  <c r="BA70" i="3"/>
  <c r="BI70" i="3"/>
  <c r="BQ70" i="3"/>
  <c r="BJ70" i="3"/>
  <c r="BR70" i="3"/>
  <c r="BS70" i="3"/>
  <c r="BB70" i="3"/>
  <c r="BC70" i="3"/>
  <c r="BK70" i="3"/>
  <c r="BG70" i="3"/>
  <c r="BM70" i="3"/>
  <c r="AZ70" i="3"/>
  <c r="BH70" i="3"/>
  <c r="BL70" i="3"/>
  <c r="BF70" i="3"/>
  <c r="AY70" i="3"/>
  <c r="BN70" i="3"/>
  <c r="BT70" i="3"/>
  <c r="BD70" i="3"/>
  <c r="BO70" i="3"/>
  <c r="BE70" i="3"/>
  <c r="BP70" i="3"/>
  <c r="AW66" i="3"/>
  <c r="A68" i="3"/>
  <c r="B68" i="3" l="1"/>
  <c r="D68" i="3"/>
  <c r="C68" i="3"/>
  <c r="BB71" i="3"/>
  <c r="BJ71" i="3"/>
  <c r="BR71" i="3"/>
  <c r="BK71" i="3"/>
  <c r="BS71" i="3"/>
  <c r="BT71" i="3"/>
  <c r="BC71" i="3"/>
  <c r="BD71" i="3"/>
  <c r="BL71" i="3"/>
  <c r="BI71" i="3"/>
  <c r="BP71" i="3"/>
  <c r="AY71" i="3"/>
  <c r="BM71" i="3"/>
  <c r="BN71" i="3"/>
  <c r="BA71" i="3"/>
  <c r="BE71" i="3"/>
  <c r="AZ71" i="3"/>
  <c r="BO71" i="3"/>
  <c r="BF71" i="3"/>
  <c r="BQ71" i="3"/>
  <c r="BG71" i="3"/>
  <c r="BH71" i="3"/>
  <c r="AW67" i="3"/>
  <c r="A69" i="3"/>
  <c r="C69" i="3" l="1"/>
  <c r="D69" i="3"/>
  <c r="B69" i="3"/>
  <c r="AW68" i="3"/>
  <c r="A70" i="3"/>
  <c r="B70" i="3" l="1"/>
  <c r="C70" i="3"/>
  <c r="D70" i="3"/>
  <c r="AW69" i="3"/>
  <c r="A71" i="3"/>
  <c r="A72" i="3" l="1"/>
  <c r="B71" i="3"/>
  <c r="D71" i="3"/>
  <c r="C71" i="3"/>
  <c r="AW70" i="3"/>
  <c r="B72" i="3" l="1"/>
  <c r="C72" i="3"/>
  <c r="A73" i="3"/>
  <c r="D72" i="3"/>
  <c r="AW71" i="3"/>
  <c r="C73" i="3" l="1"/>
  <c r="B73" i="3"/>
  <c r="D73" i="3"/>
  <c r="A74" i="3"/>
  <c r="A75" i="3" l="1"/>
  <c r="D74" i="3"/>
  <c r="B74" i="3"/>
  <c r="C74" i="3"/>
  <c r="B75" i="3" l="1"/>
  <c r="C75" i="3"/>
  <c r="D75" i="3"/>
  <c r="A76" i="3"/>
  <c r="A77" i="3" l="1"/>
  <c r="B76" i="3"/>
  <c r="D76" i="3"/>
  <c r="C76" i="3"/>
  <c r="C77" i="3" l="1"/>
  <c r="D77" i="3"/>
  <c r="A78" i="3"/>
  <c r="B77" i="3"/>
  <c r="A79" i="3" l="1"/>
  <c r="B78" i="3"/>
  <c r="D78" i="3"/>
  <c r="C78" i="3"/>
  <c r="D79" i="3" l="1"/>
  <c r="C79" i="3"/>
  <c r="B79" i="3"/>
  <c r="A80" i="3"/>
  <c r="B80" i="3" l="1"/>
  <c r="C80" i="3"/>
  <c r="D80" i="3"/>
  <c r="A81" i="3"/>
  <c r="A82" i="3" l="1"/>
  <c r="B81" i="3"/>
  <c r="C81" i="3"/>
  <c r="D81" i="3"/>
  <c r="A83" i="3" l="1"/>
  <c r="C82" i="3"/>
  <c r="D82" i="3"/>
  <c r="B82" i="3"/>
  <c r="B83" i="3" l="1"/>
  <c r="C83" i="3"/>
  <c r="D83" i="3"/>
  <c r="A84" i="3"/>
  <c r="D84" i="3" l="1"/>
  <c r="A85" i="3"/>
  <c r="B84" i="3"/>
  <c r="C84" i="3"/>
  <c r="A86" i="3" l="1"/>
  <c r="C85" i="3"/>
  <c r="D85" i="3"/>
  <c r="B85" i="3"/>
  <c r="B86" i="3" l="1"/>
  <c r="C86" i="3"/>
  <c r="D86" i="3"/>
  <c r="A87" i="3"/>
  <c r="A88" i="3" l="1"/>
  <c r="C87" i="3"/>
  <c r="B87" i="3"/>
  <c r="D87" i="3"/>
  <c r="C88" i="3" l="1"/>
  <c r="B88" i="3"/>
  <c r="D88" i="3"/>
  <c r="A89" i="3"/>
  <c r="C89" i="3" l="1"/>
  <c r="A90" i="3"/>
  <c r="D89" i="3"/>
  <c r="B89" i="3"/>
  <c r="D90" i="3" l="1"/>
  <c r="A91" i="3"/>
  <c r="C90" i="3"/>
  <c r="B90" i="3"/>
  <c r="B91" i="3" l="1"/>
  <c r="A92" i="3"/>
  <c r="C91" i="3"/>
  <c r="D91" i="3"/>
  <c r="B92" i="3" l="1"/>
  <c r="C92" i="3"/>
  <c r="D92" i="3"/>
  <c r="A93" i="3"/>
  <c r="C93" i="3" l="1"/>
  <c r="B93" i="3"/>
  <c r="D93" i="3"/>
  <c r="A94" i="3"/>
  <c r="D94" i="3" l="1"/>
  <c r="B94" i="3"/>
  <c r="C94" i="3"/>
  <c r="A95" i="3"/>
  <c r="D95" i="3" l="1"/>
  <c r="A96" i="3"/>
  <c r="B95" i="3"/>
  <c r="C95" i="3"/>
  <c r="B96" i="3" l="1"/>
  <c r="D96" i="3"/>
  <c r="C96" i="3"/>
  <c r="A97" i="3"/>
  <c r="A98" i="3" l="1"/>
  <c r="B97" i="3"/>
  <c r="C97" i="3"/>
  <c r="D97" i="3"/>
  <c r="C98" i="3" l="1"/>
  <c r="B98" i="3"/>
  <c r="D98" i="3"/>
  <c r="A99" i="3"/>
  <c r="A100" i="3" l="1"/>
  <c r="B99" i="3"/>
  <c r="D99" i="3"/>
  <c r="C99" i="3"/>
  <c r="B100" i="3" l="1"/>
  <c r="A101" i="3"/>
  <c r="C100" i="3"/>
  <c r="D100" i="3"/>
  <c r="B101" i="3" l="1"/>
  <c r="C101" i="3"/>
  <c r="D101" i="3"/>
  <c r="A102" i="3"/>
  <c r="A103" i="3" l="1"/>
  <c r="C102" i="3"/>
  <c r="B102" i="3"/>
  <c r="D102" i="3"/>
  <c r="B103" i="3" l="1"/>
  <c r="C103" i="3"/>
  <c r="D103" i="3"/>
  <c r="A104" i="3"/>
  <c r="A105" i="3" l="1"/>
  <c r="C104" i="3"/>
  <c r="D104" i="3"/>
  <c r="B104" i="3"/>
  <c r="B105" i="3" l="1"/>
  <c r="C105" i="3"/>
  <c r="D105" i="3"/>
  <c r="A106" i="3"/>
  <c r="A107" i="3" l="1"/>
  <c r="D106" i="3"/>
  <c r="B106" i="3"/>
  <c r="C106" i="3"/>
  <c r="D107" i="3" l="1"/>
  <c r="C107" i="3"/>
  <c r="A108" i="3"/>
  <c r="B107" i="3"/>
  <c r="B108" i="3" l="1"/>
  <c r="C108" i="3"/>
  <c r="D108" i="3"/>
  <c r="A109" i="3"/>
  <c r="B109" i="3" l="1"/>
  <c r="A110" i="3"/>
  <c r="C109" i="3"/>
  <c r="D109" i="3"/>
  <c r="A111" i="3" l="1"/>
  <c r="B110" i="3"/>
  <c r="C110" i="3"/>
  <c r="D110" i="3"/>
  <c r="B111" i="3" l="1"/>
  <c r="C111" i="3"/>
  <c r="D111" i="3"/>
  <c r="A112" i="3"/>
  <c r="B112" i="3" l="1"/>
  <c r="D112" i="3"/>
  <c r="A113" i="3"/>
  <c r="C112" i="3"/>
  <c r="C113" i="3" l="1"/>
  <c r="B113" i="3"/>
  <c r="D113" i="3"/>
  <c r="A114" i="3"/>
  <c r="C114" i="3" l="1"/>
  <c r="A115" i="3"/>
  <c r="B114" i="3"/>
  <c r="D114" i="3"/>
  <c r="D115" i="3" l="1"/>
  <c r="B115" i="3"/>
  <c r="C115" i="3"/>
</calcChain>
</file>

<file path=xl/sharedStrings.xml><?xml version="1.0" encoding="utf-8"?>
<sst xmlns="http://schemas.openxmlformats.org/spreadsheetml/2006/main" count="12073" uniqueCount="683">
  <si>
    <t>GLICOLICO</t>
  </si>
  <si>
    <t>LATTICO</t>
  </si>
  <si>
    <t>METIL MALONICO</t>
  </si>
  <si>
    <t>BENZOICO</t>
  </si>
  <si>
    <t>ETIL MALONICO</t>
  </si>
  <si>
    <t>GLUTARICO</t>
  </si>
  <si>
    <t>ARABINOSIO</t>
  </si>
  <si>
    <t>3OH FENILACETICO</t>
  </si>
  <si>
    <t>3OH 3 METIL GLUTARICO</t>
  </si>
  <si>
    <t>3 INDOLACETICO</t>
  </si>
  <si>
    <t>IPPURICO</t>
  </si>
  <si>
    <t>OMOVANILLICO</t>
  </si>
  <si>
    <t>5OH INDOLO 3 ACETICO</t>
  </si>
  <si>
    <t>VANILMANDELICO</t>
  </si>
  <si>
    <t>SUCCINICO</t>
  </si>
  <si>
    <t>ACIDO PIROGLUTAMMICO</t>
  </si>
  <si>
    <t>ACIDO TRICARBALLILICO</t>
  </si>
  <si>
    <t>ACIDO ADIPICO</t>
  </si>
  <si>
    <t>ACIDO SUBERICO</t>
  </si>
  <si>
    <t>ACIDO N - ACETIL - ASPARTICO</t>
  </si>
  <si>
    <t>ACIDO PANTOTENICO</t>
  </si>
  <si>
    <t>ACIDO 2 - IDROSSI - ISOCAPROICO</t>
  </si>
  <si>
    <t>ACIDO 4 - IDROSSI - FENIL - ACETICO</t>
  </si>
  <si>
    <t>ACIDO 4 - IDROSSI - IPPURICO</t>
  </si>
  <si>
    <t>ACIDO 5 IDROSSI METIL 2 FURAN CARBOSSILICO</t>
  </si>
  <si>
    <t>FURAN CARBONIL GLICINA</t>
  </si>
  <si>
    <t>ACIDO GLICERICO</t>
  </si>
  <si>
    <t>ACIDO SEBACICO</t>
  </si>
  <si>
    <t>ACIDO 4 PIRIDOSSICO</t>
  </si>
  <si>
    <t>N-ACETIL-CISTEINA</t>
  </si>
  <si>
    <t>ACIDO ORTO IDROSSI IPPURICO</t>
  </si>
  <si>
    <t>ACIDO 2 IDROSSI 3 METIL BUTIRRICO</t>
  </si>
  <si>
    <t>ACIDO OMOGENTISICO</t>
  </si>
  <si>
    <t>3OH  BUTIRRICO</t>
  </si>
  <si>
    <t>NOME</t>
  </si>
  <si>
    <t>Acido TARTARICO</t>
  </si>
  <si>
    <t>Acido CITRICO</t>
  </si>
  <si>
    <t>Acido MALONICO</t>
  </si>
  <si>
    <t>Acido MALICO</t>
  </si>
  <si>
    <t>Acido ISOCITRICO</t>
  </si>
  <si>
    <t>Acido CITRAMALICO</t>
  </si>
  <si>
    <t>Acido PIRUVICO</t>
  </si>
  <si>
    <t>Acido ASCORBICO</t>
  </si>
  <si>
    <t>Acido OROTICO</t>
  </si>
  <si>
    <t>Acido 4OH FENILPIRUVICO</t>
  </si>
  <si>
    <t>Acido ACONITICO</t>
  </si>
  <si>
    <t>Acido ALFA CHETO GLUTARICO</t>
  </si>
  <si>
    <t>ARABITOLO</t>
  </si>
  <si>
    <t>Acido ALFA OH GLUTARICO</t>
  </si>
  <si>
    <t>DATA</t>
  </si>
  <si>
    <t>FUMARICO</t>
  </si>
  <si>
    <t>MANDELICO</t>
  </si>
  <si>
    <t>Acido 2,5 furandicarbossilico</t>
  </si>
  <si>
    <t>Acido chinurenico</t>
  </si>
  <si>
    <t>Acido 4-metil-2-ossovalerico</t>
  </si>
  <si>
    <t>Timina</t>
  </si>
  <si>
    <t>Uracile</t>
  </si>
  <si>
    <t>Acido 2-idrossi-butirrico</t>
  </si>
  <si>
    <t>DOPAC</t>
  </si>
  <si>
    <t>HPHPA</t>
  </si>
  <si>
    <t>CHINOLINICO</t>
  </si>
  <si>
    <t>NUMERO</t>
  </si>
  <si>
    <t>RIGA</t>
  </si>
  <si>
    <t>1=39</t>
  </si>
  <si>
    <t>2=49</t>
  </si>
  <si>
    <t>3=42</t>
  </si>
  <si>
    <t>4=50</t>
  </si>
  <si>
    <t>5=17</t>
  </si>
  <si>
    <t>6=3</t>
  </si>
  <si>
    <t>7=41</t>
  </si>
  <si>
    <t>8=52</t>
  </si>
  <si>
    <t>9=14</t>
  </si>
  <si>
    <t>10=16</t>
  </si>
  <si>
    <t>11=37</t>
  </si>
  <si>
    <t>12=59</t>
  </si>
  <si>
    <t>13=15</t>
  </si>
  <si>
    <t>14=54</t>
  </si>
  <si>
    <t>15=61</t>
  </si>
  <si>
    <t>16=23</t>
  </si>
  <si>
    <t>17=7</t>
  </si>
  <si>
    <t>18=4</t>
  </si>
  <si>
    <t>19=32</t>
  </si>
  <si>
    <t>20=45</t>
  </si>
  <si>
    <t>21=31</t>
  </si>
  <si>
    <t>22=11</t>
  </si>
  <si>
    <t>23=55</t>
  </si>
  <si>
    <t>24=10</t>
  </si>
  <si>
    <t>25=35</t>
  </si>
  <si>
    <t>26=24</t>
  </si>
  <si>
    <t>27=22</t>
  </si>
  <si>
    <t>28=40</t>
  </si>
  <si>
    <t>29=48</t>
  </si>
  <si>
    <t>30=34</t>
  </si>
  <si>
    <t>31=57</t>
  </si>
  <si>
    <t>32=56</t>
  </si>
  <si>
    <t>33=43</t>
  </si>
  <si>
    <t>34=27</t>
  </si>
  <si>
    <t>35=38</t>
  </si>
  <si>
    <t>36=28</t>
  </si>
  <si>
    <t>37=19</t>
  </si>
  <si>
    <t>38=8</t>
  </si>
  <si>
    <t>39=51</t>
  </si>
  <si>
    <t>40=47</t>
  </si>
  <si>
    <t>41=26</t>
  </si>
  <si>
    <t>42=13</t>
  </si>
  <si>
    <t>43=5</t>
  </si>
  <si>
    <t>44=64</t>
  </si>
  <si>
    <t>45=25</t>
  </si>
  <si>
    <t>46=12</t>
  </si>
  <si>
    <t>47=53</t>
  </si>
  <si>
    <t>48=9</t>
  </si>
  <si>
    <t>49=60</t>
  </si>
  <si>
    <t>50=1</t>
  </si>
  <si>
    <t>51=29</t>
  </si>
  <si>
    <t>52=63</t>
  </si>
  <si>
    <t>53=30</t>
  </si>
  <si>
    <t>54=20</t>
  </si>
  <si>
    <t>55=21</t>
  </si>
  <si>
    <t>56=6</t>
  </si>
  <si>
    <t>57=36</t>
  </si>
  <si>
    <t>58=44</t>
  </si>
  <si>
    <t>59=2</t>
  </si>
  <si>
    <t>60=33</t>
  </si>
  <si>
    <t>61=46</t>
  </si>
  <si>
    <t>62=18</t>
  </si>
  <si>
    <t>63=58</t>
  </si>
  <si>
    <t>64=62</t>
  </si>
  <si>
    <t>p1=21</t>
  </si>
  <si>
    <t>p2=26</t>
  </si>
  <si>
    <t>p3=31</t>
  </si>
  <si>
    <t>p4=36</t>
  </si>
  <si>
    <t>p5=41</t>
  </si>
  <si>
    <t>p6=46</t>
  </si>
  <si>
    <t>p7=51</t>
  </si>
  <si>
    <t>p8=59</t>
  </si>
  <si>
    <t>p9=68</t>
  </si>
  <si>
    <t>p10=73</t>
  </si>
  <si>
    <t>p11=78</t>
  </si>
  <si>
    <t>p12=83</t>
  </si>
  <si>
    <t>p13=90</t>
  </si>
  <si>
    <t>p14=95</t>
  </si>
  <si>
    <t>p15=100</t>
  </si>
  <si>
    <t>p16=115</t>
  </si>
  <si>
    <t>p17=120</t>
  </si>
  <si>
    <t>p18=125</t>
  </si>
  <si>
    <t>p19=130</t>
  </si>
  <si>
    <t>p20=135</t>
  </si>
  <si>
    <t>p21=140</t>
  </si>
  <si>
    <t>p22=145</t>
  </si>
  <si>
    <t>p23=152</t>
  </si>
  <si>
    <t>p24=157</t>
  </si>
  <si>
    <t>p25=162</t>
  </si>
  <si>
    <t>p26=167</t>
  </si>
  <si>
    <t>p27=172</t>
  </si>
  <si>
    <t>p28=177</t>
  </si>
  <si>
    <t>p29=182</t>
  </si>
  <si>
    <t>p30=187</t>
  </si>
  <si>
    <t>p31=195</t>
  </si>
  <si>
    <t>p32=200</t>
  </si>
  <si>
    <t>p33=219</t>
  </si>
  <si>
    <t>p34=224</t>
  </si>
  <si>
    <t>p35=229</t>
  </si>
  <si>
    <t>p36=234</t>
  </si>
  <si>
    <t>p37=239</t>
  </si>
  <si>
    <t>p38=244</t>
  </si>
  <si>
    <t>p39=249</t>
  </si>
  <si>
    <t>p40=254</t>
  </si>
  <si>
    <t>p41=262</t>
  </si>
  <si>
    <t>p42=267</t>
  </si>
  <si>
    <t>p43=272</t>
  </si>
  <si>
    <t>p44=277</t>
  </si>
  <si>
    <t>p45=285</t>
  </si>
  <si>
    <t>p46=290</t>
  </si>
  <si>
    <t>p47=295</t>
  </si>
  <si>
    <t>p48=300</t>
  </si>
  <si>
    <t>p49=305</t>
  </si>
  <si>
    <t>p50=321</t>
  </si>
  <si>
    <t>p51=326</t>
  </si>
  <si>
    <t>p52=331</t>
  </si>
  <si>
    <t>p53=339</t>
  </si>
  <si>
    <t>p54=344</t>
  </si>
  <si>
    <t>p55=349</t>
  </si>
  <si>
    <t>p56=354</t>
  </si>
  <si>
    <t>p57=359</t>
  </si>
  <si>
    <t>p58=367</t>
  </si>
  <si>
    <t>p59=372</t>
  </si>
  <si>
    <t>p60=382</t>
  </si>
  <si>
    <t>p61=390</t>
  </si>
  <si>
    <t>p62=398</t>
  </si>
  <si>
    <t>p63=403</t>
  </si>
  <si>
    <t>p64=410</t>
  </si>
  <si>
    <t>39</t>
  </si>
  <si>
    <t>21</t>
  </si>
  <si>
    <t>49</t>
  </si>
  <si>
    <t>26</t>
  </si>
  <si>
    <t>42</t>
  </si>
  <si>
    <t>31</t>
  </si>
  <si>
    <t>50</t>
  </si>
  <si>
    <t>36</t>
  </si>
  <si>
    <t>17</t>
  </si>
  <si>
    <t>41</t>
  </si>
  <si>
    <t>3</t>
  </si>
  <si>
    <t>46</t>
  </si>
  <si>
    <t>51</t>
  </si>
  <si>
    <t>52</t>
  </si>
  <si>
    <t>59</t>
  </si>
  <si>
    <t>14</t>
  </si>
  <si>
    <t>68</t>
  </si>
  <si>
    <t>16</t>
  </si>
  <si>
    <t>73</t>
  </si>
  <si>
    <t>37</t>
  </si>
  <si>
    <t>78</t>
  </si>
  <si>
    <t>83</t>
  </si>
  <si>
    <t>15</t>
  </si>
  <si>
    <t>90</t>
  </si>
  <si>
    <t>54</t>
  </si>
  <si>
    <t>95</t>
  </si>
  <si>
    <t>61</t>
  </si>
  <si>
    <t>100</t>
  </si>
  <si>
    <t>23</t>
  </si>
  <si>
    <t>115</t>
  </si>
  <si>
    <t>7</t>
  </si>
  <si>
    <t>120</t>
  </si>
  <si>
    <t>4</t>
  </si>
  <si>
    <t>125</t>
  </si>
  <si>
    <t>32</t>
  </si>
  <si>
    <t>130</t>
  </si>
  <si>
    <t>45</t>
  </si>
  <si>
    <t>135</t>
  </si>
  <si>
    <t>140</t>
  </si>
  <si>
    <t>11</t>
  </si>
  <si>
    <t>145</t>
  </si>
  <si>
    <t>55</t>
  </si>
  <si>
    <t>152</t>
  </si>
  <si>
    <t>10</t>
  </si>
  <si>
    <t>157</t>
  </si>
  <si>
    <t>35</t>
  </si>
  <si>
    <t>162</t>
  </si>
  <si>
    <t>24</t>
  </si>
  <si>
    <t>167</t>
  </si>
  <si>
    <t>22</t>
  </si>
  <si>
    <t>172</t>
  </si>
  <si>
    <t>40</t>
  </si>
  <si>
    <t>177</t>
  </si>
  <si>
    <t>48</t>
  </si>
  <si>
    <t>182</t>
  </si>
  <si>
    <t>34</t>
  </si>
  <si>
    <t>187</t>
  </si>
  <si>
    <t>57</t>
  </si>
  <si>
    <t>195</t>
  </si>
  <si>
    <t>56</t>
  </si>
  <si>
    <t>200</t>
  </si>
  <si>
    <t>43</t>
  </si>
  <si>
    <t>219</t>
  </si>
  <si>
    <t>27</t>
  </si>
  <si>
    <t>224</t>
  </si>
  <si>
    <t>38</t>
  </si>
  <si>
    <t>229</t>
  </si>
  <si>
    <t>28</t>
  </si>
  <si>
    <t>234</t>
  </si>
  <si>
    <t>19</t>
  </si>
  <si>
    <t>239</t>
  </si>
  <si>
    <t>8</t>
  </si>
  <si>
    <t>244</t>
  </si>
  <si>
    <t>249</t>
  </si>
  <si>
    <t>47</t>
  </si>
  <si>
    <t>254</t>
  </si>
  <si>
    <t>262</t>
  </si>
  <si>
    <t>13</t>
  </si>
  <si>
    <t>267</t>
  </si>
  <si>
    <t>5</t>
  </si>
  <si>
    <t>272</t>
  </si>
  <si>
    <t>64</t>
  </si>
  <si>
    <t>277</t>
  </si>
  <si>
    <t>25</t>
  </si>
  <si>
    <t>285</t>
  </si>
  <si>
    <t>12</t>
  </si>
  <si>
    <t>290</t>
  </si>
  <si>
    <t>53</t>
  </si>
  <si>
    <t>295</t>
  </si>
  <si>
    <t>9</t>
  </si>
  <si>
    <t>300</t>
  </si>
  <si>
    <t>60</t>
  </si>
  <si>
    <t>305</t>
  </si>
  <si>
    <t>1</t>
  </si>
  <si>
    <t>321</t>
  </si>
  <si>
    <t>29</t>
  </si>
  <si>
    <t>326</t>
  </si>
  <si>
    <t>63</t>
  </si>
  <si>
    <t>331</t>
  </si>
  <si>
    <t>30</t>
  </si>
  <si>
    <t>339</t>
  </si>
  <si>
    <t>20</t>
  </si>
  <si>
    <t>344</t>
  </si>
  <si>
    <t>349</t>
  </si>
  <si>
    <t>6</t>
  </si>
  <si>
    <t>354</t>
  </si>
  <si>
    <t>359</t>
  </si>
  <si>
    <t>44</t>
  </si>
  <si>
    <t>367</t>
  </si>
  <si>
    <t>2</t>
  </si>
  <si>
    <t>372</t>
  </si>
  <si>
    <t>33</t>
  </si>
  <si>
    <t>382</t>
  </si>
  <si>
    <t>390</t>
  </si>
  <si>
    <t>18</t>
  </si>
  <si>
    <t>398</t>
  </si>
  <si>
    <t>58</t>
  </si>
  <si>
    <t>403</t>
  </si>
  <si>
    <t>62</t>
  </si>
  <si>
    <t>410</t>
  </si>
  <si>
    <t>pos(</t>
  </si>
  <si>
    <t>)=</t>
  </si>
  <si>
    <t>Citrico</t>
  </si>
  <si>
    <t>Aconitico</t>
  </si>
  <si>
    <t>Isocitrico</t>
  </si>
  <si>
    <t>2-Ossoglutarico</t>
  </si>
  <si>
    <t>Succinico</t>
  </si>
  <si>
    <t>Fumarico</t>
  </si>
  <si>
    <t>Malico</t>
  </si>
  <si>
    <t>2-Idrossiglutarico</t>
  </si>
  <si>
    <t>Omovanillico (HVA)</t>
  </si>
  <si>
    <t>Vanilmandelico (VMA)</t>
  </si>
  <si>
    <t>Ratio HVA/VMA</t>
  </si>
  <si>
    <t>3,4-Diidrossifenilacetico</t>
  </si>
  <si>
    <t>5-Idrossiindolacetico </t>
  </si>
  <si>
    <t>Chinurenico</t>
  </si>
  <si>
    <t>Chinolinico</t>
  </si>
  <si>
    <t>Pantotenico (B5)</t>
  </si>
  <si>
    <t>Glutarico*</t>
  </si>
  <si>
    <t>Metilmalonico*</t>
  </si>
  <si>
    <t>N-Acetil-L-Cisteina (NAC)</t>
  </si>
  <si>
    <t>Ascorbico ( C )</t>
  </si>
  <si>
    <t>4-Piridossico (B6)</t>
  </si>
  <si>
    <t>3-Idrossi-3-Metilglutarico*</t>
  </si>
  <si>
    <t>4-Metil-2-Ossovalerico</t>
  </si>
  <si>
    <t>Mandelico</t>
  </si>
  <si>
    <t>Omogentisico</t>
  </si>
  <si>
    <t>2-Idrossiisocaproico</t>
  </si>
  <si>
    <t>N-Acetilaspartico</t>
  </si>
  <si>
    <t>Malonico</t>
  </si>
  <si>
    <t>4-Idrossifenilpiruvico</t>
  </si>
  <si>
    <t>2-Idrossi-3-Metilbutirrico</t>
  </si>
  <si>
    <t>Citramalico</t>
  </si>
  <si>
    <t>5-Idrossimetil-2-Furancarbossilico</t>
  </si>
  <si>
    <t>Tartarico</t>
  </si>
  <si>
    <t>Furancarbonilglicina</t>
  </si>
  <si>
    <t>Tricarballilico</t>
  </si>
  <si>
    <t>Arabinosio</t>
  </si>
  <si>
    <t>Arabitolo</t>
  </si>
  <si>
    <t>Furan-2,5-Dicarbossilico</t>
  </si>
  <si>
    <t>4-Idrossiippurico</t>
  </si>
  <si>
    <t>Ippurico</t>
  </si>
  <si>
    <t>Benzoico</t>
  </si>
  <si>
    <t>Indacano    (mg/dL)</t>
  </si>
  <si>
    <t>4-Idrossifenilacetico</t>
  </si>
  <si>
    <t>3-Indolacetico</t>
  </si>
  <si>
    <t>P-Cresolo</t>
  </si>
  <si>
    <t>3-Idrossifenilacetico</t>
  </si>
  <si>
    <t>Glicolico</t>
  </si>
  <si>
    <t>Glicerico</t>
  </si>
  <si>
    <t>Ossalico</t>
  </si>
  <si>
    <t>Sebacico</t>
  </si>
  <si>
    <t>Adipico</t>
  </si>
  <si>
    <t>Suberico</t>
  </si>
  <si>
    <t>Etilmalonico</t>
  </si>
  <si>
    <t>3-Idrossibutirrico</t>
  </si>
  <si>
    <t>Piruvico</t>
  </si>
  <si>
    <t>Lattico</t>
  </si>
  <si>
    <t>2-Idrossiippurico</t>
  </si>
  <si>
    <t>Orotico</t>
  </si>
  <si>
    <t>Piroglutammico</t>
  </si>
  <si>
    <t>2-Idrossibutirrico</t>
  </si>
  <si>
    <t>Creatinina (mg/dL)</t>
  </si>
  <si>
    <t>CREATININA</t>
  </si>
  <si>
    <t>OSSALICO</t>
  </si>
  <si>
    <t>INDACANO</t>
  </si>
  <si>
    <t>RATIO HMA / VMA</t>
  </si>
  <si>
    <t>CONTROLLO</t>
  </si>
  <si>
    <t xml:space="preserve">Quantify Sample Summary Report </t>
  </si>
  <si>
    <t>Printed Wed Apr 02 09:06:28 2025</t>
  </si>
  <si>
    <t>Sample Name: 31_03_2025_03   Sample ID:  Std 0 - Atlantis - 100325</t>
  </si>
  <si>
    <t>#</t>
  </si>
  <si>
    <t>Name</t>
  </si>
  <si>
    <t>RT</t>
  </si>
  <si>
    <t>Area</t>
  </si>
  <si>
    <t>Quan Trace</t>
  </si>
  <si>
    <t>Conc.</t>
  </si>
  <si>
    <t>74.8 &gt; 44.85</t>
  </si>
  <si>
    <t>88.9 &gt; 42.88</t>
  </si>
  <si>
    <t>114.86 &gt; 70.95</t>
  </si>
  <si>
    <t>116.88 &gt; 72.88</t>
  </si>
  <si>
    <t>121.03 &gt; 76.96</t>
  </si>
  <si>
    <t>130.86 &gt; 86.98</t>
  </si>
  <si>
    <t>130.93 &gt; 86.98</t>
  </si>
  <si>
    <t>149.07 &gt; 58.8</t>
  </si>
  <si>
    <t>150.84 &gt; 106.97</t>
  </si>
  <si>
    <t>150.85 &gt; 106.97</t>
  </si>
  <si>
    <t>160.85 &gt; 56.97</t>
  </si>
  <si>
    <t>174.11 &gt; 129.99</t>
  </si>
  <si>
    <t>177.93 &gt; 76.89</t>
  </si>
  <si>
    <t>181.1 &gt; 121.95</t>
  </si>
  <si>
    <t>189.85 &gt; 145.94</t>
  </si>
  <si>
    <t>196.84 &gt; 137.93</t>
  </si>
  <si>
    <t>116.88 &gt; 72.83</t>
  </si>
  <si>
    <t>128.04 &gt; 128.04</t>
  </si>
  <si>
    <t>174.85 &gt; 157.04</t>
  </si>
  <si>
    <t>144.99 &gt; 100.98</t>
  </si>
  <si>
    <t>172.96 &gt; 111.01</t>
  </si>
  <si>
    <t>173.91 &gt; 87.99</t>
  </si>
  <si>
    <t>218.18 &gt; 88.01</t>
  </si>
  <si>
    <t>131.07 &gt; 84.97</t>
  </si>
  <si>
    <t>150.95 &gt; 106.83</t>
  </si>
  <si>
    <t>193.93 &gt; 99.89</t>
  </si>
  <si>
    <t>141 &gt; 96.87</t>
  </si>
  <si>
    <t>167.9 &gt; 66.85</t>
  </si>
  <si>
    <t>104.95 &gt; 74.97</t>
  </si>
  <si>
    <t>201.02 &gt; 139.1</t>
  </si>
  <si>
    <t>181.83 &gt; 137.87</t>
  </si>
  <si>
    <t>161.8 &gt; 32.66</t>
  </si>
  <si>
    <t>193.93 &gt; 149.98</t>
  </si>
  <si>
    <t>117 &gt; 70.94</t>
  </si>
  <si>
    <t>166.84 &gt; 122.87</t>
  </si>
  <si>
    <t>102.99 &gt; 58.9</t>
  </si>
  <si>
    <t>Sample Name: 31_03_2025_04   Sample ID:  Std 1 - Atlantis - 100325</t>
  </si>
  <si>
    <t>Sample Name: 31_03_2025_05   Sample ID:  Std 2 - Atlantis - 100325</t>
  </si>
  <si>
    <t>Sample Name: 31_03_2025_06   Sample ID:  Std 3 - Atlantis - 100325</t>
  </si>
  <si>
    <t>Sample Name: 31_03_2025_07   Sample ID:  Std 4 - Atlantis - 100325</t>
  </si>
  <si>
    <t xml:space="preserve">Sample Name: 31_03_2025_08   Sample ID:  </t>
  </si>
  <si>
    <t>Sample Name: 31_03_2025_09   Sample ID:  Qc Std 3 - 100325</t>
  </si>
  <si>
    <t xml:space="preserve">Sample Name: 31_03_2025_10   Sample ID:  </t>
  </si>
  <si>
    <t>Sample Name: 31_03_2025_11   Sample ID:  1709 SIMONI ENRICO</t>
  </si>
  <si>
    <t>Sample Name: 31_03_2025_12   Sample ID:  1711 CASALI ANNA MARIA</t>
  </si>
  <si>
    <t>Sample Name: 31_03_2025_13   Sample ID:  1712 MASSARI GIANNANTONIO</t>
  </si>
  <si>
    <t>Sample Name: 31_03_2025_14   Sample ID:  1713 BOCCACCIO PALMA</t>
  </si>
  <si>
    <t xml:space="preserve">Sample Name: 31_03_2025_15   Sample ID:  </t>
  </si>
  <si>
    <t>Sample Name: 31_03_2025_16   Sample ID:  1715 SALERIO DANTE ATTILIO</t>
  </si>
  <si>
    <t>Sample Name: 31_03_2025_17   Sample ID:  1719 POZZAGLIO LAURA</t>
  </si>
  <si>
    <t>Sample Name: 31_03_2025_18   Sample ID:  1721 GHIRETTI SILVIA</t>
  </si>
  <si>
    <t>Sample Name: 31_03_2025_19   Sample ID:  1725 CARIELLO GIUSEPPE</t>
  </si>
  <si>
    <t xml:space="preserve">Sample Name: 31_03_2025_20   Sample ID:  </t>
  </si>
  <si>
    <t>Sample Name: 31_03_2025_21   Sample ID:  1755 SCARIONI NICOLE</t>
  </si>
  <si>
    <t>Sample Name: 31_03_2025_22   Sample ID:  1761 BORGONOVO NICOLETTA</t>
  </si>
  <si>
    <t>Sample Name: 31_03_2025_23   Sample ID:  1773 CUTINO ROBERTA</t>
  </si>
  <si>
    <t>Sample Name: 31_03_2025_24   Sample ID:  1774 MOSETTI FILIPPO MARIA</t>
  </si>
  <si>
    <t xml:space="preserve">Sample Name: 31_03_2025_25   Sample ID:  </t>
  </si>
  <si>
    <t>Sample Name: 31_03_2025_26   Sample ID:  1775 MAFFEI DEBORA</t>
  </si>
  <si>
    <t>Sample Name: 31_03_2025_27   Sample ID:  1776 BARONI FABIANA</t>
  </si>
  <si>
    <t>Sample Name: 31_03_2025_28   Sample ID:  1780 GIBELLI VALENTINA</t>
  </si>
  <si>
    <t>Sample Name: 31_03_2025_29   Sample ID:  1781 BELA DANIELE</t>
  </si>
  <si>
    <t xml:space="preserve">Sample Name: 31_03_2025_30   Sample ID:  </t>
  </si>
  <si>
    <t>Sample Name: 31_03_2025_31   Sample ID:  1782 COLOMBINI WIDMER</t>
  </si>
  <si>
    <t>Sample Name: 31_03_2025_32   Sample ID:  1784 DOZZO BRUNA</t>
  </si>
  <si>
    <t>Sample Name: 31_03_2025_33   Sample ID:  1785 VALORI STEFANO</t>
  </si>
  <si>
    <t>Sample Name: 31_03_2025_34   Sample ID:  1787 BIGLIARDI FEDERICO</t>
  </si>
  <si>
    <t xml:space="preserve">Sample Name: 31_03_2025_35   Sample ID:  </t>
  </si>
  <si>
    <t>Printed Wed Apr 02 09:06:29 2025</t>
  </si>
  <si>
    <t>Sample Name: 31_03_2025_36   Sample ID:  1822 PAVAN SERGIO</t>
  </si>
  <si>
    <t>Sample Name: 31_03_2025_37   Sample ID:  1824 GROPPI ADELE</t>
  </si>
  <si>
    <t>Sample Name: 31_03_2025_38   Sample ID:  1825 BERSANETTI MAURA</t>
  </si>
  <si>
    <t>Sample Name: 31_03_2025_39   Sample ID:  1826 ANGELILLIS LIBERA</t>
  </si>
  <si>
    <t xml:space="preserve">Sample Name: 31_03_2025_40   Sample ID:  </t>
  </si>
  <si>
    <t>Sample Name: 31_03_2025_41   Sample ID:  1827 RIZZI GRAZIA</t>
  </si>
  <si>
    <t>Sample Name: 31_03_2025_42   Sample ID:  1828 ALESSI ANDREA</t>
  </si>
  <si>
    <t>Sample Name: 31_03_2025_43   Sample ID:  1829 GRANDINI ROBERTA</t>
  </si>
  <si>
    <t>Sample Name: 31_03_2025_44   Sample ID:  1830 DE MAJO ELVIRA</t>
  </si>
  <si>
    <t xml:space="preserve">Sample Name: 31_03_2025_45   Sample ID:  </t>
  </si>
  <si>
    <t>Sample Name: 31_03_2025_46   Sample ID:  1832 PAGLIARI JESSICA</t>
  </si>
  <si>
    <t>Sample Name: 31_03_2025_47   Sample ID:  1833 TELESIO DI TORITTO ANNA</t>
  </si>
  <si>
    <t xml:space="preserve">Sample Name: 31_03_2025_48   Sample ID:  </t>
  </si>
  <si>
    <t>Sample Name: 31_03_2025_49   Sample ID:  Qc Std 3 - 100325</t>
  </si>
  <si>
    <t xml:space="preserve">Sample Name: 31_03_2025_50   Sample ID:  </t>
  </si>
  <si>
    <t>Sample Name: 31_03_2025_51   Sample ID:  1834 PINCOLINI VICTORIA</t>
  </si>
  <si>
    <t>Sample Name: 31_03_2025_52   Sample ID:  1835 BERTOLETTI GABRIELLA</t>
  </si>
  <si>
    <t>Sample Name: 31_03_2025_53   Sample ID:  1836 CATIZZONE EMILIA</t>
  </si>
  <si>
    <t>Sample Name: 31_03_2025_54   Sample ID:  1850 ABATI CLAUDIO</t>
  </si>
  <si>
    <t xml:space="preserve">Sample Name: 31_03_2025_55   Sample ID:  </t>
  </si>
  <si>
    <t>Sample Name: 31_03_2025_56   Sample ID:  1865 MALATESTA DANIELA</t>
  </si>
  <si>
    <t>Sample Name: 31_03_2025_57   Sample ID:  1867 RUBINI MARIA LUISA</t>
  </si>
  <si>
    <t>Sample Name: 31_03_2025_58   Sample ID:  1884 FOCACCI ANTONIO</t>
  </si>
  <si>
    <t>Sample Name: 31_03_2025_59   Sample ID:  1887 ZEPPILLI ROBERTA</t>
  </si>
  <si>
    <t xml:space="preserve">Sample Name: 31_03_2025_60   Sample ID:  </t>
  </si>
  <si>
    <t>Sample Name: 31_03_2025_61   Sample ID:  1890 ROSSI ELENA</t>
  </si>
  <si>
    <t>Sample Name: 31_03_2025_62   Sample ID:  1908 PEDRONI PACCHIONI BEATRICE</t>
  </si>
  <si>
    <t>Sample Name: 31_03_2025_63   Sample ID:  1912 SERRI ANDREA</t>
  </si>
  <si>
    <t>Sample Name: 31_03_2025_64   Sample ID:  1915 MORONI TOMMASO</t>
  </si>
  <si>
    <t xml:space="preserve">Sample Name: 31_03_2025_65   Sample ID:  </t>
  </si>
  <si>
    <t>Sample Name: 31_03_2025_66   Sample ID:  1923 MARSELLA ELISABETTA</t>
  </si>
  <si>
    <t>Sample Name: 31_03_2025_67   Sample ID:  1924 MANCINI DANIELA</t>
  </si>
  <si>
    <t>Sample Name: 31_03_2025_68   Sample ID:  1929 MONACO ROSSANA</t>
  </si>
  <si>
    <t>Sample Name: 31_03_2025_69   Sample ID:  1945 DE STEFANO NICOLA</t>
  </si>
  <si>
    <t>Printed Wed Apr 02 09:06:30 2025</t>
  </si>
  <si>
    <t xml:space="preserve">Sample Name: 31_03_2025_70   Sample ID:  </t>
  </si>
  <si>
    <t>Sample Name: 31_03_2025_71   Sample ID:  1946 FESTA MARIA EDITH</t>
  </si>
  <si>
    <t>Sample Name: 31_03_2025_72   Sample ID:  1966 DE CAPITANI LETIZIA</t>
  </si>
  <si>
    <t>Sample Name: 31_03_2025_73   Sample ID:  1995 GARBAGNATI MARIA NADIA</t>
  </si>
  <si>
    <t>Sample Name: 31_03_2025_74   Sample ID:  1997 STIZZA LAURA</t>
  </si>
  <si>
    <t xml:space="preserve">Sample Name: 31_03_2025_75   Sample ID:  </t>
  </si>
  <si>
    <t>Sample Name: 31_03_2025_76   Sample ID:  1999 GIRARDI PATRIZIA</t>
  </si>
  <si>
    <t>Sample Name: 31_03_2025_77   Sample ID:  2000 FABIANO PATRIZIA</t>
  </si>
  <si>
    <t>Sample Name: 31_03_2025_78   Sample ID:  2001 SCOTTI ELISABETTA</t>
  </si>
  <si>
    <t>Sample Name: 31_03_2025_79   Sample ID:  2003 GRIOLI ERNESTO</t>
  </si>
  <si>
    <t xml:space="preserve">Sample Name: 31_03_2025_80   Sample ID:  </t>
  </si>
  <si>
    <t>Sample Name: 31_03_2025_81   Sample ID:  2016 PONZINIBI FILIPPO</t>
  </si>
  <si>
    <t>Sample Name: 31_03_2025_82   Sample ID:  2017 PARMESANI ANNAMARIA</t>
  </si>
  <si>
    <t>Sample Name: 31_03_2025_83   Sample ID:  2035 FISCELLA MARIA</t>
  </si>
  <si>
    <t>Sample Name: 31_03_2025_84   Sample ID:  2036 GAROFOLI JORDAN</t>
  </si>
  <si>
    <t xml:space="preserve">Sample Name: 31_03_2025_85   Sample ID:  </t>
  </si>
  <si>
    <t>Sample Name: 31_03_2025_86   Sample ID:  Qc Std 3 - 100325</t>
  </si>
  <si>
    <t>Printed Wed Apr 02 14:25:18 2025</t>
  </si>
  <si>
    <t>Sample Name: 01_04_2025_03   Sample ID:  Std 0 - TCA - 100325</t>
  </si>
  <si>
    <t>148.83 &gt; 86.97</t>
  </si>
  <si>
    <t>190.9 &gt; 110.82</t>
  </si>
  <si>
    <t>102.97 &gt; 58.93</t>
  </si>
  <si>
    <t>132.91 &gt; 114.83</t>
  </si>
  <si>
    <t>190.94 &gt; 111.02</t>
  </si>
  <si>
    <t>146.98 &gt; 86.84</t>
  </si>
  <si>
    <t>86.83 &gt; 42.78</t>
  </si>
  <si>
    <t>174.83 &gt; 114.84</t>
  </si>
  <si>
    <t>154.75 &gt; 110.82</t>
  </si>
  <si>
    <t>154.86 &gt; 110.87</t>
  </si>
  <si>
    <t>178.85 &gt; 107.04</t>
  </si>
  <si>
    <t>172.88 &gt; 84.88</t>
  </si>
  <si>
    <t>144.91 &gt; 100.92</t>
  </si>
  <si>
    <t>150.97 &gt; 88.96</t>
  </si>
  <si>
    <t>146.93 &gt; 128.92</t>
  </si>
  <si>
    <t>187.9 &gt; 144.04</t>
  </si>
  <si>
    <t>128.88 &gt; 128.88</t>
  </si>
  <si>
    <t>127.08 &gt; 109.95</t>
  </si>
  <si>
    <t>112.99 &gt; 69.91</t>
  </si>
  <si>
    <t>102.98 &gt; 57</t>
  </si>
  <si>
    <t>167.19 &gt; 122.99</t>
  </si>
  <si>
    <t>180.97 &gt; 120.99</t>
  </si>
  <si>
    <t>165.78 &gt; 121.85</t>
  </si>
  <si>
    <t>Sample Name: 01_04_2025_04   Sample ID:  Std 1 - TCA - 100325</t>
  </si>
  <si>
    <t>Sample Name: 01_04_2025_05   Sample ID:  Std 2 - TCA - 100325</t>
  </si>
  <si>
    <t>Sample Name: 01_04_2025_06   Sample ID:  Std 3 - TCA - 100325</t>
  </si>
  <si>
    <t>Sample Name: 01_04_2025_07   Sample ID:  Std 4 - TCA - 100325</t>
  </si>
  <si>
    <t xml:space="preserve">Sample Name: 01_04_2025_08   Sample ID:  </t>
  </si>
  <si>
    <t>Sample Name: 01_04_2025_09   Sample ID:  Qc Std 3 - 100325</t>
  </si>
  <si>
    <t xml:space="preserve">Sample Name: 01_04_2025_10   Sample ID:  </t>
  </si>
  <si>
    <t>Sample Name: 01_04_2025_11   Sample ID:  1709 SIMONI ENRICO</t>
  </si>
  <si>
    <t>Sample Name: 01_04_2025_12   Sample ID:  1711 CASALI ANNA MARIA</t>
  </si>
  <si>
    <t xml:space="preserve">Sample Name: 01_04_2025_13   Sample ID:  1712 MASSARI GIANNANTONIO </t>
  </si>
  <si>
    <t>Sample Name: 01_04_2025_14   Sample ID:  1713 BOCCACCIO PALMA</t>
  </si>
  <si>
    <t xml:space="preserve">Sample Name: 01_04_2025_15   Sample ID:  </t>
  </si>
  <si>
    <t>Sample Name: 01_04_2025_16   Sample ID:  1715 SALERIO DANTE ATTILIO</t>
  </si>
  <si>
    <t>Sample Name: 01_04_2025_17   Sample ID:  1719 POZZAGLIO LAURA</t>
  </si>
  <si>
    <t>Sample Name: 01_04_2025_18   Sample ID:  1721 GHIRETTI SILVIA</t>
  </si>
  <si>
    <t>Sample Name: 01_04_2025_19   Sample ID:  1725 CARIELLO GIUSEPPE</t>
  </si>
  <si>
    <t xml:space="preserve">Sample Name: 01_04_2025_20   Sample ID:  </t>
  </si>
  <si>
    <t>Sample Name: 01_04_2025_21   Sample ID:  1755 SCARIONI NICOLE</t>
  </si>
  <si>
    <t>Sample Name: 01_04_2025_22   Sample ID:  1761 BORGONOVO NICOLETTA</t>
  </si>
  <si>
    <t>Sample Name: 01_04_2025_23   Sample ID:  1773 CUTINO ROBERTA</t>
  </si>
  <si>
    <t xml:space="preserve">Sample Name: 01_04_2025_24   Sample ID:  1774 MOSETTI FILIPPO MARIA </t>
  </si>
  <si>
    <t xml:space="preserve">Sample Name: 01_04_2025_25   Sample ID:  </t>
  </si>
  <si>
    <t>Sample Name: 01_04_2025_26   Sample ID:  1775 MAFFEI DEBORA</t>
  </si>
  <si>
    <t>Printed Wed Apr 02 14:25:19 2025</t>
  </si>
  <si>
    <t>Sample Name: 01_04_2025_27   Sample ID:  1776 BARONI FABIANA</t>
  </si>
  <si>
    <t>Sample Name: 01_04_2025_28   Sample ID:  1780 GIBELLI VALENTINA</t>
  </si>
  <si>
    <t>Sample Name: 01_04_2025_29   Sample ID:  1781 BELA DANIELE</t>
  </si>
  <si>
    <t xml:space="preserve">Sample Name: 01_04_2025_30   Sample ID:  </t>
  </si>
  <si>
    <t>Sample Name: 01_04_2025_31   Sample ID:  1782 COLOMBINI WIDMER</t>
  </si>
  <si>
    <t>Sample Name: 01_04_2025_32   Sample ID:  1784 DOZZO BRUNA</t>
  </si>
  <si>
    <t>Sample Name: 01_04_2025_33   Sample ID:  1785 VALORI STEFANO</t>
  </si>
  <si>
    <t>Sample Name: 01_04_2025_34   Sample ID:  1787 BIGLIARDI FEDERICO</t>
  </si>
  <si>
    <t xml:space="preserve">Sample Name: 01_04_2025_35   Sample ID:  </t>
  </si>
  <si>
    <t xml:space="preserve">Sample Name: 01_04_2025_36   Sample ID:  1822 PAVAN SERGIO </t>
  </si>
  <si>
    <t>Sample Name: 01_04_2025_37   Sample ID:  1824 GROPPI ADELE</t>
  </si>
  <si>
    <t>Sample Name: 01_04_2025_38   Sample ID:  1825 BERSANETTI MAURA</t>
  </si>
  <si>
    <t>Sample Name: 01_04_2025_39   Sample ID:  1826 ANGELILLIS LIBERA</t>
  </si>
  <si>
    <t xml:space="preserve">Sample Name: 01_04_2025_40   Sample ID:  </t>
  </si>
  <si>
    <t>Sample Name: 01_04_2025_41   Sample ID:  1827 RIZZI GRAZIA</t>
  </si>
  <si>
    <t>Sample Name: 01_04_2025_42   Sample ID:  1828 ALESSI ANDREA</t>
  </si>
  <si>
    <t>Sample Name: 01_04_2025_43   Sample ID:  1829 GRANDINI ROBERTA</t>
  </si>
  <si>
    <t>Sample Name: 01_04_2025_44   Sample ID:  1830 DE MAJO ELVIRA</t>
  </si>
  <si>
    <t xml:space="preserve">Sample Name: 01_04_2025_45   Sample ID:  </t>
  </si>
  <si>
    <t>Sample Name: 01_04_2025_46   Sample ID:  1832 PAGLIARI JESSICA</t>
  </si>
  <si>
    <t>Sample Name: 01_04_2025_47   Sample ID:  1833 TELESIO DI TORITTO ANNA</t>
  </si>
  <si>
    <t xml:space="preserve">Sample Name: 01_04_2025_48   Sample ID:  </t>
  </si>
  <si>
    <t>Sample Name: 01_04_2025_49   Sample ID:  Qc Std 3 - 100325</t>
  </si>
  <si>
    <t xml:space="preserve">Sample Name: 01_04_2025_50   Sample ID:  </t>
  </si>
  <si>
    <t>Sample Name: 01_04_2025_51   Sample ID:  1834 PINCOLINI VICTORIA</t>
  </si>
  <si>
    <t>Sample Name: 01_04_2025_52   Sample ID:  1835 BERTOLETTI GABRIELLA</t>
  </si>
  <si>
    <t>Sample Name: 01_04_2025_53   Sample ID:  1836 CATIZZONE EMILIA</t>
  </si>
  <si>
    <t>Sample Name: 01_04_2025_54   Sample ID:  1850 ABATI CLAUDIO</t>
  </si>
  <si>
    <t xml:space="preserve">Sample Name: 01_04_2025_55   Sample ID:  </t>
  </si>
  <si>
    <t>Sample Name: 01_04_2025_56   Sample ID:  1865 MALATESTA DANIELA</t>
  </si>
  <si>
    <t>Sample Name: 01_04_2025_57   Sample ID:  1867 RUBINI MARIA LUISA</t>
  </si>
  <si>
    <t>Sample Name: 01_04_2025_58   Sample ID:  1884 FOCACCI ANTONIO</t>
  </si>
  <si>
    <t>Sample Name: 01_04_2025_59   Sample ID:  1887 ZEPPILLI ROBERTA</t>
  </si>
  <si>
    <t xml:space="preserve">Sample Name: 01_04_2025_60   Sample ID:  </t>
  </si>
  <si>
    <t>Sample Name: 01_04_2025_61   Sample ID:  1890 ROSSI ELENA</t>
  </si>
  <si>
    <t>Sample Name: 01_04_2025_62   Sample ID:  1908 PEDRONI PACCHIONI BEATRICE</t>
  </si>
  <si>
    <t>Sample Name: 01_04_2025_63   Sample ID:  1912 SERRI ANDREA</t>
  </si>
  <si>
    <t>Sample Name: 01_04_2025_64   Sample ID:  1915 MORONI TOMMASO</t>
  </si>
  <si>
    <t xml:space="preserve">Sample Name: 01_04_2025_65   Sample ID:  </t>
  </si>
  <si>
    <t>Sample Name: 01_04_2025_66   Sample ID:  1923 MARSELLA ELISABETTA</t>
  </si>
  <si>
    <t>Sample Name: 01_04_2025_67   Sample ID:  1924 MANCINI DANIELA</t>
  </si>
  <si>
    <t>Sample Name: 01_04_2025_68   Sample ID:  1929 MONACO ROSSANA</t>
  </si>
  <si>
    <t>Sample Name: 01_04_2025_69   Sample ID:  1945 DE STEFANO NICOLA</t>
  </si>
  <si>
    <t xml:space="preserve">Sample Name: 01_04_2025_70   Sample ID:  </t>
  </si>
  <si>
    <t>Sample Name: 01_04_2025_71   Sample ID:  1946 FESTA MARIA EDITH</t>
  </si>
  <si>
    <t>Sample Name: 01_04_2025_72   Sample ID:  1966 DE CAPITANI LETIZIA</t>
  </si>
  <si>
    <t>Printed Wed Apr 02 14:25:20 2025</t>
  </si>
  <si>
    <t>Sample Name: 01_04_2025_73   Sample ID:  1995 GARBAGNATI MARIA NADIA</t>
  </si>
  <si>
    <t>Sample Name: 01_04_2025_74   Sample ID:  1997 STIZZA LAURA</t>
  </si>
  <si>
    <t xml:space="preserve">Sample Name: 01_04_2025_75   Sample ID:  </t>
  </si>
  <si>
    <t>Sample Name: 01_04_2025_76   Sample ID:  1999 GIRARDI PATRIZIA</t>
  </si>
  <si>
    <t>Sample Name: 01_04_2025_77   Sample ID:  2000 FABIANO PATRIZIA</t>
  </si>
  <si>
    <t>Sample Name: 01_04_2025_78   Sample ID:  2001 SCOTTI ELISABETTA</t>
  </si>
  <si>
    <t>Sample Name: 01_04_2025_79   Sample ID:  2003 GRIOLI ERNESTO</t>
  </si>
  <si>
    <t xml:space="preserve">Sample Name: 01_04_2025_80   Sample ID:  </t>
  </si>
  <si>
    <t>Sample Name: 01_04_2025_81   Sample ID:  2016 PONZINIBI FILIPPO</t>
  </si>
  <si>
    <t>Sample Name: 01_04_2025_82   Sample ID:  2017 PARMESANI ANNAMARIA</t>
  </si>
  <si>
    <t>Sample Name: 01_04_2025_83   Sample ID:  2035 FISCELLA MARIA</t>
  </si>
  <si>
    <t>Sample Name: 01_04_2025_84   Sample ID:  2036 GAROFOLI JORDAN</t>
  </si>
  <si>
    <t xml:space="preserve">Sample Name: 01_04_2025_85   Sample ID:  </t>
  </si>
  <si>
    <t>Sample Name: 01_04_2025_86   Sample ID:  Qc Std 3 - 100325</t>
  </si>
  <si>
    <t>SAMPLE LIST</t>
  </si>
  <si>
    <t>CREAU</t>
  </si>
  <si>
    <t>1709 SIMONI ENRICO</t>
  </si>
  <si>
    <t>1711 CASALI ANNA MARIA</t>
  </si>
  <si>
    <t xml:space="preserve">1712 MASSARI GIANNANTONIO </t>
  </si>
  <si>
    <t>1713 BOCCACCIO PALMA</t>
  </si>
  <si>
    <t>1715 SALERIO DANTE ATTILIO</t>
  </si>
  <si>
    <t>1719 POZZAGLIO LAURA</t>
  </si>
  <si>
    <t>1721 GHIRETTI SILVIA</t>
  </si>
  <si>
    <t>1725 CARIELLO GIUSEPPE</t>
  </si>
  <si>
    <t>1755 SCARIONI NICOLE</t>
  </si>
  <si>
    <t>1761 BORGONOVO NICOLETTA</t>
  </si>
  <si>
    <t>1773 CUTINO ROBERTA</t>
  </si>
  <si>
    <t xml:space="preserve">1774 MOSETTI FILIPPO MARIA </t>
  </si>
  <si>
    <t>1775 MAFFEI DEBORA</t>
  </si>
  <si>
    <t>1776 BARONI FABIANA</t>
  </si>
  <si>
    <t>1780 GIBELLI VALENTINA</t>
  </si>
  <si>
    <t>1781 BELA DANIELE</t>
  </si>
  <si>
    <t>1782 COLOMBINI WIDMER</t>
  </si>
  <si>
    <t>1784 DOZZO BRUNA</t>
  </si>
  <si>
    <t>1785 VALORI STEFANO</t>
  </si>
  <si>
    <t>1787 BIGLIARDI FEDERICO</t>
  </si>
  <si>
    <t xml:space="preserve">1822 PAVAN SERGIO </t>
  </si>
  <si>
    <t>1824 GROPPI ADELE</t>
  </si>
  <si>
    <t>1825 BERSANETTI MAURA</t>
  </si>
  <si>
    <t>1826 ANGELILLIS LIBERA</t>
  </si>
  <si>
    <t>1827 RIZZI GRAZIA</t>
  </si>
  <si>
    <t>1828 ALESSI ANDREA</t>
  </si>
  <si>
    <t>1829 GRANDINI ROBERTA</t>
  </si>
  <si>
    <t>1830 DE MAJO ELVIRA</t>
  </si>
  <si>
    <t>1832 PAGLIARI JESSICA</t>
  </si>
  <si>
    <t>1833 TELESIO DI TORITTO ANNA</t>
  </si>
  <si>
    <t>1834 PINCOLINI VICTORIA</t>
  </si>
  <si>
    <t>1835 BERTOLETTI GABRIELLA</t>
  </si>
  <si>
    <t>1836 CATIZZONE EMILIA</t>
  </si>
  <si>
    <t>1850 ABATI CLAUDIO</t>
  </si>
  <si>
    <t>1865 MALATESTA DANIELA</t>
  </si>
  <si>
    <t>1867 RUBINI MARIA LUISA</t>
  </si>
  <si>
    <t>1884 FOCACCI ANTONIO</t>
  </si>
  <si>
    <t>1887 ZEPPILLI ROBERTA</t>
  </si>
  <si>
    <t>1890 ROSSI ELENA</t>
  </si>
  <si>
    <t>1908 PEDRONI PACCHIONI BEATRICE</t>
  </si>
  <si>
    <t>1912 SERRI ANDREA</t>
  </si>
  <si>
    <t>1915 MORONI TOMMASO</t>
  </si>
  <si>
    <t>1923 MARSELLA ELISABETTA</t>
  </si>
  <si>
    <t>1924 MANCINI DANIELA</t>
  </si>
  <si>
    <t>1929 MONACO ROSSANA</t>
  </si>
  <si>
    <t>1945 DE STEFANO NICOLA</t>
  </si>
  <si>
    <t>1946 FESTA MARIA EDITH</t>
  </si>
  <si>
    <t>1966 DE CAPITANI LETIZIA</t>
  </si>
  <si>
    <t>1995 GARBAGNATI MARIA NADIA</t>
  </si>
  <si>
    <t>1997 STIZZA LAURA</t>
  </si>
  <si>
    <t>1999 GIRARDI PATRIZIA</t>
  </si>
  <si>
    <t>2000 FABIANO PATRIZIA</t>
  </si>
  <si>
    <t>2001 SCOTTI ELISABETTA</t>
  </si>
  <si>
    <t>2003 GRIOLI ERNESTO</t>
  </si>
  <si>
    <t>2016 PONZINIBI FILIPPO</t>
  </si>
  <si>
    <t>2017 PARMESANI ANNAMARIA</t>
  </si>
  <si>
    <t>2035 FISCELLA MARIA</t>
  </si>
  <si>
    <t>2036 GAROFOLI JORDAN</t>
  </si>
  <si>
    <t>normale</t>
  </si>
  <si>
    <t>homica</t>
  </si>
  <si>
    <t>homica bambino dieta2</t>
  </si>
  <si>
    <t>homica uomo dieta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</si>
</sst>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rgb="FFFF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9">
    <xf numFmtId="0" fontId="0" fillId="0" borderId="0" xfId="0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quotePrefix="1"/>
    <xf numFmtId="0" fontId="18" fillId="0" borderId="11" xfId="0" applyFont="1" applyBorder="1" applyAlignment="1">
      <alignment horizontal="center" textRotation="90"/>
    </xf>
    <xf numFmtId="0" fontId="0" fillId="0" borderId="16" xfId="0" applyBorder="1"/>
    <xf numFmtId="0" fontId="19" fillId="0" borderId="0" xfId="0" applyFont="1"/>
    <xf numFmtId="0" fontId="18" fillId="0" borderId="17" xfId="0" applyFont="1" applyBorder="1" applyAlignment="1">
      <alignment horizontal="center" textRotation="90"/>
    </xf>
    <xf numFmtId="0" fontId="18" fillId="0" borderId="18" xfId="0" applyFont="1" applyBorder="1" applyAlignment="1">
      <alignment horizontal="center" textRotation="90"/>
    </xf>
    <xf numFmtId="0" fontId="18" fillId="0" borderId="19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0" fillId="0" borderId="14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9" xfId="0" applyBorder="1"/>
    <xf numFmtId="0" fontId="0" fillId="0" borderId="18" xfId="0" applyBorder="1"/>
    <xf numFmtId="0" fontId="0" fillId="0" borderId="17" xfId="0" quotePrefix="1" applyBorder="1"/>
    <xf numFmtId="0" fontId="0" fillId="0" borderId="19" xfId="0" quotePrefix="1" applyBorder="1"/>
    <xf numFmtId="0" fontId="0" fillId="0" borderId="17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33" borderId="19" xfId="0" applyFill="1" applyBorder="1"/>
    <xf numFmtId="0" fontId="0" fillId="0" borderId="12" xfId="0" quotePrefix="1" applyBorder="1"/>
    <xf numFmtId="0" fontId="0" fillId="0" borderId="23" xfId="0" quotePrefix="1" applyBorder="1"/>
    <xf numFmtId="0" fontId="18" fillId="0" borderId="25" xfId="0" applyFont="1" applyBorder="1" applyAlignment="1">
      <alignment horizontal="center" textRotation="9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20" fillId="0" borderId="0" xfId="0" applyFont="1"/>
    <xf numFmtId="0" fontId="14" fillId="33" borderId="13" xfId="0" applyFont="1" applyFill="1" applyBorder="1" applyAlignment="1">
      <alignment horizontal="center"/>
    </xf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Z3695"/>
  <sheetViews>
    <sheetView workbookViewId="0">
      <selection sqref="A1:A2500"/>
    </sheetView>
  </sheetViews>
  <sheetFormatPr defaultRowHeight="14.4" x14ac:dyDescent="0.3"/>
  <cols>
    <col min="7" max="7" width="9.109375" style="31"/>
    <col min="18" max="18" width="9.109375" style="31"/>
    <col min="21" max="21" width="9.109375" style="32"/>
    <col min="22" max="22" width="35.109375" style="33" bestFit="1" customWidth="1"/>
    <col min="24" max="24" width="9.6640625" style="34" bestFit="1" customWidth="1"/>
    <col min="25" max="25" width="10.88671875" style="34" bestFit="1" customWidth="1"/>
    <col min="26" max="26" width="26.5546875" customWidth="1"/>
    <col min="27" max="27" width="11.5546875" bestFit="1" customWidth="1"/>
  </cols>
  <sheetData>
    <row r="1" spans="1:26" x14ac:dyDescent="0.3">
      <c r="A1" t="s">
        <v>379</v>
      </c>
      <c r="L1" t="s">
        <v>379</v>
      </c>
    </row>
    <row r="2" spans="1:26" x14ac:dyDescent="0.3">
      <c r="V2" s="35" t="s">
        <v>619</v>
      </c>
      <c r="W2" s="35" t="s">
        <v>620</v>
      </c>
      <c r="X2" s="35" t="s">
        <v>375</v>
      </c>
      <c r="Y2" s="35" t="s">
        <v>376</v>
      </c>
    </row>
    <row r="3" spans="1:26" x14ac:dyDescent="0.3">
      <c r="A3" t="s">
        <v>380</v>
      </c>
      <c r="L3" t="s">
        <v>509</v>
      </c>
      <c r="U3">
        <v>1</v>
      </c>
      <c r="V3" s="9" t="s">
        <v>621</v>
      </c>
      <c r="W3" s="36">
        <v>78.064516129032242</v>
      </c>
      <c r="X3" s="36">
        <v>64.005022532199249</v>
      </c>
      <c r="Y3" s="36">
        <v>19.411407766990294</v>
      </c>
      <c r="Z3" t="str">
        <f>MID(V3,6,30)</f>
        <v>SIMONI ENRICO</v>
      </c>
    </row>
    <row r="4" spans="1:26" x14ac:dyDescent="0.3">
      <c r="U4">
        <v>2</v>
      </c>
      <c r="V4" s="9" t="s">
        <v>622</v>
      </c>
      <c r="W4" s="36">
        <v>89.090909090909093</v>
      </c>
      <c r="X4" s="36">
        <v>27.77962816467382</v>
      </c>
      <c r="Y4" s="36">
        <v>8.2827669902912628</v>
      </c>
      <c r="Z4" t="str">
        <f t="shared" ref="Z4:Z43" si="0">MID(V4,6,30)</f>
        <v>CASALI ANNA MARIA</v>
      </c>
    </row>
    <row r="5" spans="1:26" x14ac:dyDescent="0.3">
      <c r="A5" t="s">
        <v>381</v>
      </c>
      <c r="L5" t="s">
        <v>510</v>
      </c>
      <c r="U5">
        <v>3</v>
      </c>
      <c r="V5" s="9" t="s">
        <v>623</v>
      </c>
      <c r="W5" s="36">
        <v>120.60606060606061</v>
      </c>
      <c r="X5" s="36">
        <v>26.715536974901543</v>
      </c>
      <c r="Y5" s="36">
        <v>66.516990291262147</v>
      </c>
      <c r="Z5" t="str">
        <f t="shared" si="0"/>
        <v xml:space="preserve">MASSARI GIANNANTONIO </v>
      </c>
    </row>
    <row r="6" spans="1:26" x14ac:dyDescent="0.3">
      <c r="U6">
        <v>4</v>
      </c>
      <c r="V6" s="9" t="s">
        <v>624</v>
      </c>
      <c r="W6" s="36">
        <v>72.12121212121211</v>
      </c>
      <c r="X6" s="36">
        <v>38.200842725894418</v>
      </c>
      <c r="Y6" s="36">
        <v>30.412621359223301</v>
      </c>
      <c r="Z6" t="str">
        <f t="shared" si="0"/>
        <v>BOCCACCIO PALMA</v>
      </c>
    </row>
    <row r="7" spans="1:26" x14ac:dyDescent="0.3">
      <c r="B7" t="s">
        <v>382</v>
      </c>
      <c r="C7" t="s">
        <v>383</v>
      </c>
      <c r="D7" t="s">
        <v>384</v>
      </c>
      <c r="E7" t="s">
        <v>385</v>
      </c>
      <c r="F7" t="s">
        <v>386</v>
      </c>
      <c r="G7" s="31" t="s">
        <v>387</v>
      </c>
      <c r="M7" t="s">
        <v>382</v>
      </c>
      <c r="N7" t="s">
        <v>383</v>
      </c>
      <c r="O7" t="s">
        <v>384</v>
      </c>
      <c r="P7" t="s">
        <v>385</v>
      </c>
      <c r="Q7" t="s">
        <v>386</v>
      </c>
      <c r="R7" s="31" t="s">
        <v>387</v>
      </c>
      <c r="U7">
        <v>5</v>
      </c>
      <c r="V7" s="9" t="s">
        <v>625</v>
      </c>
      <c r="W7" s="36">
        <v>86.666666666666657</v>
      </c>
      <c r="X7" s="36">
        <v>47.414866069167516</v>
      </c>
      <c r="Y7" s="36">
        <v>16.183252427184467</v>
      </c>
      <c r="Z7" t="str">
        <f t="shared" si="0"/>
        <v>SALERIO DANTE ATTILIO</v>
      </c>
    </row>
    <row r="8" spans="1:26" x14ac:dyDescent="0.3">
      <c r="A8">
        <v>1</v>
      </c>
      <c r="B8">
        <v>1</v>
      </c>
      <c r="C8" t="s">
        <v>0</v>
      </c>
      <c r="D8">
        <v>1.1399999999999999</v>
      </c>
      <c r="E8">
        <v>86.22</v>
      </c>
      <c r="F8" t="s">
        <v>388</v>
      </c>
      <c r="G8" s="31">
        <v>1.85</v>
      </c>
      <c r="L8">
        <v>1</v>
      </c>
      <c r="M8">
        <v>1</v>
      </c>
      <c r="N8" t="s">
        <v>35</v>
      </c>
      <c r="Q8" t="s">
        <v>511</v>
      </c>
      <c r="R8" s="31">
        <v>0.1</v>
      </c>
      <c r="U8">
        <v>6</v>
      </c>
      <c r="V8" s="9" t="s">
        <v>626</v>
      </c>
      <c r="W8" s="36">
        <v>90.909090909090921</v>
      </c>
      <c r="X8" s="36">
        <v>25.683052454132397</v>
      </c>
      <c r="Y8" s="36">
        <v>88.179611650485455</v>
      </c>
      <c r="Z8" t="str">
        <f t="shared" si="0"/>
        <v>POZZAGLIO LAURA</v>
      </c>
    </row>
    <row r="9" spans="1:26" x14ac:dyDescent="0.3">
      <c r="A9">
        <v>2</v>
      </c>
      <c r="B9">
        <v>2</v>
      </c>
      <c r="C9" t="s">
        <v>1</v>
      </c>
      <c r="D9">
        <v>1.48</v>
      </c>
      <c r="E9">
        <v>728.65800000000002</v>
      </c>
      <c r="F9" t="s">
        <v>389</v>
      </c>
      <c r="G9" s="31">
        <v>12.16</v>
      </c>
      <c r="L9">
        <v>2</v>
      </c>
      <c r="M9">
        <v>2</v>
      </c>
      <c r="N9" t="s">
        <v>36</v>
      </c>
      <c r="O9">
        <v>1.81</v>
      </c>
      <c r="P9">
        <v>43.631999999999998</v>
      </c>
      <c r="Q9" t="s">
        <v>512</v>
      </c>
      <c r="R9" s="31">
        <v>427.75</v>
      </c>
      <c r="U9">
        <v>7</v>
      </c>
      <c r="V9" s="9" t="s">
        <v>627</v>
      </c>
      <c r="W9" s="36">
        <v>66.666666666666657</v>
      </c>
      <c r="X9" s="36">
        <v>77.04915736239721</v>
      </c>
      <c r="Y9" s="36">
        <v>39.799757281553404</v>
      </c>
      <c r="Z9" t="str">
        <f t="shared" si="0"/>
        <v>GHIRETTI SILVIA</v>
      </c>
    </row>
    <row r="10" spans="1:26" x14ac:dyDescent="0.3">
      <c r="A10">
        <v>3</v>
      </c>
      <c r="B10">
        <v>3</v>
      </c>
      <c r="C10" t="s">
        <v>50</v>
      </c>
      <c r="D10">
        <v>3.75</v>
      </c>
      <c r="E10">
        <v>190.226</v>
      </c>
      <c r="F10" t="s">
        <v>390</v>
      </c>
      <c r="G10" s="31">
        <v>1.1100000000000001</v>
      </c>
      <c r="L10">
        <v>3</v>
      </c>
      <c r="M10">
        <v>3</v>
      </c>
      <c r="N10" t="s">
        <v>37</v>
      </c>
      <c r="Q10" t="s">
        <v>513</v>
      </c>
      <c r="R10" s="31">
        <v>0.1</v>
      </c>
      <c r="U10">
        <v>8</v>
      </c>
      <c r="V10" s="9" t="s">
        <v>628</v>
      </c>
      <c r="W10" s="36">
        <v>117.57575757575762</v>
      </c>
      <c r="X10" s="36">
        <v>23.829636297648612</v>
      </c>
      <c r="Y10" s="36">
        <v>23.404126213592235</v>
      </c>
      <c r="Z10" t="str">
        <f t="shared" si="0"/>
        <v>CARIELLO GIUSEPPE</v>
      </c>
    </row>
    <row r="11" spans="1:26" x14ac:dyDescent="0.3">
      <c r="A11">
        <v>4</v>
      </c>
      <c r="B11">
        <v>4</v>
      </c>
      <c r="C11" t="s">
        <v>2</v>
      </c>
      <c r="D11">
        <v>3.87</v>
      </c>
      <c r="E11">
        <v>146.63</v>
      </c>
      <c r="F11" t="s">
        <v>391</v>
      </c>
      <c r="G11" s="31">
        <v>0.8</v>
      </c>
      <c r="L11">
        <v>4</v>
      </c>
      <c r="M11">
        <v>4</v>
      </c>
      <c r="N11" t="s">
        <v>38</v>
      </c>
      <c r="O11">
        <v>1.17</v>
      </c>
      <c r="P11">
        <v>170.655</v>
      </c>
      <c r="Q11" t="s">
        <v>514</v>
      </c>
      <c r="R11" s="31">
        <v>0.84</v>
      </c>
      <c r="U11">
        <v>9</v>
      </c>
      <c r="V11" s="9" t="s">
        <v>629</v>
      </c>
      <c r="W11" s="36">
        <v>56.36363636363636</v>
      </c>
      <c r="X11" s="36">
        <v>37.281850336643814</v>
      </c>
      <c r="Y11" s="36">
        <v>62.694174757281559</v>
      </c>
      <c r="Z11" t="str">
        <f t="shared" si="0"/>
        <v>SCARIONI NICOLE</v>
      </c>
    </row>
    <row r="12" spans="1:26" x14ac:dyDescent="0.3">
      <c r="A12">
        <v>5</v>
      </c>
      <c r="B12">
        <v>5</v>
      </c>
      <c r="C12" t="s">
        <v>3</v>
      </c>
      <c r="D12">
        <v>4.51</v>
      </c>
      <c r="E12">
        <v>171.97499999999999</v>
      </c>
      <c r="F12" t="s">
        <v>392</v>
      </c>
      <c r="G12" s="31">
        <v>0.1</v>
      </c>
      <c r="L12">
        <v>5</v>
      </c>
      <c r="M12">
        <v>5</v>
      </c>
      <c r="N12" t="s">
        <v>39</v>
      </c>
      <c r="O12">
        <v>1.34</v>
      </c>
      <c r="P12">
        <v>27.404</v>
      </c>
      <c r="Q12" t="s">
        <v>515</v>
      </c>
      <c r="R12" s="31">
        <v>45.84</v>
      </c>
      <c r="U12">
        <v>10</v>
      </c>
      <c r="V12" s="9" t="s">
        <v>630</v>
      </c>
      <c r="W12" s="36">
        <v>49.696969696969688</v>
      </c>
      <c r="X12" s="36">
        <v>41.343450292018026</v>
      </c>
      <c r="Y12" s="36">
        <v>24.381067961165048</v>
      </c>
      <c r="Z12" t="str">
        <f t="shared" si="0"/>
        <v>BORGONOVO NICOLETTA</v>
      </c>
    </row>
    <row r="13" spans="1:26" x14ac:dyDescent="0.3">
      <c r="A13">
        <v>6</v>
      </c>
      <c r="B13">
        <v>6</v>
      </c>
      <c r="C13" t="s">
        <v>4</v>
      </c>
      <c r="F13" t="s">
        <v>393</v>
      </c>
      <c r="G13" s="31">
        <v>0.1</v>
      </c>
      <c r="L13">
        <v>6</v>
      </c>
      <c r="M13">
        <v>6</v>
      </c>
      <c r="N13" t="s">
        <v>40</v>
      </c>
      <c r="Q13" t="s">
        <v>516</v>
      </c>
      <c r="R13" s="31">
        <v>0.1</v>
      </c>
      <c r="U13">
        <v>11</v>
      </c>
      <c r="V13" s="9" t="s">
        <v>631</v>
      </c>
      <c r="W13" s="36">
        <v>116.47058823529412</v>
      </c>
      <c r="X13" s="36">
        <v>18.843672094446088</v>
      </c>
      <c r="Y13" s="36">
        <v>15.67354368932039</v>
      </c>
      <c r="Z13" t="str">
        <f t="shared" si="0"/>
        <v>CUTINO ROBERTA</v>
      </c>
    </row>
    <row r="14" spans="1:26" x14ac:dyDescent="0.3">
      <c r="A14">
        <v>7</v>
      </c>
      <c r="B14">
        <v>7</v>
      </c>
      <c r="C14" t="s">
        <v>5</v>
      </c>
      <c r="D14">
        <v>2.79</v>
      </c>
      <c r="E14">
        <v>28.027999999999999</v>
      </c>
      <c r="F14" t="s">
        <v>394</v>
      </c>
      <c r="G14" s="31">
        <v>0.09</v>
      </c>
      <c r="L14">
        <v>7</v>
      </c>
      <c r="M14">
        <v>7</v>
      </c>
      <c r="N14" t="s">
        <v>41</v>
      </c>
      <c r="O14">
        <v>2.17</v>
      </c>
      <c r="P14">
        <v>7.1779999999999999</v>
      </c>
      <c r="Q14" t="s">
        <v>517</v>
      </c>
      <c r="R14" s="31">
        <v>1.53</v>
      </c>
      <c r="U14">
        <v>12</v>
      </c>
      <c r="V14" s="37" t="s">
        <v>632</v>
      </c>
      <c r="W14" s="36">
        <v>77.647058823529392</v>
      </c>
      <c r="X14" s="36">
        <v>66.754710717559036</v>
      </c>
      <c r="Y14" s="36">
        <v>73.695388349514573</v>
      </c>
      <c r="Z14" t="str">
        <f t="shared" si="0"/>
        <v xml:space="preserve">MOSETTI FILIPPO MARIA </v>
      </c>
    </row>
    <row r="15" spans="1:26" x14ac:dyDescent="0.3">
      <c r="A15">
        <v>8</v>
      </c>
      <c r="B15">
        <v>8</v>
      </c>
      <c r="C15" t="s">
        <v>6</v>
      </c>
      <c r="F15" t="s">
        <v>395</v>
      </c>
      <c r="G15" s="31">
        <v>0.1</v>
      </c>
      <c r="L15">
        <v>8</v>
      </c>
      <c r="M15">
        <v>8</v>
      </c>
      <c r="N15" t="s">
        <v>42</v>
      </c>
      <c r="Q15" t="s">
        <v>518</v>
      </c>
      <c r="R15" s="31">
        <v>0.1</v>
      </c>
      <c r="U15">
        <v>13</v>
      </c>
      <c r="V15" s="9" t="s">
        <v>633</v>
      </c>
      <c r="W15" s="36">
        <v>55.294117647058805</v>
      </c>
      <c r="X15" s="36">
        <v>56.582198733572177</v>
      </c>
      <c r="Y15" s="36">
        <v>10.279126213592232</v>
      </c>
      <c r="Z15" t="str">
        <f t="shared" si="0"/>
        <v>MAFFEI DEBORA</v>
      </c>
    </row>
    <row r="16" spans="1:26" x14ac:dyDescent="0.3">
      <c r="A16">
        <v>9</v>
      </c>
      <c r="B16">
        <v>9</v>
      </c>
      <c r="C16" t="s">
        <v>7</v>
      </c>
      <c r="D16">
        <v>3.59</v>
      </c>
      <c r="E16">
        <v>16.591000000000001</v>
      </c>
      <c r="F16" t="s">
        <v>396</v>
      </c>
      <c r="G16" s="31">
        <v>1.24</v>
      </c>
      <c r="L16">
        <v>9</v>
      </c>
      <c r="M16">
        <v>9</v>
      </c>
      <c r="N16" t="s">
        <v>43</v>
      </c>
      <c r="O16">
        <v>2.59</v>
      </c>
      <c r="P16">
        <v>50.292000000000002</v>
      </c>
      <c r="Q16" t="s">
        <v>519</v>
      </c>
      <c r="R16" s="31">
        <v>0.12</v>
      </c>
      <c r="U16">
        <v>14</v>
      </c>
      <c r="V16" s="9" t="s">
        <v>634</v>
      </c>
      <c r="W16" s="36">
        <v>62.352941176470573</v>
      </c>
      <c r="X16" s="36">
        <v>53.172288700064861</v>
      </c>
      <c r="Y16" s="36">
        <v>33.216019417475735</v>
      </c>
      <c r="Z16" t="str">
        <f t="shared" si="0"/>
        <v>BARONI FABIANA</v>
      </c>
    </row>
    <row r="17" spans="1:26" x14ac:dyDescent="0.3">
      <c r="A17">
        <v>10</v>
      </c>
      <c r="B17">
        <v>10</v>
      </c>
      <c r="C17" t="s">
        <v>51</v>
      </c>
      <c r="D17">
        <v>4.76</v>
      </c>
      <c r="E17">
        <v>207.56399999999999</v>
      </c>
      <c r="F17" t="s">
        <v>397</v>
      </c>
      <c r="G17" s="31">
        <v>0.36</v>
      </c>
      <c r="L17">
        <v>10</v>
      </c>
      <c r="M17">
        <v>10</v>
      </c>
      <c r="N17" t="s">
        <v>52</v>
      </c>
      <c r="O17">
        <v>4.21</v>
      </c>
      <c r="P17">
        <v>55.497</v>
      </c>
      <c r="Q17" t="s">
        <v>520</v>
      </c>
      <c r="R17" s="31">
        <v>0.1</v>
      </c>
      <c r="U17">
        <v>15</v>
      </c>
      <c r="V17" s="9" t="s">
        <v>635</v>
      </c>
      <c r="W17" s="36">
        <v>63.529411764705884</v>
      </c>
      <c r="X17" s="36">
        <v>31.606584754159567</v>
      </c>
      <c r="Y17" s="36">
        <v>19.496359223300971</v>
      </c>
      <c r="Z17" t="str">
        <f t="shared" si="0"/>
        <v>GIBELLI VALENTINA</v>
      </c>
    </row>
    <row r="18" spans="1:26" x14ac:dyDescent="0.3">
      <c r="A18">
        <v>11</v>
      </c>
      <c r="B18">
        <v>11</v>
      </c>
      <c r="C18" t="s">
        <v>8</v>
      </c>
      <c r="F18" t="s">
        <v>398</v>
      </c>
      <c r="G18" s="31">
        <v>0.1</v>
      </c>
      <c r="L18">
        <v>11</v>
      </c>
      <c r="M18">
        <v>11</v>
      </c>
      <c r="N18" t="s">
        <v>44</v>
      </c>
      <c r="Q18" t="s">
        <v>521</v>
      </c>
      <c r="R18" s="31">
        <v>0.1</v>
      </c>
      <c r="U18">
        <v>16</v>
      </c>
      <c r="V18" s="9" t="s">
        <v>636</v>
      </c>
      <c r="W18" s="36">
        <v>139.41176470588229</v>
      </c>
      <c r="X18" s="36">
        <v>18.422442688618183</v>
      </c>
      <c r="Y18" s="36">
        <v>12.063106796116505</v>
      </c>
      <c r="Z18" t="str">
        <f t="shared" si="0"/>
        <v>BELA DANIELE</v>
      </c>
    </row>
    <row r="19" spans="1:26" x14ac:dyDescent="0.3">
      <c r="A19">
        <v>12</v>
      </c>
      <c r="B19">
        <v>12</v>
      </c>
      <c r="C19" t="s">
        <v>9</v>
      </c>
      <c r="D19">
        <v>2.64</v>
      </c>
      <c r="E19">
        <v>28.32</v>
      </c>
      <c r="F19" t="s">
        <v>399</v>
      </c>
      <c r="G19" s="31">
        <v>2.74</v>
      </c>
      <c r="L19">
        <v>12</v>
      </c>
      <c r="M19">
        <v>12</v>
      </c>
      <c r="N19" t="s">
        <v>45</v>
      </c>
      <c r="O19">
        <v>3.59</v>
      </c>
      <c r="P19">
        <v>21.844000000000001</v>
      </c>
      <c r="Q19" t="s">
        <v>522</v>
      </c>
      <c r="R19" s="31">
        <v>0.1</v>
      </c>
      <c r="U19">
        <v>17</v>
      </c>
      <c r="V19" s="9" t="s">
        <v>637</v>
      </c>
      <c r="W19" s="36">
        <v>223.5294117647058</v>
      </c>
      <c r="X19" s="36">
        <v>18.592563810096809</v>
      </c>
      <c r="Y19" s="36">
        <v>7.1783980582524283</v>
      </c>
      <c r="Z19" t="str">
        <f t="shared" si="0"/>
        <v>COLOMBINI WIDMER</v>
      </c>
    </row>
    <row r="20" spans="1:26" x14ac:dyDescent="0.3">
      <c r="A20">
        <v>13</v>
      </c>
      <c r="B20">
        <v>13</v>
      </c>
      <c r="C20" t="s">
        <v>10</v>
      </c>
      <c r="D20">
        <v>4.22</v>
      </c>
      <c r="E20">
        <v>169.34800000000001</v>
      </c>
      <c r="F20" t="s">
        <v>400</v>
      </c>
      <c r="G20" s="31">
        <v>0.1</v>
      </c>
      <c r="L20">
        <v>13</v>
      </c>
      <c r="M20">
        <v>13</v>
      </c>
      <c r="N20" t="s">
        <v>46</v>
      </c>
      <c r="O20">
        <v>2.57</v>
      </c>
      <c r="P20">
        <v>2281.3130000000001</v>
      </c>
      <c r="Q20" t="s">
        <v>523</v>
      </c>
      <c r="R20" s="31">
        <v>0.1</v>
      </c>
      <c r="U20">
        <v>18</v>
      </c>
      <c r="V20" s="9" t="s">
        <v>638</v>
      </c>
      <c r="W20" s="36">
        <v>71.764705882352928</v>
      </c>
      <c r="X20" s="36">
        <v>2.6027534528778</v>
      </c>
      <c r="Y20" s="36">
        <v>32.536407766990294</v>
      </c>
      <c r="Z20" t="str">
        <f t="shared" si="0"/>
        <v>DOZZO BRUNA</v>
      </c>
    </row>
    <row r="21" spans="1:26" x14ac:dyDescent="0.3">
      <c r="A21">
        <v>14</v>
      </c>
      <c r="B21">
        <v>14</v>
      </c>
      <c r="C21" t="s">
        <v>11</v>
      </c>
      <c r="F21" t="s">
        <v>401</v>
      </c>
      <c r="G21" s="31">
        <v>0.1</v>
      </c>
      <c r="L21">
        <v>14</v>
      </c>
      <c r="M21">
        <v>14</v>
      </c>
      <c r="N21" t="s">
        <v>47</v>
      </c>
      <c r="Q21" t="s">
        <v>524</v>
      </c>
      <c r="R21" s="31">
        <v>0.1</v>
      </c>
      <c r="U21">
        <v>19</v>
      </c>
      <c r="V21" s="9" t="s">
        <v>639</v>
      </c>
      <c r="W21" s="36">
        <v>167.05882352941177</v>
      </c>
      <c r="X21" s="36">
        <v>17.33030556123915</v>
      </c>
      <c r="Y21" s="36">
        <v>52.5</v>
      </c>
      <c r="Z21" t="str">
        <f t="shared" si="0"/>
        <v>VALORI STEFANO</v>
      </c>
    </row>
    <row r="22" spans="1:26" x14ac:dyDescent="0.3">
      <c r="A22">
        <v>15</v>
      </c>
      <c r="B22">
        <v>15</v>
      </c>
      <c r="C22" t="s">
        <v>12</v>
      </c>
      <c r="D22">
        <v>3.35</v>
      </c>
      <c r="E22">
        <v>45.048999999999999</v>
      </c>
      <c r="F22" t="s">
        <v>402</v>
      </c>
      <c r="G22" s="31">
        <v>1.64</v>
      </c>
      <c r="L22">
        <v>15</v>
      </c>
      <c r="M22">
        <v>15</v>
      </c>
      <c r="N22" t="s">
        <v>48</v>
      </c>
      <c r="O22">
        <v>1.23</v>
      </c>
      <c r="P22">
        <v>9.9309999999999992</v>
      </c>
      <c r="Q22" t="s">
        <v>525</v>
      </c>
      <c r="R22" s="31">
        <v>0.1</v>
      </c>
      <c r="U22">
        <v>20</v>
      </c>
      <c r="V22" s="9" t="s">
        <v>640</v>
      </c>
      <c r="W22" s="36">
        <v>157.05882352941177</v>
      </c>
      <c r="X22" s="36">
        <v>2.9731827832499205</v>
      </c>
      <c r="Y22" s="36">
        <v>88.944174757281544</v>
      </c>
      <c r="Z22" t="str">
        <f t="shared" si="0"/>
        <v>BIGLIARDI FEDERICO</v>
      </c>
    </row>
    <row r="23" spans="1:26" x14ac:dyDescent="0.3">
      <c r="A23">
        <v>16</v>
      </c>
      <c r="B23">
        <v>16</v>
      </c>
      <c r="C23" t="s">
        <v>13</v>
      </c>
      <c r="F23" t="s">
        <v>403</v>
      </c>
      <c r="G23" s="31">
        <v>0.1</v>
      </c>
      <c r="L23">
        <v>16</v>
      </c>
      <c r="M23">
        <v>16</v>
      </c>
      <c r="N23" t="s">
        <v>53</v>
      </c>
      <c r="O23">
        <v>4.6100000000000003</v>
      </c>
      <c r="P23">
        <v>315.84800000000001</v>
      </c>
      <c r="Q23" t="s">
        <v>526</v>
      </c>
      <c r="R23" s="31">
        <v>0.1</v>
      </c>
      <c r="U23">
        <v>21</v>
      </c>
      <c r="V23" s="9" t="s">
        <v>641</v>
      </c>
      <c r="W23" s="36">
        <v>173.10344827586206</v>
      </c>
      <c r="X23" s="36">
        <v>21.850594065467952</v>
      </c>
      <c r="Y23" s="36">
        <v>10.746359223300972</v>
      </c>
      <c r="Z23" t="str">
        <f t="shared" si="0"/>
        <v xml:space="preserve">PAVAN SERGIO </v>
      </c>
    </row>
    <row r="24" spans="1:26" x14ac:dyDescent="0.3">
      <c r="A24">
        <v>17</v>
      </c>
      <c r="B24">
        <v>17</v>
      </c>
      <c r="C24" t="s">
        <v>14</v>
      </c>
      <c r="D24">
        <v>2.08</v>
      </c>
      <c r="E24">
        <v>37.97</v>
      </c>
      <c r="F24" t="s">
        <v>404</v>
      </c>
      <c r="G24" s="31">
        <v>3.24</v>
      </c>
      <c r="L24">
        <v>17</v>
      </c>
      <c r="M24">
        <v>17</v>
      </c>
      <c r="N24" t="s">
        <v>54</v>
      </c>
      <c r="O24">
        <v>5.23</v>
      </c>
      <c r="P24">
        <v>53.720999999999997</v>
      </c>
      <c r="Q24" t="s">
        <v>527</v>
      </c>
      <c r="R24" s="31">
        <v>0.1</v>
      </c>
      <c r="U24">
        <v>22</v>
      </c>
      <c r="V24" s="9" t="s">
        <v>642</v>
      </c>
      <c r="W24" s="36">
        <v>102.06896551724137</v>
      </c>
      <c r="X24" s="36">
        <v>43.004914613000572</v>
      </c>
      <c r="Y24" s="36">
        <v>17.882281553398059</v>
      </c>
      <c r="Z24" t="str">
        <f t="shared" si="0"/>
        <v>GROPPI ADELE</v>
      </c>
    </row>
    <row r="25" spans="1:26" x14ac:dyDescent="0.3">
      <c r="A25">
        <v>18</v>
      </c>
      <c r="B25">
        <v>18</v>
      </c>
      <c r="C25" t="s">
        <v>15</v>
      </c>
      <c r="D25">
        <v>2.52</v>
      </c>
      <c r="E25">
        <v>15.64</v>
      </c>
      <c r="F25" t="s">
        <v>405</v>
      </c>
      <c r="G25" s="31">
        <v>10.29</v>
      </c>
      <c r="L25">
        <v>18</v>
      </c>
      <c r="M25">
        <v>18</v>
      </c>
      <c r="N25" t="s">
        <v>55</v>
      </c>
      <c r="O25">
        <v>1.2</v>
      </c>
      <c r="P25">
        <v>7.4450000000000003</v>
      </c>
      <c r="Q25" t="s">
        <v>528</v>
      </c>
      <c r="R25" s="31">
        <v>0.1</v>
      </c>
      <c r="U25">
        <v>23</v>
      </c>
      <c r="V25" s="9" t="s">
        <v>643</v>
      </c>
      <c r="W25" s="36">
        <v>71.034482758620697</v>
      </c>
      <c r="X25" s="36">
        <v>52.590186843413207</v>
      </c>
      <c r="Y25" s="36">
        <v>66.134708737864074</v>
      </c>
      <c r="Z25" t="str">
        <f t="shared" si="0"/>
        <v>BERSANETTI MAURA</v>
      </c>
    </row>
    <row r="26" spans="1:26" x14ac:dyDescent="0.3">
      <c r="A26">
        <v>19</v>
      </c>
      <c r="B26">
        <v>19</v>
      </c>
      <c r="C26" t="s">
        <v>16</v>
      </c>
      <c r="D26">
        <v>2.83</v>
      </c>
      <c r="E26">
        <v>1.9410000000000001</v>
      </c>
      <c r="F26" t="s">
        <v>406</v>
      </c>
      <c r="G26" s="31">
        <v>0.3</v>
      </c>
      <c r="L26">
        <v>19</v>
      </c>
      <c r="M26">
        <v>19</v>
      </c>
      <c r="N26" t="s">
        <v>56</v>
      </c>
      <c r="O26">
        <v>0.86</v>
      </c>
      <c r="P26">
        <v>84.950999999999993</v>
      </c>
      <c r="Q26" t="s">
        <v>529</v>
      </c>
      <c r="R26" s="31">
        <v>0.1</v>
      </c>
      <c r="U26">
        <v>24</v>
      </c>
      <c r="V26" s="9" t="s">
        <v>644</v>
      </c>
      <c r="W26" s="36">
        <v>95.172413793103431</v>
      </c>
      <c r="X26" s="36">
        <v>4.9065119971662705</v>
      </c>
      <c r="Y26" s="36">
        <v>9.0473300970873787</v>
      </c>
      <c r="Z26" t="str">
        <f t="shared" si="0"/>
        <v>ANGELILLIS LIBERA</v>
      </c>
    </row>
    <row r="27" spans="1:26" x14ac:dyDescent="0.3">
      <c r="A27">
        <v>20</v>
      </c>
      <c r="B27">
        <v>20</v>
      </c>
      <c r="C27" t="s">
        <v>17</v>
      </c>
      <c r="D27">
        <v>3.29</v>
      </c>
      <c r="E27">
        <v>442.43700000000001</v>
      </c>
      <c r="F27" t="s">
        <v>407</v>
      </c>
      <c r="G27" s="31">
        <v>0.16</v>
      </c>
      <c r="L27">
        <v>20</v>
      </c>
      <c r="M27">
        <v>20</v>
      </c>
      <c r="N27" t="s">
        <v>57</v>
      </c>
      <c r="Q27" t="s">
        <v>530</v>
      </c>
      <c r="R27" s="31">
        <v>0.1</v>
      </c>
      <c r="U27">
        <v>25</v>
      </c>
      <c r="V27" s="37" t="s">
        <v>645</v>
      </c>
      <c r="W27" s="36">
        <v>72.41379310344827</v>
      </c>
      <c r="X27" s="36">
        <v>43.205342786475555</v>
      </c>
      <c r="Y27" s="36">
        <v>21.832524271844662</v>
      </c>
      <c r="Z27" t="str">
        <f t="shared" si="0"/>
        <v>RIZZI GRAZIA</v>
      </c>
    </row>
    <row r="28" spans="1:26" x14ac:dyDescent="0.3">
      <c r="A28">
        <v>21</v>
      </c>
      <c r="B28">
        <v>21</v>
      </c>
      <c r="C28" t="s">
        <v>18</v>
      </c>
      <c r="D28">
        <v>3.69</v>
      </c>
      <c r="E28">
        <v>350.19600000000003</v>
      </c>
      <c r="F28" t="s">
        <v>408</v>
      </c>
      <c r="G28" s="31">
        <v>0.08</v>
      </c>
      <c r="L28">
        <v>21</v>
      </c>
      <c r="M28">
        <v>21</v>
      </c>
      <c r="N28" t="s">
        <v>58</v>
      </c>
      <c r="Q28" t="s">
        <v>531</v>
      </c>
      <c r="R28" s="31">
        <v>0.1</v>
      </c>
      <c r="U28">
        <v>26</v>
      </c>
      <c r="V28" s="9" t="s">
        <v>646</v>
      </c>
      <c r="W28" s="36">
        <v>138.62068965517241</v>
      </c>
      <c r="X28" s="36">
        <v>38.065745315328762</v>
      </c>
      <c r="Y28" s="36">
        <v>49.739077669902919</v>
      </c>
      <c r="Z28" t="str">
        <f t="shared" si="0"/>
        <v>ALESSI ANDREA</v>
      </c>
    </row>
    <row r="29" spans="1:26" x14ac:dyDescent="0.3">
      <c r="A29">
        <v>22</v>
      </c>
      <c r="B29">
        <v>22</v>
      </c>
      <c r="C29" t="s">
        <v>19</v>
      </c>
      <c r="F29" t="s">
        <v>409</v>
      </c>
      <c r="G29" s="31">
        <v>0.1</v>
      </c>
      <c r="L29">
        <v>22</v>
      </c>
      <c r="M29">
        <v>22</v>
      </c>
      <c r="N29" t="s">
        <v>59</v>
      </c>
      <c r="Q29" t="s">
        <v>532</v>
      </c>
      <c r="R29" s="31">
        <v>0.1</v>
      </c>
      <c r="U29">
        <v>27</v>
      </c>
      <c r="V29" s="9" t="s">
        <v>647</v>
      </c>
      <c r="W29" s="36">
        <v>144.82758620689657</v>
      </c>
      <c r="X29" s="36">
        <v>25.149378636903677</v>
      </c>
      <c r="Y29" s="36">
        <v>23.743932038834956</v>
      </c>
      <c r="Z29" t="str">
        <f t="shared" si="0"/>
        <v>GRANDINI ROBERTA</v>
      </c>
    </row>
    <row r="30" spans="1:26" x14ac:dyDescent="0.3">
      <c r="A30">
        <v>23</v>
      </c>
      <c r="B30">
        <v>23</v>
      </c>
      <c r="C30" t="s">
        <v>20</v>
      </c>
      <c r="F30" t="s">
        <v>410</v>
      </c>
      <c r="G30" s="31">
        <v>0.1</v>
      </c>
      <c r="L30">
        <v>23</v>
      </c>
      <c r="M30">
        <v>23</v>
      </c>
      <c r="N30" t="s">
        <v>60</v>
      </c>
      <c r="O30">
        <v>2.6</v>
      </c>
      <c r="P30">
        <v>115.22499999999999</v>
      </c>
      <c r="Q30" t="s">
        <v>533</v>
      </c>
      <c r="R30" s="31">
        <v>2.06</v>
      </c>
      <c r="U30">
        <v>28</v>
      </c>
      <c r="V30" s="9" t="s">
        <v>648</v>
      </c>
      <c r="W30" s="36">
        <v>71.034482758620683</v>
      </c>
      <c r="X30" s="36">
        <v>30.896734770505269</v>
      </c>
      <c r="Y30" s="36">
        <v>10.321601941747574</v>
      </c>
      <c r="Z30" t="str">
        <f t="shared" si="0"/>
        <v>DE MAJO ELVIRA</v>
      </c>
    </row>
    <row r="31" spans="1:26" x14ac:dyDescent="0.3">
      <c r="A31">
        <v>24</v>
      </c>
      <c r="B31">
        <v>24</v>
      </c>
      <c r="C31" t="s">
        <v>21</v>
      </c>
      <c r="D31">
        <v>4.18</v>
      </c>
      <c r="E31">
        <v>40.167999999999999</v>
      </c>
      <c r="F31" t="s">
        <v>411</v>
      </c>
      <c r="G31" s="31">
        <v>0.1</v>
      </c>
      <c r="U31">
        <v>29</v>
      </c>
      <c r="V31" s="9" t="s">
        <v>649</v>
      </c>
      <c r="W31" s="36">
        <v>65.517241379310335</v>
      </c>
      <c r="X31" s="36">
        <v>44.902331898277424</v>
      </c>
      <c r="Y31" s="36">
        <v>10.958737864077671</v>
      </c>
      <c r="Z31" t="str">
        <f t="shared" si="0"/>
        <v>PAGLIARI JESSICA</v>
      </c>
    </row>
    <row r="32" spans="1:26" x14ac:dyDescent="0.3">
      <c r="A32">
        <v>25</v>
      </c>
      <c r="B32">
        <v>25</v>
      </c>
      <c r="C32" t="s">
        <v>22</v>
      </c>
      <c r="D32">
        <v>3.55</v>
      </c>
      <c r="E32">
        <v>37.854999999999997</v>
      </c>
      <c r="F32" t="s">
        <v>412</v>
      </c>
      <c r="G32" s="31">
        <v>22</v>
      </c>
      <c r="L32" t="s">
        <v>379</v>
      </c>
      <c r="U32">
        <v>30</v>
      </c>
      <c r="V32" s="9" t="s">
        <v>650</v>
      </c>
      <c r="W32" s="36">
        <v>93.793103448275886</v>
      </c>
      <c r="X32" s="36">
        <v>16.429599731687635</v>
      </c>
      <c r="Y32" s="36">
        <v>8.7075242718446599</v>
      </c>
      <c r="Z32" t="str">
        <f t="shared" si="0"/>
        <v>TELESIO DI TORITTO ANNA</v>
      </c>
    </row>
    <row r="33" spans="1:26" x14ac:dyDescent="0.3">
      <c r="A33">
        <v>26</v>
      </c>
      <c r="B33">
        <v>26</v>
      </c>
      <c r="C33" t="s">
        <v>23</v>
      </c>
      <c r="F33" t="s">
        <v>413</v>
      </c>
      <c r="G33" s="31">
        <v>0.1</v>
      </c>
      <c r="U33">
        <v>31</v>
      </c>
      <c r="V33" s="9" t="s">
        <v>651</v>
      </c>
      <c r="W33" s="36">
        <v>121.37931034482759</v>
      </c>
      <c r="X33" s="36">
        <v>39.62565995893258</v>
      </c>
      <c r="Y33" s="36">
        <v>10.236650485436893</v>
      </c>
      <c r="Z33" t="str">
        <f t="shared" si="0"/>
        <v>PINCOLINI VICTORIA</v>
      </c>
    </row>
    <row r="34" spans="1:26" x14ac:dyDescent="0.3">
      <c r="A34">
        <v>27</v>
      </c>
      <c r="B34">
        <v>27</v>
      </c>
      <c r="C34" t="s">
        <v>24</v>
      </c>
      <c r="D34">
        <v>3.45</v>
      </c>
      <c r="E34">
        <v>17.512</v>
      </c>
      <c r="F34" t="s">
        <v>414</v>
      </c>
      <c r="G34" s="31">
        <v>0.1</v>
      </c>
      <c r="L34" t="s">
        <v>509</v>
      </c>
      <c r="U34">
        <v>32</v>
      </c>
      <c r="V34" s="9" t="s">
        <v>652</v>
      </c>
      <c r="W34" s="36">
        <v>151.03448275862067</v>
      </c>
      <c r="X34" s="36">
        <v>34.937053919548319</v>
      </c>
      <c r="Y34" s="36">
        <v>94.508495145631073</v>
      </c>
      <c r="Z34" t="str">
        <f t="shared" si="0"/>
        <v>BERTOLETTI GABRIELLA</v>
      </c>
    </row>
    <row r="35" spans="1:26" x14ac:dyDescent="0.3">
      <c r="A35">
        <v>28</v>
      </c>
      <c r="B35">
        <v>28</v>
      </c>
      <c r="C35" t="s">
        <v>25</v>
      </c>
      <c r="F35" t="s">
        <v>415</v>
      </c>
      <c r="G35" s="31">
        <v>0.1</v>
      </c>
      <c r="U35">
        <v>33</v>
      </c>
      <c r="V35" s="9" t="s">
        <v>653</v>
      </c>
      <c r="W35" s="36">
        <v>108.96551724137933</v>
      </c>
      <c r="X35" s="36">
        <v>22.712803004603852</v>
      </c>
      <c r="Y35" s="36">
        <v>24.041262135922331</v>
      </c>
      <c r="Z35" t="str">
        <f t="shared" si="0"/>
        <v>CATIZZONE EMILIA</v>
      </c>
    </row>
    <row r="36" spans="1:26" x14ac:dyDescent="0.3">
      <c r="A36">
        <v>29</v>
      </c>
      <c r="B36">
        <v>29</v>
      </c>
      <c r="C36" t="s">
        <v>26</v>
      </c>
      <c r="F36" t="s">
        <v>416</v>
      </c>
      <c r="G36" s="31">
        <v>0.1</v>
      </c>
      <c r="L36" t="s">
        <v>534</v>
      </c>
      <c r="U36">
        <v>34</v>
      </c>
      <c r="V36" s="9" t="s">
        <v>654</v>
      </c>
      <c r="W36" s="36">
        <v>175.17241379310349</v>
      </c>
      <c r="X36" s="36">
        <v>34.388081328170834</v>
      </c>
      <c r="Y36" s="36">
        <v>26.717233009708739</v>
      </c>
      <c r="Z36" t="str">
        <f t="shared" si="0"/>
        <v>ABATI CLAUDIO</v>
      </c>
    </row>
    <row r="37" spans="1:26" x14ac:dyDescent="0.3">
      <c r="A37">
        <v>30</v>
      </c>
      <c r="B37">
        <v>30</v>
      </c>
      <c r="C37" t="s">
        <v>27</v>
      </c>
      <c r="D37">
        <v>4.33</v>
      </c>
      <c r="E37">
        <v>41.856999999999999</v>
      </c>
      <c r="F37" t="s">
        <v>417</v>
      </c>
      <c r="G37" s="31">
        <v>0.14000000000000001</v>
      </c>
      <c r="U37">
        <v>35</v>
      </c>
      <c r="V37" s="37" t="s">
        <v>655</v>
      </c>
      <c r="W37" s="36">
        <v>59.999999999999993</v>
      </c>
      <c r="X37" s="36">
        <v>84.831900530316133</v>
      </c>
      <c r="Y37" s="36">
        <v>20.898058252427187</v>
      </c>
      <c r="Z37" t="str">
        <f t="shared" si="0"/>
        <v>MALATESTA DANIELA</v>
      </c>
    </row>
    <row r="38" spans="1:26" x14ac:dyDescent="0.3">
      <c r="A38">
        <v>31</v>
      </c>
      <c r="B38">
        <v>31</v>
      </c>
      <c r="C38" t="s">
        <v>28</v>
      </c>
      <c r="D38">
        <v>3.08</v>
      </c>
      <c r="E38">
        <v>23.373999999999999</v>
      </c>
      <c r="F38" t="s">
        <v>418</v>
      </c>
      <c r="G38" s="31">
        <v>0.1</v>
      </c>
      <c r="M38" t="s">
        <v>382</v>
      </c>
      <c r="N38" t="s">
        <v>383</v>
      </c>
      <c r="O38" t="s">
        <v>384</v>
      </c>
      <c r="P38" t="s">
        <v>385</v>
      </c>
      <c r="Q38" t="s">
        <v>386</v>
      </c>
      <c r="R38" s="31" t="s">
        <v>387</v>
      </c>
      <c r="U38">
        <v>36</v>
      </c>
      <c r="V38" s="9" t="s">
        <v>656</v>
      </c>
      <c r="W38" s="36">
        <v>54.482758620689623</v>
      </c>
      <c r="X38" s="36">
        <v>10.285042870009301</v>
      </c>
      <c r="Y38" s="36">
        <v>16.140776699029125</v>
      </c>
      <c r="Z38" t="str">
        <f t="shared" si="0"/>
        <v>RUBINI MARIA LUISA</v>
      </c>
    </row>
    <row r="39" spans="1:26" x14ac:dyDescent="0.3">
      <c r="A39">
        <v>32</v>
      </c>
      <c r="B39">
        <v>32</v>
      </c>
      <c r="C39" t="s">
        <v>29</v>
      </c>
      <c r="F39" t="s">
        <v>419</v>
      </c>
      <c r="G39" s="31">
        <v>0.1</v>
      </c>
      <c r="L39">
        <v>1</v>
      </c>
      <c r="M39">
        <v>1</v>
      </c>
      <c r="N39" t="s">
        <v>35</v>
      </c>
      <c r="O39">
        <v>1.45</v>
      </c>
      <c r="P39">
        <v>48657.074000000001</v>
      </c>
      <c r="Q39" t="s">
        <v>511</v>
      </c>
      <c r="R39" s="31">
        <v>151.83000000000001</v>
      </c>
      <c r="U39">
        <v>37</v>
      </c>
      <c r="V39" s="9" t="s">
        <v>657</v>
      </c>
      <c r="W39" s="36">
        <v>104.66666666666666</v>
      </c>
      <c r="X39" s="36">
        <v>44.168306768253174</v>
      </c>
      <c r="Y39" s="36">
        <v>55.345873786407765</v>
      </c>
      <c r="Z39" t="str">
        <f t="shared" si="0"/>
        <v>FOCACCI ANTONIO</v>
      </c>
    </row>
    <row r="40" spans="1:26" x14ac:dyDescent="0.3">
      <c r="A40">
        <v>33</v>
      </c>
      <c r="B40">
        <v>33</v>
      </c>
      <c r="C40" t="s">
        <v>30</v>
      </c>
      <c r="D40">
        <v>4.74</v>
      </c>
      <c r="E40">
        <v>7.8179999999999996</v>
      </c>
      <c r="F40" t="s">
        <v>420</v>
      </c>
      <c r="G40" s="31">
        <v>3.35</v>
      </c>
      <c r="L40">
        <v>2</v>
      </c>
      <c r="M40">
        <v>2</v>
      </c>
      <c r="N40" t="s">
        <v>36</v>
      </c>
      <c r="O40">
        <v>1.69</v>
      </c>
      <c r="P40">
        <v>292920.84399999998</v>
      </c>
      <c r="Q40" t="s">
        <v>512</v>
      </c>
      <c r="R40" s="31">
        <v>738.37</v>
      </c>
      <c r="U40">
        <v>38</v>
      </c>
      <c r="V40" s="9" t="s">
        <v>658</v>
      </c>
      <c r="W40" s="36">
        <v>49.090909090909079</v>
      </c>
      <c r="X40" s="36">
        <v>92.268744001883078</v>
      </c>
      <c r="Y40" s="36">
        <v>33.853155339805831</v>
      </c>
      <c r="Z40" t="str">
        <f t="shared" si="0"/>
        <v>ZEPPILLI ROBERTA</v>
      </c>
    </row>
    <row r="41" spans="1:26" x14ac:dyDescent="0.3">
      <c r="A41">
        <v>34</v>
      </c>
      <c r="B41">
        <v>34</v>
      </c>
      <c r="C41" t="s">
        <v>31</v>
      </c>
      <c r="D41">
        <v>3.65</v>
      </c>
      <c r="E41">
        <v>10.55</v>
      </c>
      <c r="F41" t="s">
        <v>421</v>
      </c>
      <c r="G41" s="31">
        <v>0.12</v>
      </c>
      <c r="L41">
        <v>3</v>
      </c>
      <c r="M41">
        <v>3</v>
      </c>
      <c r="N41" t="s">
        <v>37</v>
      </c>
      <c r="O41">
        <v>1.83</v>
      </c>
      <c r="P41">
        <v>1339.144</v>
      </c>
      <c r="Q41" t="s">
        <v>513</v>
      </c>
      <c r="R41" s="31">
        <v>3.06</v>
      </c>
      <c r="U41">
        <v>39</v>
      </c>
      <c r="V41" s="9" t="s">
        <v>659</v>
      </c>
      <c r="W41" s="36">
        <v>171.51515151515153</v>
      </c>
      <c r="X41" s="36">
        <v>21.508422019891796</v>
      </c>
      <c r="Y41" s="36">
        <v>33.555825242718448</v>
      </c>
      <c r="Z41" t="str">
        <f t="shared" si="0"/>
        <v>ROSSI ELENA</v>
      </c>
    </row>
    <row r="42" spans="1:26" x14ac:dyDescent="0.3">
      <c r="A42">
        <v>35</v>
      </c>
      <c r="B42">
        <v>35</v>
      </c>
      <c r="C42" t="s">
        <v>32</v>
      </c>
      <c r="D42">
        <v>3.18</v>
      </c>
      <c r="E42">
        <v>33.707999999999998</v>
      </c>
      <c r="F42" t="s">
        <v>422</v>
      </c>
      <c r="G42" s="31">
        <v>0.1</v>
      </c>
      <c r="L42">
        <v>4</v>
      </c>
      <c r="M42">
        <v>4</v>
      </c>
      <c r="N42" t="s">
        <v>38</v>
      </c>
      <c r="O42">
        <v>1.18</v>
      </c>
      <c r="P42">
        <v>1891.8</v>
      </c>
      <c r="Q42" t="s">
        <v>514</v>
      </c>
      <c r="R42" s="31">
        <v>3.33</v>
      </c>
      <c r="U42">
        <v>40</v>
      </c>
      <c r="V42" s="9" t="s">
        <v>660</v>
      </c>
      <c r="W42" s="36">
        <v>82.58064516129032</v>
      </c>
      <c r="X42" s="36">
        <v>38.451615463999367</v>
      </c>
      <c r="Y42" s="36">
        <v>51.140776699029125</v>
      </c>
      <c r="Z42" t="str">
        <f t="shared" si="0"/>
        <v>PEDRONI PACCHIONI BEATRICE</v>
      </c>
    </row>
    <row r="43" spans="1:26" x14ac:dyDescent="0.3">
      <c r="A43">
        <v>36</v>
      </c>
      <c r="B43">
        <v>36</v>
      </c>
      <c r="C43" t="s">
        <v>33</v>
      </c>
      <c r="D43">
        <v>1.84</v>
      </c>
      <c r="E43">
        <v>24.039000000000001</v>
      </c>
      <c r="F43" t="s">
        <v>423</v>
      </c>
      <c r="G43" s="31">
        <v>0.15</v>
      </c>
      <c r="L43">
        <v>5</v>
      </c>
      <c r="M43">
        <v>5</v>
      </c>
      <c r="N43" t="s">
        <v>39</v>
      </c>
      <c r="O43">
        <v>1.39</v>
      </c>
      <c r="P43">
        <v>34717.195</v>
      </c>
      <c r="Q43" t="s">
        <v>515</v>
      </c>
      <c r="R43" s="31">
        <v>103.49</v>
      </c>
      <c r="U43">
        <v>41</v>
      </c>
      <c r="V43" s="37" t="s">
        <v>661</v>
      </c>
      <c r="W43" s="36">
        <v>164.51612903225805</v>
      </c>
      <c r="X43" s="36">
        <v>4.5414595426915056</v>
      </c>
      <c r="Y43" s="36">
        <v>25.273058252427184</v>
      </c>
      <c r="Z43" t="str">
        <f t="shared" si="0"/>
        <v>SERRI ANDREA</v>
      </c>
    </row>
    <row r="44" spans="1:26" x14ac:dyDescent="0.3">
      <c r="L44">
        <v>6</v>
      </c>
      <c r="M44">
        <v>6</v>
      </c>
      <c r="N44" t="s">
        <v>40</v>
      </c>
      <c r="O44">
        <v>1.53</v>
      </c>
      <c r="P44">
        <v>5800.6840000000002</v>
      </c>
      <c r="Q44" t="s">
        <v>516</v>
      </c>
      <c r="R44" s="31">
        <v>6.27</v>
      </c>
      <c r="U44">
        <v>42</v>
      </c>
      <c r="V44" s="9" t="s">
        <v>662</v>
      </c>
      <c r="W44" s="36">
        <v>92.903225806451587</v>
      </c>
      <c r="X44" s="36">
        <v>17.592242369150039</v>
      </c>
      <c r="Y44" s="36">
        <v>84.993932038834956</v>
      </c>
    </row>
    <row r="45" spans="1:26" x14ac:dyDescent="0.3">
      <c r="A45" t="s">
        <v>379</v>
      </c>
      <c r="L45">
        <v>7</v>
      </c>
      <c r="M45">
        <v>7</v>
      </c>
      <c r="N45" t="s">
        <v>41</v>
      </c>
      <c r="O45">
        <v>2.29</v>
      </c>
      <c r="P45">
        <v>1168.2850000000001</v>
      </c>
      <c r="Q45" t="s">
        <v>517</v>
      </c>
      <c r="R45" s="31">
        <v>12.08</v>
      </c>
      <c r="U45">
        <v>43</v>
      </c>
      <c r="V45" s="9" t="s">
        <v>663</v>
      </c>
      <c r="W45" s="36">
        <v>165.16129032258064</v>
      </c>
      <c r="X45" s="36">
        <v>13.853890865705655</v>
      </c>
      <c r="Y45" s="36">
        <v>48.804611650485441</v>
      </c>
    </row>
    <row r="46" spans="1:26" x14ac:dyDescent="0.3">
      <c r="L46">
        <v>8</v>
      </c>
      <c r="M46">
        <v>8</v>
      </c>
      <c r="N46" t="s">
        <v>42</v>
      </c>
      <c r="O46">
        <v>0.88</v>
      </c>
      <c r="P46">
        <v>2317.971</v>
      </c>
      <c r="Q46" t="s">
        <v>518</v>
      </c>
      <c r="R46" s="31">
        <v>205.22</v>
      </c>
      <c r="U46">
        <v>44</v>
      </c>
      <c r="V46" s="9" t="s">
        <v>664</v>
      </c>
      <c r="W46" s="36">
        <v>54.193548387096769</v>
      </c>
      <c r="X46" s="36">
        <v>88.75106762558957</v>
      </c>
      <c r="Y46" s="36">
        <v>14.654126213592232</v>
      </c>
    </row>
    <row r="47" spans="1:26" x14ac:dyDescent="0.3">
      <c r="A47" t="s">
        <v>380</v>
      </c>
      <c r="L47">
        <v>9</v>
      </c>
      <c r="M47">
        <v>9</v>
      </c>
      <c r="N47" t="s">
        <v>43</v>
      </c>
      <c r="O47">
        <v>2.5499999999999998</v>
      </c>
      <c r="P47">
        <v>8140.7979999999998</v>
      </c>
      <c r="Q47" t="s">
        <v>519</v>
      </c>
      <c r="R47" s="31">
        <v>1.31</v>
      </c>
      <c r="U47">
        <v>45</v>
      </c>
      <c r="V47" s="9" t="s">
        <v>665</v>
      </c>
      <c r="W47" s="36">
        <v>143.22580645161293</v>
      </c>
      <c r="X47" s="36">
        <v>24.452537655961436</v>
      </c>
      <c r="Y47" s="36">
        <v>61.292475728155345</v>
      </c>
    </row>
    <row r="48" spans="1:26" x14ac:dyDescent="0.3">
      <c r="L48">
        <v>10</v>
      </c>
      <c r="M48">
        <v>10</v>
      </c>
      <c r="N48" t="s">
        <v>52</v>
      </c>
      <c r="O48">
        <v>4.1500000000000004</v>
      </c>
      <c r="P48">
        <v>26928.398000000001</v>
      </c>
      <c r="Q48" t="s">
        <v>520</v>
      </c>
      <c r="R48" s="31">
        <v>15.49</v>
      </c>
      <c r="U48">
        <v>46</v>
      </c>
      <c r="V48" s="9" t="s">
        <v>666</v>
      </c>
      <c r="W48" s="36">
        <v>124.13793103448279</v>
      </c>
      <c r="X48" s="36">
        <v>17.303632310006371</v>
      </c>
      <c r="Y48" s="36">
        <v>11.29854368932039</v>
      </c>
    </row>
    <row r="49" spans="1:25" x14ac:dyDescent="0.3">
      <c r="A49" t="s">
        <v>424</v>
      </c>
      <c r="L49">
        <v>11</v>
      </c>
      <c r="M49">
        <v>11</v>
      </c>
      <c r="N49" t="s">
        <v>44</v>
      </c>
      <c r="O49">
        <v>4.28</v>
      </c>
      <c r="P49">
        <v>227.40600000000001</v>
      </c>
      <c r="Q49" t="s">
        <v>521</v>
      </c>
      <c r="R49" s="31">
        <v>1.29</v>
      </c>
      <c r="U49">
        <v>47</v>
      </c>
      <c r="V49" s="9" t="s">
        <v>667</v>
      </c>
      <c r="W49" s="36">
        <v>69.655172413793096</v>
      </c>
      <c r="X49" s="36">
        <v>21.452630672758662</v>
      </c>
      <c r="Y49" s="36">
        <v>13.16747572815534</v>
      </c>
    </row>
    <row r="50" spans="1:25" x14ac:dyDescent="0.3">
      <c r="L50">
        <v>12</v>
      </c>
      <c r="M50">
        <v>12</v>
      </c>
      <c r="N50" t="s">
        <v>45</v>
      </c>
      <c r="O50">
        <v>3.47</v>
      </c>
      <c r="P50">
        <v>886527.56299999997</v>
      </c>
      <c r="Q50" t="s">
        <v>522</v>
      </c>
      <c r="R50" s="31">
        <v>175.46</v>
      </c>
      <c r="U50">
        <v>48</v>
      </c>
      <c r="V50" s="9" t="s">
        <v>668</v>
      </c>
      <c r="W50" s="36">
        <v>88.965517241379303</v>
      </c>
      <c r="X50" s="36">
        <v>47.23944108899618</v>
      </c>
      <c r="Y50" s="36">
        <v>32.578883495145632</v>
      </c>
    </row>
    <row r="51" spans="1:25" x14ac:dyDescent="0.3">
      <c r="B51" t="s">
        <v>382</v>
      </c>
      <c r="C51" t="s">
        <v>383</v>
      </c>
      <c r="D51" t="s">
        <v>384</v>
      </c>
      <c r="E51" t="s">
        <v>385</v>
      </c>
      <c r="F51" t="s">
        <v>386</v>
      </c>
      <c r="G51" s="31" t="s">
        <v>387</v>
      </c>
      <c r="L51">
        <v>13</v>
      </c>
      <c r="M51">
        <v>13</v>
      </c>
      <c r="N51" t="s">
        <v>46</v>
      </c>
      <c r="O51">
        <v>2.61</v>
      </c>
      <c r="P51">
        <v>107938.391</v>
      </c>
      <c r="Q51" t="s">
        <v>523</v>
      </c>
      <c r="R51" s="31">
        <v>48.54</v>
      </c>
      <c r="U51">
        <v>49</v>
      </c>
      <c r="V51" s="9" t="s">
        <v>669</v>
      </c>
      <c r="W51" s="36">
        <v>55</v>
      </c>
      <c r="X51" s="36">
        <v>23.772742767461398</v>
      </c>
      <c r="Y51" s="36">
        <v>8.8349514563106801</v>
      </c>
    </row>
    <row r="52" spans="1:25" x14ac:dyDescent="0.3">
      <c r="A52">
        <v>1</v>
      </c>
      <c r="B52">
        <v>1</v>
      </c>
      <c r="C52" t="s">
        <v>0</v>
      </c>
      <c r="D52">
        <v>1.01</v>
      </c>
      <c r="E52">
        <v>1733.181</v>
      </c>
      <c r="F52" t="s">
        <v>388</v>
      </c>
      <c r="G52" s="31">
        <v>103.14</v>
      </c>
      <c r="L52">
        <v>14</v>
      </c>
      <c r="M52">
        <v>14</v>
      </c>
      <c r="N52" t="s">
        <v>47</v>
      </c>
      <c r="O52">
        <v>0.67</v>
      </c>
      <c r="P52">
        <v>13825.531999999999</v>
      </c>
      <c r="Q52" t="s">
        <v>524</v>
      </c>
      <c r="R52" s="31">
        <v>57.03</v>
      </c>
      <c r="U52">
        <v>50</v>
      </c>
      <c r="V52" s="9" t="s">
        <v>670</v>
      </c>
      <c r="W52" s="36">
        <v>52.500000000000007</v>
      </c>
      <c r="X52" s="36">
        <v>73.824878049973648</v>
      </c>
      <c r="Y52" s="36">
        <v>11.595873786407768</v>
      </c>
    </row>
    <row r="53" spans="1:25" x14ac:dyDescent="0.3">
      <c r="A53">
        <v>2</v>
      </c>
      <c r="B53">
        <v>2</v>
      </c>
      <c r="C53" t="s">
        <v>1</v>
      </c>
      <c r="D53">
        <v>1.44</v>
      </c>
      <c r="E53">
        <v>2046.6959999999999</v>
      </c>
      <c r="F53" t="s">
        <v>389</v>
      </c>
      <c r="G53" s="31">
        <v>25.97</v>
      </c>
      <c r="L53">
        <v>15</v>
      </c>
      <c r="M53">
        <v>15</v>
      </c>
      <c r="N53" t="s">
        <v>48</v>
      </c>
      <c r="O53">
        <v>1.22</v>
      </c>
      <c r="P53">
        <v>21205.91</v>
      </c>
      <c r="Q53" t="s">
        <v>525</v>
      </c>
      <c r="R53" s="31">
        <v>30.42</v>
      </c>
      <c r="U53">
        <v>51</v>
      </c>
      <c r="V53" s="9" t="s">
        <v>671</v>
      </c>
      <c r="W53" s="36">
        <v>58.750000000000014</v>
      </c>
      <c r="X53" s="36">
        <v>48.484834033333101</v>
      </c>
      <c r="Y53" s="36">
        <v>29.520631067961165</v>
      </c>
    </row>
    <row r="54" spans="1:25" x14ac:dyDescent="0.3">
      <c r="A54">
        <v>3</v>
      </c>
      <c r="B54">
        <v>3</v>
      </c>
      <c r="C54" t="s">
        <v>50</v>
      </c>
      <c r="D54">
        <v>3.53</v>
      </c>
      <c r="E54">
        <v>539.82399999999996</v>
      </c>
      <c r="F54" t="s">
        <v>390</v>
      </c>
      <c r="G54" s="31">
        <v>2.77</v>
      </c>
      <c r="L54">
        <v>16</v>
      </c>
      <c r="M54">
        <v>16</v>
      </c>
      <c r="N54" t="s">
        <v>53</v>
      </c>
      <c r="O54">
        <v>4.58</v>
      </c>
      <c r="P54">
        <v>38585.491999999998</v>
      </c>
      <c r="Q54" t="s">
        <v>526</v>
      </c>
      <c r="R54" s="31">
        <v>5.3</v>
      </c>
      <c r="U54">
        <v>52</v>
      </c>
      <c r="V54" s="9" t="s">
        <v>672</v>
      </c>
      <c r="W54" s="36">
        <v>128.74999999999997</v>
      </c>
      <c r="X54" s="36">
        <v>24.662984174842066</v>
      </c>
      <c r="Y54" s="36">
        <v>20.643203883495147</v>
      </c>
    </row>
    <row r="55" spans="1:25" x14ac:dyDescent="0.3">
      <c r="A55">
        <v>4</v>
      </c>
      <c r="B55">
        <v>4</v>
      </c>
      <c r="C55" t="s">
        <v>2</v>
      </c>
      <c r="D55">
        <v>3.67</v>
      </c>
      <c r="E55">
        <v>11991.019</v>
      </c>
      <c r="F55" t="s">
        <v>391</v>
      </c>
      <c r="G55" s="31">
        <v>6.04</v>
      </c>
      <c r="L55">
        <v>17</v>
      </c>
      <c r="M55">
        <v>17</v>
      </c>
      <c r="N55" t="s">
        <v>54</v>
      </c>
      <c r="O55">
        <v>5.2</v>
      </c>
      <c r="P55">
        <v>679.10199999999998</v>
      </c>
      <c r="Q55" t="s">
        <v>527</v>
      </c>
      <c r="R55" s="31">
        <v>0.08</v>
      </c>
      <c r="U55">
        <v>53</v>
      </c>
      <c r="V55" s="9" t="s">
        <v>673</v>
      </c>
      <c r="W55" s="36">
        <v>161.25000000000003</v>
      </c>
      <c r="X55" s="36">
        <v>4.6334470953191644</v>
      </c>
      <c r="Y55" s="36">
        <v>17.160194174757283</v>
      </c>
    </row>
    <row r="56" spans="1:25" x14ac:dyDescent="0.3">
      <c r="A56">
        <v>5</v>
      </c>
      <c r="B56">
        <v>5</v>
      </c>
      <c r="C56" t="s">
        <v>3</v>
      </c>
      <c r="D56">
        <v>4.4800000000000004</v>
      </c>
      <c r="E56">
        <v>905.62300000000005</v>
      </c>
      <c r="F56" t="s">
        <v>392</v>
      </c>
      <c r="G56" s="31">
        <v>12.58</v>
      </c>
      <c r="L56">
        <v>18</v>
      </c>
      <c r="M56">
        <v>18</v>
      </c>
      <c r="N56" t="s">
        <v>55</v>
      </c>
      <c r="O56">
        <v>1.31</v>
      </c>
      <c r="P56">
        <v>590.07000000000005</v>
      </c>
      <c r="Q56" t="s">
        <v>528</v>
      </c>
      <c r="R56" s="31">
        <v>0.19</v>
      </c>
      <c r="U56">
        <v>54</v>
      </c>
      <c r="V56" s="9" t="s">
        <v>674</v>
      </c>
      <c r="W56" s="36">
        <v>167.49999999999997</v>
      </c>
      <c r="X56" s="36">
        <v>28.436052649351481</v>
      </c>
      <c r="Y56" s="36">
        <v>59.338592233009713</v>
      </c>
    </row>
    <row r="57" spans="1:25" x14ac:dyDescent="0.3">
      <c r="A57">
        <v>6</v>
      </c>
      <c r="B57">
        <v>6</v>
      </c>
      <c r="C57" t="s">
        <v>4</v>
      </c>
      <c r="D57">
        <v>4.7699999999999996</v>
      </c>
      <c r="E57">
        <v>34637.042999999998</v>
      </c>
      <c r="F57" t="s">
        <v>393</v>
      </c>
      <c r="G57" s="31">
        <v>12.77</v>
      </c>
      <c r="L57">
        <v>19</v>
      </c>
      <c r="M57">
        <v>19</v>
      </c>
      <c r="N57" t="s">
        <v>56</v>
      </c>
      <c r="O57">
        <v>0.87</v>
      </c>
      <c r="P57">
        <v>46900.625</v>
      </c>
      <c r="Q57" t="s">
        <v>529</v>
      </c>
      <c r="R57" s="31">
        <v>27.12</v>
      </c>
      <c r="U57">
        <v>55</v>
      </c>
      <c r="V57" s="9" t="s">
        <v>675</v>
      </c>
      <c r="W57" s="36">
        <v>253.12500000000006</v>
      </c>
      <c r="X57" s="36">
        <v>9.0395120646643328</v>
      </c>
      <c r="Y57" s="36">
        <v>33.938106796116507</v>
      </c>
    </row>
    <row r="58" spans="1:25" x14ac:dyDescent="0.3">
      <c r="A58">
        <v>7</v>
      </c>
      <c r="B58">
        <v>7</v>
      </c>
      <c r="C58" t="s">
        <v>5</v>
      </c>
      <c r="D58">
        <v>2.71</v>
      </c>
      <c r="E58">
        <v>423.94499999999999</v>
      </c>
      <c r="F58" t="s">
        <v>394</v>
      </c>
      <c r="G58" s="31">
        <v>0.56000000000000005</v>
      </c>
      <c r="L58">
        <v>20</v>
      </c>
      <c r="M58">
        <v>20</v>
      </c>
      <c r="N58" t="s">
        <v>57</v>
      </c>
      <c r="O58">
        <v>1.51</v>
      </c>
      <c r="P58">
        <v>339.31700000000001</v>
      </c>
      <c r="Q58" t="s">
        <v>530</v>
      </c>
      <c r="R58" s="31">
        <v>1.24</v>
      </c>
      <c r="U58">
        <v>56</v>
      </c>
      <c r="V58" s="9" t="s">
        <v>676</v>
      </c>
      <c r="W58" s="36">
        <v>66.875000000000014</v>
      </c>
      <c r="X58" s="36">
        <v>16.758355382135669</v>
      </c>
      <c r="Y58" s="36">
        <v>40.309466019417478</v>
      </c>
    </row>
    <row r="59" spans="1:25" x14ac:dyDescent="0.3">
      <c r="A59">
        <v>8</v>
      </c>
      <c r="B59">
        <v>8</v>
      </c>
      <c r="C59" t="s">
        <v>6</v>
      </c>
      <c r="D59">
        <v>0.66</v>
      </c>
      <c r="E59">
        <v>474.286</v>
      </c>
      <c r="F59" t="s">
        <v>395</v>
      </c>
      <c r="G59" s="31">
        <v>54.08</v>
      </c>
      <c r="L59">
        <v>21</v>
      </c>
      <c r="M59">
        <v>21</v>
      </c>
      <c r="N59" t="s">
        <v>58</v>
      </c>
      <c r="O59">
        <v>2.46</v>
      </c>
      <c r="P59">
        <v>4.4370000000000003</v>
      </c>
      <c r="Q59" t="s">
        <v>531</v>
      </c>
      <c r="R59" s="31">
        <v>0.28000000000000003</v>
      </c>
      <c r="U59">
        <v>57</v>
      </c>
      <c r="V59" s="9" t="s">
        <v>677</v>
      </c>
      <c r="W59" s="36">
        <v>99.999999999999986</v>
      </c>
      <c r="X59" s="36">
        <v>31.286627535034022</v>
      </c>
      <c r="Y59" s="36">
        <v>62.864077669902919</v>
      </c>
    </row>
    <row r="60" spans="1:25" x14ac:dyDescent="0.3">
      <c r="A60">
        <v>9</v>
      </c>
      <c r="B60">
        <v>9</v>
      </c>
      <c r="C60" t="s">
        <v>7</v>
      </c>
      <c r="D60">
        <v>3.56</v>
      </c>
      <c r="E60">
        <v>571.15</v>
      </c>
      <c r="F60" t="s">
        <v>396</v>
      </c>
      <c r="G60" s="31">
        <v>11.78</v>
      </c>
      <c r="L60">
        <v>22</v>
      </c>
      <c r="M60">
        <v>22</v>
      </c>
      <c r="N60" t="s">
        <v>59</v>
      </c>
      <c r="O60">
        <v>2.52</v>
      </c>
      <c r="P60">
        <v>11880.243</v>
      </c>
      <c r="Q60" t="s">
        <v>532</v>
      </c>
      <c r="R60" s="31">
        <v>15.07</v>
      </c>
      <c r="U60">
        <v>58</v>
      </c>
      <c r="V60" s="9" t="s">
        <v>678</v>
      </c>
      <c r="W60" s="36">
        <v>81.25</v>
      </c>
      <c r="X60" s="36">
        <v>25.862654219545917</v>
      </c>
      <c r="Y60" s="36">
        <v>32.324029126213595</v>
      </c>
    </row>
    <row r="61" spans="1:25" x14ac:dyDescent="0.3">
      <c r="A61">
        <v>10</v>
      </c>
      <c r="B61">
        <v>10</v>
      </c>
      <c r="C61" t="s">
        <v>51</v>
      </c>
      <c r="D61">
        <v>4.75</v>
      </c>
      <c r="E61">
        <v>754.83900000000006</v>
      </c>
      <c r="F61" t="s">
        <v>397</v>
      </c>
      <c r="G61" s="31">
        <v>1.1599999999999999</v>
      </c>
      <c r="L61">
        <v>23</v>
      </c>
      <c r="M61">
        <v>23</v>
      </c>
      <c r="N61" t="s">
        <v>60</v>
      </c>
      <c r="O61">
        <v>2.75</v>
      </c>
      <c r="P61">
        <v>17226.565999999999</v>
      </c>
      <c r="Q61" t="s">
        <v>533</v>
      </c>
      <c r="R61" s="31">
        <v>12.23</v>
      </c>
    </row>
    <row r="62" spans="1:25" x14ac:dyDescent="0.3">
      <c r="A62">
        <v>11</v>
      </c>
      <c r="B62">
        <v>11</v>
      </c>
      <c r="C62" t="s">
        <v>8</v>
      </c>
      <c r="D62">
        <v>2.74</v>
      </c>
      <c r="E62">
        <v>12909.832</v>
      </c>
      <c r="F62" t="s">
        <v>398</v>
      </c>
      <c r="G62" s="31">
        <v>6.33</v>
      </c>
    </row>
    <row r="63" spans="1:25" x14ac:dyDescent="0.3">
      <c r="A63">
        <v>12</v>
      </c>
      <c r="B63">
        <v>12</v>
      </c>
      <c r="C63" t="s">
        <v>9</v>
      </c>
      <c r="D63">
        <v>2.61</v>
      </c>
      <c r="E63">
        <v>1838.3330000000001</v>
      </c>
      <c r="F63" t="s">
        <v>399</v>
      </c>
      <c r="G63" s="31">
        <v>6.8</v>
      </c>
      <c r="L63" t="s">
        <v>379</v>
      </c>
    </row>
    <row r="64" spans="1:25" x14ac:dyDescent="0.3">
      <c r="A64">
        <v>13</v>
      </c>
      <c r="B64">
        <v>13</v>
      </c>
      <c r="C64" t="s">
        <v>10</v>
      </c>
      <c r="D64">
        <v>4.08</v>
      </c>
      <c r="E64">
        <v>412372</v>
      </c>
      <c r="F64" t="s">
        <v>400</v>
      </c>
      <c r="G64" s="31">
        <v>202.32</v>
      </c>
    </row>
    <row r="65" spans="1:18" x14ac:dyDescent="0.3">
      <c r="A65">
        <v>14</v>
      </c>
      <c r="B65">
        <v>14</v>
      </c>
      <c r="C65" t="s">
        <v>11</v>
      </c>
      <c r="D65">
        <v>3.53</v>
      </c>
      <c r="E65">
        <v>12.481</v>
      </c>
      <c r="F65" t="s">
        <v>401</v>
      </c>
      <c r="G65" s="31">
        <v>12.56</v>
      </c>
      <c r="L65" t="s">
        <v>509</v>
      </c>
    </row>
    <row r="66" spans="1:18" x14ac:dyDescent="0.3">
      <c r="A66">
        <v>15</v>
      </c>
      <c r="B66">
        <v>15</v>
      </c>
      <c r="C66" t="s">
        <v>12</v>
      </c>
      <c r="D66">
        <v>3.31</v>
      </c>
      <c r="E66">
        <v>193.34200000000001</v>
      </c>
      <c r="F66" t="s">
        <v>402</v>
      </c>
      <c r="G66" s="31">
        <v>6.55</v>
      </c>
    </row>
    <row r="67" spans="1:18" x14ac:dyDescent="0.3">
      <c r="A67">
        <v>16</v>
      </c>
      <c r="B67">
        <v>16</v>
      </c>
      <c r="C67" t="s">
        <v>13</v>
      </c>
      <c r="D67">
        <v>3.22</v>
      </c>
      <c r="E67">
        <v>3674.81</v>
      </c>
      <c r="F67" t="s">
        <v>403</v>
      </c>
      <c r="G67" s="31">
        <v>6.46</v>
      </c>
      <c r="L67" t="s">
        <v>535</v>
      </c>
    </row>
    <row r="68" spans="1:18" x14ac:dyDescent="0.3">
      <c r="A68">
        <v>17</v>
      </c>
      <c r="B68">
        <v>17</v>
      </c>
      <c r="C68" t="s">
        <v>14</v>
      </c>
      <c r="D68">
        <v>1.99</v>
      </c>
      <c r="E68">
        <v>8703.9120000000003</v>
      </c>
      <c r="F68" t="s">
        <v>404</v>
      </c>
      <c r="G68" s="31">
        <v>12.63</v>
      </c>
    </row>
    <row r="69" spans="1:18" x14ac:dyDescent="0.3">
      <c r="A69">
        <v>18</v>
      </c>
      <c r="B69">
        <v>18</v>
      </c>
      <c r="C69" t="s">
        <v>15</v>
      </c>
      <c r="D69">
        <v>2.48</v>
      </c>
      <c r="E69">
        <v>11791.19</v>
      </c>
      <c r="F69" t="s">
        <v>405</v>
      </c>
      <c r="G69" s="31">
        <v>48.89</v>
      </c>
      <c r="M69" t="s">
        <v>382</v>
      </c>
      <c r="N69" t="s">
        <v>383</v>
      </c>
      <c r="O69" t="s">
        <v>384</v>
      </c>
      <c r="P69" t="s">
        <v>385</v>
      </c>
      <c r="Q69" t="s">
        <v>386</v>
      </c>
      <c r="R69" s="31" t="s">
        <v>387</v>
      </c>
    </row>
    <row r="70" spans="1:18" x14ac:dyDescent="0.3">
      <c r="A70">
        <v>19</v>
      </c>
      <c r="B70">
        <v>19</v>
      </c>
      <c r="C70" t="s">
        <v>16</v>
      </c>
      <c r="D70">
        <v>2.71</v>
      </c>
      <c r="E70">
        <v>2608.0500000000002</v>
      </c>
      <c r="F70" t="s">
        <v>406</v>
      </c>
      <c r="G70" s="31">
        <v>1.34</v>
      </c>
      <c r="L70">
        <v>1</v>
      </c>
      <c r="M70">
        <v>1</v>
      </c>
      <c r="N70" t="s">
        <v>35</v>
      </c>
      <c r="O70">
        <v>1.45</v>
      </c>
      <c r="P70">
        <v>144327.40599999999</v>
      </c>
      <c r="Q70" t="s">
        <v>511</v>
      </c>
      <c r="R70" s="31">
        <v>289.29000000000002</v>
      </c>
    </row>
    <row r="71" spans="1:18" x14ac:dyDescent="0.3">
      <c r="A71">
        <v>20</v>
      </c>
      <c r="B71">
        <v>20</v>
      </c>
      <c r="C71" t="s">
        <v>17</v>
      </c>
      <c r="D71">
        <v>3.06</v>
      </c>
      <c r="E71">
        <v>9071.1820000000007</v>
      </c>
      <c r="F71" t="s">
        <v>407</v>
      </c>
      <c r="G71" s="31">
        <v>12.99</v>
      </c>
      <c r="L71">
        <v>2</v>
      </c>
      <c r="M71">
        <v>2</v>
      </c>
      <c r="N71" t="s">
        <v>36</v>
      </c>
      <c r="O71">
        <v>1.68</v>
      </c>
      <c r="P71">
        <v>998270.43799999997</v>
      </c>
      <c r="Q71" t="s">
        <v>512</v>
      </c>
      <c r="R71" s="31">
        <v>1486.45</v>
      </c>
    </row>
    <row r="72" spans="1:18" x14ac:dyDescent="0.3">
      <c r="A72">
        <v>21</v>
      </c>
      <c r="B72">
        <v>21</v>
      </c>
      <c r="C72" t="s">
        <v>18</v>
      </c>
      <c r="D72">
        <v>3.69</v>
      </c>
      <c r="E72">
        <v>7182.6840000000002</v>
      </c>
      <c r="F72" t="s">
        <v>408</v>
      </c>
      <c r="G72" s="31">
        <v>2.4300000000000002</v>
      </c>
      <c r="L72">
        <v>3</v>
      </c>
      <c r="M72">
        <v>3</v>
      </c>
      <c r="N72" t="s">
        <v>37</v>
      </c>
      <c r="O72">
        <v>1.82</v>
      </c>
      <c r="P72">
        <v>3281.75</v>
      </c>
      <c r="Q72" t="s">
        <v>513</v>
      </c>
      <c r="R72" s="31">
        <v>6.57</v>
      </c>
    </row>
    <row r="73" spans="1:18" x14ac:dyDescent="0.3">
      <c r="A73">
        <v>22</v>
      </c>
      <c r="B73">
        <v>22</v>
      </c>
      <c r="C73" t="s">
        <v>19</v>
      </c>
      <c r="D73">
        <v>2.62</v>
      </c>
      <c r="E73">
        <v>10871.722</v>
      </c>
      <c r="F73" t="s">
        <v>409</v>
      </c>
      <c r="G73" s="31">
        <v>13.17</v>
      </c>
      <c r="L73">
        <v>4</v>
      </c>
      <c r="M73">
        <v>4</v>
      </c>
      <c r="N73" t="s">
        <v>38</v>
      </c>
      <c r="O73">
        <v>1.18</v>
      </c>
      <c r="P73">
        <v>3498.2040000000002</v>
      </c>
      <c r="Q73" t="s">
        <v>514</v>
      </c>
      <c r="R73" s="31">
        <v>5.64</v>
      </c>
    </row>
    <row r="74" spans="1:18" x14ac:dyDescent="0.3">
      <c r="A74">
        <v>23</v>
      </c>
      <c r="B74">
        <v>23</v>
      </c>
      <c r="C74" t="s">
        <v>20</v>
      </c>
      <c r="D74">
        <v>2.89</v>
      </c>
      <c r="E74">
        <v>4296.8230000000003</v>
      </c>
      <c r="F74" t="s">
        <v>410</v>
      </c>
      <c r="G74" s="31">
        <v>2.68</v>
      </c>
      <c r="L74">
        <v>5</v>
      </c>
      <c r="M74">
        <v>5</v>
      </c>
      <c r="N74" t="s">
        <v>39</v>
      </c>
      <c r="O74">
        <v>1.39</v>
      </c>
      <c r="P74">
        <v>87747.641000000003</v>
      </c>
      <c r="Q74" t="s">
        <v>515</v>
      </c>
      <c r="R74" s="31">
        <v>191.62</v>
      </c>
    </row>
    <row r="75" spans="1:18" x14ac:dyDescent="0.3">
      <c r="A75">
        <v>24</v>
      </c>
      <c r="B75">
        <v>24</v>
      </c>
      <c r="C75" t="s">
        <v>21</v>
      </c>
      <c r="D75">
        <v>4.1100000000000003</v>
      </c>
      <c r="E75">
        <v>616.63199999999995</v>
      </c>
      <c r="F75" t="s">
        <v>411</v>
      </c>
      <c r="G75" s="31">
        <v>0.26</v>
      </c>
      <c r="L75">
        <v>6</v>
      </c>
      <c r="M75">
        <v>6</v>
      </c>
      <c r="N75" t="s">
        <v>40</v>
      </c>
      <c r="O75">
        <v>1.53</v>
      </c>
      <c r="P75">
        <v>11519.424999999999</v>
      </c>
      <c r="Q75" t="s">
        <v>516</v>
      </c>
      <c r="R75" s="31">
        <v>12.12</v>
      </c>
    </row>
    <row r="76" spans="1:18" x14ac:dyDescent="0.3">
      <c r="A76">
        <v>25</v>
      </c>
      <c r="B76">
        <v>25</v>
      </c>
      <c r="C76" t="s">
        <v>22</v>
      </c>
      <c r="D76">
        <v>3.42</v>
      </c>
      <c r="E76">
        <v>115.438</v>
      </c>
      <c r="F76" t="s">
        <v>412</v>
      </c>
      <c r="G76" s="31">
        <v>25.21</v>
      </c>
      <c r="L76">
        <v>7</v>
      </c>
      <c r="M76">
        <v>7</v>
      </c>
      <c r="N76" t="s">
        <v>41</v>
      </c>
      <c r="O76">
        <v>2.31</v>
      </c>
      <c r="P76">
        <v>2741.9290000000001</v>
      </c>
      <c r="Q76" t="s">
        <v>517</v>
      </c>
      <c r="R76" s="31">
        <v>26.38</v>
      </c>
    </row>
    <row r="77" spans="1:18" x14ac:dyDescent="0.3">
      <c r="A77">
        <v>26</v>
      </c>
      <c r="B77">
        <v>26</v>
      </c>
      <c r="C77" t="s">
        <v>23</v>
      </c>
      <c r="D77">
        <v>3.35</v>
      </c>
      <c r="E77">
        <v>14877.264999999999</v>
      </c>
      <c r="F77" t="s">
        <v>413</v>
      </c>
      <c r="G77" s="31">
        <v>12.22</v>
      </c>
      <c r="L77">
        <v>8</v>
      </c>
      <c r="M77">
        <v>8</v>
      </c>
      <c r="N77" t="s">
        <v>42</v>
      </c>
      <c r="O77">
        <v>0.89</v>
      </c>
      <c r="P77">
        <v>7363.4269999999997</v>
      </c>
      <c r="Q77" t="s">
        <v>518</v>
      </c>
      <c r="R77" s="31">
        <v>257.44</v>
      </c>
    </row>
    <row r="78" spans="1:18" x14ac:dyDescent="0.3">
      <c r="A78">
        <v>27</v>
      </c>
      <c r="B78">
        <v>27</v>
      </c>
      <c r="C78" t="s">
        <v>24</v>
      </c>
      <c r="D78">
        <v>3.43</v>
      </c>
      <c r="E78">
        <v>370.416</v>
      </c>
      <c r="F78" t="s">
        <v>414</v>
      </c>
      <c r="G78" s="31">
        <v>0.9</v>
      </c>
      <c r="L78">
        <v>9</v>
      </c>
      <c r="M78">
        <v>9</v>
      </c>
      <c r="N78" t="s">
        <v>43</v>
      </c>
      <c r="O78">
        <v>2.5499999999999998</v>
      </c>
      <c r="P78">
        <v>15147.647000000001</v>
      </c>
      <c r="Q78" t="s">
        <v>519</v>
      </c>
      <c r="R78" s="31">
        <v>2.42</v>
      </c>
    </row>
    <row r="79" spans="1:18" x14ac:dyDescent="0.3">
      <c r="A79">
        <v>28</v>
      </c>
      <c r="B79">
        <v>28</v>
      </c>
      <c r="C79" t="s">
        <v>25</v>
      </c>
      <c r="D79">
        <v>3.51</v>
      </c>
      <c r="E79">
        <v>4424.0510000000004</v>
      </c>
      <c r="F79" t="s">
        <v>415</v>
      </c>
      <c r="G79" s="31">
        <v>6.38</v>
      </c>
      <c r="L79">
        <v>10</v>
      </c>
      <c r="M79">
        <v>10</v>
      </c>
      <c r="N79" t="s">
        <v>52</v>
      </c>
      <c r="O79">
        <v>4.1399999999999997</v>
      </c>
      <c r="P79">
        <v>49865.421999999999</v>
      </c>
      <c r="Q79" t="s">
        <v>520</v>
      </c>
      <c r="R79" s="31">
        <v>31.2</v>
      </c>
    </row>
    <row r="80" spans="1:18" x14ac:dyDescent="0.3">
      <c r="A80">
        <v>29</v>
      </c>
      <c r="B80">
        <v>29</v>
      </c>
      <c r="C80" t="s">
        <v>26</v>
      </c>
      <c r="D80">
        <v>1.04</v>
      </c>
      <c r="E80">
        <v>495.41300000000001</v>
      </c>
      <c r="F80" t="s">
        <v>416</v>
      </c>
      <c r="G80" s="31">
        <v>6.26</v>
      </c>
      <c r="L80">
        <v>11</v>
      </c>
      <c r="M80">
        <v>11</v>
      </c>
      <c r="N80" t="s">
        <v>44</v>
      </c>
      <c r="O80">
        <v>4.32</v>
      </c>
      <c r="P80">
        <v>1144.866</v>
      </c>
      <c r="Q80" t="s">
        <v>521</v>
      </c>
      <c r="R80" s="31">
        <v>2.2999999999999998</v>
      </c>
    </row>
    <row r="81" spans="1:18" x14ac:dyDescent="0.3">
      <c r="A81">
        <v>30</v>
      </c>
      <c r="B81">
        <v>30</v>
      </c>
      <c r="C81" t="s">
        <v>27</v>
      </c>
      <c r="D81">
        <v>4.33</v>
      </c>
      <c r="E81">
        <v>1034.837</v>
      </c>
      <c r="F81" t="s">
        <v>417</v>
      </c>
      <c r="G81" s="31">
        <v>0.67</v>
      </c>
      <c r="L81">
        <v>12</v>
      </c>
      <c r="M81">
        <v>12</v>
      </c>
      <c r="N81" t="s">
        <v>45</v>
      </c>
      <c r="O81">
        <v>3.46</v>
      </c>
      <c r="P81">
        <v>1825257.875</v>
      </c>
      <c r="Q81" t="s">
        <v>522</v>
      </c>
      <c r="R81" s="31">
        <v>435.08</v>
      </c>
    </row>
    <row r="82" spans="1:18" x14ac:dyDescent="0.3">
      <c r="A82">
        <v>31</v>
      </c>
      <c r="B82">
        <v>31</v>
      </c>
      <c r="C82" t="s">
        <v>28</v>
      </c>
      <c r="D82">
        <v>3</v>
      </c>
      <c r="E82">
        <v>81834.726999999999</v>
      </c>
      <c r="F82" t="s">
        <v>418</v>
      </c>
      <c r="G82" s="31">
        <v>2.93</v>
      </c>
      <c r="L82">
        <v>13</v>
      </c>
      <c r="M82">
        <v>13</v>
      </c>
      <c r="N82" t="s">
        <v>46</v>
      </c>
      <c r="O82">
        <v>2.6</v>
      </c>
      <c r="P82">
        <v>203267.984</v>
      </c>
      <c r="Q82" t="s">
        <v>523</v>
      </c>
      <c r="R82" s="31">
        <v>101.15</v>
      </c>
    </row>
    <row r="83" spans="1:18" x14ac:dyDescent="0.3">
      <c r="A83">
        <v>32</v>
      </c>
      <c r="B83">
        <v>32</v>
      </c>
      <c r="C83" t="s">
        <v>29</v>
      </c>
      <c r="D83">
        <v>3.35</v>
      </c>
      <c r="E83">
        <v>377.51</v>
      </c>
      <c r="F83" t="s">
        <v>419</v>
      </c>
      <c r="G83" s="31">
        <v>0.66</v>
      </c>
      <c r="L83">
        <v>14</v>
      </c>
      <c r="M83">
        <v>14</v>
      </c>
      <c r="N83" t="s">
        <v>47</v>
      </c>
      <c r="O83">
        <v>0.67</v>
      </c>
      <c r="P83">
        <v>28334.208999999999</v>
      </c>
      <c r="Q83" t="s">
        <v>524</v>
      </c>
      <c r="R83" s="31">
        <v>135.78</v>
      </c>
    </row>
    <row r="84" spans="1:18" x14ac:dyDescent="0.3">
      <c r="A84">
        <v>33</v>
      </c>
      <c r="B84">
        <v>33</v>
      </c>
      <c r="C84" t="s">
        <v>30</v>
      </c>
      <c r="D84">
        <v>4.66</v>
      </c>
      <c r="E84">
        <v>29637.105</v>
      </c>
      <c r="F84" t="s">
        <v>420</v>
      </c>
      <c r="G84" s="31">
        <v>6.98</v>
      </c>
      <c r="L84">
        <v>15</v>
      </c>
      <c r="M84">
        <v>15</v>
      </c>
      <c r="N84" t="s">
        <v>48</v>
      </c>
      <c r="O84">
        <v>1.21</v>
      </c>
      <c r="P84">
        <v>42674.398000000001</v>
      </c>
      <c r="Q84" t="s">
        <v>525</v>
      </c>
      <c r="R84" s="31">
        <v>64.48</v>
      </c>
    </row>
    <row r="85" spans="1:18" x14ac:dyDescent="0.3">
      <c r="A85">
        <v>34</v>
      </c>
      <c r="B85">
        <v>34</v>
      </c>
      <c r="C85" t="s">
        <v>31</v>
      </c>
      <c r="D85">
        <v>3.5</v>
      </c>
      <c r="E85">
        <v>673.70500000000004</v>
      </c>
      <c r="F85" t="s">
        <v>421</v>
      </c>
      <c r="G85" s="31">
        <v>0.53</v>
      </c>
      <c r="L85">
        <v>16</v>
      </c>
      <c r="M85">
        <v>16</v>
      </c>
      <c r="N85" t="s">
        <v>53</v>
      </c>
      <c r="O85">
        <v>4.58</v>
      </c>
      <c r="P85">
        <v>73022.687999999995</v>
      </c>
      <c r="Q85" t="s">
        <v>526</v>
      </c>
      <c r="R85" s="31">
        <v>10.43</v>
      </c>
    </row>
    <row r="86" spans="1:18" x14ac:dyDescent="0.3">
      <c r="A86">
        <v>35</v>
      </c>
      <c r="B86">
        <v>35</v>
      </c>
      <c r="C86" t="s">
        <v>32</v>
      </c>
      <c r="D86">
        <v>3.06</v>
      </c>
      <c r="E86">
        <v>312.291</v>
      </c>
      <c r="F86" t="s">
        <v>422</v>
      </c>
      <c r="G86" s="31">
        <v>0.28000000000000003</v>
      </c>
      <c r="L86">
        <v>17</v>
      </c>
      <c r="M86">
        <v>17</v>
      </c>
      <c r="N86" t="s">
        <v>54</v>
      </c>
      <c r="O86">
        <v>5.18</v>
      </c>
      <c r="P86">
        <v>1202.5889999999999</v>
      </c>
      <c r="Q86" t="s">
        <v>527</v>
      </c>
      <c r="R86" s="31">
        <v>0.2</v>
      </c>
    </row>
    <row r="87" spans="1:18" x14ac:dyDescent="0.3">
      <c r="A87">
        <v>36</v>
      </c>
      <c r="B87">
        <v>36</v>
      </c>
      <c r="C87" t="s">
        <v>33</v>
      </c>
      <c r="D87">
        <v>1.86</v>
      </c>
      <c r="E87">
        <v>453.08600000000001</v>
      </c>
      <c r="F87" t="s">
        <v>423</v>
      </c>
      <c r="G87" s="31">
        <v>2.33</v>
      </c>
      <c r="L87">
        <v>18</v>
      </c>
      <c r="M87">
        <v>18</v>
      </c>
      <c r="N87" t="s">
        <v>55</v>
      </c>
      <c r="O87">
        <v>1.31</v>
      </c>
      <c r="P87">
        <v>1094.816</v>
      </c>
      <c r="Q87" t="s">
        <v>528</v>
      </c>
      <c r="R87" s="31">
        <v>0.39</v>
      </c>
    </row>
    <row r="88" spans="1:18" x14ac:dyDescent="0.3">
      <c r="L88">
        <v>19</v>
      </c>
      <c r="M88">
        <v>19</v>
      </c>
      <c r="N88" t="s">
        <v>56</v>
      </c>
      <c r="O88">
        <v>0.87</v>
      </c>
      <c r="P88">
        <v>90548.726999999999</v>
      </c>
      <c r="Q88" t="s">
        <v>529</v>
      </c>
      <c r="R88" s="31">
        <v>57.96</v>
      </c>
    </row>
    <row r="89" spans="1:18" x14ac:dyDescent="0.3">
      <c r="A89" t="s">
        <v>379</v>
      </c>
      <c r="L89">
        <v>20</v>
      </c>
      <c r="M89">
        <v>20</v>
      </c>
      <c r="N89" t="s">
        <v>57</v>
      </c>
      <c r="O89">
        <v>1.52</v>
      </c>
      <c r="P89">
        <v>646.22</v>
      </c>
      <c r="Q89" t="s">
        <v>530</v>
      </c>
      <c r="R89" s="31">
        <v>2.42</v>
      </c>
    </row>
    <row r="90" spans="1:18" x14ac:dyDescent="0.3">
      <c r="L90">
        <v>21</v>
      </c>
      <c r="M90">
        <v>21</v>
      </c>
      <c r="N90" t="s">
        <v>58</v>
      </c>
      <c r="O90">
        <v>2.4300000000000002</v>
      </c>
      <c r="P90">
        <v>31.478999999999999</v>
      </c>
      <c r="Q90" t="s">
        <v>531</v>
      </c>
      <c r="R90" s="31">
        <v>0.43</v>
      </c>
    </row>
    <row r="91" spans="1:18" x14ac:dyDescent="0.3">
      <c r="A91" t="s">
        <v>380</v>
      </c>
      <c r="L91">
        <v>22</v>
      </c>
      <c r="M91">
        <v>22</v>
      </c>
      <c r="N91" t="s">
        <v>59</v>
      </c>
      <c r="O91">
        <v>2.52</v>
      </c>
      <c r="P91">
        <v>23608.625</v>
      </c>
      <c r="Q91" t="s">
        <v>532</v>
      </c>
      <c r="R91" s="31">
        <v>31.99</v>
      </c>
    </row>
    <row r="92" spans="1:18" x14ac:dyDescent="0.3">
      <c r="L92">
        <v>23</v>
      </c>
      <c r="M92">
        <v>23</v>
      </c>
      <c r="N92" t="s">
        <v>60</v>
      </c>
      <c r="O92">
        <v>2.5499999999999998</v>
      </c>
      <c r="P92">
        <v>38712.688000000002</v>
      </c>
      <c r="Q92" t="s">
        <v>533</v>
      </c>
      <c r="R92" s="31">
        <v>25.01</v>
      </c>
    </row>
    <row r="93" spans="1:18" x14ac:dyDescent="0.3">
      <c r="A93" t="s">
        <v>425</v>
      </c>
    </row>
    <row r="94" spans="1:18" x14ac:dyDescent="0.3">
      <c r="L94" t="s">
        <v>379</v>
      </c>
    </row>
    <row r="95" spans="1:18" x14ac:dyDescent="0.3">
      <c r="B95" t="s">
        <v>382</v>
      </c>
      <c r="C95" t="s">
        <v>383</v>
      </c>
      <c r="D95" t="s">
        <v>384</v>
      </c>
      <c r="E95" t="s">
        <v>385</v>
      </c>
      <c r="F95" t="s">
        <v>386</v>
      </c>
      <c r="G95" s="31" t="s">
        <v>387</v>
      </c>
    </row>
    <row r="96" spans="1:18" x14ac:dyDescent="0.3">
      <c r="A96">
        <v>1</v>
      </c>
      <c r="B96">
        <v>1</v>
      </c>
      <c r="C96" t="s">
        <v>0</v>
      </c>
      <c r="D96">
        <v>1.01</v>
      </c>
      <c r="E96">
        <v>3121.8090000000002</v>
      </c>
      <c r="F96" t="s">
        <v>388</v>
      </c>
      <c r="G96" s="31">
        <v>188.55</v>
      </c>
      <c r="L96" t="s">
        <v>509</v>
      </c>
    </row>
    <row r="97" spans="1:18" x14ac:dyDescent="0.3">
      <c r="A97">
        <v>2</v>
      </c>
      <c r="B97">
        <v>2</v>
      </c>
      <c r="C97" t="s">
        <v>1</v>
      </c>
      <c r="D97">
        <v>1.44</v>
      </c>
      <c r="E97">
        <v>4164.9859999999999</v>
      </c>
      <c r="F97" t="s">
        <v>389</v>
      </c>
      <c r="G97" s="31">
        <v>48.18</v>
      </c>
    </row>
    <row r="98" spans="1:18" x14ac:dyDescent="0.3">
      <c r="A98">
        <v>3</v>
      </c>
      <c r="B98">
        <v>3</v>
      </c>
      <c r="C98" t="s">
        <v>50</v>
      </c>
      <c r="D98">
        <v>3.55</v>
      </c>
      <c r="E98">
        <v>927.31600000000003</v>
      </c>
      <c r="F98" t="s">
        <v>390</v>
      </c>
      <c r="G98" s="31">
        <v>4.6100000000000003</v>
      </c>
      <c r="L98" t="s">
        <v>536</v>
      </c>
    </row>
    <row r="99" spans="1:18" x14ac:dyDescent="0.3">
      <c r="A99">
        <v>4</v>
      </c>
      <c r="B99">
        <v>4</v>
      </c>
      <c r="C99" t="s">
        <v>2</v>
      </c>
      <c r="D99">
        <v>3.68</v>
      </c>
      <c r="E99">
        <v>26742.101999999999</v>
      </c>
      <c r="F99" t="s">
        <v>391</v>
      </c>
      <c r="G99" s="31">
        <v>12.56</v>
      </c>
    </row>
    <row r="100" spans="1:18" x14ac:dyDescent="0.3">
      <c r="A100">
        <v>5</v>
      </c>
      <c r="B100">
        <v>5</v>
      </c>
      <c r="C100" t="s">
        <v>3</v>
      </c>
      <c r="D100">
        <v>4.4800000000000004</v>
      </c>
      <c r="E100">
        <v>1130.7280000000001</v>
      </c>
      <c r="F100" t="s">
        <v>392</v>
      </c>
      <c r="G100" s="31">
        <v>16.53</v>
      </c>
      <c r="M100" t="s">
        <v>382</v>
      </c>
      <c r="N100" t="s">
        <v>383</v>
      </c>
      <c r="O100" t="s">
        <v>384</v>
      </c>
      <c r="P100" t="s">
        <v>385</v>
      </c>
      <c r="Q100" t="s">
        <v>386</v>
      </c>
      <c r="R100" s="31" t="s">
        <v>387</v>
      </c>
    </row>
    <row r="101" spans="1:18" x14ac:dyDescent="0.3">
      <c r="A101">
        <v>6</v>
      </c>
      <c r="B101">
        <v>6</v>
      </c>
      <c r="C101" t="s">
        <v>4</v>
      </c>
      <c r="D101">
        <v>4.78</v>
      </c>
      <c r="E101">
        <v>73845.570000000007</v>
      </c>
      <c r="F101" t="s">
        <v>393</v>
      </c>
      <c r="G101" s="31">
        <v>24.63</v>
      </c>
      <c r="L101">
        <v>1</v>
      </c>
      <c r="M101">
        <v>1</v>
      </c>
      <c r="N101" t="s">
        <v>35</v>
      </c>
      <c r="O101">
        <v>1.45</v>
      </c>
      <c r="P101">
        <v>374038.31300000002</v>
      </c>
      <c r="Q101" t="s">
        <v>511</v>
      </c>
      <c r="R101" s="31">
        <v>619.32000000000005</v>
      </c>
    </row>
    <row r="102" spans="1:18" x14ac:dyDescent="0.3">
      <c r="A102">
        <v>7</v>
      </c>
      <c r="B102">
        <v>7</v>
      </c>
      <c r="C102" t="s">
        <v>5</v>
      </c>
      <c r="D102">
        <v>2.7</v>
      </c>
      <c r="E102">
        <v>1081.816</v>
      </c>
      <c r="F102" t="s">
        <v>394</v>
      </c>
      <c r="G102" s="31">
        <v>1.33</v>
      </c>
      <c r="L102">
        <v>2</v>
      </c>
      <c r="M102">
        <v>2</v>
      </c>
      <c r="N102" t="s">
        <v>36</v>
      </c>
      <c r="O102">
        <v>1.68</v>
      </c>
      <c r="P102">
        <v>2540487.25</v>
      </c>
      <c r="Q102" t="s">
        <v>512</v>
      </c>
      <c r="R102" s="31">
        <v>3122.08</v>
      </c>
    </row>
    <row r="103" spans="1:18" x14ac:dyDescent="0.3">
      <c r="A103">
        <v>8</v>
      </c>
      <c r="B103">
        <v>8</v>
      </c>
      <c r="C103" t="s">
        <v>6</v>
      </c>
      <c r="D103">
        <v>0.66</v>
      </c>
      <c r="E103">
        <v>876.86599999999999</v>
      </c>
      <c r="F103" t="s">
        <v>395</v>
      </c>
      <c r="G103" s="31">
        <v>88.43</v>
      </c>
      <c r="L103">
        <v>3</v>
      </c>
      <c r="M103">
        <v>3</v>
      </c>
      <c r="N103" t="s">
        <v>37</v>
      </c>
      <c r="O103">
        <v>1.82</v>
      </c>
      <c r="P103">
        <v>6284.75</v>
      </c>
      <c r="Q103" t="s">
        <v>513</v>
      </c>
      <c r="R103" s="31">
        <v>11.99</v>
      </c>
    </row>
    <row r="104" spans="1:18" x14ac:dyDescent="0.3">
      <c r="A104">
        <v>9</v>
      </c>
      <c r="B104">
        <v>9</v>
      </c>
      <c r="C104" t="s">
        <v>7</v>
      </c>
      <c r="D104">
        <v>3.57</v>
      </c>
      <c r="E104">
        <v>1348.528</v>
      </c>
      <c r="F104" t="s">
        <v>396</v>
      </c>
      <c r="G104" s="31">
        <v>26.55</v>
      </c>
      <c r="L104">
        <v>4</v>
      </c>
      <c r="M104">
        <v>4</v>
      </c>
      <c r="N104" t="s">
        <v>38</v>
      </c>
      <c r="O104">
        <v>1.18</v>
      </c>
      <c r="P104">
        <v>8537.9789999999994</v>
      </c>
      <c r="Q104" t="s">
        <v>514</v>
      </c>
      <c r="R104" s="31">
        <v>12.92</v>
      </c>
    </row>
    <row r="105" spans="1:18" x14ac:dyDescent="0.3">
      <c r="A105">
        <v>10</v>
      </c>
      <c r="B105">
        <v>10</v>
      </c>
      <c r="C105" t="s">
        <v>51</v>
      </c>
      <c r="D105">
        <v>4.5999999999999996</v>
      </c>
      <c r="E105">
        <v>1815.5050000000001</v>
      </c>
      <c r="F105" t="s">
        <v>397</v>
      </c>
      <c r="G105" s="31">
        <v>2.72</v>
      </c>
      <c r="L105">
        <v>5</v>
      </c>
      <c r="M105">
        <v>5</v>
      </c>
      <c r="N105" t="s">
        <v>39</v>
      </c>
      <c r="O105">
        <v>1.38</v>
      </c>
      <c r="P105">
        <v>213540.609</v>
      </c>
      <c r="Q105" t="s">
        <v>515</v>
      </c>
      <c r="R105" s="31">
        <v>400.68</v>
      </c>
    </row>
    <row r="106" spans="1:18" x14ac:dyDescent="0.3">
      <c r="A106">
        <v>11</v>
      </c>
      <c r="B106">
        <v>11</v>
      </c>
      <c r="C106" t="s">
        <v>8</v>
      </c>
      <c r="D106">
        <v>2.74</v>
      </c>
      <c r="E106">
        <v>29133.273000000001</v>
      </c>
      <c r="F106" t="s">
        <v>398</v>
      </c>
      <c r="G106" s="31">
        <v>12.25</v>
      </c>
      <c r="L106">
        <v>6</v>
      </c>
      <c r="M106">
        <v>6</v>
      </c>
      <c r="N106" t="s">
        <v>40</v>
      </c>
      <c r="O106">
        <v>1.53</v>
      </c>
      <c r="P106">
        <v>25120.182000000001</v>
      </c>
      <c r="Q106" t="s">
        <v>516</v>
      </c>
      <c r="R106" s="31">
        <v>26.03</v>
      </c>
    </row>
    <row r="107" spans="1:18" x14ac:dyDescent="0.3">
      <c r="A107">
        <v>12</v>
      </c>
      <c r="B107">
        <v>12</v>
      </c>
      <c r="C107" t="s">
        <v>9</v>
      </c>
      <c r="D107">
        <v>2.62</v>
      </c>
      <c r="E107">
        <v>3848.232</v>
      </c>
      <c r="F107" t="s">
        <v>399</v>
      </c>
      <c r="G107" s="31">
        <v>11.31</v>
      </c>
      <c r="L107">
        <v>7</v>
      </c>
      <c r="M107">
        <v>7</v>
      </c>
      <c r="N107" t="s">
        <v>41</v>
      </c>
      <c r="O107">
        <v>2.2999999999999998</v>
      </c>
      <c r="P107">
        <v>5207.1400000000003</v>
      </c>
      <c r="Q107" t="s">
        <v>517</v>
      </c>
      <c r="R107" s="31">
        <v>48.78</v>
      </c>
    </row>
    <row r="108" spans="1:18" x14ac:dyDescent="0.3">
      <c r="A108">
        <v>13</v>
      </c>
      <c r="B108">
        <v>13</v>
      </c>
      <c r="C108" t="s">
        <v>10</v>
      </c>
      <c r="D108">
        <v>4.08</v>
      </c>
      <c r="E108">
        <v>804180.06299999997</v>
      </c>
      <c r="F108" t="s">
        <v>400</v>
      </c>
      <c r="G108" s="31">
        <v>484.93</v>
      </c>
      <c r="L108">
        <v>8</v>
      </c>
      <c r="M108">
        <v>8</v>
      </c>
      <c r="N108" t="s">
        <v>42</v>
      </c>
      <c r="O108">
        <v>0.89</v>
      </c>
      <c r="P108">
        <v>28640.905999999999</v>
      </c>
      <c r="Q108" t="s">
        <v>518</v>
      </c>
      <c r="R108" s="31">
        <v>477.67</v>
      </c>
    </row>
    <row r="109" spans="1:18" x14ac:dyDescent="0.3">
      <c r="A109">
        <v>14</v>
      </c>
      <c r="B109">
        <v>14</v>
      </c>
      <c r="C109" t="s">
        <v>11</v>
      </c>
      <c r="D109">
        <v>3.52</v>
      </c>
      <c r="E109">
        <v>68.84</v>
      </c>
      <c r="F109" t="s">
        <v>401</v>
      </c>
      <c r="G109" s="31">
        <v>31.79</v>
      </c>
      <c r="L109">
        <v>9</v>
      </c>
      <c r="M109">
        <v>9</v>
      </c>
      <c r="N109" t="s">
        <v>43</v>
      </c>
      <c r="O109">
        <v>2.5499999999999998</v>
      </c>
      <c r="P109">
        <v>30396.256000000001</v>
      </c>
      <c r="Q109" t="s">
        <v>519</v>
      </c>
      <c r="R109" s="31">
        <v>4.84</v>
      </c>
    </row>
    <row r="110" spans="1:18" x14ac:dyDescent="0.3">
      <c r="A110">
        <v>15</v>
      </c>
      <c r="B110">
        <v>15</v>
      </c>
      <c r="C110" t="s">
        <v>12</v>
      </c>
      <c r="D110">
        <v>3.33</v>
      </c>
      <c r="E110">
        <v>623.34799999999996</v>
      </c>
      <c r="F110" t="s">
        <v>402</v>
      </c>
      <c r="G110" s="31">
        <v>20.78</v>
      </c>
      <c r="L110">
        <v>10</v>
      </c>
      <c r="M110">
        <v>10</v>
      </c>
      <c r="N110" t="s">
        <v>52</v>
      </c>
      <c r="O110">
        <v>4.1399999999999997</v>
      </c>
      <c r="P110">
        <v>97168.241999999998</v>
      </c>
      <c r="Q110" t="s">
        <v>520</v>
      </c>
      <c r="R110" s="31">
        <v>63.62</v>
      </c>
    </row>
    <row r="111" spans="1:18" x14ac:dyDescent="0.3">
      <c r="A111">
        <v>16</v>
      </c>
      <c r="B111">
        <v>16</v>
      </c>
      <c r="C111" t="s">
        <v>13</v>
      </c>
      <c r="D111">
        <v>3.23</v>
      </c>
      <c r="E111">
        <v>8580.1139999999996</v>
      </c>
      <c r="F111" t="s">
        <v>403</v>
      </c>
      <c r="G111" s="31">
        <v>12.37</v>
      </c>
      <c r="L111">
        <v>11</v>
      </c>
      <c r="M111">
        <v>11</v>
      </c>
      <c r="N111" t="s">
        <v>44</v>
      </c>
      <c r="O111">
        <v>4.25</v>
      </c>
      <c r="P111">
        <v>3887.3290000000002</v>
      </c>
      <c r="Q111" t="s">
        <v>521</v>
      </c>
      <c r="R111" s="31">
        <v>5.34</v>
      </c>
    </row>
    <row r="112" spans="1:18" x14ac:dyDescent="0.3">
      <c r="A112">
        <v>17</v>
      </c>
      <c r="B112">
        <v>17</v>
      </c>
      <c r="C112" t="s">
        <v>14</v>
      </c>
      <c r="D112">
        <v>1.98</v>
      </c>
      <c r="E112">
        <v>20393.391</v>
      </c>
      <c r="F112" t="s">
        <v>404</v>
      </c>
      <c r="G112" s="31">
        <v>25.31</v>
      </c>
      <c r="L112">
        <v>12</v>
      </c>
      <c r="M112">
        <v>12</v>
      </c>
      <c r="N112" t="s">
        <v>45</v>
      </c>
      <c r="O112">
        <v>3.46</v>
      </c>
      <c r="P112">
        <v>3385389</v>
      </c>
      <c r="Q112" t="s">
        <v>522</v>
      </c>
      <c r="R112" s="31">
        <v>866.55</v>
      </c>
    </row>
    <row r="113" spans="1:18" x14ac:dyDescent="0.3">
      <c r="A113">
        <v>18</v>
      </c>
      <c r="B113">
        <v>18</v>
      </c>
      <c r="C113" t="s">
        <v>15</v>
      </c>
      <c r="D113">
        <v>2.48</v>
      </c>
      <c r="E113">
        <v>27769.414000000001</v>
      </c>
      <c r="F113" t="s">
        <v>405</v>
      </c>
      <c r="G113" s="31">
        <v>101.27</v>
      </c>
      <c r="L113">
        <v>13</v>
      </c>
      <c r="M113">
        <v>13</v>
      </c>
      <c r="N113" t="s">
        <v>46</v>
      </c>
      <c r="O113">
        <v>2.61</v>
      </c>
      <c r="P113">
        <v>394648.75</v>
      </c>
      <c r="Q113" t="s">
        <v>523</v>
      </c>
      <c r="R113" s="31">
        <v>206.78</v>
      </c>
    </row>
    <row r="114" spans="1:18" x14ac:dyDescent="0.3">
      <c r="A114">
        <v>19</v>
      </c>
      <c r="B114">
        <v>19</v>
      </c>
      <c r="C114" t="s">
        <v>16</v>
      </c>
      <c r="D114">
        <v>2.71</v>
      </c>
      <c r="E114">
        <v>4971.6229999999996</v>
      </c>
      <c r="F114" t="s">
        <v>406</v>
      </c>
      <c r="G114" s="31">
        <v>2.29</v>
      </c>
      <c r="L114">
        <v>14</v>
      </c>
      <c r="M114">
        <v>14</v>
      </c>
      <c r="N114" t="s">
        <v>47</v>
      </c>
      <c r="O114">
        <v>0.67</v>
      </c>
      <c r="P114">
        <v>50476.75</v>
      </c>
      <c r="Q114" t="s">
        <v>524</v>
      </c>
      <c r="R114" s="31">
        <v>255.97</v>
      </c>
    </row>
    <row r="115" spans="1:18" x14ac:dyDescent="0.3">
      <c r="A115">
        <v>20</v>
      </c>
      <c r="B115">
        <v>20</v>
      </c>
      <c r="C115" t="s">
        <v>17</v>
      </c>
      <c r="D115">
        <v>3.06</v>
      </c>
      <c r="E115">
        <v>16445.951000000001</v>
      </c>
      <c r="F115" t="s">
        <v>407</v>
      </c>
      <c r="G115" s="31">
        <v>23.95</v>
      </c>
      <c r="L115">
        <v>15</v>
      </c>
      <c r="M115">
        <v>15</v>
      </c>
      <c r="N115" t="s">
        <v>48</v>
      </c>
      <c r="O115">
        <v>1.21</v>
      </c>
      <c r="P115">
        <v>80723.875</v>
      </c>
      <c r="Q115" t="s">
        <v>525</v>
      </c>
      <c r="R115" s="31">
        <v>124.86</v>
      </c>
    </row>
    <row r="116" spans="1:18" x14ac:dyDescent="0.3">
      <c r="A116">
        <v>21</v>
      </c>
      <c r="B116">
        <v>21</v>
      </c>
      <c r="C116" t="s">
        <v>18</v>
      </c>
      <c r="D116">
        <v>3.69</v>
      </c>
      <c r="E116">
        <v>14656.826999999999</v>
      </c>
      <c r="F116" t="s">
        <v>408</v>
      </c>
      <c r="G116" s="31">
        <v>5</v>
      </c>
      <c r="L116">
        <v>16</v>
      </c>
      <c r="M116">
        <v>16</v>
      </c>
      <c r="N116" t="s">
        <v>53</v>
      </c>
      <c r="O116">
        <v>4.59</v>
      </c>
      <c r="P116">
        <v>142861.06299999999</v>
      </c>
      <c r="Q116" t="s">
        <v>526</v>
      </c>
      <c r="R116" s="31">
        <v>20.83</v>
      </c>
    </row>
    <row r="117" spans="1:18" x14ac:dyDescent="0.3">
      <c r="A117">
        <v>22</v>
      </c>
      <c r="B117">
        <v>22</v>
      </c>
      <c r="C117" t="s">
        <v>19</v>
      </c>
      <c r="D117">
        <v>2.62</v>
      </c>
      <c r="E117">
        <v>26465.785</v>
      </c>
      <c r="F117" t="s">
        <v>409</v>
      </c>
      <c r="G117" s="31">
        <v>23.71</v>
      </c>
      <c r="L117">
        <v>17</v>
      </c>
      <c r="M117">
        <v>17</v>
      </c>
      <c r="N117" t="s">
        <v>54</v>
      </c>
      <c r="O117">
        <v>5.21</v>
      </c>
      <c r="P117">
        <v>1895.568</v>
      </c>
      <c r="Q117" t="s">
        <v>527</v>
      </c>
      <c r="R117" s="31">
        <v>0.35</v>
      </c>
    </row>
    <row r="118" spans="1:18" x14ac:dyDescent="0.3">
      <c r="A118">
        <v>23</v>
      </c>
      <c r="B118">
        <v>23</v>
      </c>
      <c r="C118" t="s">
        <v>20</v>
      </c>
      <c r="D118">
        <v>2.89</v>
      </c>
      <c r="E118">
        <v>9047.7350000000006</v>
      </c>
      <c r="F118" t="s">
        <v>410</v>
      </c>
      <c r="G118" s="31">
        <v>4.74</v>
      </c>
      <c r="L118">
        <v>18</v>
      </c>
      <c r="M118">
        <v>18</v>
      </c>
      <c r="N118" t="s">
        <v>55</v>
      </c>
      <c r="O118">
        <v>1.31</v>
      </c>
      <c r="P118">
        <v>2324.21</v>
      </c>
      <c r="Q118" t="s">
        <v>528</v>
      </c>
      <c r="R118" s="31">
        <v>0.89</v>
      </c>
    </row>
    <row r="119" spans="1:18" x14ac:dyDescent="0.3">
      <c r="A119">
        <v>24</v>
      </c>
      <c r="B119">
        <v>24</v>
      </c>
      <c r="C119" t="s">
        <v>21</v>
      </c>
      <c r="D119">
        <v>4.12</v>
      </c>
      <c r="E119">
        <v>1037.943</v>
      </c>
      <c r="F119" t="s">
        <v>411</v>
      </c>
      <c r="G119" s="31">
        <v>0.5</v>
      </c>
      <c r="L119">
        <v>19</v>
      </c>
      <c r="M119">
        <v>19</v>
      </c>
      <c r="N119" t="s">
        <v>56</v>
      </c>
      <c r="O119">
        <v>0.87</v>
      </c>
      <c r="P119">
        <v>179394.57800000001</v>
      </c>
      <c r="Q119" t="s">
        <v>529</v>
      </c>
      <c r="R119" s="31">
        <v>120.74</v>
      </c>
    </row>
    <row r="120" spans="1:18" x14ac:dyDescent="0.3">
      <c r="A120">
        <v>25</v>
      </c>
      <c r="B120">
        <v>25</v>
      </c>
      <c r="C120" t="s">
        <v>22</v>
      </c>
      <c r="D120">
        <v>3.42</v>
      </c>
      <c r="E120">
        <v>409.81400000000002</v>
      </c>
      <c r="F120" t="s">
        <v>412</v>
      </c>
      <c r="G120" s="31">
        <v>37.39</v>
      </c>
      <c r="L120">
        <v>20</v>
      </c>
      <c r="M120">
        <v>20</v>
      </c>
      <c r="N120" t="s">
        <v>57</v>
      </c>
      <c r="O120">
        <v>1.52</v>
      </c>
      <c r="P120">
        <v>1396.7529999999999</v>
      </c>
      <c r="Q120" t="s">
        <v>530</v>
      </c>
      <c r="R120" s="31">
        <v>5.3</v>
      </c>
    </row>
    <row r="121" spans="1:18" x14ac:dyDescent="0.3">
      <c r="A121">
        <v>26</v>
      </c>
      <c r="B121">
        <v>26</v>
      </c>
      <c r="C121" t="s">
        <v>23</v>
      </c>
      <c r="D121">
        <v>3.35</v>
      </c>
      <c r="E121">
        <v>34096.387000000002</v>
      </c>
      <c r="F121" t="s">
        <v>413</v>
      </c>
      <c r="G121" s="31">
        <v>25.39</v>
      </c>
      <c r="L121">
        <v>21</v>
      </c>
      <c r="M121">
        <v>21</v>
      </c>
      <c r="N121" t="s">
        <v>58</v>
      </c>
      <c r="O121">
        <v>2.4500000000000002</v>
      </c>
      <c r="P121">
        <v>135.59</v>
      </c>
      <c r="Q121" t="s">
        <v>531</v>
      </c>
      <c r="R121" s="31">
        <v>1.01</v>
      </c>
    </row>
    <row r="122" spans="1:18" x14ac:dyDescent="0.3">
      <c r="A122">
        <v>27</v>
      </c>
      <c r="B122">
        <v>27</v>
      </c>
      <c r="C122" t="s">
        <v>24</v>
      </c>
      <c r="D122">
        <v>3.43</v>
      </c>
      <c r="E122">
        <v>1015.852</v>
      </c>
      <c r="F122" t="s">
        <v>414</v>
      </c>
      <c r="G122" s="31">
        <v>4.8600000000000003</v>
      </c>
      <c r="L122">
        <v>22</v>
      </c>
      <c r="M122">
        <v>22</v>
      </c>
      <c r="N122" t="s">
        <v>59</v>
      </c>
      <c r="O122">
        <v>2.52</v>
      </c>
      <c r="P122">
        <v>45907.453000000001</v>
      </c>
      <c r="Q122" t="s">
        <v>532</v>
      </c>
      <c r="R122" s="31">
        <v>64.17</v>
      </c>
    </row>
    <row r="123" spans="1:18" x14ac:dyDescent="0.3">
      <c r="A123">
        <v>28</v>
      </c>
      <c r="B123">
        <v>28</v>
      </c>
      <c r="C123" t="s">
        <v>25</v>
      </c>
      <c r="D123">
        <v>3.51</v>
      </c>
      <c r="E123">
        <v>9949.6319999999996</v>
      </c>
      <c r="F123" t="s">
        <v>415</v>
      </c>
      <c r="G123" s="31">
        <v>12.11</v>
      </c>
      <c r="L123">
        <v>23</v>
      </c>
      <c r="M123">
        <v>23</v>
      </c>
      <c r="N123" t="s">
        <v>60</v>
      </c>
      <c r="O123">
        <v>2.4500000000000002</v>
      </c>
      <c r="P123">
        <v>83881.883000000002</v>
      </c>
      <c r="Q123" t="s">
        <v>533</v>
      </c>
      <c r="R123" s="31">
        <v>51.86</v>
      </c>
    </row>
    <row r="124" spans="1:18" x14ac:dyDescent="0.3">
      <c r="A124">
        <v>29</v>
      </c>
      <c r="B124">
        <v>29</v>
      </c>
      <c r="C124" t="s">
        <v>26</v>
      </c>
      <c r="D124">
        <v>1.03</v>
      </c>
      <c r="E124">
        <v>1463.4549999999999</v>
      </c>
      <c r="F124" t="s">
        <v>416</v>
      </c>
      <c r="G124" s="31">
        <v>12.47</v>
      </c>
    </row>
    <row r="125" spans="1:18" x14ac:dyDescent="0.3">
      <c r="A125">
        <v>30</v>
      </c>
      <c r="B125">
        <v>30</v>
      </c>
      <c r="C125" t="s">
        <v>27</v>
      </c>
      <c r="D125">
        <v>4.33</v>
      </c>
      <c r="E125">
        <v>1876.5889999999999</v>
      </c>
      <c r="F125" t="s">
        <v>417</v>
      </c>
      <c r="G125" s="31">
        <v>1.1200000000000001</v>
      </c>
      <c r="L125" t="s">
        <v>379</v>
      </c>
    </row>
    <row r="126" spans="1:18" x14ac:dyDescent="0.3">
      <c r="A126">
        <v>31</v>
      </c>
      <c r="B126">
        <v>31</v>
      </c>
      <c r="C126" t="s">
        <v>28</v>
      </c>
      <c r="D126">
        <v>3</v>
      </c>
      <c r="E126">
        <v>154012.96900000001</v>
      </c>
      <c r="F126" t="s">
        <v>418</v>
      </c>
      <c r="G126" s="31">
        <v>6.58</v>
      </c>
    </row>
    <row r="127" spans="1:18" x14ac:dyDescent="0.3">
      <c r="A127">
        <v>32</v>
      </c>
      <c r="B127">
        <v>32</v>
      </c>
      <c r="C127" t="s">
        <v>29</v>
      </c>
      <c r="D127">
        <v>3.34</v>
      </c>
      <c r="E127">
        <v>980.471</v>
      </c>
      <c r="F127" t="s">
        <v>419</v>
      </c>
      <c r="G127" s="31">
        <v>1.17</v>
      </c>
      <c r="L127" t="s">
        <v>509</v>
      </c>
    </row>
    <row r="128" spans="1:18" x14ac:dyDescent="0.3">
      <c r="A128">
        <v>33</v>
      </c>
      <c r="B128">
        <v>33</v>
      </c>
      <c r="C128" t="s">
        <v>30</v>
      </c>
      <c r="D128">
        <v>4.66</v>
      </c>
      <c r="E128">
        <v>66801.483999999997</v>
      </c>
      <c r="F128" t="s">
        <v>420</v>
      </c>
      <c r="G128" s="31">
        <v>11.54</v>
      </c>
    </row>
    <row r="129" spans="1:18" x14ac:dyDescent="0.3">
      <c r="A129">
        <v>34</v>
      </c>
      <c r="B129">
        <v>34</v>
      </c>
      <c r="C129" t="s">
        <v>31</v>
      </c>
      <c r="D129">
        <v>3.5</v>
      </c>
      <c r="E129">
        <v>1367.271</v>
      </c>
      <c r="F129" t="s">
        <v>421</v>
      </c>
      <c r="G129" s="31">
        <v>0.96</v>
      </c>
      <c r="L129" t="s">
        <v>537</v>
      </c>
    </row>
    <row r="130" spans="1:18" x14ac:dyDescent="0.3">
      <c r="A130">
        <v>35</v>
      </c>
      <c r="B130">
        <v>35</v>
      </c>
      <c r="C130" t="s">
        <v>32</v>
      </c>
      <c r="D130">
        <v>3.06</v>
      </c>
      <c r="E130">
        <v>441.75099999999998</v>
      </c>
      <c r="F130" t="s">
        <v>422</v>
      </c>
      <c r="G130" s="31">
        <v>0.43</v>
      </c>
    </row>
    <row r="131" spans="1:18" x14ac:dyDescent="0.3">
      <c r="A131">
        <v>36</v>
      </c>
      <c r="B131">
        <v>36</v>
      </c>
      <c r="C131" t="s">
        <v>33</v>
      </c>
      <c r="D131">
        <v>1.87</v>
      </c>
      <c r="E131">
        <v>1100.6089999999999</v>
      </c>
      <c r="F131" t="s">
        <v>423</v>
      </c>
      <c r="G131" s="31">
        <v>5.62</v>
      </c>
      <c r="M131" t="s">
        <v>382</v>
      </c>
      <c r="N131" t="s">
        <v>383</v>
      </c>
      <c r="O131" t="s">
        <v>384</v>
      </c>
      <c r="P131" t="s">
        <v>385</v>
      </c>
      <c r="Q131" t="s">
        <v>386</v>
      </c>
      <c r="R131" s="31" t="s">
        <v>387</v>
      </c>
    </row>
    <row r="132" spans="1:18" x14ac:dyDescent="0.3">
      <c r="L132">
        <v>1</v>
      </c>
      <c r="M132">
        <v>1</v>
      </c>
      <c r="N132" t="s">
        <v>35</v>
      </c>
      <c r="O132">
        <v>1.45</v>
      </c>
      <c r="P132">
        <v>770928.68799999997</v>
      </c>
      <c r="Q132" t="s">
        <v>511</v>
      </c>
      <c r="R132" s="31">
        <v>1189.56</v>
      </c>
    </row>
    <row r="133" spans="1:18" x14ac:dyDescent="0.3">
      <c r="A133" t="s">
        <v>379</v>
      </c>
      <c r="L133">
        <v>2</v>
      </c>
      <c r="M133">
        <v>2</v>
      </c>
      <c r="N133" t="s">
        <v>36</v>
      </c>
      <c r="O133">
        <v>1.68</v>
      </c>
      <c r="P133">
        <v>5162668</v>
      </c>
      <c r="Q133" t="s">
        <v>512</v>
      </c>
      <c r="R133" s="31">
        <v>5903.1</v>
      </c>
    </row>
    <row r="134" spans="1:18" x14ac:dyDescent="0.3">
      <c r="L134">
        <v>3</v>
      </c>
      <c r="M134">
        <v>3</v>
      </c>
      <c r="N134" t="s">
        <v>37</v>
      </c>
      <c r="O134">
        <v>1.83</v>
      </c>
      <c r="P134">
        <v>13635.331</v>
      </c>
      <c r="Q134" t="s">
        <v>513</v>
      </c>
      <c r="R134" s="31">
        <v>25.26</v>
      </c>
    </row>
    <row r="135" spans="1:18" x14ac:dyDescent="0.3">
      <c r="A135" t="s">
        <v>380</v>
      </c>
      <c r="L135">
        <v>4</v>
      </c>
      <c r="M135">
        <v>4</v>
      </c>
      <c r="N135" t="s">
        <v>38</v>
      </c>
      <c r="O135">
        <v>1.18</v>
      </c>
      <c r="P135">
        <v>16901.932000000001</v>
      </c>
      <c r="Q135" t="s">
        <v>514</v>
      </c>
      <c r="R135" s="31">
        <v>24.99</v>
      </c>
    </row>
    <row r="136" spans="1:18" x14ac:dyDescent="0.3">
      <c r="L136">
        <v>5</v>
      </c>
      <c r="M136">
        <v>5</v>
      </c>
      <c r="N136" t="s">
        <v>39</v>
      </c>
      <c r="O136">
        <v>1.38</v>
      </c>
      <c r="P136">
        <v>456355.53100000002</v>
      </c>
      <c r="Q136" t="s">
        <v>515</v>
      </c>
      <c r="R136" s="31">
        <v>804.21</v>
      </c>
    </row>
    <row r="137" spans="1:18" x14ac:dyDescent="0.3">
      <c r="A137" t="s">
        <v>426</v>
      </c>
      <c r="L137">
        <v>6</v>
      </c>
      <c r="M137">
        <v>6</v>
      </c>
      <c r="N137" t="s">
        <v>40</v>
      </c>
      <c r="O137">
        <v>1.53</v>
      </c>
      <c r="P137">
        <v>47898.366999999998</v>
      </c>
      <c r="Q137" t="s">
        <v>516</v>
      </c>
      <c r="R137" s="31">
        <v>49.33</v>
      </c>
    </row>
    <row r="138" spans="1:18" x14ac:dyDescent="0.3">
      <c r="L138">
        <v>7</v>
      </c>
      <c r="M138">
        <v>7</v>
      </c>
      <c r="N138" t="s">
        <v>41</v>
      </c>
      <c r="O138">
        <v>2.2599999999999998</v>
      </c>
      <c r="P138">
        <v>10872.86</v>
      </c>
      <c r="Q138" t="s">
        <v>517</v>
      </c>
      <c r="R138" s="31">
        <v>100.26</v>
      </c>
    </row>
    <row r="139" spans="1:18" x14ac:dyDescent="0.3">
      <c r="B139" t="s">
        <v>382</v>
      </c>
      <c r="C139" t="s">
        <v>383</v>
      </c>
      <c r="D139" t="s">
        <v>384</v>
      </c>
      <c r="E139" t="s">
        <v>385</v>
      </c>
      <c r="F139" t="s">
        <v>386</v>
      </c>
      <c r="G139" s="31" t="s">
        <v>387</v>
      </c>
      <c r="L139">
        <v>8</v>
      </c>
      <c r="M139">
        <v>8</v>
      </c>
      <c r="N139" t="s">
        <v>42</v>
      </c>
      <c r="O139">
        <v>0.89</v>
      </c>
      <c r="P139">
        <v>80543.608999999997</v>
      </c>
      <c r="Q139" t="s">
        <v>518</v>
      </c>
      <c r="R139" s="31">
        <v>1014.89</v>
      </c>
    </row>
    <row r="140" spans="1:18" x14ac:dyDescent="0.3">
      <c r="A140">
        <v>1</v>
      </c>
      <c r="B140">
        <v>1</v>
      </c>
      <c r="C140" t="s">
        <v>0</v>
      </c>
      <c r="D140">
        <v>1.01</v>
      </c>
      <c r="E140">
        <v>6760.2060000000001</v>
      </c>
      <c r="F140" t="s">
        <v>388</v>
      </c>
      <c r="G140" s="31">
        <v>412.34</v>
      </c>
      <c r="L140">
        <v>9</v>
      </c>
      <c r="M140">
        <v>9</v>
      </c>
      <c r="N140" t="s">
        <v>43</v>
      </c>
      <c r="O140">
        <v>2.56</v>
      </c>
      <c r="P140">
        <v>63940.491999999998</v>
      </c>
      <c r="Q140" t="s">
        <v>519</v>
      </c>
      <c r="R140" s="31">
        <v>10.18</v>
      </c>
    </row>
    <row r="141" spans="1:18" x14ac:dyDescent="0.3">
      <c r="A141">
        <v>2</v>
      </c>
      <c r="B141">
        <v>2</v>
      </c>
      <c r="C141" t="s">
        <v>1</v>
      </c>
      <c r="D141">
        <v>1.44</v>
      </c>
      <c r="E141">
        <v>8980.32</v>
      </c>
      <c r="F141" t="s">
        <v>389</v>
      </c>
      <c r="G141" s="31">
        <v>98.65</v>
      </c>
      <c r="L141">
        <v>10</v>
      </c>
      <c r="M141">
        <v>10</v>
      </c>
      <c r="N141" t="s">
        <v>52</v>
      </c>
      <c r="O141">
        <v>4.1399999999999997</v>
      </c>
      <c r="P141">
        <v>185396.65599999999</v>
      </c>
      <c r="Q141" t="s">
        <v>520</v>
      </c>
      <c r="R141" s="31">
        <v>124.07</v>
      </c>
    </row>
    <row r="142" spans="1:18" x14ac:dyDescent="0.3">
      <c r="A142">
        <v>3</v>
      </c>
      <c r="B142">
        <v>3</v>
      </c>
      <c r="C142" t="s">
        <v>50</v>
      </c>
      <c r="D142">
        <v>3.55</v>
      </c>
      <c r="E142">
        <v>1909.3050000000001</v>
      </c>
      <c r="F142" t="s">
        <v>390</v>
      </c>
      <c r="G142" s="31">
        <v>9.27</v>
      </c>
      <c r="L142">
        <v>11</v>
      </c>
      <c r="M142">
        <v>11</v>
      </c>
      <c r="N142" t="s">
        <v>44</v>
      </c>
      <c r="O142">
        <v>4.29</v>
      </c>
      <c r="P142">
        <v>7946.268</v>
      </c>
      <c r="Q142" t="s">
        <v>521</v>
      </c>
      <c r="R142" s="31">
        <v>9.83</v>
      </c>
    </row>
    <row r="143" spans="1:18" x14ac:dyDescent="0.3">
      <c r="A143">
        <v>4</v>
      </c>
      <c r="B143">
        <v>4</v>
      </c>
      <c r="C143" t="s">
        <v>2</v>
      </c>
      <c r="D143">
        <v>3.67</v>
      </c>
      <c r="E143">
        <v>57900.671999999999</v>
      </c>
      <c r="F143" t="s">
        <v>391</v>
      </c>
      <c r="G143" s="31">
        <v>26.32</v>
      </c>
      <c r="L143">
        <v>12</v>
      </c>
      <c r="M143">
        <v>12</v>
      </c>
      <c r="N143" t="s">
        <v>45</v>
      </c>
      <c r="O143">
        <v>3.46</v>
      </c>
      <c r="P143">
        <v>5758699</v>
      </c>
      <c r="Q143" t="s">
        <v>522</v>
      </c>
      <c r="R143" s="31">
        <v>1522.91</v>
      </c>
    </row>
    <row r="144" spans="1:18" x14ac:dyDescent="0.3">
      <c r="A144">
        <v>5</v>
      </c>
      <c r="B144">
        <v>5</v>
      </c>
      <c r="C144" t="s">
        <v>3</v>
      </c>
      <c r="D144">
        <v>4.4800000000000004</v>
      </c>
      <c r="E144">
        <v>3004.1959999999999</v>
      </c>
      <c r="F144" t="s">
        <v>392</v>
      </c>
      <c r="G144" s="31">
        <v>49.45</v>
      </c>
      <c r="L144">
        <v>13</v>
      </c>
      <c r="M144">
        <v>13</v>
      </c>
      <c r="N144" t="s">
        <v>46</v>
      </c>
      <c r="O144">
        <v>2.61</v>
      </c>
      <c r="P144">
        <v>732991.31299999997</v>
      </c>
      <c r="Q144" t="s">
        <v>523</v>
      </c>
      <c r="R144" s="31">
        <v>393.53</v>
      </c>
    </row>
    <row r="145" spans="1:18" x14ac:dyDescent="0.3">
      <c r="A145">
        <v>6</v>
      </c>
      <c r="B145">
        <v>6</v>
      </c>
      <c r="C145" t="s">
        <v>4</v>
      </c>
      <c r="D145">
        <v>4.78</v>
      </c>
      <c r="E145">
        <v>155136.90599999999</v>
      </c>
      <c r="F145" t="s">
        <v>393</v>
      </c>
      <c r="G145" s="31">
        <v>49.23</v>
      </c>
      <c r="L145">
        <v>14</v>
      </c>
      <c r="M145">
        <v>14</v>
      </c>
      <c r="N145" t="s">
        <v>47</v>
      </c>
      <c r="O145">
        <v>0.67</v>
      </c>
      <c r="P145">
        <v>93358.391000000003</v>
      </c>
      <c r="Q145" t="s">
        <v>524</v>
      </c>
      <c r="R145" s="31">
        <v>488.73</v>
      </c>
    </row>
    <row r="146" spans="1:18" x14ac:dyDescent="0.3">
      <c r="A146">
        <v>7</v>
      </c>
      <c r="B146">
        <v>7</v>
      </c>
      <c r="C146" t="s">
        <v>5</v>
      </c>
      <c r="D146">
        <v>2.71</v>
      </c>
      <c r="E146">
        <v>2263.1039999999998</v>
      </c>
      <c r="F146" t="s">
        <v>394</v>
      </c>
      <c r="G146" s="31">
        <v>2.72</v>
      </c>
      <c r="L146">
        <v>15</v>
      </c>
      <c r="M146">
        <v>15</v>
      </c>
      <c r="N146" t="s">
        <v>48</v>
      </c>
      <c r="O146">
        <v>1.22</v>
      </c>
      <c r="P146">
        <v>158952.54699999999</v>
      </c>
      <c r="Q146" t="s">
        <v>525</v>
      </c>
      <c r="R146" s="31">
        <v>248.99</v>
      </c>
    </row>
    <row r="147" spans="1:18" x14ac:dyDescent="0.3">
      <c r="A147">
        <v>8</v>
      </c>
      <c r="B147">
        <v>8</v>
      </c>
      <c r="C147" t="s">
        <v>6</v>
      </c>
      <c r="D147">
        <v>0.66</v>
      </c>
      <c r="E147">
        <v>2256.5729999999999</v>
      </c>
      <c r="F147" t="s">
        <v>395</v>
      </c>
      <c r="G147" s="31">
        <v>206.15</v>
      </c>
      <c r="L147">
        <v>16</v>
      </c>
      <c r="M147">
        <v>16</v>
      </c>
      <c r="N147" t="s">
        <v>53</v>
      </c>
      <c r="O147">
        <v>4.59</v>
      </c>
      <c r="P147">
        <v>286223.84399999998</v>
      </c>
      <c r="Q147" t="s">
        <v>526</v>
      </c>
      <c r="R147" s="31">
        <v>42.18</v>
      </c>
    </row>
    <row r="148" spans="1:18" x14ac:dyDescent="0.3">
      <c r="A148">
        <v>9</v>
      </c>
      <c r="B148">
        <v>9</v>
      </c>
      <c r="C148" t="s">
        <v>7</v>
      </c>
      <c r="D148">
        <v>3.56</v>
      </c>
      <c r="E148">
        <v>2603.4940000000001</v>
      </c>
      <c r="F148" t="s">
        <v>396</v>
      </c>
      <c r="G148" s="31">
        <v>50.4</v>
      </c>
      <c r="L148">
        <v>17</v>
      </c>
      <c r="M148">
        <v>17</v>
      </c>
      <c r="N148" t="s">
        <v>54</v>
      </c>
      <c r="O148">
        <v>5.2</v>
      </c>
      <c r="P148">
        <v>3610.4459999999999</v>
      </c>
      <c r="Q148" t="s">
        <v>527</v>
      </c>
      <c r="R148" s="31">
        <v>0.72</v>
      </c>
    </row>
    <row r="149" spans="1:18" x14ac:dyDescent="0.3">
      <c r="A149">
        <v>10</v>
      </c>
      <c r="B149">
        <v>10</v>
      </c>
      <c r="C149" t="s">
        <v>51</v>
      </c>
      <c r="D149">
        <v>4.5999999999999996</v>
      </c>
      <c r="E149">
        <v>3345.1880000000001</v>
      </c>
      <c r="F149" t="s">
        <v>397</v>
      </c>
      <c r="G149" s="31">
        <v>4.97</v>
      </c>
      <c r="L149">
        <v>18</v>
      </c>
      <c r="M149">
        <v>18</v>
      </c>
      <c r="N149" t="s">
        <v>55</v>
      </c>
      <c r="O149">
        <v>1.31</v>
      </c>
      <c r="P149">
        <v>3868.1060000000002</v>
      </c>
      <c r="Q149" t="s">
        <v>528</v>
      </c>
      <c r="R149" s="31">
        <v>1.52</v>
      </c>
    </row>
    <row r="150" spans="1:18" x14ac:dyDescent="0.3">
      <c r="A150">
        <v>11</v>
      </c>
      <c r="B150">
        <v>11</v>
      </c>
      <c r="C150" t="s">
        <v>8</v>
      </c>
      <c r="D150">
        <v>2.73</v>
      </c>
      <c r="E150">
        <v>64614.73</v>
      </c>
      <c r="F150" t="s">
        <v>398</v>
      </c>
      <c r="G150" s="31">
        <v>25.18</v>
      </c>
      <c r="L150">
        <v>19</v>
      </c>
      <c r="M150">
        <v>19</v>
      </c>
      <c r="N150" t="s">
        <v>56</v>
      </c>
      <c r="O150">
        <v>0.87</v>
      </c>
      <c r="P150">
        <v>322246</v>
      </c>
      <c r="Q150" t="s">
        <v>529</v>
      </c>
      <c r="R150" s="31">
        <v>221.67</v>
      </c>
    </row>
    <row r="151" spans="1:18" x14ac:dyDescent="0.3">
      <c r="A151">
        <v>12</v>
      </c>
      <c r="B151">
        <v>12</v>
      </c>
      <c r="C151" t="s">
        <v>9</v>
      </c>
      <c r="D151">
        <v>2.62</v>
      </c>
      <c r="E151">
        <v>9805.5470000000005</v>
      </c>
      <c r="F151" t="s">
        <v>399</v>
      </c>
      <c r="G151" s="31">
        <v>24.68</v>
      </c>
      <c r="L151">
        <v>20</v>
      </c>
      <c r="M151">
        <v>20</v>
      </c>
      <c r="N151" t="s">
        <v>57</v>
      </c>
      <c r="O151">
        <v>1.52</v>
      </c>
      <c r="P151">
        <v>2567.5079999999998</v>
      </c>
      <c r="Q151" t="s">
        <v>530</v>
      </c>
      <c r="R151" s="31">
        <v>9.7899999999999991</v>
      </c>
    </row>
    <row r="152" spans="1:18" x14ac:dyDescent="0.3">
      <c r="A152">
        <v>13</v>
      </c>
      <c r="B152">
        <v>13</v>
      </c>
      <c r="C152" t="s">
        <v>10</v>
      </c>
      <c r="D152">
        <v>4.08</v>
      </c>
      <c r="E152">
        <v>1454469</v>
      </c>
      <c r="F152" t="s">
        <v>400</v>
      </c>
      <c r="G152" s="31">
        <v>953.97</v>
      </c>
      <c r="L152">
        <v>21</v>
      </c>
      <c r="M152">
        <v>21</v>
      </c>
      <c r="N152" t="s">
        <v>58</v>
      </c>
      <c r="O152">
        <v>2.42</v>
      </c>
      <c r="P152">
        <v>320.44499999999999</v>
      </c>
      <c r="Q152" t="s">
        <v>531</v>
      </c>
      <c r="R152" s="31">
        <v>2.0299999999999998</v>
      </c>
    </row>
    <row r="153" spans="1:18" x14ac:dyDescent="0.3">
      <c r="A153">
        <v>14</v>
      </c>
      <c r="B153">
        <v>14</v>
      </c>
      <c r="C153" t="s">
        <v>11</v>
      </c>
      <c r="D153">
        <v>3.52</v>
      </c>
      <c r="E153">
        <v>120.973</v>
      </c>
      <c r="F153" t="s">
        <v>401</v>
      </c>
      <c r="G153" s="31">
        <v>49.58</v>
      </c>
      <c r="L153">
        <v>22</v>
      </c>
      <c r="M153">
        <v>22</v>
      </c>
      <c r="N153" t="s">
        <v>59</v>
      </c>
      <c r="O153">
        <v>2.52</v>
      </c>
      <c r="P153">
        <v>86769.82</v>
      </c>
      <c r="Q153" t="s">
        <v>532</v>
      </c>
      <c r="R153" s="31">
        <v>123.14</v>
      </c>
    </row>
    <row r="154" spans="1:18" x14ac:dyDescent="0.3">
      <c r="A154">
        <v>15</v>
      </c>
      <c r="B154">
        <v>15</v>
      </c>
      <c r="C154" t="s">
        <v>12</v>
      </c>
      <c r="D154">
        <v>3.33</v>
      </c>
      <c r="E154">
        <v>687.899</v>
      </c>
      <c r="F154" t="s">
        <v>402</v>
      </c>
      <c r="G154" s="31">
        <v>22.91</v>
      </c>
      <c r="L154">
        <v>23</v>
      </c>
      <c r="M154">
        <v>23</v>
      </c>
      <c r="N154" t="s">
        <v>60</v>
      </c>
      <c r="O154">
        <v>2.4500000000000002</v>
      </c>
      <c r="P154">
        <v>162190.234</v>
      </c>
      <c r="Q154" t="s">
        <v>533</v>
      </c>
      <c r="R154" s="31">
        <v>98.41</v>
      </c>
    </row>
    <row r="155" spans="1:18" x14ac:dyDescent="0.3">
      <c r="A155">
        <v>16</v>
      </c>
      <c r="B155">
        <v>16</v>
      </c>
      <c r="C155" t="s">
        <v>13</v>
      </c>
      <c r="D155">
        <v>3.23</v>
      </c>
      <c r="E155">
        <v>18130.901999999998</v>
      </c>
      <c r="F155" t="s">
        <v>403</v>
      </c>
      <c r="G155" s="31">
        <v>23.88</v>
      </c>
    </row>
    <row r="156" spans="1:18" x14ac:dyDescent="0.3">
      <c r="A156">
        <v>17</v>
      </c>
      <c r="B156">
        <v>17</v>
      </c>
      <c r="C156" t="s">
        <v>14</v>
      </c>
      <c r="D156">
        <v>1.99</v>
      </c>
      <c r="E156">
        <v>41456.101999999999</v>
      </c>
      <c r="F156" t="s">
        <v>404</v>
      </c>
      <c r="G156" s="31">
        <v>48.15</v>
      </c>
      <c r="L156" t="s">
        <v>379</v>
      </c>
    </row>
    <row r="157" spans="1:18" x14ac:dyDescent="0.3">
      <c r="A157">
        <v>18</v>
      </c>
      <c r="B157">
        <v>18</v>
      </c>
      <c r="C157" t="s">
        <v>15</v>
      </c>
      <c r="D157">
        <v>2.4900000000000002</v>
      </c>
      <c r="E157">
        <v>59101.262000000002</v>
      </c>
      <c r="F157" t="s">
        <v>405</v>
      </c>
      <c r="G157" s="31">
        <v>203.97</v>
      </c>
    </row>
    <row r="158" spans="1:18" x14ac:dyDescent="0.3">
      <c r="A158">
        <v>19</v>
      </c>
      <c r="B158">
        <v>19</v>
      </c>
      <c r="C158" t="s">
        <v>16</v>
      </c>
      <c r="D158">
        <v>2.7</v>
      </c>
      <c r="E158">
        <v>11764.866</v>
      </c>
      <c r="F158" t="s">
        <v>406</v>
      </c>
      <c r="G158" s="31">
        <v>5.01</v>
      </c>
      <c r="L158" t="s">
        <v>509</v>
      </c>
    </row>
    <row r="159" spans="1:18" x14ac:dyDescent="0.3">
      <c r="A159">
        <v>20</v>
      </c>
      <c r="B159">
        <v>20</v>
      </c>
      <c r="C159" t="s">
        <v>17</v>
      </c>
      <c r="D159">
        <v>3.05</v>
      </c>
      <c r="E159">
        <v>33801.097999999998</v>
      </c>
      <c r="F159" t="s">
        <v>407</v>
      </c>
      <c r="G159" s="31">
        <v>49.75</v>
      </c>
    </row>
    <row r="160" spans="1:18" x14ac:dyDescent="0.3">
      <c r="A160">
        <v>21</v>
      </c>
      <c r="B160">
        <v>21</v>
      </c>
      <c r="C160" t="s">
        <v>18</v>
      </c>
      <c r="D160">
        <v>3.69</v>
      </c>
      <c r="E160">
        <v>30614.425999999999</v>
      </c>
      <c r="F160" t="s">
        <v>408</v>
      </c>
      <c r="G160" s="31">
        <v>10.49</v>
      </c>
      <c r="L160" t="s">
        <v>538</v>
      </c>
    </row>
    <row r="161" spans="1:18" x14ac:dyDescent="0.3">
      <c r="A161">
        <v>22</v>
      </c>
      <c r="B161">
        <v>22</v>
      </c>
      <c r="C161" t="s">
        <v>19</v>
      </c>
      <c r="D161">
        <v>2.62</v>
      </c>
      <c r="E161">
        <v>64104.800999999999</v>
      </c>
      <c r="F161" t="s">
        <v>409</v>
      </c>
      <c r="G161" s="31">
        <v>49.15</v>
      </c>
    </row>
    <row r="162" spans="1:18" x14ac:dyDescent="0.3">
      <c r="A162">
        <v>23</v>
      </c>
      <c r="B162">
        <v>23</v>
      </c>
      <c r="C162" t="s">
        <v>20</v>
      </c>
      <c r="D162">
        <v>2.89</v>
      </c>
      <c r="E162">
        <v>20108.598000000002</v>
      </c>
      <c r="F162" t="s">
        <v>410</v>
      </c>
      <c r="G162" s="31">
        <v>9.5399999999999991</v>
      </c>
      <c r="M162" t="s">
        <v>382</v>
      </c>
      <c r="N162" t="s">
        <v>383</v>
      </c>
      <c r="O162" t="s">
        <v>384</v>
      </c>
      <c r="P162" t="s">
        <v>385</v>
      </c>
      <c r="Q162" t="s">
        <v>386</v>
      </c>
      <c r="R162" s="31" t="s">
        <v>387</v>
      </c>
    </row>
    <row r="163" spans="1:18" x14ac:dyDescent="0.3">
      <c r="A163">
        <v>24</v>
      </c>
      <c r="B163">
        <v>24</v>
      </c>
      <c r="C163" t="s">
        <v>21</v>
      </c>
      <c r="D163">
        <v>4.12</v>
      </c>
      <c r="E163">
        <v>1812.8050000000001</v>
      </c>
      <c r="F163" t="s">
        <v>411</v>
      </c>
      <c r="G163" s="31">
        <v>0.94</v>
      </c>
      <c r="L163">
        <v>1</v>
      </c>
      <c r="M163">
        <v>1</v>
      </c>
      <c r="N163" t="s">
        <v>35</v>
      </c>
      <c r="O163">
        <v>1.33</v>
      </c>
      <c r="P163">
        <v>76.683999999999997</v>
      </c>
      <c r="Q163" t="s">
        <v>511</v>
      </c>
      <c r="R163" s="31">
        <v>82.03</v>
      </c>
    </row>
    <row r="164" spans="1:18" x14ac:dyDescent="0.3">
      <c r="A164">
        <v>25</v>
      </c>
      <c r="B164">
        <v>25</v>
      </c>
      <c r="C164" t="s">
        <v>22</v>
      </c>
      <c r="D164">
        <v>3.57</v>
      </c>
      <c r="E164">
        <v>1887.039</v>
      </c>
      <c r="F164" t="s">
        <v>412</v>
      </c>
      <c r="G164" s="31">
        <v>98.51</v>
      </c>
      <c r="L164">
        <v>2</v>
      </c>
      <c r="M164">
        <v>2</v>
      </c>
      <c r="N164" t="s">
        <v>36</v>
      </c>
      <c r="O164">
        <v>1.66</v>
      </c>
      <c r="P164">
        <v>229.30199999999999</v>
      </c>
      <c r="Q164" t="s">
        <v>512</v>
      </c>
      <c r="R164" s="31">
        <v>427.95</v>
      </c>
    </row>
    <row r="165" spans="1:18" x14ac:dyDescent="0.3">
      <c r="A165">
        <v>26</v>
      </c>
      <c r="B165">
        <v>26</v>
      </c>
      <c r="C165" t="s">
        <v>23</v>
      </c>
      <c r="D165">
        <v>3.35</v>
      </c>
      <c r="E165">
        <v>71116.335999999996</v>
      </c>
      <c r="F165" t="s">
        <v>413</v>
      </c>
      <c r="G165" s="31">
        <v>50.75</v>
      </c>
      <c r="L165">
        <v>3</v>
      </c>
      <c r="M165">
        <v>3</v>
      </c>
      <c r="N165" t="s">
        <v>37</v>
      </c>
      <c r="Q165" t="s">
        <v>513</v>
      </c>
      <c r="R165" s="31">
        <v>0.1</v>
      </c>
    </row>
    <row r="166" spans="1:18" x14ac:dyDescent="0.3">
      <c r="A166">
        <v>27</v>
      </c>
      <c r="B166">
        <v>27</v>
      </c>
      <c r="C166" t="s">
        <v>24</v>
      </c>
      <c r="D166">
        <v>3.44</v>
      </c>
      <c r="E166">
        <v>1922.0809999999999</v>
      </c>
      <c r="F166" t="s">
        <v>414</v>
      </c>
      <c r="G166" s="31">
        <v>10.42</v>
      </c>
      <c r="L166">
        <v>4</v>
      </c>
      <c r="M166">
        <v>4</v>
      </c>
      <c r="N166" t="s">
        <v>38</v>
      </c>
      <c r="O166">
        <v>1.1200000000000001</v>
      </c>
      <c r="P166">
        <v>2.99</v>
      </c>
      <c r="Q166" t="s">
        <v>514</v>
      </c>
      <c r="R166" s="31">
        <v>0.6</v>
      </c>
    </row>
    <row r="167" spans="1:18" x14ac:dyDescent="0.3">
      <c r="A167">
        <v>28</v>
      </c>
      <c r="B167">
        <v>28</v>
      </c>
      <c r="C167" t="s">
        <v>25</v>
      </c>
      <c r="D167">
        <v>3.51</v>
      </c>
      <c r="E167">
        <v>22592.266</v>
      </c>
      <c r="F167" t="s">
        <v>415</v>
      </c>
      <c r="G167" s="31">
        <v>25.22</v>
      </c>
      <c r="L167">
        <v>5</v>
      </c>
      <c r="M167">
        <v>5</v>
      </c>
      <c r="N167" t="s">
        <v>39</v>
      </c>
      <c r="O167">
        <v>1.39</v>
      </c>
      <c r="P167">
        <v>15.461</v>
      </c>
      <c r="Q167" t="s">
        <v>515</v>
      </c>
      <c r="R167" s="31">
        <v>45.82</v>
      </c>
    </row>
    <row r="168" spans="1:18" x14ac:dyDescent="0.3">
      <c r="A168">
        <v>29</v>
      </c>
      <c r="B168">
        <v>29</v>
      </c>
      <c r="C168" t="s">
        <v>26</v>
      </c>
      <c r="D168">
        <v>1.03</v>
      </c>
      <c r="E168">
        <v>3420.1680000000001</v>
      </c>
      <c r="F168" t="s">
        <v>416</v>
      </c>
      <c r="G168" s="31">
        <v>25.03</v>
      </c>
      <c r="L168">
        <v>6</v>
      </c>
      <c r="M168">
        <v>6</v>
      </c>
      <c r="N168" t="s">
        <v>40</v>
      </c>
      <c r="Q168" t="s">
        <v>516</v>
      </c>
      <c r="R168" s="31">
        <v>0.1</v>
      </c>
    </row>
    <row r="169" spans="1:18" x14ac:dyDescent="0.3">
      <c r="A169">
        <v>30</v>
      </c>
      <c r="B169">
        <v>30</v>
      </c>
      <c r="C169" t="s">
        <v>27</v>
      </c>
      <c r="D169">
        <v>4.33</v>
      </c>
      <c r="E169">
        <v>4543.1419999999998</v>
      </c>
      <c r="F169" t="s">
        <v>417</v>
      </c>
      <c r="G169" s="31">
        <v>2.56</v>
      </c>
      <c r="L169">
        <v>7</v>
      </c>
      <c r="M169">
        <v>7</v>
      </c>
      <c r="N169" t="s">
        <v>41</v>
      </c>
      <c r="O169">
        <v>2.35</v>
      </c>
      <c r="P169">
        <v>36.456000000000003</v>
      </c>
      <c r="Q169" t="s">
        <v>517</v>
      </c>
      <c r="R169" s="31">
        <v>1.8</v>
      </c>
    </row>
    <row r="170" spans="1:18" x14ac:dyDescent="0.3">
      <c r="A170">
        <v>31</v>
      </c>
      <c r="B170">
        <v>31</v>
      </c>
      <c r="C170" t="s">
        <v>28</v>
      </c>
      <c r="D170">
        <v>3</v>
      </c>
      <c r="E170">
        <v>278370.75</v>
      </c>
      <c r="F170" t="s">
        <v>418</v>
      </c>
      <c r="G170" s="31">
        <v>12.89</v>
      </c>
      <c r="L170">
        <v>8</v>
      </c>
      <c r="M170">
        <v>8</v>
      </c>
      <c r="N170" t="s">
        <v>42</v>
      </c>
      <c r="Q170" t="s">
        <v>518</v>
      </c>
      <c r="R170" s="31">
        <v>0.1</v>
      </c>
    </row>
    <row r="171" spans="1:18" x14ac:dyDescent="0.3">
      <c r="A171">
        <v>32</v>
      </c>
      <c r="B171">
        <v>32</v>
      </c>
      <c r="C171" t="s">
        <v>29</v>
      </c>
      <c r="D171">
        <v>3.34</v>
      </c>
      <c r="E171">
        <v>2519.2959999999998</v>
      </c>
      <c r="F171" t="s">
        <v>419</v>
      </c>
      <c r="G171" s="31">
        <v>2.4700000000000002</v>
      </c>
      <c r="L171">
        <v>9</v>
      </c>
      <c r="M171">
        <v>9</v>
      </c>
      <c r="N171" t="s">
        <v>43</v>
      </c>
      <c r="O171">
        <v>2.52</v>
      </c>
      <c r="P171">
        <v>34.326000000000001</v>
      </c>
      <c r="Q171" t="s">
        <v>519</v>
      </c>
      <c r="R171" s="31">
        <v>0.12</v>
      </c>
    </row>
    <row r="172" spans="1:18" x14ac:dyDescent="0.3">
      <c r="A172">
        <v>33</v>
      </c>
      <c r="B172">
        <v>33</v>
      </c>
      <c r="C172" t="s">
        <v>30</v>
      </c>
      <c r="D172">
        <v>4.67</v>
      </c>
      <c r="E172">
        <v>158614.125</v>
      </c>
      <c r="F172" t="s">
        <v>420</v>
      </c>
      <c r="G172" s="31">
        <v>22.79</v>
      </c>
      <c r="L172">
        <v>10</v>
      </c>
      <c r="M172">
        <v>10</v>
      </c>
      <c r="N172" t="s">
        <v>52</v>
      </c>
      <c r="O172">
        <v>4.25</v>
      </c>
      <c r="P172">
        <v>26.657</v>
      </c>
      <c r="Q172" t="s">
        <v>520</v>
      </c>
      <c r="R172" s="31">
        <v>0.1</v>
      </c>
    </row>
    <row r="173" spans="1:18" x14ac:dyDescent="0.3">
      <c r="A173">
        <v>34</v>
      </c>
      <c r="B173">
        <v>34</v>
      </c>
      <c r="C173" t="s">
        <v>31</v>
      </c>
      <c r="D173">
        <v>3.51</v>
      </c>
      <c r="E173">
        <v>2859.991</v>
      </c>
      <c r="F173" t="s">
        <v>421</v>
      </c>
      <c r="G173" s="31">
        <v>1.9</v>
      </c>
      <c r="L173">
        <v>11</v>
      </c>
      <c r="M173">
        <v>11</v>
      </c>
      <c r="N173" t="s">
        <v>44</v>
      </c>
      <c r="Q173" t="s">
        <v>521</v>
      </c>
      <c r="R173" s="31">
        <v>0.1</v>
      </c>
    </row>
    <row r="174" spans="1:18" x14ac:dyDescent="0.3">
      <c r="A174">
        <v>35</v>
      </c>
      <c r="B174">
        <v>35</v>
      </c>
      <c r="C174" t="s">
        <v>32</v>
      </c>
      <c r="D174">
        <v>3.06</v>
      </c>
      <c r="E174">
        <v>638.32899999999995</v>
      </c>
      <c r="F174" t="s">
        <v>422</v>
      </c>
      <c r="G174" s="31">
        <v>0.66</v>
      </c>
      <c r="L174">
        <v>12</v>
      </c>
      <c r="M174">
        <v>12</v>
      </c>
      <c r="N174" t="s">
        <v>45</v>
      </c>
      <c r="O174">
        <v>3.51</v>
      </c>
      <c r="P174">
        <v>10.653</v>
      </c>
      <c r="Q174" t="s">
        <v>522</v>
      </c>
      <c r="R174" s="31">
        <v>0.1</v>
      </c>
    </row>
    <row r="175" spans="1:18" x14ac:dyDescent="0.3">
      <c r="A175">
        <v>36</v>
      </c>
      <c r="B175">
        <v>36</v>
      </c>
      <c r="C175" t="s">
        <v>33</v>
      </c>
      <c r="D175">
        <v>1.87</v>
      </c>
      <c r="E175">
        <v>1832.251</v>
      </c>
      <c r="F175" t="s">
        <v>423</v>
      </c>
      <c r="G175" s="31">
        <v>9.34</v>
      </c>
      <c r="L175">
        <v>13</v>
      </c>
      <c r="M175">
        <v>13</v>
      </c>
      <c r="N175" t="s">
        <v>46</v>
      </c>
      <c r="O175">
        <v>2.5499999999999998</v>
      </c>
      <c r="P175">
        <v>862.72799999999995</v>
      </c>
      <c r="Q175" t="s">
        <v>523</v>
      </c>
      <c r="R175" s="31">
        <v>0.1</v>
      </c>
    </row>
    <row r="176" spans="1:18" x14ac:dyDescent="0.3">
      <c r="L176">
        <v>14</v>
      </c>
      <c r="M176">
        <v>14</v>
      </c>
      <c r="N176" t="s">
        <v>47</v>
      </c>
      <c r="Q176" t="s">
        <v>524</v>
      </c>
      <c r="R176" s="31">
        <v>0.1</v>
      </c>
    </row>
    <row r="177" spans="1:18" x14ac:dyDescent="0.3">
      <c r="A177" t="s">
        <v>379</v>
      </c>
      <c r="L177">
        <v>15</v>
      </c>
      <c r="M177">
        <v>15</v>
      </c>
      <c r="N177" t="s">
        <v>48</v>
      </c>
      <c r="O177">
        <v>1.21</v>
      </c>
      <c r="P177">
        <v>68.685000000000002</v>
      </c>
      <c r="Q177" t="s">
        <v>525</v>
      </c>
      <c r="R177" s="31">
        <v>0.1</v>
      </c>
    </row>
    <row r="178" spans="1:18" x14ac:dyDescent="0.3">
      <c r="L178">
        <v>16</v>
      </c>
      <c r="M178">
        <v>16</v>
      </c>
      <c r="N178" t="s">
        <v>53</v>
      </c>
      <c r="O178">
        <v>4.5999999999999996</v>
      </c>
      <c r="P178">
        <v>165.999</v>
      </c>
      <c r="Q178" t="s">
        <v>526</v>
      </c>
      <c r="R178" s="31">
        <v>0.1</v>
      </c>
    </row>
    <row r="179" spans="1:18" x14ac:dyDescent="0.3">
      <c r="A179" t="s">
        <v>380</v>
      </c>
      <c r="L179">
        <v>17</v>
      </c>
      <c r="M179">
        <v>17</v>
      </c>
      <c r="N179" t="s">
        <v>54</v>
      </c>
      <c r="O179">
        <v>5.25</v>
      </c>
      <c r="P179">
        <v>179.89</v>
      </c>
      <c r="Q179" t="s">
        <v>527</v>
      </c>
      <c r="R179" s="31">
        <v>0.1</v>
      </c>
    </row>
    <row r="180" spans="1:18" x14ac:dyDescent="0.3">
      <c r="L180">
        <v>18</v>
      </c>
      <c r="M180">
        <v>18</v>
      </c>
      <c r="N180" t="s">
        <v>55</v>
      </c>
      <c r="Q180" t="s">
        <v>528</v>
      </c>
      <c r="R180" s="31">
        <v>0.1</v>
      </c>
    </row>
    <row r="181" spans="1:18" x14ac:dyDescent="0.3">
      <c r="A181" t="s">
        <v>427</v>
      </c>
      <c r="L181">
        <v>19</v>
      </c>
      <c r="M181">
        <v>19</v>
      </c>
      <c r="N181" t="s">
        <v>56</v>
      </c>
      <c r="O181">
        <v>0.87</v>
      </c>
      <c r="P181">
        <v>15.007999999999999</v>
      </c>
      <c r="Q181" t="s">
        <v>529</v>
      </c>
      <c r="R181" s="31">
        <v>0.1</v>
      </c>
    </row>
    <row r="182" spans="1:18" x14ac:dyDescent="0.3">
      <c r="L182">
        <v>20</v>
      </c>
      <c r="M182">
        <v>20</v>
      </c>
      <c r="N182" t="s">
        <v>57</v>
      </c>
      <c r="Q182" t="s">
        <v>530</v>
      </c>
      <c r="R182" s="31">
        <v>0.1</v>
      </c>
    </row>
    <row r="183" spans="1:18" x14ac:dyDescent="0.3">
      <c r="B183" t="s">
        <v>382</v>
      </c>
      <c r="C183" t="s">
        <v>383</v>
      </c>
      <c r="D183" t="s">
        <v>384</v>
      </c>
      <c r="E183" t="s">
        <v>385</v>
      </c>
      <c r="F183" t="s">
        <v>386</v>
      </c>
      <c r="G183" s="31" t="s">
        <v>387</v>
      </c>
      <c r="L183">
        <v>21</v>
      </c>
      <c r="M183">
        <v>21</v>
      </c>
      <c r="N183" t="s">
        <v>58</v>
      </c>
      <c r="Q183" t="s">
        <v>531</v>
      </c>
      <c r="R183" s="31">
        <v>0.1</v>
      </c>
    </row>
    <row r="184" spans="1:18" x14ac:dyDescent="0.3">
      <c r="A184">
        <v>1</v>
      </c>
      <c r="B184">
        <v>1</v>
      </c>
      <c r="C184" t="s">
        <v>0</v>
      </c>
      <c r="D184">
        <v>1.01</v>
      </c>
      <c r="E184">
        <v>12997.442999999999</v>
      </c>
      <c r="F184" t="s">
        <v>388</v>
      </c>
      <c r="G184" s="31">
        <v>795.97</v>
      </c>
      <c r="L184">
        <v>22</v>
      </c>
      <c r="M184">
        <v>22</v>
      </c>
      <c r="N184" t="s">
        <v>59</v>
      </c>
      <c r="Q184" t="s">
        <v>532</v>
      </c>
      <c r="R184" s="31">
        <v>0.1</v>
      </c>
    </row>
    <row r="185" spans="1:18" x14ac:dyDescent="0.3">
      <c r="A185">
        <v>2</v>
      </c>
      <c r="B185">
        <v>2</v>
      </c>
      <c r="C185" t="s">
        <v>1</v>
      </c>
      <c r="D185">
        <v>1.44</v>
      </c>
      <c r="E185">
        <v>18860.93</v>
      </c>
      <c r="F185" t="s">
        <v>389</v>
      </c>
      <c r="G185" s="31">
        <v>202.2</v>
      </c>
      <c r="L185">
        <v>23</v>
      </c>
      <c r="M185">
        <v>23</v>
      </c>
      <c r="N185" t="s">
        <v>60</v>
      </c>
      <c r="O185">
        <v>2.59</v>
      </c>
      <c r="P185">
        <v>199.893</v>
      </c>
      <c r="Q185" t="s">
        <v>533</v>
      </c>
      <c r="R185" s="31">
        <v>2.11</v>
      </c>
    </row>
    <row r="186" spans="1:18" x14ac:dyDescent="0.3">
      <c r="A186">
        <v>3</v>
      </c>
      <c r="B186">
        <v>3</v>
      </c>
      <c r="C186" t="s">
        <v>50</v>
      </c>
      <c r="D186">
        <v>3.55</v>
      </c>
      <c r="E186">
        <v>4350.6549999999997</v>
      </c>
      <c r="F186" t="s">
        <v>390</v>
      </c>
      <c r="G186" s="31">
        <v>20.85</v>
      </c>
    </row>
    <row r="187" spans="1:18" x14ac:dyDescent="0.3">
      <c r="A187">
        <v>4</v>
      </c>
      <c r="B187">
        <v>4</v>
      </c>
      <c r="C187" t="s">
        <v>2</v>
      </c>
      <c r="D187">
        <v>3.68</v>
      </c>
      <c r="E187">
        <v>108840.141</v>
      </c>
      <c r="F187" t="s">
        <v>391</v>
      </c>
      <c r="G187" s="31">
        <v>48.83</v>
      </c>
      <c r="L187" t="s">
        <v>379</v>
      </c>
    </row>
    <row r="188" spans="1:18" x14ac:dyDescent="0.3">
      <c r="A188">
        <v>5</v>
      </c>
      <c r="B188">
        <v>5</v>
      </c>
      <c r="C188" t="s">
        <v>3</v>
      </c>
      <c r="D188">
        <v>4.49</v>
      </c>
      <c r="E188">
        <v>5908.6329999999998</v>
      </c>
      <c r="F188" t="s">
        <v>392</v>
      </c>
      <c r="G188" s="31">
        <v>100.47</v>
      </c>
    </row>
    <row r="189" spans="1:18" x14ac:dyDescent="0.3">
      <c r="A189">
        <v>6</v>
      </c>
      <c r="B189">
        <v>6</v>
      </c>
      <c r="C189" t="s">
        <v>4</v>
      </c>
      <c r="D189">
        <v>4.79</v>
      </c>
      <c r="E189">
        <v>325736.625</v>
      </c>
      <c r="F189" t="s">
        <v>393</v>
      </c>
      <c r="G189" s="31">
        <v>100.87</v>
      </c>
      <c r="L189" t="s">
        <v>509</v>
      </c>
    </row>
    <row r="190" spans="1:18" x14ac:dyDescent="0.3">
      <c r="A190">
        <v>7</v>
      </c>
      <c r="B190">
        <v>7</v>
      </c>
      <c r="C190" t="s">
        <v>5</v>
      </c>
      <c r="D190">
        <v>2.71</v>
      </c>
      <c r="E190">
        <v>3999.54</v>
      </c>
      <c r="F190" t="s">
        <v>394</v>
      </c>
      <c r="G190" s="31">
        <v>4.76</v>
      </c>
    </row>
    <row r="191" spans="1:18" x14ac:dyDescent="0.3">
      <c r="A191">
        <v>8</v>
      </c>
      <c r="B191">
        <v>8</v>
      </c>
      <c r="C191" t="s">
        <v>6</v>
      </c>
      <c r="D191">
        <v>0.66</v>
      </c>
      <c r="E191">
        <v>4544.25</v>
      </c>
      <c r="F191" t="s">
        <v>395</v>
      </c>
      <c r="G191" s="31">
        <v>401.34</v>
      </c>
      <c r="L191" t="s">
        <v>539</v>
      </c>
    </row>
    <row r="192" spans="1:18" x14ac:dyDescent="0.3">
      <c r="A192">
        <v>9</v>
      </c>
      <c r="B192">
        <v>9</v>
      </c>
      <c r="C192" t="s">
        <v>7</v>
      </c>
      <c r="D192">
        <v>3.56</v>
      </c>
      <c r="E192">
        <v>5149.3869999999997</v>
      </c>
      <c r="F192" t="s">
        <v>396</v>
      </c>
      <c r="G192" s="31">
        <v>98.77</v>
      </c>
    </row>
    <row r="193" spans="1:18" x14ac:dyDescent="0.3">
      <c r="A193">
        <v>10</v>
      </c>
      <c r="B193">
        <v>10</v>
      </c>
      <c r="C193" t="s">
        <v>51</v>
      </c>
      <c r="D193">
        <v>4.6100000000000003</v>
      </c>
      <c r="E193">
        <v>6697.6369999999997</v>
      </c>
      <c r="F193" t="s">
        <v>397</v>
      </c>
      <c r="G193" s="31">
        <v>9.9</v>
      </c>
      <c r="M193" t="s">
        <v>382</v>
      </c>
      <c r="N193" t="s">
        <v>383</v>
      </c>
      <c r="O193" t="s">
        <v>384</v>
      </c>
      <c r="P193" t="s">
        <v>385</v>
      </c>
      <c r="Q193" t="s">
        <v>386</v>
      </c>
      <c r="R193" s="31" t="s">
        <v>387</v>
      </c>
    </row>
    <row r="194" spans="1:18" x14ac:dyDescent="0.3">
      <c r="A194">
        <v>11</v>
      </c>
      <c r="B194">
        <v>11</v>
      </c>
      <c r="C194" t="s">
        <v>8</v>
      </c>
      <c r="D194">
        <v>2.73</v>
      </c>
      <c r="E194">
        <v>132656.40599999999</v>
      </c>
      <c r="F194" t="s">
        <v>398</v>
      </c>
      <c r="G194" s="31">
        <v>49.99</v>
      </c>
      <c r="L194">
        <v>1</v>
      </c>
      <c r="M194">
        <v>1</v>
      </c>
      <c r="N194" t="s">
        <v>35</v>
      </c>
      <c r="O194">
        <v>1.45</v>
      </c>
      <c r="P194">
        <v>374604.46899999998</v>
      </c>
      <c r="Q194" t="s">
        <v>511</v>
      </c>
      <c r="R194" s="31">
        <v>620.14</v>
      </c>
    </row>
    <row r="195" spans="1:18" x14ac:dyDescent="0.3">
      <c r="A195">
        <v>12</v>
      </c>
      <c r="B195">
        <v>12</v>
      </c>
      <c r="C195" t="s">
        <v>9</v>
      </c>
      <c r="D195">
        <v>2.62</v>
      </c>
      <c r="E195">
        <v>21516.995999999999</v>
      </c>
      <c r="F195" t="s">
        <v>399</v>
      </c>
      <c r="G195" s="31">
        <v>50.95</v>
      </c>
      <c r="L195">
        <v>2</v>
      </c>
      <c r="M195">
        <v>2</v>
      </c>
      <c r="N195" t="s">
        <v>36</v>
      </c>
      <c r="O195">
        <v>1.67</v>
      </c>
      <c r="P195">
        <v>2568865.25</v>
      </c>
      <c r="Q195" t="s">
        <v>512</v>
      </c>
      <c r="R195" s="31">
        <v>3152.18</v>
      </c>
    </row>
    <row r="196" spans="1:18" x14ac:dyDescent="0.3">
      <c r="A196">
        <v>13</v>
      </c>
      <c r="B196">
        <v>13</v>
      </c>
      <c r="C196" t="s">
        <v>10</v>
      </c>
      <c r="D196">
        <v>4.08</v>
      </c>
      <c r="E196">
        <v>2535608.75</v>
      </c>
      <c r="F196" t="s">
        <v>400</v>
      </c>
      <c r="G196" s="31">
        <v>1733.78</v>
      </c>
      <c r="L196">
        <v>3</v>
      </c>
      <c r="M196">
        <v>3</v>
      </c>
      <c r="N196" t="s">
        <v>37</v>
      </c>
      <c r="O196">
        <v>1.82</v>
      </c>
      <c r="P196">
        <v>6666.6009999999997</v>
      </c>
      <c r="Q196" t="s">
        <v>513</v>
      </c>
      <c r="R196" s="31">
        <v>12.68</v>
      </c>
    </row>
    <row r="197" spans="1:18" x14ac:dyDescent="0.3">
      <c r="A197">
        <v>14</v>
      </c>
      <c r="B197">
        <v>14</v>
      </c>
      <c r="C197" t="s">
        <v>11</v>
      </c>
      <c r="D197">
        <v>3.53</v>
      </c>
      <c r="E197">
        <v>269.779</v>
      </c>
      <c r="F197" t="s">
        <v>401</v>
      </c>
      <c r="G197" s="31">
        <v>100.36</v>
      </c>
      <c r="L197">
        <v>4</v>
      </c>
      <c r="M197">
        <v>4</v>
      </c>
      <c r="N197" t="s">
        <v>38</v>
      </c>
      <c r="O197">
        <v>1.18</v>
      </c>
      <c r="P197">
        <v>7781.9809999999998</v>
      </c>
      <c r="Q197" t="s">
        <v>514</v>
      </c>
      <c r="R197" s="31">
        <v>11.83</v>
      </c>
    </row>
    <row r="198" spans="1:18" x14ac:dyDescent="0.3">
      <c r="A198">
        <v>15</v>
      </c>
      <c r="B198">
        <v>15</v>
      </c>
      <c r="C198" t="s">
        <v>12</v>
      </c>
      <c r="D198">
        <v>3.33</v>
      </c>
      <c r="E198">
        <v>1560.616</v>
      </c>
      <c r="F198" t="s">
        <v>402</v>
      </c>
      <c r="G198" s="31">
        <v>51.79</v>
      </c>
      <c r="L198">
        <v>5</v>
      </c>
      <c r="M198">
        <v>5</v>
      </c>
      <c r="N198" t="s">
        <v>39</v>
      </c>
      <c r="O198">
        <v>1.38</v>
      </c>
      <c r="P198">
        <v>212260.67199999999</v>
      </c>
      <c r="Q198" t="s">
        <v>515</v>
      </c>
      <c r="R198" s="31">
        <v>398.55</v>
      </c>
    </row>
    <row r="199" spans="1:18" x14ac:dyDescent="0.3">
      <c r="A199">
        <v>16</v>
      </c>
      <c r="B199">
        <v>16</v>
      </c>
      <c r="C199" t="s">
        <v>13</v>
      </c>
      <c r="D199">
        <v>3.23</v>
      </c>
      <c r="E199">
        <v>40661.097999999998</v>
      </c>
      <c r="F199" t="s">
        <v>403</v>
      </c>
      <c r="G199" s="31">
        <v>51.03</v>
      </c>
      <c r="L199">
        <v>6</v>
      </c>
      <c r="M199">
        <v>6</v>
      </c>
      <c r="N199" t="s">
        <v>40</v>
      </c>
      <c r="O199">
        <v>1.53</v>
      </c>
      <c r="P199">
        <v>24603.763999999999</v>
      </c>
      <c r="Q199" t="s">
        <v>516</v>
      </c>
      <c r="R199" s="31">
        <v>25.5</v>
      </c>
    </row>
    <row r="200" spans="1:18" x14ac:dyDescent="0.3">
      <c r="A200">
        <v>17</v>
      </c>
      <c r="B200">
        <v>17</v>
      </c>
      <c r="C200" t="s">
        <v>14</v>
      </c>
      <c r="D200">
        <v>1.98</v>
      </c>
      <c r="E200">
        <v>90574.952999999994</v>
      </c>
      <c r="F200" t="s">
        <v>404</v>
      </c>
      <c r="G200" s="31">
        <v>101.41</v>
      </c>
      <c r="L200">
        <v>7</v>
      </c>
      <c r="M200">
        <v>7</v>
      </c>
      <c r="N200" t="s">
        <v>41</v>
      </c>
      <c r="O200">
        <v>2.2799999999999998</v>
      </c>
      <c r="P200">
        <v>5078.6859999999997</v>
      </c>
      <c r="Q200" t="s">
        <v>517</v>
      </c>
      <c r="R200" s="31">
        <v>47.61</v>
      </c>
    </row>
    <row r="201" spans="1:18" x14ac:dyDescent="0.3">
      <c r="A201">
        <v>18</v>
      </c>
      <c r="B201">
        <v>18</v>
      </c>
      <c r="C201" t="s">
        <v>15</v>
      </c>
      <c r="D201">
        <v>2.4900000000000002</v>
      </c>
      <c r="E201">
        <v>117646.102</v>
      </c>
      <c r="F201" t="s">
        <v>405</v>
      </c>
      <c r="G201" s="31">
        <v>395.87</v>
      </c>
      <c r="L201">
        <v>8</v>
      </c>
      <c r="M201">
        <v>8</v>
      </c>
      <c r="N201" t="s">
        <v>42</v>
      </c>
      <c r="O201">
        <v>0.89</v>
      </c>
      <c r="P201">
        <v>26507.324000000001</v>
      </c>
      <c r="Q201" t="s">
        <v>518</v>
      </c>
      <c r="R201" s="31">
        <v>455.59</v>
      </c>
    </row>
    <row r="202" spans="1:18" x14ac:dyDescent="0.3">
      <c r="A202">
        <v>19</v>
      </c>
      <c r="B202">
        <v>19</v>
      </c>
      <c r="C202" t="s">
        <v>16</v>
      </c>
      <c r="D202">
        <v>2.7</v>
      </c>
      <c r="E202">
        <v>24506.504000000001</v>
      </c>
      <c r="F202" t="s">
        <v>406</v>
      </c>
      <c r="G202" s="31">
        <v>10.11</v>
      </c>
      <c r="L202">
        <v>9</v>
      </c>
      <c r="M202">
        <v>9</v>
      </c>
      <c r="N202" t="s">
        <v>43</v>
      </c>
      <c r="O202">
        <v>2.54</v>
      </c>
      <c r="P202">
        <v>31687.965</v>
      </c>
      <c r="Q202" t="s">
        <v>519</v>
      </c>
      <c r="R202" s="31">
        <v>5.05</v>
      </c>
    </row>
    <row r="203" spans="1:18" x14ac:dyDescent="0.3">
      <c r="A203">
        <v>20</v>
      </c>
      <c r="B203">
        <v>20</v>
      </c>
      <c r="C203" t="s">
        <v>17</v>
      </c>
      <c r="D203">
        <v>3.05</v>
      </c>
      <c r="E203">
        <v>68142.070000000007</v>
      </c>
      <c r="F203" t="s">
        <v>407</v>
      </c>
      <c r="G203" s="31">
        <v>100.81</v>
      </c>
      <c r="L203">
        <v>10</v>
      </c>
      <c r="M203">
        <v>10</v>
      </c>
      <c r="N203" t="s">
        <v>52</v>
      </c>
      <c r="O203">
        <v>4.13</v>
      </c>
      <c r="P203">
        <v>100194.30499999999</v>
      </c>
      <c r="Q203" t="s">
        <v>520</v>
      </c>
      <c r="R203" s="31">
        <v>65.69</v>
      </c>
    </row>
    <row r="204" spans="1:18" x14ac:dyDescent="0.3">
      <c r="A204">
        <v>21</v>
      </c>
      <c r="B204">
        <v>21</v>
      </c>
      <c r="C204" t="s">
        <v>18</v>
      </c>
      <c r="D204">
        <v>3.69</v>
      </c>
      <c r="E204">
        <v>57028.355000000003</v>
      </c>
      <c r="F204" t="s">
        <v>408</v>
      </c>
      <c r="G204" s="31">
        <v>19.579999999999998</v>
      </c>
      <c r="L204">
        <v>11</v>
      </c>
      <c r="M204">
        <v>11</v>
      </c>
      <c r="N204" t="s">
        <v>44</v>
      </c>
      <c r="O204">
        <v>4.2300000000000004</v>
      </c>
      <c r="P204">
        <v>4160.1620000000003</v>
      </c>
      <c r="Q204" t="s">
        <v>521</v>
      </c>
      <c r="R204" s="31">
        <v>5.64</v>
      </c>
    </row>
    <row r="205" spans="1:18" x14ac:dyDescent="0.3">
      <c r="A205">
        <v>22</v>
      </c>
      <c r="B205">
        <v>22</v>
      </c>
      <c r="C205" t="s">
        <v>19</v>
      </c>
      <c r="D205">
        <v>2.62</v>
      </c>
      <c r="E205">
        <v>141504.45300000001</v>
      </c>
      <c r="F205" t="s">
        <v>409</v>
      </c>
      <c r="G205" s="31">
        <v>101.46</v>
      </c>
      <c r="L205">
        <v>12</v>
      </c>
      <c r="M205">
        <v>12</v>
      </c>
      <c r="N205" t="s">
        <v>45</v>
      </c>
      <c r="O205">
        <v>3.45</v>
      </c>
      <c r="P205">
        <v>3465643</v>
      </c>
      <c r="Q205" t="s">
        <v>522</v>
      </c>
      <c r="R205" s="31">
        <v>888.74</v>
      </c>
    </row>
    <row r="206" spans="1:18" x14ac:dyDescent="0.3">
      <c r="A206">
        <v>23</v>
      </c>
      <c r="B206">
        <v>23</v>
      </c>
      <c r="C206" t="s">
        <v>20</v>
      </c>
      <c r="D206">
        <v>2.89</v>
      </c>
      <c r="E206">
        <v>45429.491999999998</v>
      </c>
      <c r="F206" t="s">
        <v>410</v>
      </c>
      <c r="G206" s="31">
        <v>20.54</v>
      </c>
      <c r="L206">
        <v>13</v>
      </c>
      <c r="M206">
        <v>13</v>
      </c>
      <c r="N206" t="s">
        <v>46</v>
      </c>
      <c r="O206">
        <v>2.59</v>
      </c>
      <c r="P206">
        <v>408190.34399999998</v>
      </c>
      <c r="Q206" t="s">
        <v>523</v>
      </c>
      <c r="R206" s="31">
        <v>214.26</v>
      </c>
    </row>
    <row r="207" spans="1:18" x14ac:dyDescent="0.3">
      <c r="A207">
        <v>24</v>
      </c>
      <c r="B207">
        <v>24</v>
      </c>
      <c r="C207" t="s">
        <v>21</v>
      </c>
      <c r="D207">
        <v>4.12</v>
      </c>
      <c r="E207">
        <v>3750.5990000000002</v>
      </c>
      <c r="F207" t="s">
        <v>411</v>
      </c>
      <c r="G207" s="31">
        <v>2.0499999999999998</v>
      </c>
      <c r="L207">
        <v>14</v>
      </c>
      <c r="M207">
        <v>14</v>
      </c>
      <c r="N207" t="s">
        <v>47</v>
      </c>
      <c r="O207">
        <v>0.67</v>
      </c>
      <c r="P207">
        <v>53109.714999999997</v>
      </c>
      <c r="Q207" t="s">
        <v>524</v>
      </c>
      <c r="R207" s="31">
        <v>270.26</v>
      </c>
    </row>
    <row r="208" spans="1:18" x14ac:dyDescent="0.3">
      <c r="A208">
        <v>25</v>
      </c>
      <c r="B208">
        <v>25</v>
      </c>
      <c r="C208" t="s">
        <v>22</v>
      </c>
      <c r="D208">
        <v>3.57</v>
      </c>
      <c r="E208">
        <v>4370.78</v>
      </c>
      <c r="F208" t="s">
        <v>412</v>
      </c>
      <c r="G208" s="31">
        <v>201.28</v>
      </c>
      <c r="L208">
        <v>15</v>
      </c>
      <c r="M208">
        <v>15</v>
      </c>
      <c r="N208" t="s">
        <v>48</v>
      </c>
      <c r="O208">
        <v>1.22</v>
      </c>
      <c r="P208">
        <v>85111.281000000003</v>
      </c>
      <c r="Q208" t="s">
        <v>525</v>
      </c>
      <c r="R208" s="31">
        <v>131.82</v>
      </c>
    </row>
    <row r="209" spans="1:18" x14ac:dyDescent="0.3">
      <c r="A209">
        <v>26</v>
      </c>
      <c r="B209">
        <v>26</v>
      </c>
      <c r="C209" t="s">
        <v>23</v>
      </c>
      <c r="D209">
        <v>3.35</v>
      </c>
      <c r="E209">
        <v>141729.75</v>
      </c>
      <c r="F209" t="s">
        <v>413</v>
      </c>
      <c r="G209" s="31">
        <v>99.13</v>
      </c>
      <c r="L209">
        <v>16</v>
      </c>
      <c r="M209">
        <v>16</v>
      </c>
      <c r="N209" t="s">
        <v>53</v>
      </c>
      <c r="O209">
        <v>4.57</v>
      </c>
      <c r="P209">
        <v>146895.484</v>
      </c>
      <c r="Q209" t="s">
        <v>526</v>
      </c>
      <c r="R209" s="31">
        <v>21.43</v>
      </c>
    </row>
    <row r="210" spans="1:18" x14ac:dyDescent="0.3">
      <c r="A210">
        <v>27</v>
      </c>
      <c r="B210">
        <v>27</v>
      </c>
      <c r="C210" t="s">
        <v>24</v>
      </c>
      <c r="D210">
        <v>3.44</v>
      </c>
      <c r="E210">
        <v>3437.317</v>
      </c>
      <c r="F210" t="s">
        <v>414</v>
      </c>
      <c r="G210" s="31">
        <v>19.72</v>
      </c>
      <c r="L210">
        <v>17</v>
      </c>
      <c r="M210">
        <v>17</v>
      </c>
      <c r="N210" t="s">
        <v>54</v>
      </c>
      <c r="O210">
        <v>5.19</v>
      </c>
      <c r="P210">
        <v>2061.3249999999998</v>
      </c>
      <c r="Q210" t="s">
        <v>527</v>
      </c>
      <c r="R210" s="31">
        <v>0.38</v>
      </c>
    </row>
    <row r="211" spans="1:18" x14ac:dyDescent="0.3">
      <c r="A211">
        <v>28</v>
      </c>
      <c r="B211">
        <v>28</v>
      </c>
      <c r="C211" t="s">
        <v>25</v>
      </c>
      <c r="D211">
        <v>3.51</v>
      </c>
      <c r="E211">
        <v>46531.800999999999</v>
      </c>
      <c r="F211" t="s">
        <v>415</v>
      </c>
      <c r="G211" s="31">
        <v>50.03</v>
      </c>
      <c r="L211">
        <v>18</v>
      </c>
      <c r="M211">
        <v>18</v>
      </c>
      <c r="N211" t="s">
        <v>55</v>
      </c>
      <c r="O211">
        <v>1.31</v>
      </c>
      <c r="P211">
        <v>2279.9160000000002</v>
      </c>
      <c r="Q211" t="s">
        <v>528</v>
      </c>
      <c r="R211" s="31">
        <v>0.88</v>
      </c>
    </row>
    <row r="212" spans="1:18" x14ac:dyDescent="0.3">
      <c r="A212">
        <v>29</v>
      </c>
      <c r="B212">
        <v>29</v>
      </c>
      <c r="C212" t="s">
        <v>26</v>
      </c>
      <c r="D212">
        <v>1.05</v>
      </c>
      <c r="E212">
        <v>7308.6189999999997</v>
      </c>
      <c r="F212" t="s">
        <v>416</v>
      </c>
      <c r="G212" s="31">
        <v>49.99</v>
      </c>
      <c r="L212">
        <v>19</v>
      </c>
      <c r="M212">
        <v>19</v>
      </c>
      <c r="N212" t="s">
        <v>56</v>
      </c>
      <c r="O212">
        <v>0.88</v>
      </c>
      <c r="P212">
        <v>192837.234</v>
      </c>
      <c r="Q212" t="s">
        <v>529</v>
      </c>
      <c r="R212" s="31">
        <v>130.24</v>
      </c>
    </row>
    <row r="213" spans="1:18" x14ac:dyDescent="0.3">
      <c r="A213">
        <v>30</v>
      </c>
      <c r="B213">
        <v>30</v>
      </c>
      <c r="C213" t="s">
        <v>27</v>
      </c>
      <c r="D213">
        <v>4.33</v>
      </c>
      <c r="E213">
        <v>9106.1910000000007</v>
      </c>
      <c r="F213" t="s">
        <v>417</v>
      </c>
      <c r="G213" s="31">
        <v>5.0199999999999996</v>
      </c>
      <c r="L213">
        <v>20</v>
      </c>
      <c r="M213">
        <v>20</v>
      </c>
      <c r="N213" t="s">
        <v>57</v>
      </c>
      <c r="O213">
        <v>1.51</v>
      </c>
      <c r="P213">
        <v>1337.2180000000001</v>
      </c>
      <c r="Q213" t="s">
        <v>530</v>
      </c>
      <c r="R213" s="31">
        <v>5.07</v>
      </c>
    </row>
    <row r="214" spans="1:18" x14ac:dyDescent="0.3">
      <c r="A214">
        <v>31</v>
      </c>
      <c r="B214">
        <v>31</v>
      </c>
      <c r="C214" t="s">
        <v>28</v>
      </c>
      <c r="D214">
        <v>3</v>
      </c>
      <c r="E214">
        <v>507173.75</v>
      </c>
      <c r="F214" t="s">
        <v>418</v>
      </c>
      <c r="G214" s="31">
        <v>24.48</v>
      </c>
      <c r="L214">
        <v>21</v>
      </c>
      <c r="M214">
        <v>21</v>
      </c>
      <c r="N214" t="s">
        <v>58</v>
      </c>
      <c r="O214">
        <v>2.4900000000000002</v>
      </c>
      <c r="P214">
        <v>154.49700000000001</v>
      </c>
      <c r="Q214" t="s">
        <v>531</v>
      </c>
      <c r="R214" s="31">
        <v>1.1100000000000001</v>
      </c>
    </row>
    <row r="215" spans="1:18" x14ac:dyDescent="0.3">
      <c r="A215">
        <v>32</v>
      </c>
      <c r="B215">
        <v>32</v>
      </c>
      <c r="C215" t="s">
        <v>29</v>
      </c>
      <c r="D215">
        <v>3.34</v>
      </c>
      <c r="E215">
        <v>5593.2579999999998</v>
      </c>
      <c r="F215" t="s">
        <v>419</v>
      </c>
      <c r="G215" s="31">
        <v>5.07</v>
      </c>
      <c r="L215">
        <v>22</v>
      </c>
      <c r="M215">
        <v>22</v>
      </c>
      <c r="N215" t="s">
        <v>59</v>
      </c>
      <c r="O215">
        <v>2.5</v>
      </c>
      <c r="P215">
        <v>46926.690999999999</v>
      </c>
      <c r="Q215" t="s">
        <v>532</v>
      </c>
      <c r="R215" s="31">
        <v>65.64</v>
      </c>
    </row>
    <row r="216" spans="1:18" x14ac:dyDescent="0.3">
      <c r="A216">
        <v>33</v>
      </c>
      <c r="B216">
        <v>33</v>
      </c>
      <c r="C216" t="s">
        <v>30</v>
      </c>
      <c r="D216">
        <v>4.67</v>
      </c>
      <c r="E216">
        <v>400529.78100000002</v>
      </c>
      <c r="F216" t="s">
        <v>420</v>
      </c>
      <c r="G216" s="31">
        <v>52.45</v>
      </c>
      <c r="L216">
        <v>23</v>
      </c>
      <c r="M216">
        <v>23</v>
      </c>
      <c r="N216" t="s">
        <v>60</v>
      </c>
      <c r="O216">
        <v>2.46</v>
      </c>
      <c r="P216">
        <v>76864.343999999997</v>
      </c>
      <c r="Q216" t="s">
        <v>533</v>
      </c>
      <c r="R216" s="31">
        <v>47.68</v>
      </c>
    </row>
    <row r="217" spans="1:18" x14ac:dyDescent="0.3">
      <c r="A217">
        <v>34</v>
      </c>
      <c r="B217">
        <v>34</v>
      </c>
      <c r="C217" t="s">
        <v>31</v>
      </c>
      <c r="D217">
        <v>3.51</v>
      </c>
      <c r="E217">
        <v>6393.8339999999998</v>
      </c>
      <c r="F217" t="s">
        <v>421</v>
      </c>
      <c r="G217" s="31">
        <v>4.1100000000000003</v>
      </c>
    </row>
    <row r="218" spans="1:18" x14ac:dyDescent="0.3">
      <c r="A218">
        <v>35</v>
      </c>
      <c r="B218">
        <v>35</v>
      </c>
      <c r="C218" t="s">
        <v>32</v>
      </c>
      <c r="D218">
        <v>3.06</v>
      </c>
      <c r="E218">
        <v>1811.624</v>
      </c>
      <c r="F218" t="s">
        <v>422</v>
      </c>
      <c r="G218" s="31">
        <v>2.04</v>
      </c>
      <c r="L218" t="s">
        <v>379</v>
      </c>
    </row>
    <row r="219" spans="1:18" x14ac:dyDescent="0.3">
      <c r="A219">
        <v>36</v>
      </c>
      <c r="B219">
        <v>36</v>
      </c>
      <c r="C219" t="s">
        <v>33</v>
      </c>
      <c r="D219">
        <v>1.86</v>
      </c>
      <c r="E219">
        <v>3973.6880000000001</v>
      </c>
      <c r="F219" t="s">
        <v>423</v>
      </c>
      <c r="G219" s="31">
        <v>20.22</v>
      </c>
    </row>
    <row r="220" spans="1:18" x14ac:dyDescent="0.3">
      <c r="L220" t="s">
        <v>509</v>
      </c>
    </row>
    <row r="221" spans="1:18" x14ac:dyDescent="0.3">
      <c r="A221" t="s">
        <v>379</v>
      </c>
    </row>
    <row r="222" spans="1:18" x14ac:dyDescent="0.3">
      <c r="L222" t="s">
        <v>540</v>
      </c>
    </row>
    <row r="223" spans="1:18" x14ac:dyDescent="0.3">
      <c r="A223" t="s">
        <v>380</v>
      </c>
    </row>
    <row r="224" spans="1:18" x14ac:dyDescent="0.3">
      <c r="M224" t="s">
        <v>382</v>
      </c>
      <c r="N224" t="s">
        <v>383</v>
      </c>
      <c r="O224" t="s">
        <v>384</v>
      </c>
      <c r="P224" t="s">
        <v>385</v>
      </c>
      <c r="Q224" t="s">
        <v>386</v>
      </c>
      <c r="R224" s="31" t="s">
        <v>387</v>
      </c>
    </row>
    <row r="225" spans="1:18" x14ac:dyDescent="0.3">
      <c r="A225" t="s">
        <v>428</v>
      </c>
      <c r="L225">
        <v>1</v>
      </c>
      <c r="M225">
        <v>1</v>
      </c>
      <c r="N225" t="s">
        <v>35</v>
      </c>
      <c r="O225">
        <v>1.32</v>
      </c>
      <c r="P225">
        <v>76.759</v>
      </c>
      <c r="Q225" t="s">
        <v>511</v>
      </c>
      <c r="R225" s="31">
        <v>82.03</v>
      </c>
    </row>
    <row r="226" spans="1:18" x14ac:dyDescent="0.3">
      <c r="L226">
        <v>2</v>
      </c>
      <c r="M226">
        <v>2</v>
      </c>
      <c r="N226" t="s">
        <v>36</v>
      </c>
      <c r="O226">
        <v>1.71</v>
      </c>
      <c r="P226">
        <v>203.70500000000001</v>
      </c>
      <c r="Q226" t="s">
        <v>512</v>
      </c>
      <c r="R226" s="31">
        <v>427.92</v>
      </c>
    </row>
    <row r="227" spans="1:18" x14ac:dyDescent="0.3">
      <c r="B227" t="s">
        <v>382</v>
      </c>
      <c r="C227" t="s">
        <v>383</v>
      </c>
      <c r="D227" t="s">
        <v>384</v>
      </c>
      <c r="E227" t="s">
        <v>385</v>
      </c>
      <c r="F227" t="s">
        <v>386</v>
      </c>
      <c r="G227" s="31" t="s">
        <v>387</v>
      </c>
      <c r="L227">
        <v>3</v>
      </c>
      <c r="M227">
        <v>3</v>
      </c>
      <c r="N227" t="s">
        <v>37</v>
      </c>
      <c r="Q227" t="s">
        <v>513</v>
      </c>
      <c r="R227" s="31">
        <v>0.1</v>
      </c>
    </row>
    <row r="228" spans="1:18" x14ac:dyDescent="0.3">
      <c r="A228">
        <v>1</v>
      </c>
      <c r="B228">
        <v>1</v>
      </c>
      <c r="C228" t="s">
        <v>0</v>
      </c>
      <c r="D228">
        <v>1.08</v>
      </c>
      <c r="E228">
        <v>19.734999999999999</v>
      </c>
      <c r="F228" t="s">
        <v>388</v>
      </c>
      <c r="G228" s="31">
        <v>0.1</v>
      </c>
      <c r="L228">
        <v>4</v>
      </c>
      <c r="M228">
        <v>4</v>
      </c>
      <c r="N228" t="s">
        <v>38</v>
      </c>
      <c r="O228">
        <v>1.1599999999999999</v>
      </c>
      <c r="P228">
        <v>40.786000000000001</v>
      </c>
      <c r="Q228" t="s">
        <v>514</v>
      </c>
      <c r="R228" s="31">
        <v>0.65</v>
      </c>
    </row>
    <row r="229" spans="1:18" x14ac:dyDescent="0.3">
      <c r="A229">
        <v>2</v>
      </c>
      <c r="B229">
        <v>2</v>
      </c>
      <c r="C229" t="s">
        <v>1</v>
      </c>
      <c r="D229">
        <v>1.46</v>
      </c>
      <c r="E229">
        <v>306.50900000000001</v>
      </c>
      <c r="F229" t="s">
        <v>389</v>
      </c>
      <c r="G229" s="31">
        <v>7.74</v>
      </c>
      <c r="L229">
        <v>5</v>
      </c>
      <c r="M229">
        <v>5</v>
      </c>
      <c r="N229" t="s">
        <v>39</v>
      </c>
      <c r="O229">
        <v>1.38</v>
      </c>
      <c r="P229">
        <v>149.32499999999999</v>
      </c>
      <c r="Q229" t="s">
        <v>515</v>
      </c>
      <c r="R229" s="31">
        <v>46.05</v>
      </c>
    </row>
    <row r="230" spans="1:18" x14ac:dyDescent="0.3">
      <c r="A230">
        <v>3</v>
      </c>
      <c r="B230">
        <v>3</v>
      </c>
      <c r="C230" t="s">
        <v>50</v>
      </c>
      <c r="D230">
        <v>3.71</v>
      </c>
      <c r="E230">
        <v>76.248000000000005</v>
      </c>
      <c r="F230" t="s">
        <v>390</v>
      </c>
      <c r="G230" s="31">
        <v>0.56999999999999995</v>
      </c>
      <c r="L230">
        <v>6</v>
      </c>
      <c r="M230">
        <v>6</v>
      </c>
      <c r="N230" t="s">
        <v>40</v>
      </c>
      <c r="Q230" t="s">
        <v>516</v>
      </c>
      <c r="R230" s="31">
        <v>0.1</v>
      </c>
    </row>
    <row r="231" spans="1:18" x14ac:dyDescent="0.3">
      <c r="A231">
        <v>4</v>
      </c>
      <c r="B231">
        <v>4</v>
      </c>
      <c r="C231" t="s">
        <v>2</v>
      </c>
      <c r="D231">
        <v>3.85</v>
      </c>
      <c r="E231">
        <v>118.12</v>
      </c>
      <c r="F231" t="s">
        <v>391</v>
      </c>
      <c r="G231" s="31">
        <v>0.79</v>
      </c>
      <c r="L231">
        <v>7</v>
      </c>
      <c r="M231">
        <v>7</v>
      </c>
      <c r="N231" t="s">
        <v>41</v>
      </c>
      <c r="O231">
        <v>2.27</v>
      </c>
      <c r="P231">
        <v>35.317999999999998</v>
      </c>
      <c r="Q231" t="s">
        <v>517</v>
      </c>
      <c r="R231" s="31">
        <v>1.79</v>
      </c>
    </row>
    <row r="232" spans="1:18" x14ac:dyDescent="0.3">
      <c r="A232">
        <v>5</v>
      </c>
      <c r="B232">
        <v>5</v>
      </c>
      <c r="C232" t="s">
        <v>3</v>
      </c>
      <c r="D232">
        <v>4.53</v>
      </c>
      <c r="E232">
        <v>196.33799999999999</v>
      </c>
      <c r="F232" t="s">
        <v>392</v>
      </c>
      <c r="G232" s="31">
        <v>0.12</v>
      </c>
      <c r="L232">
        <v>8</v>
      </c>
      <c r="M232">
        <v>8</v>
      </c>
      <c r="N232" t="s">
        <v>42</v>
      </c>
      <c r="Q232" t="s">
        <v>518</v>
      </c>
      <c r="R232" s="31">
        <v>0.1</v>
      </c>
    </row>
    <row r="233" spans="1:18" x14ac:dyDescent="0.3">
      <c r="A233">
        <v>6</v>
      </c>
      <c r="B233">
        <v>6</v>
      </c>
      <c r="C233" t="s">
        <v>4</v>
      </c>
      <c r="D233">
        <v>4.96</v>
      </c>
      <c r="E233">
        <v>25.28</v>
      </c>
      <c r="F233" t="s">
        <v>393</v>
      </c>
      <c r="G233" s="31">
        <v>2.29</v>
      </c>
      <c r="L233">
        <v>9</v>
      </c>
      <c r="M233">
        <v>9</v>
      </c>
      <c r="N233" t="s">
        <v>43</v>
      </c>
      <c r="O233">
        <v>2.5499999999999998</v>
      </c>
      <c r="P233">
        <v>72.444000000000003</v>
      </c>
      <c r="Q233" t="s">
        <v>519</v>
      </c>
      <c r="R233" s="31">
        <v>0.12</v>
      </c>
    </row>
    <row r="234" spans="1:18" x14ac:dyDescent="0.3">
      <c r="A234">
        <v>7</v>
      </c>
      <c r="B234">
        <v>7</v>
      </c>
      <c r="C234" t="s">
        <v>5</v>
      </c>
      <c r="D234">
        <v>2.74</v>
      </c>
      <c r="E234">
        <v>44.476999999999997</v>
      </c>
      <c r="F234" t="s">
        <v>394</v>
      </c>
      <c r="G234" s="31">
        <v>0.11</v>
      </c>
      <c r="L234">
        <v>10</v>
      </c>
      <c r="M234">
        <v>10</v>
      </c>
      <c r="N234" t="s">
        <v>52</v>
      </c>
      <c r="O234">
        <v>4.09</v>
      </c>
      <c r="P234">
        <v>286.22500000000002</v>
      </c>
      <c r="Q234" t="s">
        <v>520</v>
      </c>
      <c r="R234" s="31">
        <v>0.1</v>
      </c>
    </row>
    <row r="235" spans="1:18" x14ac:dyDescent="0.3">
      <c r="A235">
        <v>8</v>
      </c>
      <c r="B235">
        <v>8</v>
      </c>
      <c r="C235" t="s">
        <v>6</v>
      </c>
      <c r="F235" t="s">
        <v>395</v>
      </c>
      <c r="G235" s="31">
        <v>0.1</v>
      </c>
      <c r="L235">
        <v>11</v>
      </c>
      <c r="M235">
        <v>11</v>
      </c>
      <c r="N235" t="s">
        <v>44</v>
      </c>
      <c r="Q235" t="s">
        <v>521</v>
      </c>
      <c r="R235" s="31">
        <v>0.1</v>
      </c>
    </row>
    <row r="236" spans="1:18" x14ac:dyDescent="0.3">
      <c r="A236">
        <v>9</v>
      </c>
      <c r="B236">
        <v>9</v>
      </c>
      <c r="C236" t="s">
        <v>7</v>
      </c>
      <c r="D236">
        <v>3.52</v>
      </c>
      <c r="E236">
        <v>41.47</v>
      </c>
      <c r="F236" t="s">
        <v>396</v>
      </c>
      <c r="G236" s="31">
        <v>1.71</v>
      </c>
      <c r="L236">
        <v>12</v>
      </c>
      <c r="M236">
        <v>12</v>
      </c>
      <c r="N236" t="s">
        <v>45</v>
      </c>
      <c r="O236">
        <v>3.41</v>
      </c>
      <c r="P236">
        <v>96.599000000000004</v>
      </c>
      <c r="Q236" t="s">
        <v>522</v>
      </c>
      <c r="R236" s="31">
        <v>0.1</v>
      </c>
    </row>
    <row r="237" spans="1:18" x14ac:dyDescent="0.3">
      <c r="A237">
        <v>10</v>
      </c>
      <c r="B237">
        <v>10</v>
      </c>
      <c r="C237" t="s">
        <v>51</v>
      </c>
      <c r="D237">
        <v>4.75</v>
      </c>
      <c r="E237">
        <v>604.98800000000006</v>
      </c>
      <c r="F237" t="s">
        <v>397</v>
      </c>
      <c r="G237" s="31">
        <v>0.94</v>
      </c>
      <c r="L237">
        <v>13</v>
      </c>
      <c r="M237">
        <v>13</v>
      </c>
      <c r="N237" t="s">
        <v>46</v>
      </c>
      <c r="O237">
        <v>2.57</v>
      </c>
      <c r="P237">
        <v>1498.847</v>
      </c>
      <c r="Q237" t="s">
        <v>523</v>
      </c>
      <c r="R237" s="31">
        <v>0.1</v>
      </c>
    </row>
    <row r="238" spans="1:18" x14ac:dyDescent="0.3">
      <c r="A238">
        <v>11</v>
      </c>
      <c r="B238">
        <v>11</v>
      </c>
      <c r="C238" t="s">
        <v>8</v>
      </c>
      <c r="F238" t="s">
        <v>398</v>
      </c>
      <c r="G238" s="31">
        <v>0.1</v>
      </c>
      <c r="L238">
        <v>14</v>
      </c>
      <c r="M238">
        <v>14</v>
      </c>
      <c r="N238" t="s">
        <v>47</v>
      </c>
      <c r="Q238" t="s">
        <v>524</v>
      </c>
      <c r="R238" s="31">
        <v>0.1</v>
      </c>
    </row>
    <row r="239" spans="1:18" x14ac:dyDescent="0.3">
      <c r="A239">
        <v>12</v>
      </c>
      <c r="B239">
        <v>12</v>
      </c>
      <c r="C239" t="s">
        <v>9</v>
      </c>
      <c r="D239">
        <v>2.77</v>
      </c>
      <c r="E239">
        <v>48.832999999999998</v>
      </c>
      <c r="F239" t="s">
        <v>399</v>
      </c>
      <c r="G239" s="31">
        <v>2.79</v>
      </c>
      <c r="L239">
        <v>15</v>
      </c>
      <c r="M239">
        <v>15</v>
      </c>
      <c r="N239" t="s">
        <v>48</v>
      </c>
      <c r="O239">
        <v>1.24</v>
      </c>
      <c r="P239">
        <v>67.912000000000006</v>
      </c>
      <c r="Q239" t="s">
        <v>525</v>
      </c>
      <c r="R239" s="31">
        <v>0.1</v>
      </c>
    </row>
    <row r="240" spans="1:18" x14ac:dyDescent="0.3">
      <c r="A240">
        <v>13</v>
      </c>
      <c r="B240">
        <v>13</v>
      </c>
      <c r="C240" t="s">
        <v>10</v>
      </c>
      <c r="D240">
        <v>4.12</v>
      </c>
      <c r="E240">
        <v>1069.5530000000001</v>
      </c>
      <c r="F240" t="s">
        <v>400</v>
      </c>
      <c r="G240" s="31">
        <v>0.1</v>
      </c>
      <c r="L240">
        <v>16</v>
      </c>
      <c r="M240">
        <v>16</v>
      </c>
      <c r="N240" t="s">
        <v>53</v>
      </c>
      <c r="O240">
        <v>4.5999999999999996</v>
      </c>
      <c r="P240">
        <v>32.185000000000002</v>
      </c>
      <c r="Q240" t="s">
        <v>526</v>
      </c>
      <c r="R240" s="31">
        <v>0.1</v>
      </c>
    </row>
    <row r="241" spans="1:18" x14ac:dyDescent="0.3">
      <c r="A241">
        <v>14</v>
      </c>
      <c r="B241">
        <v>14</v>
      </c>
      <c r="C241" t="s">
        <v>11</v>
      </c>
      <c r="F241" t="s">
        <v>401</v>
      </c>
      <c r="G241" s="31">
        <v>0.1</v>
      </c>
      <c r="L241">
        <v>17</v>
      </c>
      <c r="M241">
        <v>17</v>
      </c>
      <c r="N241" t="s">
        <v>54</v>
      </c>
      <c r="O241">
        <v>5.24</v>
      </c>
      <c r="P241">
        <v>47.116999999999997</v>
      </c>
      <c r="Q241" t="s">
        <v>527</v>
      </c>
      <c r="R241" s="31">
        <v>0.1</v>
      </c>
    </row>
    <row r="242" spans="1:18" x14ac:dyDescent="0.3">
      <c r="A242">
        <v>15</v>
      </c>
      <c r="B242">
        <v>15</v>
      </c>
      <c r="C242" t="s">
        <v>12</v>
      </c>
      <c r="D242">
        <v>3.23</v>
      </c>
      <c r="E242">
        <v>24.492000000000001</v>
      </c>
      <c r="F242" t="s">
        <v>402</v>
      </c>
      <c r="G242" s="31">
        <v>0.96</v>
      </c>
      <c r="L242">
        <v>18</v>
      </c>
      <c r="M242">
        <v>18</v>
      </c>
      <c r="N242" t="s">
        <v>55</v>
      </c>
      <c r="Q242" t="s">
        <v>528</v>
      </c>
      <c r="R242" s="31">
        <v>0.1</v>
      </c>
    </row>
    <row r="243" spans="1:18" x14ac:dyDescent="0.3">
      <c r="A243">
        <v>16</v>
      </c>
      <c r="B243">
        <v>16</v>
      </c>
      <c r="C243" t="s">
        <v>13</v>
      </c>
      <c r="D243">
        <v>3.22</v>
      </c>
      <c r="E243">
        <v>9.5359999999999996</v>
      </c>
      <c r="F243" t="s">
        <v>403</v>
      </c>
      <c r="G243" s="31">
        <v>2.0499999999999998</v>
      </c>
      <c r="L243">
        <v>19</v>
      </c>
      <c r="M243">
        <v>19</v>
      </c>
      <c r="N243" t="s">
        <v>56</v>
      </c>
      <c r="O243">
        <v>0.97</v>
      </c>
      <c r="P243">
        <v>75.522000000000006</v>
      </c>
      <c r="Q243" t="s">
        <v>529</v>
      </c>
      <c r="R243" s="31">
        <v>0.1</v>
      </c>
    </row>
    <row r="244" spans="1:18" x14ac:dyDescent="0.3">
      <c r="A244">
        <v>17</v>
      </c>
      <c r="B244">
        <v>17</v>
      </c>
      <c r="C244" t="s">
        <v>14</v>
      </c>
      <c r="D244">
        <v>2.0699999999999998</v>
      </c>
      <c r="E244">
        <v>28.823</v>
      </c>
      <c r="F244" t="s">
        <v>404</v>
      </c>
      <c r="G244" s="31">
        <v>3.23</v>
      </c>
      <c r="L244">
        <v>20</v>
      </c>
      <c r="M244">
        <v>20</v>
      </c>
      <c r="N244" t="s">
        <v>57</v>
      </c>
      <c r="Q244" t="s">
        <v>530</v>
      </c>
      <c r="R244" s="31">
        <v>0.1</v>
      </c>
    </row>
    <row r="245" spans="1:18" x14ac:dyDescent="0.3">
      <c r="A245">
        <v>18</v>
      </c>
      <c r="B245">
        <v>18</v>
      </c>
      <c r="C245" t="s">
        <v>15</v>
      </c>
      <c r="D245">
        <v>2.48</v>
      </c>
      <c r="E245">
        <v>45.036999999999999</v>
      </c>
      <c r="F245" t="s">
        <v>405</v>
      </c>
      <c r="G245" s="31">
        <v>10.39</v>
      </c>
      <c r="L245">
        <v>21</v>
      </c>
      <c r="M245">
        <v>21</v>
      </c>
      <c r="N245" t="s">
        <v>58</v>
      </c>
      <c r="Q245" t="s">
        <v>531</v>
      </c>
      <c r="R245" s="31">
        <v>0.1</v>
      </c>
    </row>
    <row r="246" spans="1:18" x14ac:dyDescent="0.3">
      <c r="A246">
        <v>19</v>
      </c>
      <c r="B246">
        <v>19</v>
      </c>
      <c r="C246" t="s">
        <v>16</v>
      </c>
      <c r="D246">
        <v>2.87</v>
      </c>
      <c r="E246">
        <v>3.452</v>
      </c>
      <c r="F246" t="s">
        <v>406</v>
      </c>
      <c r="G246" s="31">
        <v>0.3</v>
      </c>
      <c r="L246">
        <v>22</v>
      </c>
      <c r="M246">
        <v>22</v>
      </c>
      <c r="N246" t="s">
        <v>59</v>
      </c>
      <c r="Q246" t="s">
        <v>532</v>
      </c>
      <c r="R246" s="31">
        <v>0.1</v>
      </c>
    </row>
    <row r="247" spans="1:18" x14ac:dyDescent="0.3">
      <c r="A247">
        <v>20</v>
      </c>
      <c r="B247">
        <v>20</v>
      </c>
      <c r="C247" t="s">
        <v>17</v>
      </c>
      <c r="D247">
        <v>3.09</v>
      </c>
      <c r="E247">
        <v>997.00699999999995</v>
      </c>
      <c r="F247" t="s">
        <v>407</v>
      </c>
      <c r="G247" s="31">
        <v>0.98</v>
      </c>
      <c r="L247">
        <v>23</v>
      </c>
      <c r="M247">
        <v>23</v>
      </c>
      <c r="N247" t="s">
        <v>60</v>
      </c>
      <c r="O247">
        <v>2.59</v>
      </c>
      <c r="P247">
        <v>89.4</v>
      </c>
      <c r="Q247" t="s">
        <v>533</v>
      </c>
      <c r="R247" s="31">
        <v>2.0499999999999998</v>
      </c>
    </row>
    <row r="248" spans="1:18" x14ac:dyDescent="0.3">
      <c r="A248">
        <v>21</v>
      </c>
      <c r="B248">
        <v>21</v>
      </c>
      <c r="C248" t="s">
        <v>18</v>
      </c>
      <c r="D248">
        <v>3.71</v>
      </c>
      <c r="E248">
        <v>156.12200000000001</v>
      </c>
      <c r="F248" t="s">
        <v>408</v>
      </c>
      <c r="G248" s="31">
        <v>0.11</v>
      </c>
    </row>
    <row r="249" spans="1:18" x14ac:dyDescent="0.3">
      <c r="A249">
        <v>22</v>
      </c>
      <c r="B249">
        <v>22</v>
      </c>
      <c r="C249" t="s">
        <v>19</v>
      </c>
      <c r="D249">
        <v>2.68</v>
      </c>
      <c r="E249">
        <v>3.2120000000000002</v>
      </c>
      <c r="F249" t="s">
        <v>409</v>
      </c>
      <c r="G249" s="31">
        <v>5.83</v>
      </c>
      <c r="L249" t="s">
        <v>379</v>
      </c>
    </row>
    <row r="250" spans="1:18" x14ac:dyDescent="0.3">
      <c r="A250">
        <v>23</v>
      </c>
      <c r="B250">
        <v>23</v>
      </c>
      <c r="C250" t="s">
        <v>20</v>
      </c>
      <c r="F250" t="s">
        <v>410</v>
      </c>
      <c r="G250" s="31">
        <v>0.1</v>
      </c>
    </row>
    <row r="251" spans="1:18" x14ac:dyDescent="0.3">
      <c r="A251">
        <v>24</v>
      </c>
      <c r="B251">
        <v>24</v>
      </c>
      <c r="C251" t="s">
        <v>21</v>
      </c>
      <c r="D251">
        <v>4.24</v>
      </c>
      <c r="E251">
        <v>20.562999999999999</v>
      </c>
      <c r="F251" t="s">
        <v>411</v>
      </c>
      <c r="G251" s="31">
        <v>0.1</v>
      </c>
      <c r="L251" t="s">
        <v>509</v>
      </c>
    </row>
    <row r="252" spans="1:18" x14ac:dyDescent="0.3">
      <c r="A252">
        <v>25</v>
      </c>
      <c r="B252">
        <v>25</v>
      </c>
      <c r="C252" t="s">
        <v>22</v>
      </c>
      <c r="D252">
        <v>3.45</v>
      </c>
      <c r="E252">
        <v>66.555999999999997</v>
      </c>
      <c r="F252" t="s">
        <v>412</v>
      </c>
      <c r="G252" s="31">
        <v>23.19</v>
      </c>
    </row>
    <row r="253" spans="1:18" x14ac:dyDescent="0.3">
      <c r="A253">
        <v>26</v>
      </c>
      <c r="B253">
        <v>26</v>
      </c>
      <c r="C253" t="s">
        <v>23</v>
      </c>
      <c r="D253">
        <v>3.34</v>
      </c>
      <c r="E253">
        <v>20.864000000000001</v>
      </c>
      <c r="F253" t="s">
        <v>413</v>
      </c>
      <c r="G253" s="31">
        <v>2.0499999999999998</v>
      </c>
      <c r="L253" t="s">
        <v>541</v>
      </c>
    </row>
    <row r="254" spans="1:18" x14ac:dyDescent="0.3">
      <c r="A254">
        <v>27</v>
      </c>
      <c r="B254">
        <v>27</v>
      </c>
      <c r="C254" t="s">
        <v>24</v>
      </c>
      <c r="D254">
        <v>3.36</v>
      </c>
      <c r="E254">
        <v>42.722000000000001</v>
      </c>
      <c r="F254" t="s">
        <v>414</v>
      </c>
      <c r="G254" s="31">
        <v>0.1</v>
      </c>
    </row>
    <row r="255" spans="1:18" x14ac:dyDescent="0.3">
      <c r="A255">
        <v>28</v>
      </c>
      <c r="B255">
        <v>28</v>
      </c>
      <c r="C255" t="s">
        <v>25</v>
      </c>
      <c r="D255">
        <v>3.32</v>
      </c>
      <c r="E255">
        <v>6.6230000000000002</v>
      </c>
      <c r="F255" t="s">
        <v>415</v>
      </c>
      <c r="G255" s="31">
        <v>1.81</v>
      </c>
      <c r="M255" t="s">
        <v>382</v>
      </c>
      <c r="N255" t="s">
        <v>383</v>
      </c>
      <c r="O255" t="s">
        <v>384</v>
      </c>
      <c r="P255" t="s">
        <v>385</v>
      </c>
      <c r="Q255" t="s">
        <v>386</v>
      </c>
      <c r="R255" s="31" t="s">
        <v>387</v>
      </c>
    </row>
    <row r="256" spans="1:18" x14ac:dyDescent="0.3">
      <c r="A256">
        <v>29</v>
      </c>
      <c r="B256">
        <v>29</v>
      </c>
      <c r="C256" t="s">
        <v>26</v>
      </c>
      <c r="D256">
        <v>0.83</v>
      </c>
      <c r="E256">
        <v>1.3959999999999999</v>
      </c>
      <c r="F256" t="s">
        <v>416</v>
      </c>
      <c r="G256" s="31">
        <v>3.09</v>
      </c>
      <c r="L256">
        <v>1</v>
      </c>
      <c r="M256">
        <v>1</v>
      </c>
      <c r="N256" t="s">
        <v>35</v>
      </c>
      <c r="O256">
        <v>1.35</v>
      </c>
      <c r="P256">
        <v>24.998999999999999</v>
      </c>
      <c r="Q256" t="s">
        <v>511</v>
      </c>
      <c r="R256" s="31">
        <v>11.88</v>
      </c>
    </row>
    <row r="257" spans="1:18" x14ac:dyDescent="0.3">
      <c r="A257">
        <v>30</v>
      </c>
      <c r="B257">
        <v>30</v>
      </c>
      <c r="C257" t="s">
        <v>27</v>
      </c>
      <c r="F257" t="s">
        <v>417</v>
      </c>
      <c r="G257" s="31">
        <v>0.1</v>
      </c>
      <c r="L257">
        <v>2</v>
      </c>
      <c r="M257">
        <v>2</v>
      </c>
      <c r="N257" t="s">
        <v>36</v>
      </c>
      <c r="O257">
        <v>1.67</v>
      </c>
      <c r="P257">
        <v>524945.125</v>
      </c>
      <c r="Q257" t="s">
        <v>512</v>
      </c>
      <c r="R257" s="31">
        <v>142.66999999999999</v>
      </c>
    </row>
    <row r="258" spans="1:18" x14ac:dyDescent="0.3">
      <c r="A258">
        <v>31</v>
      </c>
      <c r="B258">
        <v>31</v>
      </c>
      <c r="C258" t="s">
        <v>28</v>
      </c>
      <c r="D258">
        <v>3.08</v>
      </c>
      <c r="E258">
        <v>24.501000000000001</v>
      </c>
      <c r="F258" t="s">
        <v>418</v>
      </c>
      <c r="G258" s="31">
        <v>0.1</v>
      </c>
      <c r="L258">
        <v>3</v>
      </c>
      <c r="M258">
        <v>3</v>
      </c>
      <c r="N258" t="s">
        <v>37</v>
      </c>
      <c r="O258">
        <v>1.81</v>
      </c>
      <c r="P258">
        <v>461.56599999999997</v>
      </c>
      <c r="Q258" t="s">
        <v>513</v>
      </c>
      <c r="R258" s="31">
        <v>0.21</v>
      </c>
    </row>
    <row r="259" spans="1:18" x14ac:dyDescent="0.3">
      <c r="A259">
        <v>32</v>
      </c>
      <c r="B259">
        <v>32</v>
      </c>
      <c r="C259" t="s">
        <v>29</v>
      </c>
      <c r="F259" t="s">
        <v>419</v>
      </c>
      <c r="G259" s="31">
        <v>0.1</v>
      </c>
      <c r="L259">
        <v>4</v>
      </c>
      <c r="M259">
        <v>4</v>
      </c>
      <c r="N259" t="s">
        <v>38</v>
      </c>
      <c r="O259">
        <v>1.23</v>
      </c>
      <c r="P259">
        <v>445.35</v>
      </c>
      <c r="Q259" t="s">
        <v>514</v>
      </c>
      <c r="R259" s="31">
        <v>0.18</v>
      </c>
    </row>
    <row r="260" spans="1:18" x14ac:dyDescent="0.3">
      <c r="A260">
        <v>33</v>
      </c>
      <c r="B260">
        <v>33</v>
      </c>
      <c r="C260" t="s">
        <v>30</v>
      </c>
      <c r="D260">
        <v>4.6500000000000004</v>
      </c>
      <c r="E260">
        <v>14.686999999999999</v>
      </c>
      <c r="F260" t="s">
        <v>420</v>
      </c>
      <c r="G260" s="31">
        <v>3.35</v>
      </c>
      <c r="L260">
        <v>5</v>
      </c>
      <c r="M260">
        <v>5</v>
      </c>
      <c r="N260" t="s">
        <v>39</v>
      </c>
      <c r="O260">
        <v>1.39</v>
      </c>
      <c r="P260">
        <v>54080.718999999997</v>
      </c>
      <c r="Q260" t="s">
        <v>515</v>
      </c>
      <c r="R260" s="31">
        <v>19.66</v>
      </c>
    </row>
    <row r="261" spans="1:18" x14ac:dyDescent="0.3">
      <c r="A261">
        <v>34</v>
      </c>
      <c r="B261">
        <v>34</v>
      </c>
      <c r="C261" t="s">
        <v>31</v>
      </c>
      <c r="D261">
        <v>3.49</v>
      </c>
      <c r="E261">
        <v>23.52</v>
      </c>
      <c r="F261" t="s">
        <v>421</v>
      </c>
      <c r="G261" s="31">
        <v>0.12</v>
      </c>
      <c r="L261">
        <v>6</v>
      </c>
      <c r="M261">
        <v>6</v>
      </c>
      <c r="N261" t="s">
        <v>40</v>
      </c>
      <c r="O261">
        <v>1.53</v>
      </c>
      <c r="P261">
        <v>6655.5889999999999</v>
      </c>
      <c r="Q261" t="s">
        <v>516</v>
      </c>
      <c r="R261" s="31">
        <v>1.03</v>
      </c>
    </row>
    <row r="262" spans="1:18" x14ac:dyDescent="0.3">
      <c r="A262">
        <v>35</v>
      </c>
      <c r="B262">
        <v>35</v>
      </c>
      <c r="C262" t="s">
        <v>32</v>
      </c>
      <c r="D262">
        <v>3.08</v>
      </c>
      <c r="E262">
        <v>2.234</v>
      </c>
      <c r="F262" t="s">
        <v>422</v>
      </c>
      <c r="G262" s="31">
        <v>0.1</v>
      </c>
      <c r="L262">
        <v>7</v>
      </c>
      <c r="M262">
        <v>7</v>
      </c>
      <c r="N262" t="s">
        <v>41</v>
      </c>
      <c r="O262">
        <v>2.2799999999999998</v>
      </c>
      <c r="P262">
        <v>1315.4960000000001</v>
      </c>
      <c r="Q262" t="s">
        <v>517</v>
      </c>
      <c r="R262" s="31">
        <v>1.94</v>
      </c>
    </row>
    <row r="263" spans="1:18" x14ac:dyDescent="0.3">
      <c r="A263">
        <v>36</v>
      </c>
      <c r="B263">
        <v>36</v>
      </c>
      <c r="C263" t="s">
        <v>33</v>
      </c>
      <c r="D263">
        <v>1.96</v>
      </c>
      <c r="E263">
        <v>18.771999999999998</v>
      </c>
      <c r="F263" t="s">
        <v>423</v>
      </c>
      <c r="G263" s="31">
        <v>0.12</v>
      </c>
      <c r="L263">
        <v>8</v>
      </c>
      <c r="M263">
        <v>8</v>
      </c>
      <c r="N263" t="s">
        <v>42</v>
      </c>
      <c r="O263">
        <v>0.88</v>
      </c>
      <c r="P263">
        <v>1661.3019999999999</v>
      </c>
      <c r="Q263" t="s">
        <v>518</v>
      </c>
      <c r="R263" s="31">
        <v>28.76</v>
      </c>
    </row>
    <row r="264" spans="1:18" x14ac:dyDescent="0.3">
      <c r="L264">
        <v>9</v>
      </c>
      <c r="M264">
        <v>9</v>
      </c>
      <c r="N264" t="s">
        <v>43</v>
      </c>
      <c r="O264">
        <v>2.54</v>
      </c>
      <c r="P264">
        <v>2540.9659999999999</v>
      </c>
      <c r="Q264" t="s">
        <v>519</v>
      </c>
      <c r="R264" s="31">
        <v>0.06</v>
      </c>
    </row>
    <row r="265" spans="1:18" x14ac:dyDescent="0.3">
      <c r="A265" t="s">
        <v>379</v>
      </c>
      <c r="L265">
        <v>10</v>
      </c>
      <c r="M265">
        <v>10</v>
      </c>
      <c r="N265" t="s">
        <v>52</v>
      </c>
      <c r="O265">
        <v>4.13</v>
      </c>
      <c r="P265">
        <v>2251.569</v>
      </c>
      <c r="Q265" t="s">
        <v>520</v>
      </c>
      <c r="R265" s="31">
        <v>0.1</v>
      </c>
    </row>
    <row r="266" spans="1:18" x14ac:dyDescent="0.3">
      <c r="L266">
        <v>11</v>
      </c>
      <c r="M266">
        <v>11</v>
      </c>
      <c r="N266" t="s">
        <v>44</v>
      </c>
      <c r="O266">
        <v>4.3</v>
      </c>
      <c r="P266">
        <v>35.372999999999998</v>
      </c>
      <c r="Q266" t="s">
        <v>521</v>
      </c>
      <c r="R266" s="31">
        <v>0.16</v>
      </c>
    </row>
    <row r="267" spans="1:18" x14ac:dyDescent="0.3">
      <c r="A267" t="s">
        <v>380</v>
      </c>
      <c r="L267">
        <v>12</v>
      </c>
      <c r="M267">
        <v>12</v>
      </c>
      <c r="N267" t="s">
        <v>45</v>
      </c>
      <c r="O267">
        <v>3.44</v>
      </c>
      <c r="P267">
        <v>379626.43800000002</v>
      </c>
      <c r="Q267" t="s">
        <v>522</v>
      </c>
      <c r="R267" s="31">
        <v>5.1100000000000003</v>
      </c>
    </row>
    <row r="268" spans="1:18" x14ac:dyDescent="0.3">
      <c r="L268">
        <v>13</v>
      </c>
      <c r="M268">
        <v>13</v>
      </c>
      <c r="N268" t="s">
        <v>46</v>
      </c>
      <c r="O268">
        <v>2.6</v>
      </c>
      <c r="P268">
        <v>95702.672000000006</v>
      </c>
      <c r="Q268" t="s">
        <v>523</v>
      </c>
      <c r="R268" s="31">
        <v>6.06</v>
      </c>
    </row>
    <row r="269" spans="1:18" x14ac:dyDescent="0.3">
      <c r="A269" t="s">
        <v>429</v>
      </c>
      <c r="L269">
        <v>14</v>
      </c>
      <c r="M269">
        <v>14</v>
      </c>
      <c r="N269" t="s">
        <v>47</v>
      </c>
      <c r="O269">
        <v>0.68</v>
      </c>
      <c r="P269">
        <v>14447.635</v>
      </c>
      <c r="Q269" t="s">
        <v>524</v>
      </c>
      <c r="R269" s="31">
        <v>8.75</v>
      </c>
    </row>
    <row r="270" spans="1:18" x14ac:dyDescent="0.3">
      <c r="L270">
        <v>15</v>
      </c>
      <c r="M270">
        <v>15</v>
      </c>
      <c r="N270" t="s">
        <v>48</v>
      </c>
      <c r="O270">
        <v>1.22</v>
      </c>
      <c r="P270">
        <v>35556.508000000002</v>
      </c>
      <c r="Q270" t="s">
        <v>525</v>
      </c>
      <c r="R270" s="31">
        <v>7.71</v>
      </c>
    </row>
    <row r="271" spans="1:18" x14ac:dyDescent="0.3">
      <c r="B271" t="s">
        <v>382</v>
      </c>
      <c r="C271" t="s">
        <v>383</v>
      </c>
      <c r="D271" t="s">
        <v>384</v>
      </c>
      <c r="E271" t="s">
        <v>385</v>
      </c>
      <c r="F271" t="s">
        <v>386</v>
      </c>
      <c r="G271" s="31" t="s">
        <v>387</v>
      </c>
      <c r="L271">
        <v>16</v>
      </c>
      <c r="M271">
        <v>16</v>
      </c>
      <c r="N271" t="s">
        <v>53</v>
      </c>
      <c r="O271">
        <v>4.55</v>
      </c>
      <c r="P271">
        <v>52192.438000000002</v>
      </c>
      <c r="Q271" t="s">
        <v>526</v>
      </c>
      <c r="R271" s="31">
        <v>1.06</v>
      </c>
    </row>
    <row r="272" spans="1:18" x14ac:dyDescent="0.3">
      <c r="A272">
        <v>1</v>
      </c>
      <c r="B272">
        <v>1</v>
      </c>
      <c r="C272" t="s">
        <v>0</v>
      </c>
      <c r="D272">
        <v>1.02</v>
      </c>
      <c r="E272">
        <v>6201.0649999999996</v>
      </c>
      <c r="F272" t="s">
        <v>388</v>
      </c>
      <c r="G272" s="31">
        <v>377.95</v>
      </c>
      <c r="L272">
        <v>17</v>
      </c>
      <c r="M272">
        <v>17</v>
      </c>
      <c r="N272" t="s">
        <v>54</v>
      </c>
      <c r="O272">
        <v>5.19</v>
      </c>
      <c r="P272">
        <v>200.69900000000001</v>
      </c>
      <c r="Q272" t="s">
        <v>527</v>
      </c>
      <c r="R272" s="31">
        <v>0.1</v>
      </c>
    </row>
    <row r="273" spans="1:18" x14ac:dyDescent="0.3">
      <c r="A273">
        <v>2</v>
      </c>
      <c r="B273">
        <v>2</v>
      </c>
      <c r="C273" t="s">
        <v>1</v>
      </c>
      <c r="D273">
        <v>1.46</v>
      </c>
      <c r="E273">
        <v>9180.8989999999994</v>
      </c>
      <c r="F273" t="s">
        <v>389</v>
      </c>
      <c r="G273" s="31">
        <v>100.75</v>
      </c>
      <c r="L273">
        <v>18</v>
      </c>
      <c r="M273">
        <v>18</v>
      </c>
      <c r="N273" t="s">
        <v>55</v>
      </c>
      <c r="O273">
        <v>1.32</v>
      </c>
      <c r="P273">
        <v>1436.079</v>
      </c>
      <c r="Q273" t="s">
        <v>528</v>
      </c>
      <c r="R273" s="31">
        <v>0.08</v>
      </c>
    </row>
    <row r="274" spans="1:18" x14ac:dyDescent="0.3">
      <c r="A274">
        <v>3</v>
      </c>
      <c r="B274">
        <v>3</v>
      </c>
      <c r="C274" t="s">
        <v>50</v>
      </c>
      <c r="D274">
        <v>3.57</v>
      </c>
      <c r="E274">
        <v>1940.8230000000001</v>
      </c>
      <c r="F274" t="s">
        <v>390</v>
      </c>
      <c r="G274" s="31">
        <v>9.42</v>
      </c>
      <c r="L274">
        <v>19</v>
      </c>
      <c r="M274">
        <v>19</v>
      </c>
      <c r="N274" t="s">
        <v>56</v>
      </c>
      <c r="O274">
        <v>0.87</v>
      </c>
      <c r="P274">
        <v>16843.421999999999</v>
      </c>
      <c r="Q274" t="s">
        <v>529</v>
      </c>
      <c r="R274" s="31">
        <v>0.85</v>
      </c>
    </row>
    <row r="275" spans="1:18" x14ac:dyDescent="0.3">
      <c r="A275">
        <v>4</v>
      </c>
      <c r="B275">
        <v>4</v>
      </c>
      <c r="C275" t="s">
        <v>2</v>
      </c>
      <c r="D275">
        <v>3.69</v>
      </c>
      <c r="E275">
        <v>50784.917999999998</v>
      </c>
      <c r="F275" t="s">
        <v>391</v>
      </c>
      <c r="G275" s="31">
        <v>23.18</v>
      </c>
      <c r="L275">
        <v>20</v>
      </c>
      <c r="M275">
        <v>20</v>
      </c>
      <c r="N275" t="s">
        <v>57</v>
      </c>
      <c r="O275">
        <v>1.51</v>
      </c>
      <c r="P275">
        <v>60.09</v>
      </c>
      <c r="Q275" t="s">
        <v>530</v>
      </c>
      <c r="R275" s="31">
        <v>0.12</v>
      </c>
    </row>
    <row r="276" spans="1:18" x14ac:dyDescent="0.3">
      <c r="A276">
        <v>5</v>
      </c>
      <c r="B276">
        <v>5</v>
      </c>
      <c r="C276" t="s">
        <v>3</v>
      </c>
      <c r="D276">
        <v>4.4800000000000004</v>
      </c>
      <c r="E276">
        <v>2754.58</v>
      </c>
      <c r="F276" t="s">
        <v>392</v>
      </c>
      <c r="G276" s="31">
        <v>45.06</v>
      </c>
      <c r="L276">
        <v>21</v>
      </c>
      <c r="M276">
        <v>21</v>
      </c>
      <c r="N276" t="s">
        <v>58</v>
      </c>
      <c r="O276">
        <v>2.41</v>
      </c>
      <c r="P276">
        <v>29.611999999999998</v>
      </c>
      <c r="Q276" t="s">
        <v>531</v>
      </c>
      <c r="R276" s="31">
        <v>0.06</v>
      </c>
    </row>
    <row r="277" spans="1:18" x14ac:dyDescent="0.3">
      <c r="A277">
        <v>6</v>
      </c>
      <c r="B277">
        <v>6</v>
      </c>
      <c r="C277" t="s">
        <v>4</v>
      </c>
      <c r="D277">
        <v>4.8099999999999996</v>
      </c>
      <c r="E277">
        <v>162907.53099999999</v>
      </c>
      <c r="F277" t="s">
        <v>393</v>
      </c>
      <c r="G277" s="31">
        <v>51.59</v>
      </c>
      <c r="L277">
        <v>22</v>
      </c>
      <c r="M277">
        <v>22</v>
      </c>
      <c r="N277" t="s">
        <v>59</v>
      </c>
      <c r="O277">
        <v>2.4900000000000002</v>
      </c>
      <c r="P277">
        <v>18143.859</v>
      </c>
      <c r="Q277" t="s">
        <v>532</v>
      </c>
      <c r="R277" s="31">
        <v>3.49</v>
      </c>
    </row>
    <row r="278" spans="1:18" x14ac:dyDescent="0.3">
      <c r="A278">
        <v>7</v>
      </c>
      <c r="B278">
        <v>7</v>
      </c>
      <c r="C278" t="s">
        <v>5</v>
      </c>
      <c r="D278">
        <v>2.71</v>
      </c>
      <c r="E278">
        <v>2195.607</v>
      </c>
      <c r="F278" t="s">
        <v>394</v>
      </c>
      <c r="G278" s="31">
        <v>2.64</v>
      </c>
      <c r="L278">
        <v>23</v>
      </c>
      <c r="M278">
        <v>23</v>
      </c>
      <c r="N278" t="s">
        <v>60</v>
      </c>
      <c r="O278">
        <v>2.72</v>
      </c>
      <c r="P278">
        <v>11561.767</v>
      </c>
      <c r="Q278" t="s">
        <v>533</v>
      </c>
      <c r="R278" s="31">
        <v>1.28</v>
      </c>
    </row>
    <row r="279" spans="1:18" x14ac:dyDescent="0.3">
      <c r="A279">
        <v>8</v>
      </c>
      <c r="B279">
        <v>8</v>
      </c>
      <c r="C279" t="s">
        <v>6</v>
      </c>
      <c r="D279">
        <v>0.67</v>
      </c>
      <c r="E279">
        <v>2244.2199999999998</v>
      </c>
      <c r="F279" t="s">
        <v>395</v>
      </c>
      <c r="G279" s="31">
        <v>205.1</v>
      </c>
    </row>
    <row r="280" spans="1:18" x14ac:dyDescent="0.3">
      <c r="A280">
        <v>9</v>
      </c>
      <c r="B280">
        <v>9</v>
      </c>
      <c r="C280" t="s">
        <v>7</v>
      </c>
      <c r="D280">
        <v>3.57</v>
      </c>
      <c r="E280">
        <v>2085.4160000000002</v>
      </c>
      <c r="F280" t="s">
        <v>396</v>
      </c>
      <c r="G280" s="31">
        <v>40.549999999999997</v>
      </c>
      <c r="L280" t="s">
        <v>379</v>
      </c>
    </row>
    <row r="281" spans="1:18" x14ac:dyDescent="0.3">
      <c r="A281">
        <v>10</v>
      </c>
      <c r="B281">
        <v>10</v>
      </c>
      <c r="C281" t="s">
        <v>51</v>
      </c>
      <c r="D281">
        <v>4.62</v>
      </c>
      <c r="E281">
        <v>3334.5309999999999</v>
      </c>
      <c r="F281" t="s">
        <v>397</v>
      </c>
      <c r="G281" s="31">
        <v>4.95</v>
      </c>
    </row>
    <row r="282" spans="1:18" x14ac:dyDescent="0.3">
      <c r="A282">
        <v>11</v>
      </c>
      <c r="B282">
        <v>11</v>
      </c>
      <c r="C282" t="s">
        <v>8</v>
      </c>
      <c r="D282">
        <v>2.74</v>
      </c>
      <c r="E282">
        <v>61941.578000000001</v>
      </c>
      <c r="F282" t="s">
        <v>398</v>
      </c>
      <c r="G282" s="31">
        <v>24.21</v>
      </c>
      <c r="L282" t="s">
        <v>509</v>
      </c>
    </row>
    <row r="283" spans="1:18" x14ac:dyDescent="0.3">
      <c r="A283">
        <v>12</v>
      </c>
      <c r="B283">
        <v>12</v>
      </c>
      <c r="C283" t="s">
        <v>9</v>
      </c>
      <c r="D283">
        <v>2.63</v>
      </c>
      <c r="E283">
        <v>10024.191000000001</v>
      </c>
      <c r="F283" t="s">
        <v>399</v>
      </c>
      <c r="G283" s="31">
        <v>25.17</v>
      </c>
    </row>
    <row r="284" spans="1:18" x14ac:dyDescent="0.3">
      <c r="A284">
        <v>13</v>
      </c>
      <c r="B284">
        <v>13</v>
      </c>
      <c r="C284" t="s">
        <v>10</v>
      </c>
      <c r="D284">
        <v>4.09</v>
      </c>
      <c r="E284">
        <v>1391721.875</v>
      </c>
      <c r="F284" t="s">
        <v>400</v>
      </c>
      <c r="G284" s="31">
        <v>908.71</v>
      </c>
      <c r="L284" t="s">
        <v>542</v>
      </c>
    </row>
    <row r="285" spans="1:18" x14ac:dyDescent="0.3">
      <c r="A285">
        <v>14</v>
      </c>
      <c r="B285">
        <v>14</v>
      </c>
      <c r="C285" t="s">
        <v>11</v>
      </c>
      <c r="D285">
        <v>3.53</v>
      </c>
      <c r="E285">
        <v>121.071</v>
      </c>
      <c r="F285" t="s">
        <v>401</v>
      </c>
      <c r="G285" s="31">
        <v>49.61</v>
      </c>
    </row>
    <row r="286" spans="1:18" x14ac:dyDescent="0.3">
      <c r="A286">
        <v>15</v>
      </c>
      <c r="B286">
        <v>15</v>
      </c>
      <c r="C286" t="s">
        <v>12</v>
      </c>
      <c r="D286">
        <v>3.34</v>
      </c>
      <c r="E286">
        <v>694.83100000000002</v>
      </c>
      <c r="F286" t="s">
        <v>402</v>
      </c>
      <c r="G286" s="31">
        <v>23.14</v>
      </c>
      <c r="M286" t="s">
        <v>382</v>
      </c>
      <c r="N286" t="s">
        <v>383</v>
      </c>
      <c r="O286" t="s">
        <v>384</v>
      </c>
      <c r="P286" t="s">
        <v>385</v>
      </c>
      <c r="Q286" t="s">
        <v>386</v>
      </c>
      <c r="R286" s="31" t="s">
        <v>387</v>
      </c>
    </row>
    <row r="287" spans="1:18" x14ac:dyDescent="0.3">
      <c r="A287">
        <v>16</v>
      </c>
      <c r="B287">
        <v>16</v>
      </c>
      <c r="C287" t="s">
        <v>13</v>
      </c>
      <c r="D287">
        <v>3.24</v>
      </c>
      <c r="E287">
        <v>17052.307000000001</v>
      </c>
      <c r="F287" t="s">
        <v>403</v>
      </c>
      <c r="G287" s="31">
        <v>22.58</v>
      </c>
      <c r="L287">
        <v>1</v>
      </c>
      <c r="M287">
        <v>1</v>
      </c>
      <c r="N287" t="s">
        <v>35</v>
      </c>
      <c r="O287">
        <v>1.45</v>
      </c>
      <c r="P287">
        <v>2082.7190000000001</v>
      </c>
      <c r="Q287" t="s">
        <v>511</v>
      </c>
      <c r="R287" s="31">
        <v>10.75</v>
      </c>
    </row>
    <row r="288" spans="1:18" x14ac:dyDescent="0.3">
      <c r="A288">
        <v>17</v>
      </c>
      <c r="B288">
        <v>17</v>
      </c>
      <c r="C288" t="s">
        <v>14</v>
      </c>
      <c r="D288">
        <v>2.02</v>
      </c>
      <c r="E288">
        <v>39930.32</v>
      </c>
      <c r="F288" t="s">
        <v>404</v>
      </c>
      <c r="G288" s="31">
        <v>46.49</v>
      </c>
      <c r="L288">
        <v>2</v>
      </c>
      <c r="M288">
        <v>2</v>
      </c>
      <c r="N288" t="s">
        <v>36</v>
      </c>
      <c r="O288">
        <v>1.67</v>
      </c>
      <c r="P288">
        <v>687187</v>
      </c>
      <c r="Q288" t="s">
        <v>512</v>
      </c>
      <c r="R288" s="31">
        <v>146.38999999999999</v>
      </c>
    </row>
    <row r="289" spans="1:18" x14ac:dyDescent="0.3">
      <c r="A289">
        <v>18</v>
      </c>
      <c r="B289">
        <v>18</v>
      </c>
      <c r="C289" t="s">
        <v>15</v>
      </c>
      <c r="D289">
        <v>2.5</v>
      </c>
      <c r="E289">
        <v>60381.065999999999</v>
      </c>
      <c r="F289" t="s">
        <v>405</v>
      </c>
      <c r="G289" s="31">
        <v>208.16</v>
      </c>
      <c r="L289">
        <v>3</v>
      </c>
      <c r="M289">
        <v>3</v>
      </c>
      <c r="N289" t="s">
        <v>37</v>
      </c>
      <c r="O289">
        <v>1.81</v>
      </c>
      <c r="P289">
        <v>554.11699999999996</v>
      </c>
      <c r="Q289" t="s">
        <v>513</v>
      </c>
      <c r="R289" s="31">
        <v>0.21</v>
      </c>
    </row>
    <row r="290" spans="1:18" x14ac:dyDescent="0.3">
      <c r="A290">
        <v>19</v>
      </c>
      <c r="B290">
        <v>19</v>
      </c>
      <c r="C290" t="s">
        <v>16</v>
      </c>
      <c r="D290">
        <v>2.72</v>
      </c>
      <c r="E290">
        <v>10919.175999999999</v>
      </c>
      <c r="F290" t="s">
        <v>406</v>
      </c>
      <c r="G290" s="31">
        <v>4.67</v>
      </c>
      <c r="L290">
        <v>4</v>
      </c>
      <c r="M290">
        <v>4</v>
      </c>
      <c r="N290" t="s">
        <v>38</v>
      </c>
      <c r="O290">
        <v>1.18</v>
      </c>
      <c r="P290">
        <v>1401.3309999999999</v>
      </c>
      <c r="Q290" t="s">
        <v>514</v>
      </c>
      <c r="R290" s="31">
        <v>0.33</v>
      </c>
    </row>
    <row r="291" spans="1:18" x14ac:dyDescent="0.3">
      <c r="A291">
        <v>20</v>
      </c>
      <c r="B291">
        <v>20</v>
      </c>
      <c r="C291" t="s">
        <v>17</v>
      </c>
      <c r="D291">
        <v>3.06</v>
      </c>
      <c r="E291">
        <v>32105.094000000001</v>
      </c>
      <c r="F291" t="s">
        <v>407</v>
      </c>
      <c r="G291" s="31">
        <v>47.23</v>
      </c>
      <c r="L291">
        <v>5</v>
      </c>
      <c r="M291">
        <v>5</v>
      </c>
      <c r="N291" t="s">
        <v>39</v>
      </c>
      <c r="O291">
        <v>1.39</v>
      </c>
      <c r="P291">
        <v>128220.32</v>
      </c>
      <c r="Q291" t="s">
        <v>515</v>
      </c>
      <c r="R291" s="31">
        <v>32.770000000000003</v>
      </c>
    </row>
    <row r="292" spans="1:18" x14ac:dyDescent="0.3">
      <c r="A292">
        <v>21</v>
      </c>
      <c r="B292">
        <v>21</v>
      </c>
      <c r="C292" t="s">
        <v>18</v>
      </c>
      <c r="D292">
        <v>3.69</v>
      </c>
      <c r="E292">
        <v>28941.197</v>
      </c>
      <c r="F292" t="s">
        <v>408</v>
      </c>
      <c r="G292" s="31">
        <v>9.92</v>
      </c>
      <c r="L292">
        <v>6</v>
      </c>
      <c r="M292">
        <v>6</v>
      </c>
      <c r="N292" t="s">
        <v>40</v>
      </c>
      <c r="O292">
        <v>1.53</v>
      </c>
      <c r="P292">
        <v>6621.7629999999999</v>
      </c>
      <c r="Q292" t="s">
        <v>516</v>
      </c>
      <c r="R292" s="31">
        <v>0.9</v>
      </c>
    </row>
    <row r="293" spans="1:18" x14ac:dyDescent="0.3">
      <c r="A293">
        <v>22</v>
      </c>
      <c r="B293">
        <v>22</v>
      </c>
      <c r="C293" t="s">
        <v>19</v>
      </c>
      <c r="D293">
        <v>2.64</v>
      </c>
      <c r="E293">
        <v>64723.07</v>
      </c>
      <c r="F293" t="s">
        <v>409</v>
      </c>
      <c r="G293" s="31">
        <v>49.57</v>
      </c>
      <c r="L293">
        <v>7</v>
      </c>
      <c r="M293">
        <v>7</v>
      </c>
      <c r="N293" t="s">
        <v>41</v>
      </c>
      <c r="O293">
        <v>2.2599999999999998</v>
      </c>
      <c r="P293">
        <v>1283.732</v>
      </c>
      <c r="Q293" t="s">
        <v>517</v>
      </c>
      <c r="R293" s="31">
        <v>1.66</v>
      </c>
    </row>
    <row r="294" spans="1:18" x14ac:dyDescent="0.3">
      <c r="A294">
        <v>23</v>
      </c>
      <c r="B294">
        <v>23</v>
      </c>
      <c r="C294" t="s">
        <v>20</v>
      </c>
      <c r="D294">
        <v>2.89</v>
      </c>
      <c r="E294">
        <v>17782.761999999999</v>
      </c>
      <c r="F294" t="s">
        <v>410</v>
      </c>
      <c r="G294" s="31">
        <v>8.5299999999999994</v>
      </c>
      <c r="L294">
        <v>8</v>
      </c>
      <c r="M294">
        <v>8</v>
      </c>
      <c r="N294" t="s">
        <v>42</v>
      </c>
      <c r="O294">
        <v>0.86</v>
      </c>
      <c r="P294">
        <v>1.8080000000000001</v>
      </c>
      <c r="Q294" t="s">
        <v>518</v>
      </c>
      <c r="R294" s="31">
        <v>22.94</v>
      </c>
    </row>
    <row r="295" spans="1:18" x14ac:dyDescent="0.3">
      <c r="A295">
        <v>24</v>
      </c>
      <c r="B295">
        <v>24</v>
      </c>
      <c r="C295" t="s">
        <v>21</v>
      </c>
      <c r="D295">
        <v>4.13</v>
      </c>
      <c r="E295">
        <v>2040.748</v>
      </c>
      <c r="F295" t="s">
        <v>411</v>
      </c>
      <c r="G295" s="31">
        <v>1.07</v>
      </c>
      <c r="L295">
        <v>9</v>
      </c>
      <c r="M295">
        <v>9</v>
      </c>
      <c r="N295" t="s">
        <v>43</v>
      </c>
      <c r="O295">
        <v>2.54</v>
      </c>
      <c r="P295">
        <v>3182.7289999999998</v>
      </c>
      <c r="Q295" t="s">
        <v>519</v>
      </c>
      <c r="R295" s="31">
        <v>7.0000000000000007E-2</v>
      </c>
    </row>
    <row r="296" spans="1:18" x14ac:dyDescent="0.3">
      <c r="A296">
        <v>25</v>
      </c>
      <c r="B296">
        <v>25</v>
      </c>
      <c r="C296" t="s">
        <v>22</v>
      </c>
      <c r="D296">
        <v>3.57</v>
      </c>
      <c r="E296">
        <v>2137.7710000000002</v>
      </c>
      <c r="F296" t="s">
        <v>412</v>
      </c>
      <c r="G296" s="31">
        <v>108.89</v>
      </c>
      <c r="L296">
        <v>10</v>
      </c>
      <c r="M296">
        <v>10</v>
      </c>
      <c r="N296" t="s">
        <v>52</v>
      </c>
      <c r="O296">
        <v>4.1399999999999997</v>
      </c>
      <c r="P296">
        <v>2576.7950000000001</v>
      </c>
      <c r="Q296" t="s">
        <v>520</v>
      </c>
      <c r="R296" s="31">
        <v>0.1</v>
      </c>
    </row>
    <row r="297" spans="1:18" x14ac:dyDescent="0.3">
      <c r="A297">
        <v>26</v>
      </c>
      <c r="B297">
        <v>26</v>
      </c>
      <c r="C297" t="s">
        <v>23</v>
      </c>
      <c r="D297">
        <v>3.36</v>
      </c>
      <c r="E297">
        <v>67546.195000000007</v>
      </c>
      <c r="F297" t="s">
        <v>413</v>
      </c>
      <c r="G297" s="31">
        <v>48.31</v>
      </c>
      <c r="L297">
        <v>11</v>
      </c>
      <c r="M297">
        <v>11</v>
      </c>
      <c r="N297" t="s">
        <v>44</v>
      </c>
      <c r="O297">
        <v>4.2</v>
      </c>
      <c r="P297">
        <v>59.460999999999999</v>
      </c>
      <c r="Q297" t="s">
        <v>521</v>
      </c>
      <c r="R297" s="31">
        <v>0.14000000000000001</v>
      </c>
    </row>
    <row r="298" spans="1:18" x14ac:dyDescent="0.3">
      <c r="A298">
        <v>27</v>
      </c>
      <c r="B298">
        <v>27</v>
      </c>
      <c r="C298" t="s">
        <v>24</v>
      </c>
      <c r="D298">
        <v>3.44</v>
      </c>
      <c r="E298">
        <v>1688.425</v>
      </c>
      <c r="F298" t="s">
        <v>414</v>
      </c>
      <c r="G298" s="31">
        <v>8.99</v>
      </c>
      <c r="L298">
        <v>12</v>
      </c>
      <c r="M298">
        <v>12</v>
      </c>
      <c r="N298" t="s">
        <v>45</v>
      </c>
      <c r="O298">
        <v>3.44</v>
      </c>
      <c r="P298">
        <v>504667.875</v>
      </c>
      <c r="Q298" t="s">
        <v>522</v>
      </c>
      <c r="R298" s="31">
        <v>8.84</v>
      </c>
    </row>
    <row r="299" spans="1:18" x14ac:dyDescent="0.3">
      <c r="A299">
        <v>28</v>
      </c>
      <c r="B299">
        <v>28</v>
      </c>
      <c r="C299" t="s">
        <v>25</v>
      </c>
      <c r="D299">
        <v>3.52</v>
      </c>
      <c r="E299">
        <v>22105.289000000001</v>
      </c>
      <c r="F299" t="s">
        <v>415</v>
      </c>
      <c r="G299" s="31">
        <v>24.71</v>
      </c>
      <c r="L299">
        <v>13</v>
      </c>
      <c r="M299">
        <v>13</v>
      </c>
      <c r="N299" t="s">
        <v>46</v>
      </c>
      <c r="O299">
        <v>2.59</v>
      </c>
      <c r="P299">
        <v>142071.5</v>
      </c>
      <c r="Q299" t="s">
        <v>523</v>
      </c>
      <c r="R299" s="31">
        <v>8.5299999999999994</v>
      </c>
    </row>
    <row r="300" spans="1:18" x14ac:dyDescent="0.3">
      <c r="A300">
        <v>29</v>
      </c>
      <c r="B300">
        <v>29</v>
      </c>
      <c r="C300" t="s">
        <v>26</v>
      </c>
      <c r="D300">
        <v>1.05</v>
      </c>
      <c r="E300">
        <v>3188.2109999999998</v>
      </c>
      <c r="F300" t="s">
        <v>416</v>
      </c>
      <c r="G300" s="31">
        <v>23.54</v>
      </c>
      <c r="L300">
        <v>14</v>
      </c>
      <c r="M300">
        <v>14</v>
      </c>
      <c r="N300" t="s">
        <v>47</v>
      </c>
      <c r="O300">
        <v>0.67</v>
      </c>
      <c r="P300">
        <v>23768.923999999999</v>
      </c>
      <c r="Q300" t="s">
        <v>524</v>
      </c>
      <c r="R300" s="31">
        <v>14.05</v>
      </c>
    </row>
    <row r="301" spans="1:18" x14ac:dyDescent="0.3">
      <c r="A301">
        <v>30</v>
      </c>
      <c r="B301">
        <v>30</v>
      </c>
      <c r="C301" t="s">
        <v>27</v>
      </c>
      <c r="D301">
        <v>4.33</v>
      </c>
      <c r="E301">
        <v>4360.6540000000005</v>
      </c>
      <c r="F301" t="s">
        <v>417</v>
      </c>
      <c r="G301" s="31">
        <v>2.46</v>
      </c>
      <c r="L301">
        <v>15</v>
      </c>
      <c r="M301">
        <v>15</v>
      </c>
      <c r="N301" t="s">
        <v>48</v>
      </c>
      <c r="O301">
        <v>1.22</v>
      </c>
      <c r="P301">
        <v>11500.294</v>
      </c>
      <c r="Q301" t="s">
        <v>525</v>
      </c>
      <c r="R301" s="31">
        <v>1.9</v>
      </c>
    </row>
    <row r="302" spans="1:18" x14ac:dyDescent="0.3">
      <c r="A302">
        <v>31</v>
      </c>
      <c r="B302">
        <v>31</v>
      </c>
      <c r="C302" t="s">
        <v>28</v>
      </c>
      <c r="D302">
        <v>3</v>
      </c>
      <c r="E302">
        <v>271361.625</v>
      </c>
      <c r="F302" t="s">
        <v>418</v>
      </c>
      <c r="G302" s="31">
        <v>12.53</v>
      </c>
      <c r="L302">
        <v>16</v>
      </c>
      <c r="M302">
        <v>16</v>
      </c>
      <c r="N302" t="s">
        <v>53</v>
      </c>
      <c r="O302">
        <v>4.5599999999999996</v>
      </c>
      <c r="P302">
        <v>49667.370999999999</v>
      </c>
      <c r="Q302" t="s">
        <v>526</v>
      </c>
      <c r="R302" s="31">
        <v>0.88</v>
      </c>
    </row>
    <row r="303" spans="1:18" x14ac:dyDescent="0.3">
      <c r="A303">
        <v>32</v>
      </c>
      <c r="B303">
        <v>32</v>
      </c>
      <c r="C303" t="s">
        <v>29</v>
      </c>
      <c r="D303">
        <v>3.36</v>
      </c>
      <c r="E303">
        <v>1986.7239999999999</v>
      </c>
      <c r="F303" t="s">
        <v>419</v>
      </c>
      <c r="G303" s="31">
        <v>2.02</v>
      </c>
      <c r="L303">
        <v>17</v>
      </c>
      <c r="M303">
        <v>17</v>
      </c>
      <c r="N303" t="s">
        <v>54</v>
      </c>
      <c r="O303">
        <v>5.17</v>
      </c>
      <c r="P303">
        <v>5918.1040000000003</v>
      </c>
      <c r="Q303" t="s">
        <v>527</v>
      </c>
      <c r="R303" s="31">
        <v>0.15</v>
      </c>
    </row>
    <row r="304" spans="1:18" x14ac:dyDescent="0.3">
      <c r="A304">
        <v>33</v>
      </c>
      <c r="B304">
        <v>33</v>
      </c>
      <c r="C304" t="s">
        <v>30</v>
      </c>
      <c r="D304">
        <v>4.67</v>
      </c>
      <c r="E304">
        <v>196546.31299999999</v>
      </c>
      <c r="F304" t="s">
        <v>420</v>
      </c>
      <c r="G304" s="31">
        <v>27.44</v>
      </c>
      <c r="L304">
        <v>18</v>
      </c>
      <c r="M304">
        <v>18</v>
      </c>
      <c r="N304" t="s">
        <v>55</v>
      </c>
      <c r="O304">
        <v>1.32</v>
      </c>
      <c r="P304">
        <v>976.24</v>
      </c>
      <c r="Q304" t="s">
        <v>528</v>
      </c>
      <c r="R304" s="31">
        <v>0.14000000000000001</v>
      </c>
    </row>
    <row r="305" spans="1:18" x14ac:dyDescent="0.3">
      <c r="A305">
        <v>34</v>
      </c>
      <c r="B305">
        <v>34</v>
      </c>
      <c r="C305" t="s">
        <v>31</v>
      </c>
      <c r="D305">
        <v>3.51</v>
      </c>
      <c r="E305">
        <v>2841.2710000000002</v>
      </c>
      <c r="F305" t="s">
        <v>421</v>
      </c>
      <c r="G305" s="31">
        <v>1.89</v>
      </c>
      <c r="L305">
        <v>19</v>
      </c>
      <c r="M305">
        <v>19</v>
      </c>
      <c r="N305" t="s">
        <v>56</v>
      </c>
      <c r="O305">
        <v>0.88</v>
      </c>
      <c r="P305">
        <v>15244.739</v>
      </c>
      <c r="Q305" t="s">
        <v>529</v>
      </c>
      <c r="R305" s="31">
        <v>0.6</v>
      </c>
    </row>
    <row r="306" spans="1:18" x14ac:dyDescent="0.3">
      <c r="A306">
        <v>35</v>
      </c>
      <c r="B306">
        <v>35</v>
      </c>
      <c r="C306" t="s">
        <v>32</v>
      </c>
      <c r="D306">
        <v>3.06</v>
      </c>
      <c r="E306">
        <v>652.68200000000002</v>
      </c>
      <c r="F306" t="s">
        <v>422</v>
      </c>
      <c r="G306" s="31">
        <v>0.68</v>
      </c>
      <c r="L306">
        <v>20</v>
      </c>
      <c r="M306">
        <v>20</v>
      </c>
      <c r="N306" t="s">
        <v>57</v>
      </c>
      <c r="O306">
        <v>1.51</v>
      </c>
      <c r="P306">
        <v>1204.3589999999999</v>
      </c>
      <c r="Q306" t="s">
        <v>530</v>
      </c>
      <c r="R306" s="31">
        <v>0.57999999999999996</v>
      </c>
    </row>
    <row r="307" spans="1:18" x14ac:dyDescent="0.3">
      <c r="A307">
        <v>36</v>
      </c>
      <c r="B307">
        <v>36</v>
      </c>
      <c r="C307" t="s">
        <v>33</v>
      </c>
      <c r="D307">
        <v>1.9</v>
      </c>
      <c r="E307">
        <v>2104.0369999999998</v>
      </c>
      <c r="F307" t="s">
        <v>423</v>
      </c>
      <c r="G307" s="31">
        <v>10.72</v>
      </c>
      <c r="L307">
        <v>21</v>
      </c>
      <c r="M307">
        <v>21</v>
      </c>
      <c r="N307" t="s">
        <v>58</v>
      </c>
      <c r="O307">
        <v>2.41</v>
      </c>
      <c r="P307">
        <v>13.834</v>
      </c>
      <c r="Q307" t="s">
        <v>531</v>
      </c>
      <c r="R307" s="31">
        <v>0.14000000000000001</v>
      </c>
    </row>
    <row r="308" spans="1:18" x14ac:dyDescent="0.3">
      <c r="L308">
        <v>22</v>
      </c>
      <c r="M308">
        <v>22</v>
      </c>
      <c r="N308" t="s">
        <v>59</v>
      </c>
      <c r="O308">
        <v>2.4900000000000002</v>
      </c>
      <c r="P308">
        <v>19001.993999999999</v>
      </c>
      <c r="Q308" t="s">
        <v>532</v>
      </c>
      <c r="R308" s="31">
        <v>3.21</v>
      </c>
    </row>
    <row r="309" spans="1:18" x14ac:dyDescent="0.3">
      <c r="A309" t="s">
        <v>379</v>
      </c>
      <c r="L309">
        <v>23</v>
      </c>
      <c r="M309">
        <v>23</v>
      </c>
      <c r="N309" t="s">
        <v>60</v>
      </c>
      <c r="O309">
        <v>2.67</v>
      </c>
      <c r="P309">
        <v>13180.764999999999</v>
      </c>
      <c r="Q309" t="s">
        <v>533</v>
      </c>
      <c r="R309" s="31">
        <v>1.24</v>
      </c>
    </row>
    <row r="311" spans="1:18" x14ac:dyDescent="0.3">
      <c r="A311" t="s">
        <v>380</v>
      </c>
      <c r="L311" t="s">
        <v>379</v>
      </c>
    </row>
    <row r="313" spans="1:18" x14ac:dyDescent="0.3">
      <c r="A313" t="s">
        <v>430</v>
      </c>
      <c r="L313" t="s">
        <v>509</v>
      </c>
    </row>
    <row r="315" spans="1:18" x14ac:dyDescent="0.3">
      <c r="B315" t="s">
        <v>382</v>
      </c>
      <c r="C315" t="s">
        <v>383</v>
      </c>
      <c r="D315" t="s">
        <v>384</v>
      </c>
      <c r="E315" t="s">
        <v>385</v>
      </c>
      <c r="F315" t="s">
        <v>386</v>
      </c>
      <c r="G315" s="31" t="s">
        <v>387</v>
      </c>
      <c r="L315" t="s">
        <v>543</v>
      </c>
    </row>
    <row r="316" spans="1:18" x14ac:dyDescent="0.3">
      <c r="A316">
        <v>1</v>
      </c>
      <c r="B316">
        <v>1</v>
      </c>
      <c r="C316" t="s">
        <v>0</v>
      </c>
      <c r="D316">
        <v>1.1000000000000001</v>
      </c>
      <c r="E316">
        <v>19.263000000000002</v>
      </c>
      <c r="F316" t="s">
        <v>388</v>
      </c>
      <c r="G316" s="31">
        <v>0.1</v>
      </c>
    </row>
    <row r="317" spans="1:18" x14ac:dyDescent="0.3">
      <c r="A317">
        <v>2</v>
      </c>
      <c r="B317">
        <v>2</v>
      </c>
      <c r="C317" t="s">
        <v>1</v>
      </c>
      <c r="D317">
        <v>1.6</v>
      </c>
      <c r="E317">
        <v>331.31400000000002</v>
      </c>
      <c r="F317" t="s">
        <v>389</v>
      </c>
      <c r="G317" s="31">
        <v>8</v>
      </c>
      <c r="M317" t="s">
        <v>382</v>
      </c>
      <c r="N317" t="s">
        <v>383</v>
      </c>
      <c r="O317" t="s">
        <v>384</v>
      </c>
      <c r="P317" t="s">
        <v>385</v>
      </c>
      <c r="Q317" t="s">
        <v>386</v>
      </c>
      <c r="R317" s="31" t="s">
        <v>387</v>
      </c>
    </row>
    <row r="318" spans="1:18" x14ac:dyDescent="0.3">
      <c r="A318">
        <v>3</v>
      </c>
      <c r="B318">
        <v>3</v>
      </c>
      <c r="C318" t="s">
        <v>50</v>
      </c>
      <c r="D318">
        <v>3.65</v>
      </c>
      <c r="E318">
        <v>41.984999999999999</v>
      </c>
      <c r="F318" t="s">
        <v>390</v>
      </c>
      <c r="G318" s="31">
        <v>0.41</v>
      </c>
      <c r="L318">
        <v>1</v>
      </c>
      <c r="M318">
        <v>1</v>
      </c>
      <c r="N318" t="s">
        <v>35</v>
      </c>
      <c r="O318">
        <v>1.44</v>
      </c>
      <c r="P318">
        <v>20926.078000000001</v>
      </c>
      <c r="Q318" t="s">
        <v>511</v>
      </c>
      <c r="R318" s="31">
        <v>10.47</v>
      </c>
    </row>
    <row r="319" spans="1:18" x14ac:dyDescent="0.3">
      <c r="A319">
        <v>4</v>
      </c>
      <c r="B319">
        <v>4</v>
      </c>
      <c r="C319" t="s">
        <v>2</v>
      </c>
      <c r="D319">
        <v>3.77</v>
      </c>
      <c r="E319">
        <v>85.998000000000005</v>
      </c>
      <c r="F319" t="s">
        <v>391</v>
      </c>
      <c r="G319" s="31">
        <v>0.78</v>
      </c>
      <c r="L319">
        <v>2</v>
      </c>
      <c r="M319">
        <v>2</v>
      </c>
      <c r="N319" t="s">
        <v>36</v>
      </c>
      <c r="O319">
        <v>1.68</v>
      </c>
      <c r="P319">
        <v>263119.06300000002</v>
      </c>
      <c r="Q319" t="s">
        <v>512</v>
      </c>
      <c r="R319" s="31">
        <v>66.05</v>
      </c>
    </row>
    <row r="320" spans="1:18" x14ac:dyDescent="0.3">
      <c r="A320">
        <v>5</v>
      </c>
      <c r="B320">
        <v>5</v>
      </c>
      <c r="C320" t="s">
        <v>3</v>
      </c>
      <c r="D320">
        <v>4.5199999999999996</v>
      </c>
      <c r="E320">
        <v>89.906000000000006</v>
      </c>
      <c r="F320" t="s">
        <v>392</v>
      </c>
      <c r="G320" s="31">
        <v>0.1</v>
      </c>
      <c r="L320">
        <v>3</v>
      </c>
      <c r="M320">
        <v>3</v>
      </c>
      <c r="N320" t="s">
        <v>37</v>
      </c>
      <c r="O320">
        <v>1.81</v>
      </c>
      <c r="P320">
        <v>436.83800000000002</v>
      </c>
      <c r="Q320" t="s">
        <v>513</v>
      </c>
      <c r="R320" s="31">
        <v>0.13</v>
      </c>
    </row>
    <row r="321" spans="1:18" x14ac:dyDescent="0.3">
      <c r="A321">
        <v>6</v>
      </c>
      <c r="B321">
        <v>6</v>
      </c>
      <c r="C321" t="s">
        <v>4</v>
      </c>
      <c r="D321">
        <v>4.91</v>
      </c>
      <c r="E321">
        <v>18.670000000000002</v>
      </c>
      <c r="F321" t="s">
        <v>393</v>
      </c>
      <c r="G321" s="31">
        <v>2.29</v>
      </c>
      <c r="L321">
        <v>4</v>
      </c>
      <c r="M321">
        <v>4</v>
      </c>
      <c r="N321" t="s">
        <v>38</v>
      </c>
      <c r="O321">
        <v>1.19</v>
      </c>
      <c r="P321">
        <v>2712.8560000000002</v>
      </c>
      <c r="Q321" t="s">
        <v>514</v>
      </c>
      <c r="R321" s="31">
        <v>0.42</v>
      </c>
    </row>
    <row r="322" spans="1:18" x14ac:dyDescent="0.3">
      <c r="A322">
        <v>7</v>
      </c>
      <c r="B322">
        <v>7</v>
      </c>
      <c r="C322" t="s">
        <v>5</v>
      </c>
      <c r="D322">
        <v>2.65</v>
      </c>
      <c r="E322">
        <v>31.388000000000002</v>
      </c>
      <c r="F322" t="s">
        <v>394</v>
      </c>
      <c r="G322" s="31">
        <v>0.1</v>
      </c>
      <c r="L322">
        <v>5</v>
      </c>
      <c r="M322">
        <v>5</v>
      </c>
      <c r="N322" t="s">
        <v>39</v>
      </c>
      <c r="O322">
        <v>1.37</v>
      </c>
      <c r="P322">
        <v>417738.18800000002</v>
      </c>
      <c r="Q322" t="s">
        <v>515</v>
      </c>
      <c r="R322" s="31">
        <v>69.16</v>
      </c>
    </row>
    <row r="323" spans="1:18" x14ac:dyDescent="0.3">
      <c r="A323">
        <v>8</v>
      </c>
      <c r="B323">
        <v>8</v>
      </c>
      <c r="C323" t="s">
        <v>6</v>
      </c>
      <c r="F323" t="s">
        <v>395</v>
      </c>
      <c r="G323" s="31">
        <v>0.1</v>
      </c>
      <c r="L323">
        <v>6</v>
      </c>
      <c r="M323">
        <v>6</v>
      </c>
      <c r="N323" t="s">
        <v>40</v>
      </c>
      <c r="O323">
        <v>1.52</v>
      </c>
      <c r="P323">
        <v>27643.653999999999</v>
      </c>
      <c r="Q323" t="s">
        <v>516</v>
      </c>
      <c r="R323" s="31">
        <v>2.67</v>
      </c>
    </row>
    <row r="324" spans="1:18" x14ac:dyDescent="0.3">
      <c r="A324">
        <v>9</v>
      </c>
      <c r="B324">
        <v>9</v>
      </c>
      <c r="C324" t="s">
        <v>7</v>
      </c>
      <c r="D324">
        <v>3.59</v>
      </c>
      <c r="E324">
        <v>91.593000000000004</v>
      </c>
      <c r="F324" t="s">
        <v>396</v>
      </c>
      <c r="G324" s="31">
        <v>2.67</v>
      </c>
      <c r="L324">
        <v>7</v>
      </c>
      <c r="M324">
        <v>7</v>
      </c>
      <c r="N324" t="s">
        <v>41</v>
      </c>
      <c r="O324">
        <v>2.29</v>
      </c>
      <c r="P324">
        <v>3046.9639999999999</v>
      </c>
      <c r="Q324" t="s">
        <v>517</v>
      </c>
      <c r="R324" s="31">
        <v>2.72</v>
      </c>
    </row>
    <row r="325" spans="1:18" x14ac:dyDescent="0.3">
      <c r="A325">
        <v>10</v>
      </c>
      <c r="B325">
        <v>10</v>
      </c>
      <c r="C325" t="s">
        <v>51</v>
      </c>
      <c r="D325">
        <v>4.8099999999999996</v>
      </c>
      <c r="E325">
        <v>638.34900000000005</v>
      </c>
      <c r="F325" t="s">
        <v>397</v>
      </c>
      <c r="G325" s="31">
        <v>0.99</v>
      </c>
      <c r="L325">
        <v>8</v>
      </c>
      <c r="M325">
        <v>8</v>
      </c>
      <c r="N325" t="s">
        <v>42</v>
      </c>
      <c r="O325">
        <v>0.89</v>
      </c>
      <c r="P325">
        <v>107403.19500000001</v>
      </c>
      <c r="Q325" t="s">
        <v>518</v>
      </c>
      <c r="R325" s="31">
        <v>120.83</v>
      </c>
    </row>
    <row r="326" spans="1:18" x14ac:dyDescent="0.3">
      <c r="A326">
        <v>11</v>
      </c>
      <c r="B326">
        <v>11</v>
      </c>
      <c r="C326" t="s">
        <v>8</v>
      </c>
      <c r="D326">
        <v>2.63</v>
      </c>
      <c r="E326">
        <v>2.3740000000000001</v>
      </c>
      <c r="F326" t="s">
        <v>398</v>
      </c>
      <c r="G326" s="31">
        <v>1.63</v>
      </c>
      <c r="L326">
        <v>9</v>
      </c>
      <c r="M326">
        <v>9</v>
      </c>
      <c r="N326" t="s">
        <v>43</v>
      </c>
      <c r="O326">
        <v>2.54</v>
      </c>
      <c r="P326">
        <v>11632.094999999999</v>
      </c>
      <c r="Q326" t="s">
        <v>519</v>
      </c>
      <c r="R326" s="31">
        <v>0.17</v>
      </c>
    </row>
    <row r="327" spans="1:18" x14ac:dyDescent="0.3">
      <c r="A327">
        <v>12</v>
      </c>
      <c r="B327">
        <v>12</v>
      </c>
      <c r="C327" t="s">
        <v>9</v>
      </c>
      <c r="D327">
        <v>2.7</v>
      </c>
      <c r="E327">
        <v>35.051000000000002</v>
      </c>
      <c r="F327" t="s">
        <v>399</v>
      </c>
      <c r="G327" s="31">
        <v>2.76</v>
      </c>
      <c r="L327">
        <v>10</v>
      </c>
      <c r="M327">
        <v>10</v>
      </c>
      <c r="N327" t="s">
        <v>52</v>
      </c>
      <c r="O327">
        <v>4.1100000000000003</v>
      </c>
      <c r="P327">
        <v>19171.495999999999</v>
      </c>
      <c r="Q327" t="s">
        <v>520</v>
      </c>
      <c r="R327" s="31">
        <v>0.95</v>
      </c>
    </row>
    <row r="328" spans="1:18" x14ac:dyDescent="0.3">
      <c r="A328">
        <v>13</v>
      </c>
      <c r="B328">
        <v>13</v>
      </c>
      <c r="C328" t="s">
        <v>10</v>
      </c>
      <c r="F328" t="s">
        <v>400</v>
      </c>
      <c r="G328" s="31">
        <v>0.1</v>
      </c>
      <c r="L328">
        <v>11</v>
      </c>
      <c r="M328">
        <v>11</v>
      </c>
      <c r="N328" t="s">
        <v>44</v>
      </c>
      <c r="O328">
        <v>4.18</v>
      </c>
      <c r="P328">
        <v>2832.145</v>
      </c>
      <c r="Q328" t="s">
        <v>521</v>
      </c>
      <c r="R328" s="31">
        <v>0.39</v>
      </c>
    </row>
    <row r="329" spans="1:18" x14ac:dyDescent="0.3">
      <c r="A329">
        <v>14</v>
      </c>
      <c r="B329">
        <v>14</v>
      </c>
      <c r="C329" t="s">
        <v>11</v>
      </c>
      <c r="F329" t="s">
        <v>401</v>
      </c>
      <c r="G329" s="31">
        <v>0.1</v>
      </c>
      <c r="L329">
        <v>12</v>
      </c>
      <c r="M329">
        <v>12</v>
      </c>
      <c r="N329" t="s">
        <v>45</v>
      </c>
      <c r="O329">
        <v>3.44</v>
      </c>
      <c r="P329">
        <v>1418151.125</v>
      </c>
      <c r="Q329" t="s">
        <v>522</v>
      </c>
      <c r="R329" s="31">
        <v>30.14</v>
      </c>
    </row>
    <row r="330" spans="1:18" x14ac:dyDescent="0.3">
      <c r="A330">
        <v>15</v>
      </c>
      <c r="B330">
        <v>15</v>
      </c>
      <c r="C330" t="s">
        <v>12</v>
      </c>
      <c r="D330">
        <v>3.4</v>
      </c>
      <c r="E330">
        <v>62.97</v>
      </c>
      <c r="F330" t="s">
        <v>402</v>
      </c>
      <c r="G330" s="31">
        <v>2.23</v>
      </c>
      <c r="L330">
        <v>13</v>
      </c>
      <c r="M330">
        <v>13</v>
      </c>
      <c r="N330" t="s">
        <v>46</v>
      </c>
      <c r="O330">
        <v>2.58</v>
      </c>
      <c r="P330">
        <v>117896</v>
      </c>
      <c r="Q330" t="s">
        <v>523</v>
      </c>
      <c r="R330" s="31">
        <v>5.05</v>
      </c>
    </row>
    <row r="331" spans="1:18" x14ac:dyDescent="0.3">
      <c r="A331">
        <v>16</v>
      </c>
      <c r="B331">
        <v>16</v>
      </c>
      <c r="C331" t="s">
        <v>13</v>
      </c>
      <c r="D331">
        <v>3.08</v>
      </c>
      <c r="E331">
        <v>10.063000000000001</v>
      </c>
      <c r="F331" t="s">
        <v>403</v>
      </c>
      <c r="G331" s="31">
        <v>2.0499999999999998</v>
      </c>
      <c r="L331">
        <v>14</v>
      </c>
      <c r="M331">
        <v>14</v>
      </c>
      <c r="N331" t="s">
        <v>47</v>
      </c>
      <c r="O331">
        <v>0.68</v>
      </c>
      <c r="P331">
        <v>40123.133000000002</v>
      </c>
      <c r="Q331" t="s">
        <v>524</v>
      </c>
      <c r="R331" s="31">
        <v>18.670000000000002</v>
      </c>
    </row>
    <row r="332" spans="1:18" x14ac:dyDescent="0.3">
      <c r="A332">
        <v>17</v>
      </c>
      <c r="B332">
        <v>17</v>
      </c>
      <c r="C332" t="s">
        <v>14</v>
      </c>
      <c r="D332">
        <v>2.1</v>
      </c>
      <c r="E332">
        <v>59.534999999999997</v>
      </c>
      <c r="F332" t="s">
        <v>404</v>
      </c>
      <c r="G332" s="31">
        <v>3.26</v>
      </c>
      <c r="L332">
        <v>15</v>
      </c>
      <c r="M332">
        <v>15</v>
      </c>
      <c r="N332" t="s">
        <v>48</v>
      </c>
      <c r="O332">
        <v>1.21</v>
      </c>
      <c r="P332">
        <v>13322.491</v>
      </c>
      <c r="Q332" t="s">
        <v>525</v>
      </c>
      <c r="R332" s="31">
        <v>1.67</v>
      </c>
    </row>
    <row r="333" spans="1:18" x14ac:dyDescent="0.3">
      <c r="A333">
        <v>18</v>
      </c>
      <c r="B333">
        <v>18</v>
      </c>
      <c r="C333" t="s">
        <v>15</v>
      </c>
      <c r="D333">
        <v>2.4900000000000002</v>
      </c>
      <c r="E333">
        <v>55.05</v>
      </c>
      <c r="F333" t="s">
        <v>405</v>
      </c>
      <c r="G333" s="31">
        <v>10.42</v>
      </c>
      <c r="L333">
        <v>16</v>
      </c>
      <c r="M333">
        <v>16</v>
      </c>
      <c r="N333" t="s">
        <v>53</v>
      </c>
      <c r="O333">
        <v>4.54</v>
      </c>
      <c r="P333">
        <v>51877.18</v>
      </c>
      <c r="Q333" t="s">
        <v>526</v>
      </c>
      <c r="R333" s="31">
        <v>0.68</v>
      </c>
    </row>
    <row r="334" spans="1:18" x14ac:dyDescent="0.3">
      <c r="A334">
        <v>19</v>
      </c>
      <c r="B334">
        <v>19</v>
      </c>
      <c r="C334" t="s">
        <v>16</v>
      </c>
      <c r="D334">
        <v>2.76</v>
      </c>
      <c r="E334">
        <v>3.5209999999999999</v>
      </c>
      <c r="F334" t="s">
        <v>406</v>
      </c>
      <c r="G334" s="31">
        <v>0.3</v>
      </c>
      <c r="L334">
        <v>17</v>
      </c>
      <c r="M334">
        <v>17</v>
      </c>
      <c r="N334" t="s">
        <v>54</v>
      </c>
      <c r="O334">
        <v>5.18</v>
      </c>
      <c r="P334">
        <v>609.10699999999997</v>
      </c>
      <c r="Q334" t="s">
        <v>527</v>
      </c>
      <c r="R334" s="31">
        <v>0.11</v>
      </c>
    </row>
    <row r="335" spans="1:18" x14ac:dyDescent="0.3">
      <c r="A335">
        <v>20</v>
      </c>
      <c r="B335">
        <v>20</v>
      </c>
      <c r="C335" t="s">
        <v>17</v>
      </c>
      <c r="D335">
        <v>3.05</v>
      </c>
      <c r="E335">
        <v>556.46299999999997</v>
      </c>
      <c r="F335" t="s">
        <v>407</v>
      </c>
      <c r="G335" s="31">
        <v>0.33</v>
      </c>
      <c r="L335">
        <v>18</v>
      </c>
      <c r="M335">
        <v>18</v>
      </c>
      <c r="N335" t="s">
        <v>55</v>
      </c>
      <c r="O335">
        <v>1.32</v>
      </c>
      <c r="P335">
        <v>2477.377</v>
      </c>
      <c r="Q335" t="s">
        <v>528</v>
      </c>
      <c r="R335" s="31">
        <v>0.09</v>
      </c>
    </row>
    <row r="336" spans="1:18" x14ac:dyDescent="0.3">
      <c r="A336">
        <v>21</v>
      </c>
      <c r="B336">
        <v>21</v>
      </c>
      <c r="C336" t="s">
        <v>18</v>
      </c>
      <c r="D336">
        <v>3.7</v>
      </c>
      <c r="E336">
        <v>326.10599999999999</v>
      </c>
      <c r="F336" t="s">
        <v>408</v>
      </c>
      <c r="G336" s="31">
        <v>7.0000000000000007E-2</v>
      </c>
      <c r="L336">
        <v>19</v>
      </c>
      <c r="M336">
        <v>19</v>
      </c>
      <c r="N336" t="s">
        <v>56</v>
      </c>
      <c r="O336">
        <v>0.87</v>
      </c>
      <c r="P336">
        <v>27642.901999999998</v>
      </c>
      <c r="Q336" t="s">
        <v>529</v>
      </c>
      <c r="R336" s="31">
        <v>1.26</v>
      </c>
    </row>
    <row r="337" spans="1:18" x14ac:dyDescent="0.3">
      <c r="A337">
        <v>22</v>
      </c>
      <c r="B337">
        <v>22</v>
      </c>
      <c r="C337" t="s">
        <v>19</v>
      </c>
      <c r="F337" t="s">
        <v>409</v>
      </c>
      <c r="G337" s="31">
        <v>0.1</v>
      </c>
      <c r="L337">
        <v>20</v>
      </c>
      <c r="M337">
        <v>20</v>
      </c>
      <c r="N337" t="s">
        <v>57</v>
      </c>
      <c r="O337">
        <v>1.51</v>
      </c>
      <c r="P337">
        <v>663.06600000000003</v>
      </c>
      <c r="Q337" t="s">
        <v>530</v>
      </c>
      <c r="R337" s="31">
        <v>0.23</v>
      </c>
    </row>
    <row r="338" spans="1:18" x14ac:dyDescent="0.3">
      <c r="A338">
        <v>23</v>
      </c>
      <c r="B338">
        <v>23</v>
      </c>
      <c r="C338" t="s">
        <v>20</v>
      </c>
      <c r="F338" t="s">
        <v>410</v>
      </c>
      <c r="G338" s="31">
        <v>0.1</v>
      </c>
      <c r="L338">
        <v>21</v>
      </c>
      <c r="M338">
        <v>21</v>
      </c>
      <c r="N338" t="s">
        <v>58</v>
      </c>
      <c r="O338">
        <v>2.3199999999999998</v>
      </c>
      <c r="P338">
        <v>1111.2170000000001</v>
      </c>
      <c r="Q338" t="s">
        <v>531</v>
      </c>
      <c r="R338" s="31">
        <v>0.6</v>
      </c>
    </row>
    <row r="339" spans="1:18" x14ac:dyDescent="0.3">
      <c r="A339">
        <v>24</v>
      </c>
      <c r="B339">
        <v>24</v>
      </c>
      <c r="C339" t="s">
        <v>21</v>
      </c>
      <c r="D339">
        <v>4.25</v>
      </c>
      <c r="E339">
        <v>13.314</v>
      </c>
      <c r="F339" t="s">
        <v>411</v>
      </c>
      <c r="G339" s="31">
        <v>0.1</v>
      </c>
      <c r="L339">
        <v>22</v>
      </c>
      <c r="M339">
        <v>22</v>
      </c>
      <c r="N339" t="s">
        <v>59</v>
      </c>
      <c r="O339">
        <v>2.4900000000000002</v>
      </c>
      <c r="P339">
        <v>16368.927</v>
      </c>
      <c r="Q339" t="s">
        <v>532</v>
      </c>
      <c r="R339" s="31">
        <v>2.0099999999999998</v>
      </c>
    </row>
    <row r="340" spans="1:18" x14ac:dyDescent="0.3">
      <c r="A340">
        <v>25</v>
      </c>
      <c r="B340">
        <v>25</v>
      </c>
      <c r="C340" t="s">
        <v>22</v>
      </c>
      <c r="D340">
        <v>3.48</v>
      </c>
      <c r="E340">
        <v>31.5</v>
      </c>
      <c r="F340" t="s">
        <v>412</v>
      </c>
      <c r="G340" s="31">
        <v>21.74</v>
      </c>
      <c r="L340">
        <v>23</v>
      </c>
      <c r="M340">
        <v>23</v>
      </c>
      <c r="N340" t="s">
        <v>60</v>
      </c>
      <c r="O340">
        <v>2.67</v>
      </c>
      <c r="P340">
        <v>49997.457000000002</v>
      </c>
      <c r="Q340" t="s">
        <v>533</v>
      </c>
      <c r="R340" s="31">
        <v>2.96</v>
      </c>
    </row>
    <row r="341" spans="1:18" x14ac:dyDescent="0.3">
      <c r="A341">
        <v>26</v>
      </c>
      <c r="B341">
        <v>26</v>
      </c>
      <c r="C341" t="s">
        <v>23</v>
      </c>
      <c r="F341" t="s">
        <v>413</v>
      </c>
      <c r="G341" s="31">
        <v>0.1</v>
      </c>
    </row>
    <row r="342" spans="1:18" x14ac:dyDescent="0.3">
      <c r="A342">
        <v>27</v>
      </c>
      <c r="B342">
        <v>27</v>
      </c>
      <c r="C342" t="s">
        <v>24</v>
      </c>
      <c r="D342">
        <v>3.54</v>
      </c>
      <c r="E342">
        <v>10.53</v>
      </c>
      <c r="F342" t="s">
        <v>414</v>
      </c>
      <c r="G342" s="31">
        <v>0.1</v>
      </c>
      <c r="L342" t="s">
        <v>379</v>
      </c>
    </row>
    <row r="343" spans="1:18" x14ac:dyDescent="0.3">
      <c r="A343">
        <v>28</v>
      </c>
      <c r="B343">
        <v>28</v>
      </c>
      <c r="C343" t="s">
        <v>25</v>
      </c>
      <c r="D343">
        <v>3.47</v>
      </c>
      <c r="E343">
        <v>2.9860000000000002</v>
      </c>
      <c r="F343" t="s">
        <v>415</v>
      </c>
      <c r="G343" s="31">
        <v>1.8</v>
      </c>
    </row>
    <row r="344" spans="1:18" x14ac:dyDescent="0.3">
      <c r="A344">
        <v>29</v>
      </c>
      <c r="B344">
        <v>29</v>
      </c>
      <c r="C344" t="s">
        <v>26</v>
      </c>
      <c r="F344" t="s">
        <v>416</v>
      </c>
      <c r="G344" s="31">
        <v>0.1</v>
      </c>
      <c r="L344" t="s">
        <v>509</v>
      </c>
    </row>
    <row r="345" spans="1:18" x14ac:dyDescent="0.3">
      <c r="A345">
        <v>30</v>
      </c>
      <c r="B345">
        <v>30</v>
      </c>
      <c r="C345" t="s">
        <v>27</v>
      </c>
      <c r="D345">
        <v>4.34</v>
      </c>
      <c r="E345">
        <v>55.454999999999998</v>
      </c>
      <c r="F345" t="s">
        <v>417</v>
      </c>
      <c r="G345" s="31">
        <v>0.14000000000000001</v>
      </c>
    </row>
    <row r="346" spans="1:18" x14ac:dyDescent="0.3">
      <c r="A346">
        <v>31</v>
      </c>
      <c r="B346">
        <v>31</v>
      </c>
      <c r="C346" t="s">
        <v>28</v>
      </c>
      <c r="D346">
        <v>3.05</v>
      </c>
      <c r="E346">
        <v>75.710999999999999</v>
      </c>
      <c r="F346" t="s">
        <v>418</v>
      </c>
      <c r="G346" s="31">
        <v>0.1</v>
      </c>
      <c r="L346" t="s">
        <v>544</v>
      </c>
    </row>
    <row r="347" spans="1:18" x14ac:dyDescent="0.3">
      <c r="A347">
        <v>32</v>
      </c>
      <c r="B347">
        <v>32</v>
      </c>
      <c r="C347" t="s">
        <v>29</v>
      </c>
      <c r="F347" t="s">
        <v>419</v>
      </c>
      <c r="G347" s="31">
        <v>0.1</v>
      </c>
    </row>
    <row r="348" spans="1:18" x14ac:dyDescent="0.3">
      <c r="A348">
        <v>33</v>
      </c>
      <c r="B348">
        <v>33</v>
      </c>
      <c r="C348" t="s">
        <v>30</v>
      </c>
      <c r="D348">
        <v>4.68</v>
      </c>
      <c r="E348">
        <v>14.802</v>
      </c>
      <c r="F348" t="s">
        <v>420</v>
      </c>
      <c r="G348" s="31">
        <v>3.35</v>
      </c>
      <c r="M348" t="s">
        <v>382</v>
      </c>
      <c r="N348" t="s">
        <v>383</v>
      </c>
      <c r="O348" t="s">
        <v>384</v>
      </c>
      <c r="P348" t="s">
        <v>385</v>
      </c>
      <c r="Q348" t="s">
        <v>386</v>
      </c>
      <c r="R348" s="31" t="s">
        <v>387</v>
      </c>
    </row>
    <row r="349" spans="1:18" x14ac:dyDescent="0.3">
      <c r="A349">
        <v>34</v>
      </c>
      <c r="B349">
        <v>34</v>
      </c>
      <c r="C349" t="s">
        <v>31</v>
      </c>
      <c r="D349">
        <v>3.68</v>
      </c>
      <c r="E349">
        <v>7.6150000000000002</v>
      </c>
      <c r="F349" t="s">
        <v>421</v>
      </c>
      <c r="G349" s="31">
        <v>0.11</v>
      </c>
      <c r="L349">
        <v>1</v>
      </c>
      <c r="M349">
        <v>1</v>
      </c>
      <c r="N349" t="s">
        <v>35</v>
      </c>
      <c r="O349">
        <v>1.44</v>
      </c>
      <c r="P349">
        <v>27313.023000000001</v>
      </c>
      <c r="Q349" t="s">
        <v>511</v>
      </c>
      <c r="R349" s="31">
        <v>18.93</v>
      </c>
    </row>
    <row r="350" spans="1:18" x14ac:dyDescent="0.3">
      <c r="A350">
        <v>35</v>
      </c>
      <c r="B350">
        <v>35</v>
      </c>
      <c r="C350" t="s">
        <v>32</v>
      </c>
      <c r="D350">
        <v>3.06</v>
      </c>
      <c r="E350">
        <v>17.728999999999999</v>
      </c>
      <c r="F350" t="s">
        <v>422</v>
      </c>
      <c r="G350" s="31">
        <v>0.1</v>
      </c>
      <c r="L350">
        <v>2</v>
      </c>
      <c r="M350">
        <v>2</v>
      </c>
      <c r="N350" t="s">
        <v>36</v>
      </c>
      <c r="O350">
        <v>1.66</v>
      </c>
      <c r="P350">
        <v>2331651.5</v>
      </c>
      <c r="Q350" t="s">
        <v>512</v>
      </c>
      <c r="R350" s="31">
        <v>453.22</v>
      </c>
    </row>
    <row r="351" spans="1:18" x14ac:dyDescent="0.3">
      <c r="A351">
        <v>36</v>
      </c>
      <c r="B351">
        <v>36</v>
      </c>
      <c r="C351" t="s">
        <v>33</v>
      </c>
      <c r="D351">
        <v>1.97</v>
      </c>
      <c r="E351">
        <v>5.7249999999999996</v>
      </c>
      <c r="F351" t="s">
        <v>423</v>
      </c>
      <c r="G351" s="31">
        <v>0.06</v>
      </c>
      <c r="L351">
        <v>3</v>
      </c>
      <c r="M351">
        <v>3</v>
      </c>
      <c r="N351" t="s">
        <v>37</v>
      </c>
      <c r="O351">
        <v>1.8</v>
      </c>
      <c r="P351">
        <v>1061.652</v>
      </c>
      <c r="Q351" t="s">
        <v>513</v>
      </c>
      <c r="R351" s="31">
        <v>0.4</v>
      </c>
    </row>
    <row r="352" spans="1:18" x14ac:dyDescent="0.3">
      <c r="L352">
        <v>4</v>
      </c>
      <c r="M352">
        <v>4</v>
      </c>
      <c r="N352" t="s">
        <v>38</v>
      </c>
      <c r="O352">
        <v>1.18</v>
      </c>
      <c r="P352">
        <v>6901.5259999999998</v>
      </c>
      <c r="Q352" t="s">
        <v>514</v>
      </c>
      <c r="R352" s="31">
        <v>1.65</v>
      </c>
    </row>
    <row r="353" spans="1:18" x14ac:dyDescent="0.3">
      <c r="A353" t="s">
        <v>379</v>
      </c>
      <c r="L353">
        <v>5</v>
      </c>
      <c r="M353">
        <v>5</v>
      </c>
      <c r="N353" t="s">
        <v>39</v>
      </c>
      <c r="O353">
        <v>1.38</v>
      </c>
      <c r="P353">
        <v>149354.45300000001</v>
      </c>
      <c r="Q353" t="s">
        <v>515</v>
      </c>
      <c r="R353" s="31">
        <v>45.94</v>
      </c>
    </row>
    <row r="354" spans="1:18" x14ac:dyDescent="0.3">
      <c r="L354">
        <v>6</v>
      </c>
      <c r="M354">
        <v>6</v>
      </c>
      <c r="N354" t="s">
        <v>40</v>
      </c>
      <c r="O354">
        <v>1.52</v>
      </c>
      <c r="P354">
        <v>18914.625</v>
      </c>
      <c r="Q354" t="s">
        <v>516</v>
      </c>
      <c r="R354" s="31">
        <v>3.08</v>
      </c>
    </row>
    <row r="355" spans="1:18" x14ac:dyDescent="0.3">
      <c r="A355" t="s">
        <v>380</v>
      </c>
      <c r="L355">
        <v>7</v>
      </c>
      <c r="M355">
        <v>7</v>
      </c>
      <c r="N355" t="s">
        <v>41</v>
      </c>
      <c r="O355">
        <v>2.29</v>
      </c>
      <c r="P355">
        <v>1671.44</v>
      </c>
      <c r="Q355" t="s">
        <v>517</v>
      </c>
      <c r="R355" s="31">
        <v>2.6</v>
      </c>
    </row>
    <row r="356" spans="1:18" x14ac:dyDescent="0.3">
      <c r="L356">
        <v>8</v>
      </c>
      <c r="M356">
        <v>8</v>
      </c>
      <c r="N356" t="s">
        <v>42</v>
      </c>
      <c r="O356">
        <v>0.88</v>
      </c>
      <c r="P356">
        <v>1104.075</v>
      </c>
      <c r="Q356" t="s">
        <v>518</v>
      </c>
      <c r="R356" s="31">
        <v>30.1</v>
      </c>
    </row>
    <row r="357" spans="1:18" x14ac:dyDescent="0.3">
      <c r="A357" t="s">
        <v>431</v>
      </c>
      <c r="L357">
        <v>9</v>
      </c>
      <c r="M357">
        <v>9</v>
      </c>
      <c r="N357" t="s">
        <v>43</v>
      </c>
      <c r="O357">
        <v>2.54</v>
      </c>
      <c r="P357">
        <v>8929.2139999999999</v>
      </c>
      <c r="Q357" t="s">
        <v>519</v>
      </c>
      <c r="R357" s="31">
        <v>0.22</v>
      </c>
    </row>
    <row r="358" spans="1:18" x14ac:dyDescent="0.3">
      <c r="L358">
        <v>10</v>
      </c>
      <c r="M358">
        <v>10</v>
      </c>
      <c r="N358" t="s">
        <v>52</v>
      </c>
      <c r="O358">
        <v>4.12</v>
      </c>
      <c r="P358">
        <v>9530.5079999999998</v>
      </c>
      <c r="Q358" t="s">
        <v>520</v>
      </c>
      <c r="R358" s="31">
        <v>0.56000000000000005</v>
      </c>
    </row>
    <row r="359" spans="1:18" x14ac:dyDescent="0.3">
      <c r="B359" t="s">
        <v>382</v>
      </c>
      <c r="C359" t="s">
        <v>383</v>
      </c>
      <c r="D359" t="s">
        <v>384</v>
      </c>
      <c r="E359" t="s">
        <v>385</v>
      </c>
      <c r="F359" t="s">
        <v>386</v>
      </c>
      <c r="G359" s="31" t="s">
        <v>387</v>
      </c>
      <c r="L359">
        <v>11</v>
      </c>
      <c r="M359">
        <v>11</v>
      </c>
      <c r="N359" t="s">
        <v>44</v>
      </c>
      <c r="O359">
        <v>4.17</v>
      </c>
      <c r="P359">
        <v>1594.2750000000001</v>
      </c>
      <c r="Q359" t="s">
        <v>521</v>
      </c>
      <c r="R359" s="31">
        <v>0.44</v>
      </c>
    </row>
    <row r="360" spans="1:18" x14ac:dyDescent="0.3">
      <c r="A360">
        <v>1</v>
      </c>
      <c r="B360">
        <v>1</v>
      </c>
      <c r="C360" t="s">
        <v>0</v>
      </c>
      <c r="D360">
        <v>1.02</v>
      </c>
      <c r="E360">
        <v>993.87400000000002</v>
      </c>
      <c r="F360" t="s">
        <v>388</v>
      </c>
      <c r="G360" s="31">
        <v>8.36</v>
      </c>
      <c r="L360">
        <v>12</v>
      </c>
      <c r="M360">
        <v>12</v>
      </c>
      <c r="N360" t="s">
        <v>45</v>
      </c>
      <c r="O360">
        <v>3.44</v>
      </c>
      <c r="P360">
        <v>937398.68799999997</v>
      </c>
      <c r="Q360" t="s">
        <v>522</v>
      </c>
      <c r="R360" s="31">
        <v>29.61</v>
      </c>
    </row>
    <row r="361" spans="1:18" x14ac:dyDescent="0.3">
      <c r="A361">
        <v>2</v>
      </c>
      <c r="B361">
        <v>2</v>
      </c>
      <c r="C361" t="s">
        <v>1</v>
      </c>
      <c r="D361">
        <v>1.46</v>
      </c>
      <c r="E361">
        <v>1557.82</v>
      </c>
      <c r="F361" t="s">
        <v>389</v>
      </c>
      <c r="G361" s="31">
        <v>3.02</v>
      </c>
      <c r="L361">
        <v>13</v>
      </c>
      <c r="M361">
        <v>13</v>
      </c>
      <c r="N361" t="s">
        <v>46</v>
      </c>
      <c r="O361">
        <v>2.59</v>
      </c>
      <c r="P361">
        <v>218854.84400000001</v>
      </c>
      <c r="Q361" t="s">
        <v>523</v>
      </c>
      <c r="R361" s="31">
        <v>17.149999999999999</v>
      </c>
    </row>
    <row r="362" spans="1:18" x14ac:dyDescent="0.3">
      <c r="A362">
        <v>3</v>
      </c>
      <c r="B362">
        <v>3</v>
      </c>
      <c r="C362" t="s">
        <v>50</v>
      </c>
      <c r="D362">
        <v>3.57</v>
      </c>
      <c r="E362">
        <v>52.082000000000001</v>
      </c>
      <c r="F362" t="s">
        <v>390</v>
      </c>
      <c r="G362" s="31">
        <v>7.0000000000000007E-2</v>
      </c>
      <c r="L362">
        <v>14</v>
      </c>
      <c r="M362">
        <v>14</v>
      </c>
      <c r="N362" t="s">
        <v>47</v>
      </c>
      <c r="O362">
        <v>0.68</v>
      </c>
      <c r="P362">
        <v>29166.083999999999</v>
      </c>
      <c r="Q362" t="s">
        <v>524</v>
      </c>
      <c r="R362" s="31">
        <v>21.92</v>
      </c>
    </row>
    <row r="363" spans="1:18" x14ac:dyDescent="0.3">
      <c r="A363">
        <v>4</v>
      </c>
      <c r="B363">
        <v>4</v>
      </c>
      <c r="C363" t="s">
        <v>2</v>
      </c>
      <c r="D363">
        <v>3.7</v>
      </c>
      <c r="E363">
        <v>11434.103999999999</v>
      </c>
      <c r="F363" t="s">
        <v>391</v>
      </c>
      <c r="G363" s="31">
        <v>0.84</v>
      </c>
      <c r="L363">
        <v>15</v>
      </c>
      <c r="M363">
        <v>15</v>
      </c>
      <c r="N363" t="s">
        <v>48</v>
      </c>
      <c r="O363">
        <v>1.22</v>
      </c>
      <c r="P363">
        <v>22812.037</v>
      </c>
      <c r="Q363" t="s">
        <v>525</v>
      </c>
      <c r="R363" s="31">
        <v>5.15</v>
      </c>
    </row>
    <row r="364" spans="1:18" x14ac:dyDescent="0.3">
      <c r="A364">
        <v>5</v>
      </c>
      <c r="B364">
        <v>5</v>
      </c>
      <c r="C364" t="s">
        <v>3</v>
      </c>
      <c r="D364">
        <v>4.49</v>
      </c>
      <c r="E364">
        <v>455.548</v>
      </c>
      <c r="F364" t="s">
        <v>392</v>
      </c>
      <c r="G364" s="31">
        <v>0.68</v>
      </c>
      <c r="L364">
        <v>16</v>
      </c>
      <c r="M364">
        <v>16</v>
      </c>
      <c r="N364" t="s">
        <v>53</v>
      </c>
      <c r="O364">
        <v>4.55</v>
      </c>
      <c r="P364">
        <v>30055.741999999998</v>
      </c>
      <c r="Q364" t="s">
        <v>526</v>
      </c>
      <c r="R364" s="31">
        <v>0.63</v>
      </c>
    </row>
    <row r="365" spans="1:18" x14ac:dyDescent="0.3">
      <c r="A365">
        <v>6</v>
      </c>
      <c r="B365">
        <v>6</v>
      </c>
      <c r="C365" t="s">
        <v>4</v>
      </c>
      <c r="D365">
        <v>4.8099999999999996</v>
      </c>
      <c r="E365">
        <v>12699.644</v>
      </c>
      <c r="F365" t="s">
        <v>393</v>
      </c>
      <c r="G365" s="31">
        <v>0.89</v>
      </c>
      <c r="L365">
        <v>17</v>
      </c>
      <c r="M365">
        <v>17</v>
      </c>
      <c r="N365" t="s">
        <v>54</v>
      </c>
      <c r="O365">
        <v>5.23</v>
      </c>
      <c r="P365">
        <v>18.091999999999999</v>
      </c>
      <c r="Q365" t="s">
        <v>527</v>
      </c>
      <c r="R365" s="31">
        <v>0.1</v>
      </c>
    </row>
    <row r="366" spans="1:18" x14ac:dyDescent="0.3">
      <c r="A366">
        <v>7</v>
      </c>
      <c r="B366">
        <v>7</v>
      </c>
      <c r="C366" t="s">
        <v>5</v>
      </c>
      <c r="D366">
        <v>2.71</v>
      </c>
      <c r="E366">
        <v>548.94100000000003</v>
      </c>
      <c r="F366" t="s">
        <v>394</v>
      </c>
      <c r="G366" s="31">
        <v>0.1</v>
      </c>
      <c r="L366">
        <v>18</v>
      </c>
      <c r="M366">
        <v>18</v>
      </c>
      <c r="N366" t="s">
        <v>55</v>
      </c>
      <c r="O366">
        <v>1.31</v>
      </c>
      <c r="P366">
        <v>2341.8440000000001</v>
      </c>
      <c r="Q366" t="s">
        <v>528</v>
      </c>
      <c r="R366" s="31">
        <v>0.14000000000000001</v>
      </c>
    </row>
    <row r="367" spans="1:18" x14ac:dyDescent="0.3">
      <c r="A367">
        <v>8</v>
      </c>
      <c r="B367">
        <v>8</v>
      </c>
      <c r="C367" t="s">
        <v>6</v>
      </c>
      <c r="D367">
        <v>0.67</v>
      </c>
      <c r="E367">
        <v>682.01400000000001</v>
      </c>
      <c r="F367" t="s">
        <v>395</v>
      </c>
      <c r="G367" s="31">
        <v>10.41</v>
      </c>
      <c r="L367">
        <v>19</v>
      </c>
      <c r="M367">
        <v>19</v>
      </c>
      <c r="N367" t="s">
        <v>56</v>
      </c>
      <c r="O367">
        <v>0.88</v>
      </c>
      <c r="P367">
        <v>23560.903999999999</v>
      </c>
      <c r="Q367" t="s">
        <v>529</v>
      </c>
      <c r="R367" s="31">
        <v>1.66</v>
      </c>
    </row>
    <row r="368" spans="1:18" x14ac:dyDescent="0.3">
      <c r="A368">
        <v>9</v>
      </c>
      <c r="B368">
        <v>9</v>
      </c>
      <c r="C368" t="s">
        <v>7</v>
      </c>
      <c r="D368">
        <v>3.57</v>
      </c>
      <c r="E368">
        <v>917.71100000000001</v>
      </c>
      <c r="F368" t="s">
        <v>396</v>
      </c>
      <c r="G368" s="31">
        <v>2.66</v>
      </c>
      <c r="L368">
        <v>20</v>
      </c>
      <c r="M368">
        <v>20</v>
      </c>
      <c r="N368" t="s">
        <v>57</v>
      </c>
      <c r="O368">
        <v>1.5</v>
      </c>
      <c r="P368">
        <v>639.81200000000001</v>
      </c>
      <c r="Q368" t="s">
        <v>530</v>
      </c>
      <c r="R368" s="31">
        <v>0.37</v>
      </c>
    </row>
    <row r="369" spans="1:18" x14ac:dyDescent="0.3">
      <c r="A369">
        <v>10</v>
      </c>
      <c r="B369">
        <v>10</v>
      </c>
      <c r="C369" t="s">
        <v>51</v>
      </c>
      <c r="D369">
        <v>4.79</v>
      </c>
      <c r="E369">
        <v>563.78</v>
      </c>
      <c r="F369" t="s">
        <v>397</v>
      </c>
      <c r="G369" s="31">
        <v>0.13</v>
      </c>
      <c r="L369">
        <v>21</v>
      </c>
      <c r="M369">
        <v>21</v>
      </c>
      <c r="N369" t="s">
        <v>58</v>
      </c>
      <c r="O369">
        <v>2.31</v>
      </c>
      <c r="P369">
        <v>525.76400000000001</v>
      </c>
      <c r="Q369" t="s">
        <v>531</v>
      </c>
      <c r="R369" s="31">
        <v>0.5</v>
      </c>
    </row>
    <row r="370" spans="1:18" x14ac:dyDescent="0.3">
      <c r="A370">
        <v>11</v>
      </c>
      <c r="B370">
        <v>11</v>
      </c>
      <c r="C370" t="s">
        <v>8</v>
      </c>
      <c r="D370">
        <v>2.74</v>
      </c>
      <c r="E370">
        <v>17255.912</v>
      </c>
      <c r="F370" t="s">
        <v>398</v>
      </c>
      <c r="G370" s="31">
        <v>1.1499999999999999</v>
      </c>
      <c r="L370">
        <v>22</v>
      </c>
      <c r="M370">
        <v>22</v>
      </c>
      <c r="N370" t="s">
        <v>59</v>
      </c>
      <c r="O370">
        <v>2.4900000000000002</v>
      </c>
      <c r="P370">
        <v>23779.357</v>
      </c>
      <c r="Q370" t="s">
        <v>532</v>
      </c>
      <c r="R370" s="31">
        <v>5.04</v>
      </c>
    </row>
    <row r="371" spans="1:18" x14ac:dyDescent="0.3">
      <c r="A371">
        <v>12</v>
      </c>
      <c r="B371">
        <v>12</v>
      </c>
      <c r="C371" t="s">
        <v>9</v>
      </c>
      <c r="D371">
        <v>2.63</v>
      </c>
      <c r="E371">
        <v>2020.5909999999999</v>
      </c>
      <c r="F371" t="s">
        <v>399</v>
      </c>
      <c r="G371" s="31">
        <v>1.05</v>
      </c>
      <c r="L371">
        <v>23</v>
      </c>
      <c r="M371">
        <v>23</v>
      </c>
      <c r="N371" t="s">
        <v>60</v>
      </c>
      <c r="O371">
        <v>2.58</v>
      </c>
      <c r="P371">
        <v>22612.934000000001</v>
      </c>
      <c r="Q371" t="s">
        <v>533</v>
      </c>
      <c r="R371" s="31">
        <v>2.41</v>
      </c>
    </row>
    <row r="372" spans="1:18" x14ac:dyDescent="0.3">
      <c r="A372">
        <v>13</v>
      </c>
      <c r="B372">
        <v>13</v>
      </c>
      <c r="C372" t="s">
        <v>10</v>
      </c>
      <c r="D372">
        <v>4.0999999999999996</v>
      </c>
      <c r="E372">
        <v>797048.31299999997</v>
      </c>
      <c r="F372" t="s">
        <v>400</v>
      </c>
      <c r="G372" s="31">
        <v>69.53</v>
      </c>
    </row>
    <row r="373" spans="1:18" x14ac:dyDescent="0.3">
      <c r="A373">
        <v>14</v>
      </c>
      <c r="B373">
        <v>14</v>
      </c>
      <c r="C373" t="s">
        <v>11</v>
      </c>
      <c r="D373">
        <v>3.52</v>
      </c>
      <c r="E373">
        <v>9.2759999999999998</v>
      </c>
      <c r="F373" t="s">
        <v>401</v>
      </c>
      <c r="G373" s="31">
        <v>1.66</v>
      </c>
      <c r="L373" t="s">
        <v>379</v>
      </c>
    </row>
    <row r="374" spans="1:18" x14ac:dyDescent="0.3">
      <c r="A374">
        <v>15</v>
      </c>
      <c r="B374">
        <v>15</v>
      </c>
      <c r="C374" t="s">
        <v>12</v>
      </c>
      <c r="D374">
        <v>3.34</v>
      </c>
      <c r="E374">
        <v>238.32499999999999</v>
      </c>
      <c r="F374" t="s">
        <v>402</v>
      </c>
      <c r="G374" s="31">
        <v>1.1599999999999999</v>
      </c>
    </row>
    <row r="375" spans="1:18" x14ac:dyDescent="0.3">
      <c r="A375">
        <v>16</v>
      </c>
      <c r="B375">
        <v>16</v>
      </c>
      <c r="C375" t="s">
        <v>13</v>
      </c>
      <c r="D375">
        <v>3.24</v>
      </c>
      <c r="E375">
        <v>5485.9570000000003</v>
      </c>
      <c r="F375" t="s">
        <v>403</v>
      </c>
      <c r="G375" s="31">
        <v>1.25</v>
      </c>
      <c r="L375" t="s">
        <v>509</v>
      </c>
    </row>
    <row r="376" spans="1:18" x14ac:dyDescent="0.3">
      <c r="A376">
        <v>17</v>
      </c>
      <c r="B376">
        <v>17</v>
      </c>
      <c r="C376" t="s">
        <v>14</v>
      </c>
      <c r="D376">
        <v>2</v>
      </c>
      <c r="E376">
        <v>2573.8209999999999</v>
      </c>
      <c r="F376" t="s">
        <v>404</v>
      </c>
      <c r="G376" s="31">
        <v>0.87</v>
      </c>
    </row>
    <row r="377" spans="1:18" x14ac:dyDescent="0.3">
      <c r="A377">
        <v>18</v>
      </c>
      <c r="B377">
        <v>18</v>
      </c>
      <c r="C377" t="s">
        <v>15</v>
      </c>
      <c r="D377">
        <v>2.4900000000000002</v>
      </c>
      <c r="E377">
        <v>15002.949000000001</v>
      </c>
      <c r="F377" t="s">
        <v>405</v>
      </c>
      <c r="G377" s="31">
        <v>8.61</v>
      </c>
      <c r="L377" t="s">
        <v>545</v>
      </c>
    </row>
    <row r="378" spans="1:18" x14ac:dyDescent="0.3">
      <c r="A378">
        <v>19</v>
      </c>
      <c r="B378">
        <v>19</v>
      </c>
      <c r="C378" t="s">
        <v>16</v>
      </c>
      <c r="D378">
        <v>2.71</v>
      </c>
      <c r="E378">
        <v>2777.3539999999998</v>
      </c>
      <c r="F378" t="s">
        <v>406</v>
      </c>
      <c r="G378" s="31">
        <v>0.2</v>
      </c>
    </row>
    <row r="379" spans="1:18" x14ac:dyDescent="0.3">
      <c r="A379">
        <v>20</v>
      </c>
      <c r="B379">
        <v>20</v>
      </c>
      <c r="C379" t="s">
        <v>17</v>
      </c>
      <c r="D379">
        <v>3.14</v>
      </c>
      <c r="E379">
        <v>14063.531999999999</v>
      </c>
      <c r="F379" t="s">
        <v>407</v>
      </c>
      <c r="G379" s="31">
        <v>2.96</v>
      </c>
      <c r="M379" t="s">
        <v>382</v>
      </c>
      <c r="N379" t="s">
        <v>383</v>
      </c>
      <c r="O379" t="s">
        <v>384</v>
      </c>
      <c r="P379" t="s">
        <v>385</v>
      </c>
      <c r="Q379" t="s">
        <v>386</v>
      </c>
      <c r="R379" s="31" t="s">
        <v>387</v>
      </c>
    </row>
    <row r="380" spans="1:18" x14ac:dyDescent="0.3">
      <c r="A380">
        <v>21</v>
      </c>
      <c r="B380">
        <v>21</v>
      </c>
      <c r="C380" t="s">
        <v>18</v>
      </c>
      <c r="D380">
        <v>3.69</v>
      </c>
      <c r="E380">
        <v>6111.1779999999999</v>
      </c>
      <c r="F380" t="s">
        <v>408</v>
      </c>
      <c r="G380" s="31">
        <v>0.3</v>
      </c>
      <c r="L380">
        <v>1</v>
      </c>
      <c r="M380">
        <v>1</v>
      </c>
      <c r="N380" t="s">
        <v>35</v>
      </c>
      <c r="O380">
        <v>1.3</v>
      </c>
      <c r="P380">
        <v>62.317999999999998</v>
      </c>
      <c r="Q380" t="s">
        <v>511</v>
      </c>
      <c r="R380" s="31">
        <v>82.01</v>
      </c>
    </row>
    <row r="381" spans="1:18" x14ac:dyDescent="0.3">
      <c r="A381">
        <v>22</v>
      </c>
      <c r="B381">
        <v>22</v>
      </c>
      <c r="C381" t="s">
        <v>19</v>
      </c>
      <c r="D381">
        <v>2.63</v>
      </c>
      <c r="E381">
        <v>15194.11</v>
      </c>
      <c r="F381" t="s">
        <v>409</v>
      </c>
      <c r="G381" s="31">
        <v>2.33</v>
      </c>
      <c r="L381">
        <v>2</v>
      </c>
      <c r="M381">
        <v>2</v>
      </c>
      <c r="N381" t="s">
        <v>36</v>
      </c>
      <c r="O381">
        <v>1.66</v>
      </c>
      <c r="P381">
        <v>9.0229999999999997</v>
      </c>
      <c r="Q381" t="s">
        <v>512</v>
      </c>
      <c r="R381" s="31">
        <v>427.71</v>
      </c>
    </row>
    <row r="382" spans="1:18" x14ac:dyDescent="0.3">
      <c r="A382">
        <v>23</v>
      </c>
      <c r="B382">
        <v>23</v>
      </c>
      <c r="C382" t="s">
        <v>20</v>
      </c>
      <c r="D382">
        <v>2.89</v>
      </c>
      <c r="E382">
        <v>15341.509</v>
      </c>
      <c r="F382" t="s">
        <v>410</v>
      </c>
      <c r="G382" s="31">
        <v>1.08</v>
      </c>
      <c r="L382">
        <v>3</v>
      </c>
      <c r="M382">
        <v>3</v>
      </c>
      <c r="N382" t="s">
        <v>37</v>
      </c>
      <c r="Q382" t="s">
        <v>513</v>
      </c>
      <c r="R382" s="31">
        <v>0.1</v>
      </c>
    </row>
    <row r="383" spans="1:18" x14ac:dyDescent="0.3">
      <c r="A383">
        <v>24</v>
      </c>
      <c r="B383">
        <v>24</v>
      </c>
      <c r="C383" t="s">
        <v>21</v>
      </c>
      <c r="D383">
        <v>4.1399999999999997</v>
      </c>
      <c r="E383">
        <v>192.279</v>
      </c>
      <c r="F383" t="s">
        <v>411</v>
      </c>
      <c r="G383" s="31">
        <v>0.1</v>
      </c>
      <c r="L383">
        <v>4</v>
      </c>
      <c r="M383">
        <v>4</v>
      </c>
      <c r="N383" t="s">
        <v>38</v>
      </c>
      <c r="O383">
        <v>1.1399999999999999</v>
      </c>
      <c r="P383">
        <v>71.462999999999994</v>
      </c>
      <c r="Q383" t="s">
        <v>514</v>
      </c>
      <c r="R383" s="31">
        <v>0.7</v>
      </c>
    </row>
    <row r="384" spans="1:18" x14ac:dyDescent="0.3">
      <c r="A384">
        <v>25</v>
      </c>
      <c r="B384">
        <v>25</v>
      </c>
      <c r="C384" t="s">
        <v>22</v>
      </c>
      <c r="D384">
        <v>3.42</v>
      </c>
      <c r="E384">
        <v>369.053</v>
      </c>
      <c r="F384" t="s">
        <v>412</v>
      </c>
      <c r="G384" s="31">
        <v>5.17</v>
      </c>
      <c r="L384">
        <v>5</v>
      </c>
      <c r="M384">
        <v>5</v>
      </c>
      <c r="N384" t="s">
        <v>39</v>
      </c>
      <c r="O384">
        <v>1.38</v>
      </c>
      <c r="P384">
        <v>109.646</v>
      </c>
      <c r="Q384" t="s">
        <v>515</v>
      </c>
      <c r="R384" s="31">
        <v>45.98</v>
      </c>
    </row>
    <row r="385" spans="1:18" x14ac:dyDescent="0.3">
      <c r="A385">
        <v>26</v>
      </c>
      <c r="B385">
        <v>26</v>
      </c>
      <c r="C385" t="s">
        <v>23</v>
      </c>
      <c r="D385">
        <v>3.36</v>
      </c>
      <c r="E385">
        <v>42277.18</v>
      </c>
      <c r="F385" t="s">
        <v>413</v>
      </c>
      <c r="G385" s="31">
        <v>4.49</v>
      </c>
      <c r="L385">
        <v>6</v>
      </c>
      <c r="M385">
        <v>6</v>
      </c>
      <c r="N385" t="s">
        <v>40</v>
      </c>
      <c r="Q385" t="s">
        <v>516</v>
      </c>
      <c r="R385" s="31">
        <v>0.1</v>
      </c>
    </row>
    <row r="386" spans="1:18" x14ac:dyDescent="0.3">
      <c r="A386">
        <v>27</v>
      </c>
      <c r="B386">
        <v>27</v>
      </c>
      <c r="C386" t="s">
        <v>24</v>
      </c>
      <c r="D386">
        <v>3.4</v>
      </c>
      <c r="E386">
        <v>130.76300000000001</v>
      </c>
      <c r="F386" t="s">
        <v>414</v>
      </c>
      <c r="G386" s="31">
        <v>0.1</v>
      </c>
      <c r="L386">
        <v>7</v>
      </c>
      <c r="M386">
        <v>7</v>
      </c>
      <c r="N386" t="s">
        <v>41</v>
      </c>
      <c r="Q386" t="s">
        <v>517</v>
      </c>
      <c r="R386" s="31">
        <v>0.1</v>
      </c>
    </row>
    <row r="387" spans="1:18" x14ac:dyDescent="0.3">
      <c r="A387">
        <v>28</v>
      </c>
      <c r="B387">
        <v>28</v>
      </c>
      <c r="C387" t="s">
        <v>25</v>
      </c>
      <c r="D387">
        <v>3.51</v>
      </c>
      <c r="E387">
        <v>780.87300000000005</v>
      </c>
      <c r="F387" t="s">
        <v>415</v>
      </c>
      <c r="G387" s="31">
        <v>0.38</v>
      </c>
      <c r="L387">
        <v>8</v>
      </c>
      <c r="M387">
        <v>8</v>
      </c>
      <c r="N387" t="s">
        <v>42</v>
      </c>
      <c r="Q387" t="s">
        <v>518</v>
      </c>
      <c r="R387" s="31">
        <v>0.1</v>
      </c>
    </row>
    <row r="388" spans="1:18" x14ac:dyDescent="0.3">
      <c r="A388">
        <v>29</v>
      </c>
      <c r="B388">
        <v>29</v>
      </c>
      <c r="C388" t="s">
        <v>26</v>
      </c>
      <c r="D388">
        <v>1.06</v>
      </c>
      <c r="E388">
        <v>545.91600000000005</v>
      </c>
      <c r="F388" t="s">
        <v>416</v>
      </c>
      <c r="G388" s="31">
        <v>0.95</v>
      </c>
      <c r="L388">
        <v>9</v>
      </c>
      <c r="M388">
        <v>9</v>
      </c>
      <c r="N388" t="s">
        <v>43</v>
      </c>
      <c r="O388">
        <v>2.5299999999999998</v>
      </c>
      <c r="P388">
        <v>6.2489999999999997</v>
      </c>
      <c r="Q388" t="s">
        <v>519</v>
      </c>
      <c r="R388" s="31">
        <v>0.11</v>
      </c>
    </row>
    <row r="389" spans="1:18" x14ac:dyDescent="0.3">
      <c r="A389">
        <v>30</v>
      </c>
      <c r="B389">
        <v>30</v>
      </c>
      <c r="C389" t="s">
        <v>27</v>
      </c>
      <c r="D389">
        <v>4.2699999999999996</v>
      </c>
      <c r="E389">
        <v>1228.768</v>
      </c>
      <c r="F389" t="s">
        <v>417</v>
      </c>
      <c r="G389" s="31">
        <v>0.11</v>
      </c>
      <c r="L389">
        <v>10</v>
      </c>
      <c r="M389">
        <v>10</v>
      </c>
      <c r="N389" t="s">
        <v>52</v>
      </c>
      <c r="O389">
        <v>4.1100000000000003</v>
      </c>
      <c r="P389">
        <v>39.049999999999997</v>
      </c>
      <c r="Q389" t="s">
        <v>520</v>
      </c>
      <c r="R389" s="31">
        <v>0.1</v>
      </c>
    </row>
    <row r="390" spans="1:18" x14ac:dyDescent="0.3">
      <c r="A390">
        <v>31</v>
      </c>
      <c r="B390">
        <v>31</v>
      </c>
      <c r="C390" t="s">
        <v>28</v>
      </c>
      <c r="D390">
        <v>3</v>
      </c>
      <c r="E390">
        <v>87814.406000000003</v>
      </c>
      <c r="F390" t="s">
        <v>418</v>
      </c>
      <c r="G390" s="31">
        <v>0.47</v>
      </c>
      <c r="L390">
        <v>11</v>
      </c>
      <c r="M390">
        <v>11</v>
      </c>
      <c r="N390" t="s">
        <v>44</v>
      </c>
      <c r="Q390" t="s">
        <v>521</v>
      </c>
      <c r="R390" s="31">
        <v>0.1</v>
      </c>
    </row>
    <row r="391" spans="1:18" x14ac:dyDescent="0.3">
      <c r="A391">
        <v>32</v>
      </c>
      <c r="B391">
        <v>32</v>
      </c>
      <c r="C391" t="s">
        <v>29</v>
      </c>
      <c r="D391">
        <v>3.35</v>
      </c>
      <c r="E391">
        <v>471.49</v>
      </c>
      <c r="F391" t="s">
        <v>419</v>
      </c>
      <c r="G391" s="31">
        <v>0.11</v>
      </c>
      <c r="L391">
        <v>12</v>
      </c>
      <c r="M391">
        <v>12</v>
      </c>
      <c r="N391" t="s">
        <v>45</v>
      </c>
      <c r="O391">
        <v>3.5</v>
      </c>
      <c r="P391">
        <v>43.107999999999997</v>
      </c>
      <c r="Q391" t="s">
        <v>522</v>
      </c>
      <c r="R391" s="31">
        <v>0.1</v>
      </c>
    </row>
    <row r="392" spans="1:18" x14ac:dyDescent="0.3">
      <c r="A392">
        <v>33</v>
      </c>
      <c r="B392">
        <v>33</v>
      </c>
      <c r="C392" t="s">
        <v>30</v>
      </c>
      <c r="D392">
        <v>4.68</v>
      </c>
      <c r="E392">
        <v>20392.118999999999</v>
      </c>
      <c r="F392" t="s">
        <v>420</v>
      </c>
      <c r="G392" s="31">
        <v>0.85</v>
      </c>
      <c r="L392">
        <v>13</v>
      </c>
      <c r="M392">
        <v>13</v>
      </c>
      <c r="N392" t="s">
        <v>46</v>
      </c>
      <c r="O392">
        <v>2.56</v>
      </c>
      <c r="P392">
        <v>1671.7840000000001</v>
      </c>
      <c r="Q392" t="s">
        <v>523</v>
      </c>
      <c r="R392" s="31">
        <v>0.1</v>
      </c>
    </row>
    <row r="393" spans="1:18" x14ac:dyDescent="0.3">
      <c r="A393">
        <v>34</v>
      </c>
      <c r="B393">
        <v>34</v>
      </c>
      <c r="C393" t="s">
        <v>31</v>
      </c>
      <c r="D393">
        <v>3.51</v>
      </c>
      <c r="E393">
        <v>609.08399999999995</v>
      </c>
      <c r="F393" t="s">
        <v>421</v>
      </c>
      <c r="G393" s="31">
        <v>7.0000000000000007E-2</v>
      </c>
      <c r="L393">
        <v>14</v>
      </c>
      <c r="M393">
        <v>14</v>
      </c>
      <c r="N393" t="s">
        <v>47</v>
      </c>
      <c r="Q393" t="s">
        <v>524</v>
      </c>
      <c r="R393" s="31">
        <v>0.1</v>
      </c>
    </row>
    <row r="394" spans="1:18" x14ac:dyDescent="0.3">
      <c r="A394">
        <v>35</v>
      </c>
      <c r="B394">
        <v>35</v>
      </c>
      <c r="C394" t="s">
        <v>32</v>
      </c>
      <c r="D394">
        <v>3.06</v>
      </c>
      <c r="E394">
        <v>43.116</v>
      </c>
      <c r="F394" t="s">
        <v>422</v>
      </c>
      <c r="G394" s="31">
        <v>0.1</v>
      </c>
      <c r="L394">
        <v>15</v>
      </c>
      <c r="M394">
        <v>15</v>
      </c>
      <c r="N394" t="s">
        <v>48</v>
      </c>
      <c r="O394">
        <v>1.27</v>
      </c>
      <c r="P394">
        <v>87.131</v>
      </c>
      <c r="Q394" t="s">
        <v>525</v>
      </c>
      <c r="R394" s="31">
        <v>0.1</v>
      </c>
    </row>
    <row r="395" spans="1:18" x14ac:dyDescent="0.3">
      <c r="A395">
        <v>36</v>
      </c>
      <c r="B395">
        <v>36</v>
      </c>
      <c r="C395" t="s">
        <v>33</v>
      </c>
      <c r="D395">
        <v>1.88</v>
      </c>
      <c r="E395">
        <v>286.56</v>
      </c>
      <c r="F395" t="s">
        <v>423</v>
      </c>
      <c r="G395" s="31">
        <v>0.21</v>
      </c>
      <c r="L395">
        <v>16</v>
      </c>
      <c r="M395">
        <v>16</v>
      </c>
      <c r="N395" t="s">
        <v>53</v>
      </c>
      <c r="O395">
        <v>4.6100000000000003</v>
      </c>
      <c r="P395">
        <v>271.97800000000001</v>
      </c>
      <c r="Q395" t="s">
        <v>526</v>
      </c>
      <c r="R395" s="31">
        <v>0.1</v>
      </c>
    </row>
    <row r="396" spans="1:18" x14ac:dyDescent="0.3">
      <c r="G396" s="31">
        <f>G373/G375</f>
        <v>1.3279999999999998</v>
      </c>
      <c r="L396">
        <v>17</v>
      </c>
      <c r="M396">
        <v>17</v>
      </c>
      <c r="N396" t="s">
        <v>54</v>
      </c>
      <c r="O396">
        <v>5.23</v>
      </c>
      <c r="P396">
        <v>54.231999999999999</v>
      </c>
      <c r="Q396" t="s">
        <v>527</v>
      </c>
      <c r="R396" s="31">
        <v>0.1</v>
      </c>
    </row>
    <row r="397" spans="1:18" x14ac:dyDescent="0.3">
      <c r="A397" t="s">
        <v>379</v>
      </c>
      <c r="L397">
        <v>18</v>
      </c>
      <c r="M397">
        <v>18</v>
      </c>
      <c r="N397" t="s">
        <v>55</v>
      </c>
      <c r="Q397" t="s">
        <v>528</v>
      </c>
      <c r="R397" s="31">
        <v>0.1</v>
      </c>
    </row>
    <row r="398" spans="1:18" x14ac:dyDescent="0.3">
      <c r="L398">
        <v>19</v>
      </c>
      <c r="M398">
        <v>19</v>
      </c>
      <c r="N398" t="s">
        <v>56</v>
      </c>
      <c r="O398">
        <v>1.01</v>
      </c>
      <c r="P398">
        <v>74.247</v>
      </c>
      <c r="Q398" t="s">
        <v>529</v>
      </c>
      <c r="R398" s="31">
        <v>0.1</v>
      </c>
    </row>
    <row r="399" spans="1:18" x14ac:dyDescent="0.3">
      <c r="A399" t="s">
        <v>380</v>
      </c>
      <c r="L399">
        <v>20</v>
      </c>
      <c r="M399">
        <v>20</v>
      </c>
      <c r="N399" t="s">
        <v>57</v>
      </c>
      <c r="Q399" t="s">
        <v>530</v>
      </c>
      <c r="R399" s="31">
        <v>0.1</v>
      </c>
    </row>
    <row r="400" spans="1:18" x14ac:dyDescent="0.3">
      <c r="L400">
        <v>21</v>
      </c>
      <c r="M400">
        <v>21</v>
      </c>
      <c r="N400" t="s">
        <v>58</v>
      </c>
      <c r="Q400" t="s">
        <v>531</v>
      </c>
      <c r="R400" s="31">
        <v>0.1</v>
      </c>
    </row>
    <row r="401" spans="1:18" x14ac:dyDescent="0.3">
      <c r="A401" t="s">
        <v>432</v>
      </c>
      <c r="L401">
        <v>22</v>
      </c>
      <c r="M401">
        <v>22</v>
      </c>
      <c r="N401" t="s">
        <v>59</v>
      </c>
      <c r="Q401" t="s">
        <v>532</v>
      </c>
      <c r="R401" s="31">
        <v>0.1</v>
      </c>
    </row>
    <row r="402" spans="1:18" x14ac:dyDescent="0.3">
      <c r="L402">
        <v>23</v>
      </c>
      <c r="M402">
        <v>23</v>
      </c>
      <c r="N402" t="s">
        <v>60</v>
      </c>
      <c r="O402">
        <v>2.59</v>
      </c>
      <c r="P402">
        <v>26.707000000000001</v>
      </c>
      <c r="Q402" t="s">
        <v>533</v>
      </c>
      <c r="R402" s="31">
        <v>2.0099999999999998</v>
      </c>
    </row>
    <row r="403" spans="1:18" x14ac:dyDescent="0.3">
      <c r="B403" t="s">
        <v>382</v>
      </c>
      <c r="C403" t="s">
        <v>383</v>
      </c>
      <c r="D403" t="s">
        <v>384</v>
      </c>
      <c r="E403" t="s">
        <v>385</v>
      </c>
      <c r="F403" t="s">
        <v>386</v>
      </c>
      <c r="G403" s="31" t="s">
        <v>387</v>
      </c>
    </row>
    <row r="404" spans="1:18" x14ac:dyDescent="0.3">
      <c r="A404">
        <v>1</v>
      </c>
      <c r="B404">
        <v>1</v>
      </c>
      <c r="C404" t="s">
        <v>0</v>
      </c>
      <c r="D404">
        <v>1</v>
      </c>
      <c r="E404">
        <v>2188.06</v>
      </c>
      <c r="F404" t="s">
        <v>388</v>
      </c>
      <c r="G404" s="31">
        <v>16.600000000000001</v>
      </c>
      <c r="L404" t="s">
        <v>379</v>
      </c>
    </row>
    <row r="405" spans="1:18" x14ac:dyDescent="0.3">
      <c r="A405">
        <v>2</v>
      </c>
      <c r="B405">
        <v>2</v>
      </c>
      <c r="C405" t="s">
        <v>1</v>
      </c>
      <c r="D405">
        <v>1.44</v>
      </c>
      <c r="E405">
        <v>1405.5530000000001</v>
      </c>
      <c r="F405" t="s">
        <v>389</v>
      </c>
      <c r="G405" s="31">
        <v>2.44</v>
      </c>
    </row>
    <row r="406" spans="1:18" x14ac:dyDescent="0.3">
      <c r="A406">
        <v>3</v>
      </c>
      <c r="B406">
        <v>3</v>
      </c>
      <c r="C406" t="s">
        <v>50</v>
      </c>
      <c r="D406">
        <v>3.52</v>
      </c>
      <c r="E406">
        <v>336.70699999999999</v>
      </c>
      <c r="F406" t="s">
        <v>390</v>
      </c>
      <c r="G406" s="31">
        <v>0.23</v>
      </c>
      <c r="L406" t="s">
        <v>509</v>
      </c>
    </row>
    <row r="407" spans="1:18" x14ac:dyDescent="0.3">
      <c r="A407">
        <v>4</v>
      </c>
      <c r="B407">
        <v>4</v>
      </c>
      <c r="C407" t="s">
        <v>2</v>
      </c>
      <c r="D407">
        <v>3.69</v>
      </c>
      <c r="E407">
        <v>13002.689</v>
      </c>
      <c r="F407" t="s">
        <v>391</v>
      </c>
      <c r="G407" s="31">
        <v>0.82</v>
      </c>
    </row>
    <row r="408" spans="1:18" x14ac:dyDescent="0.3">
      <c r="A408">
        <v>5</v>
      </c>
      <c r="B408">
        <v>5</v>
      </c>
      <c r="C408" t="s">
        <v>3</v>
      </c>
      <c r="D408">
        <v>4.49</v>
      </c>
      <c r="E408">
        <v>282.20800000000003</v>
      </c>
      <c r="F408" t="s">
        <v>392</v>
      </c>
      <c r="G408" s="31">
        <v>0.21</v>
      </c>
      <c r="L408" t="s">
        <v>546</v>
      </c>
    </row>
    <row r="409" spans="1:18" x14ac:dyDescent="0.3">
      <c r="A409">
        <v>6</v>
      </c>
      <c r="B409">
        <v>6</v>
      </c>
      <c r="C409" t="s">
        <v>4</v>
      </c>
      <c r="D409">
        <v>4.8</v>
      </c>
      <c r="E409">
        <v>19598.648000000001</v>
      </c>
      <c r="F409" t="s">
        <v>393</v>
      </c>
      <c r="G409" s="31">
        <v>1.04</v>
      </c>
    </row>
    <row r="410" spans="1:18" x14ac:dyDescent="0.3">
      <c r="A410">
        <v>7</v>
      </c>
      <c r="B410">
        <v>7</v>
      </c>
      <c r="C410" t="s">
        <v>5</v>
      </c>
      <c r="D410">
        <v>2.71</v>
      </c>
      <c r="E410">
        <v>316.37900000000002</v>
      </c>
      <c r="F410" t="s">
        <v>394</v>
      </c>
      <c r="G410" s="31">
        <v>0.05</v>
      </c>
      <c r="M410" t="s">
        <v>382</v>
      </c>
      <c r="N410" t="s">
        <v>383</v>
      </c>
      <c r="O410" t="s">
        <v>384</v>
      </c>
      <c r="P410" t="s">
        <v>385</v>
      </c>
      <c r="Q410" t="s">
        <v>386</v>
      </c>
      <c r="R410" s="31" t="s">
        <v>387</v>
      </c>
    </row>
    <row r="411" spans="1:18" x14ac:dyDescent="0.3">
      <c r="A411">
        <v>8</v>
      </c>
      <c r="B411">
        <v>8</v>
      </c>
      <c r="C411" t="s">
        <v>6</v>
      </c>
      <c r="D411">
        <v>0.66</v>
      </c>
      <c r="E411">
        <v>1080.8009999999999</v>
      </c>
      <c r="F411" t="s">
        <v>395</v>
      </c>
      <c r="G411" s="31">
        <v>13.4</v>
      </c>
      <c r="L411">
        <v>1</v>
      </c>
      <c r="M411">
        <v>1</v>
      </c>
      <c r="N411" t="s">
        <v>35</v>
      </c>
      <c r="O411">
        <v>1.44</v>
      </c>
      <c r="P411">
        <v>172.03100000000001</v>
      </c>
      <c r="Q411" t="s">
        <v>511</v>
      </c>
      <c r="R411" s="31">
        <v>10.67</v>
      </c>
    </row>
    <row r="412" spans="1:18" x14ac:dyDescent="0.3">
      <c r="A412">
        <v>9</v>
      </c>
      <c r="B412">
        <v>9</v>
      </c>
      <c r="C412" t="s">
        <v>7</v>
      </c>
      <c r="D412">
        <v>3.56</v>
      </c>
      <c r="E412">
        <v>289.35700000000003</v>
      </c>
      <c r="F412" t="s">
        <v>396</v>
      </c>
      <c r="G412" s="31">
        <v>0.81</v>
      </c>
      <c r="L412">
        <v>2</v>
      </c>
      <c r="M412">
        <v>2</v>
      </c>
      <c r="N412" t="s">
        <v>36</v>
      </c>
      <c r="O412">
        <v>1.67</v>
      </c>
      <c r="P412">
        <v>1520429.375</v>
      </c>
      <c r="Q412" t="s">
        <v>512</v>
      </c>
      <c r="R412" s="31">
        <v>264.97000000000003</v>
      </c>
    </row>
    <row r="413" spans="1:18" x14ac:dyDescent="0.3">
      <c r="A413">
        <v>10</v>
      </c>
      <c r="B413">
        <v>10</v>
      </c>
      <c r="C413" t="s">
        <v>51</v>
      </c>
      <c r="D413">
        <v>4.7</v>
      </c>
      <c r="E413">
        <v>827.08799999999997</v>
      </c>
      <c r="F413" t="s">
        <v>397</v>
      </c>
      <c r="G413" s="31">
        <v>0.16</v>
      </c>
      <c r="L413">
        <v>3</v>
      </c>
      <c r="M413">
        <v>3</v>
      </c>
      <c r="N413" t="s">
        <v>37</v>
      </c>
      <c r="O413">
        <v>1.81</v>
      </c>
      <c r="P413">
        <v>347.85599999999999</v>
      </c>
      <c r="Q413" t="s">
        <v>513</v>
      </c>
      <c r="R413" s="31">
        <v>0.17</v>
      </c>
    </row>
    <row r="414" spans="1:18" x14ac:dyDescent="0.3">
      <c r="A414">
        <v>11</v>
      </c>
      <c r="B414">
        <v>11</v>
      </c>
      <c r="C414" t="s">
        <v>8</v>
      </c>
      <c r="D414">
        <v>2.73</v>
      </c>
      <c r="E414">
        <v>34932.891000000003</v>
      </c>
      <c r="F414" t="s">
        <v>398</v>
      </c>
      <c r="G414" s="31">
        <v>1.82</v>
      </c>
      <c r="L414">
        <v>4</v>
      </c>
      <c r="M414">
        <v>4</v>
      </c>
      <c r="N414" t="s">
        <v>38</v>
      </c>
      <c r="O414">
        <v>1.17</v>
      </c>
      <c r="P414">
        <v>1350.3679999999999</v>
      </c>
      <c r="Q414" t="s">
        <v>514</v>
      </c>
      <c r="R414" s="31">
        <v>0.33</v>
      </c>
    </row>
    <row r="415" spans="1:18" x14ac:dyDescent="0.3">
      <c r="A415">
        <v>12</v>
      </c>
      <c r="B415">
        <v>12</v>
      </c>
      <c r="C415" t="s">
        <v>9</v>
      </c>
      <c r="D415">
        <v>2.62</v>
      </c>
      <c r="E415">
        <v>2206.4169999999999</v>
      </c>
      <c r="F415" t="s">
        <v>399</v>
      </c>
      <c r="G415" s="31">
        <v>0.97</v>
      </c>
      <c r="L415">
        <v>5</v>
      </c>
      <c r="M415">
        <v>5</v>
      </c>
      <c r="N415" t="s">
        <v>39</v>
      </c>
      <c r="O415">
        <v>1.38</v>
      </c>
      <c r="P415">
        <v>100837.69500000001</v>
      </c>
      <c r="Q415" t="s">
        <v>515</v>
      </c>
      <c r="R415" s="31">
        <v>27.71</v>
      </c>
    </row>
    <row r="416" spans="1:18" x14ac:dyDescent="0.3">
      <c r="A416">
        <v>13</v>
      </c>
      <c r="B416">
        <v>13</v>
      </c>
      <c r="C416" t="s">
        <v>10</v>
      </c>
      <c r="D416">
        <v>4.09</v>
      </c>
      <c r="E416">
        <v>500934.81300000002</v>
      </c>
      <c r="F416" t="s">
        <v>400</v>
      </c>
      <c r="G416" s="31">
        <v>33.700000000000003</v>
      </c>
      <c r="L416">
        <v>6</v>
      </c>
      <c r="M416">
        <v>6</v>
      </c>
      <c r="N416" t="s">
        <v>40</v>
      </c>
      <c r="O416">
        <v>1.53</v>
      </c>
      <c r="P416">
        <v>6111.6379999999999</v>
      </c>
      <c r="Q416" t="s">
        <v>516</v>
      </c>
      <c r="R416" s="31">
        <v>0.86</v>
      </c>
    </row>
    <row r="417" spans="1:18" x14ac:dyDescent="0.3">
      <c r="A417">
        <v>14</v>
      </c>
      <c r="B417">
        <v>14</v>
      </c>
      <c r="C417" t="s">
        <v>11</v>
      </c>
      <c r="D417">
        <v>3.53</v>
      </c>
      <c r="E417">
        <v>34.847999999999999</v>
      </c>
      <c r="F417" t="s">
        <v>401</v>
      </c>
      <c r="G417" s="31">
        <v>2.56</v>
      </c>
      <c r="L417">
        <v>7</v>
      </c>
      <c r="M417">
        <v>7</v>
      </c>
      <c r="N417" t="s">
        <v>41</v>
      </c>
      <c r="O417">
        <v>2.27</v>
      </c>
      <c r="P417">
        <v>678.88800000000003</v>
      </c>
      <c r="Q417" t="s">
        <v>517</v>
      </c>
      <c r="R417" s="31">
        <v>0.99</v>
      </c>
    </row>
    <row r="418" spans="1:18" x14ac:dyDescent="0.3">
      <c r="A418">
        <v>15</v>
      </c>
      <c r="B418">
        <v>15</v>
      </c>
      <c r="C418" t="s">
        <v>12</v>
      </c>
      <c r="D418">
        <v>3.34</v>
      </c>
      <c r="E418">
        <v>152.89699999999999</v>
      </c>
      <c r="F418" t="s">
        <v>402</v>
      </c>
      <c r="G418" s="31">
        <v>0.66</v>
      </c>
      <c r="L418">
        <v>8</v>
      </c>
      <c r="M418">
        <v>8</v>
      </c>
      <c r="N418" t="s">
        <v>42</v>
      </c>
      <c r="O418">
        <v>0.88</v>
      </c>
      <c r="P418">
        <v>211.98099999999999</v>
      </c>
      <c r="Q418" t="s">
        <v>518</v>
      </c>
      <c r="R418" s="31">
        <v>23.82</v>
      </c>
    </row>
    <row r="419" spans="1:18" x14ac:dyDescent="0.3">
      <c r="A419">
        <v>16</v>
      </c>
      <c r="B419">
        <v>16</v>
      </c>
      <c r="C419" t="s">
        <v>13</v>
      </c>
      <c r="D419">
        <v>3.23</v>
      </c>
      <c r="E419">
        <v>4563.1440000000002</v>
      </c>
      <c r="F419" t="s">
        <v>403</v>
      </c>
      <c r="G419" s="31">
        <v>0.95</v>
      </c>
      <c r="L419">
        <v>9</v>
      </c>
      <c r="M419">
        <v>9</v>
      </c>
      <c r="N419" t="s">
        <v>43</v>
      </c>
      <c r="O419">
        <v>2.54</v>
      </c>
      <c r="P419">
        <v>4901.8029999999999</v>
      </c>
      <c r="Q419" t="s">
        <v>519</v>
      </c>
      <c r="R419" s="31">
        <v>0.1</v>
      </c>
    </row>
    <row r="420" spans="1:18" x14ac:dyDescent="0.3">
      <c r="A420">
        <v>17</v>
      </c>
      <c r="B420">
        <v>17</v>
      </c>
      <c r="C420" t="s">
        <v>14</v>
      </c>
      <c r="D420">
        <v>1.97</v>
      </c>
      <c r="E420">
        <v>8246.1929999999993</v>
      </c>
      <c r="F420" t="s">
        <v>404</v>
      </c>
      <c r="G420" s="31">
        <v>1.54</v>
      </c>
      <c r="L420">
        <v>10</v>
      </c>
      <c r="M420">
        <v>10</v>
      </c>
      <c r="N420" t="s">
        <v>52</v>
      </c>
      <c r="O420">
        <v>4.1399999999999997</v>
      </c>
      <c r="P420">
        <v>3869.8870000000002</v>
      </c>
      <c r="Q420" t="s">
        <v>520</v>
      </c>
      <c r="R420" s="31">
        <v>0.1</v>
      </c>
    </row>
    <row r="421" spans="1:18" x14ac:dyDescent="0.3">
      <c r="A421">
        <v>18</v>
      </c>
      <c r="B421">
        <v>18</v>
      </c>
      <c r="C421" t="s">
        <v>15</v>
      </c>
      <c r="D421">
        <v>2.48</v>
      </c>
      <c r="E421">
        <v>16847.824000000001</v>
      </c>
      <c r="F421" t="s">
        <v>405</v>
      </c>
      <c r="G421" s="31">
        <v>8.2899999999999991</v>
      </c>
      <c r="L421">
        <v>11</v>
      </c>
      <c r="M421">
        <v>11</v>
      </c>
      <c r="N421" t="s">
        <v>44</v>
      </c>
      <c r="O421">
        <v>4.18</v>
      </c>
      <c r="P421">
        <v>994.82899999999995</v>
      </c>
      <c r="Q421" t="s">
        <v>521</v>
      </c>
      <c r="R421" s="31">
        <v>0.28000000000000003</v>
      </c>
    </row>
    <row r="422" spans="1:18" x14ac:dyDescent="0.3">
      <c r="A422">
        <v>19</v>
      </c>
      <c r="B422">
        <v>19</v>
      </c>
      <c r="C422" t="s">
        <v>16</v>
      </c>
      <c r="D422">
        <v>2.71</v>
      </c>
      <c r="E422">
        <v>2619.3270000000002</v>
      </c>
      <c r="F422" t="s">
        <v>406</v>
      </c>
      <c r="G422" s="31">
        <v>0.17</v>
      </c>
      <c r="L422">
        <v>12</v>
      </c>
      <c r="M422">
        <v>12</v>
      </c>
      <c r="N422" t="s">
        <v>45</v>
      </c>
      <c r="O422">
        <v>3.45</v>
      </c>
      <c r="P422">
        <v>574984.375</v>
      </c>
      <c r="Q422" t="s">
        <v>522</v>
      </c>
      <c r="R422" s="31">
        <v>11.6</v>
      </c>
    </row>
    <row r="423" spans="1:18" x14ac:dyDescent="0.3">
      <c r="A423">
        <v>20</v>
      </c>
      <c r="B423">
        <v>20</v>
      </c>
      <c r="C423" t="s">
        <v>17</v>
      </c>
      <c r="D423">
        <v>3.13</v>
      </c>
      <c r="E423">
        <v>6436.3530000000001</v>
      </c>
      <c r="F423" t="s">
        <v>407</v>
      </c>
      <c r="G423" s="31">
        <v>1.1499999999999999</v>
      </c>
      <c r="L423">
        <v>13</v>
      </c>
      <c r="M423">
        <v>13</v>
      </c>
      <c r="N423" t="s">
        <v>46</v>
      </c>
      <c r="O423">
        <v>2.65</v>
      </c>
      <c r="P423">
        <v>92535.437999999995</v>
      </c>
      <c r="Q423" t="s">
        <v>523</v>
      </c>
      <c r="R423" s="31">
        <v>5.2</v>
      </c>
    </row>
    <row r="424" spans="1:18" x14ac:dyDescent="0.3">
      <c r="A424">
        <v>21</v>
      </c>
      <c r="B424">
        <v>21</v>
      </c>
      <c r="C424" t="s">
        <v>18</v>
      </c>
      <c r="D424">
        <v>3.68</v>
      </c>
      <c r="E424">
        <v>13891.828</v>
      </c>
      <c r="F424" t="s">
        <v>408</v>
      </c>
      <c r="G424" s="31">
        <v>0.6</v>
      </c>
      <c r="L424">
        <v>14</v>
      </c>
      <c r="M424">
        <v>14</v>
      </c>
      <c r="N424" t="s">
        <v>47</v>
      </c>
      <c r="O424">
        <v>0.67</v>
      </c>
      <c r="P424">
        <v>26325.982</v>
      </c>
      <c r="Q424" t="s">
        <v>524</v>
      </c>
      <c r="R424" s="31">
        <v>16.22</v>
      </c>
    </row>
    <row r="425" spans="1:18" x14ac:dyDescent="0.3">
      <c r="A425">
        <v>22</v>
      </c>
      <c r="B425">
        <v>22</v>
      </c>
      <c r="C425" t="s">
        <v>19</v>
      </c>
      <c r="D425">
        <v>2.62</v>
      </c>
      <c r="E425">
        <v>16736.067999999999</v>
      </c>
      <c r="F425" t="s">
        <v>409</v>
      </c>
      <c r="G425" s="31">
        <v>2.17</v>
      </c>
      <c r="L425">
        <v>15</v>
      </c>
      <c r="M425">
        <v>15</v>
      </c>
      <c r="N425" t="s">
        <v>48</v>
      </c>
      <c r="O425">
        <v>1.22</v>
      </c>
      <c r="P425">
        <v>9697.3230000000003</v>
      </c>
      <c r="Q425" t="s">
        <v>525</v>
      </c>
      <c r="R425" s="31">
        <v>1.58</v>
      </c>
    </row>
    <row r="426" spans="1:18" x14ac:dyDescent="0.3">
      <c r="A426">
        <v>23</v>
      </c>
      <c r="B426">
        <v>23</v>
      </c>
      <c r="C426" t="s">
        <v>20</v>
      </c>
      <c r="D426">
        <v>2.89</v>
      </c>
      <c r="E426">
        <v>22668.601999999999</v>
      </c>
      <c r="F426" t="s">
        <v>410</v>
      </c>
      <c r="G426" s="31">
        <v>1.35</v>
      </c>
      <c r="L426">
        <v>16</v>
      </c>
      <c r="M426">
        <v>16</v>
      </c>
      <c r="N426" t="s">
        <v>53</v>
      </c>
      <c r="O426">
        <v>4.5599999999999996</v>
      </c>
      <c r="P426">
        <v>18454.901999999998</v>
      </c>
      <c r="Q426" t="s">
        <v>526</v>
      </c>
      <c r="R426" s="31">
        <v>0.3</v>
      </c>
    </row>
    <row r="427" spans="1:18" x14ac:dyDescent="0.3">
      <c r="A427">
        <v>24</v>
      </c>
      <c r="B427">
        <v>24</v>
      </c>
      <c r="C427" t="s">
        <v>21</v>
      </c>
      <c r="D427">
        <v>4.13</v>
      </c>
      <c r="E427">
        <v>113.73399999999999</v>
      </c>
      <c r="F427" t="s">
        <v>411</v>
      </c>
      <c r="G427" s="31">
        <v>0.1</v>
      </c>
      <c r="L427">
        <v>17</v>
      </c>
      <c r="M427">
        <v>17</v>
      </c>
      <c r="N427" t="s">
        <v>54</v>
      </c>
      <c r="O427">
        <v>5.18</v>
      </c>
      <c r="P427">
        <v>2844.57</v>
      </c>
      <c r="Q427" t="s">
        <v>527</v>
      </c>
      <c r="R427" s="31">
        <v>7.0000000000000007E-2</v>
      </c>
    </row>
    <row r="428" spans="1:18" x14ac:dyDescent="0.3">
      <c r="A428">
        <v>25</v>
      </c>
      <c r="B428">
        <v>25</v>
      </c>
      <c r="C428" t="s">
        <v>22</v>
      </c>
      <c r="D428">
        <v>3.42</v>
      </c>
      <c r="E428">
        <v>255.29300000000001</v>
      </c>
      <c r="F428" t="s">
        <v>412</v>
      </c>
      <c r="G428" s="31">
        <v>3.92</v>
      </c>
      <c r="L428">
        <v>18</v>
      </c>
      <c r="M428">
        <v>18</v>
      </c>
      <c r="N428" t="s">
        <v>55</v>
      </c>
      <c r="O428">
        <v>1.31</v>
      </c>
      <c r="P428">
        <v>1131.5350000000001</v>
      </c>
      <c r="Q428" t="s">
        <v>528</v>
      </c>
      <c r="R428" s="31">
        <v>0.05</v>
      </c>
    </row>
    <row r="429" spans="1:18" x14ac:dyDescent="0.3">
      <c r="A429">
        <v>26</v>
      </c>
      <c r="B429">
        <v>26</v>
      </c>
      <c r="C429" t="s">
        <v>23</v>
      </c>
      <c r="D429">
        <v>3.36</v>
      </c>
      <c r="E429">
        <v>58784.641000000003</v>
      </c>
      <c r="F429" t="s">
        <v>413</v>
      </c>
      <c r="G429" s="31">
        <v>5.36</v>
      </c>
      <c r="L429">
        <v>19</v>
      </c>
      <c r="M429">
        <v>19</v>
      </c>
      <c r="N429" t="s">
        <v>56</v>
      </c>
      <c r="O429">
        <v>0.87</v>
      </c>
      <c r="P429">
        <v>14485.526</v>
      </c>
      <c r="Q429" t="s">
        <v>529</v>
      </c>
      <c r="R429" s="31">
        <v>0.55000000000000004</v>
      </c>
    </row>
    <row r="430" spans="1:18" x14ac:dyDescent="0.3">
      <c r="A430">
        <v>27</v>
      </c>
      <c r="B430">
        <v>27</v>
      </c>
      <c r="C430" t="s">
        <v>24</v>
      </c>
      <c r="D430">
        <v>3.45</v>
      </c>
      <c r="E430">
        <v>122.047</v>
      </c>
      <c r="F430" t="s">
        <v>414</v>
      </c>
      <c r="G430" s="31">
        <v>0.1</v>
      </c>
      <c r="L430">
        <v>20</v>
      </c>
      <c r="M430">
        <v>20</v>
      </c>
      <c r="N430" t="s">
        <v>57</v>
      </c>
      <c r="O430">
        <v>1.51</v>
      </c>
      <c r="P430">
        <v>315.755</v>
      </c>
      <c r="Q430" t="s">
        <v>530</v>
      </c>
      <c r="R430" s="31">
        <v>0.15</v>
      </c>
    </row>
    <row r="431" spans="1:18" x14ac:dyDescent="0.3">
      <c r="A431">
        <v>28</v>
      </c>
      <c r="B431">
        <v>28</v>
      </c>
      <c r="C431" t="s">
        <v>25</v>
      </c>
      <c r="D431">
        <v>3.52</v>
      </c>
      <c r="E431">
        <v>2296.4670000000001</v>
      </c>
      <c r="F431" t="s">
        <v>415</v>
      </c>
      <c r="G431" s="31">
        <v>0.53</v>
      </c>
      <c r="L431">
        <v>21</v>
      </c>
      <c r="M431">
        <v>21</v>
      </c>
      <c r="N431" t="s">
        <v>58</v>
      </c>
      <c r="O431">
        <v>2.38</v>
      </c>
      <c r="P431">
        <v>5.72</v>
      </c>
      <c r="Q431" t="s">
        <v>531</v>
      </c>
      <c r="R431" s="31">
        <v>0.14000000000000001</v>
      </c>
    </row>
    <row r="432" spans="1:18" x14ac:dyDescent="0.3">
      <c r="A432">
        <v>29</v>
      </c>
      <c r="B432">
        <v>29</v>
      </c>
      <c r="C432" t="s">
        <v>26</v>
      </c>
      <c r="D432">
        <v>1.02</v>
      </c>
      <c r="E432">
        <v>508.95</v>
      </c>
      <c r="F432" t="s">
        <v>416</v>
      </c>
      <c r="G432" s="31">
        <v>0.8</v>
      </c>
      <c r="L432">
        <v>22</v>
      </c>
      <c r="M432">
        <v>22</v>
      </c>
      <c r="N432" t="s">
        <v>59</v>
      </c>
      <c r="O432">
        <v>2.4900000000000002</v>
      </c>
      <c r="P432">
        <v>6783.21</v>
      </c>
      <c r="Q432" t="s">
        <v>532</v>
      </c>
      <c r="R432" s="31">
        <v>1</v>
      </c>
    </row>
    <row r="433" spans="1:18" x14ac:dyDescent="0.3">
      <c r="A433">
        <v>30</v>
      </c>
      <c r="B433">
        <v>30</v>
      </c>
      <c r="C433" t="s">
        <v>27</v>
      </c>
      <c r="D433">
        <v>4.24</v>
      </c>
      <c r="E433">
        <v>1818.796</v>
      </c>
      <c r="F433" t="s">
        <v>417</v>
      </c>
      <c r="G433" s="31">
        <v>0.14000000000000001</v>
      </c>
      <c r="L433">
        <v>23</v>
      </c>
      <c r="M433">
        <v>23</v>
      </c>
      <c r="N433" t="s">
        <v>60</v>
      </c>
      <c r="O433">
        <v>2.58</v>
      </c>
      <c r="P433">
        <v>11874.951999999999</v>
      </c>
      <c r="Q433" t="s">
        <v>533</v>
      </c>
      <c r="R433" s="31">
        <v>1.18</v>
      </c>
    </row>
    <row r="434" spans="1:18" x14ac:dyDescent="0.3">
      <c r="A434">
        <v>31</v>
      </c>
      <c r="B434">
        <v>31</v>
      </c>
      <c r="C434" t="s">
        <v>28</v>
      </c>
      <c r="D434">
        <v>3</v>
      </c>
      <c r="E434">
        <v>109255.648</v>
      </c>
      <c r="F434" t="s">
        <v>418</v>
      </c>
      <c r="G434" s="31">
        <v>0.55000000000000004</v>
      </c>
    </row>
    <row r="435" spans="1:18" x14ac:dyDescent="0.3">
      <c r="A435">
        <v>32</v>
      </c>
      <c r="B435">
        <v>32</v>
      </c>
      <c r="C435" t="s">
        <v>29</v>
      </c>
      <c r="D435">
        <v>3.35</v>
      </c>
      <c r="E435">
        <v>627.29899999999998</v>
      </c>
      <c r="F435" t="s">
        <v>419</v>
      </c>
      <c r="G435" s="31">
        <v>0.11</v>
      </c>
      <c r="L435" t="s">
        <v>379</v>
      </c>
    </row>
    <row r="436" spans="1:18" x14ac:dyDescent="0.3">
      <c r="A436">
        <v>33</v>
      </c>
      <c r="B436">
        <v>33</v>
      </c>
      <c r="C436" t="s">
        <v>30</v>
      </c>
      <c r="D436">
        <v>4.68</v>
      </c>
      <c r="E436">
        <v>15203.203</v>
      </c>
      <c r="F436" t="s">
        <v>420</v>
      </c>
      <c r="G436" s="31">
        <v>0.66</v>
      </c>
    </row>
    <row r="437" spans="1:18" x14ac:dyDescent="0.3">
      <c r="A437">
        <v>34</v>
      </c>
      <c r="B437">
        <v>34</v>
      </c>
      <c r="C437" t="s">
        <v>31</v>
      </c>
      <c r="D437">
        <v>3.25</v>
      </c>
      <c r="E437">
        <v>2627.9189999999999</v>
      </c>
      <c r="F437" t="s">
        <v>421</v>
      </c>
      <c r="G437" s="31">
        <v>0.22</v>
      </c>
      <c r="L437" t="s">
        <v>509</v>
      </c>
    </row>
    <row r="438" spans="1:18" x14ac:dyDescent="0.3">
      <c r="A438">
        <v>35</v>
      </c>
      <c r="B438">
        <v>35</v>
      </c>
      <c r="C438" t="s">
        <v>32</v>
      </c>
      <c r="D438">
        <v>3.12</v>
      </c>
      <c r="E438">
        <v>249.11199999999999</v>
      </c>
      <c r="F438" t="s">
        <v>422</v>
      </c>
      <c r="G438" s="31">
        <v>0.13</v>
      </c>
    </row>
    <row r="439" spans="1:18" x14ac:dyDescent="0.3">
      <c r="A439">
        <v>36</v>
      </c>
      <c r="B439">
        <v>36</v>
      </c>
      <c r="C439" t="s">
        <v>33</v>
      </c>
      <c r="D439">
        <v>1.84</v>
      </c>
      <c r="E439">
        <v>2572.0929999999998</v>
      </c>
      <c r="F439" t="s">
        <v>423</v>
      </c>
      <c r="G439" s="31">
        <v>1.66</v>
      </c>
      <c r="L439" t="s">
        <v>547</v>
      </c>
    </row>
    <row r="440" spans="1:18" x14ac:dyDescent="0.3">
      <c r="G440" s="31">
        <f>G417/G419</f>
        <v>2.6947368421052635</v>
      </c>
    </row>
    <row r="441" spans="1:18" x14ac:dyDescent="0.3">
      <c r="A441" t="s">
        <v>379</v>
      </c>
      <c r="M441" t="s">
        <v>382</v>
      </c>
      <c r="N441" t="s">
        <v>383</v>
      </c>
      <c r="O441" t="s">
        <v>384</v>
      </c>
      <c r="P441" t="s">
        <v>385</v>
      </c>
      <c r="Q441" t="s">
        <v>386</v>
      </c>
      <c r="R441" s="31" t="s">
        <v>387</v>
      </c>
    </row>
    <row r="442" spans="1:18" x14ac:dyDescent="0.3">
      <c r="L442">
        <v>1</v>
      </c>
      <c r="M442">
        <v>1</v>
      </c>
      <c r="N442" t="s">
        <v>35</v>
      </c>
      <c r="O442">
        <v>1.44</v>
      </c>
      <c r="P442">
        <v>24170.83</v>
      </c>
      <c r="Q442" t="s">
        <v>511</v>
      </c>
      <c r="R442" s="31">
        <v>14.58</v>
      </c>
    </row>
    <row r="443" spans="1:18" x14ac:dyDescent="0.3">
      <c r="A443" t="s">
        <v>380</v>
      </c>
      <c r="L443">
        <v>2</v>
      </c>
      <c r="M443">
        <v>2</v>
      </c>
      <c r="N443" t="s">
        <v>36</v>
      </c>
      <c r="O443">
        <v>1.66</v>
      </c>
      <c r="P443">
        <v>986841.06299999997</v>
      </c>
      <c r="Q443" t="s">
        <v>512</v>
      </c>
      <c r="R443" s="31">
        <v>184.29</v>
      </c>
    </row>
    <row r="444" spans="1:18" x14ac:dyDescent="0.3">
      <c r="L444">
        <v>3</v>
      </c>
      <c r="M444">
        <v>3</v>
      </c>
      <c r="N444" t="s">
        <v>37</v>
      </c>
      <c r="O444">
        <v>1.8</v>
      </c>
      <c r="P444">
        <v>473.791</v>
      </c>
      <c r="Q444" t="s">
        <v>513</v>
      </c>
      <c r="R444" s="31">
        <v>0.19</v>
      </c>
    </row>
    <row r="445" spans="1:18" x14ac:dyDescent="0.3">
      <c r="A445" t="s">
        <v>433</v>
      </c>
      <c r="L445">
        <v>4</v>
      </c>
      <c r="M445">
        <v>4</v>
      </c>
      <c r="N445" t="s">
        <v>38</v>
      </c>
      <c r="O445">
        <v>1.18</v>
      </c>
      <c r="P445">
        <v>4437.5169999999998</v>
      </c>
      <c r="Q445" t="s">
        <v>514</v>
      </c>
      <c r="R445" s="31">
        <v>0.87</v>
      </c>
    </row>
    <row r="446" spans="1:18" x14ac:dyDescent="0.3">
      <c r="L446">
        <v>5</v>
      </c>
      <c r="M446">
        <v>5</v>
      </c>
      <c r="N446" t="s">
        <v>39</v>
      </c>
      <c r="O446">
        <v>1.38</v>
      </c>
      <c r="P446">
        <v>173187.609</v>
      </c>
      <c r="Q446" t="s">
        <v>515</v>
      </c>
      <c r="R446" s="31">
        <v>41.7</v>
      </c>
    </row>
    <row r="447" spans="1:18" x14ac:dyDescent="0.3">
      <c r="B447" t="s">
        <v>382</v>
      </c>
      <c r="C447" t="s">
        <v>383</v>
      </c>
      <c r="D447" t="s">
        <v>384</v>
      </c>
      <c r="E447" t="s">
        <v>385</v>
      </c>
      <c r="F447" t="s">
        <v>386</v>
      </c>
      <c r="G447" s="31" t="s">
        <v>387</v>
      </c>
      <c r="L447">
        <v>6</v>
      </c>
      <c r="M447">
        <v>6</v>
      </c>
      <c r="N447" t="s">
        <v>40</v>
      </c>
      <c r="O447">
        <v>1.52</v>
      </c>
      <c r="P447">
        <v>18923.740000000002</v>
      </c>
      <c r="Q447" t="s">
        <v>516</v>
      </c>
      <c r="R447" s="31">
        <v>2.46</v>
      </c>
    </row>
    <row r="448" spans="1:18" x14ac:dyDescent="0.3">
      <c r="A448">
        <v>1</v>
      </c>
      <c r="B448">
        <v>1</v>
      </c>
      <c r="C448" t="s">
        <v>0</v>
      </c>
      <c r="D448">
        <v>1.03</v>
      </c>
      <c r="E448">
        <v>2521.59</v>
      </c>
      <c r="F448" t="s">
        <v>388</v>
      </c>
      <c r="G448" s="31">
        <v>14.17</v>
      </c>
      <c r="L448">
        <v>7</v>
      </c>
      <c r="M448">
        <v>7</v>
      </c>
      <c r="N448" t="s">
        <v>41</v>
      </c>
      <c r="O448">
        <v>2.2799999999999998</v>
      </c>
      <c r="P448">
        <v>3792.9369999999999</v>
      </c>
      <c r="Q448" t="s">
        <v>517</v>
      </c>
      <c r="R448" s="31">
        <v>4.49</v>
      </c>
    </row>
    <row r="449" spans="1:18" x14ac:dyDescent="0.3">
      <c r="A449">
        <v>2</v>
      </c>
      <c r="B449">
        <v>2</v>
      </c>
      <c r="C449" t="s">
        <v>1</v>
      </c>
      <c r="D449">
        <v>1.46</v>
      </c>
      <c r="E449">
        <v>5319.07</v>
      </c>
      <c r="F449" t="s">
        <v>389</v>
      </c>
      <c r="G449" s="31">
        <v>5.63</v>
      </c>
      <c r="L449">
        <v>8</v>
      </c>
      <c r="M449">
        <v>8</v>
      </c>
      <c r="N449" t="s">
        <v>42</v>
      </c>
      <c r="O449">
        <v>0.89</v>
      </c>
      <c r="P449">
        <v>33.94</v>
      </c>
      <c r="Q449" t="s">
        <v>518</v>
      </c>
      <c r="R449" s="31">
        <v>22.7</v>
      </c>
    </row>
    <row r="450" spans="1:18" x14ac:dyDescent="0.3">
      <c r="A450">
        <v>3</v>
      </c>
      <c r="B450">
        <v>3</v>
      </c>
      <c r="C450" t="s">
        <v>50</v>
      </c>
      <c r="D450">
        <v>3.82</v>
      </c>
      <c r="E450">
        <v>85.132999999999996</v>
      </c>
      <c r="F450" t="s">
        <v>390</v>
      </c>
      <c r="G450" s="31">
        <v>0.06</v>
      </c>
      <c r="L450">
        <v>9</v>
      </c>
      <c r="M450">
        <v>9</v>
      </c>
      <c r="N450" t="s">
        <v>43</v>
      </c>
      <c r="O450">
        <v>2.5299999999999998</v>
      </c>
      <c r="P450">
        <v>8479.6980000000003</v>
      </c>
      <c r="Q450" t="s">
        <v>519</v>
      </c>
      <c r="R450" s="31">
        <v>0.17</v>
      </c>
    </row>
    <row r="451" spans="1:18" x14ac:dyDescent="0.3">
      <c r="A451">
        <v>4</v>
      </c>
      <c r="B451">
        <v>4</v>
      </c>
      <c r="C451" t="s">
        <v>2</v>
      </c>
      <c r="D451">
        <v>3.7</v>
      </c>
      <c r="E451">
        <v>9765.26</v>
      </c>
      <c r="F451" t="s">
        <v>391</v>
      </c>
      <c r="G451" s="31">
        <v>0.47</v>
      </c>
      <c r="L451">
        <v>10</v>
      </c>
      <c r="M451">
        <v>10</v>
      </c>
      <c r="N451" t="s">
        <v>52</v>
      </c>
      <c r="O451">
        <v>4.1100000000000003</v>
      </c>
      <c r="P451">
        <v>37070.968999999997</v>
      </c>
      <c r="Q451" t="s">
        <v>520</v>
      </c>
      <c r="R451" s="31">
        <v>2.8</v>
      </c>
    </row>
    <row r="452" spans="1:18" x14ac:dyDescent="0.3">
      <c r="A452">
        <v>5</v>
      </c>
      <c r="B452">
        <v>5</v>
      </c>
      <c r="C452" t="s">
        <v>3</v>
      </c>
      <c r="D452">
        <v>4.54</v>
      </c>
      <c r="E452">
        <v>219</v>
      </c>
      <c r="F452" t="s">
        <v>392</v>
      </c>
      <c r="G452" s="31">
        <v>0.05</v>
      </c>
      <c r="L452">
        <v>11</v>
      </c>
      <c r="M452">
        <v>11</v>
      </c>
      <c r="N452" t="s">
        <v>44</v>
      </c>
      <c r="O452">
        <v>4.18</v>
      </c>
      <c r="P452">
        <v>804.34100000000001</v>
      </c>
      <c r="Q452" t="s">
        <v>521</v>
      </c>
      <c r="R452" s="31">
        <v>0.24</v>
      </c>
    </row>
    <row r="453" spans="1:18" x14ac:dyDescent="0.3">
      <c r="A453">
        <v>6</v>
      </c>
      <c r="B453">
        <v>6</v>
      </c>
      <c r="C453" t="s">
        <v>4</v>
      </c>
      <c r="D453">
        <v>4.8</v>
      </c>
      <c r="E453">
        <v>59571.152000000002</v>
      </c>
      <c r="F453" t="s">
        <v>393</v>
      </c>
      <c r="G453" s="31">
        <v>1.9</v>
      </c>
      <c r="L453">
        <v>12</v>
      </c>
      <c r="M453">
        <v>12</v>
      </c>
      <c r="N453" t="s">
        <v>45</v>
      </c>
      <c r="O453">
        <v>3.44</v>
      </c>
      <c r="P453">
        <v>1069084.875</v>
      </c>
      <c r="Q453" t="s">
        <v>522</v>
      </c>
      <c r="R453" s="31">
        <v>28.24</v>
      </c>
    </row>
    <row r="454" spans="1:18" x14ac:dyDescent="0.3">
      <c r="A454">
        <v>7</v>
      </c>
      <c r="B454">
        <v>7</v>
      </c>
      <c r="C454" t="s">
        <v>5</v>
      </c>
      <c r="D454">
        <v>2.71</v>
      </c>
      <c r="E454">
        <v>908.21500000000003</v>
      </c>
      <c r="F454" t="s">
        <v>394</v>
      </c>
      <c r="G454" s="31">
        <v>0.11</v>
      </c>
      <c r="L454">
        <v>13</v>
      </c>
      <c r="M454">
        <v>13</v>
      </c>
      <c r="N454" t="s">
        <v>46</v>
      </c>
      <c r="O454">
        <v>2.58</v>
      </c>
      <c r="P454">
        <v>195240.359</v>
      </c>
      <c r="Q454" t="s">
        <v>523</v>
      </c>
      <c r="R454" s="31">
        <v>12.09</v>
      </c>
    </row>
    <row r="455" spans="1:18" x14ac:dyDescent="0.3">
      <c r="A455">
        <v>8</v>
      </c>
      <c r="B455">
        <v>8</v>
      </c>
      <c r="C455" t="s">
        <v>6</v>
      </c>
      <c r="D455">
        <v>0.67</v>
      </c>
      <c r="E455">
        <v>2062.4380000000001</v>
      </c>
      <c r="F455" t="s">
        <v>395</v>
      </c>
      <c r="G455" s="31">
        <v>17.72</v>
      </c>
      <c r="L455">
        <v>14</v>
      </c>
      <c r="M455">
        <v>14</v>
      </c>
      <c r="N455" t="s">
        <v>47</v>
      </c>
      <c r="O455">
        <v>0.68</v>
      </c>
      <c r="P455">
        <v>18664.258000000002</v>
      </c>
      <c r="Q455" t="s">
        <v>524</v>
      </c>
      <c r="R455" s="31">
        <v>10.41</v>
      </c>
    </row>
    <row r="456" spans="1:18" x14ac:dyDescent="0.3">
      <c r="A456">
        <v>9</v>
      </c>
      <c r="B456">
        <v>9</v>
      </c>
      <c r="C456" t="s">
        <v>7</v>
      </c>
      <c r="D456">
        <v>3.57</v>
      </c>
      <c r="E456">
        <v>941.024</v>
      </c>
      <c r="F456" t="s">
        <v>396</v>
      </c>
      <c r="G456" s="31">
        <v>1.76</v>
      </c>
      <c r="L456">
        <v>15</v>
      </c>
      <c r="M456">
        <v>15</v>
      </c>
      <c r="N456" t="s">
        <v>48</v>
      </c>
      <c r="O456">
        <v>1.21</v>
      </c>
      <c r="P456">
        <v>32468.73</v>
      </c>
      <c r="Q456" t="s">
        <v>525</v>
      </c>
      <c r="R456" s="31">
        <v>6.04</v>
      </c>
    </row>
    <row r="457" spans="1:18" x14ac:dyDescent="0.3">
      <c r="A457">
        <v>10</v>
      </c>
      <c r="B457">
        <v>10</v>
      </c>
      <c r="C457" t="s">
        <v>51</v>
      </c>
      <c r="D457">
        <v>4.71</v>
      </c>
      <c r="E457">
        <v>735.53700000000003</v>
      </c>
      <c r="F457" t="s">
        <v>397</v>
      </c>
      <c r="G457" s="31">
        <v>0.11</v>
      </c>
      <c r="L457">
        <v>16</v>
      </c>
      <c r="M457">
        <v>16</v>
      </c>
      <c r="N457" t="s">
        <v>53</v>
      </c>
      <c r="O457">
        <v>4.54</v>
      </c>
      <c r="P457">
        <v>72496.710999999996</v>
      </c>
      <c r="Q457" t="s">
        <v>526</v>
      </c>
      <c r="R457" s="31">
        <v>1.29</v>
      </c>
    </row>
    <row r="458" spans="1:18" x14ac:dyDescent="0.3">
      <c r="A458">
        <v>11</v>
      </c>
      <c r="B458">
        <v>11</v>
      </c>
      <c r="C458" t="s">
        <v>8</v>
      </c>
      <c r="D458">
        <v>2.74</v>
      </c>
      <c r="E458">
        <v>66897.077999999994</v>
      </c>
      <c r="F458" t="s">
        <v>398</v>
      </c>
      <c r="G458" s="31">
        <v>2.4300000000000002</v>
      </c>
      <c r="L458">
        <v>17</v>
      </c>
      <c r="M458">
        <v>17</v>
      </c>
      <c r="N458" t="s">
        <v>54</v>
      </c>
      <c r="O458">
        <v>5.18</v>
      </c>
      <c r="P458">
        <v>762.61400000000003</v>
      </c>
      <c r="Q458" t="s">
        <v>527</v>
      </c>
      <c r="R458" s="31">
        <v>0.11</v>
      </c>
    </row>
    <row r="459" spans="1:18" x14ac:dyDescent="0.3">
      <c r="A459">
        <v>12</v>
      </c>
      <c r="B459">
        <v>12</v>
      </c>
      <c r="C459" t="s">
        <v>9</v>
      </c>
      <c r="D459">
        <v>2.62</v>
      </c>
      <c r="E459">
        <v>2432.42</v>
      </c>
      <c r="F459" t="s">
        <v>399</v>
      </c>
      <c r="G459" s="31">
        <v>0.76</v>
      </c>
      <c r="L459">
        <v>18</v>
      </c>
      <c r="M459">
        <v>18</v>
      </c>
      <c r="N459" t="s">
        <v>55</v>
      </c>
      <c r="O459">
        <v>1.32</v>
      </c>
      <c r="P459">
        <v>3184.75</v>
      </c>
      <c r="Q459" t="s">
        <v>528</v>
      </c>
      <c r="R459" s="31">
        <v>0.16</v>
      </c>
    </row>
    <row r="460" spans="1:18" x14ac:dyDescent="0.3">
      <c r="A460">
        <v>13</v>
      </c>
      <c r="B460">
        <v>13</v>
      </c>
      <c r="C460" t="s">
        <v>10</v>
      </c>
      <c r="D460">
        <v>4.08</v>
      </c>
      <c r="E460">
        <v>2325814.75</v>
      </c>
      <c r="F460" t="s">
        <v>400</v>
      </c>
      <c r="G460" s="31">
        <v>147.88999999999999</v>
      </c>
      <c r="L460">
        <v>19</v>
      </c>
      <c r="M460">
        <v>19</v>
      </c>
      <c r="N460" t="s">
        <v>56</v>
      </c>
      <c r="O460">
        <v>0.87</v>
      </c>
      <c r="P460">
        <v>16810.338</v>
      </c>
      <c r="Q460" t="s">
        <v>529</v>
      </c>
      <c r="R460" s="31">
        <v>0.73</v>
      </c>
    </row>
    <row r="461" spans="1:18" x14ac:dyDescent="0.3">
      <c r="A461">
        <v>14</v>
      </c>
      <c r="B461">
        <v>14</v>
      </c>
      <c r="C461" t="s">
        <v>11</v>
      </c>
      <c r="D461">
        <v>3.53</v>
      </c>
      <c r="E461">
        <v>14.821</v>
      </c>
      <c r="F461" t="s">
        <v>401</v>
      </c>
      <c r="G461" s="31">
        <v>1.25</v>
      </c>
      <c r="L461">
        <v>20</v>
      </c>
      <c r="M461">
        <v>20</v>
      </c>
      <c r="N461" t="s">
        <v>57</v>
      </c>
      <c r="O461">
        <v>1.5</v>
      </c>
      <c r="P461">
        <v>810.36400000000003</v>
      </c>
      <c r="Q461" t="s">
        <v>530</v>
      </c>
      <c r="R461" s="31">
        <v>0.38</v>
      </c>
    </row>
    <row r="462" spans="1:18" x14ac:dyDescent="0.3">
      <c r="A462">
        <v>15</v>
      </c>
      <c r="B462">
        <v>15</v>
      </c>
      <c r="C462" t="s">
        <v>12</v>
      </c>
      <c r="D462">
        <v>3.34</v>
      </c>
      <c r="E462">
        <v>213.27199999999999</v>
      </c>
      <c r="F462" t="s">
        <v>402</v>
      </c>
      <c r="G462" s="31">
        <v>0.67</v>
      </c>
      <c r="L462">
        <v>21</v>
      </c>
      <c r="M462">
        <v>21</v>
      </c>
      <c r="N462" t="s">
        <v>58</v>
      </c>
      <c r="O462">
        <v>2.4300000000000002</v>
      </c>
      <c r="P462">
        <v>64.731999999999999</v>
      </c>
      <c r="Q462" t="s">
        <v>531</v>
      </c>
      <c r="R462" s="31">
        <v>0.08</v>
      </c>
    </row>
    <row r="463" spans="1:18" x14ac:dyDescent="0.3">
      <c r="A463">
        <v>16</v>
      </c>
      <c r="B463">
        <v>16</v>
      </c>
      <c r="C463" t="s">
        <v>13</v>
      </c>
      <c r="D463">
        <v>3.23</v>
      </c>
      <c r="E463">
        <v>16425.846000000001</v>
      </c>
      <c r="F463" t="s">
        <v>403</v>
      </c>
      <c r="G463" s="31">
        <v>2.04</v>
      </c>
      <c r="L463">
        <v>22</v>
      </c>
      <c r="M463">
        <v>22</v>
      </c>
      <c r="N463" t="s">
        <v>59</v>
      </c>
      <c r="O463">
        <v>2.4900000000000002</v>
      </c>
      <c r="P463">
        <v>19511.32</v>
      </c>
      <c r="Q463" t="s">
        <v>532</v>
      </c>
      <c r="R463" s="31">
        <v>3.26</v>
      </c>
    </row>
    <row r="464" spans="1:18" x14ac:dyDescent="0.3">
      <c r="A464">
        <v>17</v>
      </c>
      <c r="B464">
        <v>17</v>
      </c>
      <c r="C464" t="s">
        <v>14</v>
      </c>
      <c r="D464">
        <v>2.02</v>
      </c>
      <c r="E464">
        <v>9127.4680000000008</v>
      </c>
      <c r="F464" t="s">
        <v>404</v>
      </c>
      <c r="G464" s="31">
        <v>1.22</v>
      </c>
      <c r="L464">
        <v>23</v>
      </c>
      <c r="M464">
        <v>23</v>
      </c>
      <c r="N464" t="s">
        <v>60</v>
      </c>
      <c r="O464">
        <v>2.58</v>
      </c>
      <c r="P464">
        <v>25242.57</v>
      </c>
      <c r="Q464" t="s">
        <v>533</v>
      </c>
      <c r="R464" s="31">
        <v>2.12</v>
      </c>
    </row>
    <row r="465" spans="1:18" x14ac:dyDescent="0.3">
      <c r="A465">
        <v>18</v>
      </c>
      <c r="B465">
        <v>18</v>
      </c>
      <c r="C465" t="s">
        <v>15</v>
      </c>
      <c r="D465">
        <v>2.4900000000000002</v>
      </c>
      <c r="E465">
        <v>42979.237999999998</v>
      </c>
      <c r="F465" t="s">
        <v>405</v>
      </c>
      <c r="G465" s="31">
        <v>14.12</v>
      </c>
    </row>
    <row r="466" spans="1:18" x14ac:dyDescent="0.3">
      <c r="A466">
        <v>19</v>
      </c>
      <c r="B466">
        <v>19</v>
      </c>
      <c r="C466" t="s">
        <v>16</v>
      </c>
      <c r="D466">
        <v>2.71</v>
      </c>
      <c r="E466">
        <v>22537.800999999999</v>
      </c>
      <c r="F466" t="s">
        <v>406</v>
      </c>
      <c r="G466" s="31">
        <v>0.87</v>
      </c>
      <c r="L466" t="s">
        <v>379</v>
      </c>
    </row>
    <row r="467" spans="1:18" x14ac:dyDescent="0.3">
      <c r="A467">
        <v>20</v>
      </c>
      <c r="B467">
        <v>20</v>
      </c>
      <c r="C467" t="s">
        <v>17</v>
      </c>
      <c r="D467">
        <v>3.13</v>
      </c>
      <c r="E467">
        <v>20382.974999999999</v>
      </c>
      <c r="F467" t="s">
        <v>407</v>
      </c>
      <c r="G467" s="31">
        <v>2.79</v>
      </c>
    </row>
    <row r="468" spans="1:18" x14ac:dyDescent="0.3">
      <c r="A468">
        <v>21</v>
      </c>
      <c r="B468">
        <v>21</v>
      </c>
      <c r="C468" t="s">
        <v>18</v>
      </c>
      <c r="D468">
        <v>3.68</v>
      </c>
      <c r="E468">
        <v>39245.754000000001</v>
      </c>
      <c r="F468" t="s">
        <v>408</v>
      </c>
      <c r="G468" s="31">
        <v>1.26</v>
      </c>
      <c r="L468" t="s">
        <v>509</v>
      </c>
    </row>
    <row r="469" spans="1:18" x14ac:dyDescent="0.3">
      <c r="A469">
        <v>22</v>
      </c>
      <c r="B469">
        <v>22</v>
      </c>
      <c r="C469" t="s">
        <v>19</v>
      </c>
      <c r="D469">
        <v>2.63</v>
      </c>
      <c r="E469">
        <v>24396.143</v>
      </c>
      <c r="F469" t="s">
        <v>409</v>
      </c>
      <c r="G469" s="31">
        <v>2.09</v>
      </c>
    </row>
    <row r="470" spans="1:18" x14ac:dyDescent="0.3">
      <c r="A470">
        <v>23</v>
      </c>
      <c r="B470">
        <v>23</v>
      </c>
      <c r="C470" t="s">
        <v>20</v>
      </c>
      <c r="D470">
        <v>2.89</v>
      </c>
      <c r="E470">
        <v>98512.023000000001</v>
      </c>
      <c r="F470" t="s">
        <v>410</v>
      </c>
      <c r="G470" s="31">
        <v>4.07</v>
      </c>
      <c r="L470" t="s">
        <v>548</v>
      </c>
    </row>
    <row r="471" spans="1:18" x14ac:dyDescent="0.3">
      <c r="A471">
        <v>24</v>
      </c>
      <c r="B471">
        <v>24</v>
      </c>
      <c r="C471" t="s">
        <v>21</v>
      </c>
      <c r="D471">
        <v>4.13</v>
      </c>
      <c r="E471">
        <v>252.381</v>
      </c>
      <c r="F471" t="s">
        <v>411</v>
      </c>
      <c r="G471" s="31">
        <v>0.1</v>
      </c>
    </row>
    <row r="472" spans="1:18" x14ac:dyDescent="0.3">
      <c r="A472">
        <v>25</v>
      </c>
      <c r="B472">
        <v>25</v>
      </c>
      <c r="C472" t="s">
        <v>22</v>
      </c>
      <c r="D472">
        <v>3.42</v>
      </c>
      <c r="E472">
        <v>439.517</v>
      </c>
      <c r="F472" t="s">
        <v>412</v>
      </c>
      <c r="G472" s="31">
        <v>3.61</v>
      </c>
      <c r="M472" t="s">
        <v>382</v>
      </c>
      <c r="N472" t="s">
        <v>383</v>
      </c>
      <c r="O472" t="s">
        <v>384</v>
      </c>
      <c r="P472" t="s">
        <v>385</v>
      </c>
      <c r="Q472" t="s">
        <v>386</v>
      </c>
      <c r="R472" s="31" t="s">
        <v>387</v>
      </c>
    </row>
    <row r="473" spans="1:18" x14ac:dyDescent="0.3">
      <c r="A473">
        <v>26</v>
      </c>
      <c r="B473">
        <v>26</v>
      </c>
      <c r="C473" t="s">
        <v>23</v>
      </c>
      <c r="D473">
        <v>3.35</v>
      </c>
      <c r="E473">
        <v>106253.102</v>
      </c>
      <c r="F473" t="s">
        <v>413</v>
      </c>
      <c r="G473" s="31">
        <v>6.99</v>
      </c>
      <c r="L473">
        <v>1</v>
      </c>
      <c r="M473">
        <v>1</v>
      </c>
      <c r="N473" t="s">
        <v>35</v>
      </c>
      <c r="O473">
        <v>1.57</v>
      </c>
      <c r="P473">
        <v>253.13800000000001</v>
      </c>
      <c r="Q473" t="s">
        <v>511</v>
      </c>
      <c r="R473" s="31">
        <v>13.95</v>
      </c>
    </row>
    <row r="474" spans="1:18" x14ac:dyDescent="0.3">
      <c r="A474">
        <v>27</v>
      </c>
      <c r="B474">
        <v>27</v>
      </c>
      <c r="C474" t="s">
        <v>24</v>
      </c>
      <c r="D474">
        <v>3.44</v>
      </c>
      <c r="E474">
        <v>982.20899999999995</v>
      </c>
      <c r="F474" t="s">
        <v>414</v>
      </c>
      <c r="G474" s="31">
        <v>0.43</v>
      </c>
      <c r="L474">
        <v>2</v>
      </c>
      <c r="M474">
        <v>2</v>
      </c>
      <c r="N474" t="s">
        <v>36</v>
      </c>
      <c r="O474">
        <v>1.67</v>
      </c>
      <c r="P474">
        <v>1187597.625</v>
      </c>
      <c r="Q474" t="s">
        <v>512</v>
      </c>
      <c r="R474" s="31">
        <v>285.97000000000003</v>
      </c>
    </row>
    <row r="475" spans="1:18" x14ac:dyDescent="0.3">
      <c r="A475">
        <v>28</v>
      </c>
      <c r="B475">
        <v>28</v>
      </c>
      <c r="C475" t="s">
        <v>25</v>
      </c>
      <c r="D475">
        <v>3.51</v>
      </c>
      <c r="E475">
        <v>2816.5479999999998</v>
      </c>
      <c r="F475" t="s">
        <v>415</v>
      </c>
      <c r="G475" s="31">
        <v>0.44</v>
      </c>
      <c r="L475">
        <v>3</v>
      </c>
      <c r="M475">
        <v>3</v>
      </c>
      <c r="N475" t="s">
        <v>37</v>
      </c>
      <c r="O475">
        <v>1.81</v>
      </c>
      <c r="P475">
        <v>272.98</v>
      </c>
      <c r="Q475" t="s">
        <v>513</v>
      </c>
      <c r="R475" s="31">
        <v>0.19</v>
      </c>
    </row>
    <row r="476" spans="1:18" x14ac:dyDescent="0.3">
      <c r="A476">
        <v>29</v>
      </c>
      <c r="B476">
        <v>29</v>
      </c>
      <c r="C476" t="s">
        <v>26</v>
      </c>
      <c r="D476">
        <v>1.05</v>
      </c>
      <c r="E476">
        <v>1330.3209999999999</v>
      </c>
      <c r="F476" t="s">
        <v>416</v>
      </c>
      <c r="G476" s="31">
        <v>1.0900000000000001</v>
      </c>
      <c r="L476">
        <v>4</v>
      </c>
      <c r="M476">
        <v>4</v>
      </c>
      <c r="N476" t="s">
        <v>38</v>
      </c>
      <c r="O476">
        <v>1.18</v>
      </c>
      <c r="P476">
        <v>2326.4250000000002</v>
      </c>
      <c r="Q476" t="s">
        <v>514</v>
      </c>
      <c r="R476" s="31">
        <v>0.67</v>
      </c>
    </row>
    <row r="477" spans="1:18" x14ac:dyDescent="0.3">
      <c r="A477">
        <v>30</v>
      </c>
      <c r="B477">
        <v>30</v>
      </c>
      <c r="C477" t="s">
        <v>27</v>
      </c>
      <c r="D477">
        <v>4.2699999999999996</v>
      </c>
      <c r="E477">
        <v>8027.6149999999998</v>
      </c>
      <c r="F477" t="s">
        <v>417</v>
      </c>
      <c r="G477" s="31">
        <v>0.41</v>
      </c>
      <c r="L477">
        <v>5</v>
      </c>
      <c r="M477">
        <v>5</v>
      </c>
      <c r="N477" t="s">
        <v>39</v>
      </c>
      <c r="O477">
        <v>1.38</v>
      </c>
      <c r="P477">
        <v>83218.25</v>
      </c>
      <c r="Q477" t="s">
        <v>515</v>
      </c>
      <c r="R477" s="31">
        <v>31.2</v>
      </c>
    </row>
    <row r="478" spans="1:18" x14ac:dyDescent="0.3">
      <c r="A478">
        <v>31</v>
      </c>
      <c r="B478">
        <v>31</v>
      </c>
      <c r="C478" t="s">
        <v>28</v>
      </c>
      <c r="D478">
        <v>3</v>
      </c>
      <c r="E478">
        <v>466537.81300000002</v>
      </c>
      <c r="F478" t="s">
        <v>418</v>
      </c>
      <c r="G478" s="31">
        <v>2.1</v>
      </c>
      <c r="L478">
        <v>6</v>
      </c>
      <c r="M478">
        <v>6</v>
      </c>
      <c r="N478" t="s">
        <v>40</v>
      </c>
      <c r="O478">
        <v>1.53</v>
      </c>
      <c r="P478">
        <v>4281.9049999999997</v>
      </c>
      <c r="Q478" t="s">
        <v>516</v>
      </c>
      <c r="R478" s="31">
        <v>0.8</v>
      </c>
    </row>
    <row r="479" spans="1:18" x14ac:dyDescent="0.3">
      <c r="A479">
        <v>32</v>
      </c>
      <c r="B479">
        <v>32</v>
      </c>
      <c r="C479" t="s">
        <v>29</v>
      </c>
      <c r="D479">
        <v>3.35</v>
      </c>
      <c r="E479">
        <v>2903.259</v>
      </c>
      <c r="F479" t="s">
        <v>419</v>
      </c>
      <c r="G479" s="31">
        <v>0.26</v>
      </c>
      <c r="L479">
        <v>7</v>
      </c>
      <c r="M479">
        <v>7</v>
      </c>
      <c r="N479" t="s">
        <v>41</v>
      </c>
      <c r="O479">
        <v>2.29</v>
      </c>
      <c r="P479">
        <v>350.97500000000002</v>
      </c>
      <c r="Q479" t="s">
        <v>517</v>
      </c>
      <c r="R479" s="31">
        <v>0.79</v>
      </c>
    </row>
    <row r="480" spans="1:18" x14ac:dyDescent="0.3">
      <c r="A480">
        <v>33</v>
      </c>
      <c r="B480">
        <v>33</v>
      </c>
      <c r="C480" t="s">
        <v>30</v>
      </c>
      <c r="D480">
        <v>4.67</v>
      </c>
      <c r="E480">
        <v>314019.53100000002</v>
      </c>
      <c r="F480" t="s">
        <v>420</v>
      </c>
      <c r="G480" s="31">
        <v>3.91</v>
      </c>
      <c r="L480">
        <v>8</v>
      </c>
      <c r="M480">
        <v>8</v>
      </c>
      <c r="N480" t="s">
        <v>42</v>
      </c>
      <c r="O480">
        <v>0.89</v>
      </c>
      <c r="P480">
        <v>1195959</v>
      </c>
      <c r="Q480" t="s">
        <v>518</v>
      </c>
      <c r="R480" s="31">
        <v>2128.79</v>
      </c>
    </row>
    <row r="481" spans="1:18" x14ac:dyDescent="0.3">
      <c r="A481">
        <v>34</v>
      </c>
      <c r="B481">
        <v>34</v>
      </c>
      <c r="C481" t="s">
        <v>31</v>
      </c>
      <c r="D481">
        <v>3.5</v>
      </c>
      <c r="E481">
        <v>1284.431</v>
      </c>
      <c r="F481" t="s">
        <v>421</v>
      </c>
      <c r="G481" s="31">
        <v>0.09</v>
      </c>
      <c r="L481">
        <v>9</v>
      </c>
      <c r="M481">
        <v>9</v>
      </c>
      <c r="N481" t="s">
        <v>43</v>
      </c>
      <c r="O481">
        <v>2.5499999999999998</v>
      </c>
      <c r="P481">
        <v>63422.726999999999</v>
      </c>
      <c r="Q481" t="s">
        <v>519</v>
      </c>
      <c r="R481" s="31">
        <v>1.71</v>
      </c>
    </row>
    <row r="482" spans="1:18" x14ac:dyDescent="0.3">
      <c r="A482">
        <v>35</v>
      </c>
      <c r="B482">
        <v>35</v>
      </c>
      <c r="C482" t="s">
        <v>32</v>
      </c>
      <c r="D482">
        <v>3.06</v>
      </c>
      <c r="E482">
        <v>1045.739</v>
      </c>
      <c r="F482" t="s">
        <v>422</v>
      </c>
      <c r="G482" s="31">
        <v>0.11</v>
      </c>
      <c r="L482">
        <v>10</v>
      </c>
      <c r="M482">
        <v>10</v>
      </c>
      <c r="N482" t="s">
        <v>52</v>
      </c>
      <c r="O482">
        <v>4.1500000000000004</v>
      </c>
      <c r="P482">
        <v>14108.255999999999</v>
      </c>
      <c r="Q482" t="s">
        <v>520</v>
      </c>
      <c r="R482" s="31">
        <v>1.1399999999999999</v>
      </c>
    </row>
    <row r="483" spans="1:18" x14ac:dyDescent="0.3">
      <c r="A483">
        <v>36</v>
      </c>
      <c r="B483">
        <v>36</v>
      </c>
      <c r="C483" t="s">
        <v>33</v>
      </c>
      <c r="D483">
        <v>1.92</v>
      </c>
      <c r="E483">
        <v>1084.5709999999999</v>
      </c>
      <c r="F483" t="s">
        <v>423</v>
      </c>
      <c r="G483" s="31">
        <v>0.52</v>
      </c>
      <c r="L483">
        <v>11</v>
      </c>
      <c r="M483">
        <v>11</v>
      </c>
      <c r="N483" t="s">
        <v>44</v>
      </c>
      <c r="O483">
        <v>4.1900000000000004</v>
      </c>
      <c r="P483">
        <v>252.38800000000001</v>
      </c>
      <c r="Q483" t="s">
        <v>521</v>
      </c>
      <c r="R483" s="31">
        <v>0.22</v>
      </c>
    </row>
    <row r="484" spans="1:18" x14ac:dyDescent="0.3">
      <c r="G484" s="31">
        <f>G461/G463</f>
        <v>0.61274509803921573</v>
      </c>
      <c r="L484">
        <v>12</v>
      </c>
      <c r="M484">
        <v>12</v>
      </c>
      <c r="N484" t="s">
        <v>45</v>
      </c>
      <c r="O484">
        <v>3.45</v>
      </c>
      <c r="P484">
        <v>358577.43800000002</v>
      </c>
      <c r="Q484" t="s">
        <v>522</v>
      </c>
      <c r="R484" s="31">
        <v>4.99</v>
      </c>
    </row>
    <row r="485" spans="1:18" x14ac:dyDescent="0.3">
      <c r="A485" t="s">
        <v>379</v>
      </c>
      <c r="L485">
        <v>13</v>
      </c>
      <c r="M485">
        <v>13</v>
      </c>
      <c r="N485" t="s">
        <v>46</v>
      </c>
      <c r="O485">
        <v>2.66</v>
      </c>
      <c r="P485">
        <v>79394.726999999999</v>
      </c>
      <c r="Q485" t="s">
        <v>523</v>
      </c>
      <c r="R485" s="31">
        <v>5.56</v>
      </c>
    </row>
    <row r="486" spans="1:18" x14ac:dyDescent="0.3">
      <c r="L486">
        <v>14</v>
      </c>
      <c r="M486">
        <v>14</v>
      </c>
      <c r="N486" t="s">
        <v>47</v>
      </c>
      <c r="O486">
        <v>0.68</v>
      </c>
      <c r="P486">
        <v>18133.041000000001</v>
      </c>
      <c r="Q486" t="s">
        <v>524</v>
      </c>
      <c r="R486" s="31">
        <v>13.63</v>
      </c>
    </row>
    <row r="487" spans="1:18" x14ac:dyDescent="0.3">
      <c r="A487" t="s">
        <v>380</v>
      </c>
      <c r="L487">
        <v>15</v>
      </c>
      <c r="M487">
        <v>15</v>
      </c>
      <c r="N487" t="s">
        <v>48</v>
      </c>
      <c r="O487">
        <v>1.22</v>
      </c>
      <c r="P487">
        <v>10533.028</v>
      </c>
      <c r="Q487" t="s">
        <v>525</v>
      </c>
      <c r="R487" s="31">
        <v>2.29</v>
      </c>
    </row>
    <row r="488" spans="1:18" x14ac:dyDescent="0.3">
      <c r="L488">
        <v>16</v>
      </c>
      <c r="M488">
        <v>16</v>
      </c>
      <c r="N488" t="s">
        <v>53</v>
      </c>
      <c r="O488">
        <v>4.57</v>
      </c>
      <c r="P488">
        <v>13961.916999999999</v>
      </c>
      <c r="Q488" t="s">
        <v>526</v>
      </c>
      <c r="R488" s="31">
        <v>0.28000000000000003</v>
      </c>
    </row>
    <row r="489" spans="1:18" x14ac:dyDescent="0.3">
      <c r="A489" t="s">
        <v>434</v>
      </c>
      <c r="L489">
        <v>17</v>
      </c>
      <c r="M489">
        <v>17</v>
      </c>
      <c r="N489" t="s">
        <v>54</v>
      </c>
      <c r="O489">
        <v>5.25</v>
      </c>
      <c r="P489">
        <v>232.57599999999999</v>
      </c>
      <c r="Q489" t="s">
        <v>527</v>
      </c>
      <c r="R489" s="31">
        <v>0.1</v>
      </c>
    </row>
    <row r="490" spans="1:18" x14ac:dyDescent="0.3">
      <c r="L490">
        <v>18</v>
      </c>
      <c r="M490">
        <v>18</v>
      </c>
      <c r="N490" t="s">
        <v>55</v>
      </c>
      <c r="O490">
        <v>1.31</v>
      </c>
      <c r="P490">
        <v>825.745</v>
      </c>
      <c r="Q490" t="s">
        <v>528</v>
      </c>
      <c r="R490" s="31">
        <v>0.05</v>
      </c>
    </row>
    <row r="491" spans="1:18" x14ac:dyDescent="0.3">
      <c r="B491" t="s">
        <v>382</v>
      </c>
      <c r="C491" t="s">
        <v>383</v>
      </c>
      <c r="D491" t="s">
        <v>384</v>
      </c>
      <c r="E491" t="s">
        <v>385</v>
      </c>
      <c r="F491" t="s">
        <v>386</v>
      </c>
      <c r="G491" s="31" t="s">
        <v>387</v>
      </c>
      <c r="L491">
        <v>19</v>
      </c>
      <c r="M491">
        <v>19</v>
      </c>
      <c r="N491" t="s">
        <v>56</v>
      </c>
      <c r="O491">
        <v>0.87</v>
      </c>
      <c r="P491">
        <v>15445.138000000001</v>
      </c>
      <c r="Q491" t="s">
        <v>529</v>
      </c>
      <c r="R491" s="31">
        <v>0.83</v>
      </c>
    </row>
    <row r="492" spans="1:18" x14ac:dyDescent="0.3">
      <c r="A492">
        <v>1</v>
      </c>
      <c r="B492">
        <v>1</v>
      </c>
      <c r="C492" t="s">
        <v>0</v>
      </c>
      <c r="D492">
        <v>1.01</v>
      </c>
      <c r="E492">
        <v>2675.7759999999998</v>
      </c>
      <c r="F492" t="s">
        <v>388</v>
      </c>
      <c r="G492" s="31">
        <v>25.17</v>
      </c>
      <c r="L492">
        <v>20</v>
      </c>
      <c r="M492">
        <v>20</v>
      </c>
      <c r="N492" t="s">
        <v>57</v>
      </c>
      <c r="O492">
        <v>1.51</v>
      </c>
      <c r="P492">
        <v>527.91700000000003</v>
      </c>
      <c r="Q492" t="s">
        <v>530</v>
      </c>
      <c r="R492" s="31">
        <v>0.33</v>
      </c>
    </row>
    <row r="493" spans="1:18" x14ac:dyDescent="0.3">
      <c r="A493">
        <v>2</v>
      </c>
      <c r="B493">
        <v>2</v>
      </c>
      <c r="C493" t="s">
        <v>1</v>
      </c>
      <c r="D493">
        <v>1.45</v>
      </c>
      <c r="E493">
        <v>5433.2039999999997</v>
      </c>
      <c r="F493" t="s">
        <v>389</v>
      </c>
      <c r="G493" s="31">
        <v>9.6</v>
      </c>
      <c r="L493">
        <v>21</v>
      </c>
      <c r="M493">
        <v>21</v>
      </c>
      <c r="N493" t="s">
        <v>58</v>
      </c>
      <c r="O493">
        <v>2.33</v>
      </c>
      <c r="P493">
        <v>322.935</v>
      </c>
      <c r="Q493" t="s">
        <v>531</v>
      </c>
      <c r="R493" s="31">
        <v>0.35</v>
      </c>
    </row>
    <row r="494" spans="1:18" x14ac:dyDescent="0.3">
      <c r="A494">
        <v>3</v>
      </c>
      <c r="B494">
        <v>3</v>
      </c>
      <c r="C494" t="s">
        <v>50</v>
      </c>
      <c r="D494">
        <v>3.56</v>
      </c>
      <c r="E494">
        <v>374.68</v>
      </c>
      <c r="F494" t="s">
        <v>390</v>
      </c>
      <c r="G494" s="31">
        <v>0.31</v>
      </c>
      <c r="L494">
        <v>22</v>
      </c>
      <c r="M494">
        <v>22</v>
      </c>
      <c r="N494" t="s">
        <v>59</v>
      </c>
      <c r="O494">
        <v>2.5</v>
      </c>
      <c r="P494">
        <v>19906.811000000002</v>
      </c>
      <c r="Q494" t="s">
        <v>532</v>
      </c>
      <c r="R494" s="31">
        <v>4.5199999999999996</v>
      </c>
    </row>
    <row r="495" spans="1:18" x14ac:dyDescent="0.3">
      <c r="A495">
        <v>4</v>
      </c>
      <c r="B495">
        <v>4</v>
      </c>
      <c r="C495" t="s">
        <v>2</v>
      </c>
      <c r="D495">
        <v>3.69</v>
      </c>
      <c r="E495">
        <v>23547.953000000001</v>
      </c>
      <c r="F495" t="s">
        <v>391</v>
      </c>
      <c r="G495" s="31">
        <v>1.74</v>
      </c>
      <c r="L495">
        <v>23</v>
      </c>
      <c r="M495">
        <v>23</v>
      </c>
      <c r="N495" t="s">
        <v>60</v>
      </c>
      <c r="O495">
        <v>2.59</v>
      </c>
      <c r="P495">
        <v>13067.165999999999</v>
      </c>
      <c r="Q495" t="s">
        <v>533</v>
      </c>
      <c r="R495" s="31">
        <v>1.65</v>
      </c>
    </row>
    <row r="496" spans="1:18" x14ac:dyDescent="0.3">
      <c r="A496">
        <v>5</v>
      </c>
      <c r="B496">
        <v>5</v>
      </c>
      <c r="C496" t="s">
        <v>3</v>
      </c>
      <c r="D496">
        <v>4.53</v>
      </c>
      <c r="E496">
        <v>374.233</v>
      </c>
      <c r="F496" t="s">
        <v>392</v>
      </c>
      <c r="G496" s="31">
        <v>0.51</v>
      </c>
    </row>
    <row r="497" spans="1:18" x14ac:dyDescent="0.3">
      <c r="A497">
        <v>6</v>
      </c>
      <c r="B497">
        <v>6</v>
      </c>
      <c r="C497" t="s">
        <v>4</v>
      </c>
      <c r="D497">
        <v>4.79</v>
      </c>
      <c r="E497">
        <v>29915.77</v>
      </c>
      <c r="F497" t="s">
        <v>393</v>
      </c>
      <c r="G497" s="31">
        <v>1.77</v>
      </c>
      <c r="L497" t="s">
        <v>379</v>
      </c>
    </row>
    <row r="498" spans="1:18" x14ac:dyDescent="0.3">
      <c r="A498">
        <v>7</v>
      </c>
      <c r="B498">
        <v>7</v>
      </c>
      <c r="C498" t="s">
        <v>5</v>
      </c>
      <c r="D498">
        <v>2.71</v>
      </c>
      <c r="E498">
        <v>983.72299999999996</v>
      </c>
      <c r="F498" t="s">
        <v>394</v>
      </c>
      <c r="G498" s="31">
        <v>0.19</v>
      </c>
    </row>
    <row r="499" spans="1:18" x14ac:dyDescent="0.3">
      <c r="A499">
        <v>8</v>
      </c>
      <c r="B499">
        <v>8</v>
      </c>
      <c r="C499" t="s">
        <v>6</v>
      </c>
      <c r="D499">
        <v>0.66</v>
      </c>
      <c r="E499">
        <v>3494.297</v>
      </c>
      <c r="F499" t="s">
        <v>395</v>
      </c>
      <c r="G499" s="31">
        <v>48.71</v>
      </c>
      <c r="L499" t="s">
        <v>509</v>
      </c>
    </row>
    <row r="500" spans="1:18" x14ac:dyDescent="0.3">
      <c r="A500">
        <v>9</v>
      </c>
      <c r="B500">
        <v>9</v>
      </c>
      <c r="C500" t="s">
        <v>7</v>
      </c>
      <c r="D500">
        <v>3.56</v>
      </c>
      <c r="E500">
        <v>506.85300000000001</v>
      </c>
      <c r="F500" t="s">
        <v>396</v>
      </c>
      <c r="G500" s="31">
        <v>1.65</v>
      </c>
    </row>
    <row r="501" spans="1:18" x14ac:dyDescent="0.3">
      <c r="A501">
        <v>10</v>
      </c>
      <c r="B501">
        <v>10</v>
      </c>
      <c r="C501" t="s">
        <v>51</v>
      </c>
      <c r="D501">
        <v>4.5999999999999996</v>
      </c>
      <c r="E501">
        <v>675.45799999999997</v>
      </c>
      <c r="F501" t="s">
        <v>397</v>
      </c>
      <c r="G501" s="31">
        <v>0.16</v>
      </c>
      <c r="L501" t="s">
        <v>549</v>
      </c>
    </row>
    <row r="502" spans="1:18" x14ac:dyDescent="0.3">
      <c r="A502">
        <v>11</v>
      </c>
      <c r="B502">
        <v>11</v>
      </c>
      <c r="C502" t="s">
        <v>8</v>
      </c>
      <c r="D502">
        <v>2.74</v>
      </c>
      <c r="E502">
        <v>40358.667999999998</v>
      </c>
      <c r="F502" t="s">
        <v>398</v>
      </c>
      <c r="G502" s="31">
        <v>2.5499999999999998</v>
      </c>
    </row>
    <row r="503" spans="1:18" x14ac:dyDescent="0.3">
      <c r="A503">
        <v>12</v>
      </c>
      <c r="B503">
        <v>12</v>
      </c>
      <c r="C503" t="s">
        <v>9</v>
      </c>
      <c r="D503">
        <v>2.61</v>
      </c>
      <c r="E503">
        <v>2236.7280000000001</v>
      </c>
      <c r="F503" t="s">
        <v>399</v>
      </c>
      <c r="G503" s="31">
        <v>1.2</v>
      </c>
      <c r="M503" t="s">
        <v>382</v>
      </c>
      <c r="N503" t="s">
        <v>383</v>
      </c>
      <c r="O503" t="s">
        <v>384</v>
      </c>
      <c r="P503" t="s">
        <v>385</v>
      </c>
      <c r="Q503" t="s">
        <v>386</v>
      </c>
      <c r="R503" s="31" t="s">
        <v>387</v>
      </c>
    </row>
    <row r="504" spans="1:18" x14ac:dyDescent="0.3">
      <c r="A504">
        <v>13</v>
      </c>
      <c r="B504">
        <v>13</v>
      </c>
      <c r="C504" t="s">
        <v>10</v>
      </c>
      <c r="D504">
        <v>4.08</v>
      </c>
      <c r="E504">
        <v>1083067.25</v>
      </c>
      <c r="F504" t="s">
        <v>400</v>
      </c>
      <c r="G504" s="31">
        <v>107.2</v>
      </c>
      <c r="L504">
        <v>1</v>
      </c>
      <c r="M504">
        <v>1</v>
      </c>
      <c r="N504" t="s">
        <v>35</v>
      </c>
      <c r="O504">
        <v>1.44</v>
      </c>
      <c r="P504">
        <v>11533.534</v>
      </c>
      <c r="Q504" t="s">
        <v>511</v>
      </c>
      <c r="R504" s="31">
        <v>9.4700000000000006</v>
      </c>
    </row>
    <row r="505" spans="1:18" x14ac:dyDescent="0.3">
      <c r="A505">
        <v>14</v>
      </c>
      <c r="B505">
        <v>14</v>
      </c>
      <c r="C505" t="s">
        <v>11</v>
      </c>
      <c r="D505">
        <v>3.52</v>
      </c>
      <c r="E505">
        <v>8.0350000000000001</v>
      </c>
      <c r="F505" t="s">
        <v>401</v>
      </c>
      <c r="G505" s="31">
        <v>1.73</v>
      </c>
      <c r="L505">
        <v>2</v>
      </c>
      <c r="M505">
        <v>2</v>
      </c>
      <c r="N505" t="s">
        <v>36</v>
      </c>
      <c r="O505">
        <v>1.66</v>
      </c>
      <c r="P505">
        <v>1334654.5</v>
      </c>
      <c r="Q505" t="s">
        <v>512</v>
      </c>
      <c r="R505" s="31">
        <v>177.23</v>
      </c>
    </row>
    <row r="506" spans="1:18" x14ac:dyDescent="0.3">
      <c r="A506">
        <v>15</v>
      </c>
      <c r="B506">
        <v>15</v>
      </c>
      <c r="C506" t="s">
        <v>12</v>
      </c>
      <c r="D506">
        <v>3.32</v>
      </c>
      <c r="E506">
        <v>306.53399999999999</v>
      </c>
      <c r="F506" t="s">
        <v>402</v>
      </c>
      <c r="G506" s="31">
        <v>1.61</v>
      </c>
      <c r="L506">
        <v>3</v>
      </c>
      <c r="M506">
        <v>3</v>
      </c>
      <c r="N506" t="s">
        <v>37</v>
      </c>
      <c r="O506">
        <v>1.79</v>
      </c>
      <c r="P506">
        <v>720.50199999999995</v>
      </c>
      <c r="Q506" t="s">
        <v>513</v>
      </c>
      <c r="R506" s="31">
        <v>0.19</v>
      </c>
    </row>
    <row r="507" spans="1:18" x14ac:dyDescent="0.3">
      <c r="A507">
        <v>16</v>
      </c>
      <c r="B507">
        <v>16</v>
      </c>
      <c r="C507" t="s">
        <v>13</v>
      </c>
      <c r="D507">
        <v>3.23</v>
      </c>
      <c r="E507">
        <v>6381.1850000000004</v>
      </c>
      <c r="F507" t="s">
        <v>403</v>
      </c>
      <c r="G507" s="31">
        <v>1.52</v>
      </c>
      <c r="L507">
        <v>4</v>
      </c>
      <c r="M507">
        <v>4</v>
      </c>
      <c r="N507" t="s">
        <v>38</v>
      </c>
      <c r="O507">
        <v>1.18</v>
      </c>
      <c r="P507">
        <v>4463.5929999999998</v>
      </c>
      <c r="Q507" t="s">
        <v>514</v>
      </c>
      <c r="R507" s="31">
        <v>0.68</v>
      </c>
    </row>
    <row r="508" spans="1:18" x14ac:dyDescent="0.3">
      <c r="A508">
        <v>17</v>
      </c>
      <c r="B508">
        <v>17</v>
      </c>
      <c r="C508" t="s">
        <v>14</v>
      </c>
      <c r="D508">
        <v>2</v>
      </c>
      <c r="E508">
        <v>24410.85</v>
      </c>
      <c r="F508" t="s">
        <v>404</v>
      </c>
      <c r="G508" s="31">
        <v>4.6399999999999997</v>
      </c>
      <c r="L508">
        <v>5</v>
      </c>
      <c r="M508">
        <v>5</v>
      </c>
      <c r="N508" t="s">
        <v>39</v>
      </c>
      <c r="O508">
        <v>1.37</v>
      </c>
      <c r="P508">
        <v>259116.31299999999</v>
      </c>
      <c r="Q508" t="s">
        <v>515</v>
      </c>
      <c r="R508" s="31">
        <v>45.81</v>
      </c>
    </row>
    <row r="509" spans="1:18" x14ac:dyDescent="0.3">
      <c r="A509">
        <v>18</v>
      </c>
      <c r="B509">
        <v>18</v>
      </c>
      <c r="C509" t="s">
        <v>15</v>
      </c>
      <c r="D509">
        <v>2.48</v>
      </c>
      <c r="E509">
        <v>20205.998</v>
      </c>
      <c r="F509" t="s">
        <v>405</v>
      </c>
      <c r="G509" s="31">
        <v>11.95</v>
      </c>
      <c r="L509">
        <v>6</v>
      </c>
      <c r="M509">
        <v>6</v>
      </c>
      <c r="N509" t="s">
        <v>40</v>
      </c>
      <c r="O509">
        <v>1.52</v>
      </c>
      <c r="P509">
        <v>21867.166000000001</v>
      </c>
      <c r="Q509" t="s">
        <v>516</v>
      </c>
      <c r="R509" s="31">
        <v>2.1800000000000002</v>
      </c>
    </row>
    <row r="510" spans="1:18" x14ac:dyDescent="0.3">
      <c r="A510">
        <v>19</v>
      </c>
      <c r="B510">
        <v>19</v>
      </c>
      <c r="C510" t="s">
        <v>16</v>
      </c>
      <c r="D510">
        <v>2.71</v>
      </c>
      <c r="E510">
        <v>3951.4490000000001</v>
      </c>
      <c r="F510" t="s">
        <v>406</v>
      </c>
      <c r="G510" s="31">
        <v>0.28999999999999998</v>
      </c>
      <c r="L510">
        <v>7</v>
      </c>
      <c r="M510">
        <v>7</v>
      </c>
      <c r="N510" t="s">
        <v>41</v>
      </c>
      <c r="O510">
        <v>2.2799999999999998</v>
      </c>
      <c r="P510">
        <v>4988.0590000000002</v>
      </c>
      <c r="Q510" t="s">
        <v>517</v>
      </c>
      <c r="R510" s="31">
        <v>4.5</v>
      </c>
    </row>
    <row r="511" spans="1:18" x14ac:dyDescent="0.3">
      <c r="A511">
        <v>20</v>
      </c>
      <c r="B511">
        <v>20</v>
      </c>
      <c r="C511" t="s">
        <v>17</v>
      </c>
      <c r="D511">
        <v>3.13</v>
      </c>
      <c r="E511">
        <v>9596.6010000000006</v>
      </c>
      <c r="F511" t="s">
        <v>407</v>
      </c>
      <c r="G511" s="31">
        <v>2.15</v>
      </c>
      <c r="L511">
        <v>8</v>
      </c>
      <c r="M511">
        <v>8</v>
      </c>
      <c r="N511" t="s">
        <v>42</v>
      </c>
      <c r="O511">
        <v>0.88</v>
      </c>
      <c r="P511">
        <v>33.244999999999997</v>
      </c>
      <c r="Q511" t="s">
        <v>518</v>
      </c>
      <c r="R511" s="31">
        <v>17.46</v>
      </c>
    </row>
    <row r="512" spans="1:18" x14ac:dyDescent="0.3">
      <c r="A512">
        <v>21</v>
      </c>
      <c r="B512">
        <v>21</v>
      </c>
      <c r="C512" t="s">
        <v>18</v>
      </c>
      <c r="D512">
        <v>3.68</v>
      </c>
      <c r="E512">
        <v>12055.392</v>
      </c>
      <c r="F512" t="s">
        <v>408</v>
      </c>
      <c r="G512" s="31">
        <v>0.64</v>
      </c>
      <c r="L512">
        <v>9</v>
      </c>
      <c r="M512">
        <v>9</v>
      </c>
      <c r="N512" t="s">
        <v>43</v>
      </c>
      <c r="O512">
        <v>2.54</v>
      </c>
      <c r="P512">
        <v>8678.36</v>
      </c>
      <c r="Q512" t="s">
        <v>519</v>
      </c>
      <c r="R512" s="31">
        <v>0.13</v>
      </c>
    </row>
    <row r="513" spans="1:18" x14ac:dyDescent="0.3">
      <c r="A513">
        <v>22</v>
      </c>
      <c r="B513">
        <v>22</v>
      </c>
      <c r="C513" t="s">
        <v>19</v>
      </c>
      <c r="D513">
        <v>2.62</v>
      </c>
      <c r="E513">
        <v>19058.52</v>
      </c>
      <c r="F513" t="s">
        <v>409</v>
      </c>
      <c r="G513" s="31">
        <v>2.92</v>
      </c>
      <c r="L513">
        <v>10</v>
      </c>
      <c r="M513">
        <v>10</v>
      </c>
      <c r="N513" t="s">
        <v>52</v>
      </c>
      <c r="O513">
        <v>4.12</v>
      </c>
      <c r="P513">
        <v>36146.597999999998</v>
      </c>
      <c r="Q513" t="s">
        <v>520</v>
      </c>
      <c r="R513" s="31">
        <v>2.1</v>
      </c>
    </row>
    <row r="514" spans="1:18" x14ac:dyDescent="0.3">
      <c r="A514">
        <v>23</v>
      </c>
      <c r="B514">
        <v>23</v>
      </c>
      <c r="C514" t="s">
        <v>20</v>
      </c>
      <c r="D514">
        <v>2.89</v>
      </c>
      <c r="E514">
        <v>21790.49</v>
      </c>
      <c r="F514" t="s">
        <v>410</v>
      </c>
      <c r="G514" s="31">
        <v>1.61</v>
      </c>
      <c r="L514">
        <v>11</v>
      </c>
      <c r="M514">
        <v>11</v>
      </c>
      <c r="N514" t="s">
        <v>44</v>
      </c>
      <c r="O514">
        <v>4.28</v>
      </c>
      <c r="P514">
        <v>1183.0129999999999</v>
      </c>
      <c r="Q514" t="s">
        <v>521</v>
      </c>
      <c r="R514" s="31">
        <v>0.23</v>
      </c>
    </row>
    <row r="515" spans="1:18" x14ac:dyDescent="0.3">
      <c r="A515">
        <v>24</v>
      </c>
      <c r="B515">
        <v>24</v>
      </c>
      <c r="C515" t="s">
        <v>21</v>
      </c>
      <c r="D515">
        <v>4.13</v>
      </c>
      <c r="E515">
        <v>488.34800000000001</v>
      </c>
      <c r="F515" t="s">
        <v>411</v>
      </c>
      <c r="G515" s="31">
        <v>0.13</v>
      </c>
      <c r="L515">
        <v>12</v>
      </c>
      <c r="M515">
        <v>12</v>
      </c>
      <c r="N515" t="s">
        <v>45</v>
      </c>
      <c r="O515">
        <v>3.45</v>
      </c>
      <c r="P515">
        <v>1489075.25</v>
      </c>
      <c r="Q515" t="s">
        <v>522</v>
      </c>
      <c r="R515" s="31">
        <v>32.89</v>
      </c>
    </row>
    <row r="516" spans="1:18" x14ac:dyDescent="0.3">
      <c r="A516">
        <v>25</v>
      </c>
      <c r="B516">
        <v>25</v>
      </c>
      <c r="C516" t="s">
        <v>22</v>
      </c>
      <c r="D516">
        <v>3.42</v>
      </c>
      <c r="E516">
        <v>149.22999999999999</v>
      </c>
      <c r="F516" t="s">
        <v>412</v>
      </c>
      <c r="G516" s="31">
        <v>4.16</v>
      </c>
      <c r="L516">
        <v>13</v>
      </c>
      <c r="M516">
        <v>13</v>
      </c>
      <c r="N516" t="s">
        <v>46</v>
      </c>
      <c r="O516">
        <v>2.6</v>
      </c>
      <c r="P516">
        <v>159967.359</v>
      </c>
      <c r="Q516" t="s">
        <v>523</v>
      </c>
      <c r="R516" s="31">
        <v>7.43</v>
      </c>
    </row>
    <row r="517" spans="1:18" x14ac:dyDescent="0.3">
      <c r="A517">
        <v>26</v>
      </c>
      <c r="B517">
        <v>26</v>
      </c>
      <c r="C517" t="s">
        <v>23</v>
      </c>
      <c r="D517">
        <v>3.35</v>
      </c>
      <c r="E517">
        <v>41203.531000000003</v>
      </c>
      <c r="F517" t="s">
        <v>413</v>
      </c>
      <c r="G517" s="31">
        <v>4.7300000000000004</v>
      </c>
      <c r="L517">
        <v>14</v>
      </c>
      <c r="M517">
        <v>14</v>
      </c>
      <c r="N517" t="s">
        <v>47</v>
      </c>
      <c r="O517">
        <v>0.68</v>
      </c>
      <c r="P517">
        <v>31989.671999999999</v>
      </c>
      <c r="Q517" t="s">
        <v>524</v>
      </c>
      <c r="R517" s="31">
        <v>14.96</v>
      </c>
    </row>
    <row r="518" spans="1:18" x14ac:dyDescent="0.3">
      <c r="A518">
        <v>27</v>
      </c>
      <c r="B518">
        <v>27</v>
      </c>
      <c r="C518" t="s">
        <v>24</v>
      </c>
      <c r="D518">
        <v>3.44</v>
      </c>
      <c r="E518">
        <v>1256.617</v>
      </c>
      <c r="F518" t="s">
        <v>414</v>
      </c>
      <c r="G518" s="31">
        <v>0.99</v>
      </c>
      <c r="L518">
        <v>15</v>
      </c>
      <c r="M518">
        <v>15</v>
      </c>
      <c r="N518" t="s">
        <v>48</v>
      </c>
      <c r="O518">
        <v>1.21</v>
      </c>
      <c r="P518">
        <v>25692.905999999999</v>
      </c>
      <c r="Q518" t="s">
        <v>525</v>
      </c>
      <c r="R518" s="31">
        <v>3.61</v>
      </c>
    </row>
    <row r="519" spans="1:18" x14ac:dyDescent="0.3">
      <c r="A519">
        <v>28</v>
      </c>
      <c r="B519">
        <v>28</v>
      </c>
      <c r="C519" t="s">
        <v>25</v>
      </c>
      <c r="D519">
        <v>3.51</v>
      </c>
      <c r="E519">
        <v>4986.4970000000003</v>
      </c>
      <c r="F519" t="s">
        <v>415</v>
      </c>
      <c r="G519" s="31">
        <v>1.0900000000000001</v>
      </c>
      <c r="L519">
        <v>16</v>
      </c>
      <c r="M519">
        <v>16</v>
      </c>
      <c r="N519" t="s">
        <v>53</v>
      </c>
      <c r="O519">
        <v>4.5599999999999996</v>
      </c>
      <c r="P519">
        <v>81011.641000000003</v>
      </c>
      <c r="Q519" t="s">
        <v>526</v>
      </c>
      <c r="R519" s="31">
        <v>1.1200000000000001</v>
      </c>
    </row>
    <row r="520" spans="1:18" x14ac:dyDescent="0.3">
      <c r="A520">
        <v>29</v>
      </c>
      <c r="B520">
        <v>29</v>
      </c>
      <c r="C520" t="s">
        <v>26</v>
      </c>
      <c r="D520">
        <v>1.04</v>
      </c>
      <c r="E520">
        <v>1488.2449999999999</v>
      </c>
      <c r="F520" t="s">
        <v>416</v>
      </c>
      <c r="G520" s="31">
        <v>1.97</v>
      </c>
      <c r="L520">
        <v>17</v>
      </c>
      <c r="M520">
        <v>17</v>
      </c>
      <c r="N520" t="s">
        <v>54</v>
      </c>
      <c r="O520">
        <v>5.18</v>
      </c>
      <c r="P520">
        <v>921.57299999999998</v>
      </c>
      <c r="Q520" t="s">
        <v>527</v>
      </c>
      <c r="R520" s="31">
        <v>0.11</v>
      </c>
    </row>
    <row r="521" spans="1:18" x14ac:dyDescent="0.3">
      <c r="A521">
        <v>30</v>
      </c>
      <c r="B521">
        <v>30</v>
      </c>
      <c r="C521" t="s">
        <v>27</v>
      </c>
      <c r="D521">
        <v>4.33</v>
      </c>
      <c r="E521">
        <v>1093.0609999999999</v>
      </c>
      <c r="F521" t="s">
        <v>417</v>
      </c>
      <c r="G521" s="31">
        <v>0.11</v>
      </c>
      <c r="L521">
        <v>18</v>
      </c>
      <c r="M521">
        <v>18</v>
      </c>
      <c r="N521" t="s">
        <v>55</v>
      </c>
      <c r="O521">
        <v>1.32</v>
      </c>
      <c r="P521">
        <v>2217.0230000000001</v>
      </c>
      <c r="Q521" t="s">
        <v>528</v>
      </c>
      <c r="R521" s="31">
        <v>0.08</v>
      </c>
    </row>
    <row r="522" spans="1:18" x14ac:dyDescent="0.3">
      <c r="A522">
        <v>31</v>
      </c>
      <c r="B522">
        <v>31</v>
      </c>
      <c r="C522" t="s">
        <v>28</v>
      </c>
      <c r="D522">
        <v>3</v>
      </c>
      <c r="E522">
        <v>47927.059000000001</v>
      </c>
      <c r="F522" t="s">
        <v>418</v>
      </c>
      <c r="G522" s="31">
        <v>0.19</v>
      </c>
      <c r="L522">
        <v>19</v>
      </c>
      <c r="M522">
        <v>19</v>
      </c>
      <c r="N522" t="s">
        <v>56</v>
      </c>
      <c r="O522">
        <v>0.87</v>
      </c>
      <c r="P522">
        <v>18292.932000000001</v>
      </c>
      <c r="Q522" t="s">
        <v>529</v>
      </c>
      <c r="R522" s="31">
        <v>0.66</v>
      </c>
    </row>
    <row r="523" spans="1:18" x14ac:dyDescent="0.3">
      <c r="A523">
        <v>32</v>
      </c>
      <c r="B523">
        <v>32</v>
      </c>
      <c r="C523" t="s">
        <v>29</v>
      </c>
      <c r="D523">
        <v>3.35</v>
      </c>
      <c r="E523">
        <v>272.05399999999997</v>
      </c>
      <c r="F523" t="s">
        <v>419</v>
      </c>
      <c r="G523" s="31">
        <v>0.09</v>
      </c>
      <c r="L523">
        <v>20</v>
      </c>
      <c r="M523">
        <v>20</v>
      </c>
      <c r="N523" t="s">
        <v>57</v>
      </c>
      <c r="O523">
        <v>1.51</v>
      </c>
      <c r="P523">
        <v>1132.9000000000001</v>
      </c>
      <c r="Q523" t="s">
        <v>530</v>
      </c>
      <c r="R523" s="31">
        <v>0.41</v>
      </c>
    </row>
    <row r="524" spans="1:18" x14ac:dyDescent="0.3">
      <c r="A524">
        <v>33</v>
      </c>
      <c r="B524">
        <v>33</v>
      </c>
      <c r="C524" t="s">
        <v>30</v>
      </c>
      <c r="D524">
        <v>4.67</v>
      </c>
      <c r="E524">
        <v>21732.641</v>
      </c>
      <c r="F524" t="s">
        <v>420</v>
      </c>
      <c r="G524" s="31">
        <v>0.94</v>
      </c>
      <c r="L524">
        <v>21</v>
      </c>
      <c r="M524">
        <v>21</v>
      </c>
      <c r="N524" t="s">
        <v>58</v>
      </c>
      <c r="O524">
        <v>2.33</v>
      </c>
      <c r="P524">
        <v>983.548</v>
      </c>
      <c r="Q524" t="s">
        <v>531</v>
      </c>
      <c r="R524" s="31">
        <v>0.55000000000000004</v>
      </c>
    </row>
    <row r="525" spans="1:18" x14ac:dyDescent="0.3">
      <c r="A525">
        <v>34</v>
      </c>
      <c r="B525">
        <v>34</v>
      </c>
      <c r="C525" t="s">
        <v>31</v>
      </c>
      <c r="D525">
        <v>3.5</v>
      </c>
      <c r="E525">
        <v>894.96699999999998</v>
      </c>
      <c r="F525" t="s">
        <v>421</v>
      </c>
      <c r="G525" s="31">
        <v>0.1</v>
      </c>
      <c r="L525">
        <v>22</v>
      </c>
      <c r="M525">
        <v>22</v>
      </c>
      <c r="N525" t="s">
        <v>59</v>
      </c>
      <c r="O525">
        <v>2.5</v>
      </c>
      <c r="P525">
        <v>96375.210999999996</v>
      </c>
      <c r="Q525" t="s">
        <v>532</v>
      </c>
      <c r="R525" s="31">
        <v>13.17</v>
      </c>
    </row>
    <row r="526" spans="1:18" x14ac:dyDescent="0.3">
      <c r="A526">
        <v>35</v>
      </c>
      <c r="B526">
        <v>35</v>
      </c>
      <c r="C526" t="s">
        <v>32</v>
      </c>
      <c r="D526">
        <v>3.06</v>
      </c>
      <c r="E526">
        <v>547.33500000000004</v>
      </c>
      <c r="F526" t="s">
        <v>422</v>
      </c>
      <c r="G526" s="31">
        <v>0.09</v>
      </c>
      <c r="L526">
        <v>23</v>
      </c>
      <c r="M526">
        <v>23</v>
      </c>
      <c r="N526" t="s">
        <v>60</v>
      </c>
      <c r="O526">
        <v>2.59</v>
      </c>
      <c r="P526">
        <v>21851.27</v>
      </c>
      <c r="Q526" t="s">
        <v>533</v>
      </c>
      <c r="R526" s="31">
        <v>1.44</v>
      </c>
    </row>
    <row r="527" spans="1:18" x14ac:dyDescent="0.3">
      <c r="A527">
        <v>36</v>
      </c>
      <c r="B527">
        <v>36</v>
      </c>
      <c r="C527" t="s">
        <v>33</v>
      </c>
      <c r="D527">
        <v>1.88</v>
      </c>
      <c r="E527">
        <v>1479.7729999999999</v>
      </c>
      <c r="F527" t="s">
        <v>423</v>
      </c>
      <c r="G527" s="31">
        <v>1.18</v>
      </c>
    </row>
    <row r="528" spans="1:18" x14ac:dyDescent="0.3">
      <c r="G528" s="31">
        <f>G505/G507</f>
        <v>1.138157894736842</v>
      </c>
      <c r="L528" t="s">
        <v>379</v>
      </c>
    </row>
    <row r="529" spans="1:18" x14ac:dyDescent="0.3">
      <c r="A529" t="s">
        <v>379</v>
      </c>
    </row>
    <row r="530" spans="1:18" x14ac:dyDescent="0.3">
      <c r="L530" t="s">
        <v>509</v>
      </c>
    </row>
    <row r="531" spans="1:18" x14ac:dyDescent="0.3">
      <c r="A531" t="s">
        <v>380</v>
      </c>
    </row>
    <row r="532" spans="1:18" x14ac:dyDescent="0.3">
      <c r="L532" t="s">
        <v>550</v>
      </c>
    </row>
    <row r="533" spans="1:18" x14ac:dyDescent="0.3">
      <c r="A533" t="s">
        <v>435</v>
      </c>
    </row>
    <row r="534" spans="1:18" x14ac:dyDescent="0.3">
      <c r="M534" t="s">
        <v>382</v>
      </c>
      <c r="N534" t="s">
        <v>383</v>
      </c>
      <c r="O534" t="s">
        <v>384</v>
      </c>
      <c r="P534" t="s">
        <v>385</v>
      </c>
      <c r="Q534" t="s">
        <v>386</v>
      </c>
      <c r="R534" s="31" t="s">
        <v>387</v>
      </c>
    </row>
    <row r="535" spans="1:18" x14ac:dyDescent="0.3">
      <c r="B535" t="s">
        <v>382</v>
      </c>
      <c r="C535" t="s">
        <v>383</v>
      </c>
      <c r="D535" t="s">
        <v>384</v>
      </c>
      <c r="E535" t="s">
        <v>385</v>
      </c>
      <c r="F535" t="s">
        <v>386</v>
      </c>
      <c r="G535" s="31" t="s">
        <v>387</v>
      </c>
      <c r="L535">
        <v>1</v>
      </c>
      <c r="M535">
        <v>1</v>
      </c>
      <c r="N535" t="s">
        <v>35</v>
      </c>
      <c r="O535">
        <v>1.48</v>
      </c>
      <c r="P535">
        <v>33.735999999999997</v>
      </c>
      <c r="Q535" t="s">
        <v>511</v>
      </c>
      <c r="R535" s="31">
        <v>81.97</v>
      </c>
    </row>
    <row r="536" spans="1:18" x14ac:dyDescent="0.3">
      <c r="A536">
        <v>1</v>
      </c>
      <c r="B536">
        <v>1</v>
      </c>
      <c r="C536" t="s">
        <v>0</v>
      </c>
      <c r="D536">
        <v>1.03</v>
      </c>
      <c r="E536">
        <v>16.914999999999999</v>
      </c>
      <c r="F536" t="s">
        <v>388</v>
      </c>
      <c r="G536" s="31">
        <v>0.1</v>
      </c>
      <c r="L536">
        <v>2</v>
      </c>
      <c r="M536">
        <v>2</v>
      </c>
      <c r="N536" t="s">
        <v>36</v>
      </c>
      <c r="O536">
        <v>1.69</v>
      </c>
      <c r="P536">
        <v>100.994</v>
      </c>
      <c r="Q536" t="s">
        <v>512</v>
      </c>
      <c r="R536" s="31">
        <v>427.81</v>
      </c>
    </row>
    <row r="537" spans="1:18" x14ac:dyDescent="0.3">
      <c r="A537">
        <v>2</v>
      </c>
      <c r="B537">
        <v>2</v>
      </c>
      <c r="C537" t="s">
        <v>1</v>
      </c>
      <c r="D537">
        <v>1.45</v>
      </c>
      <c r="E537">
        <v>146.25800000000001</v>
      </c>
      <c r="F537" t="s">
        <v>389</v>
      </c>
      <c r="G537" s="31">
        <v>6.06</v>
      </c>
      <c r="L537">
        <v>3</v>
      </c>
      <c r="M537">
        <v>3</v>
      </c>
      <c r="N537" t="s">
        <v>37</v>
      </c>
      <c r="Q537" t="s">
        <v>513</v>
      </c>
      <c r="R537" s="31">
        <v>0.1</v>
      </c>
    </row>
    <row r="538" spans="1:18" x14ac:dyDescent="0.3">
      <c r="A538">
        <v>3</v>
      </c>
      <c r="B538">
        <v>3</v>
      </c>
      <c r="C538" t="s">
        <v>50</v>
      </c>
      <c r="D538">
        <v>3.74</v>
      </c>
      <c r="E538">
        <v>35.460999999999999</v>
      </c>
      <c r="F538" t="s">
        <v>390</v>
      </c>
      <c r="G538" s="31">
        <v>0.38</v>
      </c>
      <c r="L538">
        <v>4</v>
      </c>
      <c r="M538">
        <v>4</v>
      </c>
      <c r="N538" t="s">
        <v>38</v>
      </c>
      <c r="O538">
        <v>1.1299999999999999</v>
      </c>
      <c r="P538">
        <v>308.714</v>
      </c>
      <c r="Q538" t="s">
        <v>514</v>
      </c>
      <c r="R538" s="31">
        <v>1.04</v>
      </c>
    </row>
    <row r="539" spans="1:18" x14ac:dyDescent="0.3">
      <c r="A539">
        <v>4</v>
      </c>
      <c r="B539">
        <v>4</v>
      </c>
      <c r="C539" t="s">
        <v>2</v>
      </c>
      <c r="D539">
        <v>3.88</v>
      </c>
      <c r="E539">
        <v>73.436000000000007</v>
      </c>
      <c r="F539" t="s">
        <v>391</v>
      </c>
      <c r="G539" s="31">
        <v>0.77</v>
      </c>
      <c r="L539">
        <v>5</v>
      </c>
      <c r="M539">
        <v>5</v>
      </c>
      <c r="N539" t="s">
        <v>39</v>
      </c>
      <c r="O539">
        <v>1.43</v>
      </c>
      <c r="P539">
        <v>81.602000000000004</v>
      </c>
      <c r="Q539" t="s">
        <v>515</v>
      </c>
      <c r="R539" s="31">
        <v>45.93</v>
      </c>
    </row>
    <row r="540" spans="1:18" x14ac:dyDescent="0.3">
      <c r="A540">
        <v>5</v>
      </c>
      <c r="B540">
        <v>5</v>
      </c>
      <c r="C540" t="s">
        <v>3</v>
      </c>
      <c r="D540">
        <v>4.51</v>
      </c>
      <c r="E540">
        <v>205.553</v>
      </c>
      <c r="F540" t="s">
        <v>392</v>
      </c>
      <c r="G540" s="31">
        <v>0.28000000000000003</v>
      </c>
      <c r="L540">
        <v>6</v>
      </c>
      <c r="M540">
        <v>6</v>
      </c>
      <c r="N540" t="s">
        <v>40</v>
      </c>
      <c r="Q540" t="s">
        <v>516</v>
      </c>
      <c r="R540" s="31">
        <v>0.1</v>
      </c>
    </row>
    <row r="541" spans="1:18" x14ac:dyDescent="0.3">
      <c r="A541">
        <v>6</v>
      </c>
      <c r="B541">
        <v>6</v>
      </c>
      <c r="C541" t="s">
        <v>4</v>
      </c>
      <c r="D541">
        <v>4.83</v>
      </c>
      <c r="E541">
        <v>44.000999999999998</v>
      </c>
      <c r="F541" t="s">
        <v>393</v>
      </c>
      <c r="G541" s="31">
        <v>2.2999999999999998</v>
      </c>
      <c r="L541">
        <v>7</v>
      </c>
      <c r="M541">
        <v>7</v>
      </c>
      <c r="N541" t="s">
        <v>41</v>
      </c>
      <c r="Q541" t="s">
        <v>517</v>
      </c>
      <c r="R541" s="31">
        <v>0.1</v>
      </c>
    </row>
    <row r="542" spans="1:18" x14ac:dyDescent="0.3">
      <c r="A542">
        <v>7</v>
      </c>
      <c r="B542">
        <v>7</v>
      </c>
      <c r="C542" t="s">
        <v>5</v>
      </c>
      <c r="D542">
        <v>2.74</v>
      </c>
      <c r="E542">
        <v>19.875</v>
      </c>
      <c r="F542" t="s">
        <v>394</v>
      </c>
      <c r="G542" s="31">
        <v>0.08</v>
      </c>
      <c r="L542">
        <v>8</v>
      </c>
      <c r="M542">
        <v>8</v>
      </c>
      <c r="N542" t="s">
        <v>42</v>
      </c>
      <c r="Q542" t="s">
        <v>518</v>
      </c>
      <c r="R542" s="31">
        <v>0.1</v>
      </c>
    </row>
    <row r="543" spans="1:18" x14ac:dyDescent="0.3">
      <c r="A543">
        <v>8</v>
      </c>
      <c r="B543">
        <v>8</v>
      </c>
      <c r="C543" t="s">
        <v>6</v>
      </c>
      <c r="F543" t="s">
        <v>395</v>
      </c>
      <c r="G543" s="31">
        <v>0.1</v>
      </c>
      <c r="L543">
        <v>9</v>
      </c>
      <c r="M543">
        <v>9</v>
      </c>
      <c r="N543" t="s">
        <v>43</v>
      </c>
      <c r="O543">
        <v>2.5499999999999998</v>
      </c>
      <c r="P543">
        <v>69.861000000000004</v>
      </c>
      <c r="Q543" t="s">
        <v>519</v>
      </c>
      <c r="R543" s="31">
        <v>0.12</v>
      </c>
    </row>
    <row r="544" spans="1:18" x14ac:dyDescent="0.3">
      <c r="A544">
        <v>9</v>
      </c>
      <c r="B544">
        <v>9</v>
      </c>
      <c r="C544" t="s">
        <v>7</v>
      </c>
      <c r="D544">
        <v>3.59</v>
      </c>
      <c r="E544">
        <v>55.768999999999998</v>
      </c>
      <c r="F544" t="s">
        <v>396</v>
      </c>
      <c r="G544" s="31">
        <v>1.99</v>
      </c>
      <c r="L544">
        <v>10</v>
      </c>
      <c r="M544">
        <v>10</v>
      </c>
      <c r="N544" t="s">
        <v>52</v>
      </c>
      <c r="O544">
        <v>4.2300000000000004</v>
      </c>
      <c r="P544">
        <v>29.192</v>
      </c>
      <c r="Q544" t="s">
        <v>520</v>
      </c>
      <c r="R544" s="31">
        <v>0.1</v>
      </c>
    </row>
    <row r="545" spans="1:18" x14ac:dyDescent="0.3">
      <c r="A545">
        <v>10</v>
      </c>
      <c r="B545">
        <v>10</v>
      </c>
      <c r="C545" t="s">
        <v>51</v>
      </c>
      <c r="D545">
        <v>4.6900000000000004</v>
      </c>
      <c r="E545">
        <v>393.93200000000002</v>
      </c>
      <c r="F545" t="s">
        <v>397</v>
      </c>
      <c r="G545" s="31">
        <v>0.63</v>
      </c>
      <c r="L545">
        <v>11</v>
      </c>
      <c r="M545">
        <v>11</v>
      </c>
      <c r="N545" t="s">
        <v>44</v>
      </c>
      <c r="Q545" t="s">
        <v>521</v>
      </c>
      <c r="R545" s="31">
        <v>0.1</v>
      </c>
    </row>
    <row r="546" spans="1:18" x14ac:dyDescent="0.3">
      <c r="A546">
        <v>11</v>
      </c>
      <c r="B546">
        <v>11</v>
      </c>
      <c r="C546" t="s">
        <v>8</v>
      </c>
      <c r="D546">
        <v>2.81</v>
      </c>
      <c r="E546">
        <v>1.5960000000000001</v>
      </c>
      <c r="F546" t="s">
        <v>398</v>
      </c>
      <c r="G546" s="31">
        <v>1.63</v>
      </c>
      <c r="L546">
        <v>12</v>
      </c>
      <c r="M546">
        <v>12</v>
      </c>
      <c r="N546" t="s">
        <v>45</v>
      </c>
      <c r="O546">
        <v>3.54</v>
      </c>
      <c r="P546">
        <v>140.34800000000001</v>
      </c>
      <c r="Q546" t="s">
        <v>522</v>
      </c>
      <c r="R546" s="31">
        <v>0.1</v>
      </c>
    </row>
    <row r="547" spans="1:18" x14ac:dyDescent="0.3">
      <c r="A547">
        <v>12</v>
      </c>
      <c r="B547">
        <v>12</v>
      </c>
      <c r="C547" t="s">
        <v>9</v>
      </c>
      <c r="D547">
        <v>2.73</v>
      </c>
      <c r="E547">
        <v>98.153000000000006</v>
      </c>
      <c r="F547" t="s">
        <v>399</v>
      </c>
      <c r="G547" s="31">
        <v>2.9</v>
      </c>
      <c r="L547">
        <v>13</v>
      </c>
      <c r="M547">
        <v>13</v>
      </c>
      <c r="N547" t="s">
        <v>46</v>
      </c>
      <c r="O547">
        <v>2.58</v>
      </c>
      <c r="P547">
        <v>5467.616</v>
      </c>
      <c r="Q547" t="s">
        <v>523</v>
      </c>
      <c r="R547" s="31">
        <v>0.1</v>
      </c>
    </row>
    <row r="548" spans="1:18" x14ac:dyDescent="0.3">
      <c r="A548">
        <v>13</v>
      </c>
      <c r="B548">
        <v>13</v>
      </c>
      <c r="C548" t="s">
        <v>10</v>
      </c>
      <c r="D548">
        <v>4.07</v>
      </c>
      <c r="E548">
        <v>265.68400000000003</v>
      </c>
      <c r="F548" t="s">
        <v>400</v>
      </c>
      <c r="G548" s="31">
        <v>0.1</v>
      </c>
      <c r="L548">
        <v>14</v>
      </c>
      <c r="M548">
        <v>14</v>
      </c>
      <c r="N548" t="s">
        <v>47</v>
      </c>
      <c r="Q548" t="s">
        <v>524</v>
      </c>
      <c r="R548" s="31">
        <v>0.1</v>
      </c>
    </row>
    <row r="549" spans="1:18" x14ac:dyDescent="0.3">
      <c r="A549">
        <v>14</v>
      </c>
      <c r="B549">
        <v>14</v>
      </c>
      <c r="C549" t="s">
        <v>11</v>
      </c>
      <c r="F549" t="s">
        <v>401</v>
      </c>
      <c r="G549" s="31">
        <v>0.1</v>
      </c>
      <c r="L549">
        <v>15</v>
      </c>
      <c r="M549">
        <v>15</v>
      </c>
      <c r="N549" t="s">
        <v>48</v>
      </c>
      <c r="O549">
        <v>1.24</v>
      </c>
      <c r="P549">
        <v>256.66399999999999</v>
      </c>
      <c r="Q549" t="s">
        <v>525</v>
      </c>
      <c r="R549" s="31">
        <v>0.1</v>
      </c>
    </row>
    <row r="550" spans="1:18" x14ac:dyDescent="0.3">
      <c r="A550">
        <v>15</v>
      </c>
      <c r="B550">
        <v>15</v>
      </c>
      <c r="C550" t="s">
        <v>12</v>
      </c>
      <c r="D550">
        <v>3.4</v>
      </c>
      <c r="E550">
        <v>66.213999999999999</v>
      </c>
      <c r="F550" t="s">
        <v>402</v>
      </c>
      <c r="G550" s="31">
        <v>2.34</v>
      </c>
      <c r="L550">
        <v>16</v>
      </c>
      <c r="M550">
        <v>16</v>
      </c>
      <c r="N550" t="s">
        <v>53</v>
      </c>
      <c r="O550">
        <v>4.59</v>
      </c>
      <c r="P550">
        <v>115.932</v>
      </c>
      <c r="Q550" t="s">
        <v>526</v>
      </c>
      <c r="R550" s="31">
        <v>0.1</v>
      </c>
    </row>
    <row r="551" spans="1:18" x14ac:dyDescent="0.3">
      <c r="A551">
        <v>16</v>
      </c>
      <c r="B551">
        <v>16</v>
      </c>
      <c r="C551" t="s">
        <v>13</v>
      </c>
      <c r="D551">
        <v>3.36</v>
      </c>
      <c r="E551">
        <v>9.3879999999999999</v>
      </c>
      <c r="F551" t="s">
        <v>403</v>
      </c>
      <c r="G551" s="31">
        <v>2.0499999999999998</v>
      </c>
      <c r="L551">
        <v>17</v>
      </c>
      <c r="M551">
        <v>17</v>
      </c>
      <c r="N551" t="s">
        <v>54</v>
      </c>
      <c r="O551">
        <v>5.24</v>
      </c>
      <c r="P551">
        <v>114.285</v>
      </c>
      <c r="Q551" t="s">
        <v>527</v>
      </c>
      <c r="R551" s="31">
        <v>0.1</v>
      </c>
    </row>
    <row r="552" spans="1:18" x14ac:dyDescent="0.3">
      <c r="A552">
        <v>17</v>
      </c>
      <c r="B552">
        <v>17</v>
      </c>
      <c r="C552" t="s">
        <v>14</v>
      </c>
      <c r="D552">
        <v>2.2599999999999998</v>
      </c>
      <c r="E552">
        <v>40.9</v>
      </c>
      <c r="F552" t="s">
        <v>404</v>
      </c>
      <c r="G552" s="31">
        <v>3.24</v>
      </c>
      <c r="L552">
        <v>18</v>
      </c>
      <c r="M552">
        <v>18</v>
      </c>
      <c r="N552" t="s">
        <v>55</v>
      </c>
      <c r="Q552" t="s">
        <v>528</v>
      </c>
      <c r="R552" s="31">
        <v>0.1</v>
      </c>
    </row>
    <row r="553" spans="1:18" x14ac:dyDescent="0.3">
      <c r="A553">
        <v>18</v>
      </c>
      <c r="B553">
        <v>18</v>
      </c>
      <c r="C553" t="s">
        <v>15</v>
      </c>
      <c r="D553">
        <v>2.58</v>
      </c>
      <c r="E553">
        <v>41.677</v>
      </c>
      <c r="F553" t="s">
        <v>405</v>
      </c>
      <c r="G553" s="31">
        <v>10.38</v>
      </c>
      <c r="L553">
        <v>19</v>
      </c>
      <c r="M553">
        <v>19</v>
      </c>
      <c r="N553" t="s">
        <v>56</v>
      </c>
      <c r="O553">
        <v>0.97</v>
      </c>
      <c r="P553">
        <v>87.626000000000005</v>
      </c>
      <c r="Q553" t="s">
        <v>529</v>
      </c>
      <c r="R553" s="31">
        <v>0.1</v>
      </c>
    </row>
    <row r="554" spans="1:18" x14ac:dyDescent="0.3">
      <c r="A554">
        <v>19</v>
      </c>
      <c r="B554">
        <v>19</v>
      </c>
      <c r="C554" t="s">
        <v>16</v>
      </c>
      <c r="D554">
        <v>2.92</v>
      </c>
      <c r="E554">
        <v>2.319</v>
      </c>
      <c r="F554" t="s">
        <v>406</v>
      </c>
      <c r="G554" s="31">
        <v>0.3</v>
      </c>
      <c r="L554">
        <v>20</v>
      </c>
      <c r="M554">
        <v>20</v>
      </c>
      <c r="N554" t="s">
        <v>57</v>
      </c>
      <c r="Q554" t="s">
        <v>530</v>
      </c>
      <c r="R554" s="31">
        <v>0.1</v>
      </c>
    </row>
    <row r="555" spans="1:18" x14ac:dyDescent="0.3">
      <c r="A555">
        <v>20</v>
      </c>
      <c r="B555">
        <v>20</v>
      </c>
      <c r="C555" t="s">
        <v>17</v>
      </c>
      <c r="D555">
        <v>3.11</v>
      </c>
      <c r="E555">
        <v>605.28700000000003</v>
      </c>
      <c r="F555" t="s">
        <v>407</v>
      </c>
      <c r="G555" s="31">
        <v>0.4</v>
      </c>
      <c r="L555">
        <v>21</v>
      </c>
      <c r="M555">
        <v>21</v>
      </c>
      <c r="N555" t="s">
        <v>58</v>
      </c>
      <c r="Q555" t="s">
        <v>531</v>
      </c>
      <c r="R555" s="31">
        <v>0.1</v>
      </c>
    </row>
    <row r="556" spans="1:18" x14ac:dyDescent="0.3">
      <c r="A556">
        <v>21</v>
      </c>
      <c r="B556">
        <v>21</v>
      </c>
      <c r="C556" t="s">
        <v>18</v>
      </c>
      <c r="D556">
        <v>3.68</v>
      </c>
      <c r="E556">
        <v>346.12</v>
      </c>
      <c r="F556" t="s">
        <v>408</v>
      </c>
      <c r="G556" s="31">
        <v>0.08</v>
      </c>
      <c r="L556">
        <v>22</v>
      </c>
      <c r="M556">
        <v>22</v>
      </c>
      <c r="N556" t="s">
        <v>59</v>
      </c>
      <c r="Q556" t="s">
        <v>532</v>
      </c>
      <c r="R556" s="31">
        <v>0.1</v>
      </c>
    </row>
    <row r="557" spans="1:18" x14ac:dyDescent="0.3">
      <c r="A557">
        <v>22</v>
      </c>
      <c r="B557">
        <v>22</v>
      </c>
      <c r="C557" t="s">
        <v>19</v>
      </c>
      <c r="F557" t="s">
        <v>409</v>
      </c>
      <c r="G557" s="31">
        <v>0.1</v>
      </c>
      <c r="L557">
        <v>23</v>
      </c>
      <c r="M557">
        <v>23</v>
      </c>
      <c r="N557" t="s">
        <v>60</v>
      </c>
      <c r="O557">
        <v>2.61</v>
      </c>
      <c r="P557">
        <v>125.801</v>
      </c>
      <c r="Q557" t="s">
        <v>533</v>
      </c>
      <c r="R557" s="31">
        <v>2.0699999999999998</v>
      </c>
    </row>
    <row r="558" spans="1:18" x14ac:dyDescent="0.3">
      <c r="A558">
        <v>23</v>
      </c>
      <c r="B558">
        <v>23</v>
      </c>
      <c r="C558" t="s">
        <v>20</v>
      </c>
      <c r="F558" t="s">
        <v>410</v>
      </c>
      <c r="G558" s="31">
        <v>0.1</v>
      </c>
    </row>
    <row r="559" spans="1:18" x14ac:dyDescent="0.3">
      <c r="A559">
        <v>24</v>
      </c>
      <c r="B559">
        <v>24</v>
      </c>
      <c r="C559" t="s">
        <v>21</v>
      </c>
      <c r="D559">
        <v>4.4000000000000004</v>
      </c>
      <c r="E559">
        <v>23.706</v>
      </c>
      <c r="F559" t="s">
        <v>411</v>
      </c>
      <c r="G559" s="31">
        <v>0.1</v>
      </c>
      <c r="L559" t="s">
        <v>379</v>
      </c>
    </row>
    <row r="560" spans="1:18" x14ac:dyDescent="0.3">
      <c r="A560">
        <v>25</v>
      </c>
      <c r="B560">
        <v>25</v>
      </c>
      <c r="C560" t="s">
        <v>22</v>
      </c>
      <c r="D560">
        <v>3.43</v>
      </c>
      <c r="E560">
        <v>117.952</v>
      </c>
      <c r="F560" t="s">
        <v>412</v>
      </c>
      <c r="G560" s="31">
        <v>25.32</v>
      </c>
    </row>
    <row r="561" spans="1:18" x14ac:dyDescent="0.3">
      <c r="A561">
        <v>26</v>
      </c>
      <c r="B561">
        <v>26</v>
      </c>
      <c r="C561" t="s">
        <v>23</v>
      </c>
      <c r="F561" t="s">
        <v>413</v>
      </c>
      <c r="G561" s="31">
        <v>0.1</v>
      </c>
      <c r="L561" t="s">
        <v>509</v>
      </c>
    </row>
    <row r="562" spans="1:18" x14ac:dyDescent="0.3">
      <c r="A562">
        <v>27</v>
      </c>
      <c r="B562">
        <v>27</v>
      </c>
      <c r="C562" t="s">
        <v>24</v>
      </c>
      <c r="D562">
        <v>3.41</v>
      </c>
      <c r="E562">
        <v>32.286999999999999</v>
      </c>
      <c r="F562" t="s">
        <v>414</v>
      </c>
      <c r="G562" s="31">
        <v>0.1</v>
      </c>
    </row>
    <row r="563" spans="1:18" x14ac:dyDescent="0.3">
      <c r="A563">
        <v>28</v>
      </c>
      <c r="B563">
        <v>28</v>
      </c>
      <c r="C563" t="s">
        <v>25</v>
      </c>
      <c r="D563">
        <v>3.86</v>
      </c>
      <c r="E563">
        <v>2.7759999999999998</v>
      </c>
      <c r="F563" t="s">
        <v>415</v>
      </c>
      <c r="G563" s="31">
        <v>1.8</v>
      </c>
      <c r="L563" t="s">
        <v>551</v>
      </c>
    </row>
    <row r="564" spans="1:18" x14ac:dyDescent="0.3">
      <c r="A564">
        <v>29</v>
      </c>
      <c r="B564">
        <v>29</v>
      </c>
      <c r="C564" t="s">
        <v>26</v>
      </c>
      <c r="F564" t="s">
        <v>416</v>
      </c>
      <c r="G564" s="31">
        <v>0.1</v>
      </c>
    </row>
    <row r="565" spans="1:18" x14ac:dyDescent="0.3">
      <c r="A565">
        <v>30</v>
      </c>
      <c r="B565">
        <v>30</v>
      </c>
      <c r="C565" t="s">
        <v>27</v>
      </c>
      <c r="D565">
        <v>4.33</v>
      </c>
      <c r="E565">
        <v>27.463000000000001</v>
      </c>
      <c r="F565" t="s">
        <v>417</v>
      </c>
      <c r="G565" s="31">
        <v>0.13</v>
      </c>
      <c r="M565" t="s">
        <v>382</v>
      </c>
      <c r="N565" t="s">
        <v>383</v>
      </c>
      <c r="O565" t="s">
        <v>384</v>
      </c>
      <c r="P565" t="s">
        <v>385</v>
      </c>
      <c r="Q565" t="s">
        <v>386</v>
      </c>
      <c r="R565" s="31" t="s">
        <v>387</v>
      </c>
    </row>
    <row r="566" spans="1:18" x14ac:dyDescent="0.3">
      <c r="A566">
        <v>31</v>
      </c>
      <c r="B566">
        <v>31</v>
      </c>
      <c r="C566" t="s">
        <v>28</v>
      </c>
      <c r="D566">
        <v>3.22</v>
      </c>
      <c r="E566">
        <v>9.7390000000000008</v>
      </c>
      <c r="F566" t="s">
        <v>418</v>
      </c>
      <c r="G566" s="31">
        <v>0.1</v>
      </c>
      <c r="L566">
        <v>1</v>
      </c>
      <c r="M566">
        <v>1</v>
      </c>
      <c r="N566" t="s">
        <v>35</v>
      </c>
      <c r="O566">
        <v>1.46</v>
      </c>
      <c r="P566">
        <v>865.005</v>
      </c>
      <c r="Q566" t="s">
        <v>511</v>
      </c>
      <c r="R566" s="31">
        <v>16.63</v>
      </c>
    </row>
    <row r="567" spans="1:18" x14ac:dyDescent="0.3">
      <c r="A567">
        <v>32</v>
      </c>
      <c r="B567">
        <v>32</v>
      </c>
      <c r="C567" t="s">
        <v>29</v>
      </c>
      <c r="F567" t="s">
        <v>419</v>
      </c>
      <c r="G567" s="31">
        <v>0.1</v>
      </c>
      <c r="L567">
        <v>2</v>
      </c>
      <c r="M567">
        <v>2</v>
      </c>
      <c r="N567" t="s">
        <v>36</v>
      </c>
      <c r="O567">
        <v>1.66</v>
      </c>
      <c r="P567">
        <v>1283477.25</v>
      </c>
      <c r="Q567" t="s">
        <v>512</v>
      </c>
      <c r="R567" s="31">
        <v>357.79</v>
      </c>
    </row>
    <row r="568" spans="1:18" x14ac:dyDescent="0.3">
      <c r="A568">
        <v>33</v>
      </c>
      <c r="B568">
        <v>33</v>
      </c>
      <c r="C568" t="s">
        <v>30</v>
      </c>
      <c r="D568">
        <v>4.6500000000000004</v>
      </c>
      <c r="E568">
        <v>17.795000000000002</v>
      </c>
      <c r="F568" t="s">
        <v>420</v>
      </c>
      <c r="G568" s="31">
        <v>3.35</v>
      </c>
      <c r="L568">
        <v>3</v>
      </c>
      <c r="M568">
        <v>3</v>
      </c>
      <c r="N568" t="s">
        <v>37</v>
      </c>
      <c r="O568">
        <v>1.8</v>
      </c>
      <c r="P568">
        <v>1685.37</v>
      </c>
      <c r="Q568" t="s">
        <v>513</v>
      </c>
      <c r="R568" s="31">
        <v>0.74</v>
      </c>
    </row>
    <row r="569" spans="1:18" x14ac:dyDescent="0.3">
      <c r="A569">
        <v>34</v>
      </c>
      <c r="B569">
        <v>34</v>
      </c>
      <c r="C569" t="s">
        <v>31</v>
      </c>
      <c r="D569">
        <v>3.6</v>
      </c>
      <c r="E569">
        <v>19.98</v>
      </c>
      <c r="F569" t="s">
        <v>421</v>
      </c>
      <c r="G569" s="31">
        <v>0.12</v>
      </c>
      <c r="L569">
        <v>4</v>
      </c>
      <c r="M569">
        <v>4</v>
      </c>
      <c r="N569" t="s">
        <v>38</v>
      </c>
      <c r="O569">
        <v>1.19</v>
      </c>
      <c r="P569">
        <v>2548.0349999999999</v>
      </c>
      <c r="Q569" t="s">
        <v>514</v>
      </c>
      <c r="R569" s="31">
        <v>0.85</v>
      </c>
    </row>
    <row r="570" spans="1:18" x14ac:dyDescent="0.3">
      <c r="A570">
        <v>35</v>
      </c>
      <c r="B570">
        <v>35</v>
      </c>
      <c r="C570" t="s">
        <v>32</v>
      </c>
      <c r="D570">
        <v>3.06</v>
      </c>
      <c r="E570">
        <v>42.445999999999998</v>
      </c>
      <c r="F570" t="s">
        <v>422</v>
      </c>
      <c r="G570" s="31">
        <v>0.1</v>
      </c>
      <c r="L570">
        <v>5</v>
      </c>
      <c r="M570">
        <v>5</v>
      </c>
      <c r="N570" t="s">
        <v>39</v>
      </c>
      <c r="O570">
        <v>1.37</v>
      </c>
      <c r="P570">
        <v>189891.141</v>
      </c>
      <c r="Q570" t="s">
        <v>515</v>
      </c>
      <c r="R570" s="31">
        <v>72.27</v>
      </c>
    </row>
    <row r="571" spans="1:18" x14ac:dyDescent="0.3">
      <c r="A571">
        <v>36</v>
      </c>
      <c r="B571">
        <v>36</v>
      </c>
      <c r="C571" t="s">
        <v>33</v>
      </c>
      <c r="D571">
        <v>1.99</v>
      </c>
      <c r="E571">
        <v>9.1590000000000007</v>
      </c>
      <c r="F571" t="s">
        <v>423</v>
      </c>
      <c r="G571" s="31">
        <v>7.0000000000000007E-2</v>
      </c>
      <c r="L571">
        <v>6</v>
      </c>
      <c r="M571">
        <v>6</v>
      </c>
      <c r="N571" t="s">
        <v>40</v>
      </c>
      <c r="O571">
        <v>1.52</v>
      </c>
      <c r="P571">
        <v>12043.191999999999</v>
      </c>
      <c r="Q571" t="s">
        <v>516</v>
      </c>
      <c r="R571" s="31">
        <v>2.5299999999999998</v>
      </c>
    </row>
    <row r="572" spans="1:18" x14ac:dyDescent="0.3">
      <c r="L572">
        <v>7</v>
      </c>
      <c r="M572">
        <v>7</v>
      </c>
      <c r="N572" t="s">
        <v>41</v>
      </c>
      <c r="O572">
        <v>2.2999999999999998</v>
      </c>
      <c r="P572">
        <v>880.60699999999997</v>
      </c>
      <c r="Q572" t="s">
        <v>517</v>
      </c>
      <c r="R572" s="31">
        <v>1.89</v>
      </c>
    </row>
    <row r="573" spans="1:18" x14ac:dyDescent="0.3">
      <c r="A573" t="s">
        <v>379</v>
      </c>
      <c r="L573">
        <v>8</v>
      </c>
      <c r="M573">
        <v>8</v>
      </c>
      <c r="N573" t="s">
        <v>42</v>
      </c>
      <c r="O573">
        <v>0.88</v>
      </c>
      <c r="P573">
        <v>154.839</v>
      </c>
      <c r="Q573" t="s">
        <v>518</v>
      </c>
      <c r="R573" s="31">
        <v>36.57</v>
      </c>
    </row>
    <row r="574" spans="1:18" x14ac:dyDescent="0.3">
      <c r="L574">
        <v>9</v>
      </c>
      <c r="M574">
        <v>9</v>
      </c>
      <c r="N574" t="s">
        <v>43</v>
      </c>
      <c r="O574">
        <v>2.5499999999999998</v>
      </c>
      <c r="P574">
        <v>6622.2389999999996</v>
      </c>
      <c r="Q574" t="s">
        <v>519</v>
      </c>
      <c r="R574" s="31">
        <v>0.21</v>
      </c>
    </row>
    <row r="575" spans="1:18" x14ac:dyDescent="0.3">
      <c r="A575" t="s">
        <v>380</v>
      </c>
      <c r="L575">
        <v>10</v>
      </c>
      <c r="M575">
        <v>10</v>
      </c>
      <c r="N575" t="s">
        <v>52</v>
      </c>
      <c r="O575">
        <v>4.1399999999999997</v>
      </c>
      <c r="P575">
        <v>12760.091</v>
      </c>
      <c r="Q575" t="s">
        <v>520</v>
      </c>
      <c r="R575" s="31">
        <v>1.1599999999999999</v>
      </c>
    </row>
    <row r="576" spans="1:18" x14ac:dyDescent="0.3">
      <c r="L576">
        <v>11</v>
      </c>
      <c r="M576">
        <v>11</v>
      </c>
      <c r="N576" t="s">
        <v>44</v>
      </c>
      <c r="O576">
        <v>4.1900000000000004</v>
      </c>
      <c r="P576">
        <v>1574.808</v>
      </c>
      <c r="Q576" t="s">
        <v>521</v>
      </c>
      <c r="R576" s="31">
        <v>0.56000000000000005</v>
      </c>
    </row>
    <row r="577" spans="1:18" x14ac:dyDescent="0.3">
      <c r="A577" t="s">
        <v>436</v>
      </c>
      <c r="L577">
        <v>12</v>
      </c>
      <c r="M577">
        <v>12</v>
      </c>
      <c r="N577" t="s">
        <v>45</v>
      </c>
      <c r="O577">
        <v>3.45</v>
      </c>
      <c r="P577">
        <v>1047361.438</v>
      </c>
      <c r="Q577" t="s">
        <v>522</v>
      </c>
      <c r="R577" s="31">
        <v>43.99</v>
      </c>
    </row>
    <row r="578" spans="1:18" x14ac:dyDescent="0.3">
      <c r="L578">
        <v>13</v>
      </c>
      <c r="M578">
        <v>13</v>
      </c>
      <c r="N578" t="s">
        <v>46</v>
      </c>
      <c r="O578">
        <v>2.59</v>
      </c>
      <c r="P578">
        <v>214667.46900000001</v>
      </c>
      <c r="Q578" t="s">
        <v>523</v>
      </c>
      <c r="R578" s="31">
        <v>21.49</v>
      </c>
    </row>
    <row r="579" spans="1:18" x14ac:dyDescent="0.3">
      <c r="B579" t="s">
        <v>382</v>
      </c>
      <c r="C579" t="s">
        <v>383</v>
      </c>
      <c r="D579" t="s">
        <v>384</v>
      </c>
      <c r="E579" t="s">
        <v>385</v>
      </c>
      <c r="F579" t="s">
        <v>386</v>
      </c>
      <c r="G579" s="31" t="s">
        <v>387</v>
      </c>
      <c r="L579">
        <v>14</v>
      </c>
      <c r="M579">
        <v>14</v>
      </c>
      <c r="N579" t="s">
        <v>47</v>
      </c>
      <c r="O579">
        <v>0.68</v>
      </c>
      <c r="P579">
        <v>21527.105</v>
      </c>
      <c r="Q579" t="s">
        <v>524</v>
      </c>
      <c r="R579" s="31">
        <v>19.77</v>
      </c>
    </row>
    <row r="580" spans="1:18" x14ac:dyDescent="0.3">
      <c r="A580">
        <v>1</v>
      </c>
      <c r="B580">
        <v>1</v>
      </c>
      <c r="C580" t="s">
        <v>0</v>
      </c>
      <c r="D580">
        <v>1.02</v>
      </c>
      <c r="E580">
        <v>1812.893</v>
      </c>
      <c r="F580" t="s">
        <v>388</v>
      </c>
      <c r="G580" s="31">
        <v>14.03</v>
      </c>
      <c r="L580">
        <v>15</v>
      </c>
      <c r="M580">
        <v>15</v>
      </c>
      <c r="N580" t="s">
        <v>48</v>
      </c>
      <c r="O580">
        <v>1.21</v>
      </c>
      <c r="P580">
        <v>23379.883000000002</v>
      </c>
      <c r="Q580" t="s">
        <v>525</v>
      </c>
      <c r="R580" s="31">
        <v>6.77</v>
      </c>
    </row>
    <row r="581" spans="1:18" x14ac:dyDescent="0.3">
      <c r="A581">
        <v>2</v>
      </c>
      <c r="B581">
        <v>2</v>
      </c>
      <c r="C581" t="s">
        <v>1</v>
      </c>
      <c r="D581">
        <v>1.45</v>
      </c>
      <c r="E581">
        <v>1539.9760000000001</v>
      </c>
      <c r="F581" t="s">
        <v>389</v>
      </c>
      <c r="G581" s="31">
        <v>2.68</v>
      </c>
      <c r="L581">
        <v>16</v>
      </c>
      <c r="M581">
        <v>16</v>
      </c>
      <c r="N581" t="s">
        <v>53</v>
      </c>
      <c r="O581">
        <v>4.57</v>
      </c>
      <c r="P581">
        <v>65920.116999999998</v>
      </c>
      <c r="Q581" t="s">
        <v>526</v>
      </c>
      <c r="R581" s="31">
        <v>1.87</v>
      </c>
    </row>
    <row r="582" spans="1:18" x14ac:dyDescent="0.3">
      <c r="A582">
        <v>3</v>
      </c>
      <c r="B582">
        <v>3</v>
      </c>
      <c r="C582" t="s">
        <v>50</v>
      </c>
      <c r="D582">
        <v>3.59</v>
      </c>
      <c r="E582">
        <v>217.07300000000001</v>
      </c>
      <c r="F582" t="s">
        <v>390</v>
      </c>
      <c r="G582" s="31">
        <v>0.16</v>
      </c>
      <c r="L582">
        <v>17</v>
      </c>
      <c r="M582">
        <v>17</v>
      </c>
      <c r="N582" t="s">
        <v>54</v>
      </c>
      <c r="O582">
        <v>5.26</v>
      </c>
      <c r="P582">
        <v>39.973999999999997</v>
      </c>
      <c r="Q582" t="s">
        <v>527</v>
      </c>
      <c r="R582" s="31">
        <v>0.1</v>
      </c>
    </row>
    <row r="583" spans="1:18" x14ac:dyDescent="0.3">
      <c r="A583">
        <v>4</v>
      </c>
      <c r="B583">
        <v>4</v>
      </c>
      <c r="C583" t="s">
        <v>2</v>
      </c>
      <c r="D583">
        <v>3.69</v>
      </c>
      <c r="E583">
        <v>19292.041000000001</v>
      </c>
      <c r="F583" t="s">
        <v>391</v>
      </c>
      <c r="G583" s="31">
        <v>1.2</v>
      </c>
      <c r="L583">
        <v>18</v>
      </c>
      <c r="M583">
        <v>18</v>
      </c>
      <c r="N583" t="s">
        <v>55</v>
      </c>
      <c r="O583">
        <v>1.31</v>
      </c>
      <c r="P583">
        <v>3237.9319999999998</v>
      </c>
      <c r="Q583" t="s">
        <v>528</v>
      </c>
      <c r="R583" s="31">
        <v>0.25</v>
      </c>
    </row>
    <row r="584" spans="1:18" x14ac:dyDescent="0.3">
      <c r="A584">
        <v>5</v>
      </c>
      <c r="B584">
        <v>5</v>
      </c>
      <c r="C584" t="s">
        <v>3</v>
      </c>
      <c r="D584">
        <v>4.4000000000000004</v>
      </c>
      <c r="E584">
        <v>135.35300000000001</v>
      </c>
      <c r="F584" t="s">
        <v>392</v>
      </c>
      <c r="G584" s="31">
        <v>0.1</v>
      </c>
      <c r="L584">
        <v>19</v>
      </c>
      <c r="M584">
        <v>19</v>
      </c>
      <c r="N584" t="s">
        <v>56</v>
      </c>
      <c r="O584">
        <v>0.87</v>
      </c>
      <c r="P584">
        <v>36023.144999999997</v>
      </c>
      <c r="Q584" t="s">
        <v>529</v>
      </c>
      <c r="R584" s="31">
        <v>3.89</v>
      </c>
    </row>
    <row r="585" spans="1:18" x14ac:dyDescent="0.3">
      <c r="A585">
        <v>6</v>
      </c>
      <c r="B585">
        <v>6</v>
      </c>
      <c r="C585" t="s">
        <v>4</v>
      </c>
      <c r="D585">
        <v>4.8</v>
      </c>
      <c r="E585">
        <v>30224.956999999999</v>
      </c>
      <c r="F585" t="s">
        <v>393</v>
      </c>
      <c r="G585" s="31">
        <v>1.48</v>
      </c>
      <c r="L585">
        <v>20</v>
      </c>
      <c r="M585">
        <v>20</v>
      </c>
      <c r="N585" t="s">
        <v>57</v>
      </c>
      <c r="O585">
        <v>1.51</v>
      </c>
      <c r="P585">
        <v>649.73900000000003</v>
      </c>
      <c r="Q585" t="s">
        <v>530</v>
      </c>
      <c r="R585" s="31">
        <v>0.49</v>
      </c>
    </row>
    <row r="586" spans="1:18" x14ac:dyDescent="0.3">
      <c r="A586">
        <v>7</v>
      </c>
      <c r="B586">
        <v>7</v>
      </c>
      <c r="C586" t="s">
        <v>5</v>
      </c>
      <c r="D586">
        <v>2.7</v>
      </c>
      <c r="E586">
        <v>486.01900000000001</v>
      </c>
      <c r="F586" t="s">
        <v>394</v>
      </c>
      <c r="G586" s="31">
        <v>0.08</v>
      </c>
      <c r="L586">
        <v>21</v>
      </c>
      <c r="M586">
        <v>21</v>
      </c>
      <c r="N586" t="s">
        <v>58</v>
      </c>
      <c r="O586">
        <v>2.44</v>
      </c>
      <c r="P586">
        <v>38.686999999999998</v>
      </c>
      <c r="Q586" t="s">
        <v>531</v>
      </c>
      <c r="R586" s="31">
        <v>0.09</v>
      </c>
    </row>
    <row r="587" spans="1:18" x14ac:dyDescent="0.3">
      <c r="A587">
        <v>8</v>
      </c>
      <c r="B587">
        <v>8</v>
      </c>
      <c r="C587" t="s">
        <v>6</v>
      </c>
      <c r="D587">
        <v>0.66</v>
      </c>
      <c r="E587">
        <v>3483.127</v>
      </c>
      <c r="F587" t="s">
        <v>395</v>
      </c>
      <c r="G587" s="31">
        <v>40.36</v>
      </c>
      <c r="L587">
        <v>22</v>
      </c>
      <c r="M587">
        <v>22</v>
      </c>
      <c r="N587" t="s">
        <v>59</v>
      </c>
      <c r="O587">
        <v>2.5099999999999998</v>
      </c>
      <c r="P587">
        <v>41587.273000000001</v>
      </c>
      <c r="Q587" t="s">
        <v>532</v>
      </c>
      <c r="R587" s="31">
        <v>11.59</v>
      </c>
    </row>
    <row r="588" spans="1:18" x14ac:dyDescent="0.3">
      <c r="A588">
        <v>9</v>
      </c>
      <c r="B588">
        <v>9</v>
      </c>
      <c r="C588" t="s">
        <v>7</v>
      </c>
      <c r="D588">
        <v>3.56</v>
      </c>
      <c r="E588">
        <v>390.33499999999998</v>
      </c>
      <c r="F588" t="s">
        <v>396</v>
      </c>
      <c r="G588" s="31">
        <v>1.08</v>
      </c>
      <c r="L588">
        <v>23</v>
      </c>
      <c r="M588">
        <v>23</v>
      </c>
      <c r="N588" t="s">
        <v>60</v>
      </c>
      <c r="O588">
        <v>2.58</v>
      </c>
      <c r="P588">
        <v>30890.048999999999</v>
      </c>
      <c r="Q588" t="s">
        <v>533</v>
      </c>
      <c r="R588" s="31">
        <v>4.07</v>
      </c>
    </row>
    <row r="589" spans="1:18" x14ac:dyDescent="0.3">
      <c r="A589">
        <v>10</v>
      </c>
      <c r="B589">
        <v>10</v>
      </c>
      <c r="C589" t="s">
        <v>51</v>
      </c>
      <c r="D589">
        <v>4.6100000000000003</v>
      </c>
      <c r="E589">
        <v>1476.26</v>
      </c>
      <c r="F589" t="s">
        <v>397</v>
      </c>
      <c r="G589" s="31">
        <v>0.28999999999999998</v>
      </c>
    </row>
    <row r="590" spans="1:18" x14ac:dyDescent="0.3">
      <c r="A590">
        <v>11</v>
      </c>
      <c r="B590">
        <v>11</v>
      </c>
      <c r="C590" t="s">
        <v>8</v>
      </c>
      <c r="D590">
        <v>2.74</v>
      </c>
      <c r="E590">
        <v>14702.141</v>
      </c>
      <c r="F590" t="s">
        <v>398</v>
      </c>
      <c r="G590" s="31">
        <v>0.91</v>
      </c>
      <c r="L590" t="s">
        <v>379</v>
      </c>
    </row>
    <row r="591" spans="1:18" x14ac:dyDescent="0.3">
      <c r="A591">
        <v>12</v>
      </c>
      <c r="B591">
        <v>12</v>
      </c>
      <c r="C591" t="s">
        <v>9</v>
      </c>
      <c r="D591">
        <v>2.62</v>
      </c>
      <c r="E591">
        <v>1323.182</v>
      </c>
      <c r="F591" t="s">
        <v>399</v>
      </c>
      <c r="G591" s="31">
        <v>0.73</v>
      </c>
    </row>
    <row r="592" spans="1:18" x14ac:dyDescent="0.3">
      <c r="A592">
        <v>13</v>
      </c>
      <c r="B592">
        <v>13</v>
      </c>
      <c r="C592" t="s">
        <v>10</v>
      </c>
      <c r="D592">
        <v>4.08</v>
      </c>
      <c r="E592">
        <v>1051028.625</v>
      </c>
      <c r="F592" t="s">
        <v>400</v>
      </c>
      <c r="G592" s="31">
        <v>86.1</v>
      </c>
      <c r="L592" t="s">
        <v>509</v>
      </c>
    </row>
    <row r="593" spans="1:18" x14ac:dyDescent="0.3">
      <c r="A593">
        <v>14</v>
      </c>
      <c r="B593">
        <v>14</v>
      </c>
      <c r="C593" t="s">
        <v>11</v>
      </c>
      <c r="D593">
        <v>3.52</v>
      </c>
      <c r="E593">
        <v>13.003</v>
      </c>
      <c r="F593" t="s">
        <v>401</v>
      </c>
      <c r="G593" s="31">
        <v>1.65</v>
      </c>
    </row>
    <row r="594" spans="1:18" x14ac:dyDescent="0.3">
      <c r="A594">
        <v>15</v>
      </c>
      <c r="B594">
        <v>15</v>
      </c>
      <c r="C594" t="s">
        <v>12</v>
      </c>
      <c r="D594">
        <v>3.33</v>
      </c>
      <c r="E594">
        <v>161.19300000000001</v>
      </c>
      <c r="F594" t="s">
        <v>402</v>
      </c>
      <c r="G594" s="31">
        <v>0.71</v>
      </c>
      <c r="L594" t="s">
        <v>552</v>
      </c>
    </row>
    <row r="595" spans="1:18" x14ac:dyDescent="0.3">
      <c r="A595">
        <v>16</v>
      </c>
      <c r="B595">
        <v>16</v>
      </c>
      <c r="C595" t="s">
        <v>13</v>
      </c>
      <c r="D595">
        <v>3.23</v>
      </c>
      <c r="E595">
        <v>3221.962</v>
      </c>
      <c r="F595" t="s">
        <v>403</v>
      </c>
      <c r="G595" s="31">
        <v>0.77</v>
      </c>
    </row>
    <row r="596" spans="1:18" x14ac:dyDescent="0.3">
      <c r="A596">
        <v>17</v>
      </c>
      <c r="B596">
        <v>17</v>
      </c>
      <c r="C596" t="s">
        <v>14</v>
      </c>
      <c r="D596">
        <v>2</v>
      </c>
      <c r="E596">
        <v>13909.102000000001</v>
      </c>
      <c r="F596" t="s">
        <v>404</v>
      </c>
      <c r="G596" s="31">
        <v>2.37</v>
      </c>
      <c r="M596" t="s">
        <v>382</v>
      </c>
      <c r="N596" t="s">
        <v>383</v>
      </c>
      <c r="O596" t="s">
        <v>384</v>
      </c>
      <c r="P596" t="s">
        <v>385</v>
      </c>
      <c r="Q596" t="s">
        <v>386</v>
      </c>
      <c r="R596" s="31" t="s">
        <v>387</v>
      </c>
    </row>
    <row r="597" spans="1:18" x14ac:dyDescent="0.3">
      <c r="A597">
        <v>18</v>
      </c>
      <c r="B597">
        <v>18</v>
      </c>
      <c r="C597" t="s">
        <v>15</v>
      </c>
      <c r="D597">
        <v>2.4900000000000002</v>
      </c>
      <c r="E597">
        <v>10275.710999999999</v>
      </c>
      <c r="F597" t="s">
        <v>405</v>
      </c>
      <c r="G597" s="31">
        <v>5.7</v>
      </c>
      <c r="L597">
        <v>1</v>
      </c>
      <c r="M597">
        <v>1</v>
      </c>
      <c r="N597" t="s">
        <v>35</v>
      </c>
      <c r="O597">
        <v>1.45</v>
      </c>
      <c r="P597">
        <v>15861.125</v>
      </c>
      <c r="Q597" t="s">
        <v>511</v>
      </c>
      <c r="R597" s="31">
        <v>23.8</v>
      </c>
    </row>
    <row r="598" spans="1:18" x14ac:dyDescent="0.3">
      <c r="A598">
        <v>19</v>
      </c>
      <c r="B598">
        <v>19</v>
      </c>
      <c r="C598" t="s">
        <v>16</v>
      </c>
      <c r="D598">
        <v>2.71</v>
      </c>
      <c r="E598">
        <v>1205.971</v>
      </c>
      <c r="F598" t="s">
        <v>406</v>
      </c>
      <c r="G598" s="31">
        <v>0.1</v>
      </c>
      <c r="L598">
        <v>2</v>
      </c>
      <c r="M598">
        <v>2</v>
      </c>
      <c r="N598" t="s">
        <v>36</v>
      </c>
      <c r="O598">
        <v>1.68</v>
      </c>
      <c r="P598">
        <v>944577.875</v>
      </c>
      <c r="Q598" t="s">
        <v>512</v>
      </c>
      <c r="R598" s="31">
        <v>324.89</v>
      </c>
    </row>
    <row r="599" spans="1:18" x14ac:dyDescent="0.3">
      <c r="A599">
        <v>20</v>
      </c>
      <c r="B599">
        <v>20</v>
      </c>
      <c r="C599" t="s">
        <v>17</v>
      </c>
      <c r="D599">
        <v>3.13</v>
      </c>
      <c r="E599">
        <v>4775.5190000000002</v>
      </c>
      <c r="F599" t="s">
        <v>407</v>
      </c>
      <c r="G599" s="31">
        <v>0.86</v>
      </c>
      <c r="L599">
        <v>3</v>
      </c>
      <c r="M599">
        <v>3</v>
      </c>
      <c r="N599" t="s">
        <v>37</v>
      </c>
      <c r="O599">
        <v>1.82</v>
      </c>
      <c r="P599">
        <v>277.96100000000001</v>
      </c>
      <c r="Q599" t="s">
        <v>513</v>
      </c>
      <c r="R599" s="31">
        <v>0.26</v>
      </c>
    </row>
    <row r="600" spans="1:18" x14ac:dyDescent="0.3">
      <c r="A600">
        <v>21</v>
      </c>
      <c r="B600">
        <v>21</v>
      </c>
      <c r="C600" t="s">
        <v>18</v>
      </c>
      <c r="D600">
        <v>3.68</v>
      </c>
      <c r="E600">
        <v>6153.3519999999999</v>
      </c>
      <c r="F600" t="s">
        <v>408</v>
      </c>
      <c r="G600" s="31">
        <v>0.27</v>
      </c>
      <c r="L600">
        <v>4</v>
      </c>
      <c r="M600">
        <v>4</v>
      </c>
      <c r="N600" t="s">
        <v>38</v>
      </c>
      <c r="O600">
        <v>1.18</v>
      </c>
      <c r="P600">
        <v>2986.3679999999999</v>
      </c>
      <c r="Q600" t="s">
        <v>514</v>
      </c>
      <c r="R600" s="31">
        <v>1.1100000000000001</v>
      </c>
    </row>
    <row r="601" spans="1:18" x14ac:dyDescent="0.3">
      <c r="A601">
        <v>22</v>
      </c>
      <c r="B601">
        <v>22</v>
      </c>
      <c r="C601" t="s">
        <v>19</v>
      </c>
      <c r="D601">
        <v>2.63</v>
      </c>
      <c r="E601">
        <v>8189.835</v>
      </c>
      <c r="F601" t="s">
        <v>409</v>
      </c>
      <c r="G601" s="31">
        <v>1.48</v>
      </c>
      <c r="L601">
        <v>5</v>
      </c>
      <c r="M601">
        <v>5</v>
      </c>
      <c r="N601" t="s">
        <v>39</v>
      </c>
      <c r="O601">
        <v>1.39</v>
      </c>
      <c r="P601">
        <v>46386.495999999999</v>
      </c>
      <c r="Q601" t="s">
        <v>515</v>
      </c>
      <c r="R601" s="31">
        <v>27.93</v>
      </c>
    </row>
    <row r="602" spans="1:18" x14ac:dyDescent="0.3">
      <c r="A602">
        <v>23</v>
      </c>
      <c r="B602">
        <v>23</v>
      </c>
      <c r="C602" t="s">
        <v>20</v>
      </c>
      <c r="D602">
        <v>2.89</v>
      </c>
      <c r="E602">
        <v>4749.4359999999997</v>
      </c>
      <c r="F602" t="s">
        <v>410</v>
      </c>
      <c r="G602" s="31">
        <v>0.37</v>
      </c>
      <c r="L602">
        <v>6</v>
      </c>
      <c r="M602">
        <v>6</v>
      </c>
      <c r="N602" t="s">
        <v>40</v>
      </c>
      <c r="O602">
        <v>1.53</v>
      </c>
      <c r="P602">
        <v>11165.656999999999</v>
      </c>
      <c r="Q602" t="s">
        <v>516</v>
      </c>
      <c r="R602" s="31">
        <v>2.67</v>
      </c>
    </row>
    <row r="603" spans="1:18" x14ac:dyDescent="0.3">
      <c r="A603">
        <v>24</v>
      </c>
      <c r="B603">
        <v>24</v>
      </c>
      <c r="C603" t="s">
        <v>21</v>
      </c>
      <c r="D603">
        <v>4.1100000000000003</v>
      </c>
      <c r="E603">
        <v>198.774</v>
      </c>
      <c r="F603" t="s">
        <v>411</v>
      </c>
      <c r="G603" s="31">
        <v>0.1</v>
      </c>
      <c r="L603">
        <v>7</v>
      </c>
      <c r="M603">
        <v>7</v>
      </c>
      <c r="N603" t="s">
        <v>41</v>
      </c>
      <c r="O603">
        <v>2.2799999999999998</v>
      </c>
      <c r="P603">
        <v>1547.067</v>
      </c>
      <c r="Q603" t="s">
        <v>517</v>
      </c>
      <c r="R603" s="31">
        <v>3.53</v>
      </c>
    </row>
    <row r="604" spans="1:18" x14ac:dyDescent="0.3">
      <c r="A604">
        <v>25</v>
      </c>
      <c r="B604">
        <v>25</v>
      </c>
      <c r="C604" t="s">
        <v>22</v>
      </c>
      <c r="D604">
        <v>3.41</v>
      </c>
      <c r="E604">
        <v>1292.346</v>
      </c>
      <c r="F604" t="s">
        <v>412</v>
      </c>
      <c r="G604" s="31">
        <v>9.6</v>
      </c>
      <c r="L604">
        <v>8</v>
      </c>
      <c r="M604">
        <v>8</v>
      </c>
      <c r="N604" t="s">
        <v>42</v>
      </c>
      <c r="O604">
        <v>0.89</v>
      </c>
      <c r="P604">
        <v>7.7380000000000004</v>
      </c>
      <c r="Q604" t="s">
        <v>518</v>
      </c>
      <c r="R604" s="31">
        <v>41.21</v>
      </c>
    </row>
    <row r="605" spans="1:18" x14ac:dyDescent="0.3">
      <c r="A605">
        <v>26</v>
      </c>
      <c r="B605">
        <v>26</v>
      </c>
      <c r="C605" t="s">
        <v>23</v>
      </c>
      <c r="D605">
        <v>3.35</v>
      </c>
      <c r="E605">
        <v>14128.704</v>
      </c>
      <c r="F605" t="s">
        <v>413</v>
      </c>
      <c r="G605" s="31">
        <v>1.52</v>
      </c>
      <c r="L605">
        <v>9</v>
      </c>
      <c r="M605">
        <v>9</v>
      </c>
      <c r="N605" t="s">
        <v>43</v>
      </c>
      <c r="O605">
        <v>2.5499999999999998</v>
      </c>
      <c r="P605">
        <v>2165.7959999999998</v>
      </c>
      <c r="Q605" t="s">
        <v>519</v>
      </c>
      <c r="R605" s="31">
        <v>0.08</v>
      </c>
    </row>
    <row r="606" spans="1:18" x14ac:dyDescent="0.3">
      <c r="A606">
        <v>27</v>
      </c>
      <c r="B606">
        <v>27</v>
      </c>
      <c r="C606" t="s">
        <v>24</v>
      </c>
      <c r="D606">
        <v>3.43</v>
      </c>
      <c r="E606">
        <v>395.74900000000002</v>
      </c>
      <c r="F606" t="s">
        <v>414</v>
      </c>
      <c r="G606" s="31">
        <v>0.14000000000000001</v>
      </c>
      <c r="L606">
        <v>10</v>
      </c>
      <c r="M606">
        <v>10</v>
      </c>
      <c r="N606" t="s">
        <v>52</v>
      </c>
      <c r="O606">
        <v>4.16</v>
      </c>
      <c r="P606">
        <v>1922.7059999999999</v>
      </c>
      <c r="Q606" t="s">
        <v>520</v>
      </c>
      <c r="R606" s="31">
        <v>0.1</v>
      </c>
    </row>
    <row r="607" spans="1:18" x14ac:dyDescent="0.3">
      <c r="A607">
        <v>28</v>
      </c>
      <c r="B607">
        <v>28</v>
      </c>
      <c r="C607" t="s">
        <v>25</v>
      </c>
      <c r="D607">
        <v>3.51</v>
      </c>
      <c r="E607">
        <v>3744.5</v>
      </c>
      <c r="F607" t="s">
        <v>415</v>
      </c>
      <c r="G607" s="31">
        <v>0.74</v>
      </c>
      <c r="L607">
        <v>11</v>
      </c>
      <c r="M607">
        <v>11</v>
      </c>
      <c r="N607" t="s">
        <v>44</v>
      </c>
      <c r="O607">
        <v>4.22</v>
      </c>
      <c r="P607">
        <v>331.02499999999998</v>
      </c>
      <c r="Q607" t="s">
        <v>521</v>
      </c>
      <c r="R607" s="31">
        <v>0.32</v>
      </c>
    </row>
    <row r="608" spans="1:18" x14ac:dyDescent="0.3">
      <c r="A608">
        <v>29</v>
      </c>
      <c r="B608">
        <v>29</v>
      </c>
      <c r="C608" t="s">
        <v>26</v>
      </c>
      <c r="D608">
        <v>1.03</v>
      </c>
      <c r="E608">
        <v>524.66899999999998</v>
      </c>
      <c r="F608" t="s">
        <v>416</v>
      </c>
      <c r="G608" s="31">
        <v>0.84</v>
      </c>
      <c r="L608">
        <v>12</v>
      </c>
      <c r="M608">
        <v>12</v>
      </c>
      <c r="N608" t="s">
        <v>45</v>
      </c>
      <c r="O608">
        <v>3.46</v>
      </c>
      <c r="P608">
        <v>243990.641</v>
      </c>
      <c r="Q608" t="s">
        <v>522</v>
      </c>
      <c r="R608" s="31">
        <v>0.1</v>
      </c>
    </row>
    <row r="609" spans="1:18" x14ac:dyDescent="0.3">
      <c r="A609">
        <v>30</v>
      </c>
      <c r="B609">
        <v>30</v>
      </c>
      <c r="C609" t="s">
        <v>27</v>
      </c>
      <c r="D609">
        <v>4.32</v>
      </c>
      <c r="E609">
        <v>1844.9939999999999</v>
      </c>
      <c r="F609" t="s">
        <v>417</v>
      </c>
      <c r="G609" s="31">
        <v>0.14000000000000001</v>
      </c>
      <c r="L609">
        <v>13</v>
      </c>
      <c r="M609">
        <v>13</v>
      </c>
      <c r="N609" t="s">
        <v>46</v>
      </c>
      <c r="O609">
        <v>2.6</v>
      </c>
      <c r="P609">
        <v>160587.17199999999</v>
      </c>
      <c r="Q609" t="s">
        <v>523</v>
      </c>
      <c r="R609" s="31">
        <v>17.64</v>
      </c>
    </row>
    <row r="610" spans="1:18" x14ac:dyDescent="0.3">
      <c r="A610">
        <v>31</v>
      </c>
      <c r="B610">
        <v>31</v>
      </c>
      <c r="C610" t="s">
        <v>28</v>
      </c>
      <c r="D610">
        <v>3</v>
      </c>
      <c r="E610">
        <v>22369.817999999999</v>
      </c>
      <c r="F610" t="s">
        <v>418</v>
      </c>
      <c r="G610" s="31">
        <v>0.1</v>
      </c>
      <c r="L610">
        <v>14</v>
      </c>
      <c r="M610">
        <v>14</v>
      </c>
      <c r="N610" t="s">
        <v>47</v>
      </c>
      <c r="O610">
        <v>0.68</v>
      </c>
      <c r="P610">
        <v>26634.447</v>
      </c>
      <c r="Q610" t="s">
        <v>524</v>
      </c>
      <c r="R610" s="31">
        <v>28.76</v>
      </c>
    </row>
    <row r="611" spans="1:18" x14ac:dyDescent="0.3">
      <c r="A611">
        <v>32</v>
      </c>
      <c r="B611">
        <v>32</v>
      </c>
      <c r="C611" t="s">
        <v>29</v>
      </c>
      <c r="D611">
        <v>3.36</v>
      </c>
      <c r="E611">
        <v>153.923</v>
      </c>
      <c r="F611" t="s">
        <v>419</v>
      </c>
      <c r="G611" s="31">
        <v>0.06</v>
      </c>
      <c r="L611">
        <v>15</v>
      </c>
      <c r="M611">
        <v>15</v>
      </c>
      <c r="N611" t="s">
        <v>48</v>
      </c>
      <c r="O611">
        <v>1.21</v>
      </c>
      <c r="P611">
        <v>15965.303</v>
      </c>
      <c r="Q611" t="s">
        <v>525</v>
      </c>
      <c r="R611" s="31">
        <v>5.0199999999999996</v>
      </c>
    </row>
    <row r="612" spans="1:18" x14ac:dyDescent="0.3">
      <c r="A612">
        <v>33</v>
      </c>
      <c r="B612">
        <v>33</v>
      </c>
      <c r="C612" t="s">
        <v>30</v>
      </c>
      <c r="D612">
        <v>4.67</v>
      </c>
      <c r="E612">
        <v>11504.422</v>
      </c>
      <c r="F612" t="s">
        <v>420</v>
      </c>
      <c r="G612" s="31">
        <v>0.62</v>
      </c>
      <c r="L612">
        <v>16</v>
      </c>
      <c r="M612">
        <v>16</v>
      </c>
      <c r="N612" t="s">
        <v>53</v>
      </c>
      <c r="O612">
        <v>4.57</v>
      </c>
      <c r="P612">
        <v>16423.982</v>
      </c>
      <c r="Q612" t="s">
        <v>526</v>
      </c>
      <c r="R612" s="31">
        <v>0.46</v>
      </c>
    </row>
    <row r="613" spans="1:18" x14ac:dyDescent="0.3">
      <c r="A613">
        <v>34</v>
      </c>
      <c r="B613">
        <v>34</v>
      </c>
      <c r="C613" t="s">
        <v>31</v>
      </c>
      <c r="D613">
        <v>3.5</v>
      </c>
      <c r="E613">
        <v>767.18499999999995</v>
      </c>
      <c r="F613" t="s">
        <v>421</v>
      </c>
      <c r="G613" s="31">
        <v>0.08</v>
      </c>
      <c r="L613">
        <v>17</v>
      </c>
      <c r="M613">
        <v>17</v>
      </c>
      <c r="N613" t="s">
        <v>54</v>
      </c>
      <c r="O613">
        <v>5.24</v>
      </c>
      <c r="P613">
        <v>31.422999999999998</v>
      </c>
      <c r="Q613" t="s">
        <v>527</v>
      </c>
      <c r="R613" s="31">
        <v>0.1</v>
      </c>
    </row>
    <row r="614" spans="1:18" x14ac:dyDescent="0.3">
      <c r="A614">
        <v>35</v>
      </c>
      <c r="B614">
        <v>35</v>
      </c>
      <c r="C614" t="s">
        <v>32</v>
      </c>
      <c r="D614">
        <v>3.06</v>
      </c>
      <c r="E614">
        <v>216.608</v>
      </c>
      <c r="F614" t="s">
        <v>422</v>
      </c>
      <c r="G614" s="31">
        <v>0.12</v>
      </c>
      <c r="L614">
        <v>18</v>
      </c>
      <c r="M614">
        <v>18</v>
      </c>
      <c r="N614" t="s">
        <v>55</v>
      </c>
      <c r="O614">
        <v>1.32</v>
      </c>
      <c r="P614">
        <v>856.69100000000003</v>
      </c>
      <c r="Q614" t="s">
        <v>528</v>
      </c>
      <c r="R614" s="31">
        <v>7.0000000000000007E-2</v>
      </c>
    </row>
    <row r="615" spans="1:18" x14ac:dyDescent="0.3">
      <c r="A615">
        <v>36</v>
      </c>
      <c r="B615">
        <v>36</v>
      </c>
      <c r="C615" t="s">
        <v>33</v>
      </c>
      <c r="D615">
        <v>1.9</v>
      </c>
      <c r="E615">
        <v>225.499</v>
      </c>
      <c r="F615" t="s">
        <v>423</v>
      </c>
      <c r="G615" s="31">
        <v>0.15</v>
      </c>
      <c r="L615">
        <v>19</v>
      </c>
      <c r="M615">
        <v>19</v>
      </c>
      <c r="N615" t="s">
        <v>56</v>
      </c>
      <c r="O615">
        <v>0.88</v>
      </c>
      <c r="P615">
        <v>10927.102000000001</v>
      </c>
      <c r="Q615" t="s">
        <v>529</v>
      </c>
      <c r="R615" s="31">
        <v>0.39</v>
      </c>
    </row>
    <row r="616" spans="1:18" x14ac:dyDescent="0.3">
      <c r="G616" s="31">
        <f>G593/G595</f>
        <v>2.1428571428571428</v>
      </c>
      <c r="L616">
        <v>20</v>
      </c>
      <c r="M616">
        <v>20</v>
      </c>
      <c r="N616" t="s">
        <v>57</v>
      </c>
      <c r="O616">
        <v>1.51</v>
      </c>
      <c r="P616">
        <v>84.659000000000006</v>
      </c>
      <c r="Q616" t="s">
        <v>530</v>
      </c>
      <c r="R616" s="31">
        <v>0.06</v>
      </c>
    </row>
    <row r="617" spans="1:18" x14ac:dyDescent="0.3">
      <c r="A617" t="s">
        <v>379</v>
      </c>
      <c r="L617">
        <v>21</v>
      </c>
      <c r="M617">
        <v>21</v>
      </c>
      <c r="N617" t="s">
        <v>58</v>
      </c>
      <c r="O617">
        <v>2.48</v>
      </c>
      <c r="P617">
        <v>16.407</v>
      </c>
      <c r="Q617" t="s">
        <v>531</v>
      </c>
      <c r="R617" s="31">
        <v>0.08</v>
      </c>
    </row>
    <row r="618" spans="1:18" x14ac:dyDescent="0.3">
      <c r="L618">
        <v>22</v>
      </c>
      <c r="M618">
        <v>22</v>
      </c>
      <c r="N618" t="s">
        <v>59</v>
      </c>
      <c r="O618">
        <v>2.5099999999999998</v>
      </c>
      <c r="P618">
        <v>12751.623</v>
      </c>
      <c r="Q618" t="s">
        <v>532</v>
      </c>
      <c r="R618" s="31">
        <v>3.71</v>
      </c>
    </row>
    <row r="619" spans="1:18" x14ac:dyDescent="0.3">
      <c r="A619" t="s">
        <v>380</v>
      </c>
      <c r="L619">
        <v>23</v>
      </c>
      <c r="M619">
        <v>23</v>
      </c>
      <c r="N619" t="s">
        <v>60</v>
      </c>
      <c r="O619">
        <v>3.18</v>
      </c>
      <c r="P619">
        <v>8743.1650000000009</v>
      </c>
      <c r="Q619" t="s">
        <v>533</v>
      </c>
      <c r="R619" s="31">
        <v>1.63</v>
      </c>
    </row>
    <row r="621" spans="1:18" x14ac:dyDescent="0.3">
      <c r="A621" t="s">
        <v>437</v>
      </c>
      <c r="L621" t="s">
        <v>379</v>
      </c>
    </row>
    <row r="623" spans="1:18" x14ac:dyDescent="0.3">
      <c r="B623" t="s">
        <v>382</v>
      </c>
      <c r="C623" t="s">
        <v>383</v>
      </c>
      <c r="D623" t="s">
        <v>384</v>
      </c>
      <c r="E623" t="s">
        <v>385</v>
      </c>
      <c r="F623" t="s">
        <v>386</v>
      </c>
      <c r="G623" s="31" t="s">
        <v>387</v>
      </c>
      <c r="L623" t="s">
        <v>509</v>
      </c>
    </row>
    <row r="624" spans="1:18" x14ac:dyDescent="0.3">
      <c r="A624">
        <v>1</v>
      </c>
      <c r="B624">
        <v>1</v>
      </c>
      <c r="C624" t="s">
        <v>0</v>
      </c>
      <c r="D624">
        <v>1.01</v>
      </c>
      <c r="E624">
        <v>3814.8</v>
      </c>
      <c r="F624" t="s">
        <v>388</v>
      </c>
      <c r="G624" s="31">
        <v>28.9</v>
      </c>
    </row>
    <row r="625" spans="1:18" x14ac:dyDescent="0.3">
      <c r="A625">
        <v>2</v>
      </c>
      <c r="B625">
        <v>2</v>
      </c>
      <c r="C625" t="s">
        <v>1</v>
      </c>
      <c r="D625">
        <v>1.45</v>
      </c>
      <c r="E625">
        <v>6118.7039999999997</v>
      </c>
      <c r="F625" t="s">
        <v>389</v>
      </c>
      <c r="G625" s="31">
        <v>8.58</v>
      </c>
      <c r="L625" t="s">
        <v>553</v>
      </c>
    </row>
    <row r="626" spans="1:18" x14ac:dyDescent="0.3">
      <c r="A626">
        <v>3</v>
      </c>
      <c r="B626">
        <v>3</v>
      </c>
      <c r="C626" t="s">
        <v>50</v>
      </c>
      <c r="D626">
        <v>3.53</v>
      </c>
      <c r="E626">
        <v>196.15</v>
      </c>
      <c r="F626" t="s">
        <v>390</v>
      </c>
      <c r="G626" s="31">
        <v>0.14000000000000001</v>
      </c>
    </row>
    <row r="627" spans="1:18" x14ac:dyDescent="0.3">
      <c r="A627">
        <v>4</v>
      </c>
      <c r="B627">
        <v>4</v>
      </c>
      <c r="C627" t="s">
        <v>2</v>
      </c>
      <c r="D627">
        <v>3.69</v>
      </c>
      <c r="E627">
        <v>17248.548999999999</v>
      </c>
      <c r="F627" t="s">
        <v>391</v>
      </c>
      <c r="G627" s="31">
        <v>1.05</v>
      </c>
      <c r="M627" t="s">
        <v>382</v>
      </c>
      <c r="N627" t="s">
        <v>383</v>
      </c>
      <c r="O627" t="s">
        <v>384</v>
      </c>
      <c r="P627" t="s">
        <v>385</v>
      </c>
      <c r="Q627" t="s">
        <v>386</v>
      </c>
      <c r="R627" s="31" t="s">
        <v>387</v>
      </c>
    </row>
    <row r="628" spans="1:18" x14ac:dyDescent="0.3">
      <c r="A628">
        <v>5</v>
      </c>
      <c r="B628">
        <v>5</v>
      </c>
      <c r="C628" t="s">
        <v>3</v>
      </c>
      <c r="D628">
        <v>4.49</v>
      </c>
      <c r="E628">
        <v>171.90100000000001</v>
      </c>
      <c r="F628" t="s">
        <v>392</v>
      </c>
      <c r="G628" s="31">
        <v>0.1</v>
      </c>
      <c r="L628">
        <v>1</v>
      </c>
      <c r="M628">
        <v>1</v>
      </c>
      <c r="N628" t="s">
        <v>35</v>
      </c>
      <c r="O628">
        <v>1.44</v>
      </c>
      <c r="P628">
        <v>10364.972</v>
      </c>
      <c r="Q628" t="s">
        <v>511</v>
      </c>
      <c r="R628" s="31">
        <v>9.4</v>
      </c>
    </row>
    <row r="629" spans="1:18" x14ac:dyDescent="0.3">
      <c r="A629">
        <v>6</v>
      </c>
      <c r="B629">
        <v>6</v>
      </c>
      <c r="C629" t="s">
        <v>4</v>
      </c>
      <c r="D629">
        <v>4.8</v>
      </c>
      <c r="E629">
        <v>48137.565999999999</v>
      </c>
      <c r="F629" t="s">
        <v>393</v>
      </c>
      <c r="G629" s="31">
        <v>2.11</v>
      </c>
      <c r="L629">
        <v>2</v>
      </c>
      <c r="M629">
        <v>2</v>
      </c>
      <c r="N629" t="s">
        <v>36</v>
      </c>
      <c r="O629">
        <v>1.66</v>
      </c>
      <c r="P629">
        <v>3665507</v>
      </c>
      <c r="Q629" t="s">
        <v>512</v>
      </c>
      <c r="R629" s="31">
        <v>418.96</v>
      </c>
    </row>
    <row r="630" spans="1:18" x14ac:dyDescent="0.3">
      <c r="A630">
        <v>7</v>
      </c>
      <c r="B630">
        <v>7</v>
      </c>
      <c r="C630" t="s">
        <v>5</v>
      </c>
      <c r="D630">
        <v>2.7</v>
      </c>
      <c r="E630">
        <v>641.61199999999997</v>
      </c>
      <c r="F630" t="s">
        <v>394</v>
      </c>
      <c r="G630" s="31">
        <v>0.1</v>
      </c>
      <c r="L630">
        <v>3</v>
      </c>
      <c r="M630">
        <v>3</v>
      </c>
      <c r="N630" t="s">
        <v>37</v>
      </c>
      <c r="O630">
        <v>1.81</v>
      </c>
      <c r="P630">
        <v>1624.0029999999999</v>
      </c>
      <c r="Q630" t="s">
        <v>513</v>
      </c>
      <c r="R630" s="31">
        <v>0.35</v>
      </c>
    </row>
    <row r="631" spans="1:18" x14ac:dyDescent="0.3">
      <c r="A631">
        <v>8</v>
      </c>
      <c r="B631">
        <v>8</v>
      </c>
      <c r="C631" t="s">
        <v>6</v>
      </c>
      <c r="D631">
        <v>0.67</v>
      </c>
      <c r="E631">
        <v>2134.011</v>
      </c>
      <c r="F631" t="s">
        <v>395</v>
      </c>
      <c r="G631" s="31">
        <v>24.46</v>
      </c>
      <c r="L631">
        <v>4</v>
      </c>
      <c r="M631">
        <v>4</v>
      </c>
      <c r="N631" t="s">
        <v>38</v>
      </c>
      <c r="O631">
        <v>1.17</v>
      </c>
      <c r="P631">
        <v>4813.5829999999996</v>
      </c>
      <c r="Q631" t="s">
        <v>514</v>
      </c>
      <c r="R631" s="31">
        <v>0.73</v>
      </c>
    </row>
    <row r="632" spans="1:18" x14ac:dyDescent="0.3">
      <c r="A632">
        <v>9</v>
      </c>
      <c r="B632">
        <v>9</v>
      </c>
      <c r="C632" t="s">
        <v>7</v>
      </c>
      <c r="D632">
        <v>3.56</v>
      </c>
      <c r="E632">
        <v>1244.662</v>
      </c>
      <c r="F632" t="s">
        <v>396</v>
      </c>
      <c r="G632" s="31">
        <v>3.07</v>
      </c>
      <c r="L632">
        <v>5</v>
      </c>
      <c r="M632">
        <v>5</v>
      </c>
      <c r="N632" t="s">
        <v>39</v>
      </c>
      <c r="O632">
        <v>1.37</v>
      </c>
      <c r="P632">
        <v>276023.375</v>
      </c>
      <c r="Q632" t="s">
        <v>515</v>
      </c>
      <c r="R632" s="31">
        <v>48.98</v>
      </c>
    </row>
    <row r="633" spans="1:18" x14ac:dyDescent="0.3">
      <c r="A633">
        <v>10</v>
      </c>
      <c r="B633">
        <v>10</v>
      </c>
      <c r="C633" t="s">
        <v>51</v>
      </c>
      <c r="D633">
        <v>4.79</v>
      </c>
      <c r="E633">
        <v>627.21699999999998</v>
      </c>
      <c r="F633" t="s">
        <v>397</v>
      </c>
      <c r="G633" s="31">
        <v>0.12</v>
      </c>
      <c r="L633">
        <v>6</v>
      </c>
      <c r="M633">
        <v>6</v>
      </c>
      <c r="N633" t="s">
        <v>40</v>
      </c>
      <c r="O633">
        <v>1.52</v>
      </c>
      <c r="P633">
        <v>13536.573</v>
      </c>
      <c r="Q633" t="s">
        <v>516</v>
      </c>
      <c r="R633" s="31">
        <v>1.38</v>
      </c>
    </row>
    <row r="634" spans="1:18" x14ac:dyDescent="0.3">
      <c r="A634">
        <v>11</v>
      </c>
      <c r="B634">
        <v>11</v>
      </c>
      <c r="C634" t="s">
        <v>8</v>
      </c>
      <c r="D634">
        <v>2.74</v>
      </c>
      <c r="E634">
        <v>30290.127</v>
      </c>
      <c r="F634" t="s">
        <v>398</v>
      </c>
      <c r="G634" s="31">
        <v>1.58</v>
      </c>
      <c r="L634">
        <v>7</v>
      </c>
      <c r="M634">
        <v>7</v>
      </c>
      <c r="N634" t="s">
        <v>41</v>
      </c>
      <c r="O634">
        <v>2.2999999999999998</v>
      </c>
      <c r="P634">
        <v>2552.1680000000001</v>
      </c>
      <c r="Q634" t="s">
        <v>517</v>
      </c>
      <c r="R634" s="31">
        <v>2.39</v>
      </c>
    </row>
    <row r="635" spans="1:18" x14ac:dyDescent="0.3">
      <c r="A635">
        <v>12</v>
      </c>
      <c r="B635">
        <v>12</v>
      </c>
      <c r="C635" t="s">
        <v>9</v>
      </c>
      <c r="D635">
        <v>2.61</v>
      </c>
      <c r="E635">
        <v>3131.3670000000002</v>
      </c>
      <c r="F635" t="s">
        <v>399</v>
      </c>
      <c r="G635" s="31">
        <v>1.21</v>
      </c>
      <c r="L635">
        <v>8</v>
      </c>
      <c r="M635">
        <v>8</v>
      </c>
      <c r="N635" t="s">
        <v>42</v>
      </c>
      <c r="O635">
        <v>0.88</v>
      </c>
      <c r="P635">
        <v>1520.444</v>
      </c>
      <c r="Q635" t="s">
        <v>518</v>
      </c>
      <c r="R635" s="31">
        <v>19.12</v>
      </c>
    </row>
    <row r="636" spans="1:18" x14ac:dyDescent="0.3">
      <c r="A636">
        <v>13</v>
      </c>
      <c r="B636">
        <v>13</v>
      </c>
      <c r="C636" t="s">
        <v>10</v>
      </c>
      <c r="D636">
        <v>4.08</v>
      </c>
      <c r="E636">
        <v>1112807.875</v>
      </c>
      <c r="F636" t="s">
        <v>400</v>
      </c>
      <c r="G636" s="31">
        <v>88.44</v>
      </c>
      <c r="L636">
        <v>9</v>
      </c>
      <c r="M636">
        <v>9</v>
      </c>
      <c r="N636" t="s">
        <v>43</v>
      </c>
      <c r="O636">
        <v>2.54</v>
      </c>
      <c r="P636">
        <v>9898.0020000000004</v>
      </c>
      <c r="Q636" t="s">
        <v>519</v>
      </c>
      <c r="R636" s="31">
        <v>0.15</v>
      </c>
    </row>
    <row r="637" spans="1:18" x14ac:dyDescent="0.3">
      <c r="A637">
        <v>14</v>
      </c>
      <c r="B637">
        <v>14</v>
      </c>
      <c r="C637" t="s">
        <v>11</v>
      </c>
      <c r="D637">
        <v>3.52</v>
      </c>
      <c r="E637">
        <v>45.31</v>
      </c>
      <c r="F637" t="s">
        <v>401</v>
      </c>
      <c r="G637" s="31">
        <v>2.97</v>
      </c>
      <c r="L637">
        <v>10</v>
      </c>
      <c r="M637">
        <v>10</v>
      </c>
      <c r="N637" t="s">
        <v>52</v>
      </c>
      <c r="O637">
        <v>4.13</v>
      </c>
      <c r="P637">
        <v>14342.947</v>
      </c>
      <c r="Q637" t="s">
        <v>520</v>
      </c>
      <c r="R637" s="31">
        <v>0.67</v>
      </c>
    </row>
    <row r="638" spans="1:18" x14ac:dyDescent="0.3">
      <c r="A638">
        <v>15</v>
      </c>
      <c r="B638">
        <v>15</v>
      </c>
      <c r="C638" t="s">
        <v>12</v>
      </c>
      <c r="D638">
        <v>3.32</v>
      </c>
      <c r="E638">
        <v>487.44900000000001</v>
      </c>
      <c r="F638" t="s">
        <v>402</v>
      </c>
      <c r="G638" s="31">
        <v>2.0299999999999998</v>
      </c>
      <c r="L638">
        <v>11</v>
      </c>
      <c r="M638">
        <v>11</v>
      </c>
      <c r="N638" t="s">
        <v>44</v>
      </c>
      <c r="O638">
        <v>4.1900000000000004</v>
      </c>
      <c r="P638">
        <v>2837.7339999999999</v>
      </c>
      <c r="Q638" t="s">
        <v>521</v>
      </c>
      <c r="R638" s="31">
        <v>0.41</v>
      </c>
    </row>
    <row r="639" spans="1:18" x14ac:dyDescent="0.3">
      <c r="A639">
        <v>16</v>
      </c>
      <c r="B639">
        <v>16</v>
      </c>
      <c r="C639" t="s">
        <v>13</v>
      </c>
      <c r="D639">
        <v>3.23</v>
      </c>
      <c r="E639">
        <v>4239.2110000000002</v>
      </c>
      <c r="F639" t="s">
        <v>403</v>
      </c>
      <c r="G639" s="31">
        <v>0.89</v>
      </c>
      <c r="L639">
        <v>12</v>
      </c>
      <c r="M639">
        <v>12</v>
      </c>
      <c r="N639" t="s">
        <v>45</v>
      </c>
      <c r="O639">
        <v>3.45</v>
      </c>
      <c r="P639">
        <v>1222493</v>
      </c>
      <c r="Q639" t="s">
        <v>522</v>
      </c>
      <c r="R639" s="31">
        <v>26.06</v>
      </c>
    </row>
    <row r="640" spans="1:18" x14ac:dyDescent="0.3">
      <c r="A640">
        <v>17</v>
      </c>
      <c r="B640">
        <v>17</v>
      </c>
      <c r="C640" t="s">
        <v>14</v>
      </c>
      <c r="D640">
        <v>2.0099999999999998</v>
      </c>
      <c r="E640">
        <v>8359.7369999999992</v>
      </c>
      <c r="F640" t="s">
        <v>404</v>
      </c>
      <c r="G640" s="31">
        <v>1.53</v>
      </c>
      <c r="L640">
        <v>13</v>
      </c>
      <c r="M640">
        <v>13</v>
      </c>
      <c r="N640" t="s">
        <v>46</v>
      </c>
      <c r="O640">
        <v>2.59</v>
      </c>
      <c r="P640">
        <v>247023.266</v>
      </c>
      <c r="Q640" t="s">
        <v>523</v>
      </c>
      <c r="R640" s="31">
        <v>12.17</v>
      </c>
    </row>
    <row r="641" spans="1:18" x14ac:dyDescent="0.3">
      <c r="A641">
        <v>18</v>
      </c>
      <c r="B641">
        <v>18</v>
      </c>
      <c r="C641" t="s">
        <v>15</v>
      </c>
      <c r="D641">
        <v>2.48</v>
      </c>
      <c r="E641">
        <v>21985.861000000001</v>
      </c>
      <c r="F641" t="s">
        <v>405</v>
      </c>
      <c r="G641" s="31">
        <v>10.29</v>
      </c>
      <c r="L641">
        <v>14</v>
      </c>
      <c r="M641">
        <v>14</v>
      </c>
      <c r="N641" t="s">
        <v>47</v>
      </c>
      <c r="O641">
        <v>0.68</v>
      </c>
      <c r="P641">
        <v>22653.484</v>
      </c>
      <c r="Q641" t="s">
        <v>524</v>
      </c>
      <c r="R641" s="31">
        <v>10.19</v>
      </c>
    </row>
    <row r="642" spans="1:18" x14ac:dyDescent="0.3">
      <c r="A642">
        <v>19</v>
      </c>
      <c r="B642">
        <v>19</v>
      </c>
      <c r="C642" t="s">
        <v>16</v>
      </c>
      <c r="D642">
        <v>2.71</v>
      </c>
      <c r="E642">
        <v>1881.894</v>
      </c>
      <c r="F642" t="s">
        <v>406</v>
      </c>
      <c r="G642" s="31">
        <v>0.13</v>
      </c>
      <c r="L642">
        <v>15</v>
      </c>
      <c r="M642">
        <v>15</v>
      </c>
      <c r="N642" t="s">
        <v>48</v>
      </c>
      <c r="O642">
        <v>1.21</v>
      </c>
      <c r="P642">
        <v>26499.782999999999</v>
      </c>
      <c r="Q642" t="s">
        <v>525</v>
      </c>
      <c r="R642" s="31">
        <v>3.77</v>
      </c>
    </row>
    <row r="643" spans="1:18" x14ac:dyDescent="0.3">
      <c r="A643">
        <v>20</v>
      </c>
      <c r="B643">
        <v>20</v>
      </c>
      <c r="C643" t="s">
        <v>17</v>
      </c>
      <c r="D643">
        <v>3.13</v>
      </c>
      <c r="E643">
        <v>14851.716</v>
      </c>
      <c r="F643" t="s">
        <v>407</v>
      </c>
      <c r="G643" s="31">
        <v>2.7</v>
      </c>
      <c r="L643">
        <v>16</v>
      </c>
      <c r="M643">
        <v>16</v>
      </c>
      <c r="N643" t="s">
        <v>53</v>
      </c>
      <c r="O643">
        <v>4.55</v>
      </c>
      <c r="P643">
        <v>81621.047000000006</v>
      </c>
      <c r="Q643" t="s">
        <v>526</v>
      </c>
      <c r="R643" s="31">
        <v>1.1399999999999999</v>
      </c>
    </row>
    <row r="644" spans="1:18" x14ac:dyDescent="0.3">
      <c r="A644">
        <v>21</v>
      </c>
      <c r="B644">
        <v>21</v>
      </c>
      <c r="C644" t="s">
        <v>18</v>
      </c>
      <c r="D644">
        <v>3.68</v>
      </c>
      <c r="E644">
        <v>19737.215</v>
      </c>
      <c r="F644" t="s">
        <v>408</v>
      </c>
      <c r="G644" s="31">
        <v>0.84</v>
      </c>
      <c r="L644">
        <v>17</v>
      </c>
      <c r="M644">
        <v>17</v>
      </c>
      <c r="N644" t="s">
        <v>54</v>
      </c>
      <c r="O644">
        <v>5.17</v>
      </c>
      <c r="P644">
        <v>399.77699999999999</v>
      </c>
      <c r="Q644" t="s">
        <v>527</v>
      </c>
      <c r="R644" s="31">
        <v>0.1</v>
      </c>
    </row>
    <row r="645" spans="1:18" x14ac:dyDescent="0.3">
      <c r="A645">
        <v>22</v>
      </c>
      <c r="B645">
        <v>22</v>
      </c>
      <c r="C645" t="s">
        <v>19</v>
      </c>
      <c r="D645">
        <v>2.62</v>
      </c>
      <c r="E645">
        <v>25035.115000000002</v>
      </c>
      <c r="F645" t="s">
        <v>409</v>
      </c>
      <c r="G645" s="31">
        <v>2.84</v>
      </c>
      <c r="L645">
        <v>18</v>
      </c>
      <c r="M645">
        <v>18</v>
      </c>
      <c r="N645" t="s">
        <v>55</v>
      </c>
      <c r="O645">
        <v>1.31</v>
      </c>
      <c r="P645">
        <v>3160.835</v>
      </c>
      <c r="Q645" t="s">
        <v>528</v>
      </c>
      <c r="R645" s="31">
        <v>0.12</v>
      </c>
    </row>
    <row r="646" spans="1:18" x14ac:dyDescent="0.3">
      <c r="A646">
        <v>23</v>
      </c>
      <c r="B646">
        <v>23</v>
      </c>
      <c r="C646" t="s">
        <v>20</v>
      </c>
      <c r="D646">
        <v>2.89</v>
      </c>
      <c r="E646">
        <v>7260.7380000000003</v>
      </c>
      <c r="F646" t="s">
        <v>410</v>
      </c>
      <c r="G646" s="31">
        <v>0.5</v>
      </c>
      <c r="L646">
        <v>19</v>
      </c>
      <c r="M646">
        <v>19</v>
      </c>
      <c r="N646" t="s">
        <v>56</v>
      </c>
      <c r="O646">
        <v>0.87</v>
      </c>
      <c r="P646">
        <v>12435.403</v>
      </c>
      <c r="Q646" t="s">
        <v>529</v>
      </c>
      <c r="R646" s="31">
        <v>0.27</v>
      </c>
    </row>
    <row r="647" spans="1:18" x14ac:dyDescent="0.3">
      <c r="A647">
        <v>24</v>
      </c>
      <c r="B647">
        <v>24</v>
      </c>
      <c r="C647" t="s">
        <v>21</v>
      </c>
      <c r="D647">
        <v>4.1100000000000003</v>
      </c>
      <c r="E647">
        <v>382.584</v>
      </c>
      <c r="F647" t="s">
        <v>411</v>
      </c>
      <c r="G647" s="31">
        <v>0.12</v>
      </c>
      <c r="L647">
        <v>20</v>
      </c>
      <c r="M647">
        <v>20</v>
      </c>
      <c r="N647" t="s">
        <v>57</v>
      </c>
      <c r="O647">
        <v>1.51</v>
      </c>
      <c r="P647">
        <v>614.47799999999995</v>
      </c>
      <c r="Q647" t="s">
        <v>530</v>
      </c>
      <c r="R647" s="31">
        <v>0.22</v>
      </c>
    </row>
    <row r="648" spans="1:18" x14ac:dyDescent="0.3">
      <c r="A648">
        <v>25</v>
      </c>
      <c r="B648">
        <v>25</v>
      </c>
      <c r="C648" t="s">
        <v>22</v>
      </c>
      <c r="D648">
        <v>3.42</v>
      </c>
      <c r="E648">
        <v>284.50799999999998</v>
      </c>
      <c r="F648" t="s">
        <v>412</v>
      </c>
      <c r="G648" s="31">
        <v>4.03</v>
      </c>
      <c r="L648">
        <v>21</v>
      </c>
      <c r="M648">
        <v>21</v>
      </c>
      <c r="N648" t="s">
        <v>58</v>
      </c>
      <c r="O648">
        <v>2.4300000000000002</v>
      </c>
      <c r="P648">
        <v>71.966999999999999</v>
      </c>
      <c r="Q648" t="s">
        <v>531</v>
      </c>
      <c r="R648" s="31">
        <v>0.06</v>
      </c>
    </row>
    <row r="649" spans="1:18" x14ac:dyDescent="0.3">
      <c r="A649">
        <v>26</v>
      </c>
      <c r="B649">
        <v>26</v>
      </c>
      <c r="C649" t="s">
        <v>23</v>
      </c>
      <c r="D649">
        <v>3.35</v>
      </c>
      <c r="E649">
        <v>23003.616999999998</v>
      </c>
      <c r="F649" t="s">
        <v>413</v>
      </c>
      <c r="G649" s="31">
        <v>2.2200000000000002</v>
      </c>
      <c r="L649">
        <v>22</v>
      </c>
      <c r="M649">
        <v>22</v>
      </c>
      <c r="N649" t="s">
        <v>59</v>
      </c>
      <c r="O649">
        <v>2.5</v>
      </c>
      <c r="P649">
        <v>46822.559000000001</v>
      </c>
      <c r="Q649" t="s">
        <v>532</v>
      </c>
      <c r="R649" s="31">
        <v>6.36</v>
      </c>
    </row>
    <row r="650" spans="1:18" x14ac:dyDescent="0.3">
      <c r="A650">
        <v>27</v>
      </c>
      <c r="B650">
        <v>27</v>
      </c>
      <c r="C650" t="s">
        <v>24</v>
      </c>
      <c r="D650">
        <v>3.43</v>
      </c>
      <c r="E650">
        <v>2007.9839999999999</v>
      </c>
      <c r="F650" t="s">
        <v>414</v>
      </c>
      <c r="G650" s="31">
        <v>1.37</v>
      </c>
      <c r="L650">
        <v>23</v>
      </c>
      <c r="M650">
        <v>23</v>
      </c>
      <c r="N650" t="s">
        <v>60</v>
      </c>
      <c r="O650">
        <v>2.58</v>
      </c>
      <c r="P650">
        <v>25425.391</v>
      </c>
      <c r="Q650" t="s">
        <v>533</v>
      </c>
      <c r="R650" s="31">
        <v>1.66</v>
      </c>
    </row>
    <row r="651" spans="1:18" x14ac:dyDescent="0.3">
      <c r="A651">
        <v>28</v>
      </c>
      <c r="B651">
        <v>28</v>
      </c>
      <c r="C651" t="s">
        <v>25</v>
      </c>
      <c r="D651">
        <v>3.51</v>
      </c>
      <c r="E651">
        <v>9604.9230000000007</v>
      </c>
      <c r="F651" t="s">
        <v>415</v>
      </c>
      <c r="G651" s="31">
        <v>1.47</v>
      </c>
    </row>
    <row r="652" spans="1:18" x14ac:dyDescent="0.3">
      <c r="A652">
        <v>29</v>
      </c>
      <c r="B652">
        <v>29</v>
      </c>
      <c r="C652" t="s">
        <v>26</v>
      </c>
      <c r="D652">
        <v>1.03</v>
      </c>
      <c r="E652">
        <v>1540.165</v>
      </c>
      <c r="F652" t="s">
        <v>416</v>
      </c>
      <c r="G652" s="31">
        <v>1.62</v>
      </c>
      <c r="L652" t="s">
        <v>379</v>
      </c>
    </row>
    <row r="653" spans="1:18" x14ac:dyDescent="0.3">
      <c r="A653">
        <v>30</v>
      </c>
      <c r="B653">
        <v>30</v>
      </c>
      <c r="C653" t="s">
        <v>27</v>
      </c>
      <c r="D653">
        <v>4.32</v>
      </c>
      <c r="E653">
        <v>504.99900000000002</v>
      </c>
      <c r="F653" t="s">
        <v>417</v>
      </c>
      <c r="G653" s="31">
        <v>0.05</v>
      </c>
    </row>
    <row r="654" spans="1:18" x14ac:dyDescent="0.3">
      <c r="A654">
        <v>31</v>
      </c>
      <c r="B654">
        <v>31</v>
      </c>
      <c r="C654" t="s">
        <v>28</v>
      </c>
      <c r="D654">
        <v>3</v>
      </c>
      <c r="E654">
        <v>52283.875</v>
      </c>
      <c r="F654" t="s">
        <v>418</v>
      </c>
      <c r="G654" s="31">
        <v>0.18</v>
      </c>
      <c r="L654" t="s">
        <v>509</v>
      </c>
    </row>
    <row r="655" spans="1:18" x14ac:dyDescent="0.3">
      <c r="A655">
        <v>32</v>
      </c>
      <c r="B655">
        <v>32</v>
      </c>
      <c r="C655" t="s">
        <v>29</v>
      </c>
      <c r="D655">
        <v>3.34</v>
      </c>
      <c r="E655">
        <v>528.61400000000003</v>
      </c>
      <c r="F655" t="s">
        <v>419</v>
      </c>
      <c r="G655" s="31">
        <v>0.1</v>
      </c>
    </row>
    <row r="656" spans="1:18" x14ac:dyDescent="0.3">
      <c r="A656">
        <v>33</v>
      </c>
      <c r="B656">
        <v>33</v>
      </c>
      <c r="C656" t="s">
        <v>30</v>
      </c>
      <c r="D656">
        <v>4.67</v>
      </c>
      <c r="E656">
        <v>19880.048999999999</v>
      </c>
      <c r="F656" t="s">
        <v>420</v>
      </c>
      <c r="G656" s="31">
        <v>0.72</v>
      </c>
      <c r="L656" t="s">
        <v>554</v>
      </c>
    </row>
    <row r="657" spans="1:18" x14ac:dyDescent="0.3">
      <c r="A657">
        <v>34</v>
      </c>
      <c r="B657">
        <v>34</v>
      </c>
      <c r="C657" t="s">
        <v>31</v>
      </c>
      <c r="D657">
        <v>3.49</v>
      </c>
      <c r="E657">
        <v>1057.4559999999999</v>
      </c>
      <c r="F657" t="s">
        <v>421</v>
      </c>
      <c r="G657" s="31">
        <v>0.1</v>
      </c>
    </row>
    <row r="658" spans="1:18" x14ac:dyDescent="0.3">
      <c r="A658">
        <v>35</v>
      </c>
      <c r="B658">
        <v>35</v>
      </c>
      <c r="C658" t="s">
        <v>32</v>
      </c>
      <c r="D658">
        <v>3.06</v>
      </c>
      <c r="E658">
        <v>54.555999999999997</v>
      </c>
      <c r="F658" t="s">
        <v>422</v>
      </c>
      <c r="G658" s="31">
        <v>0.1</v>
      </c>
      <c r="M658" t="s">
        <v>382</v>
      </c>
      <c r="N658" t="s">
        <v>383</v>
      </c>
      <c r="O658" t="s">
        <v>384</v>
      </c>
      <c r="P658" t="s">
        <v>385</v>
      </c>
      <c r="Q658" t="s">
        <v>386</v>
      </c>
      <c r="R658" s="31" t="s">
        <v>387</v>
      </c>
    </row>
    <row r="659" spans="1:18" x14ac:dyDescent="0.3">
      <c r="A659">
        <v>36</v>
      </c>
      <c r="B659">
        <v>36</v>
      </c>
      <c r="C659" t="s">
        <v>33</v>
      </c>
      <c r="D659">
        <v>1.88</v>
      </c>
      <c r="E659">
        <v>1128.1300000000001</v>
      </c>
      <c r="F659" t="s">
        <v>423</v>
      </c>
      <c r="G659" s="31">
        <v>0.72</v>
      </c>
      <c r="L659">
        <v>1</v>
      </c>
      <c r="M659">
        <v>1</v>
      </c>
      <c r="N659" t="s">
        <v>35</v>
      </c>
      <c r="O659">
        <v>1.45</v>
      </c>
      <c r="P659">
        <v>159.10900000000001</v>
      </c>
      <c r="Q659" t="s">
        <v>511</v>
      </c>
      <c r="R659" s="31">
        <v>11.91</v>
      </c>
    </row>
    <row r="660" spans="1:18" x14ac:dyDescent="0.3">
      <c r="G660" s="31">
        <f>G637/G639</f>
        <v>3.3370786516853936</v>
      </c>
      <c r="L660">
        <v>2</v>
      </c>
      <c r="M660">
        <v>2</v>
      </c>
      <c r="N660" t="s">
        <v>36</v>
      </c>
      <c r="O660">
        <v>1.67</v>
      </c>
      <c r="P660">
        <v>1440878.25</v>
      </c>
      <c r="Q660" t="s">
        <v>512</v>
      </c>
      <c r="R660" s="31">
        <v>283.45999999999998</v>
      </c>
    </row>
    <row r="661" spans="1:18" x14ac:dyDescent="0.3">
      <c r="A661" t="s">
        <v>379</v>
      </c>
      <c r="L661">
        <v>3</v>
      </c>
      <c r="M661">
        <v>3</v>
      </c>
      <c r="N661" t="s">
        <v>37</v>
      </c>
      <c r="O661">
        <v>1.82</v>
      </c>
      <c r="P661">
        <v>851.447</v>
      </c>
      <c r="Q661" t="s">
        <v>513</v>
      </c>
      <c r="R661" s="31">
        <v>0.32</v>
      </c>
    </row>
    <row r="662" spans="1:18" x14ac:dyDescent="0.3">
      <c r="L662">
        <v>4</v>
      </c>
      <c r="M662">
        <v>4</v>
      </c>
      <c r="N662" t="s">
        <v>38</v>
      </c>
      <c r="O662">
        <v>1.18</v>
      </c>
      <c r="P662">
        <v>9017.6049999999996</v>
      </c>
      <c r="Q662" t="s">
        <v>514</v>
      </c>
      <c r="R662" s="31">
        <v>1.97</v>
      </c>
    </row>
    <row r="663" spans="1:18" x14ac:dyDescent="0.3">
      <c r="A663" t="s">
        <v>380</v>
      </c>
      <c r="L663">
        <v>5</v>
      </c>
      <c r="M663">
        <v>5</v>
      </c>
      <c r="N663" t="s">
        <v>39</v>
      </c>
      <c r="O663">
        <v>1.38</v>
      </c>
      <c r="P663">
        <v>250996.125</v>
      </c>
      <c r="Q663" t="s">
        <v>515</v>
      </c>
      <c r="R663" s="31">
        <v>67.09</v>
      </c>
    </row>
    <row r="664" spans="1:18" x14ac:dyDescent="0.3">
      <c r="L664">
        <v>6</v>
      </c>
      <c r="M664">
        <v>6</v>
      </c>
      <c r="N664" t="s">
        <v>40</v>
      </c>
      <c r="O664">
        <v>1.53</v>
      </c>
      <c r="P664">
        <v>21096.803</v>
      </c>
      <c r="Q664" t="s">
        <v>516</v>
      </c>
      <c r="R664" s="31">
        <v>3.18</v>
      </c>
    </row>
    <row r="665" spans="1:18" x14ac:dyDescent="0.3">
      <c r="A665" t="s">
        <v>438</v>
      </c>
      <c r="L665">
        <v>7</v>
      </c>
      <c r="M665">
        <v>7</v>
      </c>
      <c r="N665" t="s">
        <v>41</v>
      </c>
      <c r="O665">
        <v>2.29</v>
      </c>
      <c r="P665">
        <v>3951.288</v>
      </c>
      <c r="Q665" t="s">
        <v>517</v>
      </c>
      <c r="R665" s="31">
        <v>5.42</v>
      </c>
    </row>
    <row r="666" spans="1:18" x14ac:dyDescent="0.3">
      <c r="L666">
        <v>8</v>
      </c>
      <c r="M666">
        <v>8</v>
      </c>
      <c r="N666" t="s">
        <v>42</v>
      </c>
      <c r="O666">
        <v>0.69</v>
      </c>
      <c r="P666">
        <v>28.588000000000001</v>
      </c>
      <c r="Q666" t="s">
        <v>518</v>
      </c>
      <c r="R666" s="31">
        <v>26.31</v>
      </c>
    </row>
    <row r="667" spans="1:18" x14ac:dyDescent="0.3">
      <c r="B667" t="s">
        <v>382</v>
      </c>
      <c r="C667" t="s">
        <v>383</v>
      </c>
      <c r="D667" t="s">
        <v>384</v>
      </c>
      <c r="E667" t="s">
        <v>385</v>
      </c>
      <c r="F667" t="s">
        <v>386</v>
      </c>
      <c r="G667" s="31" t="s">
        <v>387</v>
      </c>
      <c r="L667">
        <v>9</v>
      </c>
      <c r="M667">
        <v>9</v>
      </c>
      <c r="N667" t="s">
        <v>43</v>
      </c>
      <c r="O667">
        <v>2.5499999999999998</v>
      </c>
      <c r="P667">
        <v>7250.12</v>
      </c>
      <c r="Q667" t="s">
        <v>519</v>
      </c>
      <c r="R667" s="31">
        <v>0.17</v>
      </c>
    </row>
    <row r="668" spans="1:18" x14ac:dyDescent="0.3">
      <c r="A668">
        <v>1</v>
      </c>
      <c r="B668">
        <v>1</v>
      </c>
      <c r="C668" t="s">
        <v>0</v>
      </c>
      <c r="D668">
        <v>1.01</v>
      </c>
      <c r="E668">
        <v>606.86</v>
      </c>
      <c r="F668" t="s">
        <v>388</v>
      </c>
      <c r="G668" s="31">
        <v>5.74</v>
      </c>
      <c r="L668">
        <v>10</v>
      </c>
      <c r="M668">
        <v>10</v>
      </c>
      <c r="N668" t="s">
        <v>52</v>
      </c>
      <c r="O668">
        <v>4.13</v>
      </c>
      <c r="P668">
        <v>19071.754000000001</v>
      </c>
      <c r="Q668" t="s">
        <v>520</v>
      </c>
      <c r="R668" s="31">
        <v>1.46</v>
      </c>
    </row>
    <row r="669" spans="1:18" x14ac:dyDescent="0.3">
      <c r="A669">
        <v>2</v>
      </c>
      <c r="B669">
        <v>2</v>
      </c>
      <c r="C669" t="s">
        <v>1</v>
      </c>
      <c r="D669">
        <v>1.45</v>
      </c>
      <c r="E669">
        <v>2353.3980000000001</v>
      </c>
      <c r="F669" t="s">
        <v>389</v>
      </c>
      <c r="G669" s="31">
        <v>4.95</v>
      </c>
      <c r="L669">
        <v>11</v>
      </c>
      <c r="M669">
        <v>11</v>
      </c>
      <c r="N669" t="s">
        <v>44</v>
      </c>
      <c r="O669">
        <v>4.17</v>
      </c>
      <c r="P669">
        <v>1524.1369999999999</v>
      </c>
      <c r="Q669" t="s">
        <v>521</v>
      </c>
      <c r="R669" s="31">
        <v>0.39</v>
      </c>
    </row>
    <row r="670" spans="1:18" x14ac:dyDescent="0.3">
      <c r="A670">
        <v>3</v>
      </c>
      <c r="B670">
        <v>3</v>
      </c>
      <c r="C670" t="s">
        <v>50</v>
      </c>
      <c r="D670">
        <v>3.57</v>
      </c>
      <c r="E670">
        <v>180.12299999999999</v>
      </c>
      <c r="F670" t="s">
        <v>390</v>
      </c>
      <c r="G670" s="31">
        <v>0.18</v>
      </c>
      <c r="L670">
        <v>12</v>
      </c>
      <c r="M670">
        <v>12</v>
      </c>
      <c r="N670" t="s">
        <v>45</v>
      </c>
      <c r="O670">
        <v>3.45</v>
      </c>
      <c r="P670">
        <v>1505878.75</v>
      </c>
      <c r="Q670" t="s">
        <v>522</v>
      </c>
      <c r="R670" s="31">
        <v>50.25</v>
      </c>
    </row>
    <row r="671" spans="1:18" x14ac:dyDescent="0.3">
      <c r="A671">
        <v>4</v>
      </c>
      <c r="B671">
        <v>4</v>
      </c>
      <c r="C671" t="s">
        <v>2</v>
      </c>
      <c r="D671">
        <v>3.7</v>
      </c>
      <c r="E671">
        <v>11981.911</v>
      </c>
      <c r="F671" t="s">
        <v>391</v>
      </c>
      <c r="G671" s="31">
        <v>1.02</v>
      </c>
      <c r="L671">
        <v>13</v>
      </c>
      <c r="M671">
        <v>13</v>
      </c>
      <c r="N671" t="s">
        <v>46</v>
      </c>
      <c r="O671">
        <v>2.59</v>
      </c>
      <c r="P671">
        <v>342167.28100000002</v>
      </c>
      <c r="Q671" t="s">
        <v>523</v>
      </c>
      <c r="R671" s="31">
        <v>25.77</v>
      </c>
    </row>
    <row r="672" spans="1:18" x14ac:dyDescent="0.3">
      <c r="A672">
        <v>5</v>
      </c>
      <c r="B672">
        <v>5</v>
      </c>
      <c r="C672" t="s">
        <v>3</v>
      </c>
      <c r="D672">
        <v>4.4800000000000004</v>
      </c>
      <c r="E672">
        <v>236.89500000000001</v>
      </c>
      <c r="F672" t="s">
        <v>392</v>
      </c>
      <c r="G672" s="31">
        <v>0.14000000000000001</v>
      </c>
      <c r="L672">
        <v>14</v>
      </c>
      <c r="M672">
        <v>14</v>
      </c>
      <c r="N672" t="s">
        <v>47</v>
      </c>
      <c r="O672">
        <v>0.68</v>
      </c>
      <c r="P672">
        <v>16287.15</v>
      </c>
      <c r="Q672" t="s">
        <v>524</v>
      </c>
      <c r="R672" s="31">
        <v>10.199999999999999</v>
      </c>
    </row>
    <row r="673" spans="1:18" x14ac:dyDescent="0.3">
      <c r="A673">
        <v>6</v>
      </c>
      <c r="B673">
        <v>6</v>
      </c>
      <c r="C673" t="s">
        <v>4</v>
      </c>
      <c r="D673">
        <v>4.8</v>
      </c>
      <c r="E673">
        <v>9629.7929999999997</v>
      </c>
      <c r="F673" t="s">
        <v>393</v>
      </c>
      <c r="G673" s="31">
        <v>0.88</v>
      </c>
      <c r="L673">
        <v>15</v>
      </c>
      <c r="M673">
        <v>15</v>
      </c>
      <c r="N673" t="s">
        <v>48</v>
      </c>
      <c r="O673">
        <v>1.22</v>
      </c>
      <c r="P673">
        <v>51475.07</v>
      </c>
      <c r="Q673" t="s">
        <v>525</v>
      </c>
      <c r="R673" s="31">
        <v>11.37</v>
      </c>
    </row>
    <row r="674" spans="1:18" x14ac:dyDescent="0.3">
      <c r="A674">
        <v>7</v>
      </c>
      <c r="B674">
        <v>7</v>
      </c>
      <c r="C674" t="s">
        <v>5</v>
      </c>
      <c r="D674">
        <v>2.71</v>
      </c>
      <c r="E674">
        <v>1988.854</v>
      </c>
      <c r="F674" t="s">
        <v>394</v>
      </c>
      <c r="G674" s="31">
        <v>0.41</v>
      </c>
      <c r="L674">
        <v>16</v>
      </c>
      <c r="M674">
        <v>16</v>
      </c>
      <c r="N674" t="s">
        <v>53</v>
      </c>
      <c r="O674">
        <v>4.5599999999999996</v>
      </c>
      <c r="P674">
        <v>87279.343999999997</v>
      </c>
      <c r="Q674" t="s">
        <v>526</v>
      </c>
      <c r="R674" s="31">
        <v>1.82</v>
      </c>
    </row>
    <row r="675" spans="1:18" x14ac:dyDescent="0.3">
      <c r="A675">
        <v>8</v>
      </c>
      <c r="B675">
        <v>8</v>
      </c>
      <c r="C675" t="s">
        <v>6</v>
      </c>
      <c r="D675">
        <v>0.67</v>
      </c>
      <c r="E675">
        <v>1002.103</v>
      </c>
      <c r="F675" t="s">
        <v>395</v>
      </c>
      <c r="G675" s="31">
        <v>16.8</v>
      </c>
      <c r="L675">
        <v>17</v>
      </c>
      <c r="M675">
        <v>17</v>
      </c>
      <c r="N675" t="s">
        <v>54</v>
      </c>
      <c r="O675">
        <v>5.21</v>
      </c>
      <c r="P675">
        <v>128.59700000000001</v>
      </c>
      <c r="Q675" t="s">
        <v>527</v>
      </c>
      <c r="R675" s="31">
        <v>0.1</v>
      </c>
    </row>
    <row r="676" spans="1:18" x14ac:dyDescent="0.3">
      <c r="A676">
        <v>9</v>
      </c>
      <c r="B676">
        <v>9</v>
      </c>
      <c r="C676" t="s">
        <v>7</v>
      </c>
      <c r="D676">
        <v>3.63</v>
      </c>
      <c r="E676">
        <v>707.74</v>
      </c>
      <c r="F676" t="s">
        <v>396</v>
      </c>
      <c r="G676" s="31">
        <v>2.44</v>
      </c>
      <c r="L676">
        <v>18</v>
      </c>
      <c r="M676">
        <v>18</v>
      </c>
      <c r="N676" t="s">
        <v>55</v>
      </c>
      <c r="O676">
        <v>1.31</v>
      </c>
      <c r="P676">
        <v>1938.943</v>
      </c>
      <c r="Q676" t="s">
        <v>528</v>
      </c>
      <c r="R676" s="31">
        <v>0.11</v>
      </c>
    </row>
    <row r="677" spans="1:18" x14ac:dyDescent="0.3">
      <c r="A677">
        <v>10</v>
      </c>
      <c r="B677">
        <v>10</v>
      </c>
      <c r="C677" t="s">
        <v>51</v>
      </c>
      <c r="D677">
        <v>4.67</v>
      </c>
      <c r="E677">
        <v>674.09799999999996</v>
      </c>
      <c r="F677" t="s">
        <v>397</v>
      </c>
      <c r="G677" s="31">
        <v>0.18</v>
      </c>
      <c r="L677">
        <v>19</v>
      </c>
      <c r="M677">
        <v>19</v>
      </c>
      <c r="N677" t="s">
        <v>56</v>
      </c>
      <c r="O677">
        <v>0.87</v>
      </c>
      <c r="P677">
        <v>9134.4470000000001</v>
      </c>
      <c r="Q677" t="s">
        <v>529</v>
      </c>
      <c r="R677" s="31">
        <v>0.06</v>
      </c>
    </row>
    <row r="678" spans="1:18" x14ac:dyDescent="0.3">
      <c r="A678">
        <v>11</v>
      </c>
      <c r="B678">
        <v>11</v>
      </c>
      <c r="C678" t="s">
        <v>8</v>
      </c>
      <c r="D678">
        <v>2.74</v>
      </c>
      <c r="E678">
        <v>17836.918000000001</v>
      </c>
      <c r="F678" t="s">
        <v>398</v>
      </c>
      <c r="G678" s="31">
        <v>1.38</v>
      </c>
      <c r="L678">
        <v>20</v>
      </c>
      <c r="M678">
        <v>20</v>
      </c>
      <c r="N678" t="s">
        <v>57</v>
      </c>
      <c r="O678">
        <v>1.51</v>
      </c>
      <c r="P678">
        <v>517.38300000000004</v>
      </c>
      <c r="Q678" t="s">
        <v>530</v>
      </c>
      <c r="R678" s="31">
        <v>0.28000000000000003</v>
      </c>
    </row>
    <row r="679" spans="1:18" x14ac:dyDescent="0.3">
      <c r="A679">
        <v>12</v>
      </c>
      <c r="B679">
        <v>12</v>
      </c>
      <c r="C679" t="s">
        <v>9</v>
      </c>
      <c r="D679">
        <v>2.63</v>
      </c>
      <c r="E679">
        <v>1131.3869999999999</v>
      </c>
      <c r="F679" t="s">
        <v>399</v>
      </c>
      <c r="G679" s="31">
        <v>0.88</v>
      </c>
      <c r="L679">
        <v>21</v>
      </c>
      <c r="M679">
        <v>21</v>
      </c>
      <c r="N679" t="s">
        <v>58</v>
      </c>
      <c r="O679">
        <v>2.4300000000000002</v>
      </c>
      <c r="P679">
        <v>88.662000000000006</v>
      </c>
      <c r="Q679" t="s">
        <v>531</v>
      </c>
      <c r="R679" s="31">
        <v>0.11</v>
      </c>
    </row>
    <row r="680" spans="1:18" x14ac:dyDescent="0.3">
      <c r="A680">
        <v>13</v>
      </c>
      <c r="B680">
        <v>13</v>
      </c>
      <c r="C680" t="s">
        <v>10</v>
      </c>
      <c r="D680">
        <v>4.08</v>
      </c>
      <c r="E680">
        <v>923501.93799999997</v>
      </c>
      <c r="F680" t="s">
        <v>400</v>
      </c>
      <c r="G680" s="31">
        <v>96.78</v>
      </c>
      <c r="L680">
        <v>22</v>
      </c>
      <c r="M680">
        <v>22</v>
      </c>
      <c r="N680" t="s">
        <v>59</v>
      </c>
      <c r="O680">
        <v>2.5099999999999998</v>
      </c>
      <c r="P680">
        <v>27872.956999999999</v>
      </c>
      <c r="Q680" t="s">
        <v>532</v>
      </c>
      <c r="R680" s="31">
        <v>5.53</v>
      </c>
    </row>
    <row r="681" spans="1:18" x14ac:dyDescent="0.3">
      <c r="A681">
        <v>14</v>
      </c>
      <c r="B681">
        <v>14</v>
      </c>
      <c r="C681" t="s">
        <v>11</v>
      </c>
      <c r="D681">
        <v>3.53</v>
      </c>
      <c r="E681">
        <v>4.7290000000000001</v>
      </c>
      <c r="F681" t="s">
        <v>401</v>
      </c>
      <c r="G681" s="31">
        <v>1.68</v>
      </c>
      <c r="L681">
        <v>23</v>
      </c>
      <c r="M681">
        <v>23</v>
      </c>
      <c r="N681" t="s">
        <v>60</v>
      </c>
      <c r="O681">
        <v>2.58</v>
      </c>
      <c r="P681">
        <v>33293.902000000002</v>
      </c>
      <c r="Q681" t="s">
        <v>533</v>
      </c>
      <c r="R681" s="31">
        <v>3.16</v>
      </c>
    </row>
    <row r="682" spans="1:18" x14ac:dyDescent="0.3">
      <c r="A682">
        <v>15</v>
      </c>
      <c r="B682">
        <v>15</v>
      </c>
      <c r="C682" t="s">
        <v>12</v>
      </c>
      <c r="D682">
        <v>3.32</v>
      </c>
      <c r="E682">
        <v>248.55799999999999</v>
      </c>
      <c r="F682" t="s">
        <v>402</v>
      </c>
      <c r="G682" s="31">
        <v>1.42</v>
      </c>
    </row>
    <row r="683" spans="1:18" x14ac:dyDescent="0.3">
      <c r="A683">
        <v>16</v>
      </c>
      <c r="B683">
        <v>16</v>
      </c>
      <c r="C683" t="s">
        <v>13</v>
      </c>
      <c r="D683">
        <v>3.23</v>
      </c>
      <c r="E683">
        <v>3334.502</v>
      </c>
      <c r="F683" t="s">
        <v>403</v>
      </c>
      <c r="G683" s="31">
        <v>1.03</v>
      </c>
      <c r="L683" t="s">
        <v>379</v>
      </c>
    </row>
    <row r="684" spans="1:18" x14ac:dyDescent="0.3">
      <c r="A684">
        <v>17</v>
      </c>
      <c r="B684">
        <v>17</v>
      </c>
      <c r="C684" t="s">
        <v>14</v>
      </c>
      <c r="D684">
        <v>2.02</v>
      </c>
      <c r="E684">
        <v>23709.893</v>
      </c>
      <c r="F684" t="s">
        <v>404</v>
      </c>
      <c r="G684" s="31">
        <v>4.9000000000000004</v>
      </c>
    </row>
    <row r="685" spans="1:18" x14ac:dyDescent="0.3">
      <c r="A685">
        <v>18</v>
      </c>
      <c r="B685">
        <v>18</v>
      </c>
      <c r="C685" t="s">
        <v>15</v>
      </c>
      <c r="D685">
        <v>2.5</v>
      </c>
      <c r="E685">
        <v>11381.25</v>
      </c>
      <c r="F685" t="s">
        <v>405</v>
      </c>
      <c r="G685" s="31">
        <v>8.06</v>
      </c>
      <c r="L685" t="s">
        <v>509</v>
      </c>
    </row>
    <row r="686" spans="1:18" x14ac:dyDescent="0.3">
      <c r="A686">
        <v>19</v>
      </c>
      <c r="B686">
        <v>19</v>
      </c>
      <c r="C686" t="s">
        <v>16</v>
      </c>
      <c r="D686">
        <v>2.72</v>
      </c>
      <c r="E686">
        <v>2490.6390000000001</v>
      </c>
      <c r="F686" t="s">
        <v>406</v>
      </c>
      <c r="G686" s="31">
        <v>0.22</v>
      </c>
    </row>
    <row r="687" spans="1:18" x14ac:dyDescent="0.3">
      <c r="A687">
        <v>20</v>
      </c>
      <c r="B687">
        <v>20</v>
      </c>
      <c r="C687" t="s">
        <v>17</v>
      </c>
      <c r="D687">
        <v>3.05</v>
      </c>
      <c r="E687">
        <v>11100.379000000001</v>
      </c>
      <c r="F687" t="s">
        <v>407</v>
      </c>
      <c r="G687" s="31">
        <v>2.71</v>
      </c>
      <c r="L687" t="s">
        <v>555</v>
      </c>
    </row>
    <row r="688" spans="1:18" x14ac:dyDescent="0.3">
      <c r="A688">
        <v>21</v>
      </c>
      <c r="B688">
        <v>21</v>
      </c>
      <c r="C688" t="s">
        <v>18</v>
      </c>
      <c r="D688">
        <v>3.68</v>
      </c>
      <c r="E688">
        <v>14196.517</v>
      </c>
      <c r="F688" t="s">
        <v>408</v>
      </c>
      <c r="G688" s="31">
        <v>0.82</v>
      </c>
    </row>
    <row r="689" spans="1:18" x14ac:dyDescent="0.3">
      <c r="A689">
        <v>22</v>
      </c>
      <c r="B689">
        <v>22</v>
      </c>
      <c r="C689" t="s">
        <v>19</v>
      </c>
      <c r="D689">
        <v>2.64</v>
      </c>
      <c r="E689">
        <v>7714.4</v>
      </c>
      <c r="F689" t="s">
        <v>409</v>
      </c>
      <c r="G689" s="31">
        <v>1.87</v>
      </c>
      <c r="M689" t="s">
        <v>382</v>
      </c>
      <c r="N689" t="s">
        <v>383</v>
      </c>
      <c r="O689" t="s">
        <v>384</v>
      </c>
      <c r="P689" t="s">
        <v>385</v>
      </c>
      <c r="Q689" t="s">
        <v>386</v>
      </c>
      <c r="R689" s="31" t="s">
        <v>387</v>
      </c>
    </row>
    <row r="690" spans="1:18" x14ac:dyDescent="0.3">
      <c r="A690">
        <v>23</v>
      </c>
      <c r="B690">
        <v>23</v>
      </c>
      <c r="C690" t="s">
        <v>20</v>
      </c>
      <c r="D690">
        <v>2.89</v>
      </c>
      <c r="E690">
        <v>5945.11</v>
      </c>
      <c r="F690" t="s">
        <v>410</v>
      </c>
      <c r="G690" s="31">
        <v>0.57999999999999996</v>
      </c>
      <c r="L690">
        <v>1</v>
      </c>
      <c r="M690">
        <v>1</v>
      </c>
      <c r="N690" t="s">
        <v>35</v>
      </c>
      <c r="Q690" t="s">
        <v>511</v>
      </c>
      <c r="R690" s="31">
        <v>0.1</v>
      </c>
    </row>
    <row r="691" spans="1:18" x14ac:dyDescent="0.3">
      <c r="A691">
        <v>24</v>
      </c>
      <c r="B691">
        <v>24</v>
      </c>
      <c r="C691" t="s">
        <v>21</v>
      </c>
      <c r="D691">
        <v>4.1100000000000003</v>
      </c>
      <c r="E691">
        <v>188.57</v>
      </c>
      <c r="F691" t="s">
        <v>411</v>
      </c>
      <c r="G691" s="31">
        <v>0.1</v>
      </c>
      <c r="L691">
        <v>2</v>
      </c>
      <c r="M691">
        <v>2</v>
      </c>
      <c r="N691" t="s">
        <v>36</v>
      </c>
      <c r="O691">
        <v>1.7</v>
      </c>
      <c r="P691">
        <v>115.366</v>
      </c>
      <c r="Q691" t="s">
        <v>512</v>
      </c>
      <c r="R691" s="31">
        <v>427.83</v>
      </c>
    </row>
    <row r="692" spans="1:18" x14ac:dyDescent="0.3">
      <c r="A692">
        <v>25</v>
      </c>
      <c r="B692">
        <v>25</v>
      </c>
      <c r="C692" t="s">
        <v>22</v>
      </c>
      <c r="D692">
        <v>3.41</v>
      </c>
      <c r="E692">
        <v>349.98599999999999</v>
      </c>
      <c r="F692" t="s">
        <v>412</v>
      </c>
      <c r="G692" s="31">
        <v>5.92</v>
      </c>
      <c r="L692">
        <v>3</v>
      </c>
      <c r="M692">
        <v>3</v>
      </c>
      <c r="N692" t="s">
        <v>37</v>
      </c>
      <c r="Q692" t="s">
        <v>513</v>
      </c>
      <c r="R692" s="31">
        <v>0.1</v>
      </c>
    </row>
    <row r="693" spans="1:18" x14ac:dyDescent="0.3">
      <c r="A693">
        <v>26</v>
      </c>
      <c r="B693">
        <v>26</v>
      </c>
      <c r="C693" t="s">
        <v>23</v>
      </c>
      <c r="D693">
        <v>3.35</v>
      </c>
      <c r="E693">
        <v>18017.557000000001</v>
      </c>
      <c r="F693" t="s">
        <v>413</v>
      </c>
      <c r="G693" s="31">
        <v>2.44</v>
      </c>
      <c r="L693">
        <v>4</v>
      </c>
      <c r="M693">
        <v>4</v>
      </c>
      <c r="N693" t="s">
        <v>38</v>
      </c>
      <c r="O693">
        <v>1.17</v>
      </c>
      <c r="P693">
        <v>94.799000000000007</v>
      </c>
      <c r="Q693" t="s">
        <v>514</v>
      </c>
      <c r="R693" s="31">
        <v>0.73</v>
      </c>
    </row>
    <row r="694" spans="1:18" x14ac:dyDescent="0.3">
      <c r="A694">
        <v>27</v>
      </c>
      <c r="B694">
        <v>27</v>
      </c>
      <c r="C694" t="s">
        <v>24</v>
      </c>
      <c r="D694">
        <v>3.43</v>
      </c>
      <c r="E694">
        <v>534.38800000000003</v>
      </c>
      <c r="F694" t="s">
        <v>414</v>
      </c>
      <c r="G694" s="31">
        <v>0.32</v>
      </c>
      <c r="L694">
        <v>5</v>
      </c>
      <c r="M694">
        <v>5</v>
      </c>
      <c r="N694" t="s">
        <v>39</v>
      </c>
      <c r="O694">
        <v>1.41</v>
      </c>
      <c r="P694">
        <v>75.057000000000002</v>
      </c>
      <c r="Q694" t="s">
        <v>515</v>
      </c>
      <c r="R694" s="31">
        <v>45.92</v>
      </c>
    </row>
    <row r="695" spans="1:18" x14ac:dyDescent="0.3">
      <c r="A695">
        <v>28</v>
      </c>
      <c r="B695">
        <v>28</v>
      </c>
      <c r="C695" t="s">
        <v>25</v>
      </c>
      <c r="D695">
        <v>3.51</v>
      </c>
      <c r="E695">
        <v>4550.5730000000003</v>
      </c>
      <c r="F695" t="s">
        <v>415</v>
      </c>
      <c r="G695" s="31">
        <v>1.1000000000000001</v>
      </c>
      <c r="L695">
        <v>6</v>
      </c>
      <c r="M695">
        <v>6</v>
      </c>
      <c r="N695" t="s">
        <v>40</v>
      </c>
      <c r="Q695" t="s">
        <v>516</v>
      </c>
      <c r="R695" s="31">
        <v>0.1</v>
      </c>
    </row>
    <row r="696" spans="1:18" x14ac:dyDescent="0.3">
      <c r="A696">
        <v>29</v>
      </c>
      <c r="B696">
        <v>29</v>
      </c>
      <c r="C696" t="s">
        <v>26</v>
      </c>
      <c r="D696">
        <v>1.05</v>
      </c>
      <c r="E696">
        <v>235.84200000000001</v>
      </c>
      <c r="F696" t="s">
        <v>416</v>
      </c>
      <c r="G696" s="31">
        <v>0.78</v>
      </c>
      <c r="L696">
        <v>7</v>
      </c>
      <c r="M696">
        <v>7</v>
      </c>
      <c r="N696" t="s">
        <v>41</v>
      </c>
      <c r="Q696" t="s">
        <v>517</v>
      </c>
      <c r="R696" s="31">
        <v>0.1</v>
      </c>
    </row>
    <row r="697" spans="1:18" x14ac:dyDescent="0.3">
      <c r="A697">
        <v>30</v>
      </c>
      <c r="B697">
        <v>30</v>
      </c>
      <c r="C697" t="s">
        <v>27</v>
      </c>
      <c r="D697">
        <v>4.32</v>
      </c>
      <c r="E697">
        <v>2685.79</v>
      </c>
      <c r="F697" t="s">
        <v>417</v>
      </c>
      <c r="G697" s="31">
        <v>0.26</v>
      </c>
      <c r="L697">
        <v>8</v>
      </c>
      <c r="M697">
        <v>8</v>
      </c>
      <c r="N697" t="s">
        <v>42</v>
      </c>
      <c r="Q697" t="s">
        <v>518</v>
      </c>
      <c r="R697" s="31">
        <v>0.1</v>
      </c>
    </row>
    <row r="698" spans="1:18" x14ac:dyDescent="0.3">
      <c r="A698">
        <v>31</v>
      </c>
      <c r="B698">
        <v>31</v>
      </c>
      <c r="C698" t="s">
        <v>28</v>
      </c>
      <c r="D698">
        <v>3</v>
      </c>
      <c r="E698">
        <v>7207.44</v>
      </c>
      <c r="F698" t="s">
        <v>418</v>
      </c>
      <c r="G698" s="31">
        <v>0.1</v>
      </c>
      <c r="L698">
        <v>9</v>
      </c>
      <c r="M698">
        <v>9</v>
      </c>
      <c r="N698" t="s">
        <v>43</v>
      </c>
      <c r="O698">
        <v>2.4</v>
      </c>
      <c r="P698">
        <v>60.198999999999998</v>
      </c>
      <c r="Q698" t="s">
        <v>519</v>
      </c>
      <c r="R698" s="31">
        <v>0.12</v>
      </c>
    </row>
    <row r="699" spans="1:18" x14ac:dyDescent="0.3">
      <c r="A699">
        <v>32</v>
      </c>
      <c r="B699">
        <v>32</v>
      </c>
      <c r="C699" t="s">
        <v>29</v>
      </c>
      <c r="D699">
        <v>3.35</v>
      </c>
      <c r="E699">
        <v>290.60399999999998</v>
      </c>
      <c r="F699" t="s">
        <v>419</v>
      </c>
      <c r="G699" s="31">
        <v>0.1</v>
      </c>
      <c r="L699">
        <v>10</v>
      </c>
      <c r="M699">
        <v>10</v>
      </c>
      <c r="N699" t="s">
        <v>52</v>
      </c>
      <c r="O699">
        <v>4.22</v>
      </c>
      <c r="P699">
        <v>80.581999999999994</v>
      </c>
      <c r="Q699" t="s">
        <v>520</v>
      </c>
      <c r="R699" s="31">
        <v>0.1</v>
      </c>
    </row>
    <row r="700" spans="1:18" x14ac:dyDescent="0.3">
      <c r="A700">
        <v>33</v>
      </c>
      <c r="B700">
        <v>33</v>
      </c>
      <c r="C700" t="s">
        <v>30</v>
      </c>
      <c r="D700">
        <v>4.66</v>
      </c>
      <c r="E700">
        <v>7170.4780000000001</v>
      </c>
      <c r="F700" t="s">
        <v>420</v>
      </c>
      <c r="G700" s="31">
        <v>0.72</v>
      </c>
      <c r="L700">
        <v>11</v>
      </c>
      <c r="M700">
        <v>11</v>
      </c>
      <c r="N700" t="s">
        <v>44</v>
      </c>
      <c r="Q700" t="s">
        <v>521</v>
      </c>
      <c r="R700" s="31">
        <v>0.1</v>
      </c>
    </row>
    <row r="701" spans="1:18" x14ac:dyDescent="0.3">
      <c r="A701">
        <v>34</v>
      </c>
      <c r="B701">
        <v>34</v>
      </c>
      <c r="C701" t="s">
        <v>31</v>
      </c>
      <c r="D701">
        <v>3.5</v>
      </c>
      <c r="E701">
        <v>655.66899999999998</v>
      </c>
      <c r="F701" t="s">
        <v>421</v>
      </c>
      <c r="G701" s="31">
        <v>0.09</v>
      </c>
      <c r="L701">
        <v>12</v>
      </c>
      <c r="M701">
        <v>12</v>
      </c>
      <c r="N701" t="s">
        <v>45</v>
      </c>
      <c r="O701">
        <v>3.48</v>
      </c>
      <c r="P701">
        <v>17.878</v>
      </c>
      <c r="Q701" t="s">
        <v>522</v>
      </c>
      <c r="R701" s="31">
        <v>0.1</v>
      </c>
    </row>
    <row r="702" spans="1:18" x14ac:dyDescent="0.3">
      <c r="A702">
        <v>35</v>
      </c>
      <c r="B702">
        <v>35</v>
      </c>
      <c r="C702" t="s">
        <v>32</v>
      </c>
      <c r="D702">
        <v>3.06</v>
      </c>
      <c r="E702">
        <v>140.82499999999999</v>
      </c>
      <c r="F702" t="s">
        <v>422</v>
      </c>
      <c r="G702" s="31">
        <v>0.11</v>
      </c>
      <c r="L702">
        <v>13</v>
      </c>
      <c r="M702">
        <v>13</v>
      </c>
      <c r="N702" t="s">
        <v>46</v>
      </c>
      <c r="O702">
        <v>2.56</v>
      </c>
      <c r="P702">
        <v>937.19399999999996</v>
      </c>
      <c r="Q702" t="s">
        <v>523</v>
      </c>
      <c r="R702" s="31">
        <v>0.1</v>
      </c>
    </row>
    <row r="703" spans="1:18" x14ac:dyDescent="0.3">
      <c r="A703">
        <v>36</v>
      </c>
      <c r="B703">
        <v>36</v>
      </c>
      <c r="C703" t="s">
        <v>33</v>
      </c>
      <c r="D703">
        <v>1.89</v>
      </c>
      <c r="E703">
        <v>1268.059</v>
      </c>
      <c r="F703" t="s">
        <v>423</v>
      </c>
      <c r="G703" s="31">
        <v>1.1000000000000001</v>
      </c>
      <c r="L703">
        <v>14</v>
      </c>
      <c r="M703">
        <v>14</v>
      </c>
      <c r="N703" t="s">
        <v>47</v>
      </c>
      <c r="Q703" t="s">
        <v>524</v>
      </c>
      <c r="R703" s="31">
        <v>0.1</v>
      </c>
    </row>
    <row r="704" spans="1:18" x14ac:dyDescent="0.3">
      <c r="G704" s="31">
        <f>G681/G683</f>
        <v>1.6310679611650485</v>
      </c>
      <c r="L704">
        <v>15</v>
      </c>
      <c r="M704">
        <v>15</v>
      </c>
      <c r="N704" t="s">
        <v>48</v>
      </c>
      <c r="O704">
        <v>1.24</v>
      </c>
      <c r="P704">
        <v>82.686999999999998</v>
      </c>
      <c r="Q704" t="s">
        <v>525</v>
      </c>
      <c r="R704" s="31">
        <v>0.1</v>
      </c>
    </row>
    <row r="705" spans="1:18" x14ac:dyDescent="0.3">
      <c r="A705" t="s">
        <v>379</v>
      </c>
      <c r="L705">
        <v>16</v>
      </c>
      <c r="M705">
        <v>16</v>
      </c>
      <c r="N705" t="s">
        <v>53</v>
      </c>
      <c r="O705">
        <v>4.5999999999999996</v>
      </c>
      <c r="P705">
        <v>13.896000000000001</v>
      </c>
      <c r="Q705" t="s">
        <v>526</v>
      </c>
      <c r="R705" s="31">
        <v>0.1</v>
      </c>
    </row>
    <row r="706" spans="1:18" x14ac:dyDescent="0.3">
      <c r="L706">
        <v>17</v>
      </c>
      <c r="M706">
        <v>17</v>
      </c>
      <c r="N706" t="s">
        <v>54</v>
      </c>
      <c r="O706">
        <v>5.22</v>
      </c>
      <c r="P706">
        <v>113.489</v>
      </c>
      <c r="Q706" t="s">
        <v>527</v>
      </c>
      <c r="R706" s="31">
        <v>0.1</v>
      </c>
    </row>
    <row r="707" spans="1:18" x14ac:dyDescent="0.3">
      <c r="A707" t="s">
        <v>380</v>
      </c>
      <c r="L707">
        <v>18</v>
      </c>
      <c r="M707">
        <v>18</v>
      </c>
      <c r="N707" t="s">
        <v>55</v>
      </c>
      <c r="Q707" t="s">
        <v>528</v>
      </c>
      <c r="R707" s="31">
        <v>0.1</v>
      </c>
    </row>
    <row r="708" spans="1:18" x14ac:dyDescent="0.3">
      <c r="L708">
        <v>19</v>
      </c>
      <c r="M708">
        <v>19</v>
      </c>
      <c r="N708" t="s">
        <v>56</v>
      </c>
      <c r="O708">
        <v>0.75</v>
      </c>
      <c r="P708">
        <v>36.877000000000002</v>
      </c>
      <c r="Q708" t="s">
        <v>529</v>
      </c>
      <c r="R708" s="31">
        <v>0.1</v>
      </c>
    </row>
    <row r="709" spans="1:18" x14ac:dyDescent="0.3">
      <c r="A709" t="s">
        <v>439</v>
      </c>
      <c r="L709">
        <v>20</v>
      </c>
      <c r="M709">
        <v>20</v>
      </c>
      <c r="N709" t="s">
        <v>57</v>
      </c>
      <c r="Q709" t="s">
        <v>530</v>
      </c>
      <c r="R709" s="31">
        <v>0.1</v>
      </c>
    </row>
    <row r="710" spans="1:18" x14ac:dyDescent="0.3">
      <c r="L710">
        <v>21</v>
      </c>
      <c r="M710">
        <v>21</v>
      </c>
      <c r="N710" t="s">
        <v>58</v>
      </c>
      <c r="Q710" t="s">
        <v>531</v>
      </c>
      <c r="R710" s="31">
        <v>0.1</v>
      </c>
    </row>
    <row r="711" spans="1:18" x14ac:dyDescent="0.3">
      <c r="B711" t="s">
        <v>382</v>
      </c>
      <c r="C711" t="s">
        <v>383</v>
      </c>
      <c r="D711" t="s">
        <v>384</v>
      </c>
      <c r="E711" t="s">
        <v>385</v>
      </c>
      <c r="F711" t="s">
        <v>386</v>
      </c>
      <c r="G711" s="31" t="s">
        <v>387</v>
      </c>
      <c r="L711">
        <v>22</v>
      </c>
      <c r="M711">
        <v>22</v>
      </c>
      <c r="N711" t="s">
        <v>59</v>
      </c>
      <c r="Q711" t="s">
        <v>532</v>
      </c>
      <c r="R711" s="31">
        <v>0.1</v>
      </c>
    </row>
    <row r="712" spans="1:18" x14ac:dyDescent="0.3">
      <c r="A712">
        <v>1</v>
      </c>
      <c r="B712">
        <v>1</v>
      </c>
      <c r="C712" t="s">
        <v>0</v>
      </c>
      <c r="D712">
        <v>1.01</v>
      </c>
      <c r="E712">
        <v>4374.3370000000004</v>
      </c>
      <c r="F712" t="s">
        <v>388</v>
      </c>
      <c r="G712" s="31">
        <v>25.54</v>
      </c>
      <c r="L712">
        <v>23</v>
      </c>
      <c r="M712">
        <v>23</v>
      </c>
      <c r="N712" t="s">
        <v>60</v>
      </c>
      <c r="O712">
        <v>2.62</v>
      </c>
      <c r="P712">
        <v>110.71899999999999</v>
      </c>
      <c r="Q712" t="s">
        <v>533</v>
      </c>
      <c r="R712" s="31">
        <v>2.06</v>
      </c>
    </row>
    <row r="713" spans="1:18" x14ac:dyDescent="0.3">
      <c r="A713">
        <v>2</v>
      </c>
      <c r="B713">
        <v>2</v>
      </c>
      <c r="C713" t="s">
        <v>1</v>
      </c>
      <c r="D713">
        <v>1.45</v>
      </c>
      <c r="E713">
        <v>6851.0640000000003</v>
      </c>
      <c r="F713" t="s">
        <v>389</v>
      </c>
      <c r="G713" s="31">
        <v>7.34</v>
      </c>
    </row>
    <row r="714" spans="1:18" x14ac:dyDescent="0.3">
      <c r="A714">
        <v>3</v>
      </c>
      <c r="B714">
        <v>3</v>
      </c>
      <c r="C714" t="s">
        <v>50</v>
      </c>
      <c r="D714">
        <v>3.56</v>
      </c>
      <c r="E714">
        <v>313.65300000000002</v>
      </c>
      <c r="F714" t="s">
        <v>390</v>
      </c>
      <c r="G714" s="31">
        <v>0.16</v>
      </c>
      <c r="L714" t="s">
        <v>379</v>
      </c>
    </row>
    <row r="715" spans="1:18" x14ac:dyDescent="0.3">
      <c r="A715">
        <v>4</v>
      </c>
      <c r="B715">
        <v>4</v>
      </c>
      <c r="C715" t="s">
        <v>2</v>
      </c>
      <c r="D715">
        <v>3.68</v>
      </c>
      <c r="E715">
        <v>22846.967000000001</v>
      </c>
      <c r="F715" t="s">
        <v>391</v>
      </c>
      <c r="G715" s="31">
        <v>1.04</v>
      </c>
    </row>
    <row r="716" spans="1:18" x14ac:dyDescent="0.3">
      <c r="A716">
        <v>5</v>
      </c>
      <c r="B716">
        <v>5</v>
      </c>
      <c r="C716" t="s">
        <v>3</v>
      </c>
      <c r="D716">
        <v>4.47</v>
      </c>
      <c r="E716">
        <v>178.30099999999999</v>
      </c>
      <c r="F716" t="s">
        <v>392</v>
      </c>
      <c r="G716" s="31">
        <v>0.1</v>
      </c>
      <c r="L716" t="s">
        <v>509</v>
      </c>
    </row>
    <row r="717" spans="1:18" x14ac:dyDescent="0.3">
      <c r="A717">
        <v>6</v>
      </c>
      <c r="B717">
        <v>6</v>
      </c>
      <c r="C717" t="s">
        <v>4</v>
      </c>
      <c r="D717">
        <v>4.79</v>
      </c>
      <c r="E717">
        <v>50222.824000000001</v>
      </c>
      <c r="F717" t="s">
        <v>393</v>
      </c>
      <c r="G717" s="31">
        <v>1.68</v>
      </c>
    </row>
    <row r="718" spans="1:18" x14ac:dyDescent="0.3">
      <c r="A718">
        <v>7</v>
      </c>
      <c r="B718">
        <v>7</v>
      </c>
      <c r="C718" t="s">
        <v>5</v>
      </c>
      <c r="D718">
        <v>2.71</v>
      </c>
      <c r="E718">
        <v>5384.6689999999999</v>
      </c>
      <c r="F718" t="s">
        <v>394</v>
      </c>
      <c r="G718" s="31">
        <v>0.61</v>
      </c>
      <c r="L718" t="s">
        <v>556</v>
      </c>
    </row>
    <row r="719" spans="1:18" x14ac:dyDescent="0.3">
      <c r="A719">
        <v>8</v>
      </c>
      <c r="B719">
        <v>8</v>
      </c>
      <c r="C719" t="s">
        <v>6</v>
      </c>
      <c r="D719">
        <v>0.67</v>
      </c>
      <c r="E719">
        <v>4353.0469999999996</v>
      </c>
      <c r="F719" t="s">
        <v>395</v>
      </c>
      <c r="G719" s="31">
        <v>37.020000000000003</v>
      </c>
    </row>
    <row r="720" spans="1:18" x14ac:dyDescent="0.3">
      <c r="A720">
        <v>9</v>
      </c>
      <c r="B720">
        <v>9</v>
      </c>
      <c r="C720" t="s">
        <v>7</v>
      </c>
      <c r="D720">
        <v>3.66</v>
      </c>
      <c r="E720">
        <v>702.42200000000003</v>
      </c>
      <c r="F720" t="s">
        <v>396</v>
      </c>
      <c r="G720" s="31">
        <v>1.37</v>
      </c>
      <c r="M720" t="s">
        <v>382</v>
      </c>
      <c r="N720" t="s">
        <v>383</v>
      </c>
      <c r="O720" t="s">
        <v>384</v>
      </c>
      <c r="P720" t="s">
        <v>385</v>
      </c>
      <c r="Q720" t="s">
        <v>386</v>
      </c>
      <c r="R720" s="31" t="s">
        <v>387</v>
      </c>
    </row>
    <row r="721" spans="1:18" x14ac:dyDescent="0.3">
      <c r="A721">
        <v>10</v>
      </c>
      <c r="B721">
        <v>10</v>
      </c>
      <c r="C721" t="s">
        <v>51</v>
      </c>
      <c r="D721">
        <v>4.7300000000000004</v>
      </c>
      <c r="E721">
        <v>1190.2940000000001</v>
      </c>
      <c r="F721" t="s">
        <v>397</v>
      </c>
      <c r="G721" s="31">
        <v>0.17</v>
      </c>
      <c r="L721">
        <v>1</v>
      </c>
      <c r="M721">
        <v>1</v>
      </c>
      <c r="N721" t="s">
        <v>35</v>
      </c>
      <c r="O721">
        <v>1.59</v>
      </c>
      <c r="P721">
        <v>430.226</v>
      </c>
      <c r="Q721" t="s">
        <v>511</v>
      </c>
      <c r="R721" s="31">
        <v>16.850000000000001</v>
      </c>
    </row>
    <row r="722" spans="1:18" x14ac:dyDescent="0.3">
      <c r="A722">
        <v>11</v>
      </c>
      <c r="B722">
        <v>11</v>
      </c>
      <c r="C722" t="s">
        <v>8</v>
      </c>
      <c r="D722">
        <v>2.74</v>
      </c>
      <c r="E722">
        <v>37892.906000000003</v>
      </c>
      <c r="F722" t="s">
        <v>398</v>
      </c>
      <c r="G722" s="31">
        <v>1.48</v>
      </c>
      <c r="L722">
        <v>2</v>
      </c>
      <c r="M722">
        <v>2</v>
      </c>
      <c r="N722" t="s">
        <v>36</v>
      </c>
      <c r="O722">
        <v>1.67</v>
      </c>
      <c r="P722">
        <v>1574089.375</v>
      </c>
      <c r="Q722" t="s">
        <v>512</v>
      </c>
      <c r="R722" s="31">
        <v>427.99</v>
      </c>
    </row>
    <row r="723" spans="1:18" x14ac:dyDescent="0.3">
      <c r="A723">
        <v>12</v>
      </c>
      <c r="B723">
        <v>12</v>
      </c>
      <c r="C723" t="s">
        <v>9</v>
      </c>
      <c r="D723">
        <v>2.61</v>
      </c>
      <c r="E723">
        <v>3543.0529999999999</v>
      </c>
      <c r="F723" t="s">
        <v>399</v>
      </c>
      <c r="G723" s="31">
        <v>1.02</v>
      </c>
      <c r="L723">
        <v>3</v>
      </c>
      <c r="M723">
        <v>3</v>
      </c>
      <c r="N723" t="s">
        <v>37</v>
      </c>
      <c r="O723">
        <v>1.82</v>
      </c>
      <c r="P723">
        <v>572.43499999999995</v>
      </c>
      <c r="Q723" t="s">
        <v>513</v>
      </c>
      <c r="R723" s="31">
        <v>0.34</v>
      </c>
    </row>
    <row r="724" spans="1:18" x14ac:dyDescent="0.3">
      <c r="A724">
        <v>13</v>
      </c>
      <c r="B724">
        <v>13</v>
      </c>
      <c r="C724" t="s">
        <v>10</v>
      </c>
      <c r="D724">
        <v>4.08</v>
      </c>
      <c r="E724">
        <v>909719.43799999997</v>
      </c>
      <c r="F724" t="s">
        <v>400</v>
      </c>
      <c r="G724" s="31">
        <v>53.95</v>
      </c>
      <c r="L724">
        <v>4</v>
      </c>
      <c r="M724">
        <v>4</v>
      </c>
      <c r="N724" t="s">
        <v>38</v>
      </c>
      <c r="O724">
        <v>1.2</v>
      </c>
      <c r="P724">
        <v>1577.31</v>
      </c>
      <c r="Q724" t="s">
        <v>514</v>
      </c>
      <c r="R724" s="31">
        <v>0.59</v>
      </c>
    </row>
    <row r="725" spans="1:18" x14ac:dyDescent="0.3">
      <c r="A725">
        <v>14</v>
      </c>
      <c r="B725">
        <v>14</v>
      </c>
      <c r="C725" t="s">
        <v>11</v>
      </c>
      <c r="D725">
        <v>3.52</v>
      </c>
      <c r="E725">
        <v>26.547000000000001</v>
      </c>
      <c r="F725" t="s">
        <v>401</v>
      </c>
      <c r="G725" s="31">
        <v>1.67</v>
      </c>
      <c r="L725">
        <v>5</v>
      </c>
      <c r="M725">
        <v>5</v>
      </c>
      <c r="N725" t="s">
        <v>39</v>
      </c>
      <c r="O725">
        <v>1.38</v>
      </c>
      <c r="P725">
        <v>73551.327999999994</v>
      </c>
      <c r="Q725" t="s">
        <v>515</v>
      </c>
      <c r="R725" s="31">
        <v>34.29</v>
      </c>
    </row>
    <row r="726" spans="1:18" x14ac:dyDescent="0.3">
      <c r="A726">
        <v>15</v>
      </c>
      <c r="B726">
        <v>15</v>
      </c>
      <c r="C726" t="s">
        <v>12</v>
      </c>
      <c r="D726">
        <v>3.33</v>
      </c>
      <c r="E726">
        <v>253.88200000000001</v>
      </c>
      <c r="F726" t="s">
        <v>402</v>
      </c>
      <c r="G726" s="31">
        <v>0.82</v>
      </c>
      <c r="L726">
        <v>6</v>
      </c>
      <c r="M726">
        <v>6</v>
      </c>
      <c r="N726" t="s">
        <v>40</v>
      </c>
      <c r="O726">
        <v>1.53</v>
      </c>
      <c r="P726">
        <v>10069.489</v>
      </c>
      <c r="Q726" t="s">
        <v>516</v>
      </c>
      <c r="R726" s="31">
        <v>2.17</v>
      </c>
    </row>
    <row r="727" spans="1:18" x14ac:dyDescent="0.3">
      <c r="A727">
        <v>16</v>
      </c>
      <c r="B727">
        <v>16</v>
      </c>
      <c r="C727" t="s">
        <v>13</v>
      </c>
      <c r="D727">
        <v>3.23</v>
      </c>
      <c r="E727">
        <v>6559.3090000000002</v>
      </c>
      <c r="F727" t="s">
        <v>403</v>
      </c>
      <c r="G727" s="31">
        <v>0.96</v>
      </c>
      <c r="L727">
        <v>7</v>
      </c>
      <c r="M727">
        <v>7</v>
      </c>
      <c r="N727" t="s">
        <v>41</v>
      </c>
      <c r="O727">
        <v>2.27</v>
      </c>
      <c r="P727">
        <v>1976.557</v>
      </c>
      <c r="Q727" t="s">
        <v>517</v>
      </c>
      <c r="R727" s="31">
        <v>3.96</v>
      </c>
    </row>
    <row r="728" spans="1:18" x14ac:dyDescent="0.3">
      <c r="A728">
        <v>17</v>
      </c>
      <c r="B728">
        <v>17</v>
      </c>
      <c r="C728" t="s">
        <v>14</v>
      </c>
      <c r="D728">
        <v>2.0099999999999998</v>
      </c>
      <c r="E728">
        <v>15292.28</v>
      </c>
      <c r="F728" t="s">
        <v>404</v>
      </c>
      <c r="G728" s="31">
        <v>1.9</v>
      </c>
      <c r="L728">
        <v>8</v>
      </c>
      <c r="M728">
        <v>8</v>
      </c>
      <c r="N728" t="s">
        <v>42</v>
      </c>
      <c r="O728">
        <v>0.89</v>
      </c>
      <c r="P728">
        <v>3020.2840000000001</v>
      </c>
      <c r="Q728" t="s">
        <v>518</v>
      </c>
      <c r="R728" s="31">
        <v>43.37</v>
      </c>
    </row>
    <row r="729" spans="1:18" x14ac:dyDescent="0.3">
      <c r="A729">
        <v>18</v>
      </c>
      <c r="B729">
        <v>18</v>
      </c>
      <c r="C729" t="s">
        <v>15</v>
      </c>
      <c r="D729">
        <v>2.48</v>
      </c>
      <c r="E729">
        <v>30897.474999999999</v>
      </c>
      <c r="F729" t="s">
        <v>405</v>
      </c>
      <c r="G729" s="31">
        <v>10.72</v>
      </c>
      <c r="L729">
        <v>9</v>
      </c>
      <c r="M729">
        <v>9</v>
      </c>
      <c r="N729" t="s">
        <v>43</v>
      </c>
      <c r="O729">
        <v>2.5499999999999998</v>
      </c>
      <c r="P729">
        <v>5381.5510000000004</v>
      </c>
      <c r="Q729" t="s">
        <v>519</v>
      </c>
      <c r="R729" s="31">
        <v>0.18</v>
      </c>
    </row>
    <row r="730" spans="1:18" x14ac:dyDescent="0.3">
      <c r="A730">
        <v>19</v>
      </c>
      <c r="B730">
        <v>19</v>
      </c>
      <c r="C730" t="s">
        <v>16</v>
      </c>
      <c r="D730">
        <v>2.7</v>
      </c>
      <c r="E730">
        <v>1831.827</v>
      </c>
      <c r="F730" t="s">
        <v>406</v>
      </c>
      <c r="G730" s="31">
        <v>0.1</v>
      </c>
      <c r="L730">
        <v>10</v>
      </c>
      <c r="M730">
        <v>10</v>
      </c>
      <c r="N730" t="s">
        <v>52</v>
      </c>
      <c r="O730">
        <v>4.1500000000000004</v>
      </c>
      <c r="P730">
        <v>1625.713</v>
      </c>
      <c r="Q730" t="s">
        <v>520</v>
      </c>
      <c r="R730" s="31">
        <v>0.1</v>
      </c>
    </row>
    <row r="731" spans="1:18" x14ac:dyDescent="0.3">
      <c r="A731">
        <v>20</v>
      </c>
      <c r="B731">
        <v>20</v>
      </c>
      <c r="C731" t="s">
        <v>17</v>
      </c>
      <c r="D731">
        <v>3.12</v>
      </c>
      <c r="E731">
        <v>15440.23</v>
      </c>
      <c r="F731" t="s">
        <v>407</v>
      </c>
      <c r="G731" s="31">
        <v>2.16</v>
      </c>
      <c r="L731">
        <v>11</v>
      </c>
      <c r="M731">
        <v>11</v>
      </c>
      <c r="N731" t="s">
        <v>44</v>
      </c>
      <c r="O731">
        <v>4.2300000000000004</v>
      </c>
      <c r="P731">
        <v>227.65299999999999</v>
      </c>
      <c r="Q731" t="s">
        <v>521</v>
      </c>
      <c r="R731" s="31">
        <v>0.26</v>
      </c>
    </row>
    <row r="732" spans="1:18" x14ac:dyDescent="0.3">
      <c r="A732">
        <v>21</v>
      </c>
      <c r="B732">
        <v>21</v>
      </c>
      <c r="C732" t="s">
        <v>18</v>
      </c>
      <c r="D732">
        <v>3.67</v>
      </c>
      <c r="E732">
        <v>26055.905999999999</v>
      </c>
      <c r="F732" t="s">
        <v>408</v>
      </c>
      <c r="G732" s="31">
        <v>0.86</v>
      </c>
      <c r="L732">
        <v>12</v>
      </c>
      <c r="M732">
        <v>12</v>
      </c>
      <c r="N732" t="s">
        <v>45</v>
      </c>
      <c r="O732">
        <v>3.45</v>
      </c>
      <c r="P732">
        <v>306623.56300000002</v>
      </c>
      <c r="Q732" t="s">
        <v>522</v>
      </c>
      <c r="R732" s="31">
        <v>3.08</v>
      </c>
    </row>
    <row r="733" spans="1:18" x14ac:dyDescent="0.3">
      <c r="A733">
        <v>22</v>
      </c>
      <c r="B733">
        <v>22</v>
      </c>
      <c r="C733" t="s">
        <v>19</v>
      </c>
      <c r="D733">
        <v>2.62</v>
      </c>
      <c r="E733">
        <v>28275.006000000001</v>
      </c>
      <c r="F733" t="s">
        <v>409</v>
      </c>
      <c r="G733" s="31">
        <v>2.4</v>
      </c>
      <c r="L733">
        <v>13</v>
      </c>
      <c r="M733">
        <v>13</v>
      </c>
      <c r="N733" t="s">
        <v>46</v>
      </c>
      <c r="O733">
        <v>2.6</v>
      </c>
      <c r="P733">
        <v>77112.304999999993</v>
      </c>
      <c r="Q733" t="s">
        <v>523</v>
      </c>
      <c r="R733" s="31">
        <v>6.43</v>
      </c>
    </row>
    <row r="734" spans="1:18" x14ac:dyDescent="0.3">
      <c r="A734">
        <v>23</v>
      </c>
      <c r="B734">
        <v>23</v>
      </c>
      <c r="C734" t="s">
        <v>20</v>
      </c>
      <c r="D734">
        <v>2.88</v>
      </c>
      <c r="E734">
        <v>11809.602999999999</v>
      </c>
      <c r="F734" t="s">
        <v>410</v>
      </c>
      <c r="G734" s="31">
        <v>0.56999999999999995</v>
      </c>
      <c r="L734">
        <v>14</v>
      </c>
      <c r="M734">
        <v>14</v>
      </c>
      <c r="N734" t="s">
        <v>47</v>
      </c>
      <c r="O734">
        <v>0.68</v>
      </c>
      <c r="P734">
        <v>18661.252</v>
      </c>
      <c r="Q734" t="s">
        <v>524</v>
      </c>
      <c r="R734" s="31">
        <v>17</v>
      </c>
    </row>
    <row r="735" spans="1:18" x14ac:dyDescent="0.3">
      <c r="A735">
        <v>24</v>
      </c>
      <c r="B735">
        <v>24</v>
      </c>
      <c r="C735" t="s">
        <v>21</v>
      </c>
      <c r="D735">
        <v>4.18</v>
      </c>
      <c r="E735">
        <v>95.953999999999994</v>
      </c>
      <c r="F735" t="s">
        <v>411</v>
      </c>
      <c r="G735" s="31">
        <v>0.1</v>
      </c>
      <c r="L735">
        <v>15</v>
      </c>
      <c r="M735">
        <v>15</v>
      </c>
      <c r="N735" t="s">
        <v>48</v>
      </c>
      <c r="O735">
        <v>1.21</v>
      </c>
      <c r="P735">
        <v>12729.584999999999</v>
      </c>
      <c r="Q735" t="s">
        <v>525</v>
      </c>
      <c r="R735" s="31">
        <v>3.46</v>
      </c>
    </row>
    <row r="736" spans="1:18" x14ac:dyDescent="0.3">
      <c r="A736">
        <v>25</v>
      </c>
      <c r="B736">
        <v>25</v>
      </c>
      <c r="C736" t="s">
        <v>22</v>
      </c>
      <c r="D736">
        <v>3.41</v>
      </c>
      <c r="E736">
        <v>559.827</v>
      </c>
      <c r="F736" t="s">
        <v>412</v>
      </c>
      <c r="G736" s="31">
        <v>4.1900000000000004</v>
      </c>
      <c r="L736">
        <v>16</v>
      </c>
      <c r="M736">
        <v>16</v>
      </c>
      <c r="N736" t="s">
        <v>53</v>
      </c>
      <c r="O736">
        <v>4.57</v>
      </c>
      <c r="P736">
        <v>71523.023000000001</v>
      </c>
      <c r="Q736" t="s">
        <v>526</v>
      </c>
      <c r="R736" s="31">
        <v>2.08</v>
      </c>
    </row>
    <row r="737" spans="1:18" x14ac:dyDescent="0.3">
      <c r="A737">
        <v>26</v>
      </c>
      <c r="B737">
        <v>26</v>
      </c>
      <c r="C737" t="s">
        <v>23</v>
      </c>
      <c r="D737">
        <v>3.34</v>
      </c>
      <c r="E737">
        <v>71234.858999999997</v>
      </c>
      <c r="F737" t="s">
        <v>413</v>
      </c>
      <c r="G737" s="31">
        <v>4.8899999999999997</v>
      </c>
      <c r="L737">
        <v>17</v>
      </c>
      <c r="M737">
        <v>17</v>
      </c>
      <c r="N737" t="s">
        <v>54</v>
      </c>
      <c r="O737">
        <v>5.25</v>
      </c>
      <c r="P737">
        <v>45.856000000000002</v>
      </c>
      <c r="Q737" t="s">
        <v>527</v>
      </c>
      <c r="R737" s="31">
        <v>0.1</v>
      </c>
    </row>
    <row r="738" spans="1:18" x14ac:dyDescent="0.3">
      <c r="A738">
        <v>27</v>
      </c>
      <c r="B738">
        <v>27</v>
      </c>
      <c r="C738" t="s">
        <v>24</v>
      </c>
      <c r="D738">
        <v>3.43</v>
      </c>
      <c r="E738">
        <v>1634.998</v>
      </c>
      <c r="F738" t="s">
        <v>414</v>
      </c>
      <c r="G738" s="31">
        <v>0.83</v>
      </c>
      <c r="L738">
        <v>18</v>
      </c>
      <c r="M738">
        <v>18</v>
      </c>
      <c r="N738" t="s">
        <v>55</v>
      </c>
      <c r="O738">
        <v>1.31</v>
      </c>
      <c r="P738">
        <v>2231.9630000000002</v>
      </c>
      <c r="Q738" t="s">
        <v>528</v>
      </c>
      <c r="R738" s="31">
        <v>0.17</v>
      </c>
    </row>
    <row r="739" spans="1:18" x14ac:dyDescent="0.3">
      <c r="A739">
        <v>28</v>
      </c>
      <c r="B739">
        <v>28</v>
      </c>
      <c r="C739" t="s">
        <v>25</v>
      </c>
      <c r="D739">
        <v>3.51</v>
      </c>
      <c r="E739">
        <v>8458.0249999999996</v>
      </c>
      <c r="F739" t="s">
        <v>415</v>
      </c>
      <c r="G739" s="31">
        <v>1.02</v>
      </c>
      <c r="L739">
        <v>19</v>
      </c>
      <c r="M739">
        <v>19</v>
      </c>
      <c r="N739" t="s">
        <v>56</v>
      </c>
      <c r="O739">
        <v>0.87</v>
      </c>
      <c r="P739">
        <v>34049.358999999997</v>
      </c>
      <c r="Q739" t="s">
        <v>529</v>
      </c>
      <c r="R739" s="31">
        <v>3.68</v>
      </c>
    </row>
    <row r="740" spans="1:18" x14ac:dyDescent="0.3">
      <c r="A740">
        <v>29</v>
      </c>
      <c r="B740">
        <v>29</v>
      </c>
      <c r="C740" t="s">
        <v>26</v>
      </c>
      <c r="D740">
        <v>1.03</v>
      </c>
      <c r="E740">
        <v>1228.1759999999999</v>
      </c>
      <c r="F740" t="s">
        <v>416</v>
      </c>
      <c r="G740" s="31">
        <v>1.05</v>
      </c>
      <c r="L740">
        <v>20</v>
      </c>
      <c r="M740">
        <v>20</v>
      </c>
      <c r="N740" t="s">
        <v>57</v>
      </c>
      <c r="O740">
        <v>1.52</v>
      </c>
      <c r="P740">
        <v>244.863</v>
      </c>
      <c r="Q740" t="s">
        <v>530</v>
      </c>
      <c r="R740" s="31">
        <v>0.18</v>
      </c>
    </row>
    <row r="741" spans="1:18" x14ac:dyDescent="0.3">
      <c r="A741">
        <v>30</v>
      </c>
      <c r="B741">
        <v>30</v>
      </c>
      <c r="C741" t="s">
        <v>27</v>
      </c>
      <c r="D741">
        <v>4.32</v>
      </c>
      <c r="E741">
        <v>384.77600000000001</v>
      </c>
      <c r="F741" t="s">
        <v>417</v>
      </c>
      <c r="G741" s="31">
        <v>0.13</v>
      </c>
      <c r="L741">
        <v>21</v>
      </c>
      <c r="M741">
        <v>21</v>
      </c>
      <c r="N741" t="s">
        <v>58</v>
      </c>
      <c r="O741">
        <v>2.41</v>
      </c>
      <c r="P741">
        <v>65.251000000000005</v>
      </c>
      <c r="Q741" t="s">
        <v>531</v>
      </c>
      <c r="R741" s="31">
        <v>0.13</v>
      </c>
    </row>
    <row r="742" spans="1:18" x14ac:dyDescent="0.3">
      <c r="A742">
        <v>31</v>
      </c>
      <c r="B742">
        <v>31</v>
      </c>
      <c r="C742" t="s">
        <v>28</v>
      </c>
      <c r="D742">
        <v>3</v>
      </c>
      <c r="E742">
        <v>70378.047000000006</v>
      </c>
      <c r="F742" t="s">
        <v>418</v>
      </c>
      <c r="G742" s="31">
        <v>0.23</v>
      </c>
      <c r="L742">
        <v>22</v>
      </c>
      <c r="M742">
        <v>22</v>
      </c>
      <c r="N742" t="s">
        <v>59</v>
      </c>
      <c r="O742">
        <v>2.5</v>
      </c>
      <c r="P742">
        <v>27878.585999999999</v>
      </c>
      <c r="Q742" t="s">
        <v>532</v>
      </c>
      <c r="R742" s="31">
        <v>7.79</v>
      </c>
    </row>
    <row r="743" spans="1:18" x14ac:dyDescent="0.3">
      <c r="A743">
        <v>32</v>
      </c>
      <c r="B743">
        <v>32</v>
      </c>
      <c r="C743" t="s">
        <v>29</v>
      </c>
      <c r="D743">
        <v>3.34</v>
      </c>
      <c r="E743">
        <v>827.15599999999995</v>
      </c>
      <c r="F743" t="s">
        <v>419</v>
      </c>
      <c r="G743" s="31">
        <v>0.1</v>
      </c>
      <c r="L743">
        <v>23</v>
      </c>
      <c r="M743">
        <v>23</v>
      </c>
      <c r="N743" t="s">
        <v>60</v>
      </c>
      <c r="O743">
        <v>2.6</v>
      </c>
      <c r="P743">
        <v>12378.849</v>
      </c>
      <c r="Q743" t="s">
        <v>533</v>
      </c>
      <c r="R743" s="31">
        <v>1.91</v>
      </c>
    </row>
    <row r="744" spans="1:18" x14ac:dyDescent="0.3">
      <c r="A744">
        <v>33</v>
      </c>
      <c r="B744">
        <v>33</v>
      </c>
      <c r="C744" t="s">
        <v>30</v>
      </c>
      <c r="D744">
        <v>4.66</v>
      </c>
      <c r="E744">
        <v>36458.324000000001</v>
      </c>
      <c r="F744" t="s">
        <v>420</v>
      </c>
      <c r="G744" s="31">
        <v>0.75</v>
      </c>
    </row>
    <row r="745" spans="1:18" x14ac:dyDescent="0.3">
      <c r="A745">
        <v>34</v>
      </c>
      <c r="B745">
        <v>34</v>
      </c>
      <c r="C745" t="s">
        <v>31</v>
      </c>
      <c r="D745">
        <v>3.25</v>
      </c>
      <c r="E745">
        <v>6022.4669999999996</v>
      </c>
      <c r="F745" t="s">
        <v>421</v>
      </c>
      <c r="G745" s="31">
        <v>0.37</v>
      </c>
      <c r="L745" t="s">
        <v>379</v>
      </c>
    </row>
    <row r="746" spans="1:18" x14ac:dyDescent="0.3">
      <c r="A746">
        <v>35</v>
      </c>
      <c r="B746">
        <v>35</v>
      </c>
      <c r="C746" t="s">
        <v>32</v>
      </c>
      <c r="D746">
        <v>3.11</v>
      </c>
      <c r="E746">
        <v>126.154</v>
      </c>
      <c r="F746" t="s">
        <v>422</v>
      </c>
      <c r="G746" s="31">
        <v>0.11</v>
      </c>
    </row>
    <row r="747" spans="1:18" x14ac:dyDescent="0.3">
      <c r="A747">
        <v>36</v>
      </c>
      <c r="B747">
        <v>36</v>
      </c>
      <c r="C747" t="s">
        <v>33</v>
      </c>
      <c r="D747">
        <v>1.88</v>
      </c>
      <c r="E747">
        <v>1755.759</v>
      </c>
      <c r="F747" t="s">
        <v>423</v>
      </c>
      <c r="G747" s="31">
        <v>0.86</v>
      </c>
      <c r="L747" t="s">
        <v>557</v>
      </c>
    </row>
    <row r="748" spans="1:18" x14ac:dyDescent="0.3">
      <c r="G748" s="31">
        <f>G725/G727</f>
        <v>1.7395833333333333</v>
      </c>
    </row>
    <row r="749" spans="1:18" x14ac:dyDescent="0.3">
      <c r="A749" t="s">
        <v>379</v>
      </c>
      <c r="L749" t="s">
        <v>558</v>
      </c>
    </row>
    <row r="751" spans="1:18" x14ac:dyDescent="0.3">
      <c r="A751" t="s">
        <v>380</v>
      </c>
      <c r="M751" t="s">
        <v>382</v>
      </c>
      <c r="N751" t="s">
        <v>383</v>
      </c>
      <c r="O751" t="s">
        <v>384</v>
      </c>
      <c r="P751" t="s">
        <v>385</v>
      </c>
      <c r="Q751" t="s">
        <v>386</v>
      </c>
      <c r="R751" s="31" t="s">
        <v>387</v>
      </c>
    </row>
    <row r="752" spans="1:18" x14ac:dyDescent="0.3">
      <c r="L752">
        <v>1</v>
      </c>
      <c r="M752">
        <v>1</v>
      </c>
      <c r="N752" t="s">
        <v>35</v>
      </c>
      <c r="O752">
        <v>1.36</v>
      </c>
      <c r="P752">
        <v>28.791</v>
      </c>
      <c r="Q752" t="s">
        <v>511</v>
      </c>
      <c r="R752" s="31">
        <v>14.9</v>
      </c>
    </row>
    <row r="753" spans="1:18" x14ac:dyDescent="0.3">
      <c r="A753" t="s">
        <v>440</v>
      </c>
      <c r="L753">
        <v>2</v>
      </c>
      <c r="M753">
        <v>2</v>
      </c>
      <c r="N753" t="s">
        <v>36</v>
      </c>
      <c r="O753">
        <v>1.67</v>
      </c>
      <c r="P753">
        <v>2398985</v>
      </c>
      <c r="Q753" t="s">
        <v>512</v>
      </c>
      <c r="R753" s="31">
        <v>540.37</v>
      </c>
    </row>
    <row r="754" spans="1:18" x14ac:dyDescent="0.3">
      <c r="L754">
        <v>3</v>
      </c>
      <c r="M754">
        <v>3</v>
      </c>
      <c r="N754" t="s">
        <v>37</v>
      </c>
      <c r="O754">
        <v>1.82</v>
      </c>
      <c r="P754">
        <v>306.601</v>
      </c>
      <c r="Q754" t="s">
        <v>513</v>
      </c>
      <c r="R754" s="31">
        <v>0.22</v>
      </c>
    </row>
    <row r="755" spans="1:18" x14ac:dyDescent="0.3">
      <c r="B755" t="s">
        <v>382</v>
      </c>
      <c r="C755" t="s">
        <v>383</v>
      </c>
      <c r="D755" t="s">
        <v>384</v>
      </c>
      <c r="E755" t="s">
        <v>385</v>
      </c>
      <c r="F755" t="s">
        <v>386</v>
      </c>
      <c r="G755" s="31" t="s">
        <v>387</v>
      </c>
      <c r="L755">
        <v>4</v>
      </c>
      <c r="M755">
        <v>4</v>
      </c>
      <c r="N755" t="s">
        <v>38</v>
      </c>
      <c r="O755">
        <v>1.18</v>
      </c>
      <c r="P755">
        <v>3033.0830000000001</v>
      </c>
      <c r="Q755" t="s">
        <v>514</v>
      </c>
      <c r="R755" s="31">
        <v>0.9</v>
      </c>
    </row>
    <row r="756" spans="1:18" x14ac:dyDescent="0.3">
      <c r="A756">
        <v>1</v>
      </c>
      <c r="B756">
        <v>1</v>
      </c>
      <c r="C756" t="s">
        <v>0</v>
      </c>
      <c r="D756">
        <v>0.95</v>
      </c>
      <c r="E756">
        <v>47.606999999999999</v>
      </c>
      <c r="F756" t="s">
        <v>388</v>
      </c>
      <c r="G756" s="31">
        <v>0.1</v>
      </c>
      <c r="L756">
        <v>5</v>
      </c>
      <c r="M756">
        <v>5</v>
      </c>
      <c r="N756" t="s">
        <v>39</v>
      </c>
      <c r="O756">
        <v>1.38</v>
      </c>
      <c r="P756">
        <v>70985.366999999998</v>
      </c>
      <c r="Q756" t="s">
        <v>515</v>
      </c>
      <c r="R756" s="31">
        <v>29.78</v>
      </c>
    </row>
    <row r="757" spans="1:18" x14ac:dyDescent="0.3">
      <c r="A757">
        <v>2</v>
      </c>
      <c r="B757">
        <v>2</v>
      </c>
      <c r="C757" t="s">
        <v>1</v>
      </c>
      <c r="D757">
        <v>1.46</v>
      </c>
      <c r="E757">
        <v>47.085000000000001</v>
      </c>
      <c r="F757" t="s">
        <v>389</v>
      </c>
      <c r="G757" s="31">
        <v>5.0199999999999996</v>
      </c>
      <c r="L757">
        <v>6</v>
      </c>
      <c r="M757">
        <v>6</v>
      </c>
      <c r="N757" t="s">
        <v>40</v>
      </c>
      <c r="O757">
        <v>1.53</v>
      </c>
      <c r="P757">
        <v>9473.2049999999999</v>
      </c>
      <c r="Q757" t="s">
        <v>516</v>
      </c>
      <c r="R757" s="31">
        <v>1.82</v>
      </c>
    </row>
    <row r="758" spans="1:18" x14ac:dyDescent="0.3">
      <c r="A758">
        <v>3</v>
      </c>
      <c r="B758">
        <v>3</v>
      </c>
      <c r="C758" t="s">
        <v>50</v>
      </c>
      <c r="D758">
        <v>3.76</v>
      </c>
      <c r="E758">
        <v>132.529</v>
      </c>
      <c r="F758" t="s">
        <v>390</v>
      </c>
      <c r="G758" s="31">
        <v>0.84</v>
      </c>
      <c r="L758">
        <v>7</v>
      </c>
      <c r="M758">
        <v>7</v>
      </c>
      <c r="N758" t="s">
        <v>41</v>
      </c>
      <c r="O758">
        <v>2.2599999999999998</v>
      </c>
      <c r="P758">
        <v>1571.605</v>
      </c>
      <c r="Q758" t="s">
        <v>517</v>
      </c>
      <c r="R758" s="31">
        <v>2.86</v>
      </c>
    </row>
    <row r="759" spans="1:18" x14ac:dyDescent="0.3">
      <c r="A759">
        <v>4</v>
      </c>
      <c r="B759">
        <v>4</v>
      </c>
      <c r="C759" t="s">
        <v>2</v>
      </c>
      <c r="D759">
        <v>3.85</v>
      </c>
      <c r="E759">
        <v>63.359000000000002</v>
      </c>
      <c r="F759" t="s">
        <v>391</v>
      </c>
      <c r="G759" s="31">
        <v>0.77</v>
      </c>
      <c r="L759">
        <v>8</v>
      </c>
      <c r="M759">
        <v>8</v>
      </c>
      <c r="N759" t="s">
        <v>42</v>
      </c>
      <c r="O759">
        <v>0.89</v>
      </c>
      <c r="P759">
        <v>22.699000000000002</v>
      </c>
      <c r="Q759" t="s">
        <v>518</v>
      </c>
      <c r="R759" s="31">
        <v>32.99</v>
      </c>
    </row>
    <row r="760" spans="1:18" x14ac:dyDescent="0.3">
      <c r="A760">
        <v>5</v>
      </c>
      <c r="B760">
        <v>5</v>
      </c>
      <c r="C760" t="s">
        <v>3</v>
      </c>
      <c r="D760">
        <v>4.49</v>
      </c>
      <c r="E760">
        <v>198.369</v>
      </c>
      <c r="F760" t="s">
        <v>392</v>
      </c>
      <c r="G760" s="31">
        <v>0.15</v>
      </c>
      <c r="L760">
        <v>9</v>
      </c>
      <c r="M760">
        <v>9</v>
      </c>
      <c r="N760" t="s">
        <v>43</v>
      </c>
      <c r="O760">
        <v>2.5499999999999998</v>
      </c>
      <c r="P760">
        <v>2859.81</v>
      </c>
      <c r="Q760" t="s">
        <v>519</v>
      </c>
      <c r="R760" s="31">
        <v>0.08</v>
      </c>
    </row>
    <row r="761" spans="1:18" x14ac:dyDescent="0.3">
      <c r="A761">
        <v>6</v>
      </c>
      <c r="B761">
        <v>6</v>
      </c>
      <c r="C761" t="s">
        <v>4</v>
      </c>
      <c r="F761" t="s">
        <v>393</v>
      </c>
      <c r="G761" s="31">
        <v>0.1</v>
      </c>
      <c r="L761">
        <v>10</v>
      </c>
      <c r="M761">
        <v>10</v>
      </c>
      <c r="N761" t="s">
        <v>52</v>
      </c>
      <c r="O761">
        <v>4.1500000000000004</v>
      </c>
      <c r="P761">
        <v>2590.3440000000001</v>
      </c>
      <c r="Q761" t="s">
        <v>520</v>
      </c>
      <c r="R761" s="31">
        <v>0.1</v>
      </c>
    </row>
    <row r="762" spans="1:18" x14ac:dyDescent="0.3">
      <c r="A762">
        <v>7</v>
      </c>
      <c r="B762">
        <v>7</v>
      </c>
      <c r="C762" t="s">
        <v>5</v>
      </c>
      <c r="D762">
        <v>2.67</v>
      </c>
      <c r="E762">
        <v>28.472999999999999</v>
      </c>
      <c r="F762" t="s">
        <v>394</v>
      </c>
      <c r="G762" s="31">
        <v>0.09</v>
      </c>
      <c r="L762">
        <v>11</v>
      </c>
      <c r="M762">
        <v>11</v>
      </c>
      <c r="N762" t="s">
        <v>44</v>
      </c>
      <c r="O762">
        <v>4.1900000000000004</v>
      </c>
      <c r="P762">
        <v>57.186</v>
      </c>
      <c r="Q762" t="s">
        <v>521</v>
      </c>
      <c r="R762" s="31">
        <v>0.2</v>
      </c>
    </row>
    <row r="763" spans="1:18" x14ac:dyDescent="0.3">
      <c r="A763">
        <v>8</v>
      </c>
      <c r="B763">
        <v>8</v>
      </c>
      <c r="C763" t="s">
        <v>6</v>
      </c>
      <c r="F763" t="s">
        <v>395</v>
      </c>
      <c r="G763" s="31">
        <v>0.1</v>
      </c>
      <c r="L763">
        <v>12</v>
      </c>
      <c r="M763">
        <v>12</v>
      </c>
      <c r="N763" t="s">
        <v>45</v>
      </c>
      <c r="O763">
        <v>3.46</v>
      </c>
      <c r="P763">
        <v>402518.375</v>
      </c>
      <c r="Q763" t="s">
        <v>522</v>
      </c>
      <c r="R763" s="31">
        <v>7.56</v>
      </c>
    </row>
    <row r="764" spans="1:18" x14ac:dyDescent="0.3">
      <c r="A764">
        <v>9</v>
      </c>
      <c r="B764">
        <v>9</v>
      </c>
      <c r="C764" t="s">
        <v>7</v>
      </c>
      <c r="D764">
        <v>3.62</v>
      </c>
      <c r="E764">
        <v>77.623000000000005</v>
      </c>
      <c r="F764" t="s">
        <v>396</v>
      </c>
      <c r="G764" s="31">
        <v>2.4</v>
      </c>
      <c r="L764">
        <v>13</v>
      </c>
      <c r="M764">
        <v>13</v>
      </c>
      <c r="N764" t="s">
        <v>46</v>
      </c>
      <c r="O764">
        <v>2.6</v>
      </c>
      <c r="P764">
        <v>174697.016</v>
      </c>
      <c r="Q764" t="s">
        <v>523</v>
      </c>
      <c r="R764" s="31">
        <v>15.52</v>
      </c>
    </row>
    <row r="765" spans="1:18" x14ac:dyDescent="0.3">
      <c r="A765">
        <v>10</v>
      </c>
      <c r="B765">
        <v>10</v>
      </c>
      <c r="C765" t="s">
        <v>51</v>
      </c>
      <c r="D765">
        <v>4.66</v>
      </c>
      <c r="E765">
        <v>477.947</v>
      </c>
      <c r="F765" t="s">
        <v>397</v>
      </c>
      <c r="G765" s="31">
        <v>0.75</v>
      </c>
      <c r="L765">
        <v>14</v>
      </c>
      <c r="M765">
        <v>14</v>
      </c>
      <c r="N765" t="s">
        <v>47</v>
      </c>
      <c r="O765">
        <v>0.67</v>
      </c>
      <c r="P765">
        <v>16428.928</v>
      </c>
      <c r="Q765" t="s">
        <v>524</v>
      </c>
      <c r="R765" s="31">
        <v>12.94</v>
      </c>
    </row>
    <row r="766" spans="1:18" x14ac:dyDescent="0.3">
      <c r="A766">
        <v>11</v>
      </c>
      <c r="B766">
        <v>11</v>
      </c>
      <c r="C766" t="s">
        <v>8</v>
      </c>
      <c r="F766" t="s">
        <v>398</v>
      </c>
      <c r="G766" s="31">
        <v>0.1</v>
      </c>
      <c r="L766">
        <v>15</v>
      </c>
      <c r="M766">
        <v>15</v>
      </c>
      <c r="N766" t="s">
        <v>48</v>
      </c>
      <c r="O766">
        <v>1.22</v>
      </c>
      <c r="P766">
        <v>12901.226000000001</v>
      </c>
      <c r="Q766" t="s">
        <v>525</v>
      </c>
      <c r="R766" s="31">
        <v>3.13</v>
      </c>
    </row>
    <row r="767" spans="1:18" x14ac:dyDescent="0.3">
      <c r="A767">
        <v>12</v>
      </c>
      <c r="B767">
        <v>12</v>
      </c>
      <c r="C767" t="s">
        <v>9</v>
      </c>
      <c r="D767">
        <v>2.64</v>
      </c>
      <c r="E767">
        <v>45.631</v>
      </c>
      <c r="F767" t="s">
        <v>399</v>
      </c>
      <c r="G767" s="31">
        <v>2.78</v>
      </c>
      <c r="L767">
        <v>16</v>
      </c>
      <c r="M767">
        <v>16</v>
      </c>
      <c r="N767" t="s">
        <v>53</v>
      </c>
      <c r="O767">
        <v>4.57</v>
      </c>
      <c r="P767">
        <v>19726.008000000002</v>
      </c>
      <c r="Q767" t="s">
        <v>526</v>
      </c>
      <c r="R767" s="31">
        <v>0.45</v>
      </c>
    </row>
    <row r="768" spans="1:18" x14ac:dyDescent="0.3">
      <c r="A768">
        <v>13</v>
      </c>
      <c r="B768">
        <v>13</v>
      </c>
      <c r="C768" t="s">
        <v>10</v>
      </c>
      <c r="D768">
        <v>4.1100000000000003</v>
      </c>
      <c r="E768">
        <v>328.64699999999999</v>
      </c>
      <c r="F768" t="s">
        <v>400</v>
      </c>
      <c r="G768" s="31">
        <v>0.1</v>
      </c>
      <c r="L768">
        <v>17</v>
      </c>
      <c r="M768">
        <v>17</v>
      </c>
      <c r="N768" t="s">
        <v>54</v>
      </c>
      <c r="O768">
        <v>5.18</v>
      </c>
      <c r="P768">
        <v>2915.0479999999998</v>
      </c>
      <c r="Q768" t="s">
        <v>527</v>
      </c>
      <c r="R768" s="31">
        <v>0.1</v>
      </c>
    </row>
    <row r="769" spans="1:18" x14ac:dyDescent="0.3">
      <c r="A769">
        <v>14</v>
      </c>
      <c r="B769">
        <v>14</v>
      </c>
      <c r="C769" t="s">
        <v>11</v>
      </c>
      <c r="F769" t="s">
        <v>401</v>
      </c>
      <c r="G769" s="31">
        <v>0.1</v>
      </c>
      <c r="L769">
        <v>18</v>
      </c>
      <c r="M769">
        <v>18</v>
      </c>
      <c r="N769" t="s">
        <v>55</v>
      </c>
      <c r="O769">
        <v>1.31</v>
      </c>
      <c r="P769">
        <v>1628.127</v>
      </c>
      <c r="Q769" t="s">
        <v>528</v>
      </c>
      <c r="R769" s="31">
        <v>0.11</v>
      </c>
    </row>
    <row r="770" spans="1:18" x14ac:dyDescent="0.3">
      <c r="A770">
        <v>15</v>
      </c>
      <c r="B770">
        <v>15</v>
      </c>
      <c r="C770" t="s">
        <v>12</v>
      </c>
      <c r="D770">
        <v>3.36</v>
      </c>
      <c r="E770">
        <v>27.995000000000001</v>
      </c>
      <c r="F770" t="s">
        <v>402</v>
      </c>
      <c r="G770" s="31">
        <v>1.08</v>
      </c>
      <c r="L770">
        <v>19</v>
      </c>
      <c r="M770">
        <v>19</v>
      </c>
      <c r="N770" t="s">
        <v>56</v>
      </c>
      <c r="O770">
        <v>0.87</v>
      </c>
      <c r="P770">
        <v>27047.543000000001</v>
      </c>
      <c r="Q770" t="s">
        <v>529</v>
      </c>
      <c r="R770" s="31">
        <v>2.38</v>
      </c>
    </row>
    <row r="771" spans="1:18" x14ac:dyDescent="0.3">
      <c r="A771">
        <v>16</v>
      </c>
      <c r="B771">
        <v>16</v>
      </c>
      <c r="C771" t="s">
        <v>13</v>
      </c>
      <c r="F771" t="s">
        <v>403</v>
      </c>
      <c r="G771" s="31">
        <v>0.1</v>
      </c>
      <c r="L771">
        <v>20</v>
      </c>
      <c r="M771">
        <v>20</v>
      </c>
      <c r="N771" t="s">
        <v>57</v>
      </c>
      <c r="O771">
        <v>1.52</v>
      </c>
      <c r="P771">
        <v>277.923</v>
      </c>
      <c r="Q771" t="s">
        <v>530</v>
      </c>
      <c r="R771" s="31">
        <v>0.18</v>
      </c>
    </row>
    <row r="772" spans="1:18" x14ac:dyDescent="0.3">
      <c r="A772">
        <v>17</v>
      </c>
      <c r="B772">
        <v>17</v>
      </c>
      <c r="C772" t="s">
        <v>14</v>
      </c>
      <c r="D772">
        <v>2.44</v>
      </c>
      <c r="E772">
        <v>29.15</v>
      </c>
      <c r="F772" t="s">
        <v>404</v>
      </c>
      <c r="G772" s="31">
        <v>3.23</v>
      </c>
      <c r="L772">
        <v>21</v>
      </c>
      <c r="M772">
        <v>21</v>
      </c>
      <c r="N772" t="s">
        <v>58</v>
      </c>
      <c r="O772">
        <v>2.4700000000000002</v>
      </c>
      <c r="P772">
        <v>37.128999999999998</v>
      </c>
      <c r="Q772" t="s">
        <v>531</v>
      </c>
      <c r="R772" s="31">
        <v>0.08</v>
      </c>
    </row>
    <row r="773" spans="1:18" x14ac:dyDescent="0.3">
      <c r="A773">
        <v>18</v>
      </c>
      <c r="B773">
        <v>18</v>
      </c>
      <c r="C773" t="s">
        <v>15</v>
      </c>
      <c r="D773">
        <v>2.5099999999999998</v>
      </c>
      <c r="E773">
        <v>37.991999999999997</v>
      </c>
      <c r="F773" t="s">
        <v>405</v>
      </c>
      <c r="G773" s="31">
        <v>10.36</v>
      </c>
      <c r="L773">
        <v>22</v>
      </c>
      <c r="M773">
        <v>22</v>
      </c>
      <c r="N773" t="s">
        <v>59</v>
      </c>
      <c r="O773">
        <v>2.5</v>
      </c>
      <c r="P773">
        <v>20645.403999999999</v>
      </c>
      <c r="Q773" t="s">
        <v>532</v>
      </c>
      <c r="R773" s="31">
        <v>5.04</v>
      </c>
    </row>
    <row r="774" spans="1:18" x14ac:dyDescent="0.3">
      <c r="A774">
        <v>19</v>
      </c>
      <c r="B774">
        <v>19</v>
      </c>
      <c r="C774" t="s">
        <v>16</v>
      </c>
      <c r="D774">
        <v>2.72</v>
      </c>
      <c r="E774">
        <v>28.65</v>
      </c>
      <c r="F774" t="s">
        <v>406</v>
      </c>
      <c r="G774" s="31">
        <v>0.31</v>
      </c>
      <c r="L774">
        <v>23</v>
      </c>
      <c r="M774">
        <v>23</v>
      </c>
      <c r="N774" t="s">
        <v>60</v>
      </c>
      <c r="O774">
        <v>2.59</v>
      </c>
      <c r="P774">
        <v>10693.616</v>
      </c>
      <c r="Q774" t="s">
        <v>533</v>
      </c>
      <c r="R774" s="31">
        <v>1.52</v>
      </c>
    </row>
    <row r="775" spans="1:18" x14ac:dyDescent="0.3">
      <c r="A775">
        <v>20</v>
      </c>
      <c r="B775">
        <v>20</v>
      </c>
      <c r="C775" t="s">
        <v>17</v>
      </c>
      <c r="D775">
        <v>3.22</v>
      </c>
      <c r="E775">
        <v>976.2</v>
      </c>
      <c r="F775" t="s">
        <v>407</v>
      </c>
      <c r="G775" s="31">
        <v>0.95</v>
      </c>
    </row>
    <row r="776" spans="1:18" x14ac:dyDescent="0.3">
      <c r="A776">
        <v>21</v>
      </c>
      <c r="B776">
        <v>21</v>
      </c>
      <c r="C776" t="s">
        <v>18</v>
      </c>
      <c r="D776">
        <v>3.68</v>
      </c>
      <c r="E776">
        <v>542.26599999999996</v>
      </c>
      <c r="F776" t="s">
        <v>408</v>
      </c>
      <c r="G776" s="31">
        <v>0.14000000000000001</v>
      </c>
      <c r="L776" t="s">
        <v>379</v>
      </c>
    </row>
    <row r="777" spans="1:18" x14ac:dyDescent="0.3">
      <c r="A777">
        <v>22</v>
      </c>
      <c r="B777">
        <v>22</v>
      </c>
      <c r="C777" t="s">
        <v>19</v>
      </c>
      <c r="F777" t="s">
        <v>409</v>
      </c>
      <c r="G777" s="31">
        <v>0.1</v>
      </c>
    </row>
    <row r="778" spans="1:18" x14ac:dyDescent="0.3">
      <c r="A778">
        <v>23</v>
      </c>
      <c r="B778">
        <v>23</v>
      </c>
      <c r="C778" t="s">
        <v>20</v>
      </c>
      <c r="F778" t="s">
        <v>410</v>
      </c>
      <c r="G778" s="31">
        <v>0.1</v>
      </c>
      <c r="L778" t="s">
        <v>557</v>
      </c>
    </row>
    <row r="779" spans="1:18" x14ac:dyDescent="0.3">
      <c r="A779">
        <v>24</v>
      </c>
      <c r="B779">
        <v>24</v>
      </c>
      <c r="C779" t="s">
        <v>21</v>
      </c>
      <c r="D779">
        <v>4.1500000000000004</v>
      </c>
      <c r="E779">
        <v>26.866</v>
      </c>
      <c r="F779" t="s">
        <v>411</v>
      </c>
      <c r="G779" s="31">
        <v>0.1</v>
      </c>
    </row>
    <row r="780" spans="1:18" x14ac:dyDescent="0.3">
      <c r="A780">
        <v>25</v>
      </c>
      <c r="B780">
        <v>25</v>
      </c>
      <c r="C780" t="s">
        <v>22</v>
      </c>
      <c r="D780">
        <v>3.38</v>
      </c>
      <c r="E780">
        <v>38.457000000000001</v>
      </c>
      <c r="F780" t="s">
        <v>412</v>
      </c>
      <c r="G780" s="31">
        <v>22.03</v>
      </c>
      <c r="L780" t="s">
        <v>559</v>
      </c>
    </row>
    <row r="781" spans="1:18" x14ac:dyDescent="0.3">
      <c r="A781">
        <v>26</v>
      </c>
      <c r="B781">
        <v>26</v>
      </c>
      <c r="C781" t="s">
        <v>23</v>
      </c>
      <c r="F781" t="s">
        <v>413</v>
      </c>
      <c r="G781" s="31">
        <v>0.1</v>
      </c>
    </row>
    <row r="782" spans="1:18" x14ac:dyDescent="0.3">
      <c r="A782">
        <v>27</v>
      </c>
      <c r="B782">
        <v>27</v>
      </c>
      <c r="C782" t="s">
        <v>24</v>
      </c>
      <c r="D782">
        <v>3.34</v>
      </c>
      <c r="E782">
        <v>34.002000000000002</v>
      </c>
      <c r="F782" t="s">
        <v>414</v>
      </c>
      <c r="G782" s="31">
        <v>0.1</v>
      </c>
      <c r="M782" t="s">
        <v>382</v>
      </c>
      <c r="N782" t="s">
        <v>383</v>
      </c>
      <c r="O782" t="s">
        <v>384</v>
      </c>
      <c r="P782" t="s">
        <v>385</v>
      </c>
      <c r="Q782" t="s">
        <v>386</v>
      </c>
      <c r="R782" s="31" t="s">
        <v>387</v>
      </c>
    </row>
    <row r="783" spans="1:18" x14ac:dyDescent="0.3">
      <c r="A783">
        <v>28</v>
      </c>
      <c r="B783">
        <v>28</v>
      </c>
      <c r="C783" t="s">
        <v>25</v>
      </c>
      <c r="D783">
        <v>3.17</v>
      </c>
      <c r="E783">
        <v>1.8520000000000001</v>
      </c>
      <c r="F783" t="s">
        <v>415</v>
      </c>
      <c r="G783" s="31">
        <v>1.8</v>
      </c>
      <c r="L783">
        <v>1</v>
      </c>
      <c r="M783">
        <v>1</v>
      </c>
      <c r="N783" t="s">
        <v>35</v>
      </c>
      <c r="O783">
        <v>1.45</v>
      </c>
      <c r="P783">
        <v>979.2</v>
      </c>
      <c r="Q783" t="s">
        <v>511</v>
      </c>
      <c r="R783" s="31">
        <v>14.88</v>
      </c>
    </row>
    <row r="784" spans="1:18" x14ac:dyDescent="0.3">
      <c r="A784">
        <v>29</v>
      </c>
      <c r="B784">
        <v>29</v>
      </c>
      <c r="C784" t="s">
        <v>26</v>
      </c>
      <c r="F784" t="s">
        <v>416</v>
      </c>
      <c r="G784" s="31">
        <v>0.1</v>
      </c>
      <c r="L784">
        <v>2</v>
      </c>
      <c r="M784">
        <v>2</v>
      </c>
      <c r="N784" t="s">
        <v>36</v>
      </c>
      <c r="O784">
        <v>1.67</v>
      </c>
      <c r="P784">
        <v>1020812.75</v>
      </c>
      <c r="Q784" t="s">
        <v>512</v>
      </c>
      <c r="R784" s="31">
        <v>269.70999999999998</v>
      </c>
    </row>
    <row r="785" spans="1:18" x14ac:dyDescent="0.3">
      <c r="A785">
        <v>30</v>
      </c>
      <c r="B785">
        <v>30</v>
      </c>
      <c r="C785" t="s">
        <v>27</v>
      </c>
      <c r="D785">
        <v>4.34</v>
      </c>
      <c r="E785">
        <v>18.837</v>
      </c>
      <c r="F785" t="s">
        <v>417</v>
      </c>
      <c r="G785" s="31">
        <v>0.12</v>
      </c>
      <c r="L785">
        <v>3</v>
      </c>
      <c r="M785">
        <v>3</v>
      </c>
      <c r="N785" t="s">
        <v>37</v>
      </c>
      <c r="O785">
        <v>1.81</v>
      </c>
      <c r="P785">
        <v>497.00400000000002</v>
      </c>
      <c r="Q785" t="s">
        <v>513</v>
      </c>
      <c r="R785" s="31">
        <v>0.28000000000000003</v>
      </c>
    </row>
    <row r="786" spans="1:18" x14ac:dyDescent="0.3">
      <c r="A786">
        <v>31</v>
      </c>
      <c r="B786">
        <v>31</v>
      </c>
      <c r="C786" t="s">
        <v>28</v>
      </c>
      <c r="F786" t="s">
        <v>418</v>
      </c>
      <c r="G786" s="31">
        <v>0.1</v>
      </c>
      <c r="L786">
        <v>4</v>
      </c>
      <c r="M786">
        <v>4</v>
      </c>
      <c r="N786" t="s">
        <v>38</v>
      </c>
      <c r="O786">
        <v>1.18</v>
      </c>
      <c r="P786">
        <v>1933.278</v>
      </c>
      <c r="Q786" t="s">
        <v>514</v>
      </c>
      <c r="R786" s="31">
        <v>0.6</v>
      </c>
    </row>
    <row r="787" spans="1:18" x14ac:dyDescent="0.3">
      <c r="A787">
        <v>32</v>
      </c>
      <c r="B787">
        <v>32</v>
      </c>
      <c r="C787" t="s">
        <v>29</v>
      </c>
      <c r="F787" t="s">
        <v>419</v>
      </c>
      <c r="G787" s="31">
        <v>0.1</v>
      </c>
      <c r="L787">
        <v>5</v>
      </c>
      <c r="M787">
        <v>5</v>
      </c>
      <c r="N787" t="s">
        <v>39</v>
      </c>
      <c r="O787">
        <v>1.38</v>
      </c>
      <c r="P787">
        <v>100464.19500000001</v>
      </c>
      <c r="Q787" t="s">
        <v>515</v>
      </c>
      <c r="R787" s="31">
        <v>37.99</v>
      </c>
    </row>
    <row r="788" spans="1:18" x14ac:dyDescent="0.3">
      <c r="A788">
        <v>33</v>
      </c>
      <c r="B788">
        <v>33</v>
      </c>
      <c r="C788" t="s">
        <v>30</v>
      </c>
      <c r="D788">
        <v>4.66</v>
      </c>
      <c r="E788">
        <v>23.747</v>
      </c>
      <c r="F788" t="s">
        <v>420</v>
      </c>
      <c r="G788" s="31">
        <v>3.35</v>
      </c>
      <c r="L788">
        <v>6</v>
      </c>
      <c r="M788">
        <v>6</v>
      </c>
      <c r="N788" t="s">
        <v>40</v>
      </c>
      <c r="O788">
        <v>1.53</v>
      </c>
      <c r="P788">
        <v>8527.93</v>
      </c>
      <c r="Q788" t="s">
        <v>516</v>
      </c>
      <c r="R788" s="31">
        <v>1.62</v>
      </c>
    </row>
    <row r="789" spans="1:18" x14ac:dyDescent="0.3">
      <c r="A789">
        <v>34</v>
      </c>
      <c r="B789">
        <v>34</v>
      </c>
      <c r="C789" t="s">
        <v>31</v>
      </c>
      <c r="D789">
        <v>3.61</v>
      </c>
      <c r="E789">
        <v>49.213000000000001</v>
      </c>
      <c r="F789" t="s">
        <v>421</v>
      </c>
      <c r="G789" s="31">
        <v>0.14000000000000001</v>
      </c>
      <c r="L789">
        <v>7</v>
      </c>
      <c r="M789">
        <v>7</v>
      </c>
      <c r="N789" t="s">
        <v>41</v>
      </c>
      <c r="O789">
        <v>2.29</v>
      </c>
      <c r="P789">
        <v>1448.4349999999999</v>
      </c>
      <c r="Q789" t="s">
        <v>517</v>
      </c>
      <c r="R789" s="31">
        <v>2.61</v>
      </c>
    </row>
    <row r="790" spans="1:18" x14ac:dyDescent="0.3">
      <c r="A790">
        <v>35</v>
      </c>
      <c r="B790">
        <v>35</v>
      </c>
      <c r="C790" t="s">
        <v>32</v>
      </c>
      <c r="F790" t="s">
        <v>422</v>
      </c>
      <c r="G790" s="31">
        <v>0.1</v>
      </c>
      <c r="L790">
        <v>8</v>
      </c>
      <c r="M790">
        <v>8</v>
      </c>
      <c r="N790" t="s">
        <v>42</v>
      </c>
      <c r="O790">
        <v>0.69</v>
      </c>
      <c r="P790">
        <v>24.899000000000001</v>
      </c>
      <c r="Q790" t="s">
        <v>518</v>
      </c>
      <c r="R790" s="31">
        <v>32.409999999999997</v>
      </c>
    </row>
    <row r="791" spans="1:18" x14ac:dyDescent="0.3">
      <c r="A791">
        <v>36</v>
      </c>
      <c r="B791">
        <v>36</v>
      </c>
      <c r="C791" t="s">
        <v>33</v>
      </c>
      <c r="D791">
        <v>2.02</v>
      </c>
      <c r="E791">
        <v>15.406000000000001</v>
      </c>
      <c r="F791" t="s">
        <v>423</v>
      </c>
      <c r="G791" s="31">
        <v>0.11</v>
      </c>
      <c r="L791">
        <v>9</v>
      </c>
      <c r="M791">
        <v>9</v>
      </c>
      <c r="N791" t="s">
        <v>43</v>
      </c>
      <c r="O791">
        <v>2.5499999999999998</v>
      </c>
      <c r="P791">
        <v>6374.4390000000003</v>
      </c>
      <c r="Q791" t="s">
        <v>519</v>
      </c>
      <c r="R791" s="31">
        <v>0.18</v>
      </c>
    </row>
    <row r="792" spans="1:18" x14ac:dyDescent="0.3">
      <c r="L792">
        <v>10</v>
      </c>
      <c r="M792">
        <v>10</v>
      </c>
      <c r="N792" t="s">
        <v>52</v>
      </c>
      <c r="O792">
        <v>4.1399999999999997</v>
      </c>
      <c r="P792">
        <v>8194.9480000000003</v>
      </c>
      <c r="Q792" t="s">
        <v>520</v>
      </c>
      <c r="R792" s="31">
        <v>0.47</v>
      </c>
    </row>
    <row r="793" spans="1:18" x14ac:dyDescent="0.3">
      <c r="A793" t="s">
        <v>379</v>
      </c>
      <c r="L793">
        <v>11</v>
      </c>
      <c r="M793">
        <v>11</v>
      </c>
      <c r="N793" t="s">
        <v>44</v>
      </c>
      <c r="O793">
        <v>4.1900000000000004</v>
      </c>
      <c r="P793">
        <v>409.07600000000002</v>
      </c>
      <c r="Q793" t="s">
        <v>521</v>
      </c>
      <c r="R793" s="31">
        <v>0.27</v>
      </c>
    </row>
    <row r="794" spans="1:18" x14ac:dyDescent="0.3">
      <c r="L794">
        <v>12</v>
      </c>
      <c r="M794">
        <v>12</v>
      </c>
      <c r="N794" t="s">
        <v>45</v>
      </c>
      <c r="O794">
        <v>3.45</v>
      </c>
      <c r="P794">
        <v>529551.25</v>
      </c>
      <c r="Q794" t="s">
        <v>522</v>
      </c>
      <c r="R794" s="31">
        <v>13.7</v>
      </c>
    </row>
    <row r="795" spans="1:18" x14ac:dyDescent="0.3">
      <c r="A795" t="s">
        <v>380</v>
      </c>
      <c r="L795">
        <v>13</v>
      </c>
      <c r="M795">
        <v>13</v>
      </c>
      <c r="N795" t="s">
        <v>46</v>
      </c>
      <c r="O795">
        <v>2.59</v>
      </c>
      <c r="P795">
        <v>187813.109</v>
      </c>
      <c r="Q795" t="s">
        <v>523</v>
      </c>
      <c r="R795" s="31">
        <v>16.54</v>
      </c>
    </row>
    <row r="796" spans="1:18" x14ac:dyDescent="0.3">
      <c r="L796">
        <v>14</v>
      </c>
      <c r="M796">
        <v>14</v>
      </c>
      <c r="N796" t="s">
        <v>47</v>
      </c>
      <c r="O796">
        <v>0.68</v>
      </c>
      <c r="P796">
        <v>26942.434000000001</v>
      </c>
      <c r="Q796" t="s">
        <v>524</v>
      </c>
      <c r="R796" s="31">
        <v>22.9</v>
      </c>
    </row>
    <row r="797" spans="1:18" x14ac:dyDescent="0.3">
      <c r="A797" t="s">
        <v>441</v>
      </c>
      <c r="L797">
        <v>15</v>
      </c>
      <c r="M797">
        <v>15</v>
      </c>
      <c r="N797" t="s">
        <v>48</v>
      </c>
      <c r="O797">
        <v>1.22</v>
      </c>
      <c r="P797">
        <v>10518.045</v>
      </c>
      <c r="Q797" t="s">
        <v>525</v>
      </c>
      <c r="R797" s="31">
        <v>2.4</v>
      </c>
    </row>
    <row r="798" spans="1:18" x14ac:dyDescent="0.3">
      <c r="L798">
        <v>16</v>
      </c>
      <c r="M798">
        <v>16</v>
      </c>
      <c r="N798" t="s">
        <v>53</v>
      </c>
      <c r="O798">
        <v>4.57</v>
      </c>
      <c r="P798">
        <v>23923.516</v>
      </c>
      <c r="Q798" t="s">
        <v>526</v>
      </c>
      <c r="R798" s="31">
        <v>0.56000000000000005</v>
      </c>
    </row>
    <row r="799" spans="1:18" x14ac:dyDescent="0.3">
      <c r="B799" t="s">
        <v>382</v>
      </c>
      <c r="C799" t="s">
        <v>383</v>
      </c>
      <c r="D799" t="s">
        <v>384</v>
      </c>
      <c r="E799" t="s">
        <v>385</v>
      </c>
      <c r="F799" t="s">
        <v>386</v>
      </c>
      <c r="G799" s="31" t="s">
        <v>387</v>
      </c>
      <c r="L799">
        <v>17</v>
      </c>
      <c r="M799">
        <v>17</v>
      </c>
      <c r="N799" t="s">
        <v>54</v>
      </c>
      <c r="O799">
        <v>5.19</v>
      </c>
      <c r="P799">
        <v>765.23299999999995</v>
      </c>
      <c r="Q799" t="s">
        <v>527</v>
      </c>
      <c r="R799" s="31">
        <v>0.12</v>
      </c>
    </row>
    <row r="800" spans="1:18" x14ac:dyDescent="0.3">
      <c r="A800">
        <v>1</v>
      </c>
      <c r="B800">
        <v>1</v>
      </c>
      <c r="C800" t="s">
        <v>0</v>
      </c>
      <c r="D800">
        <v>1.01</v>
      </c>
      <c r="E800">
        <v>3192.6990000000001</v>
      </c>
      <c r="F800" t="s">
        <v>388</v>
      </c>
      <c r="G800" s="31">
        <v>38.58</v>
      </c>
      <c r="L800">
        <v>18</v>
      </c>
      <c r="M800">
        <v>18</v>
      </c>
      <c r="N800" t="s">
        <v>55</v>
      </c>
      <c r="O800">
        <v>1.31</v>
      </c>
      <c r="P800">
        <v>3020.4479999999999</v>
      </c>
      <c r="Q800" t="s">
        <v>528</v>
      </c>
      <c r="R800" s="31">
        <v>0.21</v>
      </c>
    </row>
    <row r="801" spans="1:18" x14ac:dyDescent="0.3">
      <c r="A801">
        <v>2</v>
      </c>
      <c r="B801">
        <v>2</v>
      </c>
      <c r="C801" t="s">
        <v>1</v>
      </c>
      <c r="D801">
        <v>1.45</v>
      </c>
      <c r="E801">
        <v>2101.9090000000001</v>
      </c>
      <c r="F801" t="s">
        <v>389</v>
      </c>
      <c r="G801" s="31">
        <v>5.31</v>
      </c>
      <c r="L801">
        <v>19</v>
      </c>
      <c r="M801">
        <v>19</v>
      </c>
      <c r="N801" t="s">
        <v>56</v>
      </c>
      <c r="O801">
        <v>0.88</v>
      </c>
      <c r="P801">
        <v>49673.675999999999</v>
      </c>
      <c r="Q801" t="s">
        <v>529</v>
      </c>
      <c r="R801" s="31">
        <v>5.19</v>
      </c>
    </row>
    <row r="802" spans="1:18" x14ac:dyDescent="0.3">
      <c r="A802">
        <v>3</v>
      </c>
      <c r="B802">
        <v>3</v>
      </c>
      <c r="C802" t="s">
        <v>50</v>
      </c>
      <c r="D802">
        <v>3.57</v>
      </c>
      <c r="E802">
        <v>367.86500000000001</v>
      </c>
      <c r="F802" t="s">
        <v>390</v>
      </c>
      <c r="G802" s="31">
        <v>0.39</v>
      </c>
      <c r="L802">
        <v>20</v>
      </c>
      <c r="M802">
        <v>20</v>
      </c>
      <c r="N802" t="s">
        <v>57</v>
      </c>
      <c r="O802">
        <v>1.5</v>
      </c>
      <c r="P802">
        <v>107.354</v>
      </c>
      <c r="Q802" t="s">
        <v>530</v>
      </c>
      <c r="R802" s="31">
        <v>0.06</v>
      </c>
    </row>
    <row r="803" spans="1:18" x14ac:dyDescent="0.3">
      <c r="A803">
        <v>4</v>
      </c>
      <c r="B803">
        <v>4</v>
      </c>
      <c r="C803" t="s">
        <v>2</v>
      </c>
      <c r="D803">
        <v>3.69</v>
      </c>
      <c r="E803">
        <v>26958.940999999999</v>
      </c>
      <c r="F803" t="s">
        <v>391</v>
      </c>
      <c r="G803" s="31">
        <v>2.5299999999999998</v>
      </c>
      <c r="L803">
        <v>21</v>
      </c>
      <c r="M803">
        <v>21</v>
      </c>
      <c r="N803" t="s">
        <v>58</v>
      </c>
      <c r="O803">
        <v>2.4</v>
      </c>
      <c r="P803">
        <v>2.4260000000000002</v>
      </c>
      <c r="Q803" t="s">
        <v>531</v>
      </c>
      <c r="R803" s="31">
        <v>0.05</v>
      </c>
    </row>
    <row r="804" spans="1:18" x14ac:dyDescent="0.3">
      <c r="A804">
        <v>5</v>
      </c>
      <c r="B804">
        <v>5</v>
      </c>
      <c r="C804" t="s">
        <v>3</v>
      </c>
      <c r="D804">
        <v>4.4800000000000004</v>
      </c>
      <c r="E804">
        <v>467.78800000000001</v>
      </c>
      <c r="F804" t="s">
        <v>392</v>
      </c>
      <c r="G804" s="31">
        <v>0.98</v>
      </c>
      <c r="L804">
        <v>22</v>
      </c>
      <c r="M804">
        <v>22</v>
      </c>
      <c r="N804" t="s">
        <v>59</v>
      </c>
      <c r="O804">
        <v>2.5</v>
      </c>
      <c r="P804">
        <v>12058.916999999999</v>
      </c>
      <c r="Q804" t="s">
        <v>532</v>
      </c>
      <c r="R804" s="31">
        <v>2.74</v>
      </c>
    </row>
    <row r="805" spans="1:18" x14ac:dyDescent="0.3">
      <c r="A805">
        <v>6</v>
      </c>
      <c r="B805">
        <v>6</v>
      </c>
      <c r="C805" t="s">
        <v>4</v>
      </c>
      <c r="D805">
        <v>4.8</v>
      </c>
      <c r="E805">
        <v>26904.903999999999</v>
      </c>
      <c r="F805" t="s">
        <v>393</v>
      </c>
      <c r="G805" s="31">
        <v>2.09</v>
      </c>
      <c r="L805">
        <v>23</v>
      </c>
      <c r="M805">
        <v>23</v>
      </c>
      <c r="N805" t="s">
        <v>60</v>
      </c>
      <c r="O805">
        <v>2.61</v>
      </c>
      <c r="P805">
        <v>22063.955000000002</v>
      </c>
      <c r="Q805" t="s">
        <v>533</v>
      </c>
      <c r="R805" s="31">
        <v>2.7</v>
      </c>
    </row>
    <row r="806" spans="1:18" x14ac:dyDescent="0.3">
      <c r="A806">
        <v>7</v>
      </c>
      <c r="B806">
        <v>7</v>
      </c>
      <c r="C806" t="s">
        <v>5</v>
      </c>
      <c r="D806">
        <v>2.71</v>
      </c>
      <c r="E806">
        <v>4983.7529999999997</v>
      </c>
      <c r="F806" t="s">
        <v>394</v>
      </c>
      <c r="G806" s="31">
        <v>1.18</v>
      </c>
    </row>
    <row r="807" spans="1:18" x14ac:dyDescent="0.3">
      <c r="A807">
        <v>8</v>
      </c>
      <c r="B807">
        <v>8</v>
      </c>
      <c r="C807" t="s">
        <v>6</v>
      </c>
      <c r="D807">
        <v>0.66</v>
      </c>
      <c r="E807">
        <v>2813.2910000000002</v>
      </c>
      <c r="F807" t="s">
        <v>395</v>
      </c>
      <c r="G807" s="31">
        <v>50.73</v>
      </c>
      <c r="L807" t="s">
        <v>379</v>
      </c>
    </row>
    <row r="808" spans="1:18" x14ac:dyDescent="0.3">
      <c r="A808">
        <v>9</v>
      </c>
      <c r="B808">
        <v>9</v>
      </c>
      <c r="C808" t="s">
        <v>7</v>
      </c>
      <c r="D808">
        <v>3.56</v>
      </c>
      <c r="E808">
        <v>2695.7979999999998</v>
      </c>
      <c r="F808" t="s">
        <v>396</v>
      </c>
      <c r="G808" s="31">
        <v>10.43</v>
      </c>
    </row>
    <row r="809" spans="1:18" x14ac:dyDescent="0.3">
      <c r="A809">
        <v>10</v>
      </c>
      <c r="B809">
        <v>10</v>
      </c>
      <c r="C809" t="s">
        <v>51</v>
      </c>
      <c r="D809">
        <v>4.8</v>
      </c>
      <c r="E809">
        <v>746.69799999999998</v>
      </c>
      <c r="F809" t="s">
        <v>397</v>
      </c>
      <c r="G809" s="31">
        <v>0.23</v>
      </c>
      <c r="L809" t="s">
        <v>557</v>
      </c>
    </row>
    <row r="810" spans="1:18" x14ac:dyDescent="0.3">
      <c r="A810">
        <v>11</v>
      </c>
      <c r="B810">
        <v>11</v>
      </c>
      <c r="C810" t="s">
        <v>8</v>
      </c>
      <c r="D810">
        <v>2.73</v>
      </c>
      <c r="E810">
        <v>59633.938000000002</v>
      </c>
      <c r="F810" t="s">
        <v>398</v>
      </c>
      <c r="G810" s="31">
        <v>4.67</v>
      </c>
    </row>
    <row r="811" spans="1:18" x14ac:dyDescent="0.3">
      <c r="A811">
        <v>12</v>
      </c>
      <c r="B811">
        <v>12</v>
      </c>
      <c r="C811" t="s">
        <v>9</v>
      </c>
      <c r="D811">
        <v>2.61</v>
      </c>
      <c r="E811">
        <v>4014.1579999999999</v>
      </c>
      <c r="F811" t="s">
        <v>399</v>
      </c>
      <c r="G811" s="31">
        <v>2.34</v>
      </c>
      <c r="L811" t="s">
        <v>560</v>
      </c>
    </row>
    <row r="812" spans="1:18" x14ac:dyDescent="0.3">
      <c r="A812">
        <v>13</v>
      </c>
      <c r="B812">
        <v>13</v>
      </c>
      <c r="C812" t="s">
        <v>10</v>
      </c>
      <c r="D812">
        <v>4.08</v>
      </c>
      <c r="E812">
        <v>3003891.5</v>
      </c>
      <c r="F812" t="s">
        <v>400</v>
      </c>
      <c r="G812" s="31">
        <v>414.31</v>
      </c>
    </row>
    <row r="813" spans="1:18" x14ac:dyDescent="0.3">
      <c r="A813">
        <v>14</v>
      </c>
      <c r="B813">
        <v>14</v>
      </c>
      <c r="C813" t="s">
        <v>11</v>
      </c>
      <c r="D813">
        <v>3.52</v>
      </c>
      <c r="E813">
        <v>39.588000000000001</v>
      </c>
      <c r="F813" t="s">
        <v>401</v>
      </c>
      <c r="G813" s="31">
        <v>4.3600000000000003</v>
      </c>
      <c r="M813" t="s">
        <v>382</v>
      </c>
      <c r="N813" t="s">
        <v>383</v>
      </c>
      <c r="O813" t="s">
        <v>384</v>
      </c>
      <c r="P813" t="s">
        <v>385</v>
      </c>
      <c r="Q813" t="s">
        <v>386</v>
      </c>
      <c r="R813" s="31" t="s">
        <v>387</v>
      </c>
    </row>
    <row r="814" spans="1:18" x14ac:dyDescent="0.3">
      <c r="A814">
        <v>15</v>
      </c>
      <c r="B814">
        <v>15</v>
      </c>
      <c r="C814" t="s">
        <v>12</v>
      </c>
      <c r="D814">
        <v>3.32</v>
      </c>
      <c r="E814">
        <v>375.17399999999998</v>
      </c>
      <c r="F814" t="s">
        <v>402</v>
      </c>
      <c r="G814" s="31">
        <v>2.5099999999999998</v>
      </c>
      <c r="L814">
        <v>1</v>
      </c>
      <c r="M814">
        <v>1</v>
      </c>
      <c r="N814" t="s">
        <v>35</v>
      </c>
      <c r="O814">
        <v>1.44</v>
      </c>
      <c r="P814">
        <v>51769.559000000001</v>
      </c>
      <c r="Q814" t="s">
        <v>511</v>
      </c>
      <c r="R814" s="31">
        <v>12.71</v>
      </c>
    </row>
    <row r="815" spans="1:18" x14ac:dyDescent="0.3">
      <c r="A815">
        <v>16</v>
      </c>
      <c r="B815">
        <v>16</v>
      </c>
      <c r="C815" t="s">
        <v>13</v>
      </c>
      <c r="D815">
        <v>3.23</v>
      </c>
      <c r="E815">
        <v>11213.321</v>
      </c>
      <c r="F815" t="s">
        <v>403</v>
      </c>
      <c r="G815" s="31">
        <v>3.11</v>
      </c>
      <c r="L815">
        <v>2</v>
      </c>
      <c r="M815">
        <v>2</v>
      </c>
      <c r="N815" t="s">
        <v>36</v>
      </c>
      <c r="O815">
        <v>1.67</v>
      </c>
      <c r="P815">
        <v>1325296.5</v>
      </c>
      <c r="Q815" t="s">
        <v>512</v>
      </c>
      <c r="R815" s="31">
        <v>149.05000000000001</v>
      </c>
    </row>
    <row r="816" spans="1:18" x14ac:dyDescent="0.3">
      <c r="A816">
        <v>17</v>
      </c>
      <c r="B816">
        <v>17</v>
      </c>
      <c r="C816" t="s">
        <v>14</v>
      </c>
      <c r="D816">
        <v>2.0099999999999998</v>
      </c>
      <c r="E816">
        <v>65322.288999999997</v>
      </c>
      <c r="F816" t="s">
        <v>404</v>
      </c>
      <c r="G816" s="31">
        <v>14.81</v>
      </c>
      <c r="L816">
        <v>3</v>
      </c>
      <c r="M816">
        <v>3</v>
      </c>
      <c r="N816" t="s">
        <v>37</v>
      </c>
      <c r="O816">
        <v>1.81</v>
      </c>
      <c r="P816">
        <v>513.5</v>
      </c>
      <c r="Q816" t="s">
        <v>513</v>
      </c>
      <c r="R816" s="31">
        <v>0.13</v>
      </c>
    </row>
    <row r="817" spans="1:18" x14ac:dyDescent="0.3">
      <c r="A817">
        <v>18</v>
      </c>
      <c r="B817">
        <v>18</v>
      </c>
      <c r="C817" t="s">
        <v>15</v>
      </c>
      <c r="D817">
        <v>2.48</v>
      </c>
      <c r="E817">
        <v>56690.733999999997</v>
      </c>
      <c r="F817" t="s">
        <v>405</v>
      </c>
      <c r="G817" s="31">
        <v>39.21</v>
      </c>
      <c r="L817">
        <v>4</v>
      </c>
      <c r="M817">
        <v>4</v>
      </c>
      <c r="N817" t="s">
        <v>38</v>
      </c>
      <c r="O817">
        <v>1.19</v>
      </c>
      <c r="P817">
        <v>1843.048</v>
      </c>
      <c r="Q817" t="s">
        <v>514</v>
      </c>
      <c r="R817" s="31">
        <v>0.26</v>
      </c>
    </row>
    <row r="818" spans="1:18" x14ac:dyDescent="0.3">
      <c r="A818">
        <v>19</v>
      </c>
      <c r="B818">
        <v>19</v>
      </c>
      <c r="C818" t="s">
        <v>16</v>
      </c>
      <c r="D818">
        <v>2.7</v>
      </c>
      <c r="E818">
        <v>4781.1869999999999</v>
      </c>
      <c r="F818" t="s">
        <v>406</v>
      </c>
      <c r="G818" s="31">
        <v>0.44</v>
      </c>
      <c r="L818">
        <v>5</v>
      </c>
      <c r="M818">
        <v>5</v>
      </c>
      <c r="N818" t="s">
        <v>39</v>
      </c>
      <c r="O818">
        <v>1.38</v>
      </c>
      <c r="P818">
        <v>231747.125</v>
      </c>
      <c r="Q818" t="s">
        <v>515</v>
      </c>
      <c r="R818" s="31">
        <v>35.04</v>
      </c>
    </row>
    <row r="819" spans="1:18" x14ac:dyDescent="0.3">
      <c r="A819">
        <v>20</v>
      </c>
      <c r="B819">
        <v>20</v>
      </c>
      <c r="C819" t="s">
        <v>17</v>
      </c>
      <c r="D819">
        <v>3.13</v>
      </c>
      <c r="E819">
        <v>21356.081999999999</v>
      </c>
      <c r="F819" t="s">
        <v>407</v>
      </c>
      <c r="G819" s="31">
        <v>6.25</v>
      </c>
      <c r="L819">
        <v>6</v>
      </c>
      <c r="M819">
        <v>6</v>
      </c>
      <c r="N819" t="s">
        <v>40</v>
      </c>
      <c r="O819">
        <v>1.52</v>
      </c>
      <c r="P819">
        <v>14331.588</v>
      </c>
      <c r="Q819" t="s">
        <v>516</v>
      </c>
      <c r="R819" s="31">
        <v>1.22</v>
      </c>
    </row>
    <row r="820" spans="1:18" x14ac:dyDescent="0.3">
      <c r="A820">
        <v>21</v>
      </c>
      <c r="B820">
        <v>21</v>
      </c>
      <c r="C820" t="s">
        <v>18</v>
      </c>
      <c r="D820">
        <v>3.68</v>
      </c>
      <c r="E820">
        <v>28434.953000000001</v>
      </c>
      <c r="F820" t="s">
        <v>408</v>
      </c>
      <c r="G820" s="31">
        <v>1.95</v>
      </c>
      <c r="L820">
        <v>7</v>
      </c>
      <c r="M820">
        <v>7</v>
      </c>
      <c r="N820" t="s">
        <v>41</v>
      </c>
      <c r="O820">
        <v>2.2799999999999998</v>
      </c>
      <c r="P820">
        <v>3300.0279999999998</v>
      </c>
      <c r="Q820" t="s">
        <v>517</v>
      </c>
      <c r="R820" s="31">
        <v>2.56</v>
      </c>
    </row>
    <row r="821" spans="1:18" x14ac:dyDescent="0.3">
      <c r="A821">
        <v>22</v>
      </c>
      <c r="B821">
        <v>22</v>
      </c>
      <c r="C821" t="s">
        <v>19</v>
      </c>
      <c r="D821">
        <v>2.62</v>
      </c>
      <c r="E821">
        <v>33058.483999999997</v>
      </c>
      <c r="F821" t="s">
        <v>409</v>
      </c>
      <c r="G821" s="31">
        <v>5.63</v>
      </c>
      <c r="L821">
        <v>8</v>
      </c>
      <c r="M821">
        <v>8</v>
      </c>
      <c r="N821" t="s">
        <v>42</v>
      </c>
      <c r="O821">
        <v>0.88</v>
      </c>
      <c r="P821">
        <v>219.078</v>
      </c>
      <c r="Q821" t="s">
        <v>518</v>
      </c>
      <c r="R821" s="31">
        <v>14.92</v>
      </c>
    </row>
    <row r="822" spans="1:18" x14ac:dyDescent="0.3">
      <c r="A822">
        <v>23</v>
      </c>
      <c r="B822">
        <v>23</v>
      </c>
      <c r="C822" t="s">
        <v>20</v>
      </c>
      <c r="D822">
        <v>2.89</v>
      </c>
      <c r="E822">
        <v>25214.572</v>
      </c>
      <c r="F822" t="s">
        <v>410</v>
      </c>
      <c r="G822" s="31">
        <v>2.35</v>
      </c>
      <c r="L822">
        <v>9</v>
      </c>
      <c r="M822">
        <v>9</v>
      </c>
      <c r="N822" t="s">
        <v>43</v>
      </c>
      <c r="O822">
        <v>2.54</v>
      </c>
      <c r="P822">
        <v>11993.153</v>
      </c>
      <c r="Q822" t="s">
        <v>519</v>
      </c>
      <c r="R822" s="31">
        <v>0.16</v>
      </c>
    </row>
    <row r="823" spans="1:18" x14ac:dyDescent="0.3">
      <c r="A823">
        <v>24</v>
      </c>
      <c r="B823">
        <v>24</v>
      </c>
      <c r="C823" t="s">
        <v>21</v>
      </c>
      <c r="D823">
        <v>4.18</v>
      </c>
      <c r="E823">
        <v>18.527999999999999</v>
      </c>
      <c r="F823" t="s">
        <v>411</v>
      </c>
      <c r="G823" s="31">
        <v>0.1</v>
      </c>
      <c r="L823">
        <v>10</v>
      </c>
      <c r="M823">
        <v>10</v>
      </c>
      <c r="N823" t="s">
        <v>52</v>
      </c>
      <c r="O823">
        <v>4.12</v>
      </c>
      <c r="P823">
        <v>26019.752</v>
      </c>
      <c r="Q823" t="s">
        <v>520</v>
      </c>
      <c r="R823" s="31">
        <v>1.21</v>
      </c>
    </row>
    <row r="824" spans="1:18" x14ac:dyDescent="0.3">
      <c r="A824">
        <v>25</v>
      </c>
      <c r="B824">
        <v>25</v>
      </c>
      <c r="C824" t="s">
        <v>22</v>
      </c>
      <c r="D824">
        <v>3.42</v>
      </c>
      <c r="E824">
        <v>257.30399999999997</v>
      </c>
      <c r="F824" t="s">
        <v>412</v>
      </c>
      <c r="G824" s="31">
        <v>6.22</v>
      </c>
      <c r="L824">
        <v>11</v>
      </c>
      <c r="M824">
        <v>11</v>
      </c>
      <c r="N824" t="s">
        <v>44</v>
      </c>
      <c r="O824">
        <v>4.18</v>
      </c>
      <c r="P824">
        <v>2994.39</v>
      </c>
      <c r="Q824" t="s">
        <v>521</v>
      </c>
      <c r="R824" s="31">
        <v>0.35</v>
      </c>
    </row>
    <row r="825" spans="1:18" x14ac:dyDescent="0.3">
      <c r="A825">
        <v>26</v>
      </c>
      <c r="B825">
        <v>26</v>
      </c>
      <c r="C825" t="s">
        <v>23</v>
      </c>
      <c r="D825">
        <v>3.35</v>
      </c>
      <c r="E825">
        <v>136763.891</v>
      </c>
      <c r="F825" t="s">
        <v>413</v>
      </c>
      <c r="G825" s="31">
        <v>19.149999999999999</v>
      </c>
      <c r="L825">
        <v>12</v>
      </c>
      <c r="M825">
        <v>12</v>
      </c>
      <c r="N825" t="s">
        <v>45</v>
      </c>
      <c r="O825">
        <v>3.45</v>
      </c>
      <c r="P825">
        <v>1248765.75</v>
      </c>
      <c r="Q825" t="s">
        <v>522</v>
      </c>
      <c r="R825" s="31">
        <v>22.41</v>
      </c>
    </row>
    <row r="826" spans="1:18" x14ac:dyDescent="0.3">
      <c r="A826">
        <v>27</v>
      </c>
      <c r="B826">
        <v>27</v>
      </c>
      <c r="C826" t="s">
        <v>24</v>
      </c>
      <c r="D826">
        <v>3.44</v>
      </c>
      <c r="E826">
        <v>1208.829</v>
      </c>
      <c r="F826" t="s">
        <v>414</v>
      </c>
      <c r="G826" s="31">
        <v>1.21</v>
      </c>
      <c r="L826">
        <v>13</v>
      </c>
      <c r="M826">
        <v>13</v>
      </c>
      <c r="N826" t="s">
        <v>46</v>
      </c>
      <c r="O826">
        <v>2.59</v>
      </c>
      <c r="P826">
        <v>125916.352</v>
      </c>
      <c r="Q826" t="s">
        <v>523</v>
      </c>
      <c r="R826" s="31">
        <v>4.75</v>
      </c>
    </row>
    <row r="827" spans="1:18" x14ac:dyDescent="0.3">
      <c r="A827">
        <v>28</v>
      </c>
      <c r="B827">
        <v>28</v>
      </c>
      <c r="C827" t="s">
        <v>25</v>
      </c>
      <c r="D827">
        <v>3.51</v>
      </c>
      <c r="E827">
        <v>6037.143</v>
      </c>
      <c r="F827" t="s">
        <v>415</v>
      </c>
      <c r="G827" s="31">
        <v>1.61</v>
      </c>
      <c r="L827">
        <v>14</v>
      </c>
      <c r="M827">
        <v>14</v>
      </c>
      <c r="N827" t="s">
        <v>47</v>
      </c>
      <c r="O827">
        <v>0.68</v>
      </c>
      <c r="P827">
        <v>24415.945</v>
      </c>
      <c r="Q827" t="s">
        <v>524</v>
      </c>
      <c r="R827" s="31">
        <v>9.31</v>
      </c>
    </row>
    <row r="828" spans="1:18" x14ac:dyDescent="0.3">
      <c r="A828">
        <v>29</v>
      </c>
      <c r="B828">
        <v>29</v>
      </c>
      <c r="C828" t="s">
        <v>26</v>
      </c>
      <c r="D828">
        <v>1.03</v>
      </c>
      <c r="E828">
        <v>1573.9449999999999</v>
      </c>
      <c r="F828" t="s">
        <v>416</v>
      </c>
      <c r="G828" s="31">
        <v>2.64</v>
      </c>
      <c r="L828">
        <v>15</v>
      </c>
      <c r="M828">
        <v>15</v>
      </c>
      <c r="N828" t="s">
        <v>48</v>
      </c>
      <c r="O828">
        <v>1.21</v>
      </c>
      <c r="P828">
        <v>17273.48</v>
      </c>
      <c r="Q828" t="s">
        <v>525</v>
      </c>
      <c r="R828" s="31">
        <v>1.97</v>
      </c>
    </row>
    <row r="829" spans="1:18" x14ac:dyDescent="0.3">
      <c r="A829">
        <v>30</v>
      </c>
      <c r="B829">
        <v>30</v>
      </c>
      <c r="C829" t="s">
        <v>27</v>
      </c>
      <c r="D829">
        <v>4.32</v>
      </c>
      <c r="E829">
        <v>1409.789</v>
      </c>
      <c r="F829" t="s">
        <v>417</v>
      </c>
      <c r="G829" s="31">
        <v>0.17</v>
      </c>
      <c r="L829">
        <v>16</v>
      </c>
      <c r="M829">
        <v>16</v>
      </c>
      <c r="N829" t="s">
        <v>53</v>
      </c>
      <c r="O829">
        <v>4.55</v>
      </c>
      <c r="P829">
        <v>77300.656000000003</v>
      </c>
      <c r="Q829" t="s">
        <v>526</v>
      </c>
      <c r="R829" s="31">
        <v>0.9</v>
      </c>
    </row>
    <row r="830" spans="1:18" x14ac:dyDescent="0.3">
      <c r="A830">
        <v>31</v>
      </c>
      <c r="B830">
        <v>31</v>
      </c>
      <c r="C830" t="s">
        <v>28</v>
      </c>
      <c r="D830">
        <v>3</v>
      </c>
      <c r="E830">
        <v>93580</v>
      </c>
      <c r="F830" t="s">
        <v>418</v>
      </c>
      <c r="G830" s="31">
        <v>0.7</v>
      </c>
      <c r="L830">
        <v>17</v>
      </c>
      <c r="M830">
        <v>17</v>
      </c>
      <c r="N830" t="s">
        <v>54</v>
      </c>
      <c r="O830">
        <v>5.28</v>
      </c>
      <c r="P830">
        <v>87.703000000000003</v>
      </c>
      <c r="Q830" t="s">
        <v>527</v>
      </c>
      <c r="R830" s="31">
        <v>0.1</v>
      </c>
    </row>
    <row r="831" spans="1:18" x14ac:dyDescent="0.3">
      <c r="A831">
        <v>32</v>
      </c>
      <c r="B831">
        <v>32</v>
      </c>
      <c r="C831" t="s">
        <v>29</v>
      </c>
      <c r="D831">
        <v>3.35</v>
      </c>
      <c r="E831">
        <v>673.654</v>
      </c>
      <c r="F831" t="s">
        <v>419</v>
      </c>
      <c r="G831" s="31">
        <v>0.18</v>
      </c>
      <c r="L831">
        <v>18</v>
      </c>
      <c r="M831">
        <v>18</v>
      </c>
      <c r="N831" t="s">
        <v>55</v>
      </c>
      <c r="O831">
        <v>1.32</v>
      </c>
      <c r="P831">
        <v>2409.0700000000002</v>
      </c>
      <c r="Q831" t="s">
        <v>528</v>
      </c>
      <c r="R831" s="31">
        <v>0.08</v>
      </c>
    </row>
    <row r="832" spans="1:18" x14ac:dyDescent="0.3">
      <c r="A832">
        <v>33</v>
      </c>
      <c r="B832">
        <v>33</v>
      </c>
      <c r="C832" t="s">
        <v>30</v>
      </c>
      <c r="D832">
        <v>4.67</v>
      </c>
      <c r="E832">
        <v>108751.266</v>
      </c>
      <c r="F832" t="s">
        <v>420</v>
      </c>
      <c r="G832" s="31">
        <v>3.34</v>
      </c>
      <c r="L832">
        <v>19</v>
      </c>
      <c r="M832">
        <v>19</v>
      </c>
      <c r="N832" t="s">
        <v>56</v>
      </c>
      <c r="O832">
        <v>0.87</v>
      </c>
      <c r="P832">
        <v>15051.593999999999</v>
      </c>
      <c r="Q832" t="s">
        <v>529</v>
      </c>
      <c r="R832" s="31">
        <v>0.38</v>
      </c>
    </row>
    <row r="833" spans="1:18" x14ac:dyDescent="0.3">
      <c r="A833">
        <v>34</v>
      </c>
      <c r="B833">
        <v>34</v>
      </c>
      <c r="C833" t="s">
        <v>31</v>
      </c>
      <c r="D833">
        <v>3.26</v>
      </c>
      <c r="E833">
        <v>5908.5439999999999</v>
      </c>
      <c r="F833" t="s">
        <v>421</v>
      </c>
      <c r="G833" s="31">
        <v>0.76</v>
      </c>
      <c r="L833">
        <v>20</v>
      </c>
      <c r="M833">
        <v>20</v>
      </c>
      <c r="N833" t="s">
        <v>57</v>
      </c>
      <c r="O833">
        <v>1.51</v>
      </c>
      <c r="P833">
        <v>426.23399999999998</v>
      </c>
      <c r="Q833" t="s">
        <v>530</v>
      </c>
      <c r="R833" s="31">
        <v>0.13</v>
      </c>
    </row>
    <row r="834" spans="1:18" x14ac:dyDescent="0.3">
      <c r="A834">
        <v>35</v>
      </c>
      <c r="B834">
        <v>35</v>
      </c>
      <c r="C834" t="s">
        <v>32</v>
      </c>
      <c r="D834">
        <v>3.07</v>
      </c>
      <c r="E834">
        <v>308.005</v>
      </c>
      <c r="F834" t="s">
        <v>422</v>
      </c>
      <c r="G834" s="31">
        <v>0.05</v>
      </c>
      <c r="L834">
        <v>21</v>
      </c>
      <c r="M834">
        <v>21</v>
      </c>
      <c r="N834" t="s">
        <v>58</v>
      </c>
      <c r="O834">
        <v>2.33</v>
      </c>
      <c r="P834">
        <v>1336.49</v>
      </c>
      <c r="Q834" t="s">
        <v>531</v>
      </c>
      <c r="R834" s="31">
        <v>0.62</v>
      </c>
    </row>
    <row r="835" spans="1:18" x14ac:dyDescent="0.3">
      <c r="A835">
        <v>36</v>
      </c>
      <c r="B835">
        <v>36</v>
      </c>
      <c r="C835" t="s">
        <v>33</v>
      </c>
      <c r="D835">
        <v>1.9</v>
      </c>
      <c r="E835">
        <v>857.53300000000002</v>
      </c>
      <c r="F835" t="s">
        <v>423</v>
      </c>
      <c r="G835" s="31">
        <v>0.88</v>
      </c>
      <c r="L835">
        <v>22</v>
      </c>
      <c r="M835">
        <v>22</v>
      </c>
      <c r="N835" t="s">
        <v>59</v>
      </c>
      <c r="O835">
        <v>2.5</v>
      </c>
      <c r="P835">
        <v>19787.493999999999</v>
      </c>
      <c r="Q835" t="s">
        <v>532</v>
      </c>
      <c r="R835" s="31">
        <v>2.15</v>
      </c>
    </row>
    <row r="836" spans="1:18" x14ac:dyDescent="0.3">
      <c r="G836" s="31">
        <f>G813/G815</f>
        <v>1.401929260450161</v>
      </c>
      <c r="L836">
        <v>23</v>
      </c>
      <c r="M836">
        <v>23</v>
      </c>
      <c r="N836" t="s">
        <v>60</v>
      </c>
      <c r="O836">
        <v>2.66</v>
      </c>
      <c r="P836">
        <v>18886.41</v>
      </c>
      <c r="Q836" t="s">
        <v>533</v>
      </c>
      <c r="R836" s="31">
        <v>1.07</v>
      </c>
    </row>
    <row r="837" spans="1:18" x14ac:dyDescent="0.3">
      <c r="A837" t="s">
        <v>379</v>
      </c>
    </row>
    <row r="838" spans="1:18" x14ac:dyDescent="0.3">
      <c r="L838" t="s">
        <v>379</v>
      </c>
    </row>
    <row r="839" spans="1:18" x14ac:dyDescent="0.3">
      <c r="A839" t="s">
        <v>380</v>
      </c>
    </row>
    <row r="840" spans="1:18" x14ac:dyDescent="0.3">
      <c r="L840" t="s">
        <v>557</v>
      </c>
    </row>
    <row r="841" spans="1:18" x14ac:dyDescent="0.3">
      <c r="A841" t="s">
        <v>442</v>
      </c>
    </row>
    <row r="842" spans="1:18" x14ac:dyDescent="0.3">
      <c r="L842" t="s">
        <v>561</v>
      </c>
    </row>
    <row r="843" spans="1:18" x14ac:dyDescent="0.3">
      <c r="B843" t="s">
        <v>382</v>
      </c>
      <c r="C843" t="s">
        <v>383</v>
      </c>
      <c r="D843" t="s">
        <v>384</v>
      </c>
      <c r="E843" t="s">
        <v>385</v>
      </c>
      <c r="F843" t="s">
        <v>386</v>
      </c>
      <c r="G843" s="31" t="s">
        <v>387</v>
      </c>
    </row>
    <row r="844" spans="1:18" x14ac:dyDescent="0.3">
      <c r="A844">
        <v>1</v>
      </c>
      <c r="B844">
        <v>1</v>
      </c>
      <c r="C844" t="s">
        <v>0</v>
      </c>
      <c r="D844">
        <v>1.01</v>
      </c>
      <c r="E844">
        <v>1026.4190000000001</v>
      </c>
      <c r="F844" t="s">
        <v>388</v>
      </c>
      <c r="G844" s="31">
        <v>13.56</v>
      </c>
      <c r="M844" t="s">
        <v>382</v>
      </c>
      <c r="N844" t="s">
        <v>383</v>
      </c>
      <c r="O844" t="s">
        <v>384</v>
      </c>
      <c r="P844" t="s">
        <v>385</v>
      </c>
      <c r="Q844" t="s">
        <v>386</v>
      </c>
      <c r="R844" s="31" t="s">
        <v>387</v>
      </c>
    </row>
    <row r="845" spans="1:18" x14ac:dyDescent="0.3">
      <c r="A845">
        <v>2</v>
      </c>
      <c r="B845">
        <v>2</v>
      </c>
      <c r="C845" t="s">
        <v>1</v>
      </c>
      <c r="D845">
        <v>1.46</v>
      </c>
      <c r="E845">
        <v>1664.2829999999999</v>
      </c>
      <c r="F845" t="s">
        <v>389</v>
      </c>
      <c r="G845" s="31">
        <v>4.99</v>
      </c>
      <c r="L845">
        <v>1</v>
      </c>
      <c r="M845">
        <v>1</v>
      </c>
      <c r="N845" t="s">
        <v>35</v>
      </c>
      <c r="O845">
        <v>1.38</v>
      </c>
      <c r="P845">
        <v>44.277999999999999</v>
      </c>
      <c r="Q845" t="s">
        <v>511</v>
      </c>
      <c r="R845" s="31">
        <v>81.99</v>
      </c>
    </row>
    <row r="846" spans="1:18" x14ac:dyDescent="0.3">
      <c r="A846">
        <v>3</v>
      </c>
      <c r="B846">
        <v>3</v>
      </c>
      <c r="C846" t="s">
        <v>50</v>
      </c>
      <c r="D846">
        <v>3.56</v>
      </c>
      <c r="E846">
        <v>218.828</v>
      </c>
      <c r="F846" t="s">
        <v>390</v>
      </c>
      <c r="G846" s="31">
        <v>0.28000000000000003</v>
      </c>
      <c r="L846">
        <v>2</v>
      </c>
      <c r="M846">
        <v>2</v>
      </c>
      <c r="N846" t="s">
        <v>36</v>
      </c>
      <c r="O846">
        <v>1.72</v>
      </c>
      <c r="P846">
        <v>79.174999999999997</v>
      </c>
      <c r="Q846" t="s">
        <v>512</v>
      </c>
      <c r="R846" s="31">
        <v>427.79</v>
      </c>
    </row>
    <row r="847" spans="1:18" x14ac:dyDescent="0.3">
      <c r="A847">
        <v>4</v>
      </c>
      <c r="B847">
        <v>4</v>
      </c>
      <c r="C847" t="s">
        <v>2</v>
      </c>
      <c r="D847">
        <v>3.7</v>
      </c>
      <c r="E847">
        <v>10613.106</v>
      </c>
      <c r="F847" t="s">
        <v>391</v>
      </c>
      <c r="G847" s="31">
        <v>1.23</v>
      </c>
      <c r="L847">
        <v>3</v>
      </c>
      <c r="M847">
        <v>3</v>
      </c>
      <c r="N847" t="s">
        <v>37</v>
      </c>
      <c r="Q847" t="s">
        <v>513</v>
      </c>
      <c r="R847" s="31">
        <v>0.1</v>
      </c>
    </row>
    <row r="848" spans="1:18" x14ac:dyDescent="0.3">
      <c r="A848">
        <v>5</v>
      </c>
      <c r="B848">
        <v>5</v>
      </c>
      <c r="C848" t="s">
        <v>3</v>
      </c>
      <c r="D848">
        <v>4.4800000000000004</v>
      </c>
      <c r="E848">
        <v>260.80500000000001</v>
      </c>
      <c r="F848" t="s">
        <v>392</v>
      </c>
      <c r="G848" s="31">
        <v>0.28000000000000003</v>
      </c>
      <c r="L848">
        <v>4</v>
      </c>
      <c r="M848">
        <v>4</v>
      </c>
      <c r="N848" t="s">
        <v>38</v>
      </c>
      <c r="O848">
        <v>1.0900000000000001</v>
      </c>
      <c r="P848">
        <v>69.326999999999998</v>
      </c>
      <c r="Q848" t="s">
        <v>514</v>
      </c>
      <c r="R848" s="31">
        <v>0.69</v>
      </c>
    </row>
    <row r="849" spans="1:18" x14ac:dyDescent="0.3">
      <c r="A849">
        <v>6</v>
      </c>
      <c r="B849">
        <v>6</v>
      </c>
      <c r="C849" t="s">
        <v>4</v>
      </c>
      <c r="D849">
        <v>4.8099999999999996</v>
      </c>
      <c r="E849">
        <v>16872.026999999998</v>
      </c>
      <c r="F849" t="s">
        <v>393</v>
      </c>
      <c r="G849" s="31">
        <v>1.68</v>
      </c>
      <c r="L849">
        <v>5</v>
      </c>
      <c r="M849">
        <v>5</v>
      </c>
      <c r="N849" t="s">
        <v>39</v>
      </c>
      <c r="O849">
        <v>1.36</v>
      </c>
      <c r="P849">
        <v>117.267</v>
      </c>
      <c r="Q849" t="s">
        <v>515</v>
      </c>
      <c r="R849" s="31">
        <v>45.99</v>
      </c>
    </row>
    <row r="850" spans="1:18" x14ac:dyDescent="0.3">
      <c r="A850">
        <v>7</v>
      </c>
      <c r="B850">
        <v>7</v>
      </c>
      <c r="C850" t="s">
        <v>5</v>
      </c>
      <c r="D850">
        <v>2.71</v>
      </c>
      <c r="E850">
        <v>227.24600000000001</v>
      </c>
      <c r="F850" t="s">
        <v>394</v>
      </c>
      <c r="G850" s="31">
        <v>7.0000000000000007E-2</v>
      </c>
      <c r="L850">
        <v>6</v>
      </c>
      <c r="M850">
        <v>6</v>
      </c>
      <c r="N850" t="s">
        <v>40</v>
      </c>
      <c r="Q850" t="s">
        <v>516</v>
      </c>
      <c r="R850" s="31">
        <v>0.1</v>
      </c>
    </row>
    <row r="851" spans="1:18" x14ac:dyDescent="0.3">
      <c r="A851">
        <v>8</v>
      </c>
      <c r="B851">
        <v>8</v>
      </c>
      <c r="C851" t="s">
        <v>6</v>
      </c>
      <c r="D851">
        <v>0.66</v>
      </c>
      <c r="E851">
        <v>3478.473</v>
      </c>
      <c r="F851" t="s">
        <v>395</v>
      </c>
      <c r="G851" s="31">
        <v>70.55</v>
      </c>
      <c r="L851">
        <v>7</v>
      </c>
      <c r="M851">
        <v>7</v>
      </c>
      <c r="N851" t="s">
        <v>41</v>
      </c>
      <c r="Q851" t="s">
        <v>517</v>
      </c>
      <c r="R851" s="31">
        <v>0.1</v>
      </c>
    </row>
    <row r="852" spans="1:18" x14ac:dyDescent="0.3">
      <c r="A852">
        <v>9</v>
      </c>
      <c r="B852">
        <v>9</v>
      </c>
      <c r="C852" t="s">
        <v>7</v>
      </c>
      <c r="D852">
        <v>3.56</v>
      </c>
      <c r="E852">
        <v>885.80700000000002</v>
      </c>
      <c r="F852" t="s">
        <v>396</v>
      </c>
      <c r="G852" s="31">
        <v>4.04</v>
      </c>
      <c r="L852">
        <v>8</v>
      </c>
      <c r="M852">
        <v>8</v>
      </c>
      <c r="N852" t="s">
        <v>42</v>
      </c>
      <c r="Q852" t="s">
        <v>518</v>
      </c>
      <c r="R852" s="31">
        <v>0.1</v>
      </c>
    </row>
    <row r="853" spans="1:18" x14ac:dyDescent="0.3">
      <c r="A853">
        <v>10</v>
      </c>
      <c r="B853">
        <v>10</v>
      </c>
      <c r="C853" t="s">
        <v>51</v>
      </c>
      <c r="D853">
        <v>4.79</v>
      </c>
      <c r="E853">
        <v>220.84299999999999</v>
      </c>
      <c r="F853" t="s">
        <v>397</v>
      </c>
      <c r="G853" s="31">
        <v>0.09</v>
      </c>
      <c r="L853">
        <v>9</v>
      </c>
      <c r="M853">
        <v>9</v>
      </c>
      <c r="N853" t="s">
        <v>43</v>
      </c>
      <c r="O853">
        <v>2.52</v>
      </c>
      <c r="P853">
        <v>38.039000000000001</v>
      </c>
      <c r="Q853" t="s">
        <v>519</v>
      </c>
      <c r="R853" s="31">
        <v>0.12</v>
      </c>
    </row>
    <row r="854" spans="1:18" x14ac:dyDescent="0.3">
      <c r="A854">
        <v>11</v>
      </c>
      <c r="B854">
        <v>11</v>
      </c>
      <c r="C854" t="s">
        <v>8</v>
      </c>
      <c r="D854">
        <v>2.74</v>
      </c>
      <c r="E854">
        <v>15047.115</v>
      </c>
      <c r="F854" t="s">
        <v>398</v>
      </c>
      <c r="G854" s="31">
        <v>1.62</v>
      </c>
      <c r="L854">
        <v>10</v>
      </c>
      <c r="M854">
        <v>10</v>
      </c>
      <c r="N854" t="s">
        <v>52</v>
      </c>
      <c r="O854">
        <v>4.2300000000000004</v>
      </c>
      <c r="P854">
        <v>149.56800000000001</v>
      </c>
      <c r="Q854" t="s">
        <v>520</v>
      </c>
      <c r="R854" s="31">
        <v>0.1</v>
      </c>
    </row>
    <row r="855" spans="1:18" x14ac:dyDescent="0.3">
      <c r="A855">
        <v>12</v>
      </c>
      <c r="B855">
        <v>12</v>
      </c>
      <c r="C855" t="s">
        <v>9</v>
      </c>
      <c r="D855">
        <v>2.63</v>
      </c>
      <c r="E855">
        <v>2226.3739999999998</v>
      </c>
      <c r="F855" t="s">
        <v>399</v>
      </c>
      <c r="G855" s="31">
        <v>1.74</v>
      </c>
      <c r="L855">
        <v>11</v>
      </c>
      <c r="M855">
        <v>11</v>
      </c>
      <c r="N855" t="s">
        <v>44</v>
      </c>
      <c r="Q855" t="s">
        <v>521</v>
      </c>
      <c r="R855" s="31">
        <v>0.1</v>
      </c>
    </row>
    <row r="856" spans="1:18" x14ac:dyDescent="0.3">
      <c r="A856">
        <v>13</v>
      </c>
      <c r="B856">
        <v>13</v>
      </c>
      <c r="C856" t="s">
        <v>10</v>
      </c>
      <c r="D856">
        <v>4.07</v>
      </c>
      <c r="E856">
        <v>2375337.5</v>
      </c>
      <c r="F856" t="s">
        <v>400</v>
      </c>
      <c r="G856" s="31">
        <v>367.77</v>
      </c>
      <c r="L856">
        <v>12</v>
      </c>
      <c r="M856">
        <v>12</v>
      </c>
      <c r="N856" t="s">
        <v>45</v>
      </c>
      <c r="O856">
        <v>3.5</v>
      </c>
      <c r="P856">
        <v>46.905000000000001</v>
      </c>
      <c r="Q856" t="s">
        <v>522</v>
      </c>
      <c r="R856" s="31">
        <v>0.1</v>
      </c>
    </row>
    <row r="857" spans="1:18" x14ac:dyDescent="0.3">
      <c r="A857">
        <v>14</v>
      </c>
      <c r="B857">
        <v>14</v>
      </c>
      <c r="C857" t="s">
        <v>11</v>
      </c>
      <c r="D857">
        <v>3.52</v>
      </c>
      <c r="E857">
        <v>17.847999999999999</v>
      </c>
      <c r="F857" t="s">
        <v>401</v>
      </c>
      <c r="G857" s="31">
        <v>3.27</v>
      </c>
      <c r="L857">
        <v>13</v>
      </c>
      <c r="M857">
        <v>13</v>
      </c>
      <c r="N857" t="s">
        <v>46</v>
      </c>
      <c r="O857">
        <v>2.57</v>
      </c>
      <c r="P857">
        <v>5748.0569999999998</v>
      </c>
      <c r="Q857" t="s">
        <v>523</v>
      </c>
      <c r="R857" s="31">
        <v>0.1</v>
      </c>
    </row>
    <row r="858" spans="1:18" x14ac:dyDescent="0.3">
      <c r="A858">
        <v>15</v>
      </c>
      <c r="B858">
        <v>15</v>
      </c>
      <c r="C858" t="s">
        <v>12</v>
      </c>
      <c r="D858">
        <v>3.33</v>
      </c>
      <c r="E858">
        <v>466.65300000000002</v>
      </c>
      <c r="F858" t="s">
        <v>402</v>
      </c>
      <c r="G858" s="31">
        <v>3.54</v>
      </c>
      <c r="L858">
        <v>14</v>
      </c>
      <c r="M858">
        <v>14</v>
      </c>
      <c r="N858" t="s">
        <v>47</v>
      </c>
      <c r="Q858" t="s">
        <v>524</v>
      </c>
      <c r="R858" s="31">
        <v>0.1</v>
      </c>
    </row>
    <row r="859" spans="1:18" x14ac:dyDescent="0.3">
      <c r="A859">
        <v>16</v>
      </c>
      <c r="B859">
        <v>16</v>
      </c>
      <c r="C859" t="s">
        <v>13</v>
      </c>
      <c r="D859">
        <v>3.24</v>
      </c>
      <c r="E859">
        <v>2085.0610000000001</v>
      </c>
      <c r="F859" t="s">
        <v>403</v>
      </c>
      <c r="G859" s="31">
        <v>1.03</v>
      </c>
      <c r="L859">
        <v>15</v>
      </c>
      <c r="M859">
        <v>15</v>
      </c>
      <c r="N859" t="s">
        <v>48</v>
      </c>
      <c r="O859">
        <v>1.25</v>
      </c>
      <c r="P859">
        <v>9.3689999999999998</v>
      </c>
      <c r="Q859" t="s">
        <v>525</v>
      </c>
      <c r="R859" s="31">
        <v>0.1</v>
      </c>
    </row>
    <row r="860" spans="1:18" x14ac:dyDescent="0.3">
      <c r="A860">
        <v>17</v>
      </c>
      <c r="B860">
        <v>17</v>
      </c>
      <c r="C860" t="s">
        <v>14</v>
      </c>
      <c r="D860">
        <v>2.0099999999999998</v>
      </c>
      <c r="E860">
        <v>6439.8220000000001</v>
      </c>
      <c r="F860" t="s">
        <v>404</v>
      </c>
      <c r="G860" s="31">
        <v>2.31</v>
      </c>
      <c r="L860">
        <v>16</v>
      </c>
      <c r="M860">
        <v>16</v>
      </c>
      <c r="N860" t="s">
        <v>53</v>
      </c>
      <c r="O860">
        <v>4.5999999999999996</v>
      </c>
      <c r="P860">
        <v>33.905000000000001</v>
      </c>
      <c r="Q860" t="s">
        <v>526</v>
      </c>
      <c r="R860" s="31">
        <v>0.1</v>
      </c>
    </row>
    <row r="861" spans="1:18" x14ac:dyDescent="0.3">
      <c r="A861">
        <v>18</v>
      </c>
      <c r="B861">
        <v>18</v>
      </c>
      <c r="C861" t="s">
        <v>15</v>
      </c>
      <c r="D861">
        <v>2.5</v>
      </c>
      <c r="E861">
        <v>9283.3119999999999</v>
      </c>
      <c r="F861" t="s">
        <v>405</v>
      </c>
      <c r="G861" s="31">
        <v>9.24</v>
      </c>
      <c r="L861">
        <v>17</v>
      </c>
      <c r="M861">
        <v>17</v>
      </c>
      <c r="N861" t="s">
        <v>54</v>
      </c>
      <c r="O861">
        <v>5.23</v>
      </c>
      <c r="P861">
        <v>231.75399999999999</v>
      </c>
      <c r="Q861" t="s">
        <v>527</v>
      </c>
      <c r="R861" s="31">
        <v>0.1</v>
      </c>
    </row>
    <row r="862" spans="1:18" x14ac:dyDescent="0.3">
      <c r="A862">
        <v>19</v>
      </c>
      <c r="B862">
        <v>19</v>
      </c>
      <c r="C862" t="s">
        <v>16</v>
      </c>
      <c r="D862">
        <v>2.72</v>
      </c>
      <c r="E862">
        <v>460.50299999999999</v>
      </c>
      <c r="F862" t="s">
        <v>406</v>
      </c>
      <c r="G862" s="31">
        <v>0.11</v>
      </c>
      <c r="L862">
        <v>18</v>
      </c>
      <c r="M862">
        <v>18</v>
      </c>
      <c r="N862" t="s">
        <v>55</v>
      </c>
      <c r="Q862" t="s">
        <v>528</v>
      </c>
      <c r="R862" s="31">
        <v>0.1</v>
      </c>
    </row>
    <row r="863" spans="1:18" x14ac:dyDescent="0.3">
      <c r="A863">
        <v>20</v>
      </c>
      <c r="B863">
        <v>20</v>
      </c>
      <c r="C863" t="s">
        <v>17</v>
      </c>
      <c r="D863">
        <v>3.13</v>
      </c>
      <c r="E863">
        <v>5507.3720000000003</v>
      </c>
      <c r="F863" t="s">
        <v>407</v>
      </c>
      <c r="G863" s="31">
        <v>1.75</v>
      </c>
      <c r="L863">
        <v>19</v>
      </c>
      <c r="M863">
        <v>19</v>
      </c>
      <c r="N863" t="s">
        <v>56</v>
      </c>
      <c r="O863">
        <v>0.88</v>
      </c>
      <c r="P863">
        <v>41.255000000000003</v>
      </c>
      <c r="Q863" t="s">
        <v>529</v>
      </c>
      <c r="R863" s="31">
        <v>0.1</v>
      </c>
    </row>
    <row r="864" spans="1:18" x14ac:dyDescent="0.3">
      <c r="A864">
        <v>21</v>
      </c>
      <c r="B864">
        <v>21</v>
      </c>
      <c r="C864" t="s">
        <v>18</v>
      </c>
      <c r="D864">
        <v>3.68</v>
      </c>
      <c r="E864">
        <v>3676.26</v>
      </c>
      <c r="F864" t="s">
        <v>408</v>
      </c>
      <c r="G864" s="31">
        <v>0.28000000000000003</v>
      </c>
      <c r="L864">
        <v>20</v>
      </c>
      <c r="M864">
        <v>20</v>
      </c>
      <c r="N864" t="s">
        <v>57</v>
      </c>
      <c r="Q864" t="s">
        <v>530</v>
      </c>
      <c r="R864" s="31">
        <v>0.1</v>
      </c>
    </row>
    <row r="865" spans="1:18" x14ac:dyDescent="0.3">
      <c r="A865">
        <v>22</v>
      </c>
      <c r="B865">
        <v>22</v>
      </c>
      <c r="C865" t="s">
        <v>19</v>
      </c>
      <c r="D865">
        <v>2.64</v>
      </c>
      <c r="E865">
        <v>13352.828</v>
      </c>
      <c r="F865" t="s">
        <v>409</v>
      </c>
      <c r="G865" s="31">
        <v>3.37</v>
      </c>
      <c r="L865">
        <v>21</v>
      </c>
      <c r="M865">
        <v>21</v>
      </c>
      <c r="N865" t="s">
        <v>58</v>
      </c>
      <c r="Q865" t="s">
        <v>531</v>
      </c>
      <c r="R865" s="31">
        <v>0.1</v>
      </c>
    </row>
    <row r="866" spans="1:18" x14ac:dyDescent="0.3">
      <c r="A866">
        <v>23</v>
      </c>
      <c r="B866">
        <v>23</v>
      </c>
      <c r="C866" t="s">
        <v>20</v>
      </c>
      <c r="D866">
        <v>2.89</v>
      </c>
      <c r="E866">
        <v>6055.5029999999997</v>
      </c>
      <c r="F866" t="s">
        <v>410</v>
      </c>
      <c r="G866" s="31">
        <v>0.78</v>
      </c>
      <c r="L866">
        <v>22</v>
      </c>
      <c r="M866">
        <v>22</v>
      </c>
      <c r="N866" t="s">
        <v>59</v>
      </c>
      <c r="Q866" t="s">
        <v>532</v>
      </c>
      <c r="R866" s="31">
        <v>0.1</v>
      </c>
    </row>
    <row r="867" spans="1:18" x14ac:dyDescent="0.3">
      <c r="A867">
        <v>24</v>
      </c>
      <c r="B867">
        <v>24</v>
      </c>
      <c r="C867" t="s">
        <v>21</v>
      </c>
      <c r="D867">
        <v>4.1500000000000004</v>
      </c>
      <c r="E867">
        <v>33.268000000000001</v>
      </c>
      <c r="F867" t="s">
        <v>411</v>
      </c>
      <c r="G867" s="31">
        <v>0.1</v>
      </c>
      <c r="L867">
        <v>23</v>
      </c>
      <c r="M867">
        <v>23</v>
      </c>
      <c r="N867" t="s">
        <v>60</v>
      </c>
      <c r="O867">
        <v>2.58</v>
      </c>
      <c r="P867">
        <v>48.749000000000002</v>
      </c>
      <c r="Q867" t="s">
        <v>533</v>
      </c>
      <c r="R867" s="31">
        <v>2.02</v>
      </c>
    </row>
    <row r="868" spans="1:18" x14ac:dyDescent="0.3">
      <c r="A868">
        <v>25</v>
      </c>
      <c r="B868">
        <v>25</v>
      </c>
      <c r="C868" t="s">
        <v>22</v>
      </c>
      <c r="D868">
        <v>3.42</v>
      </c>
      <c r="E868">
        <v>246.554</v>
      </c>
      <c r="F868" t="s">
        <v>412</v>
      </c>
      <c r="G868" s="31">
        <v>6.96</v>
      </c>
    </row>
    <row r="869" spans="1:18" x14ac:dyDescent="0.3">
      <c r="A869">
        <v>26</v>
      </c>
      <c r="B869">
        <v>26</v>
      </c>
      <c r="C869" t="s">
        <v>23</v>
      </c>
      <c r="D869">
        <v>3.35</v>
      </c>
      <c r="E869">
        <v>12023.54</v>
      </c>
      <c r="F869" t="s">
        <v>413</v>
      </c>
      <c r="G869" s="31">
        <v>2.33</v>
      </c>
      <c r="L869" t="s">
        <v>379</v>
      </c>
    </row>
    <row r="870" spans="1:18" x14ac:dyDescent="0.3">
      <c r="A870">
        <v>27</v>
      </c>
      <c r="B870">
        <v>27</v>
      </c>
      <c r="C870" t="s">
        <v>24</v>
      </c>
      <c r="D870">
        <v>3.45</v>
      </c>
      <c r="E870">
        <v>83.86</v>
      </c>
      <c r="F870" t="s">
        <v>414</v>
      </c>
      <c r="G870" s="31">
        <v>0.1</v>
      </c>
    </row>
    <row r="871" spans="1:18" x14ac:dyDescent="0.3">
      <c r="A871">
        <v>28</v>
      </c>
      <c r="B871">
        <v>28</v>
      </c>
      <c r="C871" t="s">
        <v>25</v>
      </c>
      <c r="D871">
        <v>3.51</v>
      </c>
      <c r="E871">
        <v>892.55</v>
      </c>
      <c r="F871" t="s">
        <v>415</v>
      </c>
      <c r="G871" s="31">
        <v>0.62</v>
      </c>
      <c r="L871" t="s">
        <v>557</v>
      </c>
    </row>
    <row r="872" spans="1:18" x14ac:dyDescent="0.3">
      <c r="A872">
        <v>29</v>
      </c>
      <c r="B872">
        <v>29</v>
      </c>
      <c r="C872" t="s">
        <v>26</v>
      </c>
      <c r="D872">
        <v>1.04</v>
      </c>
      <c r="E872">
        <v>185.554</v>
      </c>
      <c r="F872" t="s">
        <v>416</v>
      </c>
      <c r="G872" s="31">
        <v>0.97</v>
      </c>
    </row>
    <row r="873" spans="1:18" x14ac:dyDescent="0.3">
      <c r="A873">
        <v>30</v>
      </c>
      <c r="B873">
        <v>30</v>
      </c>
      <c r="C873" t="s">
        <v>27</v>
      </c>
      <c r="D873">
        <v>4.26</v>
      </c>
      <c r="E873">
        <v>635.16700000000003</v>
      </c>
      <c r="F873" t="s">
        <v>417</v>
      </c>
      <c r="G873" s="31">
        <v>0.1</v>
      </c>
      <c r="L873" t="s">
        <v>562</v>
      </c>
    </row>
    <row r="874" spans="1:18" x14ac:dyDescent="0.3">
      <c r="A874">
        <v>31</v>
      </c>
      <c r="B874">
        <v>31</v>
      </c>
      <c r="C874" t="s">
        <v>28</v>
      </c>
      <c r="D874">
        <v>3</v>
      </c>
      <c r="E874">
        <v>20032.151999999998</v>
      </c>
      <c r="F874" t="s">
        <v>418</v>
      </c>
      <c r="G874" s="31">
        <v>0.1</v>
      </c>
    </row>
    <row r="875" spans="1:18" x14ac:dyDescent="0.3">
      <c r="A875">
        <v>32</v>
      </c>
      <c r="B875">
        <v>32</v>
      </c>
      <c r="C875" t="s">
        <v>29</v>
      </c>
      <c r="D875">
        <v>3.35</v>
      </c>
      <c r="E875">
        <v>230.46700000000001</v>
      </c>
      <c r="F875" t="s">
        <v>419</v>
      </c>
      <c r="G875" s="31">
        <v>0.12</v>
      </c>
      <c r="M875" t="s">
        <v>382</v>
      </c>
      <c r="N875" t="s">
        <v>383</v>
      </c>
      <c r="O875" t="s">
        <v>384</v>
      </c>
      <c r="P875" t="s">
        <v>385</v>
      </c>
      <c r="Q875" t="s">
        <v>386</v>
      </c>
      <c r="R875" s="31" t="s">
        <v>387</v>
      </c>
    </row>
    <row r="876" spans="1:18" x14ac:dyDescent="0.3">
      <c r="A876">
        <v>33</v>
      </c>
      <c r="B876">
        <v>33</v>
      </c>
      <c r="C876" t="s">
        <v>30</v>
      </c>
      <c r="D876">
        <v>4.67</v>
      </c>
      <c r="E876">
        <v>38614.699000000001</v>
      </c>
      <c r="F876" t="s">
        <v>420</v>
      </c>
      <c r="G876" s="31">
        <v>1.84</v>
      </c>
      <c r="L876">
        <v>1</v>
      </c>
      <c r="M876">
        <v>1</v>
      </c>
      <c r="N876" t="s">
        <v>35</v>
      </c>
      <c r="O876">
        <v>1.44</v>
      </c>
      <c r="P876">
        <v>817.40200000000004</v>
      </c>
      <c r="Q876" t="s">
        <v>511</v>
      </c>
      <c r="R876" s="31">
        <v>4.2</v>
      </c>
    </row>
    <row r="877" spans="1:18" x14ac:dyDescent="0.3">
      <c r="A877">
        <v>34</v>
      </c>
      <c r="B877">
        <v>34</v>
      </c>
      <c r="C877" t="s">
        <v>31</v>
      </c>
      <c r="D877">
        <v>3.51</v>
      </c>
      <c r="E877">
        <v>334.89499999999998</v>
      </c>
      <c r="F877" t="s">
        <v>421</v>
      </c>
      <c r="G877" s="31">
        <v>7.0000000000000007E-2</v>
      </c>
      <c r="L877">
        <v>2</v>
      </c>
      <c r="M877">
        <v>2</v>
      </c>
      <c r="N877" t="s">
        <v>36</v>
      </c>
      <c r="O877">
        <v>1.66</v>
      </c>
      <c r="P877">
        <v>4863428.5</v>
      </c>
      <c r="Q877" t="s">
        <v>512</v>
      </c>
      <c r="R877" s="31">
        <v>282.11</v>
      </c>
    </row>
    <row r="878" spans="1:18" x14ac:dyDescent="0.3">
      <c r="A878">
        <v>35</v>
      </c>
      <c r="B878">
        <v>35</v>
      </c>
      <c r="C878" t="s">
        <v>32</v>
      </c>
      <c r="D878">
        <v>3.06</v>
      </c>
      <c r="E878">
        <v>34.887999999999998</v>
      </c>
      <c r="F878" t="s">
        <v>422</v>
      </c>
      <c r="G878" s="31">
        <v>0.1</v>
      </c>
      <c r="L878">
        <v>3</v>
      </c>
      <c r="M878">
        <v>3</v>
      </c>
      <c r="N878" t="s">
        <v>37</v>
      </c>
      <c r="O878">
        <v>1.81</v>
      </c>
      <c r="P878">
        <v>2338.3580000000002</v>
      </c>
      <c r="Q878" t="s">
        <v>513</v>
      </c>
      <c r="R878" s="31">
        <v>0.25</v>
      </c>
    </row>
    <row r="879" spans="1:18" x14ac:dyDescent="0.3">
      <c r="A879">
        <v>36</v>
      </c>
      <c r="B879">
        <v>36</v>
      </c>
      <c r="C879" t="s">
        <v>33</v>
      </c>
      <c r="D879">
        <v>1.88</v>
      </c>
      <c r="E879">
        <v>48.439</v>
      </c>
      <c r="F879" t="s">
        <v>423</v>
      </c>
      <c r="G879" s="31">
        <v>0.06</v>
      </c>
      <c r="L879">
        <v>4</v>
      </c>
      <c r="M879">
        <v>4</v>
      </c>
      <c r="N879" t="s">
        <v>38</v>
      </c>
      <c r="O879">
        <v>1.17</v>
      </c>
      <c r="P879">
        <v>11339.647999999999</v>
      </c>
      <c r="Q879" t="s">
        <v>514</v>
      </c>
      <c r="R879" s="31">
        <v>0.86</v>
      </c>
    </row>
    <row r="880" spans="1:18" x14ac:dyDescent="0.3">
      <c r="G880" s="31">
        <f>G857/G859</f>
        <v>3.174757281553398</v>
      </c>
      <c r="L880">
        <v>5</v>
      </c>
      <c r="M880">
        <v>5</v>
      </c>
      <c r="N880" t="s">
        <v>39</v>
      </c>
      <c r="O880">
        <v>1.37</v>
      </c>
      <c r="P880">
        <v>642264.125</v>
      </c>
      <c r="Q880" t="s">
        <v>515</v>
      </c>
      <c r="R880" s="31">
        <v>56.22</v>
      </c>
    </row>
    <row r="881" spans="1:18" x14ac:dyDescent="0.3">
      <c r="A881" t="s">
        <v>379</v>
      </c>
      <c r="L881">
        <v>6</v>
      </c>
      <c r="M881">
        <v>6</v>
      </c>
      <c r="N881" t="s">
        <v>40</v>
      </c>
      <c r="O881">
        <v>1.52</v>
      </c>
      <c r="P881">
        <v>41906.612999999998</v>
      </c>
      <c r="Q881" t="s">
        <v>516</v>
      </c>
      <c r="R881" s="31">
        <v>2.1800000000000002</v>
      </c>
    </row>
    <row r="882" spans="1:18" x14ac:dyDescent="0.3">
      <c r="L882">
        <v>7</v>
      </c>
      <c r="M882">
        <v>7</v>
      </c>
      <c r="N882" t="s">
        <v>41</v>
      </c>
      <c r="O882">
        <v>2.29</v>
      </c>
      <c r="P882">
        <v>7211.0820000000003</v>
      </c>
      <c r="Q882" t="s">
        <v>517</v>
      </c>
      <c r="R882" s="31">
        <v>3.38</v>
      </c>
    </row>
    <row r="883" spans="1:18" x14ac:dyDescent="0.3">
      <c r="A883" t="s">
        <v>380</v>
      </c>
      <c r="L883">
        <v>8</v>
      </c>
      <c r="M883">
        <v>8</v>
      </c>
      <c r="N883" t="s">
        <v>42</v>
      </c>
      <c r="O883">
        <v>0.89</v>
      </c>
      <c r="P883">
        <v>1848.684</v>
      </c>
      <c r="Q883" t="s">
        <v>518</v>
      </c>
      <c r="R883" s="31">
        <v>10.119999999999999</v>
      </c>
    </row>
    <row r="884" spans="1:18" x14ac:dyDescent="0.3">
      <c r="L884">
        <v>9</v>
      </c>
      <c r="M884">
        <v>9</v>
      </c>
      <c r="N884" t="s">
        <v>43</v>
      </c>
      <c r="O884">
        <v>2.54</v>
      </c>
      <c r="P884">
        <v>9140.9869999999992</v>
      </c>
      <c r="Q884" t="s">
        <v>519</v>
      </c>
      <c r="R884" s="31">
        <v>7.0000000000000007E-2</v>
      </c>
    </row>
    <row r="885" spans="1:18" x14ac:dyDescent="0.3">
      <c r="A885" t="s">
        <v>443</v>
      </c>
      <c r="L885">
        <v>10</v>
      </c>
      <c r="M885">
        <v>10</v>
      </c>
      <c r="N885" t="s">
        <v>52</v>
      </c>
      <c r="O885">
        <v>4.09</v>
      </c>
      <c r="P885">
        <v>105047.32</v>
      </c>
      <c r="Q885" t="s">
        <v>520</v>
      </c>
      <c r="R885" s="31">
        <v>3.49</v>
      </c>
    </row>
    <row r="886" spans="1:18" x14ac:dyDescent="0.3">
      <c r="L886">
        <v>11</v>
      </c>
      <c r="M886">
        <v>11</v>
      </c>
      <c r="N886" t="s">
        <v>44</v>
      </c>
      <c r="O886">
        <v>4.17</v>
      </c>
      <c r="P886">
        <v>2900.9360000000001</v>
      </c>
      <c r="Q886" t="s">
        <v>521</v>
      </c>
      <c r="R886" s="31">
        <v>0.21</v>
      </c>
    </row>
    <row r="887" spans="1:18" x14ac:dyDescent="0.3">
      <c r="B887" t="s">
        <v>382</v>
      </c>
      <c r="C887" t="s">
        <v>383</v>
      </c>
      <c r="D887" t="s">
        <v>384</v>
      </c>
      <c r="E887" t="s">
        <v>385</v>
      </c>
      <c r="F887" t="s">
        <v>386</v>
      </c>
      <c r="G887" s="31" t="s">
        <v>387</v>
      </c>
      <c r="L887">
        <v>12</v>
      </c>
      <c r="M887">
        <v>12</v>
      </c>
      <c r="N887" t="s">
        <v>45</v>
      </c>
      <c r="O887">
        <v>3.43</v>
      </c>
      <c r="P887">
        <v>2116895</v>
      </c>
      <c r="Q887" t="s">
        <v>522</v>
      </c>
      <c r="R887" s="31">
        <v>26.05</v>
      </c>
    </row>
    <row r="888" spans="1:18" x14ac:dyDescent="0.3">
      <c r="A888">
        <v>1</v>
      </c>
      <c r="B888">
        <v>1</v>
      </c>
      <c r="C888" t="s">
        <v>0</v>
      </c>
      <c r="D888">
        <v>1.01</v>
      </c>
      <c r="E888">
        <v>8023.0609999999997</v>
      </c>
      <c r="F888" t="s">
        <v>388</v>
      </c>
      <c r="G888" s="31">
        <v>47.57</v>
      </c>
      <c r="L888">
        <v>13</v>
      </c>
      <c r="M888">
        <v>13</v>
      </c>
      <c r="N888" t="s">
        <v>46</v>
      </c>
      <c r="O888">
        <v>2.58</v>
      </c>
      <c r="P888">
        <v>495710.875</v>
      </c>
      <c r="Q888" t="s">
        <v>523</v>
      </c>
      <c r="R888" s="31">
        <v>13.26</v>
      </c>
    </row>
    <row r="889" spans="1:18" x14ac:dyDescent="0.3">
      <c r="A889">
        <v>2</v>
      </c>
      <c r="B889">
        <v>2</v>
      </c>
      <c r="C889" t="s">
        <v>1</v>
      </c>
      <c r="D889">
        <v>1.45</v>
      </c>
      <c r="E889">
        <v>6111.3090000000002</v>
      </c>
      <c r="F889" t="s">
        <v>389</v>
      </c>
      <c r="G889" s="31">
        <v>6.66</v>
      </c>
      <c r="L889">
        <v>14</v>
      </c>
      <c r="M889">
        <v>14</v>
      </c>
      <c r="N889" t="s">
        <v>47</v>
      </c>
      <c r="O889">
        <v>0.68</v>
      </c>
      <c r="P889">
        <v>38148.262000000002</v>
      </c>
      <c r="Q889" t="s">
        <v>524</v>
      </c>
      <c r="R889" s="31">
        <v>9.5500000000000007</v>
      </c>
    </row>
    <row r="890" spans="1:18" x14ac:dyDescent="0.3">
      <c r="A890">
        <v>3</v>
      </c>
      <c r="B890">
        <v>3</v>
      </c>
      <c r="C890" t="s">
        <v>50</v>
      </c>
      <c r="D890">
        <v>3.86</v>
      </c>
      <c r="E890">
        <v>66.481999999999999</v>
      </c>
      <c r="F890" t="s">
        <v>390</v>
      </c>
      <c r="G890" s="31">
        <v>0.05</v>
      </c>
      <c r="L890">
        <v>15</v>
      </c>
      <c r="M890">
        <v>15</v>
      </c>
      <c r="N890" t="s">
        <v>48</v>
      </c>
      <c r="O890">
        <v>1.21</v>
      </c>
      <c r="P890">
        <v>94291.976999999999</v>
      </c>
      <c r="Q890" t="s">
        <v>525</v>
      </c>
      <c r="R890" s="31">
        <v>7.39</v>
      </c>
    </row>
    <row r="891" spans="1:18" x14ac:dyDescent="0.3">
      <c r="A891">
        <v>4</v>
      </c>
      <c r="B891">
        <v>4</v>
      </c>
      <c r="C891" t="s">
        <v>2</v>
      </c>
      <c r="D891">
        <v>3.69</v>
      </c>
      <c r="E891">
        <v>59365.538999999997</v>
      </c>
      <c r="F891" t="s">
        <v>391</v>
      </c>
      <c r="G891" s="31">
        <v>2.62</v>
      </c>
      <c r="L891">
        <v>16</v>
      </c>
      <c r="M891">
        <v>16</v>
      </c>
      <c r="N891" t="s">
        <v>53</v>
      </c>
      <c r="O891">
        <v>4.54</v>
      </c>
      <c r="P891">
        <v>114083.68799999999</v>
      </c>
      <c r="Q891" t="s">
        <v>526</v>
      </c>
      <c r="R891" s="31">
        <v>0.84</v>
      </c>
    </row>
    <row r="892" spans="1:18" x14ac:dyDescent="0.3">
      <c r="A892">
        <v>5</v>
      </c>
      <c r="B892">
        <v>5</v>
      </c>
      <c r="C892" t="s">
        <v>3</v>
      </c>
      <c r="D892">
        <v>4.49</v>
      </c>
      <c r="E892">
        <v>229.63900000000001</v>
      </c>
      <c r="F892" t="s">
        <v>392</v>
      </c>
      <c r="G892" s="31">
        <v>7.0000000000000007E-2</v>
      </c>
      <c r="L892">
        <v>17</v>
      </c>
      <c r="M892">
        <v>17</v>
      </c>
      <c r="N892" t="s">
        <v>54</v>
      </c>
      <c r="O892">
        <v>5.19</v>
      </c>
      <c r="P892">
        <v>1280.68</v>
      </c>
      <c r="Q892" t="s">
        <v>527</v>
      </c>
      <c r="R892" s="31">
        <v>0.11</v>
      </c>
    </row>
    <row r="893" spans="1:18" x14ac:dyDescent="0.3">
      <c r="A893">
        <v>6</v>
      </c>
      <c r="B893">
        <v>6</v>
      </c>
      <c r="C893" t="s">
        <v>4</v>
      </c>
      <c r="D893">
        <v>4.8</v>
      </c>
      <c r="E893">
        <v>55459.387000000002</v>
      </c>
      <c r="F893" t="s">
        <v>393</v>
      </c>
      <c r="G893" s="31">
        <v>1.85</v>
      </c>
      <c r="L893">
        <v>18</v>
      </c>
      <c r="M893">
        <v>18</v>
      </c>
      <c r="N893" t="s">
        <v>55</v>
      </c>
      <c r="O893">
        <v>1.32</v>
      </c>
      <c r="P893">
        <v>4970.5349999999999</v>
      </c>
      <c r="Q893" t="s">
        <v>528</v>
      </c>
      <c r="R893" s="31">
        <v>0.1</v>
      </c>
    </row>
    <row r="894" spans="1:18" x14ac:dyDescent="0.3">
      <c r="A894">
        <v>7</v>
      </c>
      <c r="B894">
        <v>7</v>
      </c>
      <c r="C894" t="s">
        <v>5</v>
      </c>
      <c r="D894">
        <v>2.71</v>
      </c>
      <c r="E894">
        <v>1424.6659999999999</v>
      </c>
      <c r="F894" t="s">
        <v>394</v>
      </c>
      <c r="G894" s="31">
        <v>0.17</v>
      </c>
      <c r="L894">
        <v>19</v>
      </c>
      <c r="M894">
        <v>19</v>
      </c>
      <c r="N894" t="s">
        <v>56</v>
      </c>
      <c r="O894">
        <v>0.88</v>
      </c>
      <c r="P894">
        <v>47995.038999999997</v>
      </c>
      <c r="Q894" t="s">
        <v>529</v>
      </c>
      <c r="R894" s="31">
        <v>1.41</v>
      </c>
    </row>
    <row r="895" spans="1:18" x14ac:dyDescent="0.3">
      <c r="A895">
        <v>8</v>
      </c>
      <c r="B895">
        <v>8</v>
      </c>
      <c r="C895" t="s">
        <v>6</v>
      </c>
      <c r="D895">
        <v>0.67</v>
      </c>
      <c r="E895">
        <v>1844.002</v>
      </c>
      <c r="F895" t="s">
        <v>395</v>
      </c>
      <c r="G895" s="31">
        <v>16.600000000000001</v>
      </c>
      <c r="L895">
        <v>20</v>
      </c>
      <c r="M895">
        <v>20</v>
      </c>
      <c r="N895" t="s">
        <v>57</v>
      </c>
      <c r="O895">
        <v>1.51</v>
      </c>
      <c r="P895">
        <v>1569.2550000000001</v>
      </c>
      <c r="Q895" t="s">
        <v>530</v>
      </c>
      <c r="R895" s="31">
        <v>0.3</v>
      </c>
    </row>
    <row r="896" spans="1:18" x14ac:dyDescent="0.3">
      <c r="A896">
        <v>9</v>
      </c>
      <c r="B896">
        <v>9</v>
      </c>
      <c r="C896" t="s">
        <v>7</v>
      </c>
      <c r="D896">
        <v>3.56</v>
      </c>
      <c r="E896">
        <v>750.43</v>
      </c>
      <c r="F896" t="s">
        <v>396</v>
      </c>
      <c r="G896" s="31">
        <v>1.47</v>
      </c>
      <c r="L896">
        <v>21</v>
      </c>
      <c r="M896">
        <v>21</v>
      </c>
      <c r="N896" t="s">
        <v>58</v>
      </c>
      <c r="O896">
        <v>2.57</v>
      </c>
      <c r="P896">
        <v>27.151</v>
      </c>
      <c r="Q896" t="s">
        <v>531</v>
      </c>
      <c r="R896" s="31">
        <v>0.12</v>
      </c>
    </row>
    <row r="897" spans="1:18" x14ac:dyDescent="0.3">
      <c r="A897">
        <v>10</v>
      </c>
      <c r="B897">
        <v>10</v>
      </c>
      <c r="C897" t="s">
        <v>51</v>
      </c>
      <c r="D897">
        <v>4.62</v>
      </c>
      <c r="E897">
        <v>1492.0360000000001</v>
      </c>
      <c r="F897" t="s">
        <v>397</v>
      </c>
      <c r="G897" s="31">
        <v>0.22</v>
      </c>
      <c r="L897">
        <v>22</v>
      </c>
      <c r="M897">
        <v>22</v>
      </c>
      <c r="N897" t="s">
        <v>59</v>
      </c>
      <c r="O897">
        <v>2.5</v>
      </c>
      <c r="P897">
        <v>32551.215</v>
      </c>
      <c r="Q897" t="s">
        <v>532</v>
      </c>
      <c r="R897" s="31">
        <v>2.27</v>
      </c>
    </row>
    <row r="898" spans="1:18" x14ac:dyDescent="0.3">
      <c r="A898">
        <v>11</v>
      </c>
      <c r="B898">
        <v>11</v>
      </c>
      <c r="C898" t="s">
        <v>8</v>
      </c>
      <c r="D898">
        <v>2.74</v>
      </c>
      <c r="E898">
        <v>53178.616999999998</v>
      </c>
      <c r="F898" t="s">
        <v>398</v>
      </c>
      <c r="G898" s="31">
        <v>2.04</v>
      </c>
      <c r="L898">
        <v>23</v>
      </c>
      <c r="M898">
        <v>23</v>
      </c>
      <c r="N898" t="s">
        <v>60</v>
      </c>
      <c r="O898">
        <v>2.56</v>
      </c>
      <c r="P898">
        <v>36387.574000000001</v>
      </c>
      <c r="Q898" t="s">
        <v>533</v>
      </c>
      <c r="R898" s="31">
        <v>1.19</v>
      </c>
    </row>
    <row r="899" spans="1:18" x14ac:dyDescent="0.3">
      <c r="A899">
        <v>12</v>
      </c>
      <c r="B899">
        <v>12</v>
      </c>
      <c r="C899" t="s">
        <v>9</v>
      </c>
      <c r="D899">
        <v>2.62</v>
      </c>
      <c r="E899">
        <v>8687.5139999999992</v>
      </c>
      <c r="F899" t="s">
        <v>399</v>
      </c>
      <c r="G899" s="31">
        <v>2.15</v>
      </c>
    </row>
    <row r="900" spans="1:18" x14ac:dyDescent="0.3">
      <c r="A900">
        <v>13</v>
      </c>
      <c r="B900">
        <v>13</v>
      </c>
      <c r="C900" t="s">
        <v>10</v>
      </c>
      <c r="D900">
        <v>4.09</v>
      </c>
      <c r="E900">
        <v>1552412.75</v>
      </c>
      <c r="F900" t="s">
        <v>400</v>
      </c>
      <c r="G900" s="31">
        <v>99.48</v>
      </c>
      <c r="L900" t="s">
        <v>379</v>
      </c>
    </row>
    <row r="901" spans="1:18" x14ac:dyDescent="0.3">
      <c r="A901">
        <v>14</v>
      </c>
      <c r="B901">
        <v>14</v>
      </c>
      <c r="C901" t="s">
        <v>11</v>
      </c>
      <c r="D901">
        <v>3.53</v>
      </c>
      <c r="E901">
        <v>34.395000000000003</v>
      </c>
      <c r="F901" t="s">
        <v>401</v>
      </c>
      <c r="G901" s="31">
        <v>1.95</v>
      </c>
    </row>
    <row r="902" spans="1:18" x14ac:dyDescent="0.3">
      <c r="A902">
        <v>15</v>
      </c>
      <c r="B902">
        <v>15</v>
      </c>
      <c r="C902" t="s">
        <v>12</v>
      </c>
      <c r="D902">
        <v>3.33</v>
      </c>
      <c r="E902">
        <v>430.30599999999998</v>
      </c>
      <c r="F902" t="s">
        <v>402</v>
      </c>
      <c r="G902" s="31">
        <v>1.4</v>
      </c>
      <c r="L902" t="s">
        <v>557</v>
      </c>
    </row>
    <row r="903" spans="1:18" x14ac:dyDescent="0.3">
      <c r="A903">
        <v>16</v>
      </c>
      <c r="B903">
        <v>16</v>
      </c>
      <c r="C903" t="s">
        <v>13</v>
      </c>
      <c r="D903">
        <v>3.23</v>
      </c>
      <c r="E903">
        <v>9883.0329999999994</v>
      </c>
      <c r="F903" t="s">
        <v>403</v>
      </c>
      <c r="G903" s="31">
        <v>1.35</v>
      </c>
    </row>
    <row r="904" spans="1:18" x14ac:dyDescent="0.3">
      <c r="A904">
        <v>17</v>
      </c>
      <c r="B904">
        <v>17</v>
      </c>
      <c r="C904" t="s">
        <v>14</v>
      </c>
      <c r="D904">
        <v>2.0099999999999998</v>
      </c>
      <c r="E904">
        <v>33416.961000000003</v>
      </c>
      <c r="F904" t="s">
        <v>404</v>
      </c>
      <c r="G904" s="31">
        <v>3.83</v>
      </c>
      <c r="L904" t="s">
        <v>563</v>
      </c>
    </row>
    <row r="905" spans="1:18" x14ac:dyDescent="0.3">
      <c r="A905">
        <v>18</v>
      </c>
      <c r="B905">
        <v>18</v>
      </c>
      <c r="C905" t="s">
        <v>15</v>
      </c>
      <c r="D905">
        <v>2.4900000000000002</v>
      </c>
      <c r="E905">
        <v>27649.884999999998</v>
      </c>
      <c r="F905" t="s">
        <v>405</v>
      </c>
      <c r="G905" s="31">
        <v>9.7899999999999991</v>
      </c>
    </row>
    <row r="906" spans="1:18" x14ac:dyDescent="0.3">
      <c r="A906">
        <v>19</v>
      </c>
      <c r="B906">
        <v>19</v>
      </c>
      <c r="C906" t="s">
        <v>16</v>
      </c>
      <c r="D906">
        <v>2.71</v>
      </c>
      <c r="E906">
        <v>8330.0939999999991</v>
      </c>
      <c r="F906" t="s">
        <v>406</v>
      </c>
      <c r="G906" s="31">
        <v>0.35</v>
      </c>
      <c r="M906" t="s">
        <v>382</v>
      </c>
      <c r="N906" t="s">
        <v>383</v>
      </c>
      <c r="O906" t="s">
        <v>384</v>
      </c>
      <c r="P906" t="s">
        <v>385</v>
      </c>
      <c r="Q906" t="s">
        <v>386</v>
      </c>
      <c r="R906" s="31" t="s">
        <v>387</v>
      </c>
    </row>
    <row r="907" spans="1:18" x14ac:dyDescent="0.3">
      <c r="A907">
        <v>20</v>
      </c>
      <c r="B907">
        <v>20</v>
      </c>
      <c r="C907" t="s">
        <v>17</v>
      </c>
      <c r="D907">
        <v>3.13</v>
      </c>
      <c r="E907">
        <v>16715.463</v>
      </c>
      <c r="F907" t="s">
        <v>407</v>
      </c>
      <c r="G907" s="31">
        <v>2.36</v>
      </c>
      <c r="L907">
        <v>1</v>
      </c>
      <c r="M907">
        <v>1</v>
      </c>
      <c r="N907" t="s">
        <v>35</v>
      </c>
      <c r="O907">
        <v>1.44</v>
      </c>
      <c r="P907">
        <v>192719.57800000001</v>
      </c>
      <c r="Q907" t="s">
        <v>511</v>
      </c>
      <c r="R907" s="31">
        <v>56.95</v>
      </c>
    </row>
    <row r="908" spans="1:18" x14ac:dyDescent="0.3">
      <c r="A908">
        <v>21</v>
      </c>
      <c r="B908">
        <v>21</v>
      </c>
      <c r="C908" t="s">
        <v>18</v>
      </c>
      <c r="D908">
        <v>3.68</v>
      </c>
      <c r="E908">
        <v>26448.342000000001</v>
      </c>
      <c r="F908" t="s">
        <v>408</v>
      </c>
      <c r="G908" s="31">
        <v>0.88</v>
      </c>
      <c r="L908">
        <v>2</v>
      </c>
      <c r="M908">
        <v>2</v>
      </c>
      <c r="N908" t="s">
        <v>36</v>
      </c>
      <c r="O908">
        <v>1.66</v>
      </c>
      <c r="P908">
        <v>1475363.25</v>
      </c>
      <c r="Q908" t="s">
        <v>512</v>
      </c>
      <c r="R908" s="31">
        <v>316.26</v>
      </c>
    </row>
    <row r="909" spans="1:18" x14ac:dyDescent="0.3">
      <c r="A909">
        <v>22</v>
      </c>
      <c r="B909">
        <v>22</v>
      </c>
      <c r="C909" t="s">
        <v>19</v>
      </c>
      <c r="D909">
        <v>2.63</v>
      </c>
      <c r="E909">
        <v>59489.84</v>
      </c>
      <c r="F909" t="s">
        <v>409</v>
      </c>
      <c r="G909" s="31">
        <v>4.47</v>
      </c>
      <c r="L909">
        <v>3</v>
      </c>
      <c r="M909">
        <v>3</v>
      </c>
      <c r="N909" t="s">
        <v>37</v>
      </c>
      <c r="O909">
        <v>1.81</v>
      </c>
      <c r="P909">
        <v>460.24900000000002</v>
      </c>
      <c r="Q909" t="s">
        <v>513</v>
      </c>
      <c r="R909" s="31">
        <v>0.23</v>
      </c>
    </row>
    <row r="910" spans="1:18" x14ac:dyDescent="0.3">
      <c r="A910">
        <v>23</v>
      </c>
      <c r="B910">
        <v>23</v>
      </c>
      <c r="C910" t="s">
        <v>20</v>
      </c>
      <c r="D910">
        <v>2.89</v>
      </c>
      <c r="E910">
        <v>18169.013999999999</v>
      </c>
      <c r="F910" t="s">
        <v>410</v>
      </c>
      <c r="G910" s="31">
        <v>0.84</v>
      </c>
      <c r="L910">
        <v>4</v>
      </c>
      <c r="M910">
        <v>4</v>
      </c>
      <c r="N910" t="s">
        <v>38</v>
      </c>
      <c r="O910">
        <v>1.18</v>
      </c>
      <c r="P910">
        <v>2987.42</v>
      </c>
      <c r="Q910" t="s">
        <v>514</v>
      </c>
      <c r="R910" s="31">
        <v>0.78</v>
      </c>
    </row>
    <row r="911" spans="1:18" x14ac:dyDescent="0.3">
      <c r="A911">
        <v>24</v>
      </c>
      <c r="B911">
        <v>24</v>
      </c>
      <c r="C911" t="s">
        <v>21</v>
      </c>
      <c r="D911">
        <v>4.12</v>
      </c>
      <c r="E911">
        <v>326.137</v>
      </c>
      <c r="F911" t="s">
        <v>411</v>
      </c>
      <c r="G911" s="31">
        <v>0.11</v>
      </c>
      <c r="L911">
        <v>5</v>
      </c>
      <c r="M911">
        <v>5</v>
      </c>
      <c r="N911" t="s">
        <v>39</v>
      </c>
      <c r="O911">
        <v>1.38</v>
      </c>
      <c r="P911">
        <v>127256.602</v>
      </c>
      <c r="Q911" t="s">
        <v>515</v>
      </c>
      <c r="R911" s="31">
        <v>40.840000000000003</v>
      </c>
    </row>
    <row r="912" spans="1:18" x14ac:dyDescent="0.3">
      <c r="A912">
        <v>25</v>
      </c>
      <c r="B912">
        <v>25</v>
      </c>
      <c r="C912" t="s">
        <v>22</v>
      </c>
      <c r="D912">
        <v>3.42</v>
      </c>
      <c r="E912">
        <v>500.16899999999998</v>
      </c>
      <c r="F912" t="s">
        <v>412</v>
      </c>
      <c r="G912" s="31">
        <v>3.99</v>
      </c>
      <c r="L912">
        <v>6</v>
      </c>
      <c r="M912">
        <v>6</v>
      </c>
      <c r="N912" t="s">
        <v>40</v>
      </c>
      <c r="O912">
        <v>1.52</v>
      </c>
      <c r="P912">
        <v>25765.986000000001</v>
      </c>
      <c r="Q912" t="s">
        <v>516</v>
      </c>
      <c r="R912" s="31">
        <v>4.24</v>
      </c>
    </row>
    <row r="913" spans="1:18" x14ac:dyDescent="0.3">
      <c r="A913">
        <v>26</v>
      </c>
      <c r="B913">
        <v>26</v>
      </c>
      <c r="C913" t="s">
        <v>23</v>
      </c>
      <c r="D913">
        <v>3.35</v>
      </c>
      <c r="E913">
        <v>129718.17200000001</v>
      </c>
      <c r="F913" t="s">
        <v>413</v>
      </c>
      <c r="G913" s="31">
        <v>8.83</v>
      </c>
      <c r="L913">
        <v>7</v>
      </c>
      <c r="M913">
        <v>7</v>
      </c>
      <c r="N913" t="s">
        <v>41</v>
      </c>
      <c r="O913">
        <v>2.2799999999999998</v>
      </c>
      <c r="P913">
        <v>2078.8389999999999</v>
      </c>
      <c r="Q913" t="s">
        <v>517</v>
      </c>
      <c r="R913" s="31">
        <v>3.23</v>
      </c>
    </row>
    <row r="914" spans="1:18" x14ac:dyDescent="0.3">
      <c r="A914">
        <v>27</v>
      </c>
      <c r="B914">
        <v>27</v>
      </c>
      <c r="C914" t="s">
        <v>24</v>
      </c>
      <c r="D914">
        <v>3.44</v>
      </c>
      <c r="E914">
        <v>390.94099999999997</v>
      </c>
      <c r="F914" t="s">
        <v>414</v>
      </c>
      <c r="G914" s="31">
        <v>0.1</v>
      </c>
      <c r="L914">
        <v>8</v>
      </c>
      <c r="M914">
        <v>8</v>
      </c>
      <c r="N914" t="s">
        <v>42</v>
      </c>
      <c r="O914">
        <v>0.89</v>
      </c>
      <c r="P914">
        <v>1026.019</v>
      </c>
      <c r="Q914" t="s">
        <v>518</v>
      </c>
      <c r="R914" s="31">
        <v>30.45</v>
      </c>
    </row>
    <row r="915" spans="1:18" x14ac:dyDescent="0.3">
      <c r="A915">
        <v>28</v>
      </c>
      <c r="B915">
        <v>28</v>
      </c>
      <c r="C915" t="s">
        <v>25</v>
      </c>
      <c r="D915">
        <v>3.52</v>
      </c>
      <c r="E915">
        <v>7839.2920000000004</v>
      </c>
      <c r="F915" t="s">
        <v>415</v>
      </c>
      <c r="G915" s="31">
        <v>0.96</v>
      </c>
      <c r="L915">
        <v>9</v>
      </c>
      <c r="M915">
        <v>9</v>
      </c>
      <c r="N915" t="s">
        <v>43</v>
      </c>
      <c r="O915">
        <v>2.5499999999999998</v>
      </c>
      <c r="P915">
        <v>2880.96</v>
      </c>
      <c r="Q915" t="s">
        <v>519</v>
      </c>
      <c r="R915" s="31">
        <v>7.0000000000000007E-2</v>
      </c>
    </row>
    <row r="916" spans="1:18" x14ac:dyDescent="0.3">
      <c r="A916">
        <v>29</v>
      </c>
      <c r="B916">
        <v>29</v>
      </c>
      <c r="C916" t="s">
        <v>26</v>
      </c>
      <c r="D916">
        <v>1.04</v>
      </c>
      <c r="E916">
        <v>3431.5039999999999</v>
      </c>
      <c r="F916" t="s">
        <v>416</v>
      </c>
      <c r="G916" s="31">
        <v>2.44</v>
      </c>
      <c r="L916">
        <v>10</v>
      </c>
      <c r="M916">
        <v>10</v>
      </c>
      <c r="N916" t="s">
        <v>52</v>
      </c>
      <c r="O916">
        <v>4.1399999999999997</v>
      </c>
      <c r="P916">
        <v>8807.1239999999998</v>
      </c>
      <c r="Q916" t="s">
        <v>520</v>
      </c>
      <c r="R916" s="31">
        <v>0.49</v>
      </c>
    </row>
    <row r="917" spans="1:18" x14ac:dyDescent="0.3">
      <c r="A917">
        <v>30</v>
      </c>
      <c r="B917">
        <v>30</v>
      </c>
      <c r="C917" t="s">
        <v>27</v>
      </c>
      <c r="D917">
        <v>4.33</v>
      </c>
      <c r="E917">
        <v>1777.3820000000001</v>
      </c>
      <c r="F917" t="s">
        <v>417</v>
      </c>
      <c r="G917" s="31">
        <v>0.1</v>
      </c>
      <c r="L917">
        <v>11</v>
      </c>
      <c r="M917">
        <v>11</v>
      </c>
      <c r="N917" t="s">
        <v>44</v>
      </c>
      <c r="O917">
        <v>4.2699999999999996</v>
      </c>
      <c r="P917">
        <v>490.32799999999997</v>
      </c>
      <c r="Q917" t="s">
        <v>521</v>
      </c>
      <c r="R917" s="31">
        <v>0.25</v>
      </c>
    </row>
    <row r="918" spans="1:18" x14ac:dyDescent="0.3">
      <c r="A918">
        <v>31</v>
      </c>
      <c r="B918">
        <v>31</v>
      </c>
      <c r="C918" t="s">
        <v>28</v>
      </c>
      <c r="D918">
        <v>3</v>
      </c>
      <c r="E918">
        <v>51184.847999999998</v>
      </c>
      <c r="F918" t="s">
        <v>418</v>
      </c>
      <c r="G918" s="31">
        <v>0.13</v>
      </c>
      <c r="L918">
        <v>12</v>
      </c>
      <c r="M918">
        <v>12</v>
      </c>
      <c r="N918" t="s">
        <v>45</v>
      </c>
      <c r="O918">
        <v>3.45</v>
      </c>
      <c r="P918">
        <v>538271.68799999997</v>
      </c>
      <c r="Q918" t="s">
        <v>522</v>
      </c>
      <c r="R918" s="31">
        <v>12.56</v>
      </c>
    </row>
    <row r="919" spans="1:18" x14ac:dyDescent="0.3">
      <c r="A919">
        <v>32</v>
      </c>
      <c r="B919">
        <v>32</v>
      </c>
      <c r="C919" t="s">
        <v>29</v>
      </c>
      <c r="D919">
        <v>3.35</v>
      </c>
      <c r="E919">
        <v>817.55399999999997</v>
      </c>
      <c r="F919" t="s">
        <v>419</v>
      </c>
      <c r="G919" s="31">
        <v>0.1</v>
      </c>
      <c r="L919">
        <v>13</v>
      </c>
      <c r="M919">
        <v>13</v>
      </c>
      <c r="N919" t="s">
        <v>46</v>
      </c>
      <c r="O919">
        <v>2.59</v>
      </c>
      <c r="P919">
        <v>167733.609</v>
      </c>
      <c r="Q919" t="s">
        <v>523</v>
      </c>
      <c r="R919" s="31">
        <v>12.94</v>
      </c>
    </row>
    <row r="920" spans="1:18" x14ac:dyDescent="0.3">
      <c r="A920">
        <v>33</v>
      </c>
      <c r="B920">
        <v>33</v>
      </c>
      <c r="C920" t="s">
        <v>30</v>
      </c>
      <c r="D920">
        <v>4.67</v>
      </c>
      <c r="E920">
        <v>45476.824000000001</v>
      </c>
      <c r="F920" t="s">
        <v>420</v>
      </c>
      <c r="G920" s="31">
        <v>0.87</v>
      </c>
      <c r="L920">
        <v>14</v>
      </c>
      <c r="M920">
        <v>14</v>
      </c>
      <c r="N920" t="s">
        <v>47</v>
      </c>
      <c r="O920">
        <v>0.68</v>
      </c>
      <c r="P920">
        <v>34358.453000000001</v>
      </c>
      <c r="Q920" t="s">
        <v>524</v>
      </c>
      <c r="R920" s="31">
        <v>26.74</v>
      </c>
    </row>
    <row r="921" spans="1:18" x14ac:dyDescent="0.3">
      <c r="A921">
        <v>34</v>
      </c>
      <c r="B921">
        <v>34</v>
      </c>
      <c r="C921" t="s">
        <v>31</v>
      </c>
      <c r="D921">
        <v>3.5</v>
      </c>
      <c r="E921">
        <v>1337.001</v>
      </c>
      <c r="F921" t="s">
        <v>421</v>
      </c>
      <c r="G921" s="31">
        <v>0.09</v>
      </c>
      <c r="L921">
        <v>15</v>
      </c>
      <c r="M921">
        <v>15</v>
      </c>
      <c r="N921" t="s">
        <v>48</v>
      </c>
      <c r="O921">
        <v>1.21</v>
      </c>
      <c r="P921">
        <v>21758.526999999998</v>
      </c>
      <c r="Q921" t="s">
        <v>525</v>
      </c>
      <c r="R921" s="31">
        <v>4.97</v>
      </c>
    </row>
    <row r="922" spans="1:18" x14ac:dyDescent="0.3">
      <c r="A922">
        <v>35</v>
      </c>
      <c r="B922">
        <v>35</v>
      </c>
      <c r="C922" t="s">
        <v>32</v>
      </c>
      <c r="D922">
        <v>3.06</v>
      </c>
      <c r="E922">
        <v>764.404</v>
      </c>
      <c r="F922" t="s">
        <v>422</v>
      </c>
      <c r="G922" s="31">
        <v>0.08</v>
      </c>
      <c r="L922">
        <v>16</v>
      </c>
      <c r="M922">
        <v>16</v>
      </c>
      <c r="N922" t="s">
        <v>53</v>
      </c>
      <c r="O922">
        <v>4.57</v>
      </c>
      <c r="P922">
        <v>36835.269999999997</v>
      </c>
      <c r="Q922" t="s">
        <v>526</v>
      </c>
      <c r="R922" s="31">
        <v>0.8</v>
      </c>
    </row>
    <row r="923" spans="1:18" x14ac:dyDescent="0.3">
      <c r="A923">
        <v>36</v>
      </c>
      <c r="B923">
        <v>36</v>
      </c>
      <c r="C923" t="s">
        <v>33</v>
      </c>
      <c r="D923">
        <v>1.88</v>
      </c>
      <c r="E923">
        <v>1249.441</v>
      </c>
      <c r="F923" t="s">
        <v>423</v>
      </c>
      <c r="G923" s="31">
        <v>0.62</v>
      </c>
      <c r="L923">
        <v>17</v>
      </c>
      <c r="M923">
        <v>17</v>
      </c>
      <c r="N923" t="s">
        <v>54</v>
      </c>
      <c r="O923">
        <v>5.2</v>
      </c>
      <c r="P923">
        <v>24.966999999999999</v>
      </c>
      <c r="Q923" t="s">
        <v>527</v>
      </c>
      <c r="R923" s="31">
        <v>0.1</v>
      </c>
    </row>
    <row r="924" spans="1:18" x14ac:dyDescent="0.3">
      <c r="G924" s="31">
        <f>G901/G903</f>
        <v>1.4444444444444444</v>
      </c>
      <c r="L924">
        <v>18</v>
      </c>
      <c r="M924">
        <v>18</v>
      </c>
      <c r="N924" t="s">
        <v>55</v>
      </c>
      <c r="O924">
        <v>1.32</v>
      </c>
      <c r="P924">
        <v>1112.9359999999999</v>
      </c>
      <c r="Q924" t="s">
        <v>528</v>
      </c>
      <c r="R924" s="31">
        <v>0.06</v>
      </c>
    </row>
    <row r="925" spans="1:18" x14ac:dyDescent="0.3">
      <c r="A925" t="s">
        <v>379</v>
      </c>
      <c r="L925">
        <v>19</v>
      </c>
      <c r="M925">
        <v>19</v>
      </c>
      <c r="N925" t="s">
        <v>56</v>
      </c>
      <c r="O925">
        <v>0.88</v>
      </c>
      <c r="P925">
        <v>15320.49</v>
      </c>
      <c r="Q925" t="s">
        <v>529</v>
      </c>
      <c r="R925" s="31">
        <v>0.76</v>
      </c>
    </row>
    <row r="926" spans="1:18" x14ac:dyDescent="0.3">
      <c r="L926">
        <v>20</v>
      </c>
      <c r="M926">
        <v>20</v>
      </c>
      <c r="N926" t="s">
        <v>57</v>
      </c>
      <c r="O926">
        <v>1.51</v>
      </c>
      <c r="P926">
        <v>581.11900000000003</v>
      </c>
      <c r="Q926" t="s">
        <v>530</v>
      </c>
      <c r="R926" s="31">
        <v>0.34</v>
      </c>
    </row>
    <row r="927" spans="1:18" x14ac:dyDescent="0.3">
      <c r="A927" t="s">
        <v>380</v>
      </c>
      <c r="L927">
        <v>21</v>
      </c>
      <c r="M927">
        <v>21</v>
      </c>
      <c r="N927" t="s">
        <v>58</v>
      </c>
      <c r="O927">
        <v>2.4300000000000002</v>
      </c>
      <c r="P927">
        <v>42.991</v>
      </c>
      <c r="Q927" t="s">
        <v>531</v>
      </c>
      <c r="R927" s="31">
        <v>0.08</v>
      </c>
    </row>
    <row r="928" spans="1:18" x14ac:dyDescent="0.3">
      <c r="L928">
        <v>22</v>
      </c>
      <c r="M928">
        <v>22</v>
      </c>
      <c r="N928" t="s">
        <v>59</v>
      </c>
      <c r="O928">
        <v>2.5</v>
      </c>
      <c r="P928">
        <v>11324.117</v>
      </c>
      <c r="Q928" t="s">
        <v>532</v>
      </c>
      <c r="R928" s="31">
        <v>2.2599999999999998</v>
      </c>
    </row>
    <row r="929" spans="1:18" x14ac:dyDescent="0.3">
      <c r="A929" t="s">
        <v>444</v>
      </c>
      <c r="L929">
        <v>23</v>
      </c>
      <c r="M929">
        <v>23</v>
      </c>
      <c r="N929" t="s">
        <v>60</v>
      </c>
      <c r="O929">
        <v>2.58</v>
      </c>
      <c r="P929">
        <v>12407.245999999999</v>
      </c>
      <c r="Q929" t="s">
        <v>533</v>
      </c>
      <c r="R929" s="31">
        <v>1.49</v>
      </c>
    </row>
    <row r="931" spans="1:18" x14ac:dyDescent="0.3">
      <c r="B931" t="s">
        <v>382</v>
      </c>
      <c r="C931" t="s">
        <v>383</v>
      </c>
      <c r="D931" t="s">
        <v>384</v>
      </c>
      <c r="E931" t="s">
        <v>385</v>
      </c>
      <c r="F931" t="s">
        <v>386</v>
      </c>
      <c r="G931" s="31" t="s">
        <v>387</v>
      </c>
      <c r="L931" t="s">
        <v>379</v>
      </c>
    </row>
    <row r="932" spans="1:18" x14ac:dyDescent="0.3">
      <c r="A932">
        <v>1</v>
      </c>
      <c r="B932">
        <v>1</v>
      </c>
      <c r="C932" t="s">
        <v>0</v>
      </c>
      <c r="D932">
        <v>1.01</v>
      </c>
      <c r="E932">
        <v>4009.8020000000001</v>
      </c>
      <c r="F932" t="s">
        <v>388</v>
      </c>
      <c r="G932" s="31">
        <v>35.24</v>
      </c>
    </row>
    <row r="933" spans="1:18" x14ac:dyDescent="0.3">
      <c r="A933">
        <v>2</v>
      </c>
      <c r="B933">
        <v>2</v>
      </c>
      <c r="C933" t="s">
        <v>1</v>
      </c>
      <c r="D933">
        <v>1.45</v>
      </c>
      <c r="E933">
        <v>4556.8549999999996</v>
      </c>
      <c r="F933" t="s">
        <v>389</v>
      </c>
      <c r="G933" s="31">
        <v>7.58</v>
      </c>
      <c r="L933" t="s">
        <v>557</v>
      </c>
    </row>
    <row r="934" spans="1:18" x14ac:dyDescent="0.3">
      <c r="A934">
        <v>3</v>
      </c>
      <c r="B934">
        <v>3</v>
      </c>
      <c r="C934" t="s">
        <v>50</v>
      </c>
      <c r="D934">
        <v>3.57</v>
      </c>
      <c r="E934">
        <v>752.69399999999996</v>
      </c>
      <c r="F934" t="s">
        <v>390</v>
      </c>
      <c r="G934" s="31">
        <v>0.55000000000000004</v>
      </c>
    </row>
    <row r="935" spans="1:18" x14ac:dyDescent="0.3">
      <c r="A935">
        <v>4</v>
      </c>
      <c r="B935">
        <v>4</v>
      </c>
      <c r="C935" t="s">
        <v>2</v>
      </c>
      <c r="D935">
        <v>3.69</v>
      </c>
      <c r="E935">
        <v>32538.978999999999</v>
      </c>
      <c r="F935" t="s">
        <v>391</v>
      </c>
      <c r="G935" s="31">
        <v>2.19</v>
      </c>
      <c r="L935" t="s">
        <v>564</v>
      </c>
    </row>
    <row r="936" spans="1:18" x14ac:dyDescent="0.3">
      <c r="A936">
        <v>5</v>
      </c>
      <c r="B936">
        <v>5</v>
      </c>
      <c r="C936" t="s">
        <v>3</v>
      </c>
      <c r="D936">
        <v>4.47</v>
      </c>
      <c r="E936">
        <v>9952.232</v>
      </c>
      <c r="F936" t="s">
        <v>392</v>
      </c>
      <c r="G936" s="31">
        <v>24.86</v>
      </c>
    </row>
    <row r="937" spans="1:18" x14ac:dyDescent="0.3">
      <c r="A937">
        <v>6</v>
      </c>
      <c r="B937">
        <v>6</v>
      </c>
      <c r="C937" t="s">
        <v>4</v>
      </c>
      <c r="D937">
        <v>4.8</v>
      </c>
      <c r="E937">
        <v>83941.695000000007</v>
      </c>
      <c r="F937" t="s">
        <v>393</v>
      </c>
      <c r="G937" s="31">
        <v>4.01</v>
      </c>
      <c r="M937" t="s">
        <v>382</v>
      </c>
      <c r="N937" t="s">
        <v>383</v>
      </c>
      <c r="O937" t="s">
        <v>384</v>
      </c>
      <c r="P937" t="s">
        <v>385</v>
      </c>
      <c r="Q937" t="s">
        <v>386</v>
      </c>
      <c r="R937" s="31" t="s">
        <v>387</v>
      </c>
    </row>
    <row r="938" spans="1:18" x14ac:dyDescent="0.3">
      <c r="A938">
        <v>7</v>
      </c>
      <c r="B938">
        <v>7</v>
      </c>
      <c r="C938" t="s">
        <v>5</v>
      </c>
      <c r="D938">
        <v>2.71</v>
      </c>
      <c r="E938">
        <v>7018.1540000000005</v>
      </c>
      <c r="F938" t="s">
        <v>394</v>
      </c>
      <c r="G938" s="31">
        <v>1.2</v>
      </c>
      <c r="L938">
        <v>1</v>
      </c>
      <c r="M938">
        <v>1</v>
      </c>
      <c r="N938" t="s">
        <v>35</v>
      </c>
      <c r="O938">
        <v>1.44</v>
      </c>
      <c r="P938">
        <v>109050.398</v>
      </c>
      <c r="Q938" t="s">
        <v>511</v>
      </c>
      <c r="R938" s="31">
        <v>16.12</v>
      </c>
    </row>
    <row r="939" spans="1:18" x14ac:dyDescent="0.3">
      <c r="A939">
        <v>8</v>
      </c>
      <c r="B939">
        <v>8</v>
      </c>
      <c r="C939" t="s">
        <v>6</v>
      </c>
      <c r="D939">
        <v>0.67</v>
      </c>
      <c r="E939">
        <v>6278.2730000000001</v>
      </c>
      <c r="F939" t="s">
        <v>395</v>
      </c>
      <c r="G939" s="31">
        <v>79.61</v>
      </c>
      <c r="L939">
        <v>2</v>
      </c>
      <c r="M939">
        <v>2</v>
      </c>
      <c r="N939" t="s">
        <v>36</v>
      </c>
      <c r="O939">
        <v>1.66</v>
      </c>
      <c r="P939">
        <v>3324243.5</v>
      </c>
      <c r="Q939" t="s">
        <v>512</v>
      </c>
      <c r="R939" s="31">
        <v>267.12</v>
      </c>
    </row>
    <row r="940" spans="1:18" x14ac:dyDescent="0.3">
      <c r="A940">
        <v>9</v>
      </c>
      <c r="B940">
        <v>9</v>
      </c>
      <c r="C940" t="s">
        <v>7</v>
      </c>
      <c r="D940">
        <v>3.56</v>
      </c>
      <c r="E940">
        <v>443.69099999999997</v>
      </c>
      <c r="F940" t="s">
        <v>396</v>
      </c>
      <c r="G940" s="31">
        <v>1.36</v>
      </c>
      <c r="L940">
        <v>3</v>
      </c>
      <c r="M940">
        <v>3</v>
      </c>
      <c r="N940" t="s">
        <v>37</v>
      </c>
      <c r="O940">
        <v>1.81</v>
      </c>
      <c r="P940">
        <v>887.2</v>
      </c>
      <c r="Q940" t="s">
        <v>513</v>
      </c>
      <c r="R940" s="31">
        <v>0.15</v>
      </c>
    </row>
    <row r="941" spans="1:18" x14ac:dyDescent="0.3">
      <c r="A941">
        <v>10</v>
      </c>
      <c r="B941">
        <v>10</v>
      </c>
      <c r="C941" t="s">
        <v>51</v>
      </c>
      <c r="D941">
        <v>4.62</v>
      </c>
      <c r="E941">
        <v>1405.6489999999999</v>
      </c>
      <c r="F941" t="s">
        <v>397</v>
      </c>
      <c r="G941" s="31">
        <v>0.31</v>
      </c>
      <c r="L941">
        <v>4</v>
      </c>
      <c r="M941">
        <v>4</v>
      </c>
      <c r="N941" t="s">
        <v>38</v>
      </c>
      <c r="O941">
        <v>1.17</v>
      </c>
      <c r="P941">
        <v>9770.17</v>
      </c>
      <c r="Q941" t="s">
        <v>514</v>
      </c>
      <c r="R941" s="31">
        <v>0.99</v>
      </c>
    </row>
    <row r="942" spans="1:18" x14ac:dyDescent="0.3">
      <c r="A942">
        <v>11</v>
      </c>
      <c r="B942">
        <v>11</v>
      </c>
      <c r="C942" t="s">
        <v>8</v>
      </c>
      <c r="D942">
        <v>2.74</v>
      </c>
      <c r="E942">
        <v>65616.523000000001</v>
      </c>
      <c r="F942" t="s">
        <v>398</v>
      </c>
      <c r="G942" s="31">
        <v>3.7</v>
      </c>
      <c r="L942">
        <v>5</v>
      </c>
      <c r="M942">
        <v>5</v>
      </c>
      <c r="N942" t="s">
        <v>39</v>
      </c>
      <c r="O942">
        <v>1.37</v>
      </c>
      <c r="P942">
        <v>254984.18799999999</v>
      </c>
      <c r="Q942" t="s">
        <v>515</v>
      </c>
      <c r="R942" s="31">
        <v>31.73</v>
      </c>
    </row>
    <row r="943" spans="1:18" x14ac:dyDescent="0.3">
      <c r="A943">
        <v>12</v>
      </c>
      <c r="B943">
        <v>12</v>
      </c>
      <c r="C943" t="s">
        <v>9</v>
      </c>
      <c r="D943">
        <v>2.63</v>
      </c>
      <c r="E943">
        <v>14757.081</v>
      </c>
      <c r="F943" t="s">
        <v>399</v>
      </c>
      <c r="G943" s="31">
        <v>5.19</v>
      </c>
      <c r="L943">
        <v>6</v>
      </c>
      <c r="M943">
        <v>6</v>
      </c>
      <c r="N943" t="s">
        <v>40</v>
      </c>
      <c r="O943">
        <v>1.53</v>
      </c>
      <c r="P943">
        <v>23343.775000000001</v>
      </c>
      <c r="Q943" t="s">
        <v>516</v>
      </c>
      <c r="R943" s="31">
        <v>1.64</v>
      </c>
    </row>
    <row r="944" spans="1:18" x14ac:dyDescent="0.3">
      <c r="A944">
        <v>13</v>
      </c>
      <c r="B944">
        <v>13</v>
      </c>
      <c r="C944" t="s">
        <v>10</v>
      </c>
      <c r="D944">
        <v>4.09</v>
      </c>
      <c r="E944">
        <v>890513.375</v>
      </c>
      <c r="F944" t="s">
        <v>400</v>
      </c>
      <c r="G944" s="31">
        <v>79.3</v>
      </c>
      <c r="L944">
        <v>7</v>
      </c>
      <c r="M944">
        <v>7</v>
      </c>
      <c r="N944" t="s">
        <v>41</v>
      </c>
      <c r="O944">
        <v>2.29</v>
      </c>
      <c r="P944">
        <v>3774.78</v>
      </c>
      <c r="Q944" t="s">
        <v>517</v>
      </c>
      <c r="R944" s="31">
        <v>2.42</v>
      </c>
    </row>
    <row r="945" spans="1:18" x14ac:dyDescent="0.3">
      <c r="A945">
        <v>14</v>
      </c>
      <c r="B945">
        <v>14</v>
      </c>
      <c r="C945" t="s">
        <v>11</v>
      </c>
      <c r="D945">
        <v>3.52</v>
      </c>
      <c r="E945">
        <v>19.34</v>
      </c>
      <c r="F945" t="s">
        <v>401</v>
      </c>
      <c r="G945" s="31">
        <v>2.16</v>
      </c>
      <c r="L945">
        <v>8</v>
      </c>
      <c r="M945">
        <v>8</v>
      </c>
      <c r="N945" t="s">
        <v>42</v>
      </c>
      <c r="O945">
        <v>0.89</v>
      </c>
      <c r="P945">
        <v>1069.059</v>
      </c>
      <c r="Q945" t="s">
        <v>518</v>
      </c>
      <c r="R945" s="31">
        <v>12.99</v>
      </c>
    </row>
    <row r="946" spans="1:18" x14ac:dyDescent="0.3">
      <c r="A946">
        <v>15</v>
      </c>
      <c r="B946">
        <v>15</v>
      </c>
      <c r="C946" t="s">
        <v>12</v>
      </c>
      <c r="D946">
        <v>3.33</v>
      </c>
      <c r="E946">
        <v>622.26900000000001</v>
      </c>
      <c r="F946" t="s">
        <v>402</v>
      </c>
      <c r="G946" s="31">
        <v>3.01</v>
      </c>
      <c r="L946">
        <v>9</v>
      </c>
      <c r="M946">
        <v>9</v>
      </c>
      <c r="N946" t="s">
        <v>43</v>
      </c>
      <c r="O946">
        <v>2.54</v>
      </c>
      <c r="P946">
        <v>8573.7099999999991</v>
      </c>
      <c r="Q946" t="s">
        <v>519</v>
      </c>
      <c r="R946" s="31">
        <v>0.09</v>
      </c>
    </row>
    <row r="947" spans="1:18" x14ac:dyDescent="0.3">
      <c r="A947">
        <v>16</v>
      </c>
      <c r="B947">
        <v>16</v>
      </c>
      <c r="C947" t="s">
        <v>13</v>
      </c>
      <c r="D947">
        <v>3.23</v>
      </c>
      <c r="E947">
        <v>8209.5210000000006</v>
      </c>
      <c r="F947" t="s">
        <v>403</v>
      </c>
      <c r="G947" s="31">
        <v>1.73</v>
      </c>
      <c r="L947">
        <v>10</v>
      </c>
      <c r="M947">
        <v>10</v>
      </c>
      <c r="N947" t="s">
        <v>52</v>
      </c>
      <c r="O947">
        <v>4.13</v>
      </c>
      <c r="P947">
        <v>1945.1220000000001</v>
      </c>
      <c r="Q947" t="s">
        <v>520</v>
      </c>
      <c r="R947" s="31">
        <v>0.1</v>
      </c>
    </row>
    <row r="948" spans="1:18" x14ac:dyDescent="0.3">
      <c r="A948">
        <v>17</v>
      </c>
      <c r="B948">
        <v>17</v>
      </c>
      <c r="C948" t="s">
        <v>14</v>
      </c>
      <c r="D948">
        <v>2.0099999999999998</v>
      </c>
      <c r="E948">
        <v>85489.195000000007</v>
      </c>
      <c r="F948" t="s">
        <v>404</v>
      </c>
      <c r="G948" s="31">
        <v>13.9</v>
      </c>
      <c r="L948">
        <v>11</v>
      </c>
      <c r="M948">
        <v>11</v>
      </c>
      <c r="N948" t="s">
        <v>44</v>
      </c>
      <c r="O948">
        <v>4.18</v>
      </c>
      <c r="P948">
        <v>1862.9849999999999</v>
      </c>
      <c r="Q948" t="s">
        <v>521</v>
      </c>
      <c r="R948" s="31">
        <v>0.21</v>
      </c>
    </row>
    <row r="949" spans="1:18" x14ac:dyDescent="0.3">
      <c r="A949">
        <v>18</v>
      </c>
      <c r="B949">
        <v>18</v>
      </c>
      <c r="C949" t="s">
        <v>15</v>
      </c>
      <c r="D949">
        <v>2.5</v>
      </c>
      <c r="E949">
        <v>28791.594000000001</v>
      </c>
      <c r="F949" t="s">
        <v>405</v>
      </c>
      <c r="G949" s="31">
        <v>15.16</v>
      </c>
      <c r="L949">
        <v>12</v>
      </c>
      <c r="M949">
        <v>12</v>
      </c>
      <c r="N949" t="s">
        <v>45</v>
      </c>
      <c r="O949">
        <v>3.44</v>
      </c>
      <c r="P949">
        <v>1107801.375</v>
      </c>
      <c r="Q949" t="s">
        <v>522</v>
      </c>
      <c r="R949" s="31">
        <v>15.99</v>
      </c>
    </row>
    <row r="950" spans="1:18" x14ac:dyDescent="0.3">
      <c r="A950">
        <v>19</v>
      </c>
      <c r="B950">
        <v>19</v>
      </c>
      <c r="C950" t="s">
        <v>16</v>
      </c>
      <c r="D950">
        <v>2.71</v>
      </c>
      <c r="E950">
        <v>13286.084999999999</v>
      </c>
      <c r="F950" t="s">
        <v>406</v>
      </c>
      <c r="G950" s="31">
        <v>0.81</v>
      </c>
      <c r="L950">
        <v>13</v>
      </c>
      <c r="M950">
        <v>13</v>
      </c>
      <c r="N950" t="s">
        <v>46</v>
      </c>
      <c r="O950">
        <v>2.59</v>
      </c>
      <c r="P950">
        <v>253315.625</v>
      </c>
      <c r="Q950" t="s">
        <v>523</v>
      </c>
      <c r="R950" s="31">
        <v>8.6999999999999993</v>
      </c>
    </row>
    <row r="951" spans="1:18" x14ac:dyDescent="0.3">
      <c r="A951">
        <v>20</v>
      </c>
      <c r="B951">
        <v>20</v>
      </c>
      <c r="C951" t="s">
        <v>17</v>
      </c>
      <c r="D951">
        <v>3.13</v>
      </c>
      <c r="E951">
        <v>14972.134</v>
      </c>
      <c r="F951" t="s">
        <v>407</v>
      </c>
      <c r="G951" s="31">
        <v>3.15</v>
      </c>
      <c r="L951">
        <v>14</v>
      </c>
      <c r="M951">
        <v>14</v>
      </c>
      <c r="N951" t="s">
        <v>47</v>
      </c>
      <c r="O951">
        <v>0.67</v>
      </c>
      <c r="P951">
        <v>12607.627</v>
      </c>
      <c r="Q951" t="s">
        <v>524</v>
      </c>
      <c r="R951" s="31">
        <v>3.41</v>
      </c>
    </row>
    <row r="952" spans="1:18" x14ac:dyDescent="0.3">
      <c r="A952">
        <v>21</v>
      </c>
      <c r="B952">
        <v>21</v>
      </c>
      <c r="C952" t="s">
        <v>18</v>
      </c>
      <c r="D952">
        <v>3.68</v>
      </c>
      <c r="E952">
        <v>21600.956999999999</v>
      </c>
      <c r="F952" t="s">
        <v>408</v>
      </c>
      <c r="G952" s="31">
        <v>1.07</v>
      </c>
      <c r="L952">
        <v>15</v>
      </c>
      <c r="M952">
        <v>15</v>
      </c>
      <c r="N952" t="s">
        <v>48</v>
      </c>
      <c r="O952">
        <v>1.21</v>
      </c>
      <c r="P952">
        <v>27883.026999999998</v>
      </c>
      <c r="Q952" t="s">
        <v>525</v>
      </c>
      <c r="R952" s="31">
        <v>2.77</v>
      </c>
    </row>
    <row r="953" spans="1:18" x14ac:dyDescent="0.3">
      <c r="A953">
        <v>22</v>
      </c>
      <c r="B953">
        <v>22</v>
      </c>
      <c r="C953" t="s">
        <v>19</v>
      </c>
      <c r="D953">
        <v>2.64</v>
      </c>
      <c r="E953">
        <v>102698.125</v>
      </c>
      <c r="F953" t="s">
        <v>409</v>
      </c>
      <c r="G953" s="31">
        <v>10.9</v>
      </c>
      <c r="L953">
        <v>16</v>
      </c>
      <c r="M953">
        <v>16</v>
      </c>
      <c r="N953" t="s">
        <v>53</v>
      </c>
      <c r="O953">
        <v>4.55</v>
      </c>
      <c r="P953">
        <v>57426.508000000002</v>
      </c>
      <c r="Q953" t="s">
        <v>526</v>
      </c>
      <c r="R953" s="31">
        <v>0.55000000000000004</v>
      </c>
    </row>
    <row r="954" spans="1:18" x14ac:dyDescent="0.3">
      <c r="A954">
        <v>23</v>
      </c>
      <c r="B954">
        <v>23</v>
      </c>
      <c r="C954" t="s">
        <v>20</v>
      </c>
      <c r="D954">
        <v>2.89</v>
      </c>
      <c r="E954">
        <v>22603.447</v>
      </c>
      <c r="F954" t="s">
        <v>410</v>
      </c>
      <c r="G954" s="31">
        <v>1.54</v>
      </c>
      <c r="L954">
        <v>17</v>
      </c>
      <c r="M954">
        <v>17</v>
      </c>
      <c r="N954" t="s">
        <v>54</v>
      </c>
      <c r="O954">
        <v>5.24</v>
      </c>
      <c r="P954">
        <v>16.651</v>
      </c>
      <c r="Q954" t="s">
        <v>527</v>
      </c>
      <c r="R954" s="31">
        <v>0.1</v>
      </c>
    </row>
    <row r="955" spans="1:18" x14ac:dyDescent="0.3">
      <c r="A955">
        <v>24</v>
      </c>
      <c r="B955">
        <v>24</v>
      </c>
      <c r="C955" t="s">
        <v>21</v>
      </c>
      <c r="D955">
        <v>4.1100000000000003</v>
      </c>
      <c r="E955">
        <v>188.27500000000001</v>
      </c>
      <c r="F955" t="s">
        <v>411</v>
      </c>
      <c r="G955" s="31">
        <v>0.1</v>
      </c>
      <c r="L955">
        <v>18</v>
      </c>
      <c r="M955">
        <v>18</v>
      </c>
      <c r="N955" t="s">
        <v>55</v>
      </c>
      <c r="O955">
        <v>1.32</v>
      </c>
      <c r="P955">
        <v>4451.9579999999996</v>
      </c>
      <c r="Q955" t="s">
        <v>528</v>
      </c>
      <c r="R955" s="31">
        <v>0.12</v>
      </c>
    </row>
    <row r="956" spans="1:18" x14ac:dyDescent="0.3">
      <c r="A956">
        <v>25</v>
      </c>
      <c r="B956">
        <v>25</v>
      </c>
      <c r="C956" t="s">
        <v>22</v>
      </c>
      <c r="D956">
        <v>3.41</v>
      </c>
      <c r="E956">
        <v>864.70100000000002</v>
      </c>
      <c r="F956" t="s">
        <v>412</v>
      </c>
      <c r="G956" s="31">
        <v>8.15</v>
      </c>
      <c r="L956">
        <v>19</v>
      </c>
      <c r="M956">
        <v>19</v>
      </c>
      <c r="N956" t="s">
        <v>56</v>
      </c>
      <c r="O956">
        <v>0.88</v>
      </c>
      <c r="P956">
        <v>51359.504000000001</v>
      </c>
      <c r="Q956" t="s">
        <v>529</v>
      </c>
      <c r="R956" s="31">
        <v>2.0499999999999998</v>
      </c>
    </row>
    <row r="957" spans="1:18" x14ac:dyDescent="0.3">
      <c r="A957">
        <v>26</v>
      </c>
      <c r="B957">
        <v>26</v>
      </c>
      <c r="C957" t="s">
        <v>23</v>
      </c>
      <c r="D957">
        <v>3.35</v>
      </c>
      <c r="E957">
        <v>72255.445000000007</v>
      </c>
      <c r="F957" t="s">
        <v>413</v>
      </c>
      <c r="G957" s="31">
        <v>7.47</v>
      </c>
      <c r="L957">
        <v>20</v>
      </c>
      <c r="M957">
        <v>20</v>
      </c>
      <c r="N957" t="s">
        <v>57</v>
      </c>
      <c r="O957">
        <v>1.51</v>
      </c>
      <c r="P957">
        <v>1149.3510000000001</v>
      </c>
      <c r="Q957" t="s">
        <v>530</v>
      </c>
      <c r="R957" s="31">
        <v>0.28999999999999998</v>
      </c>
    </row>
    <row r="958" spans="1:18" x14ac:dyDescent="0.3">
      <c r="A958">
        <v>27</v>
      </c>
      <c r="B958">
        <v>27</v>
      </c>
      <c r="C958" t="s">
        <v>24</v>
      </c>
      <c r="D958">
        <v>3.44</v>
      </c>
      <c r="E958">
        <v>1324.009</v>
      </c>
      <c r="F958" t="s">
        <v>414</v>
      </c>
      <c r="G958" s="31">
        <v>0.98</v>
      </c>
      <c r="L958">
        <v>21</v>
      </c>
      <c r="M958">
        <v>21</v>
      </c>
      <c r="N958" t="s">
        <v>58</v>
      </c>
      <c r="O958">
        <v>2.4900000000000002</v>
      </c>
      <c r="P958">
        <v>92.522999999999996</v>
      </c>
      <c r="Q958" t="s">
        <v>531</v>
      </c>
      <c r="R958" s="31">
        <v>0.05</v>
      </c>
    </row>
    <row r="959" spans="1:18" x14ac:dyDescent="0.3">
      <c r="A959">
        <v>28</v>
      </c>
      <c r="B959">
        <v>28</v>
      </c>
      <c r="C959" t="s">
        <v>25</v>
      </c>
      <c r="D959">
        <v>3.51</v>
      </c>
      <c r="E959">
        <v>3584.625</v>
      </c>
      <c r="F959" t="s">
        <v>415</v>
      </c>
      <c r="G959" s="31">
        <v>0.8</v>
      </c>
      <c r="L959">
        <v>22</v>
      </c>
      <c r="M959">
        <v>22</v>
      </c>
      <c r="N959" t="s">
        <v>59</v>
      </c>
      <c r="O959">
        <v>2.5</v>
      </c>
      <c r="P959">
        <v>13653.985000000001</v>
      </c>
      <c r="Q959" t="s">
        <v>532</v>
      </c>
      <c r="R959" s="31">
        <v>1.19</v>
      </c>
    </row>
    <row r="960" spans="1:18" x14ac:dyDescent="0.3">
      <c r="A960">
        <v>29</v>
      </c>
      <c r="B960">
        <v>29</v>
      </c>
      <c r="C960" t="s">
        <v>26</v>
      </c>
      <c r="D960">
        <v>1.03</v>
      </c>
      <c r="E960">
        <v>1412.0070000000001</v>
      </c>
      <c r="F960" t="s">
        <v>416</v>
      </c>
      <c r="G960" s="31">
        <v>1.76</v>
      </c>
      <c r="L960">
        <v>23</v>
      </c>
      <c r="M960">
        <v>23</v>
      </c>
      <c r="N960" t="s">
        <v>60</v>
      </c>
      <c r="O960">
        <v>2.58</v>
      </c>
      <c r="P960">
        <v>20960.976999999999</v>
      </c>
      <c r="Q960" t="s">
        <v>533</v>
      </c>
      <c r="R960" s="31">
        <v>0.98</v>
      </c>
    </row>
    <row r="961" spans="1:18" x14ac:dyDescent="0.3">
      <c r="A961">
        <v>30</v>
      </c>
      <c r="B961">
        <v>30</v>
      </c>
      <c r="C961" t="s">
        <v>27</v>
      </c>
      <c r="D961">
        <v>4.33</v>
      </c>
      <c r="E961">
        <v>1489.116</v>
      </c>
      <c r="F961" t="s">
        <v>417</v>
      </c>
      <c r="G961" s="31">
        <v>0.13</v>
      </c>
    </row>
    <row r="962" spans="1:18" x14ac:dyDescent="0.3">
      <c r="A962">
        <v>31</v>
      </c>
      <c r="B962">
        <v>31</v>
      </c>
      <c r="C962" t="s">
        <v>28</v>
      </c>
      <c r="D962">
        <v>3</v>
      </c>
      <c r="E962">
        <v>848455.375</v>
      </c>
      <c r="F962" t="s">
        <v>418</v>
      </c>
      <c r="G962" s="31">
        <v>6.05</v>
      </c>
      <c r="L962" t="s">
        <v>379</v>
      </c>
    </row>
    <row r="963" spans="1:18" x14ac:dyDescent="0.3">
      <c r="A963">
        <v>32</v>
      </c>
      <c r="B963">
        <v>32</v>
      </c>
      <c r="C963" t="s">
        <v>29</v>
      </c>
      <c r="D963">
        <v>3.37</v>
      </c>
      <c r="E963">
        <v>109.563</v>
      </c>
      <c r="F963" t="s">
        <v>419</v>
      </c>
      <c r="G963" s="31">
        <v>0.06</v>
      </c>
    </row>
    <row r="964" spans="1:18" x14ac:dyDescent="0.3">
      <c r="A964">
        <v>33</v>
      </c>
      <c r="B964">
        <v>33</v>
      </c>
      <c r="C964" t="s">
        <v>30</v>
      </c>
      <c r="D964">
        <v>4.67</v>
      </c>
      <c r="E964">
        <v>31079.535</v>
      </c>
      <c r="F964" t="s">
        <v>420</v>
      </c>
      <c r="G964" s="31">
        <v>1.04</v>
      </c>
      <c r="L964" t="s">
        <v>557</v>
      </c>
    </row>
    <row r="965" spans="1:18" x14ac:dyDescent="0.3">
      <c r="A965">
        <v>34</v>
      </c>
      <c r="B965">
        <v>34</v>
      </c>
      <c r="C965" t="s">
        <v>31</v>
      </c>
      <c r="D965">
        <v>3.5</v>
      </c>
      <c r="E965">
        <v>920.20399999999995</v>
      </c>
      <c r="F965" t="s">
        <v>421</v>
      </c>
      <c r="G965" s="31">
        <v>0.1</v>
      </c>
    </row>
    <row r="966" spans="1:18" x14ac:dyDescent="0.3">
      <c r="A966">
        <v>35</v>
      </c>
      <c r="B966">
        <v>35</v>
      </c>
      <c r="C966" t="s">
        <v>32</v>
      </c>
      <c r="D966">
        <v>3.12</v>
      </c>
      <c r="E966">
        <v>299.56900000000002</v>
      </c>
      <c r="F966" t="s">
        <v>422</v>
      </c>
      <c r="G966" s="31">
        <v>0.14000000000000001</v>
      </c>
      <c r="L966" t="s">
        <v>565</v>
      </c>
    </row>
    <row r="967" spans="1:18" x14ac:dyDescent="0.3">
      <c r="A967">
        <v>36</v>
      </c>
      <c r="B967">
        <v>36</v>
      </c>
      <c r="C967" t="s">
        <v>33</v>
      </c>
      <c r="D967">
        <v>1.9</v>
      </c>
      <c r="E967">
        <v>565.57100000000003</v>
      </c>
      <c r="F967" t="s">
        <v>423</v>
      </c>
      <c r="G967" s="31">
        <v>0.42</v>
      </c>
    </row>
    <row r="968" spans="1:18" x14ac:dyDescent="0.3">
      <c r="G968" s="31">
        <f>G945/G947</f>
        <v>1.2485549132947977</v>
      </c>
      <c r="M968" t="s">
        <v>382</v>
      </c>
      <c r="N968" t="s">
        <v>383</v>
      </c>
      <c r="O968" t="s">
        <v>384</v>
      </c>
      <c r="P968" t="s">
        <v>385</v>
      </c>
      <c r="Q968" t="s">
        <v>386</v>
      </c>
      <c r="R968" s="31" t="s">
        <v>387</v>
      </c>
    </row>
    <row r="969" spans="1:18" x14ac:dyDescent="0.3">
      <c r="A969" t="s">
        <v>379</v>
      </c>
      <c r="L969">
        <v>1</v>
      </c>
      <c r="M969">
        <v>1</v>
      </c>
      <c r="N969" t="s">
        <v>35</v>
      </c>
      <c r="O969">
        <v>1.44</v>
      </c>
      <c r="P969">
        <v>4038.933</v>
      </c>
      <c r="Q969" t="s">
        <v>511</v>
      </c>
      <c r="R969" s="31">
        <v>6.31</v>
      </c>
    </row>
    <row r="970" spans="1:18" x14ac:dyDescent="0.3">
      <c r="L970">
        <v>2</v>
      </c>
      <c r="M970">
        <v>2</v>
      </c>
      <c r="N970" t="s">
        <v>36</v>
      </c>
      <c r="O970">
        <v>1.66</v>
      </c>
      <c r="P970">
        <v>2190382.25</v>
      </c>
      <c r="Q970" t="s">
        <v>512</v>
      </c>
      <c r="R970" s="31">
        <v>197.9</v>
      </c>
    </row>
    <row r="971" spans="1:18" x14ac:dyDescent="0.3">
      <c r="A971" t="s">
        <v>380</v>
      </c>
      <c r="L971">
        <v>3</v>
      </c>
      <c r="M971">
        <v>3</v>
      </c>
      <c r="N971" t="s">
        <v>37</v>
      </c>
      <c r="O971">
        <v>1.81</v>
      </c>
      <c r="P971">
        <v>896.02800000000002</v>
      </c>
      <c r="Q971" t="s">
        <v>513</v>
      </c>
      <c r="R971" s="31">
        <v>0.16</v>
      </c>
    </row>
    <row r="972" spans="1:18" x14ac:dyDescent="0.3">
      <c r="L972">
        <v>4</v>
      </c>
      <c r="M972">
        <v>4</v>
      </c>
      <c r="N972" t="s">
        <v>38</v>
      </c>
      <c r="O972">
        <v>1.17</v>
      </c>
      <c r="P972">
        <v>4804.9179999999997</v>
      </c>
      <c r="Q972" t="s">
        <v>514</v>
      </c>
      <c r="R972" s="31">
        <v>0.54</v>
      </c>
    </row>
    <row r="973" spans="1:18" x14ac:dyDescent="0.3">
      <c r="A973" t="s">
        <v>445</v>
      </c>
      <c r="L973">
        <v>5</v>
      </c>
      <c r="M973">
        <v>5</v>
      </c>
      <c r="N973" t="s">
        <v>39</v>
      </c>
      <c r="O973">
        <v>1.37</v>
      </c>
      <c r="P973">
        <v>496671.15600000002</v>
      </c>
      <c r="Q973" t="s">
        <v>515</v>
      </c>
      <c r="R973" s="31">
        <v>62.68</v>
      </c>
    </row>
    <row r="974" spans="1:18" x14ac:dyDescent="0.3">
      <c r="L974">
        <v>6</v>
      </c>
      <c r="M974">
        <v>6</v>
      </c>
      <c r="N974" t="s">
        <v>40</v>
      </c>
      <c r="O974">
        <v>1.52</v>
      </c>
      <c r="P974">
        <v>27153.627</v>
      </c>
      <c r="Q974" t="s">
        <v>516</v>
      </c>
      <c r="R974" s="31">
        <v>2.02</v>
      </c>
    </row>
    <row r="975" spans="1:18" x14ac:dyDescent="0.3">
      <c r="B975" t="s">
        <v>382</v>
      </c>
      <c r="C975" t="s">
        <v>383</v>
      </c>
      <c r="D975" t="s">
        <v>384</v>
      </c>
      <c r="E975" t="s">
        <v>385</v>
      </c>
      <c r="F975" t="s">
        <v>386</v>
      </c>
      <c r="G975" s="31" t="s">
        <v>387</v>
      </c>
      <c r="L975">
        <v>7</v>
      </c>
      <c r="M975">
        <v>7</v>
      </c>
      <c r="N975" t="s">
        <v>41</v>
      </c>
      <c r="O975">
        <v>2.2799999999999998</v>
      </c>
      <c r="P975">
        <v>4043.4110000000001</v>
      </c>
      <c r="Q975" t="s">
        <v>517</v>
      </c>
      <c r="R975" s="31">
        <v>2.75</v>
      </c>
    </row>
    <row r="976" spans="1:18" x14ac:dyDescent="0.3">
      <c r="A976">
        <v>1</v>
      </c>
      <c r="B976">
        <v>1</v>
      </c>
      <c r="C976" t="s">
        <v>0</v>
      </c>
      <c r="D976">
        <v>1.02</v>
      </c>
      <c r="E976">
        <v>11.493</v>
      </c>
      <c r="F976" t="s">
        <v>388</v>
      </c>
      <c r="G976" s="31">
        <v>0.1</v>
      </c>
      <c r="L976">
        <v>8</v>
      </c>
      <c r="M976">
        <v>8</v>
      </c>
      <c r="N976" t="s">
        <v>42</v>
      </c>
      <c r="O976">
        <v>0.88</v>
      </c>
      <c r="P976">
        <v>28.663</v>
      </c>
      <c r="Q976" t="s">
        <v>518</v>
      </c>
      <c r="R976" s="31">
        <v>13.06</v>
      </c>
    </row>
    <row r="977" spans="1:18" x14ac:dyDescent="0.3">
      <c r="A977">
        <v>2</v>
      </c>
      <c r="B977">
        <v>2</v>
      </c>
      <c r="C977" t="s">
        <v>1</v>
      </c>
      <c r="D977">
        <v>1.82</v>
      </c>
      <c r="E977">
        <v>57.243000000000002</v>
      </c>
      <c r="F977" t="s">
        <v>389</v>
      </c>
      <c r="G977" s="31">
        <v>5.12</v>
      </c>
      <c r="L977">
        <v>9</v>
      </c>
      <c r="M977">
        <v>9</v>
      </c>
      <c r="N977" t="s">
        <v>43</v>
      </c>
      <c r="O977">
        <v>2.54</v>
      </c>
      <c r="P977">
        <v>14262.723</v>
      </c>
      <c r="Q977" t="s">
        <v>519</v>
      </c>
      <c r="R977" s="31">
        <v>0.16</v>
      </c>
    </row>
    <row r="978" spans="1:18" x14ac:dyDescent="0.3">
      <c r="A978">
        <v>3</v>
      </c>
      <c r="B978">
        <v>3</v>
      </c>
      <c r="C978" t="s">
        <v>50</v>
      </c>
      <c r="D978">
        <v>3.77</v>
      </c>
      <c r="E978">
        <v>120.449</v>
      </c>
      <c r="F978" t="s">
        <v>390</v>
      </c>
      <c r="G978" s="31">
        <v>0.78</v>
      </c>
      <c r="L978">
        <v>10</v>
      </c>
      <c r="M978">
        <v>10</v>
      </c>
      <c r="N978" t="s">
        <v>52</v>
      </c>
      <c r="O978">
        <v>4.1100000000000003</v>
      </c>
      <c r="P978">
        <v>36360.733999999997</v>
      </c>
      <c r="Q978" t="s">
        <v>520</v>
      </c>
      <c r="R978" s="31">
        <v>1.58</v>
      </c>
    </row>
    <row r="979" spans="1:18" x14ac:dyDescent="0.3">
      <c r="A979">
        <v>4</v>
      </c>
      <c r="B979">
        <v>4</v>
      </c>
      <c r="C979" t="s">
        <v>2</v>
      </c>
      <c r="D979">
        <v>3.81</v>
      </c>
      <c r="E979">
        <v>98.412999999999997</v>
      </c>
      <c r="F979" t="s">
        <v>391</v>
      </c>
      <c r="G979" s="31">
        <v>0.78</v>
      </c>
      <c r="L979">
        <v>11</v>
      </c>
      <c r="M979">
        <v>11</v>
      </c>
      <c r="N979" t="s">
        <v>44</v>
      </c>
      <c r="O979">
        <v>4.18</v>
      </c>
      <c r="P979">
        <v>1809.809</v>
      </c>
      <c r="Q979" t="s">
        <v>521</v>
      </c>
      <c r="R979" s="31">
        <v>0.22</v>
      </c>
    </row>
    <row r="980" spans="1:18" x14ac:dyDescent="0.3">
      <c r="A980">
        <v>5</v>
      </c>
      <c r="B980">
        <v>5</v>
      </c>
      <c r="C980" t="s">
        <v>3</v>
      </c>
      <c r="D980">
        <v>4.55</v>
      </c>
      <c r="E980">
        <v>190.03299999999999</v>
      </c>
      <c r="F980" t="s">
        <v>392</v>
      </c>
      <c r="G980" s="31">
        <v>0.11</v>
      </c>
      <c r="L980">
        <v>12</v>
      </c>
      <c r="M980">
        <v>12</v>
      </c>
      <c r="N980" t="s">
        <v>45</v>
      </c>
      <c r="O980">
        <v>3.44</v>
      </c>
      <c r="P980">
        <v>1636492.75</v>
      </c>
      <c r="Q980" t="s">
        <v>522</v>
      </c>
      <c r="R980" s="31">
        <v>27.54</v>
      </c>
    </row>
    <row r="981" spans="1:18" x14ac:dyDescent="0.3">
      <c r="A981">
        <v>6</v>
      </c>
      <c r="B981">
        <v>6</v>
      </c>
      <c r="C981" t="s">
        <v>4</v>
      </c>
      <c r="F981" t="s">
        <v>393</v>
      </c>
      <c r="G981" s="31">
        <v>0.1</v>
      </c>
      <c r="L981">
        <v>13</v>
      </c>
      <c r="M981">
        <v>13</v>
      </c>
      <c r="N981" t="s">
        <v>46</v>
      </c>
      <c r="O981">
        <v>2.58</v>
      </c>
      <c r="P981">
        <v>340980.93800000002</v>
      </c>
      <c r="Q981" t="s">
        <v>523</v>
      </c>
      <c r="R981" s="31">
        <v>12.75</v>
      </c>
    </row>
    <row r="982" spans="1:18" x14ac:dyDescent="0.3">
      <c r="A982">
        <v>7</v>
      </c>
      <c r="B982">
        <v>7</v>
      </c>
      <c r="C982" t="s">
        <v>5</v>
      </c>
      <c r="D982">
        <v>2.71</v>
      </c>
      <c r="E982">
        <v>22.69</v>
      </c>
      <c r="F982" t="s">
        <v>394</v>
      </c>
      <c r="G982" s="31">
        <v>0.09</v>
      </c>
      <c r="L982">
        <v>14</v>
      </c>
      <c r="M982">
        <v>14</v>
      </c>
      <c r="N982" t="s">
        <v>47</v>
      </c>
      <c r="O982">
        <v>0.67</v>
      </c>
      <c r="P982">
        <v>42511.641000000003</v>
      </c>
      <c r="Q982" t="s">
        <v>524</v>
      </c>
      <c r="R982" s="31">
        <v>15.3</v>
      </c>
    </row>
    <row r="983" spans="1:18" x14ac:dyDescent="0.3">
      <c r="A983">
        <v>8</v>
      </c>
      <c r="B983">
        <v>8</v>
      </c>
      <c r="C983" t="s">
        <v>6</v>
      </c>
      <c r="F983" t="s">
        <v>395</v>
      </c>
      <c r="G983" s="31">
        <v>0.1</v>
      </c>
      <c r="L983">
        <v>15</v>
      </c>
      <c r="M983">
        <v>15</v>
      </c>
      <c r="N983" t="s">
        <v>48</v>
      </c>
      <c r="O983">
        <v>1.21</v>
      </c>
      <c r="P983">
        <v>58907.453000000001</v>
      </c>
      <c r="Q983" t="s">
        <v>525</v>
      </c>
      <c r="R983" s="31">
        <v>6.49</v>
      </c>
    </row>
    <row r="984" spans="1:18" x14ac:dyDescent="0.3">
      <c r="A984">
        <v>9</v>
      </c>
      <c r="B984">
        <v>9</v>
      </c>
      <c r="C984" t="s">
        <v>7</v>
      </c>
      <c r="D984">
        <v>3.59</v>
      </c>
      <c r="E984">
        <v>68.771000000000001</v>
      </c>
      <c r="F984" t="s">
        <v>396</v>
      </c>
      <c r="G984" s="31">
        <v>2.23</v>
      </c>
      <c r="L984">
        <v>16</v>
      </c>
      <c r="M984">
        <v>16</v>
      </c>
      <c r="N984" t="s">
        <v>53</v>
      </c>
      <c r="O984">
        <v>4.55</v>
      </c>
      <c r="P984">
        <v>70035.891000000003</v>
      </c>
      <c r="Q984" t="s">
        <v>526</v>
      </c>
      <c r="R984" s="31">
        <v>0.72</v>
      </c>
    </row>
    <row r="985" spans="1:18" x14ac:dyDescent="0.3">
      <c r="A985">
        <v>10</v>
      </c>
      <c r="B985">
        <v>10</v>
      </c>
      <c r="C985" t="s">
        <v>51</v>
      </c>
      <c r="D985">
        <v>4.71</v>
      </c>
      <c r="E985">
        <v>203.70400000000001</v>
      </c>
      <c r="F985" t="s">
        <v>397</v>
      </c>
      <c r="G985" s="31">
        <v>0.35</v>
      </c>
      <c r="L985">
        <v>17</v>
      </c>
      <c r="M985">
        <v>17</v>
      </c>
      <c r="N985" t="s">
        <v>54</v>
      </c>
      <c r="O985">
        <v>5.25</v>
      </c>
      <c r="P985">
        <v>24.091999999999999</v>
      </c>
      <c r="Q985" t="s">
        <v>527</v>
      </c>
      <c r="R985" s="31">
        <v>0.1</v>
      </c>
    </row>
    <row r="986" spans="1:18" x14ac:dyDescent="0.3">
      <c r="A986">
        <v>11</v>
      </c>
      <c r="B986">
        <v>11</v>
      </c>
      <c r="C986" t="s">
        <v>8</v>
      </c>
      <c r="F986" t="s">
        <v>398</v>
      </c>
      <c r="G986" s="31">
        <v>0.1</v>
      </c>
      <c r="L986">
        <v>18</v>
      </c>
      <c r="M986">
        <v>18</v>
      </c>
      <c r="N986" t="s">
        <v>55</v>
      </c>
      <c r="O986">
        <v>1.31</v>
      </c>
      <c r="P986">
        <v>4827.7809999999999</v>
      </c>
      <c r="Q986" t="s">
        <v>528</v>
      </c>
      <c r="R986" s="31">
        <v>0.14000000000000001</v>
      </c>
    </row>
    <row r="987" spans="1:18" x14ac:dyDescent="0.3">
      <c r="A987">
        <v>12</v>
      </c>
      <c r="B987">
        <v>12</v>
      </c>
      <c r="C987" t="s">
        <v>9</v>
      </c>
      <c r="D987">
        <v>2.98</v>
      </c>
      <c r="E987">
        <v>145.38900000000001</v>
      </c>
      <c r="F987" t="s">
        <v>399</v>
      </c>
      <c r="G987" s="31">
        <v>3.01</v>
      </c>
      <c r="L987">
        <v>19</v>
      </c>
      <c r="M987">
        <v>19</v>
      </c>
      <c r="N987" t="s">
        <v>56</v>
      </c>
      <c r="O987">
        <v>0.87</v>
      </c>
      <c r="P987">
        <v>34415.879000000001</v>
      </c>
      <c r="Q987" t="s">
        <v>529</v>
      </c>
      <c r="R987" s="31">
        <v>1.32</v>
      </c>
    </row>
    <row r="988" spans="1:18" x14ac:dyDescent="0.3">
      <c r="A988">
        <v>13</v>
      </c>
      <c r="B988">
        <v>13</v>
      </c>
      <c r="C988" t="s">
        <v>10</v>
      </c>
      <c r="D988">
        <v>4.09</v>
      </c>
      <c r="E988">
        <v>40.691000000000003</v>
      </c>
      <c r="F988" t="s">
        <v>400</v>
      </c>
      <c r="G988" s="31">
        <v>0.1</v>
      </c>
      <c r="L988">
        <v>20</v>
      </c>
      <c r="M988">
        <v>20</v>
      </c>
      <c r="N988" t="s">
        <v>57</v>
      </c>
      <c r="O988">
        <v>1.51</v>
      </c>
      <c r="P988">
        <v>364.15300000000002</v>
      </c>
      <c r="Q988" t="s">
        <v>530</v>
      </c>
      <c r="R988" s="31">
        <v>0.1</v>
      </c>
    </row>
    <row r="989" spans="1:18" x14ac:dyDescent="0.3">
      <c r="A989">
        <v>14</v>
      </c>
      <c r="B989">
        <v>14</v>
      </c>
      <c r="C989" t="s">
        <v>11</v>
      </c>
      <c r="F989" t="s">
        <v>401</v>
      </c>
      <c r="G989" s="31">
        <v>0.1</v>
      </c>
      <c r="L989">
        <v>21</v>
      </c>
      <c r="M989">
        <v>21</v>
      </c>
      <c r="N989" t="s">
        <v>58</v>
      </c>
      <c r="O989">
        <v>2.56</v>
      </c>
      <c r="P989">
        <v>94.492999999999995</v>
      </c>
      <c r="Q989" t="s">
        <v>531</v>
      </c>
      <c r="R989" s="31">
        <v>0.06</v>
      </c>
    </row>
    <row r="990" spans="1:18" x14ac:dyDescent="0.3">
      <c r="A990">
        <v>15</v>
      </c>
      <c r="B990">
        <v>15</v>
      </c>
      <c r="C990" t="s">
        <v>12</v>
      </c>
      <c r="D990">
        <v>3.39</v>
      </c>
      <c r="E990">
        <v>33.743000000000002</v>
      </c>
      <c r="F990" t="s">
        <v>402</v>
      </c>
      <c r="G990" s="31">
        <v>1.27</v>
      </c>
      <c r="L990">
        <v>22</v>
      </c>
      <c r="M990">
        <v>22</v>
      </c>
      <c r="N990" t="s">
        <v>59</v>
      </c>
      <c r="O990">
        <v>2.5</v>
      </c>
      <c r="P990">
        <v>50752.737999999998</v>
      </c>
      <c r="Q990" t="s">
        <v>532</v>
      </c>
      <c r="R990" s="31">
        <v>5.12</v>
      </c>
    </row>
    <row r="991" spans="1:18" x14ac:dyDescent="0.3">
      <c r="A991">
        <v>16</v>
      </c>
      <c r="B991">
        <v>16</v>
      </c>
      <c r="C991" t="s">
        <v>13</v>
      </c>
      <c r="F991" t="s">
        <v>403</v>
      </c>
      <c r="G991" s="31">
        <v>0.1</v>
      </c>
      <c r="L991">
        <v>23</v>
      </c>
      <c r="M991">
        <v>23</v>
      </c>
      <c r="N991" t="s">
        <v>60</v>
      </c>
      <c r="O991">
        <v>2.56</v>
      </c>
      <c r="P991">
        <v>49139.035000000003</v>
      </c>
      <c r="Q991" t="s">
        <v>533</v>
      </c>
      <c r="R991" s="31">
        <v>2.2400000000000002</v>
      </c>
    </row>
    <row r="992" spans="1:18" x14ac:dyDescent="0.3">
      <c r="A992">
        <v>17</v>
      </c>
      <c r="B992">
        <v>17</v>
      </c>
      <c r="C992" t="s">
        <v>14</v>
      </c>
      <c r="D992">
        <v>2.06</v>
      </c>
      <c r="E992">
        <v>42.576000000000001</v>
      </c>
      <c r="F992" t="s">
        <v>404</v>
      </c>
      <c r="G992" s="31">
        <v>3.24</v>
      </c>
    </row>
    <row r="993" spans="1:18" x14ac:dyDescent="0.3">
      <c r="A993">
        <v>18</v>
      </c>
      <c r="B993">
        <v>18</v>
      </c>
      <c r="C993" t="s">
        <v>15</v>
      </c>
      <c r="D993">
        <v>2.46</v>
      </c>
      <c r="E993">
        <v>89.69</v>
      </c>
      <c r="F993" t="s">
        <v>405</v>
      </c>
      <c r="G993" s="31">
        <v>10.53</v>
      </c>
      <c r="L993" t="s">
        <v>379</v>
      </c>
    </row>
    <row r="994" spans="1:18" x14ac:dyDescent="0.3">
      <c r="A994">
        <v>19</v>
      </c>
      <c r="B994">
        <v>19</v>
      </c>
      <c r="C994" t="s">
        <v>16</v>
      </c>
      <c r="D994">
        <v>2.72</v>
      </c>
      <c r="E994">
        <v>8.8849999999999998</v>
      </c>
      <c r="F994" t="s">
        <v>406</v>
      </c>
      <c r="G994" s="31">
        <v>0.3</v>
      </c>
    </row>
    <row r="995" spans="1:18" x14ac:dyDescent="0.3">
      <c r="A995">
        <v>20</v>
      </c>
      <c r="B995">
        <v>20</v>
      </c>
      <c r="C995" t="s">
        <v>17</v>
      </c>
      <c r="D995">
        <v>2.97</v>
      </c>
      <c r="E995">
        <v>187.41</v>
      </c>
      <c r="F995" t="s">
        <v>407</v>
      </c>
      <c r="G995" s="31">
        <v>0.1</v>
      </c>
      <c r="L995" t="s">
        <v>557</v>
      </c>
    </row>
    <row r="996" spans="1:18" x14ac:dyDescent="0.3">
      <c r="A996">
        <v>21</v>
      </c>
      <c r="B996">
        <v>21</v>
      </c>
      <c r="C996" t="s">
        <v>18</v>
      </c>
      <c r="D996">
        <v>3.68</v>
      </c>
      <c r="E996">
        <v>287.50599999999997</v>
      </c>
      <c r="F996" t="s">
        <v>408</v>
      </c>
      <c r="G996" s="31">
        <v>0.06</v>
      </c>
    </row>
    <row r="997" spans="1:18" x14ac:dyDescent="0.3">
      <c r="A997">
        <v>22</v>
      </c>
      <c r="B997">
        <v>22</v>
      </c>
      <c r="C997" t="s">
        <v>19</v>
      </c>
      <c r="D997">
        <v>2.75</v>
      </c>
      <c r="E997">
        <v>2.0819999999999999</v>
      </c>
      <c r="F997" t="s">
        <v>409</v>
      </c>
      <c r="G997" s="31">
        <v>5.83</v>
      </c>
      <c r="L997" t="s">
        <v>566</v>
      </c>
    </row>
    <row r="998" spans="1:18" x14ac:dyDescent="0.3">
      <c r="A998">
        <v>23</v>
      </c>
      <c r="B998">
        <v>23</v>
      </c>
      <c r="C998" t="s">
        <v>20</v>
      </c>
      <c r="D998">
        <v>2.92</v>
      </c>
      <c r="E998">
        <v>4.7039999999999997</v>
      </c>
      <c r="F998" t="s">
        <v>410</v>
      </c>
      <c r="G998" s="31">
        <v>0.81</v>
      </c>
    </row>
    <row r="999" spans="1:18" x14ac:dyDescent="0.3">
      <c r="A999">
        <v>24</v>
      </c>
      <c r="B999">
        <v>24</v>
      </c>
      <c r="C999" t="s">
        <v>21</v>
      </c>
      <c r="D999">
        <v>4.16</v>
      </c>
      <c r="E999">
        <v>21.556000000000001</v>
      </c>
      <c r="F999" t="s">
        <v>411</v>
      </c>
      <c r="G999" s="31">
        <v>0.1</v>
      </c>
      <c r="M999" t="s">
        <v>382</v>
      </c>
      <c r="N999" t="s">
        <v>383</v>
      </c>
      <c r="O999" t="s">
        <v>384</v>
      </c>
      <c r="P999" t="s">
        <v>385</v>
      </c>
      <c r="Q999" t="s">
        <v>386</v>
      </c>
      <c r="R999" s="31" t="s">
        <v>387</v>
      </c>
    </row>
    <row r="1000" spans="1:18" x14ac:dyDescent="0.3">
      <c r="A1000">
        <v>25</v>
      </c>
      <c r="B1000">
        <v>25</v>
      </c>
      <c r="C1000" t="s">
        <v>22</v>
      </c>
      <c r="D1000">
        <v>3.51</v>
      </c>
      <c r="E1000">
        <v>38.200000000000003</v>
      </c>
      <c r="F1000" t="s">
        <v>412</v>
      </c>
      <c r="G1000" s="31">
        <v>22.02</v>
      </c>
      <c r="L1000">
        <v>1</v>
      </c>
      <c r="M1000">
        <v>1</v>
      </c>
      <c r="N1000" t="s">
        <v>35</v>
      </c>
      <c r="Q1000" t="s">
        <v>511</v>
      </c>
      <c r="R1000" s="31">
        <v>0.1</v>
      </c>
    </row>
    <row r="1001" spans="1:18" x14ac:dyDescent="0.3">
      <c r="A1001">
        <v>26</v>
      </c>
      <c r="B1001">
        <v>26</v>
      </c>
      <c r="C1001" t="s">
        <v>23</v>
      </c>
      <c r="D1001">
        <v>3.4</v>
      </c>
      <c r="E1001">
        <v>3.016</v>
      </c>
      <c r="F1001" t="s">
        <v>413</v>
      </c>
      <c r="G1001" s="31">
        <v>2.0299999999999998</v>
      </c>
      <c r="L1001">
        <v>2</v>
      </c>
      <c r="M1001">
        <v>2</v>
      </c>
      <c r="N1001" t="s">
        <v>36</v>
      </c>
      <c r="O1001">
        <v>1.71</v>
      </c>
      <c r="P1001">
        <v>43.396000000000001</v>
      </c>
      <c r="Q1001" t="s">
        <v>512</v>
      </c>
      <c r="R1001" s="31">
        <v>427.75</v>
      </c>
    </row>
    <row r="1002" spans="1:18" x14ac:dyDescent="0.3">
      <c r="A1002">
        <v>27</v>
      </c>
      <c r="B1002">
        <v>27</v>
      </c>
      <c r="C1002" t="s">
        <v>24</v>
      </c>
      <c r="D1002">
        <v>3.43</v>
      </c>
      <c r="E1002">
        <v>34.597000000000001</v>
      </c>
      <c r="F1002" t="s">
        <v>414</v>
      </c>
      <c r="G1002" s="31">
        <v>0.1</v>
      </c>
      <c r="L1002">
        <v>3</v>
      </c>
      <c r="M1002">
        <v>3</v>
      </c>
      <c r="N1002" t="s">
        <v>37</v>
      </c>
      <c r="Q1002" t="s">
        <v>513</v>
      </c>
      <c r="R1002" s="31">
        <v>0.1</v>
      </c>
    </row>
    <row r="1003" spans="1:18" x14ac:dyDescent="0.3">
      <c r="A1003">
        <v>28</v>
      </c>
      <c r="B1003">
        <v>28</v>
      </c>
      <c r="C1003" t="s">
        <v>25</v>
      </c>
      <c r="F1003" t="s">
        <v>415</v>
      </c>
      <c r="G1003" s="31">
        <v>0.1</v>
      </c>
      <c r="L1003">
        <v>4</v>
      </c>
      <c r="M1003">
        <v>4</v>
      </c>
      <c r="N1003" t="s">
        <v>38</v>
      </c>
      <c r="O1003">
        <v>1.17</v>
      </c>
      <c r="P1003">
        <v>57.237000000000002</v>
      </c>
      <c r="Q1003" t="s">
        <v>514</v>
      </c>
      <c r="R1003" s="31">
        <v>0.68</v>
      </c>
    </row>
    <row r="1004" spans="1:18" x14ac:dyDescent="0.3">
      <c r="A1004">
        <v>29</v>
      </c>
      <c r="B1004">
        <v>29</v>
      </c>
      <c r="C1004" t="s">
        <v>26</v>
      </c>
      <c r="D1004">
        <v>0.63</v>
      </c>
      <c r="E1004">
        <v>1.232</v>
      </c>
      <c r="F1004" t="s">
        <v>416</v>
      </c>
      <c r="G1004" s="31">
        <v>3.09</v>
      </c>
      <c r="L1004">
        <v>5</v>
      </c>
      <c r="M1004">
        <v>5</v>
      </c>
      <c r="N1004" t="s">
        <v>39</v>
      </c>
      <c r="O1004">
        <v>1.39</v>
      </c>
      <c r="P1004">
        <v>95.393000000000001</v>
      </c>
      <c r="Q1004" t="s">
        <v>515</v>
      </c>
      <c r="R1004" s="31">
        <v>45.96</v>
      </c>
    </row>
    <row r="1005" spans="1:18" x14ac:dyDescent="0.3">
      <c r="A1005">
        <v>30</v>
      </c>
      <c r="B1005">
        <v>30</v>
      </c>
      <c r="C1005" t="s">
        <v>27</v>
      </c>
      <c r="D1005">
        <v>4.33</v>
      </c>
      <c r="E1005">
        <v>68.391999999999996</v>
      </c>
      <c r="F1005" t="s">
        <v>417</v>
      </c>
      <c r="G1005" s="31">
        <v>0.15</v>
      </c>
      <c r="L1005">
        <v>6</v>
      </c>
      <c r="M1005">
        <v>6</v>
      </c>
      <c r="N1005" t="s">
        <v>40</v>
      </c>
      <c r="Q1005" t="s">
        <v>516</v>
      </c>
      <c r="R1005" s="31">
        <v>0.1</v>
      </c>
    </row>
    <row r="1006" spans="1:18" x14ac:dyDescent="0.3">
      <c r="A1006">
        <v>31</v>
      </c>
      <c r="B1006">
        <v>31</v>
      </c>
      <c r="C1006" t="s">
        <v>28</v>
      </c>
      <c r="D1006">
        <v>3.13</v>
      </c>
      <c r="E1006">
        <v>39.412999999999997</v>
      </c>
      <c r="F1006" t="s">
        <v>418</v>
      </c>
      <c r="G1006" s="31">
        <v>0.1</v>
      </c>
      <c r="L1006">
        <v>7</v>
      </c>
      <c r="M1006">
        <v>7</v>
      </c>
      <c r="N1006" t="s">
        <v>41</v>
      </c>
      <c r="Q1006" t="s">
        <v>517</v>
      </c>
      <c r="R1006" s="31">
        <v>0.1</v>
      </c>
    </row>
    <row r="1007" spans="1:18" x14ac:dyDescent="0.3">
      <c r="A1007">
        <v>32</v>
      </c>
      <c r="B1007">
        <v>32</v>
      </c>
      <c r="C1007" t="s">
        <v>29</v>
      </c>
      <c r="D1007">
        <v>3.54</v>
      </c>
      <c r="E1007">
        <v>12.379</v>
      </c>
      <c r="F1007" t="s">
        <v>419</v>
      </c>
      <c r="G1007" s="31">
        <v>0.35</v>
      </c>
      <c r="L1007">
        <v>8</v>
      </c>
      <c r="M1007">
        <v>8</v>
      </c>
      <c r="N1007" t="s">
        <v>42</v>
      </c>
      <c r="Q1007" t="s">
        <v>518</v>
      </c>
      <c r="R1007" s="31">
        <v>0.1</v>
      </c>
    </row>
    <row r="1008" spans="1:18" x14ac:dyDescent="0.3">
      <c r="A1008">
        <v>33</v>
      </c>
      <c r="B1008">
        <v>33</v>
      </c>
      <c r="C1008" t="s">
        <v>30</v>
      </c>
      <c r="D1008">
        <v>4.75</v>
      </c>
      <c r="E1008">
        <v>31.552</v>
      </c>
      <c r="F1008" t="s">
        <v>420</v>
      </c>
      <c r="G1008" s="31">
        <v>3.35</v>
      </c>
      <c r="L1008">
        <v>9</v>
      </c>
      <c r="M1008">
        <v>9</v>
      </c>
      <c r="N1008" t="s">
        <v>43</v>
      </c>
      <c r="O1008">
        <v>2.65</v>
      </c>
      <c r="P1008">
        <v>21.161999999999999</v>
      </c>
      <c r="Q1008" t="s">
        <v>519</v>
      </c>
      <c r="R1008" s="31">
        <v>0.12</v>
      </c>
    </row>
    <row r="1009" spans="1:18" x14ac:dyDescent="0.3">
      <c r="A1009">
        <v>34</v>
      </c>
      <c r="B1009">
        <v>34</v>
      </c>
      <c r="C1009" t="s">
        <v>31</v>
      </c>
      <c r="D1009">
        <v>3.6</v>
      </c>
      <c r="E1009">
        <v>25.808</v>
      </c>
      <c r="F1009" t="s">
        <v>421</v>
      </c>
      <c r="G1009" s="31">
        <v>0.12</v>
      </c>
      <c r="L1009">
        <v>10</v>
      </c>
      <c r="M1009">
        <v>10</v>
      </c>
      <c r="N1009" t="s">
        <v>52</v>
      </c>
      <c r="O1009">
        <v>4.32</v>
      </c>
      <c r="P1009">
        <v>36.366999999999997</v>
      </c>
      <c r="Q1009" t="s">
        <v>520</v>
      </c>
      <c r="R1009" s="31">
        <v>0.1</v>
      </c>
    </row>
    <row r="1010" spans="1:18" x14ac:dyDescent="0.3">
      <c r="A1010">
        <v>35</v>
      </c>
      <c r="B1010">
        <v>35</v>
      </c>
      <c r="C1010" t="s">
        <v>32</v>
      </c>
      <c r="D1010">
        <v>3.07</v>
      </c>
      <c r="E1010">
        <v>22.542999999999999</v>
      </c>
      <c r="F1010" t="s">
        <v>422</v>
      </c>
      <c r="G1010" s="31">
        <v>0.1</v>
      </c>
      <c r="L1010">
        <v>11</v>
      </c>
      <c r="M1010">
        <v>11</v>
      </c>
      <c r="N1010" t="s">
        <v>44</v>
      </c>
      <c r="Q1010" t="s">
        <v>521</v>
      </c>
      <c r="R1010" s="31">
        <v>0.1</v>
      </c>
    </row>
    <row r="1011" spans="1:18" x14ac:dyDescent="0.3">
      <c r="A1011">
        <v>36</v>
      </c>
      <c r="B1011">
        <v>36</v>
      </c>
      <c r="C1011" t="s">
        <v>33</v>
      </c>
      <c r="D1011">
        <v>1.9</v>
      </c>
      <c r="E1011">
        <v>3.048</v>
      </c>
      <c r="F1011" t="s">
        <v>423</v>
      </c>
      <c r="G1011" s="31">
        <v>0.14000000000000001</v>
      </c>
      <c r="L1011">
        <v>12</v>
      </c>
      <c r="M1011">
        <v>12</v>
      </c>
      <c r="N1011" t="s">
        <v>45</v>
      </c>
      <c r="O1011">
        <v>3.51</v>
      </c>
      <c r="P1011">
        <v>25.582000000000001</v>
      </c>
      <c r="Q1011" t="s">
        <v>522</v>
      </c>
      <c r="R1011" s="31">
        <v>0.1</v>
      </c>
    </row>
    <row r="1012" spans="1:18" x14ac:dyDescent="0.3">
      <c r="L1012">
        <v>13</v>
      </c>
      <c r="M1012">
        <v>13</v>
      </c>
      <c r="N1012" t="s">
        <v>46</v>
      </c>
      <c r="O1012">
        <v>2.56</v>
      </c>
      <c r="P1012">
        <v>209.61099999999999</v>
      </c>
      <c r="Q1012" t="s">
        <v>523</v>
      </c>
      <c r="R1012" s="31">
        <v>0.1</v>
      </c>
    </row>
    <row r="1013" spans="1:18" x14ac:dyDescent="0.3">
      <c r="A1013" t="s">
        <v>379</v>
      </c>
      <c r="L1013">
        <v>14</v>
      </c>
      <c r="M1013">
        <v>14</v>
      </c>
      <c r="N1013" t="s">
        <v>47</v>
      </c>
      <c r="Q1013" t="s">
        <v>524</v>
      </c>
      <c r="R1013" s="31">
        <v>0.1</v>
      </c>
    </row>
    <row r="1014" spans="1:18" x14ac:dyDescent="0.3">
      <c r="L1014">
        <v>15</v>
      </c>
      <c r="M1014">
        <v>15</v>
      </c>
      <c r="N1014" t="s">
        <v>48</v>
      </c>
      <c r="O1014">
        <v>1.23</v>
      </c>
      <c r="P1014">
        <v>245.06100000000001</v>
      </c>
      <c r="Q1014" t="s">
        <v>525</v>
      </c>
      <c r="R1014" s="31">
        <v>0.1</v>
      </c>
    </row>
    <row r="1015" spans="1:18" x14ac:dyDescent="0.3">
      <c r="A1015" t="s">
        <v>380</v>
      </c>
      <c r="L1015">
        <v>16</v>
      </c>
      <c r="M1015">
        <v>16</v>
      </c>
      <c r="N1015" t="s">
        <v>53</v>
      </c>
      <c r="O1015">
        <v>4.6100000000000003</v>
      </c>
      <c r="P1015">
        <v>44.566000000000003</v>
      </c>
      <c r="Q1015" t="s">
        <v>526</v>
      </c>
      <c r="R1015" s="31">
        <v>0.1</v>
      </c>
    </row>
    <row r="1016" spans="1:18" x14ac:dyDescent="0.3">
      <c r="L1016">
        <v>17</v>
      </c>
      <c r="M1016">
        <v>17</v>
      </c>
      <c r="N1016" t="s">
        <v>54</v>
      </c>
      <c r="O1016">
        <v>5.21</v>
      </c>
      <c r="P1016">
        <v>305.94400000000002</v>
      </c>
      <c r="Q1016" t="s">
        <v>527</v>
      </c>
      <c r="R1016" s="31">
        <v>0.1</v>
      </c>
    </row>
    <row r="1017" spans="1:18" x14ac:dyDescent="0.3">
      <c r="A1017" t="s">
        <v>446</v>
      </c>
      <c r="L1017">
        <v>18</v>
      </c>
      <c r="M1017">
        <v>18</v>
      </c>
      <c r="N1017" t="s">
        <v>55</v>
      </c>
      <c r="Q1017" t="s">
        <v>528</v>
      </c>
      <c r="R1017" s="31">
        <v>0.1</v>
      </c>
    </row>
    <row r="1018" spans="1:18" x14ac:dyDescent="0.3">
      <c r="L1018">
        <v>19</v>
      </c>
      <c r="M1018">
        <v>19</v>
      </c>
      <c r="N1018" t="s">
        <v>56</v>
      </c>
      <c r="O1018">
        <v>0.86</v>
      </c>
      <c r="P1018">
        <v>62.256</v>
      </c>
      <c r="Q1018" t="s">
        <v>529</v>
      </c>
      <c r="R1018" s="31">
        <v>0.1</v>
      </c>
    </row>
    <row r="1019" spans="1:18" x14ac:dyDescent="0.3">
      <c r="B1019" t="s">
        <v>382</v>
      </c>
      <c r="C1019" t="s">
        <v>383</v>
      </c>
      <c r="D1019" t="s">
        <v>384</v>
      </c>
      <c r="E1019" t="s">
        <v>385</v>
      </c>
      <c r="F1019" t="s">
        <v>386</v>
      </c>
      <c r="G1019" s="31" t="s">
        <v>387</v>
      </c>
      <c r="L1019">
        <v>20</v>
      </c>
      <c r="M1019">
        <v>20</v>
      </c>
      <c r="N1019" t="s">
        <v>57</v>
      </c>
      <c r="Q1019" t="s">
        <v>530</v>
      </c>
      <c r="R1019" s="31">
        <v>0.1</v>
      </c>
    </row>
    <row r="1020" spans="1:18" x14ac:dyDescent="0.3">
      <c r="A1020">
        <v>1</v>
      </c>
      <c r="B1020">
        <v>1</v>
      </c>
      <c r="C1020" t="s">
        <v>0</v>
      </c>
      <c r="D1020">
        <v>1.01</v>
      </c>
      <c r="E1020">
        <v>1550.02</v>
      </c>
      <c r="F1020" t="s">
        <v>388</v>
      </c>
      <c r="G1020" s="31">
        <v>18.75</v>
      </c>
      <c r="L1020">
        <v>21</v>
      </c>
      <c r="M1020">
        <v>21</v>
      </c>
      <c r="N1020" t="s">
        <v>58</v>
      </c>
      <c r="Q1020" t="s">
        <v>531</v>
      </c>
      <c r="R1020" s="31">
        <v>0.1</v>
      </c>
    </row>
    <row r="1021" spans="1:18" x14ac:dyDescent="0.3">
      <c r="A1021">
        <v>2</v>
      </c>
      <c r="B1021">
        <v>2</v>
      </c>
      <c r="C1021" t="s">
        <v>1</v>
      </c>
      <c r="D1021">
        <v>1.45</v>
      </c>
      <c r="E1021">
        <v>3593.82</v>
      </c>
      <c r="F1021" t="s">
        <v>389</v>
      </c>
      <c r="G1021" s="31">
        <v>8.61</v>
      </c>
      <c r="L1021">
        <v>22</v>
      </c>
      <c r="M1021">
        <v>22</v>
      </c>
      <c r="N1021" t="s">
        <v>59</v>
      </c>
      <c r="Q1021" t="s">
        <v>532</v>
      </c>
      <c r="R1021" s="31">
        <v>0.1</v>
      </c>
    </row>
    <row r="1022" spans="1:18" x14ac:dyDescent="0.3">
      <c r="A1022">
        <v>3</v>
      </c>
      <c r="B1022">
        <v>3</v>
      </c>
      <c r="C1022" t="s">
        <v>50</v>
      </c>
      <c r="D1022">
        <v>3.55</v>
      </c>
      <c r="E1022">
        <v>75.814999999999998</v>
      </c>
      <c r="F1022" t="s">
        <v>390</v>
      </c>
      <c r="G1022" s="31">
        <v>0.12</v>
      </c>
      <c r="L1022">
        <v>23</v>
      </c>
      <c r="M1022">
        <v>23</v>
      </c>
      <c r="N1022" t="s">
        <v>60</v>
      </c>
      <c r="O1022">
        <v>2.64</v>
      </c>
      <c r="P1022">
        <v>182.28</v>
      </c>
      <c r="Q1022" t="s">
        <v>533</v>
      </c>
      <c r="R1022" s="31">
        <v>2.1</v>
      </c>
    </row>
    <row r="1023" spans="1:18" x14ac:dyDescent="0.3">
      <c r="A1023">
        <v>4</v>
      </c>
      <c r="B1023">
        <v>4</v>
      </c>
      <c r="C1023" t="s">
        <v>2</v>
      </c>
      <c r="D1023">
        <v>3.69</v>
      </c>
      <c r="E1023">
        <v>22239.690999999999</v>
      </c>
      <c r="F1023" t="s">
        <v>391</v>
      </c>
      <c r="G1023" s="31">
        <v>2.16</v>
      </c>
    </row>
    <row r="1024" spans="1:18" x14ac:dyDescent="0.3">
      <c r="A1024">
        <v>5</v>
      </c>
      <c r="B1024">
        <v>5</v>
      </c>
      <c r="C1024" t="s">
        <v>3</v>
      </c>
      <c r="D1024">
        <v>4.4800000000000004</v>
      </c>
      <c r="E1024">
        <v>190.93700000000001</v>
      </c>
      <c r="F1024" t="s">
        <v>392</v>
      </c>
      <c r="G1024" s="31">
        <v>0.1</v>
      </c>
      <c r="L1024" t="s">
        <v>379</v>
      </c>
    </row>
    <row r="1025" spans="1:18" x14ac:dyDescent="0.3">
      <c r="A1025">
        <v>6</v>
      </c>
      <c r="B1025">
        <v>6</v>
      </c>
      <c r="C1025" t="s">
        <v>4</v>
      </c>
      <c r="D1025">
        <v>4.8</v>
      </c>
      <c r="E1025">
        <v>23163.469000000001</v>
      </c>
      <c r="F1025" t="s">
        <v>393</v>
      </c>
      <c r="G1025" s="31">
        <v>1.9</v>
      </c>
    </row>
    <row r="1026" spans="1:18" x14ac:dyDescent="0.3">
      <c r="A1026">
        <v>7</v>
      </c>
      <c r="B1026">
        <v>7</v>
      </c>
      <c r="C1026" t="s">
        <v>5</v>
      </c>
      <c r="D1026">
        <v>2.71</v>
      </c>
      <c r="E1026">
        <v>247.75299999999999</v>
      </c>
      <c r="F1026" t="s">
        <v>394</v>
      </c>
      <c r="G1026" s="31">
        <v>7.0000000000000007E-2</v>
      </c>
      <c r="L1026" t="s">
        <v>557</v>
      </c>
    </row>
    <row r="1027" spans="1:18" x14ac:dyDescent="0.3">
      <c r="A1027">
        <v>8</v>
      </c>
      <c r="B1027">
        <v>8</v>
      </c>
      <c r="C1027" t="s">
        <v>6</v>
      </c>
      <c r="D1027">
        <v>0.67</v>
      </c>
      <c r="E1027">
        <v>1549.7929999999999</v>
      </c>
      <c r="F1027" t="s">
        <v>395</v>
      </c>
      <c r="G1027" s="31">
        <v>29.76</v>
      </c>
    </row>
    <row r="1028" spans="1:18" x14ac:dyDescent="0.3">
      <c r="A1028">
        <v>9</v>
      </c>
      <c r="B1028">
        <v>9</v>
      </c>
      <c r="C1028" t="s">
        <v>7</v>
      </c>
      <c r="D1028">
        <v>3.56</v>
      </c>
      <c r="E1028">
        <v>697.76199999999994</v>
      </c>
      <c r="F1028" t="s">
        <v>396</v>
      </c>
      <c r="G1028" s="31">
        <v>2.89</v>
      </c>
      <c r="L1028" t="s">
        <v>567</v>
      </c>
    </row>
    <row r="1029" spans="1:18" x14ac:dyDescent="0.3">
      <c r="A1029">
        <v>10</v>
      </c>
      <c r="B1029">
        <v>10</v>
      </c>
      <c r="C1029" t="s">
        <v>51</v>
      </c>
      <c r="D1029">
        <v>4.75</v>
      </c>
      <c r="E1029">
        <v>309.23099999999999</v>
      </c>
      <c r="F1029" t="s">
        <v>397</v>
      </c>
      <c r="G1029" s="31">
        <v>0.1</v>
      </c>
    </row>
    <row r="1030" spans="1:18" x14ac:dyDescent="0.3">
      <c r="A1030">
        <v>11</v>
      </c>
      <c r="B1030">
        <v>11</v>
      </c>
      <c r="C1030" t="s">
        <v>8</v>
      </c>
      <c r="D1030">
        <v>2.74</v>
      </c>
      <c r="E1030">
        <v>25091.518</v>
      </c>
      <c r="F1030" t="s">
        <v>398</v>
      </c>
      <c r="G1030" s="31">
        <v>2.2000000000000002</v>
      </c>
      <c r="M1030" t="s">
        <v>382</v>
      </c>
      <c r="N1030" t="s">
        <v>383</v>
      </c>
      <c r="O1030" t="s">
        <v>384</v>
      </c>
      <c r="P1030" t="s">
        <v>385</v>
      </c>
      <c r="Q1030" t="s">
        <v>386</v>
      </c>
      <c r="R1030" s="31" t="s">
        <v>387</v>
      </c>
    </row>
    <row r="1031" spans="1:18" x14ac:dyDescent="0.3">
      <c r="A1031">
        <v>12</v>
      </c>
      <c r="B1031">
        <v>12</v>
      </c>
      <c r="C1031" t="s">
        <v>9</v>
      </c>
      <c r="D1031">
        <v>2.63</v>
      </c>
      <c r="E1031">
        <v>2456.3780000000002</v>
      </c>
      <c r="F1031" t="s">
        <v>399</v>
      </c>
      <c r="G1031" s="31">
        <v>1.67</v>
      </c>
      <c r="L1031">
        <v>1</v>
      </c>
      <c r="M1031">
        <v>1</v>
      </c>
      <c r="N1031" t="s">
        <v>35</v>
      </c>
      <c r="O1031">
        <v>1.43</v>
      </c>
      <c r="P1031">
        <v>342896.68800000002</v>
      </c>
      <c r="Q1031" t="s">
        <v>511</v>
      </c>
      <c r="R1031" s="31">
        <v>37.549999999999997</v>
      </c>
    </row>
    <row r="1032" spans="1:18" x14ac:dyDescent="0.3">
      <c r="A1032">
        <v>13</v>
      </c>
      <c r="B1032">
        <v>13</v>
      </c>
      <c r="C1032" t="s">
        <v>10</v>
      </c>
      <c r="D1032">
        <v>4.08</v>
      </c>
      <c r="E1032">
        <v>1181584.75</v>
      </c>
      <c r="F1032" t="s">
        <v>400</v>
      </c>
      <c r="G1032" s="31">
        <v>154.52000000000001</v>
      </c>
      <c r="L1032">
        <v>2</v>
      </c>
      <c r="M1032">
        <v>2</v>
      </c>
      <c r="N1032" t="s">
        <v>36</v>
      </c>
      <c r="O1032">
        <v>1.66</v>
      </c>
      <c r="P1032">
        <v>2099524.25</v>
      </c>
      <c r="Q1032" t="s">
        <v>512</v>
      </c>
      <c r="R1032" s="31">
        <v>173.49</v>
      </c>
    </row>
    <row r="1033" spans="1:18" x14ac:dyDescent="0.3">
      <c r="A1033">
        <v>14</v>
      </c>
      <c r="B1033">
        <v>14</v>
      </c>
      <c r="C1033" t="s">
        <v>11</v>
      </c>
      <c r="D1033">
        <v>3.53</v>
      </c>
      <c r="E1033">
        <v>46.301000000000002</v>
      </c>
      <c r="F1033" t="s">
        <v>401</v>
      </c>
      <c r="G1033" s="31">
        <v>4.92</v>
      </c>
      <c r="L1033">
        <v>3</v>
      </c>
      <c r="M1033">
        <v>3</v>
      </c>
      <c r="N1033" t="s">
        <v>37</v>
      </c>
      <c r="O1033">
        <v>1.8</v>
      </c>
      <c r="P1033">
        <v>2159.502</v>
      </c>
      <c r="Q1033" t="s">
        <v>513</v>
      </c>
      <c r="R1033" s="31">
        <v>0.3</v>
      </c>
    </row>
    <row r="1034" spans="1:18" x14ac:dyDescent="0.3">
      <c r="A1034">
        <v>15</v>
      </c>
      <c r="B1034">
        <v>15</v>
      </c>
      <c r="C1034" t="s">
        <v>12</v>
      </c>
      <c r="D1034">
        <v>3.33</v>
      </c>
      <c r="E1034">
        <v>299.82799999999997</v>
      </c>
      <c r="F1034" t="s">
        <v>402</v>
      </c>
      <c r="G1034" s="31">
        <v>2.06</v>
      </c>
      <c r="L1034">
        <v>4</v>
      </c>
      <c r="M1034">
        <v>4</v>
      </c>
      <c r="N1034" t="s">
        <v>38</v>
      </c>
      <c r="O1034">
        <v>1.17</v>
      </c>
      <c r="P1034">
        <v>8278.94</v>
      </c>
      <c r="Q1034" t="s">
        <v>514</v>
      </c>
      <c r="R1034" s="31">
        <v>0.82</v>
      </c>
    </row>
    <row r="1035" spans="1:18" x14ac:dyDescent="0.3">
      <c r="A1035">
        <v>16</v>
      </c>
      <c r="B1035">
        <v>16</v>
      </c>
      <c r="C1035" t="s">
        <v>13</v>
      </c>
      <c r="D1035">
        <v>3.23</v>
      </c>
      <c r="E1035">
        <v>4206.1769999999997</v>
      </c>
      <c r="F1035" t="s">
        <v>403</v>
      </c>
      <c r="G1035" s="31">
        <v>1.45</v>
      </c>
      <c r="L1035">
        <v>5</v>
      </c>
      <c r="M1035">
        <v>5</v>
      </c>
      <c r="N1035" t="s">
        <v>39</v>
      </c>
      <c r="O1035">
        <v>1.37</v>
      </c>
      <c r="P1035">
        <v>499608.56300000002</v>
      </c>
      <c r="Q1035" t="s">
        <v>515</v>
      </c>
      <c r="R1035" s="31">
        <v>57.26</v>
      </c>
    </row>
    <row r="1036" spans="1:18" x14ac:dyDescent="0.3">
      <c r="A1036">
        <v>17</v>
      </c>
      <c r="B1036">
        <v>17</v>
      </c>
      <c r="C1036" t="s">
        <v>14</v>
      </c>
      <c r="D1036">
        <v>2.0099999999999998</v>
      </c>
      <c r="E1036">
        <v>5045.335</v>
      </c>
      <c r="F1036" t="s">
        <v>404</v>
      </c>
      <c r="G1036" s="31">
        <v>1.77</v>
      </c>
      <c r="L1036">
        <v>6</v>
      </c>
      <c r="M1036">
        <v>6</v>
      </c>
      <c r="N1036" t="s">
        <v>40</v>
      </c>
      <c r="O1036">
        <v>1.52</v>
      </c>
      <c r="P1036">
        <v>59442.379000000001</v>
      </c>
      <c r="Q1036" t="s">
        <v>516</v>
      </c>
      <c r="R1036" s="31">
        <v>4</v>
      </c>
    </row>
    <row r="1037" spans="1:18" x14ac:dyDescent="0.3">
      <c r="A1037">
        <v>18</v>
      </c>
      <c r="B1037">
        <v>18</v>
      </c>
      <c r="C1037" t="s">
        <v>15</v>
      </c>
      <c r="D1037">
        <v>2.4900000000000002</v>
      </c>
      <c r="E1037">
        <v>15600.397000000001</v>
      </c>
      <c r="F1037" t="s">
        <v>405</v>
      </c>
      <c r="G1037" s="31">
        <v>12.53</v>
      </c>
      <c r="L1037">
        <v>7</v>
      </c>
      <c r="M1037">
        <v>7</v>
      </c>
      <c r="N1037" t="s">
        <v>41</v>
      </c>
      <c r="O1037">
        <v>2.27</v>
      </c>
      <c r="P1037">
        <v>4788.4359999999997</v>
      </c>
      <c r="Q1037" t="s">
        <v>517</v>
      </c>
      <c r="R1037" s="31">
        <v>2.94</v>
      </c>
    </row>
    <row r="1038" spans="1:18" x14ac:dyDescent="0.3">
      <c r="A1038">
        <v>19</v>
      </c>
      <c r="B1038">
        <v>19</v>
      </c>
      <c r="C1038" t="s">
        <v>16</v>
      </c>
      <c r="D1038">
        <v>2.71</v>
      </c>
      <c r="E1038">
        <v>923.22</v>
      </c>
      <c r="F1038" t="s">
        <v>406</v>
      </c>
      <c r="G1038" s="31">
        <v>0.14000000000000001</v>
      </c>
      <c r="L1038">
        <v>8</v>
      </c>
      <c r="M1038">
        <v>8</v>
      </c>
      <c r="N1038" t="s">
        <v>42</v>
      </c>
      <c r="O1038">
        <v>0.89</v>
      </c>
      <c r="P1038">
        <v>48260.508000000002</v>
      </c>
      <c r="Q1038" t="s">
        <v>518</v>
      </c>
      <c r="R1038" s="31">
        <v>44.49</v>
      </c>
    </row>
    <row r="1039" spans="1:18" x14ac:dyDescent="0.3">
      <c r="A1039">
        <v>20</v>
      </c>
      <c r="B1039">
        <v>20</v>
      </c>
      <c r="C1039" t="s">
        <v>17</v>
      </c>
      <c r="D1039">
        <v>3.13</v>
      </c>
      <c r="E1039">
        <v>24074.601999999999</v>
      </c>
      <c r="F1039" t="s">
        <v>407</v>
      </c>
      <c r="G1039" s="31">
        <v>7.2</v>
      </c>
      <c r="L1039">
        <v>9</v>
      </c>
      <c r="M1039">
        <v>9</v>
      </c>
      <c r="N1039" t="s">
        <v>43</v>
      </c>
      <c r="O1039">
        <v>2.54</v>
      </c>
      <c r="P1039">
        <v>12925.927</v>
      </c>
      <c r="Q1039" t="s">
        <v>519</v>
      </c>
      <c r="R1039" s="31">
        <v>0.14000000000000001</v>
      </c>
    </row>
    <row r="1040" spans="1:18" x14ac:dyDescent="0.3">
      <c r="A1040">
        <v>21</v>
      </c>
      <c r="B1040">
        <v>21</v>
      </c>
      <c r="C1040" t="s">
        <v>18</v>
      </c>
      <c r="D1040">
        <v>3.68</v>
      </c>
      <c r="E1040">
        <v>8950.9359999999997</v>
      </c>
      <c r="F1040" t="s">
        <v>408</v>
      </c>
      <c r="G1040" s="31">
        <v>0.62</v>
      </c>
      <c r="L1040">
        <v>10</v>
      </c>
      <c r="M1040">
        <v>10</v>
      </c>
      <c r="N1040" t="s">
        <v>52</v>
      </c>
      <c r="O1040">
        <v>4.12</v>
      </c>
      <c r="P1040">
        <v>19426.088</v>
      </c>
      <c r="Q1040" t="s">
        <v>520</v>
      </c>
      <c r="R1040" s="31">
        <v>0.68</v>
      </c>
    </row>
    <row r="1041" spans="1:18" x14ac:dyDescent="0.3">
      <c r="A1041">
        <v>22</v>
      </c>
      <c r="B1041">
        <v>22</v>
      </c>
      <c r="C1041" t="s">
        <v>19</v>
      </c>
      <c r="D1041">
        <v>2.63</v>
      </c>
      <c r="E1041">
        <v>18331.18</v>
      </c>
      <c r="F1041" t="s">
        <v>409</v>
      </c>
      <c r="G1041" s="31">
        <v>3.72</v>
      </c>
      <c r="L1041">
        <v>11</v>
      </c>
      <c r="M1041">
        <v>11</v>
      </c>
      <c r="N1041" t="s">
        <v>44</v>
      </c>
      <c r="O1041">
        <v>4.1900000000000004</v>
      </c>
      <c r="P1041">
        <v>5724.8090000000002</v>
      </c>
      <c r="Q1041" t="s">
        <v>521</v>
      </c>
      <c r="R1041" s="31">
        <v>0.48</v>
      </c>
    </row>
    <row r="1042" spans="1:18" x14ac:dyDescent="0.3">
      <c r="A1042">
        <v>23</v>
      </c>
      <c r="B1042">
        <v>23</v>
      </c>
      <c r="C1042" t="s">
        <v>20</v>
      </c>
      <c r="D1042">
        <v>2.89</v>
      </c>
      <c r="E1042">
        <v>6955.65</v>
      </c>
      <c r="F1042" t="s">
        <v>410</v>
      </c>
      <c r="G1042" s="31">
        <v>0.78</v>
      </c>
      <c r="L1042">
        <v>12</v>
      </c>
      <c r="M1042">
        <v>12</v>
      </c>
      <c r="N1042" t="s">
        <v>45</v>
      </c>
      <c r="O1042">
        <v>3.44</v>
      </c>
      <c r="P1042">
        <v>1831572.5</v>
      </c>
      <c r="Q1042" t="s">
        <v>522</v>
      </c>
      <c r="R1042" s="31">
        <v>28.55</v>
      </c>
    </row>
    <row r="1043" spans="1:18" x14ac:dyDescent="0.3">
      <c r="A1043">
        <v>24</v>
      </c>
      <c r="B1043">
        <v>24</v>
      </c>
      <c r="C1043" t="s">
        <v>21</v>
      </c>
      <c r="D1043">
        <v>4.1399999999999997</v>
      </c>
      <c r="E1043">
        <v>69.616</v>
      </c>
      <c r="F1043" t="s">
        <v>411</v>
      </c>
      <c r="G1043" s="31">
        <v>0.1</v>
      </c>
      <c r="L1043">
        <v>13</v>
      </c>
      <c r="M1043">
        <v>13</v>
      </c>
      <c r="N1043" t="s">
        <v>46</v>
      </c>
      <c r="O1043">
        <v>2.58</v>
      </c>
      <c r="P1043">
        <v>195970.391</v>
      </c>
      <c r="Q1043" t="s">
        <v>523</v>
      </c>
      <c r="R1043" s="31">
        <v>6.35</v>
      </c>
    </row>
    <row r="1044" spans="1:18" x14ac:dyDescent="0.3">
      <c r="A1044">
        <v>25</v>
      </c>
      <c r="B1044">
        <v>25</v>
      </c>
      <c r="C1044" t="s">
        <v>22</v>
      </c>
      <c r="D1044">
        <v>3.42</v>
      </c>
      <c r="E1044">
        <v>148.11099999999999</v>
      </c>
      <c r="F1044" t="s">
        <v>412</v>
      </c>
      <c r="G1044" s="31">
        <v>5.42</v>
      </c>
      <c r="L1044">
        <v>14</v>
      </c>
      <c r="M1044">
        <v>14</v>
      </c>
      <c r="N1044" t="s">
        <v>47</v>
      </c>
      <c r="O1044">
        <v>0.68</v>
      </c>
      <c r="P1044">
        <v>60163.233999999997</v>
      </c>
      <c r="Q1044" t="s">
        <v>524</v>
      </c>
      <c r="R1044" s="31">
        <v>20.170000000000002</v>
      </c>
    </row>
    <row r="1045" spans="1:18" x14ac:dyDescent="0.3">
      <c r="A1045">
        <v>26</v>
      </c>
      <c r="B1045">
        <v>26</v>
      </c>
      <c r="C1045" t="s">
        <v>23</v>
      </c>
      <c r="D1045">
        <v>3.35</v>
      </c>
      <c r="E1045">
        <v>36702.925999999999</v>
      </c>
      <c r="F1045" t="s">
        <v>413</v>
      </c>
      <c r="G1045" s="31">
        <v>5.55</v>
      </c>
      <c r="L1045">
        <v>15</v>
      </c>
      <c r="M1045">
        <v>15</v>
      </c>
      <c r="N1045" t="s">
        <v>48</v>
      </c>
      <c r="O1045">
        <v>1.21</v>
      </c>
      <c r="P1045">
        <v>56182.987999999998</v>
      </c>
      <c r="Q1045" t="s">
        <v>525</v>
      </c>
      <c r="R1045" s="31">
        <v>5.62</v>
      </c>
    </row>
    <row r="1046" spans="1:18" x14ac:dyDescent="0.3">
      <c r="A1046">
        <v>27</v>
      </c>
      <c r="B1046">
        <v>27</v>
      </c>
      <c r="C1046" t="s">
        <v>24</v>
      </c>
      <c r="D1046">
        <v>3.43</v>
      </c>
      <c r="E1046">
        <v>151.48500000000001</v>
      </c>
      <c r="F1046" t="s">
        <v>414</v>
      </c>
      <c r="G1046" s="31">
        <v>0.1</v>
      </c>
      <c r="L1046">
        <v>16</v>
      </c>
      <c r="M1046">
        <v>16</v>
      </c>
      <c r="N1046" t="s">
        <v>53</v>
      </c>
      <c r="O1046">
        <v>4.55</v>
      </c>
      <c r="P1046">
        <v>79962.835999999996</v>
      </c>
      <c r="Q1046" t="s">
        <v>526</v>
      </c>
      <c r="R1046" s="31">
        <v>0.75</v>
      </c>
    </row>
    <row r="1047" spans="1:18" x14ac:dyDescent="0.3">
      <c r="A1047">
        <v>28</v>
      </c>
      <c r="B1047">
        <v>28</v>
      </c>
      <c r="C1047" t="s">
        <v>25</v>
      </c>
      <c r="D1047">
        <v>3.52</v>
      </c>
      <c r="E1047">
        <v>1085.7349999999999</v>
      </c>
      <c r="F1047" t="s">
        <v>415</v>
      </c>
      <c r="G1047" s="31">
        <v>0.6</v>
      </c>
      <c r="L1047">
        <v>17</v>
      </c>
      <c r="M1047">
        <v>17</v>
      </c>
      <c r="N1047" t="s">
        <v>54</v>
      </c>
      <c r="O1047">
        <v>5.28</v>
      </c>
      <c r="P1047">
        <v>30.507999999999999</v>
      </c>
      <c r="Q1047" t="s">
        <v>527</v>
      </c>
      <c r="R1047" s="31">
        <v>0.1</v>
      </c>
    </row>
    <row r="1048" spans="1:18" x14ac:dyDescent="0.3">
      <c r="A1048">
        <v>29</v>
      </c>
      <c r="B1048">
        <v>29</v>
      </c>
      <c r="C1048" t="s">
        <v>26</v>
      </c>
      <c r="D1048">
        <v>1.02</v>
      </c>
      <c r="E1048">
        <v>566.226</v>
      </c>
      <c r="F1048" t="s">
        <v>416</v>
      </c>
      <c r="G1048" s="31">
        <v>1.37</v>
      </c>
      <c r="L1048">
        <v>18</v>
      </c>
      <c r="M1048">
        <v>18</v>
      </c>
      <c r="N1048" t="s">
        <v>55</v>
      </c>
      <c r="O1048">
        <v>1.32</v>
      </c>
      <c r="P1048">
        <v>2613.9299999999998</v>
      </c>
      <c r="Q1048" t="s">
        <v>528</v>
      </c>
      <c r="R1048" s="31">
        <v>7.0000000000000007E-2</v>
      </c>
    </row>
    <row r="1049" spans="1:18" x14ac:dyDescent="0.3">
      <c r="A1049">
        <v>30</v>
      </c>
      <c r="B1049">
        <v>30</v>
      </c>
      <c r="C1049" t="s">
        <v>27</v>
      </c>
      <c r="D1049">
        <v>4.24</v>
      </c>
      <c r="E1049">
        <v>2136.7869999999998</v>
      </c>
      <c r="F1049" t="s">
        <v>417</v>
      </c>
      <c r="G1049" s="31">
        <v>0.26</v>
      </c>
      <c r="L1049">
        <v>19</v>
      </c>
      <c r="M1049">
        <v>19</v>
      </c>
      <c r="N1049" t="s">
        <v>56</v>
      </c>
      <c r="O1049">
        <v>0.87</v>
      </c>
      <c r="P1049">
        <v>38263.315999999999</v>
      </c>
      <c r="Q1049" t="s">
        <v>529</v>
      </c>
      <c r="R1049" s="31">
        <v>1.37</v>
      </c>
    </row>
    <row r="1050" spans="1:18" x14ac:dyDescent="0.3">
      <c r="A1050">
        <v>31</v>
      </c>
      <c r="B1050">
        <v>31</v>
      </c>
      <c r="C1050" t="s">
        <v>28</v>
      </c>
      <c r="D1050">
        <v>3</v>
      </c>
      <c r="E1050">
        <v>106529.883</v>
      </c>
      <c r="F1050" t="s">
        <v>418</v>
      </c>
      <c r="G1050" s="31">
        <v>0.85</v>
      </c>
      <c r="L1050">
        <v>20</v>
      </c>
      <c r="M1050">
        <v>20</v>
      </c>
      <c r="N1050" t="s">
        <v>57</v>
      </c>
      <c r="O1050">
        <v>1.51</v>
      </c>
      <c r="P1050">
        <v>1851.854</v>
      </c>
      <c r="Q1050" t="s">
        <v>530</v>
      </c>
      <c r="R1050" s="31">
        <v>0.46</v>
      </c>
    </row>
    <row r="1051" spans="1:18" x14ac:dyDescent="0.3">
      <c r="A1051">
        <v>32</v>
      </c>
      <c r="B1051">
        <v>32</v>
      </c>
      <c r="C1051" t="s">
        <v>29</v>
      </c>
      <c r="D1051">
        <v>3.35</v>
      </c>
      <c r="E1051">
        <v>895.73699999999997</v>
      </c>
      <c r="F1051" t="s">
        <v>419</v>
      </c>
      <c r="G1051" s="31">
        <v>0.22</v>
      </c>
      <c r="L1051">
        <v>21</v>
      </c>
      <c r="M1051">
        <v>21</v>
      </c>
      <c r="N1051" t="s">
        <v>58</v>
      </c>
      <c r="O1051">
        <v>2.56</v>
      </c>
      <c r="P1051">
        <v>173.72900000000001</v>
      </c>
      <c r="Q1051" t="s">
        <v>531</v>
      </c>
      <c r="R1051" s="31">
        <v>0.08</v>
      </c>
    </row>
    <row r="1052" spans="1:18" x14ac:dyDescent="0.3">
      <c r="A1052">
        <v>33</v>
      </c>
      <c r="B1052">
        <v>33</v>
      </c>
      <c r="C1052" t="s">
        <v>30</v>
      </c>
      <c r="D1052">
        <v>4.67</v>
      </c>
      <c r="E1052">
        <v>67008.516000000003</v>
      </c>
      <c r="F1052" t="s">
        <v>420</v>
      </c>
      <c r="G1052" s="31">
        <v>2.36</v>
      </c>
      <c r="L1052">
        <v>22</v>
      </c>
      <c r="M1052">
        <v>22</v>
      </c>
      <c r="N1052" t="s">
        <v>59</v>
      </c>
      <c r="O1052">
        <v>2.5</v>
      </c>
      <c r="P1052">
        <v>12399.043</v>
      </c>
      <c r="Q1052" t="s">
        <v>532</v>
      </c>
      <c r="R1052" s="31">
        <v>1.03</v>
      </c>
    </row>
    <row r="1053" spans="1:18" x14ac:dyDescent="0.3">
      <c r="A1053">
        <v>34</v>
      </c>
      <c r="B1053">
        <v>34</v>
      </c>
      <c r="C1053" t="s">
        <v>31</v>
      </c>
      <c r="D1053">
        <v>3.25</v>
      </c>
      <c r="E1053">
        <v>2995.6210000000001</v>
      </c>
      <c r="F1053" t="s">
        <v>421</v>
      </c>
      <c r="G1053" s="31">
        <v>0.4</v>
      </c>
      <c r="L1053">
        <v>23</v>
      </c>
      <c r="M1053">
        <v>23</v>
      </c>
      <c r="N1053" t="s">
        <v>60</v>
      </c>
      <c r="O1053">
        <v>2.58</v>
      </c>
      <c r="P1053">
        <v>42933.527000000002</v>
      </c>
      <c r="Q1053" t="s">
        <v>533</v>
      </c>
      <c r="R1053" s="31">
        <v>1.8</v>
      </c>
    </row>
    <row r="1054" spans="1:18" x14ac:dyDescent="0.3">
      <c r="A1054">
        <v>35</v>
      </c>
      <c r="B1054">
        <v>35</v>
      </c>
      <c r="C1054" t="s">
        <v>32</v>
      </c>
      <c r="D1054">
        <v>3.07</v>
      </c>
      <c r="E1054">
        <v>114.86</v>
      </c>
      <c r="F1054" t="s">
        <v>422</v>
      </c>
      <c r="G1054" s="31">
        <v>0.11</v>
      </c>
    </row>
    <row r="1055" spans="1:18" x14ac:dyDescent="0.3">
      <c r="A1055">
        <v>36</v>
      </c>
      <c r="B1055">
        <v>36</v>
      </c>
      <c r="C1055" t="s">
        <v>33</v>
      </c>
      <c r="D1055">
        <v>1.88</v>
      </c>
      <c r="E1055">
        <v>183.87</v>
      </c>
      <c r="F1055" t="s">
        <v>423</v>
      </c>
      <c r="G1055" s="31">
        <v>0.2</v>
      </c>
      <c r="L1055" t="s">
        <v>379</v>
      </c>
    </row>
    <row r="1056" spans="1:18" x14ac:dyDescent="0.3">
      <c r="G1056" s="31">
        <f>G1033/G1035</f>
        <v>3.3931034482758622</v>
      </c>
    </row>
    <row r="1057" spans="1:18" x14ac:dyDescent="0.3">
      <c r="A1057" t="s">
        <v>379</v>
      </c>
      <c r="L1057" t="s">
        <v>557</v>
      </c>
    </row>
    <row r="1059" spans="1:18" x14ac:dyDescent="0.3">
      <c r="A1059" t="s">
        <v>380</v>
      </c>
      <c r="L1059" t="s">
        <v>568</v>
      </c>
    </row>
    <row r="1061" spans="1:18" x14ac:dyDescent="0.3">
      <c r="A1061" t="s">
        <v>447</v>
      </c>
      <c r="M1061" t="s">
        <v>382</v>
      </c>
      <c r="N1061" t="s">
        <v>383</v>
      </c>
      <c r="O1061" t="s">
        <v>384</v>
      </c>
      <c r="P1061" t="s">
        <v>385</v>
      </c>
      <c r="Q1061" t="s">
        <v>386</v>
      </c>
      <c r="R1061" s="31" t="s">
        <v>387</v>
      </c>
    </row>
    <row r="1062" spans="1:18" x14ac:dyDescent="0.3">
      <c r="L1062">
        <v>1</v>
      </c>
      <c r="M1062">
        <v>1</v>
      </c>
      <c r="N1062" t="s">
        <v>35</v>
      </c>
      <c r="O1062">
        <v>1.44</v>
      </c>
      <c r="P1062">
        <v>14207.201999999999</v>
      </c>
      <c r="Q1062" t="s">
        <v>511</v>
      </c>
      <c r="R1062" s="31">
        <v>11.37</v>
      </c>
    </row>
    <row r="1063" spans="1:18" x14ac:dyDescent="0.3">
      <c r="B1063" t="s">
        <v>382</v>
      </c>
      <c r="C1063" t="s">
        <v>383</v>
      </c>
      <c r="D1063" t="s">
        <v>384</v>
      </c>
      <c r="E1063" t="s">
        <v>385</v>
      </c>
      <c r="F1063" t="s">
        <v>386</v>
      </c>
      <c r="G1063" s="31" t="s">
        <v>387</v>
      </c>
      <c r="L1063">
        <v>2</v>
      </c>
      <c r="M1063">
        <v>2</v>
      </c>
      <c r="N1063" t="s">
        <v>36</v>
      </c>
      <c r="O1063">
        <v>1.66</v>
      </c>
      <c r="P1063">
        <v>2990352.75</v>
      </c>
      <c r="Q1063" t="s">
        <v>512</v>
      </c>
      <c r="R1063" s="31">
        <v>399.91</v>
      </c>
    </row>
    <row r="1064" spans="1:18" x14ac:dyDescent="0.3">
      <c r="A1064">
        <v>1</v>
      </c>
      <c r="B1064">
        <v>1</v>
      </c>
      <c r="C1064" t="s">
        <v>0</v>
      </c>
      <c r="D1064">
        <v>1.03</v>
      </c>
      <c r="E1064">
        <v>973.63</v>
      </c>
      <c r="F1064" t="s">
        <v>388</v>
      </c>
      <c r="G1064" s="31">
        <v>10.26</v>
      </c>
      <c r="L1064">
        <v>3</v>
      </c>
      <c r="M1064">
        <v>3</v>
      </c>
      <c r="N1064" t="s">
        <v>37</v>
      </c>
      <c r="O1064">
        <v>1.8</v>
      </c>
      <c r="P1064">
        <v>753.18700000000001</v>
      </c>
      <c r="Q1064" t="s">
        <v>513</v>
      </c>
      <c r="R1064" s="31">
        <v>0.22</v>
      </c>
    </row>
    <row r="1065" spans="1:18" x14ac:dyDescent="0.3">
      <c r="A1065">
        <v>2</v>
      </c>
      <c r="B1065">
        <v>2</v>
      </c>
      <c r="C1065" t="s">
        <v>1</v>
      </c>
      <c r="D1065">
        <v>1.46</v>
      </c>
      <c r="E1065">
        <v>3139.5050000000001</v>
      </c>
      <c r="F1065" t="s">
        <v>389</v>
      </c>
      <c r="G1065" s="31">
        <v>6.81</v>
      </c>
      <c r="L1065">
        <v>4</v>
      </c>
      <c r="M1065">
        <v>4</v>
      </c>
      <c r="N1065" t="s">
        <v>38</v>
      </c>
      <c r="O1065">
        <v>1.17</v>
      </c>
      <c r="P1065">
        <v>3377.1</v>
      </c>
      <c r="Q1065" t="s">
        <v>514</v>
      </c>
      <c r="R1065" s="31">
        <v>0.61</v>
      </c>
    </row>
    <row r="1066" spans="1:18" x14ac:dyDescent="0.3">
      <c r="A1066">
        <v>3</v>
      </c>
      <c r="B1066">
        <v>3</v>
      </c>
      <c r="C1066" t="s">
        <v>50</v>
      </c>
      <c r="D1066">
        <v>3.57</v>
      </c>
      <c r="E1066">
        <v>531.91399999999999</v>
      </c>
      <c r="F1066" t="s">
        <v>390</v>
      </c>
      <c r="G1066" s="31">
        <v>0.5</v>
      </c>
      <c r="L1066">
        <v>5</v>
      </c>
      <c r="M1066">
        <v>5</v>
      </c>
      <c r="N1066" t="s">
        <v>39</v>
      </c>
      <c r="O1066">
        <v>1.38</v>
      </c>
      <c r="P1066">
        <v>200278</v>
      </c>
      <c r="Q1066" t="s">
        <v>515</v>
      </c>
      <c r="R1066" s="31">
        <v>42.07</v>
      </c>
    </row>
    <row r="1067" spans="1:18" x14ac:dyDescent="0.3">
      <c r="A1067">
        <v>4</v>
      </c>
      <c r="B1067">
        <v>4</v>
      </c>
      <c r="C1067" t="s">
        <v>2</v>
      </c>
      <c r="D1067">
        <v>3.7</v>
      </c>
      <c r="E1067">
        <v>11144.005999999999</v>
      </c>
      <c r="F1067" t="s">
        <v>391</v>
      </c>
      <c r="G1067" s="31">
        <v>1.03</v>
      </c>
      <c r="L1067">
        <v>6</v>
      </c>
      <c r="M1067">
        <v>6</v>
      </c>
      <c r="N1067" t="s">
        <v>40</v>
      </c>
      <c r="O1067">
        <v>1.52</v>
      </c>
      <c r="P1067">
        <v>13843.057000000001</v>
      </c>
      <c r="Q1067" t="s">
        <v>516</v>
      </c>
      <c r="R1067" s="31">
        <v>1.61</v>
      </c>
    </row>
    <row r="1068" spans="1:18" x14ac:dyDescent="0.3">
      <c r="A1068">
        <v>5</v>
      </c>
      <c r="B1068">
        <v>5</v>
      </c>
      <c r="C1068" t="s">
        <v>3</v>
      </c>
      <c r="D1068">
        <v>4.49</v>
      </c>
      <c r="E1068">
        <v>247.99199999999999</v>
      </c>
      <c r="F1068" t="s">
        <v>392</v>
      </c>
      <c r="G1068" s="31">
        <v>0.19</v>
      </c>
      <c r="L1068">
        <v>7</v>
      </c>
      <c r="M1068">
        <v>7</v>
      </c>
      <c r="N1068" t="s">
        <v>41</v>
      </c>
      <c r="O1068">
        <v>2.2999999999999998</v>
      </c>
      <c r="P1068">
        <v>2313.1999999999998</v>
      </c>
      <c r="Q1068" t="s">
        <v>517</v>
      </c>
      <c r="R1068" s="31">
        <v>2.5</v>
      </c>
    </row>
    <row r="1069" spans="1:18" x14ac:dyDescent="0.3">
      <c r="A1069">
        <v>6</v>
      </c>
      <c r="B1069">
        <v>6</v>
      </c>
      <c r="C1069" t="s">
        <v>4</v>
      </c>
      <c r="D1069">
        <v>4.8</v>
      </c>
      <c r="E1069">
        <v>16395.526999999998</v>
      </c>
      <c r="F1069" t="s">
        <v>393</v>
      </c>
      <c r="G1069" s="31">
        <v>1.32</v>
      </c>
      <c r="L1069">
        <v>8</v>
      </c>
      <c r="M1069">
        <v>8</v>
      </c>
      <c r="N1069" t="s">
        <v>42</v>
      </c>
      <c r="O1069">
        <v>0.87</v>
      </c>
      <c r="P1069">
        <v>10.052</v>
      </c>
      <c r="Q1069" t="s">
        <v>518</v>
      </c>
      <c r="R1069" s="31">
        <v>20.149999999999999</v>
      </c>
    </row>
    <row r="1070" spans="1:18" x14ac:dyDescent="0.3">
      <c r="A1070">
        <v>7</v>
      </c>
      <c r="B1070">
        <v>7</v>
      </c>
      <c r="C1070" t="s">
        <v>5</v>
      </c>
      <c r="D1070">
        <v>2.71</v>
      </c>
      <c r="E1070">
        <v>367.52800000000002</v>
      </c>
      <c r="F1070" t="s">
        <v>394</v>
      </c>
      <c r="G1070" s="31">
        <v>0.09</v>
      </c>
      <c r="L1070">
        <v>9</v>
      </c>
      <c r="M1070">
        <v>9</v>
      </c>
      <c r="N1070" t="s">
        <v>43</v>
      </c>
      <c r="O1070">
        <v>2.54</v>
      </c>
      <c r="P1070">
        <v>8886.375</v>
      </c>
      <c r="Q1070" t="s">
        <v>519</v>
      </c>
      <c r="R1070" s="31">
        <v>0.16</v>
      </c>
    </row>
    <row r="1071" spans="1:18" x14ac:dyDescent="0.3">
      <c r="A1071">
        <v>8</v>
      </c>
      <c r="B1071">
        <v>8</v>
      </c>
      <c r="C1071" t="s">
        <v>6</v>
      </c>
      <c r="D1071">
        <v>0.66</v>
      </c>
      <c r="E1071">
        <v>1698.201</v>
      </c>
      <c r="F1071" t="s">
        <v>395</v>
      </c>
      <c r="G1071" s="31">
        <v>28.82</v>
      </c>
      <c r="L1071">
        <v>10</v>
      </c>
      <c r="M1071">
        <v>10</v>
      </c>
      <c r="N1071" t="s">
        <v>52</v>
      </c>
      <c r="O1071">
        <v>4.13</v>
      </c>
      <c r="P1071">
        <v>9184.1579999999994</v>
      </c>
      <c r="Q1071" t="s">
        <v>520</v>
      </c>
      <c r="R1071" s="31">
        <v>0.37</v>
      </c>
    </row>
    <row r="1072" spans="1:18" x14ac:dyDescent="0.3">
      <c r="A1072">
        <v>9</v>
      </c>
      <c r="B1072">
        <v>9</v>
      </c>
      <c r="C1072" t="s">
        <v>7</v>
      </c>
      <c r="D1072">
        <v>3.56</v>
      </c>
      <c r="E1072">
        <v>254.36199999999999</v>
      </c>
      <c r="F1072" t="s">
        <v>396</v>
      </c>
      <c r="G1072" s="31">
        <v>1.05</v>
      </c>
      <c r="L1072">
        <v>11</v>
      </c>
      <c r="M1072">
        <v>11</v>
      </c>
      <c r="N1072" t="s">
        <v>44</v>
      </c>
      <c r="O1072">
        <v>4.1900000000000004</v>
      </c>
      <c r="P1072">
        <v>860.01900000000001</v>
      </c>
      <c r="Q1072" t="s">
        <v>521</v>
      </c>
      <c r="R1072" s="31">
        <v>0.22</v>
      </c>
    </row>
    <row r="1073" spans="1:18" x14ac:dyDescent="0.3">
      <c r="A1073">
        <v>10</v>
      </c>
      <c r="B1073">
        <v>10</v>
      </c>
      <c r="C1073" t="s">
        <v>51</v>
      </c>
      <c r="D1073">
        <v>4.6500000000000004</v>
      </c>
      <c r="E1073">
        <v>561.53499999999997</v>
      </c>
      <c r="F1073" t="s">
        <v>397</v>
      </c>
      <c r="G1073" s="31">
        <v>0.16</v>
      </c>
      <c r="L1073">
        <v>12</v>
      </c>
      <c r="M1073">
        <v>12</v>
      </c>
      <c r="N1073" t="s">
        <v>45</v>
      </c>
      <c r="O1073">
        <v>3.45</v>
      </c>
      <c r="P1073">
        <v>1060383.625</v>
      </c>
      <c r="Q1073" t="s">
        <v>522</v>
      </c>
      <c r="R1073" s="31">
        <v>24.84</v>
      </c>
    </row>
    <row r="1074" spans="1:18" x14ac:dyDescent="0.3">
      <c r="A1074">
        <v>11</v>
      </c>
      <c r="B1074">
        <v>11</v>
      </c>
      <c r="C1074" t="s">
        <v>8</v>
      </c>
      <c r="D1074">
        <v>2.74</v>
      </c>
      <c r="E1074">
        <v>15431.282999999999</v>
      </c>
      <c r="F1074" t="s">
        <v>398</v>
      </c>
      <c r="G1074" s="31">
        <v>1.32</v>
      </c>
      <c r="L1074">
        <v>13</v>
      </c>
      <c r="M1074">
        <v>13</v>
      </c>
      <c r="N1074" t="s">
        <v>46</v>
      </c>
      <c r="O1074">
        <v>2.59</v>
      </c>
      <c r="P1074">
        <v>229960.734</v>
      </c>
      <c r="Q1074" t="s">
        <v>523</v>
      </c>
      <c r="R1074" s="31">
        <v>12.88</v>
      </c>
    </row>
    <row r="1075" spans="1:18" x14ac:dyDescent="0.3">
      <c r="A1075">
        <v>12</v>
      </c>
      <c r="B1075">
        <v>12</v>
      </c>
      <c r="C1075" t="s">
        <v>9</v>
      </c>
      <c r="D1075">
        <v>2.64</v>
      </c>
      <c r="E1075">
        <v>2904.0439999999999</v>
      </c>
      <c r="F1075" t="s">
        <v>399</v>
      </c>
      <c r="G1075" s="31">
        <v>1.67</v>
      </c>
      <c r="L1075">
        <v>14</v>
      </c>
      <c r="M1075">
        <v>14</v>
      </c>
      <c r="N1075" t="s">
        <v>47</v>
      </c>
      <c r="O1075">
        <v>0.68</v>
      </c>
      <c r="P1075">
        <v>26134.734</v>
      </c>
      <c r="Q1075" t="s">
        <v>524</v>
      </c>
      <c r="R1075" s="31">
        <v>13.76</v>
      </c>
    </row>
    <row r="1076" spans="1:18" x14ac:dyDescent="0.3">
      <c r="A1076">
        <v>13</v>
      </c>
      <c r="B1076">
        <v>13</v>
      </c>
      <c r="C1076" t="s">
        <v>10</v>
      </c>
      <c r="D1076">
        <v>4.08</v>
      </c>
      <c r="E1076">
        <v>1575477.625</v>
      </c>
      <c r="F1076" t="s">
        <v>400</v>
      </c>
      <c r="G1076" s="31">
        <v>189.32</v>
      </c>
      <c r="L1076">
        <v>15</v>
      </c>
      <c r="M1076">
        <v>15</v>
      </c>
      <c r="N1076" t="s">
        <v>48</v>
      </c>
      <c r="O1076">
        <v>1.21</v>
      </c>
      <c r="P1076">
        <v>28238.572</v>
      </c>
      <c r="Q1076" t="s">
        <v>525</v>
      </c>
      <c r="R1076" s="31">
        <v>4.62</v>
      </c>
    </row>
    <row r="1077" spans="1:18" x14ac:dyDescent="0.3">
      <c r="A1077">
        <v>14</v>
      </c>
      <c r="B1077">
        <v>14</v>
      </c>
      <c r="C1077" t="s">
        <v>11</v>
      </c>
      <c r="D1077">
        <v>3.2</v>
      </c>
      <c r="E1077">
        <v>1.9139999999999999</v>
      </c>
      <c r="F1077" t="s">
        <v>401</v>
      </c>
      <c r="G1077" s="31">
        <v>1.63</v>
      </c>
      <c r="L1077">
        <v>16</v>
      </c>
      <c r="M1077">
        <v>16</v>
      </c>
      <c r="N1077" t="s">
        <v>53</v>
      </c>
      <c r="O1077">
        <v>4.55</v>
      </c>
      <c r="P1077">
        <v>73709.858999999997</v>
      </c>
      <c r="Q1077" t="s">
        <v>526</v>
      </c>
      <c r="R1077" s="31">
        <v>1.17</v>
      </c>
    </row>
    <row r="1078" spans="1:18" x14ac:dyDescent="0.3">
      <c r="A1078">
        <v>15</v>
      </c>
      <c r="B1078">
        <v>15</v>
      </c>
      <c r="C1078" t="s">
        <v>12</v>
      </c>
      <c r="D1078">
        <v>3.33</v>
      </c>
      <c r="E1078">
        <v>220.072</v>
      </c>
      <c r="F1078" t="s">
        <v>402</v>
      </c>
      <c r="G1078" s="31">
        <v>1.35</v>
      </c>
      <c r="L1078">
        <v>17</v>
      </c>
      <c r="M1078">
        <v>17</v>
      </c>
      <c r="N1078" t="s">
        <v>54</v>
      </c>
      <c r="O1078">
        <v>5.26</v>
      </c>
      <c r="P1078">
        <v>37.497</v>
      </c>
      <c r="Q1078" t="s">
        <v>527</v>
      </c>
      <c r="R1078" s="31">
        <v>0.1</v>
      </c>
    </row>
    <row r="1079" spans="1:18" x14ac:dyDescent="0.3">
      <c r="A1079">
        <v>16</v>
      </c>
      <c r="B1079">
        <v>16</v>
      </c>
      <c r="C1079" t="s">
        <v>13</v>
      </c>
      <c r="D1079">
        <v>3.23</v>
      </c>
      <c r="E1079">
        <v>3409.953</v>
      </c>
      <c r="F1079" t="s">
        <v>403</v>
      </c>
      <c r="G1079" s="31">
        <v>1.1200000000000001</v>
      </c>
      <c r="L1079">
        <v>18</v>
      </c>
      <c r="M1079">
        <v>18</v>
      </c>
      <c r="N1079" t="s">
        <v>55</v>
      </c>
      <c r="O1079">
        <v>1.31</v>
      </c>
      <c r="P1079">
        <v>3920.393</v>
      </c>
      <c r="Q1079" t="s">
        <v>528</v>
      </c>
      <c r="R1079" s="31">
        <v>0.17</v>
      </c>
    </row>
    <row r="1080" spans="1:18" x14ac:dyDescent="0.3">
      <c r="A1080">
        <v>17</v>
      </c>
      <c r="B1080">
        <v>17</v>
      </c>
      <c r="C1080" t="s">
        <v>14</v>
      </c>
      <c r="D1080">
        <v>2.0299999999999998</v>
      </c>
      <c r="E1080">
        <v>9169.2360000000008</v>
      </c>
      <c r="F1080" t="s">
        <v>404</v>
      </c>
      <c r="G1080" s="31">
        <v>2.39</v>
      </c>
      <c r="L1080">
        <v>19</v>
      </c>
      <c r="M1080">
        <v>19</v>
      </c>
      <c r="N1080" t="s">
        <v>56</v>
      </c>
      <c r="O1080">
        <v>0.88</v>
      </c>
      <c r="P1080">
        <v>26773.041000000001</v>
      </c>
      <c r="Q1080" t="s">
        <v>529</v>
      </c>
      <c r="R1080" s="31">
        <v>1.43</v>
      </c>
    </row>
    <row r="1081" spans="1:18" x14ac:dyDescent="0.3">
      <c r="A1081">
        <v>18</v>
      </c>
      <c r="B1081">
        <v>18</v>
      </c>
      <c r="C1081" t="s">
        <v>15</v>
      </c>
      <c r="D1081">
        <v>2.5099999999999998</v>
      </c>
      <c r="E1081">
        <v>21141.888999999999</v>
      </c>
      <c r="F1081" t="s">
        <v>405</v>
      </c>
      <c r="G1081" s="31">
        <v>14.46</v>
      </c>
      <c r="L1081">
        <v>20</v>
      </c>
      <c r="M1081">
        <v>20</v>
      </c>
      <c r="N1081" t="s">
        <v>57</v>
      </c>
      <c r="O1081">
        <v>1.51</v>
      </c>
      <c r="P1081">
        <v>547.11300000000006</v>
      </c>
      <c r="Q1081" t="s">
        <v>530</v>
      </c>
      <c r="R1081" s="31">
        <v>0.23</v>
      </c>
    </row>
    <row r="1082" spans="1:18" x14ac:dyDescent="0.3">
      <c r="A1082">
        <v>19</v>
      </c>
      <c r="B1082">
        <v>19</v>
      </c>
      <c r="C1082" t="s">
        <v>16</v>
      </c>
      <c r="D1082">
        <v>2.71</v>
      </c>
      <c r="E1082">
        <v>1336.338</v>
      </c>
      <c r="F1082" t="s">
        <v>406</v>
      </c>
      <c r="G1082" s="31">
        <v>0.15</v>
      </c>
      <c r="L1082">
        <v>21</v>
      </c>
      <c r="M1082">
        <v>21</v>
      </c>
      <c r="N1082" t="s">
        <v>58</v>
      </c>
      <c r="O1082">
        <v>2.57</v>
      </c>
      <c r="P1082">
        <v>20.928000000000001</v>
      </c>
      <c r="Q1082" t="s">
        <v>531</v>
      </c>
      <c r="R1082" s="31">
        <v>0.14000000000000001</v>
      </c>
    </row>
    <row r="1083" spans="1:18" x14ac:dyDescent="0.3">
      <c r="A1083">
        <v>20</v>
      </c>
      <c r="B1083">
        <v>20</v>
      </c>
      <c r="C1083" t="s">
        <v>17</v>
      </c>
      <c r="D1083">
        <v>3.13</v>
      </c>
      <c r="E1083">
        <v>3868.2280000000001</v>
      </c>
      <c r="F1083" t="s">
        <v>407</v>
      </c>
      <c r="G1083" s="31">
        <v>0.95</v>
      </c>
      <c r="L1083">
        <v>22</v>
      </c>
      <c r="M1083">
        <v>22</v>
      </c>
      <c r="N1083" t="s">
        <v>59</v>
      </c>
      <c r="O1083">
        <v>2.5</v>
      </c>
      <c r="P1083">
        <v>15025.014999999999</v>
      </c>
      <c r="Q1083" t="s">
        <v>532</v>
      </c>
      <c r="R1083" s="31">
        <v>2.1800000000000002</v>
      </c>
    </row>
    <row r="1084" spans="1:18" x14ac:dyDescent="0.3">
      <c r="A1084">
        <v>21</v>
      </c>
      <c r="B1084">
        <v>21</v>
      </c>
      <c r="C1084" t="s">
        <v>18</v>
      </c>
      <c r="D1084">
        <v>3.68</v>
      </c>
      <c r="E1084">
        <v>4716.8940000000002</v>
      </c>
      <c r="F1084" t="s">
        <v>408</v>
      </c>
      <c r="G1084" s="31">
        <v>0.28999999999999998</v>
      </c>
      <c r="L1084">
        <v>23</v>
      </c>
      <c r="M1084">
        <v>23</v>
      </c>
      <c r="N1084" t="s">
        <v>60</v>
      </c>
      <c r="O1084">
        <v>2.68</v>
      </c>
      <c r="P1084">
        <v>19524.455000000002</v>
      </c>
      <c r="Q1084" t="s">
        <v>533</v>
      </c>
      <c r="R1084" s="31">
        <v>1.51</v>
      </c>
    </row>
    <row r="1085" spans="1:18" x14ac:dyDescent="0.3">
      <c r="A1085">
        <v>22</v>
      </c>
      <c r="B1085">
        <v>22</v>
      </c>
      <c r="C1085" t="s">
        <v>19</v>
      </c>
      <c r="D1085">
        <v>2.64</v>
      </c>
      <c r="E1085">
        <v>18036.868999999999</v>
      </c>
      <c r="F1085" t="s">
        <v>409</v>
      </c>
      <c r="G1085" s="31">
        <v>3.28</v>
      </c>
    </row>
    <row r="1086" spans="1:18" x14ac:dyDescent="0.3">
      <c r="A1086">
        <v>23</v>
      </c>
      <c r="B1086">
        <v>23</v>
      </c>
      <c r="C1086" t="s">
        <v>20</v>
      </c>
      <c r="D1086">
        <v>2.89</v>
      </c>
      <c r="E1086">
        <v>7372.4669999999996</v>
      </c>
      <c r="F1086" t="s">
        <v>410</v>
      </c>
      <c r="G1086" s="31">
        <v>0.73</v>
      </c>
      <c r="L1086" t="s">
        <v>379</v>
      </c>
    </row>
    <row r="1087" spans="1:18" x14ac:dyDescent="0.3">
      <c r="A1087">
        <v>24</v>
      </c>
      <c r="B1087">
        <v>24</v>
      </c>
      <c r="C1087" t="s">
        <v>21</v>
      </c>
      <c r="D1087">
        <v>4.1399999999999997</v>
      </c>
      <c r="E1087">
        <v>259.00400000000002</v>
      </c>
      <c r="F1087" t="s">
        <v>411</v>
      </c>
      <c r="G1087" s="31">
        <v>0.11</v>
      </c>
    </row>
    <row r="1088" spans="1:18" x14ac:dyDescent="0.3">
      <c r="A1088">
        <v>25</v>
      </c>
      <c r="B1088">
        <v>25</v>
      </c>
      <c r="C1088" t="s">
        <v>22</v>
      </c>
      <c r="D1088">
        <v>3.45</v>
      </c>
      <c r="E1088">
        <v>147.108</v>
      </c>
      <c r="F1088" t="s">
        <v>412</v>
      </c>
      <c r="G1088" s="31">
        <v>4.82</v>
      </c>
      <c r="L1088" t="s">
        <v>557</v>
      </c>
    </row>
    <row r="1089" spans="1:18" x14ac:dyDescent="0.3">
      <c r="A1089">
        <v>26</v>
      </c>
      <c r="B1089">
        <v>26</v>
      </c>
      <c r="C1089" t="s">
        <v>23</v>
      </c>
      <c r="D1089">
        <v>3.35</v>
      </c>
      <c r="E1089">
        <v>14271.022000000001</v>
      </c>
      <c r="F1089" t="s">
        <v>413</v>
      </c>
      <c r="G1089" s="31">
        <v>2.15</v>
      </c>
    </row>
    <row r="1090" spans="1:18" x14ac:dyDescent="0.3">
      <c r="A1090">
        <v>27</v>
      </c>
      <c r="B1090">
        <v>27</v>
      </c>
      <c r="C1090" t="s">
        <v>24</v>
      </c>
      <c r="D1090">
        <v>3.46</v>
      </c>
      <c r="E1090">
        <v>114.792</v>
      </c>
      <c r="F1090" t="s">
        <v>414</v>
      </c>
      <c r="G1090" s="31">
        <v>0.1</v>
      </c>
      <c r="L1090" t="s">
        <v>569</v>
      </c>
    </row>
    <row r="1091" spans="1:18" x14ac:dyDescent="0.3">
      <c r="A1091">
        <v>28</v>
      </c>
      <c r="B1091">
        <v>28</v>
      </c>
      <c r="C1091" t="s">
        <v>25</v>
      </c>
      <c r="D1091">
        <v>3.52</v>
      </c>
      <c r="E1091">
        <v>2073.9430000000002</v>
      </c>
      <c r="F1091" t="s">
        <v>415</v>
      </c>
      <c r="G1091" s="31">
        <v>0.72</v>
      </c>
    </row>
    <row r="1092" spans="1:18" x14ac:dyDescent="0.3">
      <c r="A1092">
        <v>29</v>
      </c>
      <c r="B1092">
        <v>29</v>
      </c>
      <c r="C1092" t="s">
        <v>26</v>
      </c>
      <c r="D1092">
        <v>1.04</v>
      </c>
      <c r="E1092">
        <v>512.98599999999999</v>
      </c>
      <c r="F1092" t="s">
        <v>416</v>
      </c>
      <c r="G1092" s="31">
        <v>1.1599999999999999</v>
      </c>
      <c r="M1092" t="s">
        <v>382</v>
      </c>
      <c r="N1092" t="s">
        <v>383</v>
      </c>
      <c r="O1092" t="s">
        <v>384</v>
      </c>
      <c r="P1092" t="s">
        <v>385</v>
      </c>
      <c r="Q1092" t="s">
        <v>386</v>
      </c>
      <c r="R1092" s="31" t="s">
        <v>387</v>
      </c>
    </row>
    <row r="1093" spans="1:18" x14ac:dyDescent="0.3">
      <c r="A1093">
        <v>30</v>
      </c>
      <c r="B1093">
        <v>30</v>
      </c>
      <c r="C1093" t="s">
        <v>27</v>
      </c>
      <c r="D1093">
        <v>4.2699999999999996</v>
      </c>
      <c r="E1093">
        <v>522.14400000000001</v>
      </c>
      <c r="F1093" t="s">
        <v>417</v>
      </c>
      <c r="G1093" s="31">
        <v>7.0000000000000007E-2</v>
      </c>
      <c r="L1093">
        <v>1</v>
      </c>
      <c r="M1093">
        <v>1</v>
      </c>
      <c r="N1093" t="s">
        <v>35</v>
      </c>
      <c r="O1093">
        <v>1.46</v>
      </c>
      <c r="P1093">
        <v>133.179</v>
      </c>
      <c r="Q1093" t="s">
        <v>511</v>
      </c>
      <c r="R1093" s="31">
        <v>13.03</v>
      </c>
    </row>
    <row r="1094" spans="1:18" x14ac:dyDescent="0.3">
      <c r="A1094">
        <v>31</v>
      </c>
      <c r="B1094">
        <v>31</v>
      </c>
      <c r="C1094" t="s">
        <v>28</v>
      </c>
      <c r="D1094">
        <v>3</v>
      </c>
      <c r="E1094">
        <v>26635.495999999999</v>
      </c>
      <c r="F1094" t="s">
        <v>418</v>
      </c>
      <c r="G1094" s="31">
        <v>0.12</v>
      </c>
      <c r="L1094">
        <v>2</v>
      </c>
      <c r="M1094">
        <v>2</v>
      </c>
      <c r="N1094" t="s">
        <v>36</v>
      </c>
      <c r="O1094">
        <v>1.67</v>
      </c>
      <c r="P1094">
        <v>1538000.25</v>
      </c>
      <c r="Q1094" t="s">
        <v>512</v>
      </c>
      <c r="R1094" s="31">
        <v>326.8</v>
      </c>
    </row>
    <row r="1095" spans="1:18" x14ac:dyDescent="0.3">
      <c r="A1095">
        <v>32</v>
      </c>
      <c r="B1095">
        <v>32</v>
      </c>
      <c r="C1095" t="s">
        <v>29</v>
      </c>
      <c r="D1095">
        <v>3.36</v>
      </c>
      <c r="E1095">
        <v>107.173</v>
      </c>
      <c r="F1095" t="s">
        <v>419</v>
      </c>
      <c r="G1095" s="31">
        <v>0.08</v>
      </c>
      <c r="L1095">
        <v>3</v>
      </c>
      <c r="M1095">
        <v>3</v>
      </c>
      <c r="N1095" t="s">
        <v>37</v>
      </c>
      <c r="O1095">
        <v>1.82</v>
      </c>
      <c r="P1095">
        <v>441.98500000000001</v>
      </c>
      <c r="Q1095" t="s">
        <v>513</v>
      </c>
      <c r="R1095" s="31">
        <v>0.23</v>
      </c>
    </row>
    <row r="1096" spans="1:18" x14ac:dyDescent="0.3">
      <c r="A1096">
        <v>33</v>
      </c>
      <c r="B1096">
        <v>33</v>
      </c>
      <c r="C1096" t="s">
        <v>30</v>
      </c>
      <c r="D1096">
        <v>4.67</v>
      </c>
      <c r="E1096">
        <v>24630.877</v>
      </c>
      <c r="F1096" t="s">
        <v>420</v>
      </c>
      <c r="G1096" s="31">
        <v>1.1599999999999999</v>
      </c>
      <c r="L1096">
        <v>4</v>
      </c>
      <c r="M1096">
        <v>4</v>
      </c>
      <c r="N1096" t="s">
        <v>38</v>
      </c>
      <c r="O1096">
        <v>1.17</v>
      </c>
      <c r="P1096">
        <v>2789.1280000000002</v>
      </c>
      <c r="Q1096" t="s">
        <v>514</v>
      </c>
      <c r="R1096" s="31">
        <v>0.73</v>
      </c>
    </row>
    <row r="1097" spans="1:18" x14ac:dyDescent="0.3">
      <c r="A1097">
        <v>34</v>
      </c>
      <c r="B1097">
        <v>34</v>
      </c>
      <c r="C1097" t="s">
        <v>31</v>
      </c>
      <c r="D1097">
        <v>3.26</v>
      </c>
      <c r="E1097">
        <v>1420.6780000000001</v>
      </c>
      <c r="F1097" t="s">
        <v>421</v>
      </c>
      <c r="G1097" s="31">
        <v>0.18</v>
      </c>
      <c r="L1097">
        <v>5</v>
      </c>
      <c r="M1097">
        <v>5</v>
      </c>
      <c r="N1097" t="s">
        <v>39</v>
      </c>
      <c r="O1097">
        <v>1.38</v>
      </c>
      <c r="P1097">
        <v>66246.202999999994</v>
      </c>
      <c r="Q1097" t="s">
        <v>515</v>
      </c>
      <c r="R1097" s="31">
        <v>24.74</v>
      </c>
    </row>
    <row r="1098" spans="1:18" x14ac:dyDescent="0.3">
      <c r="A1098">
        <v>35</v>
      </c>
      <c r="B1098">
        <v>35</v>
      </c>
      <c r="C1098" t="s">
        <v>32</v>
      </c>
      <c r="D1098">
        <v>3.07</v>
      </c>
      <c r="E1098">
        <v>68.091999999999999</v>
      </c>
      <c r="F1098" t="s">
        <v>422</v>
      </c>
      <c r="G1098" s="31">
        <v>0.1</v>
      </c>
      <c r="L1098">
        <v>6</v>
      </c>
      <c r="M1098">
        <v>6</v>
      </c>
      <c r="N1098" t="s">
        <v>40</v>
      </c>
      <c r="O1098">
        <v>1.54</v>
      </c>
      <c r="P1098">
        <v>5636.607</v>
      </c>
      <c r="Q1098" t="s">
        <v>516</v>
      </c>
      <c r="R1098" s="31">
        <v>0.97</v>
      </c>
    </row>
    <row r="1099" spans="1:18" x14ac:dyDescent="0.3">
      <c r="A1099">
        <v>36</v>
      </c>
      <c r="B1099">
        <v>36</v>
      </c>
      <c r="C1099" t="s">
        <v>33</v>
      </c>
      <c r="D1099">
        <v>1.9</v>
      </c>
      <c r="E1099">
        <v>846.48900000000003</v>
      </c>
      <c r="F1099" t="s">
        <v>423</v>
      </c>
      <c r="G1099" s="31">
        <v>0.79</v>
      </c>
      <c r="L1099">
        <v>7</v>
      </c>
      <c r="M1099">
        <v>7</v>
      </c>
      <c r="N1099" t="s">
        <v>41</v>
      </c>
      <c r="O1099">
        <v>2.3199999999999998</v>
      </c>
      <c r="P1099">
        <v>587.72</v>
      </c>
      <c r="Q1099" t="s">
        <v>517</v>
      </c>
      <c r="R1099" s="31">
        <v>1.08</v>
      </c>
    </row>
    <row r="1100" spans="1:18" x14ac:dyDescent="0.3">
      <c r="G1100" s="31">
        <f>G1077/G1079</f>
        <v>1.4553571428571426</v>
      </c>
      <c r="L1100">
        <v>8</v>
      </c>
      <c r="M1100">
        <v>8</v>
      </c>
      <c r="N1100" t="s">
        <v>42</v>
      </c>
      <c r="O1100">
        <v>0.68</v>
      </c>
      <c r="P1100">
        <v>6.101</v>
      </c>
      <c r="Q1100" t="s">
        <v>518</v>
      </c>
      <c r="R1100" s="31">
        <v>28.78</v>
      </c>
    </row>
    <row r="1101" spans="1:18" x14ac:dyDescent="0.3">
      <c r="A1101" t="s">
        <v>379</v>
      </c>
      <c r="L1101">
        <v>9</v>
      </c>
      <c r="M1101">
        <v>9</v>
      </c>
      <c r="N1101" t="s">
        <v>43</v>
      </c>
      <c r="O1101">
        <v>2.54</v>
      </c>
      <c r="P1101">
        <v>6565.8580000000002</v>
      </c>
      <c r="Q1101" t="s">
        <v>519</v>
      </c>
      <c r="R1101" s="31">
        <v>0.17</v>
      </c>
    </row>
    <row r="1102" spans="1:18" x14ac:dyDescent="0.3">
      <c r="L1102">
        <v>10</v>
      </c>
      <c r="M1102">
        <v>10</v>
      </c>
      <c r="N1102" t="s">
        <v>52</v>
      </c>
      <c r="O1102">
        <v>4.1500000000000004</v>
      </c>
      <c r="P1102">
        <v>2075.6469999999999</v>
      </c>
      <c r="Q1102" t="s">
        <v>520</v>
      </c>
      <c r="R1102" s="31">
        <v>0.1</v>
      </c>
    </row>
    <row r="1103" spans="1:18" x14ac:dyDescent="0.3">
      <c r="A1103" t="s">
        <v>380</v>
      </c>
      <c r="L1103">
        <v>11</v>
      </c>
      <c r="M1103">
        <v>11</v>
      </c>
      <c r="N1103" t="s">
        <v>44</v>
      </c>
      <c r="O1103">
        <v>4.2</v>
      </c>
      <c r="P1103">
        <v>17.899000000000001</v>
      </c>
      <c r="Q1103" t="s">
        <v>521</v>
      </c>
      <c r="R1103" s="31">
        <v>0.17</v>
      </c>
    </row>
    <row r="1104" spans="1:18" x14ac:dyDescent="0.3">
      <c r="L1104">
        <v>12</v>
      </c>
      <c r="M1104">
        <v>12</v>
      </c>
      <c r="N1104" t="s">
        <v>45</v>
      </c>
      <c r="O1104">
        <v>3.45</v>
      </c>
      <c r="P1104">
        <v>409708.18800000002</v>
      </c>
      <c r="Q1104" t="s">
        <v>522</v>
      </c>
      <c r="R1104" s="31">
        <v>6.92</v>
      </c>
    </row>
    <row r="1105" spans="1:18" x14ac:dyDescent="0.3">
      <c r="A1105" t="s">
        <v>448</v>
      </c>
      <c r="L1105">
        <v>13</v>
      </c>
      <c r="M1105">
        <v>13</v>
      </c>
      <c r="N1105" t="s">
        <v>46</v>
      </c>
      <c r="O1105">
        <v>2.59</v>
      </c>
      <c r="P1105">
        <v>140618.04699999999</v>
      </c>
      <c r="Q1105" t="s">
        <v>523</v>
      </c>
      <c r="R1105" s="31">
        <v>10.57</v>
      </c>
    </row>
    <row r="1106" spans="1:18" x14ac:dyDescent="0.3">
      <c r="L1106">
        <v>14</v>
      </c>
      <c r="M1106">
        <v>14</v>
      </c>
      <c r="N1106" t="s">
        <v>47</v>
      </c>
      <c r="O1106">
        <v>0.67</v>
      </c>
      <c r="P1106">
        <v>14025.837</v>
      </c>
      <c r="Q1106" t="s">
        <v>524</v>
      </c>
      <c r="R1106" s="31">
        <v>9.2200000000000006</v>
      </c>
    </row>
    <row r="1107" spans="1:18" x14ac:dyDescent="0.3">
      <c r="B1107" t="s">
        <v>382</v>
      </c>
      <c r="C1107" t="s">
        <v>383</v>
      </c>
      <c r="D1107" t="s">
        <v>384</v>
      </c>
      <c r="E1107" t="s">
        <v>385</v>
      </c>
      <c r="F1107" t="s">
        <v>386</v>
      </c>
      <c r="G1107" s="31" t="s">
        <v>387</v>
      </c>
      <c r="L1107">
        <v>15</v>
      </c>
      <c r="M1107">
        <v>15</v>
      </c>
      <c r="N1107" t="s">
        <v>48</v>
      </c>
      <c r="O1107">
        <v>1.22</v>
      </c>
      <c r="P1107">
        <v>17898.945</v>
      </c>
      <c r="Q1107" t="s">
        <v>525</v>
      </c>
      <c r="R1107" s="31">
        <v>4</v>
      </c>
    </row>
    <row r="1108" spans="1:18" x14ac:dyDescent="0.3">
      <c r="A1108">
        <v>1</v>
      </c>
      <c r="B1108">
        <v>1</v>
      </c>
      <c r="C1108" t="s">
        <v>0</v>
      </c>
      <c r="D1108">
        <v>1.01</v>
      </c>
      <c r="E1108">
        <v>1417.383</v>
      </c>
      <c r="F1108" t="s">
        <v>388</v>
      </c>
      <c r="G1108" s="31">
        <v>14.95</v>
      </c>
      <c r="L1108">
        <v>16</v>
      </c>
      <c r="M1108">
        <v>16</v>
      </c>
      <c r="N1108" t="s">
        <v>53</v>
      </c>
      <c r="O1108">
        <v>4.5599999999999996</v>
      </c>
      <c r="P1108">
        <v>41221.175999999999</v>
      </c>
      <c r="Q1108" t="s">
        <v>526</v>
      </c>
      <c r="R1108" s="31">
        <v>0.9</v>
      </c>
    </row>
    <row r="1109" spans="1:18" x14ac:dyDescent="0.3">
      <c r="A1109">
        <v>2</v>
      </c>
      <c r="B1109">
        <v>2</v>
      </c>
      <c r="C1109" t="s">
        <v>1</v>
      </c>
      <c r="D1109">
        <v>1.45</v>
      </c>
      <c r="E1109">
        <v>3682.4270000000001</v>
      </c>
      <c r="F1109" t="s">
        <v>389</v>
      </c>
      <c r="G1109" s="31">
        <v>7.7</v>
      </c>
      <c r="L1109">
        <v>17</v>
      </c>
      <c r="M1109">
        <v>17</v>
      </c>
      <c r="N1109" t="s">
        <v>54</v>
      </c>
      <c r="O1109">
        <v>5.22</v>
      </c>
      <c r="P1109">
        <v>54.814999999999998</v>
      </c>
      <c r="Q1109" t="s">
        <v>527</v>
      </c>
      <c r="R1109" s="31">
        <v>0.1</v>
      </c>
    </row>
    <row r="1110" spans="1:18" x14ac:dyDescent="0.3">
      <c r="A1110">
        <v>3</v>
      </c>
      <c r="B1110">
        <v>3</v>
      </c>
      <c r="C1110" t="s">
        <v>50</v>
      </c>
      <c r="D1110">
        <v>3.6</v>
      </c>
      <c r="E1110">
        <v>69.929000000000002</v>
      </c>
      <c r="F1110" t="s">
        <v>390</v>
      </c>
      <c r="G1110" s="31">
        <v>0.1</v>
      </c>
      <c r="L1110">
        <v>18</v>
      </c>
      <c r="M1110">
        <v>18</v>
      </c>
      <c r="N1110" t="s">
        <v>55</v>
      </c>
      <c r="O1110">
        <v>1.32</v>
      </c>
      <c r="P1110">
        <v>2332.3629999999998</v>
      </c>
      <c r="Q1110" t="s">
        <v>528</v>
      </c>
      <c r="R1110" s="31">
        <v>0.14000000000000001</v>
      </c>
    </row>
    <row r="1111" spans="1:18" x14ac:dyDescent="0.3">
      <c r="A1111">
        <v>4</v>
      </c>
      <c r="B1111">
        <v>4</v>
      </c>
      <c r="C1111" t="s">
        <v>2</v>
      </c>
      <c r="D1111">
        <v>3.7</v>
      </c>
      <c r="E1111">
        <v>23426.738000000001</v>
      </c>
      <c r="F1111" t="s">
        <v>391</v>
      </c>
      <c r="G1111" s="31">
        <v>1.98</v>
      </c>
      <c r="L1111">
        <v>19</v>
      </c>
      <c r="M1111">
        <v>19</v>
      </c>
      <c r="N1111" t="s">
        <v>56</v>
      </c>
      <c r="O1111">
        <v>0.87</v>
      </c>
      <c r="P1111">
        <v>38528.023000000001</v>
      </c>
      <c r="Q1111" t="s">
        <v>529</v>
      </c>
      <c r="R1111" s="31">
        <v>3.37</v>
      </c>
    </row>
    <row r="1112" spans="1:18" x14ac:dyDescent="0.3">
      <c r="A1112">
        <v>5</v>
      </c>
      <c r="B1112">
        <v>5</v>
      </c>
      <c r="C1112" t="s">
        <v>3</v>
      </c>
      <c r="D1112">
        <v>4.4800000000000004</v>
      </c>
      <c r="E1112">
        <v>89.331000000000003</v>
      </c>
      <c r="F1112" t="s">
        <v>392</v>
      </c>
      <c r="G1112" s="31">
        <v>0.1</v>
      </c>
      <c r="L1112">
        <v>20</v>
      </c>
      <c r="M1112">
        <v>20</v>
      </c>
      <c r="N1112" t="s">
        <v>57</v>
      </c>
      <c r="O1112">
        <v>1.52</v>
      </c>
      <c r="P1112">
        <v>148.685</v>
      </c>
      <c r="Q1112" t="s">
        <v>530</v>
      </c>
      <c r="R1112" s="31">
        <v>0.08</v>
      </c>
    </row>
    <row r="1113" spans="1:18" x14ac:dyDescent="0.3">
      <c r="A1113">
        <v>6</v>
      </c>
      <c r="B1113">
        <v>6</v>
      </c>
      <c r="C1113" t="s">
        <v>4</v>
      </c>
      <c r="D1113">
        <v>4.8</v>
      </c>
      <c r="E1113">
        <v>38004.245999999999</v>
      </c>
      <c r="F1113" t="s">
        <v>393</v>
      </c>
      <c r="G1113" s="31">
        <v>2.46</v>
      </c>
      <c r="L1113">
        <v>21</v>
      </c>
      <c r="M1113">
        <v>21</v>
      </c>
      <c r="N1113" t="s">
        <v>58</v>
      </c>
      <c r="O1113">
        <v>2.33</v>
      </c>
      <c r="P1113">
        <v>269.64</v>
      </c>
      <c r="Q1113" t="s">
        <v>531</v>
      </c>
      <c r="R1113" s="31">
        <v>0.28000000000000003</v>
      </c>
    </row>
    <row r="1114" spans="1:18" x14ac:dyDescent="0.3">
      <c r="A1114">
        <v>7</v>
      </c>
      <c r="B1114">
        <v>7</v>
      </c>
      <c r="C1114" t="s">
        <v>5</v>
      </c>
      <c r="D1114">
        <v>2.71</v>
      </c>
      <c r="E1114">
        <v>1696.4780000000001</v>
      </c>
      <c r="F1114" t="s">
        <v>394</v>
      </c>
      <c r="G1114" s="31">
        <v>0.37</v>
      </c>
      <c r="L1114">
        <v>22</v>
      </c>
      <c r="M1114">
        <v>22</v>
      </c>
      <c r="N1114" t="s">
        <v>59</v>
      </c>
      <c r="O1114">
        <v>2.5</v>
      </c>
      <c r="P1114">
        <v>3558.3339999999998</v>
      </c>
      <c r="Q1114" t="s">
        <v>532</v>
      </c>
      <c r="R1114" s="31">
        <v>0.49</v>
      </c>
    </row>
    <row r="1115" spans="1:18" x14ac:dyDescent="0.3">
      <c r="A1115">
        <v>8</v>
      </c>
      <c r="B1115">
        <v>8</v>
      </c>
      <c r="C1115" t="s">
        <v>6</v>
      </c>
      <c r="D1115">
        <v>0.66</v>
      </c>
      <c r="E1115">
        <v>2471.6489999999999</v>
      </c>
      <c r="F1115" t="s">
        <v>395</v>
      </c>
      <c r="G1115" s="31">
        <v>40.090000000000003</v>
      </c>
      <c r="L1115">
        <v>23</v>
      </c>
      <c r="M1115">
        <v>23</v>
      </c>
      <c r="N1115" t="s">
        <v>60</v>
      </c>
      <c r="O1115">
        <v>2.4900000000000002</v>
      </c>
      <c r="P1115">
        <v>17730.300999999999</v>
      </c>
      <c r="Q1115" t="s">
        <v>533</v>
      </c>
      <c r="R1115" s="31">
        <v>1.99</v>
      </c>
    </row>
    <row r="1116" spans="1:18" x14ac:dyDescent="0.3">
      <c r="A1116">
        <v>9</v>
      </c>
      <c r="B1116">
        <v>9</v>
      </c>
      <c r="C1116" t="s">
        <v>7</v>
      </c>
      <c r="D1116">
        <v>3.57</v>
      </c>
      <c r="E1116">
        <v>605.67899999999997</v>
      </c>
      <c r="F1116" t="s">
        <v>396</v>
      </c>
      <c r="G1116" s="31">
        <v>2.2200000000000002</v>
      </c>
    </row>
    <row r="1117" spans="1:18" x14ac:dyDescent="0.3">
      <c r="A1117">
        <v>10</v>
      </c>
      <c r="B1117">
        <v>10</v>
      </c>
      <c r="C1117" t="s">
        <v>51</v>
      </c>
      <c r="D1117">
        <v>4.8</v>
      </c>
      <c r="E1117">
        <v>295.21499999999997</v>
      </c>
      <c r="F1117" t="s">
        <v>397</v>
      </c>
      <c r="G1117" s="31">
        <v>0.09</v>
      </c>
      <c r="L1117" t="s">
        <v>379</v>
      </c>
    </row>
    <row r="1118" spans="1:18" x14ac:dyDescent="0.3">
      <c r="A1118">
        <v>11</v>
      </c>
      <c r="B1118">
        <v>11</v>
      </c>
      <c r="C1118" t="s">
        <v>8</v>
      </c>
      <c r="D1118">
        <v>2.74</v>
      </c>
      <c r="E1118">
        <v>38425.660000000003</v>
      </c>
      <c r="F1118" t="s">
        <v>398</v>
      </c>
      <c r="G1118" s="31">
        <v>2.79</v>
      </c>
    </row>
    <row r="1119" spans="1:18" x14ac:dyDescent="0.3">
      <c r="A1119">
        <v>12</v>
      </c>
      <c r="B1119">
        <v>12</v>
      </c>
      <c r="C1119" t="s">
        <v>9</v>
      </c>
      <c r="D1119">
        <v>2.64</v>
      </c>
      <c r="E1119">
        <v>3992.9119999999998</v>
      </c>
      <c r="F1119" t="s">
        <v>399</v>
      </c>
      <c r="G1119" s="31">
        <v>2.08</v>
      </c>
      <c r="L1119" t="s">
        <v>557</v>
      </c>
    </row>
    <row r="1120" spans="1:18" x14ac:dyDescent="0.3">
      <c r="A1120">
        <v>13</v>
      </c>
      <c r="B1120">
        <v>13</v>
      </c>
      <c r="C1120" t="s">
        <v>10</v>
      </c>
      <c r="D1120">
        <v>4.09</v>
      </c>
      <c r="E1120">
        <v>447715.56300000002</v>
      </c>
      <c r="F1120" t="s">
        <v>400</v>
      </c>
      <c r="G1120" s="31">
        <v>40.68</v>
      </c>
    </row>
    <row r="1121" spans="1:18" x14ac:dyDescent="0.3">
      <c r="A1121">
        <v>14</v>
      </c>
      <c r="B1121">
        <v>14</v>
      </c>
      <c r="C1121" t="s">
        <v>11</v>
      </c>
      <c r="D1121">
        <v>3.53</v>
      </c>
      <c r="E1121">
        <v>11.278</v>
      </c>
      <c r="F1121" t="s">
        <v>401</v>
      </c>
      <c r="G1121" s="31">
        <v>2.17</v>
      </c>
      <c r="L1121" t="s">
        <v>570</v>
      </c>
    </row>
    <row r="1122" spans="1:18" x14ac:dyDescent="0.3">
      <c r="A1122">
        <v>15</v>
      </c>
      <c r="B1122">
        <v>15</v>
      </c>
      <c r="C1122" t="s">
        <v>12</v>
      </c>
      <c r="D1122">
        <v>3.33</v>
      </c>
      <c r="E1122">
        <v>281.55599999999998</v>
      </c>
      <c r="F1122" t="s">
        <v>402</v>
      </c>
      <c r="G1122" s="31">
        <v>1.69</v>
      </c>
    </row>
    <row r="1123" spans="1:18" x14ac:dyDescent="0.3">
      <c r="A1123">
        <v>16</v>
      </c>
      <c r="B1123">
        <v>16</v>
      </c>
      <c r="C1123" t="s">
        <v>13</v>
      </c>
      <c r="D1123">
        <v>3.23</v>
      </c>
      <c r="E1123">
        <v>5259.7790000000005</v>
      </c>
      <c r="F1123" t="s">
        <v>403</v>
      </c>
      <c r="G1123" s="31">
        <v>1.5</v>
      </c>
      <c r="M1123" t="s">
        <v>382</v>
      </c>
      <c r="N1123" t="s">
        <v>383</v>
      </c>
      <c r="O1123" t="s">
        <v>384</v>
      </c>
      <c r="P1123" t="s">
        <v>385</v>
      </c>
      <c r="Q1123" t="s">
        <v>386</v>
      </c>
      <c r="R1123" s="31" t="s">
        <v>387</v>
      </c>
    </row>
    <row r="1124" spans="1:18" x14ac:dyDescent="0.3">
      <c r="A1124">
        <v>17</v>
      </c>
      <c r="B1124">
        <v>17</v>
      </c>
      <c r="C1124" t="s">
        <v>14</v>
      </c>
      <c r="D1124">
        <v>2.02</v>
      </c>
      <c r="E1124">
        <v>24146.84</v>
      </c>
      <c r="F1124" t="s">
        <v>404</v>
      </c>
      <c r="G1124" s="31">
        <v>5.25</v>
      </c>
      <c r="L1124">
        <v>1</v>
      </c>
      <c r="M1124">
        <v>1</v>
      </c>
      <c r="N1124" t="s">
        <v>35</v>
      </c>
      <c r="O1124">
        <v>1.46</v>
      </c>
      <c r="P1124">
        <v>1096.048</v>
      </c>
      <c r="Q1124" t="s">
        <v>511</v>
      </c>
      <c r="R1124" s="31">
        <v>9.94</v>
      </c>
    </row>
    <row r="1125" spans="1:18" x14ac:dyDescent="0.3">
      <c r="A1125">
        <v>18</v>
      </c>
      <c r="B1125">
        <v>18</v>
      </c>
      <c r="C1125" t="s">
        <v>15</v>
      </c>
      <c r="D1125">
        <v>2.5</v>
      </c>
      <c r="E1125">
        <v>20927.761999999999</v>
      </c>
      <c r="F1125" t="s">
        <v>405</v>
      </c>
      <c r="G1125" s="31">
        <v>14.08</v>
      </c>
      <c r="L1125">
        <v>2</v>
      </c>
      <c r="M1125">
        <v>2</v>
      </c>
      <c r="N1125" t="s">
        <v>36</v>
      </c>
      <c r="O1125">
        <v>1.68</v>
      </c>
      <c r="P1125">
        <v>518146.56300000002</v>
      </c>
      <c r="Q1125" t="s">
        <v>512</v>
      </c>
      <c r="R1125" s="31">
        <v>116.34</v>
      </c>
    </row>
    <row r="1126" spans="1:18" x14ac:dyDescent="0.3">
      <c r="A1126">
        <v>19</v>
      </c>
      <c r="B1126">
        <v>19</v>
      </c>
      <c r="C1126" t="s">
        <v>16</v>
      </c>
      <c r="D1126">
        <v>2.71</v>
      </c>
      <c r="E1126">
        <v>1219.9849999999999</v>
      </c>
      <c r="F1126" t="s">
        <v>406</v>
      </c>
      <c r="G1126" s="31">
        <v>0.14000000000000001</v>
      </c>
      <c r="L1126">
        <v>3</v>
      </c>
      <c r="M1126">
        <v>3</v>
      </c>
      <c r="N1126" t="s">
        <v>37</v>
      </c>
      <c r="O1126">
        <v>1.83</v>
      </c>
      <c r="P1126">
        <v>186.05799999999999</v>
      </c>
      <c r="Q1126" t="s">
        <v>513</v>
      </c>
      <c r="R1126" s="31">
        <v>0.12</v>
      </c>
    </row>
    <row r="1127" spans="1:18" x14ac:dyDescent="0.3">
      <c r="A1127">
        <v>20</v>
      </c>
      <c r="B1127">
        <v>20</v>
      </c>
      <c r="C1127" t="s">
        <v>17</v>
      </c>
      <c r="D1127">
        <v>3.13</v>
      </c>
      <c r="E1127">
        <v>12677.169</v>
      </c>
      <c r="F1127" t="s">
        <v>407</v>
      </c>
      <c r="G1127" s="31">
        <v>3.28</v>
      </c>
      <c r="L1127">
        <v>4</v>
      </c>
      <c r="M1127">
        <v>4</v>
      </c>
      <c r="N1127" t="s">
        <v>38</v>
      </c>
      <c r="O1127">
        <v>1.19</v>
      </c>
      <c r="P1127">
        <v>942.16600000000005</v>
      </c>
      <c r="Q1127" t="s">
        <v>514</v>
      </c>
      <c r="R1127" s="31">
        <v>0.23</v>
      </c>
    </row>
    <row r="1128" spans="1:18" x14ac:dyDescent="0.3">
      <c r="A1128">
        <v>21</v>
      </c>
      <c r="B1128">
        <v>21</v>
      </c>
      <c r="C1128" t="s">
        <v>18</v>
      </c>
      <c r="D1128">
        <v>3.68</v>
      </c>
      <c r="E1128">
        <v>9698.4230000000007</v>
      </c>
      <c r="F1128" t="s">
        <v>408</v>
      </c>
      <c r="G1128" s="31">
        <v>0.59</v>
      </c>
      <c r="L1128">
        <v>5</v>
      </c>
      <c r="M1128">
        <v>5</v>
      </c>
      <c r="N1128" t="s">
        <v>39</v>
      </c>
      <c r="O1128">
        <v>1.38</v>
      </c>
      <c r="P1128">
        <v>36487.055</v>
      </c>
      <c r="Q1128" t="s">
        <v>515</v>
      </c>
      <c r="R1128" s="31">
        <v>12.67</v>
      </c>
    </row>
    <row r="1129" spans="1:18" x14ac:dyDescent="0.3">
      <c r="A1129">
        <v>22</v>
      </c>
      <c r="B1129">
        <v>22</v>
      </c>
      <c r="C1129" t="s">
        <v>19</v>
      </c>
      <c r="D1129">
        <v>2.64</v>
      </c>
      <c r="E1129">
        <v>23636.317999999999</v>
      </c>
      <c r="F1129" t="s">
        <v>409</v>
      </c>
      <c r="G1129" s="31">
        <v>3.89</v>
      </c>
      <c r="L1129">
        <v>6</v>
      </c>
      <c r="M1129">
        <v>6</v>
      </c>
      <c r="N1129" t="s">
        <v>40</v>
      </c>
      <c r="O1129">
        <v>1.53</v>
      </c>
      <c r="P1129">
        <v>3391.7809999999999</v>
      </c>
      <c r="Q1129" t="s">
        <v>516</v>
      </c>
      <c r="R1129" s="31">
        <v>0.45</v>
      </c>
    </row>
    <row r="1130" spans="1:18" x14ac:dyDescent="0.3">
      <c r="A1130">
        <v>23</v>
      </c>
      <c r="B1130">
        <v>23</v>
      </c>
      <c r="C1130" t="s">
        <v>20</v>
      </c>
      <c r="D1130">
        <v>2.89</v>
      </c>
      <c r="E1130">
        <v>22231.780999999999</v>
      </c>
      <c r="F1130" t="s">
        <v>410</v>
      </c>
      <c r="G1130" s="31">
        <v>1.87</v>
      </c>
      <c r="L1130">
        <v>7</v>
      </c>
      <c r="M1130">
        <v>7</v>
      </c>
      <c r="N1130" t="s">
        <v>41</v>
      </c>
      <c r="O1130">
        <v>2.2799999999999998</v>
      </c>
      <c r="P1130">
        <v>944.97199999999998</v>
      </c>
      <c r="Q1130" t="s">
        <v>517</v>
      </c>
      <c r="R1130" s="31">
        <v>1.2</v>
      </c>
    </row>
    <row r="1131" spans="1:18" x14ac:dyDescent="0.3">
      <c r="A1131">
        <v>24</v>
      </c>
      <c r="B1131">
        <v>24</v>
      </c>
      <c r="C1131" t="s">
        <v>21</v>
      </c>
      <c r="D1131">
        <v>4.1100000000000003</v>
      </c>
      <c r="E1131">
        <v>144.83699999999999</v>
      </c>
      <c r="F1131" t="s">
        <v>411</v>
      </c>
      <c r="G1131" s="31">
        <v>0.1</v>
      </c>
      <c r="L1131">
        <v>8</v>
      </c>
      <c r="M1131">
        <v>8</v>
      </c>
      <c r="N1131" t="s">
        <v>42</v>
      </c>
      <c r="O1131">
        <v>0.89</v>
      </c>
      <c r="P1131">
        <v>146.12</v>
      </c>
      <c r="Q1131" t="s">
        <v>518</v>
      </c>
      <c r="R1131" s="31">
        <v>21.75</v>
      </c>
    </row>
    <row r="1132" spans="1:18" x14ac:dyDescent="0.3">
      <c r="A1132">
        <v>25</v>
      </c>
      <c r="B1132">
        <v>25</v>
      </c>
      <c r="C1132" t="s">
        <v>22</v>
      </c>
      <c r="D1132">
        <v>3.42</v>
      </c>
      <c r="E1132">
        <v>189.566</v>
      </c>
      <c r="F1132" t="s">
        <v>412</v>
      </c>
      <c r="G1132" s="31">
        <v>5.05</v>
      </c>
      <c r="L1132">
        <v>9</v>
      </c>
      <c r="M1132">
        <v>9</v>
      </c>
      <c r="N1132" t="s">
        <v>43</v>
      </c>
      <c r="O1132">
        <v>2.54</v>
      </c>
      <c r="P1132">
        <v>2395.2620000000002</v>
      </c>
      <c r="Q1132" t="s">
        <v>519</v>
      </c>
      <c r="R1132" s="31">
        <v>0.05</v>
      </c>
    </row>
    <row r="1133" spans="1:18" x14ac:dyDescent="0.3">
      <c r="A1133">
        <v>26</v>
      </c>
      <c r="B1133">
        <v>26</v>
      </c>
      <c r="C1133" t="s">
        <v>23</v>
      </c>
      <c r="D1133">
        <v>3.36</v>
      </c>
      <c r="E1133">
        <v>31960.42</v>
      </c>
      <c r="F1133" t="s">
        <v>413</v>
      </c>
      <c r="G1133" s="31">
        <v>4.2699999999999996</v>
      </c>
      <c r="L1133">
        <v>10</v>
      </c>
      <c r="M1133">
        <v>10</v>
      </c>
      <c r="N1133" t="s">
        <v>52</v>
      </c>
      <c r="O1133">
        <v>4.1399999999999997</v>
      </c>
      <c r="P1133">
        <v>916.1</v>
      </c>
      <c r="Q1133" t="s">
        <v>520</v>
      </c>
      <c r="R1133" s="31">
        <v>0.1</v>
      </c>
    </row>
    <row r="1134" spans="1:18" x14ac:dyDescent="0.3">
      <c r="A1134">
        <v>27</v>
      </c>
      <c r="B1134">
        <v>27</v>
      </c>
      <c r="C1134" t="s">
        <v>24</v>
      </c>
      <c r="D1134">
        <v>3.45</v>
      </c>
      <c r="E1134">
        <v>232.02699999999999</v>
      </c>
      <c r="F1134" t="s">
        <v>414</v>
      </c>
      <c r="G1134" s="31">
        <v>0.11</v>
      </c>
      <c r="L1134">
        <v>11</v>
      </c>
      <c r="M1134">
        <v>11</v>
      </c>
      <c r="N1134" t="s">
        <v>44</v>
      </c>
      <c r="O1134">
        <v>4.24</v>
      </c>
      <c r="P1134">
        <v>28.632999999999999</v>
      </c>
      <c r="Q1134" t="s">
        <v>521</v>
      </c>
      <c r="R1134" s="31">
        <v>0.13</v>
      </c>
    </row>
    <row r="1135" spans="1:18" x14ac:dyDescent="0.3">
      <c r="A1135">
        <v>28</v>
      </c>
      <c r="B1135">
        <v>28</v>
      </c>
      <c r="C1135" t="s">
        <v>25</v>
      </c>
      <c r="D1135">
        <v>3.52</v>
      </c>
      <c r="E1135">
        <v>2633.9090000000001</v>
      </c>
      <c r="F1135" t="s">
        <v>415</v>
      </c>
      <c r="G1135" s="31">
        <v>0.81</v>
      </c>
      <c r="L1135">
        <v>12</v>
      </c>
      <c r="M1135">
        <v>12</v>
      </c>
      <c r="N1135" t="s">
        <v>45</v>
      </c>
      <c r="O1135">
        <v>3.45</v>
      </c>
      <c r="P1135">
        <v>166772.766</v>
      </c>
      <c r="Q1135" t="s">
        <v>522</v>
      </c>
      <c r="R1135" s="31">
        <v>0.1</v>
      </c>
    </row>
    <row r="1136" spans="1:18" x14ac:dyDescent="0.3">
      <c r="A1136">
        <v>29</v>
      </c>
      <c r="B1136">
        <v>29</v>
      </c>
      <c r="C1136" t="s">
        <v>26</v>
      </c>
      <c r="D1136">
        <v>1.05</v>
      </c>
      <c r="E1136">
        <v>819.11300000000006</v>
      </c>
      <c r="F1136" t="s">
        <v>416</v>
      </c>
      <c r="G1136" s="31">
        <v>1.49</v>
      </c>
      <c r="L1136">
        <v>13</v>
      </c>
      <c r="M1136">
        <v>13</v>
      </c>
      <c r="N1136" t="s">
        <v>46</v>
      </c>
      <c r="O1136">
        <v>2.66</v>
      </c>
      <c r="P1136">
        <v>212297.43799999999</v>
      </c>
      <c r="Q1136" t="s">
        <v>523</v>
      </c>
      <c r="R1136" s="31">
        <v>12.64</v>
      </c>
    </row>
    <row r="1137" spans="1:18" x14ac:dyDescent="0.3">
      <c r="A1137">
        <v>30</v>
      </c>
      <c r="B1137">
        <v>30</v>
      </c>
      <c r="C1137" t="s">
        <v>27</v>
      </c>
      <c r="D1137">
        <v>4.32</v>
      </c>
      <c r="E1137">
        <v>190.55799999999999</v>
      </c>
      <c r="F1137" t="s">
        <v>417</v>
      </c>
      <c r="G1137" s="31">
        <v>0.14000000000000001</v>
      </c>
      <c r="L1137">
        <v>14</v>
      </c>
      <c r="M1137">
        <v>14</v>
      </c>
      <c r="N1137" t="s">
        <v>47</v>
      </c>
      <c r="O1137">
        <v>0.68</v>
      </c>
      <c r="P1137">
        <v>10332.264999999999</v>
      </c>
      <c r="Q1137" t="s">
        <v>524</v>
      </c>
      <c r="R1137" s="31">
        <v>4.53</v>
      </c>
    </row>
    <row r="1138" spans="1:18" x14ac:dyDescent="0.3">
      <c r="A1138">
        <v>31</v>
      </c>
      <c r="B1138">
        <v>31</v>
      </c>
      <c r="C1138" t="s">
        <v>28</v>
      </c>
      <c r="D1138">
        <v>3</v>
      </c>
      <c r="E1138">
        <v>892420.5</v>
      </c>
      <c r="F1138" t="s">
        <v>418</v>
      </c>
      <c r="G1138" s="31">
        <v>7.86</v>
      </c>
      <c r="L1138">
        <v>15</v>
      </c>
      <c r="M1138">
        <v>15</v>
      </c>
      <c r="N1138" t="s">
        <v>48</v>
      </c>
      <c r="O1138">
        <v>1.22</v>
      </c>
      <c r="P1138">
        <v>3571.721</v>
      </c>
      <c r="Q1138" t="s">
        <v>525</v>
      </c>
      <c r="R1138" s="31">
        <v>0.28999999999999998</v>
      </c>
    </row>
    <row r="1139" spans="1:18" x14ac:dyDescent="0.3">
      <c r="A1139">
        <v>32</v>
      </c>
      <c r="B1139">
        <v>32</v>
      </c>
      <c r="C1139" t="s">
        <v>29</v>
      </c>
      <c r="D1139">
        <v>3.36</v>
      </c>
      <c r="E1139">
        <v>2073.3229999999999</v>
      </c>
      <c r="F1139" t="s">
        <v>419</v>
      </c>
      <c r="G1139" s="31">
        <v>0.37</v>
      </c>
      <c r="L1139">
        <v>16</v>
      </c>
      <c r="M1139">
        <v>16</v>
      </c>
      <c r="N1139" t="s">
        <v>53</v>
      </c>
      <c r="O1139">
        <v>4.57</v>
      </c>
      <c r="P1139">
        <v>12687.319</v>
      </c>
      <c r="Q1139" t="s">
        <v>526</v>
      </c>
      <c r="R1139" s="31">
        <v>0.17</v>
      </c>
    </row>
    <row r="1140" spans="1:18" x14ac:dyDescent="0.3">
      <c r="A1140">
        <v>33</v>
      </c>
      <c r="B1140">
        <v>33</v>
      </c>
      <c r="C1140" t="s">
        <v>30</v>
      </c>
      <c r="D1140">
        <v>4.67</v>
      </c>
      <c r="E1140">
        <v>34617.883000000002</v>
      </c>
      <c r="F1140" t="s">
        <v>420</v>
      </c>
      <c r="G1140" s="31">
        <v>1.36</v>
      </c>
      <c r="L1140">
        <v>17</v>
      </c>
      <c r="M1140">
        <v>17</v>
      </c>
      <c r="N1140" t="s">
        <v>54</v>
      </c>
      <c r="O1140">
        <v>5.18</v>
      </c>
      <c r="P1140">
        <v>2537.0540000000001</v>
      </c>
      <c r="Q1140" t="s">
        <v>527</v>
      </c>
      <c r="R1140" s="31">
        <v>0.06</v>
      </c>
    </row>
    <row r="1141" spans="1:18" x14ac:dyDescent="0.3">
      <c r="A1141">
        <v>34</v>
      </c>
      <c r="B1141">
        <v>34</v>
      </c>
      <c r="C1141" t="s">
        <v>31</v>
      </c>
      <c r="D1141">
        <v>3.26</v>
      </c>
      <c r="E1141">
        <v>3011.4369999999999</v>
      </c>
      <c r="F1141" t="s">
        <v>421</v>
      </c>
      <c r="G1141" s="31">
        <v>0.36</v>
      </c>
      <c r="L1141">
        <v>18</v>
      </c>
      <c r="M1141">
        <v>18</v>
      </c>
      <c r="N1141" t="s">
        <v>55</v>
      </c>
      <c r="O1141">
        <v>1.31</v>
      </c>
      <c r="P1141">
        <v>827.21900000000005</v>
      </c>
      <c r="Q1141" t="s">
        <v>528</v>
      </c>
      <c r="R1141" s="31">
        <v>0.13</v>
      </c>
    </row>
    <row r="1142" spans="1:18" x14ac:dyDescent="0.3">
      <c r="A1142">
        <v>35</v>
      </c>
      <c r="B1142">
        <v>35</v>
      </c>
      <c r="C1142" t="s">
        <v>32</v>
      </c>
      <c r="D1142">
        <v>3.12</v>
      </c>
      <c r="E1142">
        <v>292.79000000000002</v>
      </c>
      <c r="F1142" t="s">
        <v>422</v>
      </c>
      <c r="G1142" s="31">
        <v>0.05</v>
      </c>
      <c r="L1142">
        <v>19</v>
      </c>
      <c r="M1142">
        <v>19</v>
      </c>
      <c r="N1142" t="s">
        <v>56</v>
      </c>
      <c r="O1142">
        <v>0.87</v>
      </c>
      <c r="P1142">
        <v>17067.151999999998</v>
      </c>
      <c r="Q1142" t="s">
        <v>529</v>
      </c>
      <c r="R1142" s="31">
        <v>0.72</v>
      </c>
    </row>
    <row r="1143" spans="1:18" x14ac:dyDescent="0.3">
      <c r="A1143">
        <v>36</v>
      </c>
      <c r="B1143">
        <v>36</v>
      </c>
      <c r="C1143" t="s">
        <v>33</v>
      </c>
      <c r="D1143">
        <v>1.9</v>
      </c>
      <c r="E1143">
        <v>581.21400000000006</v>
      </c>
      <c r="F1143" t="s">
        <v>423</v>
      </c>
      <c r="G1143" s="31">
        <v>0.53</v>
      </c>
      <c r="L1143">
        <v>20</v>
      </c>
      <c r="M1143">
        <v>20</v>
      </c>
      <c r="N1143" t="s">
        <v>57</v>
      </c>
      <c r="O1143">
        <v>1.51</v>
      </c>
      <c r="P1143">
        <v>281.98200000000003</v>
      </c>
      <c r="Q1143" t="s">
        <v>530</v>
      </c>
      <c r="R1143" s="31">
        <v>0.12</v>
      </c>
    </row>
    <row r="1144" spans="1:18" x14ac:dyDescent="0.3">
      <c r="G1144" s="31">
        <f>G1121/G1123</f>
        <v>1.4466666666666665</v>
      </c>
      <c r="L1144">
        <v>21</v>
      </c>
      <c r="M1144">
        <v>21</v>
      </c>
      <c r="N1144" t="s">
        <v>58</v>
      </c>
      <c r="O1144">
        <v>2.3199999999999998</v>
      </c>
      <c r="P1144">
        <v>237.68799999999999</v>
      </c>
      <c r="Q1144" t="s">
        <v>531</v>
      </c>
      <c r="R1144" s="31">
        <v>0.19</v>
      </c>
    </row>
    <row r="1145" spans="1:18" x14ac:dyDescent="0.3">
      <c r="A1145" t="s">
        <v>379</v>
      </c>
      <c r="L1145">
        <v>22</v>
      </c>
      <c r="M1145">
        <v>22</v>
      </c>
      <c r="N1145" t="s">
        <v>59</v>
      </c>
      <c r="O1145">
        <v>2.5</v>
      </c>
      <c r="P1145">
        <v>75646.327999999994</v>
      </c>
      <c r="Q1145" t="s">
        <v>532</v>
      </c>
      <c r="R1145" s="31">
        <v>12.75</v>
      </c>
    </row>
    <row r="1146" spans="1:18" x14ac:dyDescent="0.3">
      <c r="L1146">
        <v>23</v>
      </c>
      <c r="M1146">
        <v>23</v>
      </c>
      <c r="N1146" t="s">
        <v>60</v>
      </c>
      <c r="O1146">
        <v>2.62</v>
      </c>
      <c r="P1146">
        <v>6627.665</v>
      </c>
      <c r="Q1146" t="s">
        <v>533</v>
      </c>
      <c r="R1146" s="31">
        <v>0.71</v>
      </c>
    </row>
    <row r="1147" spans="1:18" x14ac:dyDescent="0.3">
      <c r="A1147" t="s">
        <v>380</v>
      </c>
    </row>
    <row r="1148" spans="1:18" x14ac:dyDescent="0.3">
      <c r="L1148" t="s">
        <v>379</v>
      </c>
    </row>
    <row r="1149" spans="1:18" x14ac:dyDescent="0.3">
      <c r="A1149" t="s">
        <v>449</v>
      </c>
    </row>
    <row r="1150" spans="1:18" x14ac:dyDescent="0.3">
      <c r="L1150" t="s">
        <v>557</v>
      </c>
    </row>
    <row r="1151" spans="1:18" x14ac:dyDescent="0.3">
      <c r="B1151" t="s">
        <v>382</v>
      </c>
      <c r="C1151" t="s">
        <v>383</v>
      </c>
      <c r="D1151" t="s">
        <v>384</v>
      </c>
      <c r="E1151" t="s">
        <v>385</v>
      </c>
      <c r="F1151" t="s">
        <v>386</v>
      </c>
      <c r="G1151" s="31" t="s">
        <v>387</v>
      </c>
    </row>
    <row r="1152" spans="1:18" x14ac:dyDescent="0.3">
      <c r="A1152">
        <v>1</v>
      </c>
      <c r="B1152">
        <v>1</v>
      </c>
      <c r="C1152" t="s">
        <v>0</v>
      </c>
      <c r="D1152">
        <v>1.01</v>
      </c>
      <c r="E1152">
        <v>6267.5569999999998</v>
      </c>
      <c r="F1152" t="s">
        <v>388</v>
      </c>
      <c r="G1152" s="31">
        <v>31.06</v>
      </c>
      <c r="L1152" t="s">
        <v>571</v>
      </c>
    </row>
    <row r="1153" spans="1:18" x14ac:dyDescent="0.3">
      <c r="A1153">
        <v>2</v>
      </c>
      <c r="B1153">
        <v>2</v>
      </c>
      <c r="C1153" t="s">
        <v>1</v>
      </c>
      <c r="D1153">
        <v>1.45</v>
      </c>
      <c r="E1153">
        <v>2630.3530000000001</v>
      </c>
      <c r="F1153" t="s">
        <v>389</v>
      </c>
      <c r="G1153" s="31">
        <v>2.61</v>
      </c>
    </row>
    <row r="1154" spans="1:18" x14ac:dyDescent="0.3">
      <c r="A1154">
        <v>3</v>
      </c>
      <c r="B1154">
        <v>3</v>
      </c>
      <c r="C1154" t="s">
        <v>50</v>
      </c>
      <c r="D1154">
        <v>3.79</v>
      </c>
      <c r="E1154">
        <v>108.611</v>
      </c>
      <c r="F1154" t="s">
        <v>390</v>
      </c>
      <c r="G1154" s="31">
        <v>0.06</v>
      </c>
      <c r="M1154" t="s">
        <v>382</v>
      </c>
      <c r="N1154" t="s">
        <v>383</v>
      </c>
      <c r="O1154" t="s">
        <v>384</v>
      </c>
      <c r="P1154" t="s">
        <v>385</v>
      </c>
      <c r="Q1154" t="s">
        <v>386</v>
      </c>
      <c r="R1154" s="31" t="s">
        <v>387</v>
      </c>
    </row>
    <row r="1155" spans="1:18" x14ac:dyDescent="0.3">
      <c r="A1155">
        <v>4</v>
      </c>
      <c r="B1155">
        <v>4</v>
      </c>
      <c r="C1155" t="s">
        <v>2</v>
      </c>
      <c r="D1155">
        <v>3.69</v>
      </c>
      <c r="E1155">
        <v>16497.171999999999</v>
      </c>
      <c r="F1155" t="s">
        <v>391</v>
      </c>
      <c r="G1155" s="31">
        <v>0.65</v>
      </c>
      <c r="L1155">
        <v>1</v>
      </c>
      <c r="M1155">
        <v>1</v>
      </c>
      <c r="N1155" t="s">
        <v>35</v>
      </c>
      <c r="Q1155" t="s">
        <v>511</v>
      </c>
      <c r="R1155" s="31">
        <v>0.1</v>
      </c>
    </row>
    <row r="1156" spans="1:18" x14ac:dyDescent="0.3">
      <c r="A1156">
        <v>5</v>
      </c>
      <c r="B1156">
        <v>5</v>
      </c>
      <c r="C1156" t="s">
        <v>3</v>
      </c>
      <c r="D1156">
        <v>4.4800000000000004</v>
      </c>
      <c r="E1156">
        <v>175.87</v>
      </c>
      <c r="F1156" t="s">
        <v>392</v>
      </c>
      <c r="G1156" s="31">
        <v>0.1</v>
      </c>
      <c r="L1156">
        <v>2</v>
      </c>
      <c r="M1156">
        <v>2</v>
      </c>
      <c r="N1156" t="s">
        <v>36</v>
      </c>
      <c r="O1156">
        <v>1.71</v>
      </c>
      <c r="P1156">
        <v>273.23899999999998</v>
      </c>
      <c r="Q1156" t="s">
        <v>512</v>
      </c>
      <c r="R1156" s="31">
        <v>427.99</v>
      </c>
    </row>
    <row r="1157" spans="1:18" x14ac:dyDescent="0.3">
      <c r="A1157">
        <v>6</v>
      </c>
      <c r="B1157">
        <v>6</v>
      </c>
      <c r="C1157" t="s">
        <v>4</v>
      </c>
      <c r="D1157">
        <v>4.8</v>
      </c>
      <c r="E1157">
        <v>160656.984</v>
      </c>
      <c r="F1157" t="s">
        <v>393</v>
      </c>
      <c r="G1157" s="31">
        <v>4.1399999999999997</v>
      </c>
      <c r="L1157">
        <v>3</v>
      </c>
      <c r="M1157">
        <v>3</v>
      </c>
      <c r="N1157" t="s">
        <v>37</v>
      </c>
      <c r="Q1157" t="s">
        <v>513</v>
      </c>
      <c r="R1157" s="31">
        <v>0.1</v>
      </c>
    </row>
    <row r="1158" spans="1:18" x14ac:dyDescent="0.3">
      <c r="A1158">
        <v>7</v>
      </c>
      <c r="B1158">
        <v>7</v>
      </c>
      <c r="C1158" t="s">
        <v>5</v>
      </c>
      <c r="D1158">
        <v>2.71</v>
      </c>
      <c r="E1158">
        <v>954.49900000000002</v>
      </c>
      <c r="F1158" t="s">
        <v>394</v>
      </c>
      <c r="G1158" s="31">
        <v>0.1</v>
      </c>
      <c r="L1158">
        <v>4</v>
      </c>
      <c r="M1158">
        <v>4</v>
      </c>
      <c r="N1158" t="s">
        <v>38</v>
      </c>
      <c r="O1158">
        <v>1.19</v>
      </c>
      <c r="P1158">
        <v>115.815</v>
      </c>
      <c r="Q1158" t="s">
        <v>514</v>
      </c>
      <c r="R1158" s="31">
        <v>0.76</v>
      </c>
    </row>
    <row r="1159" spans="1:18" x14ac:dyDescent="0.3">
      <c r="A1159">
        <v>8</v>
      </c>
      <c r="B1159">
        <v>8</v>
      </c>
      <c r="C1159" t="s">
        <v>6</v>
      </c>
      <c r="D1159">
        <v>0.67</v>
      </c>
      <c r="E1159">
        <v>3354.9279999999999</v>
      </c>
      <c r="F1159" t="s">
        <v>395</v>
      </c>
      <c r="G1159" s="31">
        <v>24.38</v>
      </c>
      <c r="L1159">
        <v>5</v>
      </c>
      <c r="M1159">
        <v>5</v>
      </c>
      <c r="N1159" t="s">
        <v>39</v>
      </c>
      <c r="O1159">
        <v>1.38</v>
      </c>
      <c r="P1159">
        <v>55.652000000000001</v>
      </c>
      <c r="Q1159" t="s">
        <v>515</v>
      </c>
      <c r="R1159" s="31">
        <v>45.89</v>
      </c>
    </row>
    <row r="1160" spans="1:18" x14ac:dyDescent="0.3">
      <c r="A1160">
        <v>9</v>
      </c>
      <c r="B1160">
        <v>9</v>
      </c>
      <c r="C1160" t="s">
        <v>7</v>
      </c>
      <c r="D1160">
        <v>3.57</v>
      </c>
      <c r="E1160">
        <v>485.83800000000002</v>
      </c>
      <c r="F1160" t="s">
        <v>396</v>
      </c>
      <c r="G1160" s="31">
        <v>0.83</v>
      </c>
      <c r="L1160">
        <v>6</v>
      </c>
      <c r="M1160">
        <v>6</v>
      </c>
      <c r="N1160" t="s">
        <v>40</v>
      </c>
      <c r="Q1160" t="s">
        <v>516</v>
      </c>
      <c r="R1160" s="31">
        <v>0.1</v>
      </c>
    </row>
    <row r="1161" spans="1:18" x14ac:dyDescent="0.3">
      <c r="A1161">
        <v>10</v>
      </c>
      <c r="B1161">
        <v>10</v>
      </c>
      <c r="C1161" t="s">
        <v>51</v>
      </c>
      <c r="D1161">
        <v>4.7</v>
      </c>
      <c r="E1161">
        <v>424.35899999999998</v>
      </c>
      <c r="F1161" t="s">
        <v>397</v>
      </c>
      <c r="G1161" s="31">
        <v>0.05</v>
      </c>
      <c r="L1161">
        <v>7</v>
      </c>
      <c r="M1161">
        <v>7</v>
      </c>
      <c r="N1161" t="s">
        <v>41</v>
      </c>
      <c r="O1161">
        <v>2.34</v>
      </c>
      <c r="P1161">
        <v>2.21</v>
      </c>
      <c r="Q1161" t="s">
        <v>517</v>
      </c>
      <c r="R1161" s="31">
        <v>1.49</v>
      </c>
    </row>
    <row r="1162" spans="1:18" x14ac:dyDescent="0.3">
      <c r="A1162">
        <v>11</v>
      </c>
      <c r="B1162">
        <v>11</v>
      </c>
      <c r="C1162" t="s">
        <v>8</v>
      </c>
      <c r="D1162">
        <v>2.74</v>
      </c>
      <c r="E1162">
        <v>51184.016000000003</v>
      </c>
      <c r="F1162" t="s">
        <v>398</v>
      </c>
      <c r="G1162" s="31">
        <v>1.65</v>
      </c>
      <c r="L1162">
        <v>8</v>
      </c>
      <c r="M1162">
        <v>8</v>
      </c>
      <c r="N1162" t="s">
        <v>42</v>
      </c>
      <c r="Q1162" t="s">
        <v>518</v>
      </c>
      <c r="R1162" s="31">
        <v>0.1</v>
      </c>
    </row>
    <row r="1163" spans="1:18" x14ac:dyDescent="0.3">
      <c r="A1163">
        <v>12</v>
      </c>
      <c r="B1163">
        <v>12</v>
      </c>
      <c r="C1163" t="s">
        <v>9</v>
      </c>
      <c r="D1163">
        <v>2.62</v>
      </c>
      <c r="E1163">
        <v>4150.0129999999999</v>
      </c>
      <c r="F1163" t="s">
        <v>399</v>
      </c>
      <c r="G1163" s="31">
        <v>0.97</v>
      </c>
      <c r="L1163">
        <v>9</v>
      </c>
      <c r="M1163">
        <v>9</v>
      </c>
      <c r="N1163" t="s">
        <v>43</v>
      </c>
      <c r="O1163">
        <v>2.59</v>
      </c>
      <c r="P1163">
        <v>4.3280000000000003</v>
      </c>
      <c r="Q1163" t="s">
        <v>519</v>
      </c>
      <c r="R1163" s="31">
        <v>0.11</v>
      </c>
    </row>
    <row r="1164" spans="1:18" x14ac:dyDescent="0.3">
      <c r="A1164">
        <v>13</v>
      </c>
      <c r="B1164">
        <v>13</v>
      </c>
      <c r="C1164" t="s">
        <v>10</v>
      </c>
      <c r="D1164">
        <v>4.08</v>
      </c>
      <c r="E1164">
        <v>2469581</v>
      </c>
      <c r="F1164" t="s">
        <v>400</v>
      </c>
      <c r="G1164" s="31">
        <v>137.09</v>
      </c>
      <c r="L1164">
        <v>10</v>
      </c>
      <c r="M1164">
        <v>10</v>
      </c>
      <c r="N1164" t="s">
        <v>52</v>
      </c>
      <c r="O1164">
        <v>4.18</v>
      </c>
      <c r="P1164">
        <v>72.697999999999993</v>
      </c>
      <c r="Q1164" t="s">
        <v>520</v>
      </c>
      <c r="R1164" s="31">
        <v>0.1</v>
      </c>
    </row>
    <row r="1165" spans="1:18" x14ac:dyDescent="0.3">
      <c r="A1165">
        <v>14</v>
      </c>
      <c r="B1165">
        <v>14</v>
      </c>
      <c r="C1165" t="s">
        <v>11</v>
      </c>
      <c r="D1165">
        <v>3.53</v>
      </c>
      <c r="E1165">
        <v>12.275</v>
      </c>
      <c r="F1165" t="s">
        <v>401</v>
      </c>
      <c r="G1165" s="31">
        <v>1.02</v>
      </c>
      <c r="L1165">
        <v>11</v>
      </c>
      <c r="M1165">
        <v>11</v>
      </c>
      <c r="N1165" t="s">
        <v>44</v>
      </c>
      <c r="Q1165" t="s">
        <v>521</v>
      </c>
      <c r="R1165" s="31">
        <v>0.1</v>
      </c>
    </row>
    <row r="1166" spans="1:18" x14ac:dyDescent="0.3">
      <c r="A1166">
        <v>15</v>
      </c>
      <c r="B1166">
        <v>15</v>
      </c>
      <c r="C1166" t="s">
        <v>12</v>
      </c>
      <c r="D1166">
        <v>3.33</v>
      </c>
      <c r="E1166">
        <v>362.70800000000003</v>
      </c>
      <c r="F1166" t="s">
        <v>402</v>
      </c>
      <c r="G1166" s="31">
        <v>0.99</v>
      </c>
      <c r="L1166">
        <v>12</v>
      </c>
      <c r="M1166">
        <v>12</v>
      </c>
      <c r="N1166" t="s">
        <v>45</v>
      </c>
      <c r="O1166">
        <v>3.56</v>
      </c>
      <c r="P1166">
        <v>36.622</v>
      </c>
      <c r="Q1166" t="s">
        <v>522</v>
      </c>
      <c r="R1166" s="31">
        <v>0.1</v>
      </c>
    </row>
    <row r="1167" spans="1:18" x14ac:dyDescent="0.3">
      <c r="A1167">
        <v>16</v>
      </c>
      <c r="B1167">
        <v>16</v>
      </c>
      <c r="C1167" t="s">
        <v>13</v>
      </c>
      <c r="D1167">
        <v>3.23</v>
      </c>
      <c r="E1167">
        <v>6634.0730000000003</v>
      </c>
      <c r="F1167" t="s">
        <v>403</v>
      </c>
      <c r="G1167" s="31">
        <v>0.82</v>
      </c>
      <c r="L1167">
        <v>13</v>
      </c>
      <c r="M1167">
        <v>13</v>
      </c>
      <c r="N1167" t="s">
        <v>46</v>
      </c>
      <c r="O1167">
        <v>2.59</v>
      </c>
      <c r="P1167">
        <v>8034.915</v>
      </c>
      <c r="Q1167" t="s">
        <v>523</v>
      </c>
      <c r="R1167" s="31">
        <v>0.1</v>
      </c>
    </row>
    <row r="1168" spans="1:18" x14ac:dyDescent="0.3">
      <c r="A1168">
        <v>17</v>
      </c>
      <c r="B1168">
        <v>17</v>
      </c>
      <c r="C1168" t="s">
        <v>14</v>
      </c>
      <c r="D1168">
        <v>2.02</v>
      </c>
      <c r="E1168">
        <v>6928.2659999999996</v>
      </c>
      <c r="F1168" t="s">
        <v>404</v>
      </c>
      <c r="G1168" s="31">
        <v>0.87</v>
      </c>
      <c r="L1168">
        <v>14</v>
      </c>
      <c r="M1168">
        <v>14</v>
      </c>
      <c r="N1168" t="s">
        <v>47</v>
      </c>
      <c r="Q1168" t="s">
        <v>524</v>
      </c>
      <c r="R1168" s="31">
        <v>0.1</v>
      </c>
    </row>
    <row r="1169" spans="1:18" x14ac:dyDescent="0.3">
      <c r="A1169">
        <v>18</v>
      </c>
      <c r="B1169">
        <v>18</v>
      </c>
      <c r="C1169" t="s">
        <v>15</v>
      </c>
      <c r="D1169">
        <v>2.4900000000000002</v>
      </c>
      <c r="E1169">
        <v>40929.667999999998</v>
      </c>
      <c r="F1169" t="s">
        <v>405</v>
      </c>
      <c r="G1169" s="31">
        <v>11.74</v>
      </c>
      <c r="L1169">
        <v>15</v>
      </c>
      <c r="M1169">
        <v>15</v>
      </c>
      <c r="N1169" t="s">
        <v>48</v>
      </c>
      <c r="O1169">
        <v>1.24</v>
      </c>
      <c r="P1169">
        <v>71.92</v>
      </c>
      <c r="Q1169" t="s">
        <v>525</v>
      </c>
      <c r="R1169" s="31">
        <v>0.1</v>
      </c>
    </row>
    <row r="1170" spans="1:18" x14ac:dyDescent="0.3">
      <c r="A1170">
        <v>19</v>
      </c>
      <c r="B1170">
        <v>19</v>
      </c>
      <c r="C1170" t="s">
        <v>16</v>
      </c>
      <c r="D1170">
        <v>2.71</v>
      </c>
      <c r="E1170">
        <v>10126.118</v>
      </c>
      <c r="F1170" t="s">
        <v>406</v>
      </c>
      <c r="G1170" s="31">
        <v>0.35</v>
      </c>
      <c r="L1170">
        <v>16</v>
      </c>
      <c r="M1170">
        <v>16</v>
      </c>
      <c r="N1170" t="s">
        <v>53</v>
      </c>
      <c r="O1170">
        <v>4.58</v>
      </c>
      <c r="P1170">
        <v>193.52</v>
      </c>
      <c r="Q1170" t="s">
        <v>526</v>
      </c>
      <c r="R1170" s="31">
        <v>0.1</v>
      </c>
    </row>
    <row r="1171" spans="1:18" x14ac:dyDescent="0.3">
      <c r="A1171">
        <v>20</v>
      </c>
      <c r="B1171">
        <v>20</v>
      </c>
      <c r="C1171" t="s">
        <v>17</v>
      </c>
      <c r="D1171">
        <v>3.13</v>
      </c>
      <c r="E1171">
        <v>9091.7909999999993</v>
      </c>
      <c r="F1171" t="s">
        <v>407</v>
      </c>
      <c r="G1171" s="31">
        <v>1.06</v>
      </c>
      <c r="L1171">
        <v>17</v>
      </c>
      <c r="M1171">
        <v>17</v>
      </c>
      <c r="N1171" t="s">
        <v>54</v>
      </c>
      <c r="O1171">
        <v>5.25</v>
      </c>
      <c r="P1171">
        <v>127.73699999999999</v>
      </c>
      <c r="Q1171" t="s">
        <v>527</v>
      </c>
      <c r="R1171" s="31">
        <v>0.1</v>
      </c>
    </row>
    <row r="1172" spans="1:18" x14ac:dyDescent="0.3">
      <c r="A1172">
        <v>21</v>
      </c>
      <c r="B1172">
        <v>21</v>
      </c>
      <c r="C1172" t="s">
        <v>18</v>
      </c>
      <c r="D1172">
        <v>3.68</v>
      </c>
      <c r="E1172">
        <v>25962.937999999998</v>
      </c>
      <c r="F1172" t="s">
        <v>408</v>
      </c>
      <c r="G1172" s="31">
        <v>0.72</v>
      </c>
      <c r="L1172">
        <v>18</v>
      </c>
      <c r="M1172">
        <v>18</v>
      </c>
      <c r="N1172" t="s">
        <v>55</v>
      </c>
      <c r="Q1172" t="s">
        <v>528</v>
      </c>
      <c r="R1172" s="31">
        <v>0.1</v>
      </c>
    </row>
    <row r="1173" spans="1:18" x14ac:dyDescent="0.3">
      <c r="A1173">
        <v>22</v>
      </c>
      <c r="B1173">
        <v>22</v>
      </c>
      <c r="C1173" t="s">
        <v>19</v>
      </c>
      <c r="D1173">
        <v>2.63</v>
      </c>
      <c r="E1173">
        <v>27477.543000000001</v>
      </c>
      <c r="F1173" t="s">
        <v>409</v>
      </c>
      <c r="G1173" s="31">
        <v>1.98</v>
      </c>
      <c r="L1173">
        <v>19</v>
      </c>
      <c r="M1173">
        <v>19</v>
      </c>
      <c r="N1173" t="s">
        <v>56</v>
      </c>
      <c r="O1173">
        <v>0.89</v>
      </c>
      <c r="P1173">
        <v>67.837000000000003</v>
      </c>
      <c r="Q1173" t="s">
        <v>529</v>
      </c>
      <c r="R1173" s="31">
        <v>0.1</v>
      </c>
    </row>
    <row r="1174" spans="1:18" x14ac:dyDescent="0.3">
      <c r="A1174">
        <v>23</v>
      </c>
      <c r="B1174">
        <v>23</v>
      </c>
      <c r="C1174" t="s">
        <v>20</v>
      </c>
      <c r="D1174">
        <v>2.89</v>
      </c>
      <c r="E1174">
        <v>15613.535</v>
      </c>
      <c r="F1174" t="s">
        <v>410</v>
      </c>
      <c r="G1174" s="31">
        <v>0.62</v>
      </c>
      <c r="L1174">
        <v>20</v>
      </c>
      <c r="M1174">
        <v>20</v>
      </c>
      <c r="N1174" t="s">
        <v>57</v>
      </c>
      <c r="Q1174" t="s">
        <v>530</v>
      </c>
      <c r="R1174" s="31">
        <v>0.1</v>
      </c>
    </row>
    <row r="1175" spans="1:18" x14ac:dyDescent="0.3">
      <c r="A1175">
        <v>24</v>
      </c>
      <c r="B1175">
        <v>24</v>
      </c>
      <c r="C1175" t="s">
        <v>21</v>
      </c>
      <c r="D1175">
        <v>4.12</v>
      </c>
      <c r="E1175">
        <v>503.80099999999999</v>
      </c>
      <c r="F1175" t="s">
        <v>411</v>
      </c>
      <c r="G1175" s="31">
        <v>0.12</v>
      </c>
      <c r="L1175">
        <v>21</v>
      </c>
      <c r="M1175">
        <v>21</v>
      </c>
      <c r="N1175" t="s">
        <v>58</v>
      </c>
      <c r="Q1175" t="s">
        <v>531</v>
      </c>
      <c r="R1175" s="31">
        <v>0.1</v>
      </c>
    </row>
    <row r="1176" spans="1:18" x14ac:dyDescent="0.3">
      <c r="A1176">
        <v>25</v>
      </c>
      <c r="B1176">
        <v>25</v>
      </c>
      <c r="C1176" t="s">
        <v>22</v>
      </c>
      <c r="D1176">
        <v>3.42</v>
      </c>
      <c r="E1176">
        <v>557.346</v>
      </c>
      <c r="F1176" t="s">
        <v>412</v>
      </c>
      <c r="G1176" s="31">
        <v>3.54</v>
      </c>
      <c r="L1176">
        <v>22</v>
      </c>
      <c r="M1176">
        <v>22</v>
      </c>
      <c r="N1176" t="s">
        <v>59</v>
      </c>
      <c r="Q1176" t="s">
        <v>532</v>
      </c>
      <c r="R1176" s="31">
        <v>0.1</v>
      </c>
    </row>
    <row r="1177" spans="1:18" x14ac:dyDescent="0.3">
      <c r="A1177">
        <v>26</v>
      </c>
      <c r="B1177">
        <v>26</v>
      </c>
      <c r="C1177" t="s">
        <v>23</v>
      </c>
      <c r="D1177">
        <v>3.35</v>
      </c>
      <c r="E1177">
        <v>28823.143</v>
      </c>
      <c r="F1177" t="s">
        <v>413</v>
      </c>
      <c r="G1177" s="31">
        <v>1.77</v>
      </c>
      <c r="L1177">
        <v>23</v>
      </c>
      <c r="M1177">
        <v>23</v>
      </c>
      <c r="N1177" t="s">
        <v>60</v>
      </c>
      <c r="O1177">
        <v>2.59</v>
      </c>
      <c r="P1177">
        <v>14.584</v>
      </c>
      <c r="Q1177" t="s">
        <v>533</v>
      </c>
      <c r="R1177" s="31">
        <v>2</v>
      </c>
    </row>
    <row r="1178" spans="1:18" x14ac:dyDescent="0.3">
      <c r="A1178">
        <v>27</v>
      </c>
      <c r="B1178">
        <v>27</v>
      </c>
      <c r="C1178" t="s">
        <v>24</v>
      </c>
      <c r="D1178">
        <v>3.44</v>
      </c>
      <c r="E1178">
        <v>1063.662</v>
      </c>
      <c r="F1178" t="s">
        <v>414</v>
      </c>
      <c r="G1178" s="31">
        <v>0.42</v>
      </c>
    </row>
    <row r="1179" spans="1:18" x14ac:dyDescent="0.3">
      <c r="A1179">
        <v>28</v>
      </c>
      <c r="B1179">
        <v>28</v>
      </c>
      <c r="C1179" t="s">
        <v>25</v>
      </c>
      <c r="D1179">
        <v>3.52</v>
      </c>
      <c r="E1179">
        <v>8019.4610000000002</v>
      </c>
      <c r="F1179" t="s">
        <v>415</v>
      </c>
      <c r="G1179" s="31">
        <v>0.82</v>
      </c>
      <c r="L1179" t="s">
        <v>379</v>
      </c>
    </row>
    <row r="1180" spans="1:18" x14ac:dyDescent="0.3">
      <c r="A1180">
        <v>29</v>
      </c>
      <c r="B1180">
        <v>29</v>
      </c>
      <c r="C1180" t="s">
        <v>26</v>
      </c>
      <c r="D1180">
        <v>1.03</v>
      </c>
      <c r="E1180">
        <v>985.77499999999998</v>
      </c>
      <c r="F1180" t="s">
        <v>416</v>
      </c>
      <c r="G1180" s="31">
        <v>0.76</v>
      </c>
    </row>
    <row r="1181" spans="1:18" x14ac:dyDescent="0.3">
      <c r="A1181">
        <v>30</v>
      </c>
      <c r="B1181">
        <v>30</v>
      </c>
      <c r="C1181" t="s">
        <v>27</v>
      </c>
      <c r="D1181">
        <v>4.33</v>
      </c>
      <c r="E1181">
        <v>1901.2850000000001</v>
      </c>
      <c r="F1181" t="s">
        <v>417</v>
      </c>
      <c r="G1181" s="31">
        <v>0.09</v>
      </c>
      <c r="L1181" t="s">
        <v>557</v>
      </c>
    </row>
    <row r="1182" spans="1:18" x14ac:dyDescent="0.3">
      <c r="A1182">
        <v>31</v>
      </c>
      <c r="B1182">
        <v>31</v>
      </c>
      <c r="C1182" t="s">
        <v>28</v>
      </c>
      <c r="D1182">
        <v>3</v>
      </c>
      <c r="E1182">
        <v>76803.804999999993</v>
      </c>
      <c r="F1182" t="s">
        <v>418</v>
      </c>
      <c r="G1182" s="31">
        <v>0.22</v>
      </c>
    </row>
    <row r="1183" spans="1:18" x14ac:dyDescent="0.3">
      <c r="A1183">
        <v>32</v>
      </c>
      <c r="B1183">
        <v>32</v>
      </c>
      <c r="C1183" t="s">
        <v>29</v>
      </c>
      <c r="D1183">
        <v>3.35</v>
      </c>
      <c r="E1183">
        <v>1206.068</v>
      </c>
      <c r="F1183" t="s">
        <v>419</v>
      </c>
      <c r="G1183" s="31">
        <v>0.11</v>
      </c>
      <c r="L1183" t="s">
        <v>572</v>
      </c>
    </row>
    <row r="1184" spans="1:18" x14ac:dyDescent="0.3">
      <c r="A1184">
        <v>33</v>
      </c>
      <c r="B1184">
        <v>33</v>
      </c>
      <c r="C1184" t="s">
        <v>30</v>
      </c>
      <c r="D1184">
        <v>4.67</v>
      </c>
      <c r="E1184">
        <v>15349.552</v>
      </c>
      <c r="F1184" t="s">
        <v>420</v>
      </c>
      <c r="G1184" s="31">
        <v>0.43</v>
      </c>
    </row>
    <row r="1185" spans="1:18" x14ac:dyDescent="0.3">
      <c r="A1185">
        <v>34</v>
      </c>
      <c r="B1185">
        <v>34</v>
      </c>
      <c r="C1185" t="s">
        <v>31</v>
      </c>
      <c r="D1185">
        <v>3.5</v>
      </c>
      <c r="E1185">
        <v>4941.375</v>
      </c>
      <c r="F1185" t="s">
        <v>421</v>
      </c>
      <c r="G1185" s="31">
        <v>0.26</v>
      </c>
      <c r="M1185" t="s">
        <v>382</v>
      </c>
      <c r="N1185" t="s">
        <v>383</v>
      </c>
      <c r="O1185" t="s">
        <v>384</v>
      </c>
      <c r="P1185" t="s">
        <v>385</v>
      </c>
      <c r="Q1185" t="s">
        <v>386</v>
      </c>
      <c r="R1185" s="31" t="s">
        <v>387</v>
      </c>
    </row>
    <row r="1186" spans="1:18" x14ac:dyDescent="0.3">
      <c r="A1186">
        <v>35</v>
      </c>
      <c r="B1186">
        <v>35</v>
      </c>
      <c r="C1186" t="s">
        <v>32</v>
      </c>
      <c r="D1186">
        <v>3.06</v>
      </c>
      <c r="E1186">
        <v>469.65800000000002</v>
      </c>
      <c r="F1186" t="s">
        <v>422</v>
      </c>
      <c r="G1186" s="31">
        <v>0.14000000000000001</v>
      </c>
      <c r="L1186">
        <v>1</v>
      </c>
      <c r="M1186">
        <v>1</v>
      </c>
      <c r="N1186" t="s">
        <v>35</v>
      </c>
      <c r="O1186">
        <v>1.47</v>
      </c>
      <c r="P1186">
        <v>512.87800000000004</v>
      </c>
      <c r="Q1186" t="s">
        <v>511</v>
      </c>
      <c r="R1186" s="31">
        <v>12.92</v>
      </c>
    </row>
    <row r="1187" spans="1:18" x14ac:dyDescent="0.3">
      <c r="A1187">
        <v>36</v>
      </c>
      <c r="B1187">
        <v>36</v>
      </c>
      <c r="C1187" t="s">
        <v>33</v>
      </c>
      <c r="D1187">
        <v>1.89</v>
      </c>
      <c r="E1187">
        <v>987.25300000000004</v>
      </c>
      <c r="F1187" t="s">
        <v>423</v>
      </c>
      <c r="G1187" s="31">
        <v>0.41</v>
      </c>
      <c r="L1187">
        <v>2</v>
      </c>
      <c r="M1187">
        <v>2</v>
      </c>
      <c r="N1187" t="s">
        <v>36</v>
      </c>
      <c r="O1187">
        <v>1.67</v>
      </c>
      <c r="P1187">
        <v>1647996.625</v>
      </c>
      <c r="Q1187" t="s">
        <v>512</v>
      </c>
      <c r="R1187" s="31">
        <v>339.93</v>
      </c>
    </row>
    <row r="1188" spans="1:18" x14ac:dyDescent="0.3">
      <c r="G1188" s="31">
        <f>G1165/G1167</f>
        <v>1.2439024390243902</v>
      </c>
      <c r="L1188">
        <v>3</v>
      </c>
      <c r="M1188">
        <v>3</v>
      </c>
      <c r="N1188" t="s">
        <v>37</v>
      </c>
      <c r="O1188">
        <v>1.81</v>
      </c>
      <c r="P1188">
        <v>277.649</v>
      </c>
      <c r="Q1188" t="s">
        <v>513</v>
      </c>
      <c r="R1188" s="31">
        <v>0.18</v>
      </c>
    </row>
    <row r="1189" spans="1:18" x14ac:dyDescent="0.3">
      <c r="A1189" t="s">
        <v>379</v>
      </c>
      <c r="L1189">
        <v>4</v>
      </c>
      <c r="M1189">
        <v>4</v>
      </c>
      <c r="N1189" t="s">
        <v>38</v>
      </c>
      <c r="O1189">
        <v>1.18</v>
      </c>
      <c r="P1189">
        <v>4330.5280000000002</v>
      </c>
      <c r="Q1189" t="s">
        <v>514</v>
      </c>
      <c r="R1189" s="31">
        <v>1.07</v>
      </c>
    </row>
    <row r="1190" spans="1:18" x14ac:dyDescent="0.3">
      <c r="L1190">
        <v>5</v>
      </c>
      <c r="M1190">
        <v>5</v>
      </c>
      <c r="N1190" t="s">
        <v>39</v>
      </c>
      <c r="O1190">
        <v>1.38</v>
      </c>
      <c r="P1190">
        <v>80824.726999999999</v>
      </c>
      <c r="Q1190" t="s">
        <v>515</v>
      </c>
      <c r="R1190" s="31">
        <v>28.14</v>
      </c>
    </row>
    <row r="1191" spans="1:18" x14ac:dyDescent="0.3">
      <c r="A1191" t="s">
        <v>380</v>
      </c>
      <c r="L1191">
        <v>6</v>
      </c>
      <c r="M1191">
        <v>6</v>
      </c>
      <c r="N1191" t="s">
        <v>40</v>
      </c>
      <c r="O1191">
        <v>1.53</v>
      </c>
      <c r="P1191">
        <v>8597.1039999999994</v>
      </c>
      <c r="Q1191" t="s">
        <v>516</v>
      </c>
      <c r="R1191" s="31">
        <v>1.43</v>
      </c>
    </row>
    <row r="1192" spans="1:18" x14ac:dyDescent="0.3">
      <c r="L1192">
        <v>7</v>
      </c>
      <c r="M1192">
        <v>7</v>
      </c>
      <c r="N1192" t="s">
        <v>41</v>
      </c>
      <c r="O1192">
        <v>2.2999999999999998</v>
      </c>
      <c r="P1192">
        <v>1930.174</v>
      </c>
      <c r="Q1192" t="s">
        <v>517</v>
      </c>
      <c r="R1192" s="31">
        <v>2.97</v>
      </c>
    </row>
    <row r="1193" spans="1:18" x14ac:dyDescent="0.3">
      <c r="A1193" t="s">
        <v>450</v>
      </c>
      <c r="L1193">
        <v>8</v>
      </c>
      <c r="M1193">
        <v>8</v>
      </c>
      <c r="N1193" t="s">
        <v>42</v>
      </c>
      <c r="O1193">
        <v>0.88</v>
      </c>
      <c r="P1193">
        <v>2350.3609999999999</v>
      </c>
      <c r="Q1193" t="s">
        <v>518</v>
      </c>
      <c r="R1193" s="31">
        <v>32.119999999999997</v>
      </c>
    </row>
    <row r="1194" spans="1:18" x14ac:dyDescent="0.3">
      <c r="L1194">
        <v>9</v>
      </c>
      <c r="M1194">
        <v>9</v>
      </c>
      <c r="N1194" t="s">
        <v>43</v>
      </c>
      <c r="O1194">
        <v>2.5499999999999998</v>
      </c>
      <c r="P1194">
        <v>3307.9949999999999</v>
      </c>
      <c r="Q1194" t="s">
        <v>519</v>
      </c>
      <c r="R1194" s="31">
        <v>0.08</v>
      </c>
    </row>
    <row r="1195" spans="1:18" x14ac:dyDescent="0.3">
      <c r="B1195" t="s">
        <v>382</v>
      </c>
      <c r="C1195" t="s">
        <v>383</v>
      </c>
      <c r="D1195" t="s">
        <v>384</v>
      </c>
      <c r="E1195" t="s">
        <v>385</v>
      </c>
      <c r="F1195" t="s">
        <v>386</v>
      </c>
      <c r="G1195" s="31" t="s">
        <v>387</v>
      </c>
      <c r="L1195">
        <v>10</v>
      </c>
      <c r="M1195">
        <v>10</v>
      </c>
      <c r="N1195" t="s">
        <v>52</v>
      </c>
      <c r="O1195">
        <v>4.1399999999999997</v>
      </c>
      <c r="P1195">
        <v>5153.7950000000001</v>
      </c>
      <c r="Q1195" t="s">
        <v>520</v>
      </c>
      <c r="R1195" s="31">
        <v>0.09</v>
      </c>
    </row>
    <row r="1196" spans="1:18" x14ac:dyDescent="0.3">
      <c r="A1196">
        <v>1</v>
      </c>
      <c r="B1196">
        <v>1</v>
      </c>
      <c r="C1196" t="s">
        <v>0</v>
      </c>
      <c r="D1196">
        <v>0.94</v>
      </c>
      <c r="E1196">
        <v>22.827000000000002</v>
      </c>
      <c r="F1196" t="s">
        <v>388</v>
      </c>
      <c r="G1196" s="31">
        <v>0.1</v>
      </c>
      <c r="L1196">
        <v>11</v>
      </c>
      <c r="M1196">
        <v>11</v>
      </c>
      <c r="N1196" t="s">
        <v>44</v>
      </c>
      <c r="O1196">
        <v>4.21</v>
      </c>
      <c r="P1196">
        <v>450.05900000000003</v>
      </c>
      <c r="Q1196" t="s">
        <v>521</v>
      </c>
      <c r="R1196" s="31">
        <v>0.24</v>
      </c>
    </row>
    <row r="1197" spans="1:18" x14ac:dyDescent="0.3">
      <c r="A1197">
        <v>2</v>
      </c>
      <c r="B1197">
        <v>2</v>
      </c>
      <c r="C1197" t="s">
        <v>1</v>
      </c>
      <c r="D1197">
        <v>1.45</v>
      </c>
      <c r="E1197">
        <v>254.202</v>
      </c>
      <c r="F1197" t="s">
        <v>389</v>
      </c>
      <c r="G1197" s="31">
        <v>7.19</v>
      </c>
      <c r="L1197">
        <v>12</v>
      </c>
      <c r="M1197">
        <v>12</v>
      </c>
      <c r="N1197" t="s">
        <v>45</v>
      </c>
      <c r="O1197">
        <v>3.45</v>
      </c>
      <c r="P1197">
        <v>575442.43799999997</v>
      </c>
      <c r="Q1197" t="s">
        <v>522</v>
      </c>
      <c r="R1197" s="31">
        <v>13.97</v>
      </c>
    </row>
    <row r="1198" spans="1:18" x14ac:dyDescent="0.3">
      <c r="A1198">
        <v>3</v>
      </c>
      <c r="B1198">
        <v>3</v>
      </c>
      <c r="C1198" t="s">
        <v>50</v>
      </c>
      <c r="D1198">
        <v>3.69</v>
      </c>
      <c r="E1198">
        <v>81.480999999999995</v>
      </c>
      <c r="F1198" t="s">
        <v>390</v>
      </c>
      <c r="G1198" s="31">
        <v>0.6</v>
      </c>
      <c r="L1198">
        <v>13</v>
      </c>
      <c r="M1198">
        <v>13</v>
      </c>
      <c r="N1198" t="s">
        <v>46</v>
      </c>
      <c r="O1198">
        <v>2.6</v>
      </c>
      <c r="P1198">
        <v>182002.71900000001</v>
      </c>
      <c r="Q1198" t="s">
        <v>523</v>
      </c>
      <c r="R1198" s="31">
        <v>13.97</v>
      </c>
    </row>
    <row r="1199" spans="1:18" x14ac:dyDescent="0.3">
      <c r="A1199">
        <v>4</v>
      </c>
      <c r="B1199">
        <v>4</v>
      </c>
      <c r="C1199" t="s">
        <v>2</v>
      </c>
      <c r="D1199">
        <v>3.83</v>
      </c>
      <c r="E1199">
        <v>103.242</v>
      </c>
      <c r="F1199" t="s">
        <v>391</v>
      </c>
      <c r="G1199" s="31">
        <v>0.78</v>
      </c>
      <c r="L1199">
        <v>14</v>
      </c>
      <c r="M1199">
        <v>14</v>
      </c>
      <c r="N1199" t="s">
        <v>47</v>
      </c>
      <c r="O1199">
        <v>0.68</v>
      </c>
      <c r="P1199">
        <v>16186.248</v>
      </c>
      <c r="Q1199" t="s">
        <v>524</v>
      </c>
      <c r="R1199" s="31">
        <v>10.91</v>
      </c>
    </row>
    <row r="1200" spans="1:18" x14ac:dyDescent="0.3">
      <c r="A1200">
        <v>5</v>
      </c>
      <c r="B1200">
        <v>5</v>
      </c>
      <c r="C1200" t="s">
        <v>3</v>
      </c>
      <c r="D1200">
        <v>4.49</v>
      </c>
      <c r="E1200">
        <v>118.373</v>
      </c>
      <c r="F1200" t="s">
        <v>392</v>
      </c>
      <c r="G1200" s="31">
        <v>0.1</v>
      </c>
      <c r="L1200">
        <v>15</v>
      </c>
      <c r="M1200">
        <v>15</v>
      </c>
      <c r="N1200" t="s">
        <v>48</v>
      </c>
      <c r="O1200">
        <v>1.22</v>
      </c>
      <c r="P1200">
        <v>13206.755999999999</v>
      </c>
      <c r="Q1200" t="s">
        <v>525</v>
      </c>
      <c r="R1200" s="31">
        <v>2.77</v>
      </c>
    </row>
    <row r="1201" spans="1:18" x14ac:dyDescent="0.3">
      <c r="A1201">
        <v>6</v>
      </c>
      <c r="B1201">
        <v>6</v>
      </c>
      <c r="C1201" t="s">
        <v>4</v>
      </c>
      <c r="D1201">
        <v>4.97</v>
      </c>
      <c r="E1201">
        <v>15.72</v>
      </c>
      <c r="F1201" t="s">
        <v>393</v>
      </c>
      <c r="G1201" s="31">
        <v>2.29</v>
      </c>
      <c r="L1201">
        <v>16</v>
      </c>
      <c r="M1201">
        <v>16</v>
      </c>
      <c r="N1201" t="s">
        <v>53</v>
      </c>
      <c r="O1201">
        <v>4.5599999999999996</v>
      </c>
      <c r="P1201">
        <v>16320.995999999999</v>
      </c>
      <c r="Q1201" t="s">
        <v>526</v>
      </c>
      <c r="R1201" s="31">
        <v>0.31</v>
      </c>
    </row>
    <row r="1202" spans="1:18" x14ac:dyDescent="0.3">
      <c r="A1202">
        <v>7</v>
      </c>
      <c r="B1202">
        <v>7</v>
      </c>
      <c r="C1202" t="s">
        <v>5</v>
      </c>
      <c r="D1202">
        <v>2.68</v>
      </c>
      <c r="E1202">
        <v>6.5979999999999999</v>
      </c>
      <c r="F1202" t="s">
        <v>394</v>
      </c>
      <c r="G1202" s="31">
        <v>7.0000000000000007E-2</v>
      </c>
      <c r="L1202">
        <v>17</v>
      </c>
      <c r="M1202">
        <v>17</v>
      </c>
      <c r="N1202" t="s">
        <v>54</v>
      </c>
      <c r="O1202">
        <v>5.23</v>
      </c>
      <c r="P1202">
        <v>26.295999999999999</v>
      </c>
      <c r="Q1202" t="s">
        <v>527</v>
      </c>
      <c r="R1202" s="31">
        <v>0.1</v>
      </c>
    </row>
    <row r="1203" spans="1:18" x14ac:dyDescent="0.3">
      <c r="A1203">
        <v>8</v>
      </c>
      <c r="B1203">
        <v>8</v>
      </c>
      <c r="C1203" t="s">
        <v>6</v>
      </c>
      <c r="F1203" t="s">
        <v>395</v>
      </c>
      <c r="G1203" s="31">
        <v>0.1</v>
      </c>
      <c r="L1203">
        <v>18</v>
      </c>
      <c r="M1203">
        <v>18</v>
      </c>
      <c r="N1203" t="s">
        <v>55</v>
      </c>
      <c r="O1203">
        <v>1.32</v>
      </c>
      <c r="P1203">
        <v>2014.4570000000001</v>
      </c>
      <c r="Q1203" t="s">
        <v>528</v>
      </c>
      <c r="R1203" s="31">
        <v>0.12</v>
      </c>
    </row>
    <row r="1204" spans="1:18" x14ac:dyDescent="0.3">
      <c r="A1204">
        <v>9</v>
      </c>
      <c r="B1204">
        <v>9</v>
      </c>
      <c r="C1204" t="s">
        <v>7</v>
      </c>
      <c r="D1204">
        <v>3.6</v>
      </c>
      <c r="E1204">
        <v>42.676000000000002</v>
      </c>
      <c r="F1204" t="s">
        <v>396</v>
      </c>
      <c r="G1204" s="31">
        <v>1.74</v>
      </c>
      <c r="L1204">
        <v>19</v>
      </c>
      <c r="M1204">
        <v>19</v>
      </c>
      <c r="N1204" t="s">
        <v>56</v>
      </c>
      <c r="O1204">
        <v>0.87</v>
      </c>
      <c r="P1204">
        <v>9394.4599999999991</v>
      </c>
      <c r="Q1204" t="s">
        <v>529</v>
      </c>
      <c r="R1204" s="31">
        <v>0.1</v>
      </c>
    </row>
    <row r="1205" spans="1:18" x14ac:dyDescent="0.3">
      <c r="A1205">
        <v>10</v>
      </c>
      <c r="B1205">
        <v>10</v>
      </c>
      <c r="C1205" t="s">
        <v>51</v>
      </c>
      <c r="D1205">
        <v>4.79</v>
      </c>
      <c r="E1205">
        <v>867.49400000000003</v>
      </c>
      <c r="F1205" t="s">
        <v>397</v>
      </c>
      <c r="G1205" s="31">
        <v>1.33</v>
      </c>
      <c r="L1205">
        <v>20</v>
      </c>
      <c r="M1205">
        <v>20</v>
      </c>
      <c r="N1205" t="s">
        <v>57</v>
      </c>
      <c r="O1205">
        <v>1.51</v>
      </c>
      <c r="P1205">
        <v>457.91500000000002</v>
      </c>
      <c r="Q1205" t="s">
        <v>530</v>
      </c>
      <c r="R1205" s="31">
        <v>0.27</v>
      </c>
    </row>
    <row r="1206" spans="1:18" x14ac:dyDescent="0.3">
      <c r="A1206">
        <v>11</v>
      </c>
      <c r="B1206">
        <v>11</v>
      </c>
      <c r="C1206" t="s">
        <v>8</v>
      </c>
      <c r="F1206" t="s">
        <v>398</v>
      </c>
      <c r="G1206" s="31">
        <v>0.1</v>
      </c>
      <c r="L1206">
        <v>21</v>
      </c>
      <c r="M1206">
        <v>21</v>
      </c>
      <c r="N1206" t="s">
        <v>58</v>
      </c>
      <c r="O1206">
        <v>2.3199999999999998</v>
      </c>
      <c r="P1206">
        <v>482.459</v>
      </c>
      <c r="Q1206" t="s">
        <v>531</v>
      </c>
      <c r="R1206" s="31">
        <v>0.46</v>
      </c>
    </row>
    <row r="1207" spans="1:18" x14ac:dyDescent="0.3">
      <c r="A1207">
        <v>12</v>
      </c>
      <c r="B1207">
        <v>12</v>
      </c>
      <c r="C1207" t="s">
        <v>9</v>
      </c>
      <c r="D1207">
        <v>2.65</v>
      </c>
      <c r="E1207">
        <v>161.47999999999999</v>
      </c>
      <c r="F1207" t="s">
        <v>399</v>
      </c>
      <c r="G1207" s="31">
        <v>3.04</v>
      </c>
      <c r="L1207">
        <v>22</v>
      </c>
      <c r="M1207">
        <v>22</v>
      </c>
      <c r="N1207" t="s">
        <v>59</v>
      </c>
      <c r="O1207">
        <v>2.5</v>
      </c>
      <c r="P1207">
        <v>21716.365000000002</v>
      </c>
      <c r="Q1207" t="s">
        <v>532</v>
      </c>
      <c r="R1207" s="31">
        <v>4.57</v>
      </c>
    </row>
    <row r="1208" spans="1:18" x14ac:dyDescent="0.3">
      <c r="A1208">
        <v>13</v>
      </c>
      <c r="B1208">
        <v>13</v>
      </c>
      <c r="C1208" t="s">
        <v>10</v>
      </c>
      <c r="D1208">
        <v>4.08</v>
      </c>
      <c r="E1208">
        <v>678.524</v>
      </c>
      <c r="F1208" t="s">
        <v>400</v>
      </c>
      <c r="G1208" s="31">
        <v>0.1</v>
      </c>
      <c r="L1208">
        <v>23</v>
      </c>
      <c r="M1208">
        <v>23</v>
      </c>
      <c r="N1208" t="s">
        <v>60</v>
      </c>
      <c r="O1208">
        <v>2.48</v>
      </c>
      <c r="P1208">
        <v>17187.724999999999</v>
      </c>
      <c r="Q1208" t="s">
        <v>533</v>
      </c>
      <c r="R1208" s="31">
        <v>1.91</v>
      </c>
    </row>
    <row r="1209" spans="1:18" x14ac:dyDescent="0.3">
      <c r="A1209">
        <v>14</v>
      </c>
      <c r="B1209">
        <v>14</v>
      </c>
      <c r="C1209" t="s">
        <v>11</v>
      </c>
      <c r="F1209" t="s">
        <v>401</v>
      </c>
      <c r="G1209" s="31">
        <v>0.1</v>
      </c>
    </row>
    <row r="1210" spans="1:18" x14ac:dyDescent="0.3">
      <c r="A1210">
        <v>15</v>
      </c>
      <c r="B1210">
        <v>15</v>
      </c>
      <c r="C1210" t="s">
        <v>12</v>
      </c>
      <c r="D1210">
        <v>3.36</v>
      </c>
      <c r="E1210">
        <v>13.468</v>
      </c>
      <c r="F1210" t="s">
        <v>402</v>
      </c>
      <c r="G1210" s="31">
        <v>0.6</v>
      </c>
      <c r="L1210" t="s">
        <v>379</v>
      </c>
    </row>
    <row r="1211" spans="1:18" x14ac:dyDescent="0.3">
      <c r="A1211">
        <v>16</v>
      </c>
      <c r="B1211">
        <v>16</v>
      </c>
      <c r="C1211" t="s">
        <v>13</v>
      </c>
      <c r="D1211">
        <v>3.16</v>
      </c>
      <c r="E1211">
        <v>1.131</v>
      </c>
      <c r="F1211" t="s">
        <v>403</v>
      </c>
      <c r="G1211" s="31">
        <v>2.04</v>
      </c>
    </row>
    <row r="1212" spans="1:18" x14ac:dyDescent="0.3">
      <c r="A1212">
        <v>17</v>
      </c>
      <c r="B1212">
        <v>17</v>
      </c>
      <c r="C1212" t="s">
        <v>14</v>
      </c>
      <c r="D1212">
        <v>2.1</v>
      </c>
      <c r="E1212">
        <v>19.887</v>
      </c>
      <c r="F1212" t="s">
        <v>404</v>
      </c>
      <c r="G1212" s="31">
        <v>3.22</v>
      </c>
      <c r="L1212" t="s">
        <v>557</v>
      </c>
    </row>
    <row r="1213" spans="1:18" x14ac:dyDescent="0.3">
      <c r="A1213">
        <v>18</v>
      </c>
      <c r="B1213">
        <v>18</v>
      </c>
      <c r="C1213" t="s">
        <v>15</v>
      </c>
      <c r="D1213">
        <v>2.5</v>
      </c>
      <c r="E1213">
        <v>53.640999999999998</v>
      </c>
      <c r="F1213" t="s">
        <v>405</v>
      </c>
      <c r="G1213" s="31">
        <v>10.42</v>
      </c>
    </row>
    <row r="1214" spans="1:18" x14ac:dyDescent="0.3">
      <c r="A1214">
        <v>19</v>
      </c>
      <c r="B1214">
        <v>19</v>
      </c>
      <c r="C1214" t="s">
        <v>16</v>
      </c>
      <c r="D1214">
        <v>2.88</v>
      </c>
      <c r="E1214">
        <v>38.597000000000001</v>
      </c>
      <c r="F1214" t="s">
        <v>406</v>
      </c>
      <c r="G1214" s="31">
        <v>0.31</v>
      </c>
      <c r="L1214" t="s">
        <v>573</v>
      </c>
    </row>
    <row r="1215" spans="1:18" x14ac:dyDescent="0.3">
      <c r="A1215">
        <v>20</v>
      </c>
      <c r="B1215">
        <v>20</v>
      </c>
      <c r="C1215" t="s">
        <v>17</v>
      </c>
      <c r="D1215">
        <v>3.07</v>
      </c>
      <c r="E1215">
        <v>470.19900000000001</v>
      </c>
      <c r="F1215" t="s">
        <v>407</v>
      </c>
      <c r="G1215" s="31">
        <v>0.2</v>
      </c>
    </row>
    <row r="1216" spans="1:18" x14ac:dyDescent="0.3">
      <c r="A1216">
        <v>21</v>
      </c>
      <c r="B1216">
        <v>21</v>
      </c>
      <c r="C1216" t="s">
        <v>18</v>
      </c>
      <c r="D1216">
        <v>3.69</v>
      </c>
      <c r="E1216">
        <v>678.40700000000004</v>
      </c>
      <c r="F1216" t="s">
        <v>408</v>
      </c>
      <c r="G1216" s="31">
        <v>0.19</v>
      </c>
      <c r="M1216" t="s">
        <v>382</v>
      </c>
      <c r="N1216" t="s">
        <v>383</v>
      </c>
      <c r="O1216" t="s">
        <v>384</v>
      </c>
      <c r="P1216" t="s">
        <v>385</v>
      </c>
      <c r="Q1216" t="s">
        <v>386</v>
      </c>
      <c r="R1216" s="31" t="s">
        <v>387</v>
      </c>
    </row>
    <row r="1217" spans="1:18" x14ac:dyDescent="0.3">
      <c r="A1217">
        <v>22</v>
      </c>
      <c r="B1217">
        <v>22</v>
      </c>
      <c r="C1217" t="s">
        <v>19</v>
      </c>
      <c r="F1217" t="s">
        <v>409</v>
      </c>
      <c r="G1217" s="31">
        <v>0.1</v>
      </c>
      <c r="L1217">
        <v>1</v>
      </c>
      <c r="M1217">
        <v>1</v>
      </c>
      <c r="N1217" t="s">
        <v>35</v>
      </c>
      <c r="O1217">
        <v>1.44</v>
      </c>
      <c r="P1217">
        <v>10981.806</v>
      </c>
      <c r="Q1217" t="s">
        <v>511</v>
      </c>
      <c r="R1217" s="31">
        <v>7.94</v>
      </c>
    </row>
    <row r="1218" spans="1:18" x14ac:dyDescent="0.3">
      <c r="A1218">
        <v>23</v>
      </c>
      <c r="B1218">
        <v>23</v>
      </c>
      <c r="C1218" t="s">
        <v>20</v>
      </c>
      <c r="F1218" t="s">
        <v>410</v>
      </c>
      <c r="G1218" s="31">
        <v>0.1</v>
      </c>
      <c r="L1218">
        <v>2</v>
      </c>
      <c r="M1218">
        <v>2</v>
      </c>
      <c r="N1218" t="s">
        <v>36</v>
      </c>
      <c r="O1218">
        <v>1.67</v>
      </c>
      <c r="P1218">
        <v>499518</v>
      </c>
      <c r="Q1218" t="s">
        <v>512</v>
      </c>
      <c r="R1218" s="31">
        <v>77.84</v>
      </c>
    </row>
    <row r="1219" spans="1:18" x14ac:dyDescent="0.3">
      <c r="A1219">
        <v>24</v>
      </c>
      <c r="B1219">
        <v>24</v>
      </c>
      <c r="C1219" t="s">
        <v>21</v>
      </c>
      <c r="D1219">
        <v>4.1900000000000004</v>
      </c>
      <c r="E1219">
        <v>9.6869999999999994</v>
      </c>
      <c r="F1219" t="s">
        <v>411</v>
      </c>
      <c r="G1219" s="31">
        <v>0.1</v>
      </c>
      <c r="L1219">
        <v>3</v>
      </c>
      <c r="M1219">
        <v>3</v>
      </c>
      <c r="N1219" t="s">
        <v>37</v>
      </c>
      <c r="O1219">
        <v>1.81</v>
      </c>
      <c r="P1219">
        <v>825.21799999999996</v>
      </c>
      <c r="Q1219" t="s">
        <v>513</v>
      </c>
      <c r="R1219" s="31">
        <v>0.17</v>
      </c>
    </row>
    <row r="1220" spans="1:18" x14ac:dyDescent="0.3">
      <c r="A1220">
        <v>25</v>
      </c>
      <c r="B1220">
        <v>25</v>
      </c>
      <c r="C1220" t="s">
        <v>22</v>
      </c>
      <c r="D1220">
        <v>3.57</v>
      </c>
      <c r="E1220">
        <v>25.792999999999999</v>
      </c>
      <c r="F1220" t="s">
        <v>412</v>
      </c>
      <c r="G1220" s="31">
        <v>21.5</v>
      </c>
      <c r="L1220">
        <v>4</v>
      </c>
      <c r="M1220">
        <v>4</v>
      </c>
      <c r="N1220" t="s">
        <v>38</v>
      </c>
      <c r="O1220">
        <v>1.19</v>
      </c>
      <c r="P1220">
        <v>2372.585</v>
      </c>
      <c r="Q1220" t="s">
        <v>514</v>
      </c>
      <c r="R1220" s="31">
        <v>0.33</v>
      </c>
    </row>
    <row r="1221" spans="1:18" x14ac:dyDescent="0.3">
      <c r="A1221">
        <v>26</v>
      </c>
      <c r="B1221">
        <v>26</v>
      </c>
      <c r="C1221" t="s">
        <v>23</v>
      </c>
      <c r="F1221" t="s">
        <v>413</v>
      </c>
      <c r="G1221" s="31">
        <v>0.1</v>
      </c>
      <c r="L1221">
        <v>5</v>
      </c>
      <c r="M1221">
        <v>5</v>
      </c>
      <c r="N1221" t="s">
        <v>39</v>
      </c>
      <c r="O1221">
        <v>1.38</v>
      </c>
      <c r="P1221">
        <v>215818.42199999999</v>
      </c>
      <c r="Q1221" t="s">
        <v>515</v>
      </c>
      <c r="R1221" s="31">
        <v>32.880000000000003</v>
      </c>
    </row>
    <row r="1222" spans="1:18" x14ac:dyDescent="0.3">
      <c r="A1222">
        <v>27</v>
      </c>
      <c r="B1222">
        <v>27</v>
      </c>
      <c r="C1222" t="s">
        <v>24</v>
      </c>
      <c r="D1222">
        <v>3.46</v>
      </c>
      <c r="E1222">
        <v>42.302</v>
      </c>
      <c r="F1222" t="s">
        <v>414</v>
      </c>
      <c r="G1222" s="31">
        <v>0.1</v>
      </c>
      <c r="L1222">
        <v>6</v>
      </c>
      <c r="M1222">
        <v>6</v>
      </c>
      <c r="N1222" t="s">
        <v>40</v>
      </c>
      <c r="O1222">
        <v>1.52</v>
      </c>
      <c r="P1222">
        <v>12366.552</v>
      </c>
      <c r="Q1222" t="s">
        <v>516</v>
      </c>
      <c r="R1222" s="31">
        <v>1.06</v>
      </c>
    </row>
    <row r="1223" spans="1:18" x14ac:dyDescent="0.3">
      <c r="A1223">
        <v>28</v>
      </c>
      <c r="B1223">
        <v>28</v>
      </c>
      <c r="C1223" t="s">
        <v>25</v>
      </c>
      <c r="D1223">
        <v>3.52</v>
      </c>
      <c r="E1223">
        <v>1.0489999999999999</v>
      </c>
      <c r="F1223" t="s">
        <v>415</v>
      </c>
      <c r="G1223" s="31">
        <v>1.8</v>
      </c>
      <c r="L1223">
        <v>7</v>
      </c>
      <c r="M1223">
        <v>7</v>
      </c>
      <c r="N1223" t="s">
        <v>41</v>
      </c>
      <c r="O1223">
        <v>2.31</v>
      </c>
      <c r="P1223">
        <v>1326.867</v>
      </c>
      <c r="Q1223" t="s">
        <v>517</v>
      </c>
      <c r="R1223" s="31">
        <v>1.1000000000000001</v>
      </c>
    </row>
    <row r="1224" spans="1:18" x14ac:dyDescent="0.3">
      <c r="A1224">
        <v>29</v>
      </c>
      <c r="B1224">
        <v>29</v>
      </c>
      <c r="C1224" t="s">
        <v>26</v>
      </c>
      <c r="F1224" t="s">
        <v>416</v>
      </c>
      <c r="G1224" s="31">
        <v>0.1</v>
      </c>
      <c r="L1224">
        <v>8</v>
      </c>
      <c r="M1224">
        <v>8</v>
      </c>
      <c r="N1224" t="s">
        <v>42</v>
      </c>
      <c r="O1224">
        <v>0.89</v>
      </c>
      <c r="P1224">
        <v>44638.898000000001</v>
      </c>
      <c r="Q1224" t="s">
        <v>518</v>
      </c>
      <c r="R1224" s="31">
        <v>52.3</v>
      </c>
    </row>
    <row r="1225" spans="1:18" x14ac:dyDescent="0.3">
      <c r="A1225">
        <v>30</v>
      </c>
      <c r="B1225">
        <v>30</v>
      </c>
      <c r="C1225" t="s">
        <v>27</v>
      </c>
      <c r="D1225">
        <v>4.3600000000000003</v>
      </c>
      <c r="E1225">
        <v>7.0220000000000002</v>
      </c>
      <c r="F1225" t="s">
        <v>417</v>
      </c>
      <c r="G1225" s="31">
        <v>0.12</v>
      </c>
      <c r="L1225">
        <v>9</v>
      </c>
      <c r="M1225">
        <v>9</v>
      </c>
      <c r="N1225" t="s">
        <v>43</v>
      </c>
      <c r="O1225">
        <v>2.54</v>
      </c>
      <c r="P1225">
        <v>9714.8160000000007</v>
      </c>
      <c r="Q1225" t="s">
        <v>519</v>
      </c>
      <c r="R1225" s="31">
        <v>0.13</v>
      </c>
    </row>
    <row r="1226" spans="1:18" x14ac:dyDescent="0.3">
      <c r="A1226">
        <v>31</v>
      </c>
      <c r="B1226">
        <v>31</v>
      </c>
      <c r="C1226" t="s">
        <v>28</v>
      </c>
      <c r="D1226">
        <v>3.08</v>
      </c>
      <c r="E1226">
        <v>38.716000000000001</v>
      </c>
      <c r="F1226" t="s">
        <v>418</v>
      </c>
      <c r="G1226" s="31">
        <v>0.1</v>
      </c>
      <c r="L1226">
        <v>10</v>
      </c>
      <c r="M1226">
        <v>10</v>
      </c>
      <c r="N1226" t="s">
        <v>52</v>
      </c>
      <c r="O1226">
        <v>4.09</v>
      </c>
      <c r="P1226">
        <v>180723.609</v>
      </c>
      <c r="Q1226" t="s">
        <v>520</v>
      </c>
      <c r="R1226" s="31">
        <v>9.83</v>
      </c>
    </row>
    <row r="1227" spans="1:18" x14ac:dyDescent="0.3">
      <c r="A1227">
        <v>32</v>
      </c>
      <c r="B1227">
        <v>32</v>
      </c>
      <c r="C1227" t="s">
        <v>29</v>
      </c>
      <c r="F1227" t="s">
        <v>419</v>
      </c>
      <c r="G1227" s="31">
        <v>0.1</v>
      </c>
      <c r="L1227">
        <v>11</v>
      </c>
      <c r="M1227">
        <v>11</v>
      </c>
      <c r="N1227" t="s">
        <v>44</v>
      </c>
      <c r="O1227">
        <v>4.18</v>
      </c>
      <c r="P1227">
        <v>875.37800000000004</v>
      </c>
      <c r="Q1227" t="s">
        <v>521</v>
      </c>
      <c r="R1227" s="31">
        <v>0.16</v>
      </c>
    </row>
    <row r="1228" spans="1:18" x14ac:dyDescent="0.3">
      <c r="A1228">
        <v>33</v>
      </c>
      <c r="B1228">
        <v>33</v>
      </c>
      <c r="C1228" t="s">
        <v>30</v>
      </c>
      <c r="D1228">
        <v>4.6399999999999997</v>
      </c>
      <c r="E1228">
        <v>25.797000000000001</v>
      </c>
      <c r="F1228" t="s">
        <v>420</v>
      </c>
      <c r="G1228" s="31">
        <v>3.35</v>
      </c>
      <c r="L1228">
        <v>12</v>
      </c>
      <c r="M1228">
        <v>12</v>
      </c>
      <c r="N1228" t="s">
        <v>45</v>
      </c>
      <c r="O1228">
        <v>3.44</v>
      </c>
      <c r="P1228">
        <v>938907.93799999997</v>
      </c>
      <c r="Q1228" t="s">
        <v>522</v>
      </c>
      <c r="R1228" s="31">
        <v>15.44</v>
      </c>
    </row>
    <row r="1229" spans="1:18" x14ac:dyDescent="0.3">
      <c r="A1229">
        <v>34</v>
      </c>
      <c r="B1229">
        <v>34</v>
      </c>
      <c r="C1229" t="s">
        <v>31</v>
      </c>
      <c r="D1229">
        <v>3.38</v>
      </c>
      <c r="E1229">
        <v>35.021000000000001</v>
      </c>
      <c r="F1229" t="s">
        <v>421</v>
      </c>
      <c r="G1229" s="31">
        <v>0.13</v>
      </c>
      <c r="L1229">
        <v>13</v>
      </c>
      <c r="M1229">
        <v>13</v>
      </c>
      <c r="N1229" t="s">
        <v>46</v>
      </c>
      <c r="O1229">
        <v>2.66</v>
      </c>
      <c r="P1229">
        <v>148063.03099999999</v>
      </c>
      <c r="Q1229" t="s">
        <v>523</v>
      </c>
      <c r="R1229" s="31">
        <v>5.75</v>
      </c>
    </row>
    <row r="1230" spans="1:18" x14ac:dyDescent="0.3">
      <c r="A1230">
        <v>35</v>
      </c>
      <c r="B1230">
        <v>35</v>
      </c>
      <c r="C1230" t="s">
        <v>32</v>
      </c>
      <c r="D1230">
        <v>3.07</v>
      </c>
      <c r="E1230">
        <v>42.67</v>
      </c>
      <c r="F1230" t="s">
        <v>422</v>
      </c>
      <c r="G1230" s="31">
        <v>0.1</v>
      </c>
      <c r="L1230">
        <v>14</v>
      </c>
      <c r="M1230">
        <v>14</v>
      </c>
      <c r="N1230" t="s">
        <v>47</v>
      </c>
      <c r="O1230">
        <v>0.68</v>
      </c>
      <c r="P1230">
        <v>42148.074000000001</v>
      </c>
      <c r="Q1230" t="s">
        <v>524</v>
      </c>
      <c r="R1230" s="31">
        <v>17.13</v>
      </c>
    </row>
    <row r="1231" spans="1:18" x14ac:dyDescent="0.3">
      <c r="A1231">
        <v>36</v>
      </c>
      <c r="B1231">
        <v>36</v>
      </c>
      <c r="C1231" t="s">
        <v>33</v>
      </c>
      <c r="D1231">
        <v>1.94</v>
      </c>
      <c r="E1231">
        <v>22.279</v>
      </c>
      <c r="F1231" t="s">
        <v>423</v>
      </c>
      <c r="G1231" s="31">
        <v>0.14000000000000001</v>
      </c>
      <c r="L1231">
        <v>15</v>
      </c>
      <c r="M1231">
        <v>15</v>
      </c>
      <c r="N1231" t="s">
        <v>48</v>
      </c>
      <c r="O1231">
        <v>1.21</v>
      </c>
      <c r="P1231">
        <v>19286.535</v>
      </c>
      <c r="Q1231" t="s">
        <v>525</v>
      </c>
      <c r="R1231" s="31">
        <v>2.23</v>
      </c>
    </row>
    <row r="1232" spans="1:18" x14ac:dyDescent="0.3">
      <c r="L1232">
        <v>16</v>
      </c>
      <c r="M1232">
        <v>16</v>
      </c>
      <c r="N1232" t="s">
        <v>53</v>
      </c>
      <c r="O1232">
        <v>4.55</v>
      </c>
      <c r="P1232">
        <v>95579.937999999995</v>
      </c>
      <c r="Q1232" t="s">
        <v>526</v>
      </c>
      <c r="R1232" s="31">
        <v>1.1200000000000001</v>
      </c>
    </row>
    <row r="1233" spans="1:18" x14ac:dyDescent="0.3">
      <c r="A1233" t="s">
        <v>379</v>
      </c>
      <c r="L1233">
        <v>17</v>
      </c>
      <c r="M1233">
        <v>17</v>
      </c>
      <c r="N1233" t="s">
        <v>54</v>
      </c>
      <c r="O1233">
        <v>5.27</v>
      </c>
      <c r="P1233">
        <v>147.51</v>
      </c>
      <c r="Q1233" t="s">
        <v>527</v>
      </c>
      <c r="R1233" s="31">
        <v>0.1</v>
      </c>
    </row>
    <row r="1234" spans="1:18" x14ac:dyDescent="0.3">
      <c r="L1234">
        <v>18</v>
      </c>
      <c r="M1234">
        <v>18</v>
      </c>
      <c r="N1234" t="s">
        <v>55</v>
      </c>
      <c r="O1234">
        <v>1.31</v>
      </c>
      <c r="P1234">
        <v>3766.5140000000001</v>
      </c>
      <c r="Q1234" t="s">
        <v>528</v>
      </c>
      <c r="R1234" s="31">
        <v>0.12</v>
      </c>
    </row>
    <row r="1235" spans="1:18" x14ac:dyDescent="0.3">
      <c r="A1235" t="s">
        <v>380</v>
      </c>
      <c r="L1235">
        <v>19</v>
      </c>
      <c r="M1235">
        <v>19</v>
      </c>
      <c r="N1235" t="s">
        <v>56</v>
      </c>
      <c r="O1235">
        <v>0.87</v>
      </c>
      <c r="P1235">
        <v>44203.976999999999</v>
      </c>
      <c r="Q1235" t="s">
        <v>529</v>
      </c>
      <c r="R1235" s="31">
        <v>2.0499999999999998</v>
      </c>
    </row>
    <row r="1236" spans="1:18" x14ac:dyDescent="0.3">
      <c r="L1236">
        <v>20</v>
      </c>
      <c r="M1236">
        <v>20</v>
      </c>
      <c r="N1236" t="s">
        <v>57</v>
      </c>
      <c r="O1236">
        <v>1.51</v>
      </c>
      <c r="P1236">
        <v>788.654</v>
      </c>
      <c r="Q1236" t="s">
        <v>530</v>
      </c>
      <c r="R1236" s="31">
        <v>0.24</v>
      </c>
    </row>
    <row r="1237" spans="1:18" x14ac:dyDescent="0.3">
      <c r="A1237" t="s">
        <v>451</v>
      </c>
      <c r="L1237">
        <v>21</v>
      </c>
      <c r="M1237">
        <v>21</v>
      </c>
      <c r="N1237" t="s">
        <v>58</v>
      </c>
      <c r="O1237">
        <v>2.5499999999999998</v>
      </c>
      <c r="P1237">
        <v>67.927999999999997</v>
      </c>
      <c r="Q1237" t="s">
        <v>531</v>
      </c>
      <c r="R1237" s="31">
        <v>0.05</v>
      </c>
    </row>
    <row r="1238" spans="1:18" x14ac:dyDescent="0.3">
      <c r="L1238">
        <v>22</v>
      </c>
      <c r="M1238">
        <v>22</v>
      </c>
      <c r="N1238" t="s">
        <v>59</v>
      </c>
      <c r="O1238">
        <v>2.5</v>
      </c>
      <c r="P1238">
        <v>80553.5</v>
      </c>
      <c r="Q1238" t="s">
        <v>532</v>
      </c>
      <c r="R1238" s="31">
        <v>9.2799999999999994</v>
      </c>
    </row>
    <row r="1239" spans="1:18" x14ac:dyDescent="0.3">
      <c r="B1239" t="s">
        <v>382</v>
      </c>
      <c r="C1239" t="s">
        <v>383</v>
      </c>
      <c r="D1239" t="s">
        <v>384</v>
      </c>
      <c r="E1239" t="s">
        <v>385</v>
      </c>
      <c r="F1239" t="s">
        <v>386</v>
      </c>
      <c r="G1239" s="31" t="s">
        <v>387</v>
      </c>
      <c r="L1239">
        <v>23</v>
      </c>
      <c r="M1239">
        <v>23</v>
      </c>
      <c r="N1239" t="s">
        <v>60</v>
      </c>
      <c r="O1239">
        <v>2.59</v>
      </c>
      <c r="P1239">
        <v>24508.898000000001</v>
      </c>
      <c r="Q1239" t="s">
        <v>533</v>
      </c>
      <c r="R1239" s="31">
        <v>1.35</v>
      </c>
    </row>
    <row r="1240" spans="1:18" x14ac:dyDescent="0.3">
      <c r="A1240">
        <v>1</v>
      </c>
      <c r="B1240">
        <v>1</v>
      </c>
      <c r="C1240" t="s">
        <v>0</v>
      </c>
      <c r="D1240">
        <v>1.02</v>
      </c>
      <c r="E1240">
        <v>4084.085</v>
      </c>
      <c r="F1240" t="s">
        <v>388</v>
      </c>
      <c r="G1240" s="31">
        <v>12.51</v>
      </c>
    </row>
    <row r="1241" spans="1:18" x14ac:dyDescent="0.3">
      <c r="A1241">
        <v>2</v>
      </c>
      <c r="B1241">
        <v>2</v>
      </c>
      <c r="C1241" t="s">
        <v>1</v>
      </c>
      <c r="D1241">
        <v>1.45</v>
      </c>
      <c r="E1241">
        <v>3701.86</v>
      </c>
      <c r="F1241" t="s">
        <v>389</v>
      </c>
      <c r="G1241" s="31">
        <v>2.19</v>
      </c>
      <c r="L1241" t="s">
        <v>379</v>
      </c>
    </row>
    <row r="1242" spans="1:18" x14ac:dyDescent="0.3">
      <c r="A1242">
        <v>3</v>
      </c>
      <c r="B1242">
        <v>3</v>
      </c>
      <c r="C1242" t="s">
        <v>50</v>
      </c>
      <c r="D1242">
        <v>3.56</v>
      </c>
      <c r="E1242">
        <v>527.41700000000003</v>
      </c>
      <c r="F1242" t="s">
        <v>390</v>
      </c>
      <c r="G1242" s="31">
        <v>0.14000000000000001</v>
      </c>
    </row>
    <row r="1243" spans="1:18" x14ac:dyDescent="0.3">
      <c r="A1243">
        <v>4</v>
      </c>
      <c r="B1243">
        <v>4</v>
      </c>
      <c r="C1243" t="s">
        <v>2</v>
      </c>
      <c r="D1243">
        <v>3.68</v>
      </c>
      <c r="E1243">
        <v>50835.027000000002</v>
      </c>
      <c r="F1243" t="s">
        <v>391</v>
      </c>
      <c r="G1243" s="31">
        <v>1.17</v>
      </c>
      <c r="L1243" t="s">
        <v>557</v>
      </c>
    </row>
    <row r="1244" spans="1:18" x14ac:dyDescent="0.3">
      <c r="A1244">
        <v>5</v>
      </c>
      <c r="B1244">
        <v>5</v>
      </c>
      <c r="C1244" t="s">
        <v>3</v>
      </c>
      <c r="D1244">
        <v>4.4800000000000004</v>
      </c>
      <c r="E1244">
        <v>165.108</v>
      </c>
      <c r="F1244" t="s">
        <v>392</v>
      </c>
      <c r="G1244" s="31">
        <v>0.1</v>
      </c>
    </row>
    <row r="1245" spans="1:18" x14ac:dyDescent="0.3">
      <c r="A1245">
        <v>6</v>
      </c>
      <c r="B1245">
        <v>6</v>
      </c>
      <c r="C1245" t="s">
        <v>4</v>
      </c>
      <c r="D1245">
        <v>4.79</v>
      </c>
      <c r="E1245">
        <v>159322.57800000001</v>
      </c>
      <c r="F1245" t="s">
        <v>393</v>
      </c>
      <c r="G1245" s="31">
        <v>2.5499999999999998</v>
      </c>
      <c r="L1245" t="s">
        <v>574</v>
      </c>
    </row>
    <row r="1246" spans="1:18" x14ac:dyDescent="0.3">
      <c r="A1246">
        <v>7</v>
      </c>
      <c r="B1246">
        <v>7</v>
      </c>
      <c r="C1246" t="s">
        <v>5</v>
      </c>
      <c r="D1246">
        <v>2.71</v>
      </c>
      <c r="E1246">
        <v>1168.598</v>
      </c>
      <c r="F1246" t="s">
        <v>394</v>
      </c>
      <c r="G1246" s="31">
        <v>7.0000000000000007E-2</v>
      </c>
    </row>
    <row r="1247" spans="1:18" x14ac:dyDescent="0.3">
      <c r="A1247">
        <v>8</v>
      </c>
      <c r="B1247">
        <v>8</v>
      </c>
      <c r="C1247" t="s">
        <v>6</v>
      </c>
      <c r="D1247">
        <v>0.66</v>
      </c>
      <c r="E1247">
        <v>2744.6680000000001</v>
      </c>
      <c r="F1247" t="s">
        <v>395</v>
      </c>
      <c r="G1247" s="31">
        <v>12.51</v>
      </c>
      <c r="M1247" t="s">
        <v>382</v>
      </c>
      <c r="N1247" t="s">
        <v>383</v>
      </c>
      <c r="O1247" t="s">
        <v>384</v>
      </c>
      <c r="P1247" t="s">
        <v>385</v>
      </c>
      <c r="Q1247" t="s">
        <v>386</v>
      </c>
      <c r="R1247" s="31" t="s">
        <v>387</v>
      </c>
    </row>
    <row r="1248" spans="1:18" x14ac:dyDescent="0.3">
      <c r="A1248">
        <v>9</v>
      </c>
      <c r="B1248">
        <v>9</v>
      </c>
      <c r="C1248" t="s">
        <v>7</v>
      </c>
      <c r="D1248">
        <v>3.56</v>
      </c>
      <c r="E1248">
        <v>1084.6199999999999</v>
      </c>
      <c r="F1248" t="s">
        <v>396</v>
      </c>
      <c r="G1248" s="31">
        <v>1.0900000000000001</v>
      </c>
      <c r="L1248">
        <v>1</v>
      </c>
      <c r="M1248">
        <v>1</v>
      </c>
      <c r="N1248" t="s">
        <v>35</v>
      </c>
      <c r="O1248">
        <v>1.45</v>
      </c>
      <c r="P1248">
        <v>1924.7</v>
      </c>
      <c r="Q1248" t="s">
        <v>511</v>
      </c>
      <c r="R1248" s="31">
        <v>6.62</v>
      </c>
    </row>
    <row r="1249" spans="1:18" x14ac:dyDescent="0.3">
      <c r="A1249">
        <v>10</v>
      </c>
      <c r="B1249">
        <v>10</v>
      </c>
      <c r="C1249" t="s">
        <v>51</v>
      </c>
      <c r="D1249">
        <v>4.6500000000000004</v>
      </c>
      <c r="E1249">
        <v>885.346</v>
      </c>
      <c r="F1249" t="s">
        <v>397</v>
      </c>
      <c r="G1249" s="31">
        <v>7.0000000000000007E-2</v>
      </c>
      <c r="L1249">
        <v>2</v>
      </c>
      <c r="M1249">
        <v>2</v>
      </c>
      <c r="N1249" t="s">
        <v>36</v>
      </c>
      <c r="O1249">
        <v>1.66</v>
      </c>
      <c r="P1249">
        <v>4457125.5</v>
      </c>
      <c r="Q1249" t="s">
        <v>512</v>
      </c>
      <c r="R1249" s="31">
        <v>402.72</v>
      </c>
    </row>
    <row r="1250" spans="1:18" x14ac:dyDescent="0.3">
      <c r="A1250">
        <v>11</v>
      </c>
      <c r="B1250">
        <v>11</v>
      </c>
      <c r="C1250" t="s">
        <v>8</v>
      </c>
      <c r="D1250">
        <v>2.74</v>
      </c>
      <c r="E1250">
        <v>93831.218999999997</v>
      </c>
      <c r="F1250" t="s">
        <v>398</v>
      </c>
      <c r="G1250" s="31">
        <v>1.81</v>
      </c>
      <c r="L1250">
        <v>3</v>
      </c>
      <c r="M1250">
        <v>3</v>
      </c>
      <c r="N1250" t="s">
        <v>37</v>
      </c>
      <c r="O1250">
        <v>1.81</v>
      </c>
      <c r="P1250">
        <v>1860.654</v>
      </c>
      <c r="Q1250" t="s">
        <v>513</v>
      </c>
      <c r="R1250" s="31">
        <v>0.31</v>
      </c>
    </row>
    <row r="1251" spans="1:18" x14ac:dyDescent="0.3">
      <c r="A1251">
        <v>12</v>
      </c>
      <c r="B1251">
        <v>12</v>
      </c>
      <c r="C1251" t="s">
        <v>9</v>
      </c>
      <c r="D1251">
        <v>2.63</v>
      </c>
      <c r="E1251">
        <v>12384.210999999999</v>
      </c>
      <c r="F1251" t="s">
        <v>399</v>
      </c>
      <c r="G1251" s="31">
        <v>1.54</v>
      </c>
      <c r="L1251">
        <v>4</v>
      </c>
      <c r="M1251">
        <v>4</v>
      </c>
      <c r="N1251" t="s">
        <v>38</v>
      </c>
      <c r="O1251">
        <v>1.17</v>
      </c>
      <c r="P1251">
        <v>12839.906000000001</v>
      </c>
      <c r="Q1251" t="s">
        <v>514</v>
      </c>
      <c r="R1251" s="31">
        <v>1.49</v>
      </c>
    </row>
    <row r="1252" spans="1:18" x14ac:dyDescent="0.3">
      <c r="A1252">
        <v>13</v>
      </c>
      <c r="B1252">
        <v>13</v>
      </c>
      <c r="C1252" t="s">
        <v>10</v>
      </c>
      <c r="D1252">
        <v>4.08</v>
      </c>
      <c r="E1252">
        <v>2545950.75</v>
      </c>
      <c r="F1252" t="s">
        <v>400</v>
      </c>
      <c r="G1252" s="31">
        <v>87.94</v>
      </c>
      <c r="L1252">
        <v>5</v>
      </c>
      <c r="M1252">
        <v>5</v>
      </c>
      <c r="N1252" t="s">
        <v>39</v>
      </c>
      <c r="O1252">
        <v>1.38</v>
      </c>
      <c r="P1252">
        <v>245644.95300000001</v>
      </c>
      <c r="Q1252" t="s">
        <v>515</v>
      </c>
      <c r="R1252" s="31">
        <v>35.47</v>
      </c>
    </row>
    <row r="1253" spans="1:18" x14ac:dyDescent="0.3">
      <c r="A1253">
        <v>14</v>
      </c>
      <c r="B1253">
        <v>14</v>
      </c>
      <c r="C1253" t="s">
        <v>11</v>
      </c>
      <c r="D1253">
        <v>3.51</v>
      </c>
      <c r="E1253">
        <v>24.452999999999999</v>
      </c>
      <c r="F1253" t="s">
        <v>401</v>
      </c>
      <c r="G1253" s="31">
        <v>0.84</v>
      </c>
      <c r="L1253">
        <v>6</v>
      </c>
      <c r="M1253">
        <v>6</v>
      </c>
      <c r="N1253" t="s">
        <v>40</v>
      </c>
      <c r="O1253">
        <v>1.52</v>
      </c>
      <c r="P1253">
        <v>18187.77</v>
      </c>
      <c r="Q1253" t="s">
        <v>516</v>
      </c>
      <c r="R1253" s="31">
        <v>1.48</v>
      </c>
    </row>
    <row r="1254" spans="1:18" x14ac:dyDescent="0.3">
      <c r="A1254">
        <v>15</v>
      </c>
      <c r="B1254">
        <v>15</v>
      </c>
      <c r="C1254" t="s">
        <v>12</v>
      </c>
      <c r="D1254">
        <v>3.33</v>
      </c>
      <c r="E1254">
        <v>488.48399999999998</v>
      </c>
      <c r="F1254" t="s">
        <v>402</v>
      </c>
      <c r="G1254" s="31">
        <v>0.82</v>
      </c>
      <c r="L1254">
        <v>7</v>
      </c>
      <c r="M1254">
        <v>7</v>
      </c>
      <c r="N1254" t="s">
        <v>41</v>
      </c>
      <c r="O1254">
        <v>2.29</v>
      </c>
      <c r="P1254">
        <v>2365.9009999999998</v>
      </c>
      <c r="Q1254" t="s">
        <v>517</v>
      </c>
      <c r="R1254" s="31">
        <v>1.79</v>
      </c>
    </row>
    <row r="1255" spans="1:18" x14ac:dyDescent="0.3">
      <c r="A1255">
        <v>16</v>
      </c>
      <c r="B1255">
        <v>16</v>
      </c>
      <c r="C1255" t="s">
        <v>13</v>
      </c>
      <c r="D1255">
        <v>3.23</v>
      </c>
      <c r="E1255">
        <v>12034.608</v>
      </c>
      <c r="F1255" t="s">
        <v>403</v>
      </c>
      <c r="G1255" s="31">
        <v>0.84</v>
      </c>
      <c r="L1255">
        <v>8</v>
      </c>
      <c r="M1255">
        <v>8</v>
      </c>
      <c r="N1255" t="s">
        <v>42</v>
      </c>
      <c r="O1255">
        <v>0.87</v>
      </c>
      <c r="P1255">
        <v>6.1959999999999997</v>
      </c>
      <c r="Q1255" t="s">
        <v>518</v>
      </c>
      <c r="R1255" s="31">
        <v>14.16</v>
      </c>
    </row>
    <row r="1256" spans="1:18" x14ac:dyDescent="0.3">
      <c r="A1256">
        <v>17</v>
      </c>
      <c r="B1256">
        <v>17</v>
      </c>
      <c r="C1256" t="s">
        <v>14</v>
      </c>
      <c r="D1256">
        <v>2.02</v>
      </c>
      <c r="E1256">
        <v>30596.324000000001</v>
      </c>
      <c r="F1256" t="s">
        <v>404</v>
      </c>
      <c r="G1256" s="31">
        <v>1.84</v>
      </c>
      <c r="L1256">
        <v>9</v>
      </c>
      <c r="M1256">
        <v>9</v>
      </c>
      <c r="N1256" t="s">
        <v>43</v>
      </c>
      <c r="O1256">
        <v>2.54</v>
      </c>
      <c r="P1256">
        <v>6847.1369999999997</v>
      </c>
      <c r="Q1256" t="s">
        <v>519</v>
      </c>
      <c r="R1256" s="31">
        <v>0.09</v>
      </c>
    </row>
    <row r="1257" spans="1:18" x14ac:dyDescent="0.3">
      <c r="A1257">
        <v>18</v>
      </c>
      <c r="B1257">
        <v>18</v>
      </c>
      <c r="C1257" t="s">
        <v>15</v>
      </c>
      <c r="D1257">
        <v>2.5</v>
      </c>
      <c r="E1257">
        <v>81467.422000000006</v>
      </c>
      <c r="F1257" t="s">
        <v>405</v>
      </c>
      <c r="G1257" s="31">
        <v>14</v>
      </c>
      <c r="L1257">
        <v>10</v>
      </c>
      <c r="M1257">
        <v>10</v>
      </c>
      <c r="N1257" t="s">
        <v>52</v>
      </c>
      <c r="O1257">
        <v>4.1399999999999997</v>
      </c>
      <c r="P1257">
        <v>4089.7530000000002</v>
      </c>
      <c r="Q1257" t="s">
        <v>520</v>
      </c>
      <c r="R1257" s="31">
        <v>0.1</v>
      </c>
    </row>
    <row r="1258" spans="1:18" x14ac:dyDescent="0.3">
      <c r="A1258">
        <v>19</v>
      </c>
      <c r="B1258">
        <v>19</v>
      </c>
      <c r="C1258" t="s">
        <v>16</v>
      </c>
      <c r="D1258">
        <v>2.71</v>
      </c>
      <c r="E1258">
        <v>9464.2049999999999</v>
      </c>
      <c r="F1258" t="s">
        <v>406</v>
      </c>
      <c r="G1258" s="31">
        <v>0.21</v>
      </c>
      <c r="L1258">
        <v>11</v>
      </c>
      <c r="M1258">
        <v>11</v>
      </c>
      <c r="N1258" t="s">
        <v>44</v>
      </c>
      <c r="O1258">
        <v>4.1900000000000004</v>
      </c>
      <c r="P1258">
        <v>565.23900000000003</v>
      </c>
      <c r="Q1258" t="s">
        <v>521</v>
      </c>
      <c r="R1258" s="31">
        <v>0.13</v>
      </c>
    </row>
    <row r="1259" spans="1:18" x14ac:dyDescent="0.3">
      <c r="A1259">
        <v>20</v>
      </c>
      <c r="B1259">
        <v>20</v>
      </c>
      <c r="C1259" t="s">
        <v>17</v>
      </c>
      <c r="D1259">
        <v>3.13</v>
      </c>
      <c r="E1259">
        <v>22507.478999999999</v>
      </c>
      <c r="F1259" t="s">
        <v>407</v>
      </c>
      <c r="G1259" s="31">
        <v>1.66</v>
      </c>
      <c r="L1259">
        <v>12</v>
      </c>
      <c r="M1259">
        <v>12</v>
      </c>
      <c r="N1259" t="s">
        <v>45</v>
      </c>
      <c r="O1259">
        <v>3.45</v>
      </c>
      <c r="P1259">
        <v>1053998.75</v>
      </c>
      <c r="Q1259" t="s">
        <v>522</v>
      </c>
      <c r="R1259" s="31">
        <v>17.329999999999998</v>
      </c>
    </row>
    <row r="1260" spans="1:18" x14ac:dyDescent="0.3">
      <c r="A1260">
        <v>21</v>
      </c>
      <c r="B1260">
        <v>21</v>
      </c>
      <c r="C1260" t="s">
        <v>18</v>
      </c>
      <c r="D1260">
        <v>3.68</v>
      </c>
      <c r="E1260">
        <v>43973.633000000002</v>
      </c>
      <c r="F1260" t="s">
        <v>408</v>
      </c>
      <c r="G1260" s="31">
        <v>0.76</v>
      </c>
      <c r="L1260">
        <v>13</v>
      </c>
      <c r="M1260">
        <v>13</v>
      </c>
      <c r="N1260" t="s">
        <v>46</v>
      </c>
      <c r="O1260">
        <v>2.59</v>
      </c>
      <c r="P1260">
        <v>311209.25</v>
      </c>
      <c r="Q1260" t="s">
        <v>523</v>
      </c>
      <c r="R1260" s="31">
        <v>12.56</v>
      </c>
    </row>
    <row r="1261" spans="1:18" x14ac:dyDescent="0.3">
      <c r="A1261">
        <v>22</v>
      </c>
      <c r="B1261">
        <v>22</v>
      </c>
      <c r="C1261" t="s">
        <v>19</v>
      </c>
      <c r="D1261">
        <v>2.64</v>
      </c>
      <c r="E1261">
        <v>92858.827999999994</v>
      </c>
      <c r="F1261" t="s">
        <v>409</v>
      </c>
      <c r="G1261" s="31">
        <v>3.46</v>
      </c>
      <c r="L1261">
        <v>14</v>
      </c>
      <c r="M1261">
        <v>14</v>
      </c>
      <c r="N1261" t="s">
        <v>47</v>
      </c>
      <c r="O1261">
        <v>0.68</v>
      </c>
      <c r="P1261">
        <v>41442.266000000003</v>
      </c>
      <c r="Q1261" t="s">
        <v>524</v>
      </c>
      <c r="R1261" s="31">
        <v>16.170000000000002</v>
      </c>
    </row>
    <row r="1262" spans="1:18" x14ac:dyDescent="0.3">
      <c r="A1262">
        <v>23</v>
      </c>
      <c r="B1262">
        <v>23</v>
      </c>
      <c r="C1262" t="s">
        <v>20</v>
      </c>
      <c r="D1262">
        <v>2.89</v>
      </c>
      <c r="E1262">
        <v>20864.886999999999</v>
      </c>
      <c r="F1262" t="s">
        <v>410</v>
      </c>
      <c r="G1262" s="31">
        <v>0.5</v>
      </c>
      <c r="L1262">
        <v>15</v>
      </c>
      <c r="M1262">
        <v>15</v>
      </c>
      <c r="N1262" t="s">
        <v>48</v>
      </c>
      <c r="O1262">
        <v>1.21</v>
      </c>
      <c r="P1262">
        <v>46158.961000000003</v>
      </c>
      <c r="Q1262" t="s">
        <v>525</v>
      </c>
      <c r="R1262" s="31">
        <v>5.47</v>
      </c>
    </row>
    <row r="1263" spans="1:18" x14ac:dyDescent="0.3">
      <c r="A1263">
        <v>24</v>
      </c>
      <c r="B1263">
        <v>24</v>
      </c>
      <c r="C1263" t="s">
        <v>21</v>
      </c>
      <c r="D1263">
        <v>4.18</v>
      </c>
      <c r="E1263">
        <v>57.238</v>
      </c>
      <c r="F1263" t="s">
        <v>411</v>
      </c>
      <c r="G1263" s="31">
        <v>0.1</v>
      </c>
      <c r="L1263">
        <v>16</v>
      </c>
      <c r="M1263">
        <v>16</v>
      </c>
      <c r="N1263" t="s">
        <v>53</v>
      </c>
      <c r="O1263">
        <v>4.5599999999999996</v>
      </c>
      <c r="P1263">
        <v>34913.805</v>
      </c>
      <c r="Q1263" t="s">
        <v>526</v>
      </c>
      <c r="R1263" s="31">
        <v>0.37</v>
      </c>
    </row>
    <row r="1264" spans="1:18" x14ac:dyDescent="0.3">
      <c r="A1264">
        <v>25</v>
      </c>
      <c r="B1264">
        <v>25</v>
      </c>
      <c r="C1264" t="s">
        <v>22</v>
      </c>
      <c r="D1264">
        <v>3.48</v>
      </c>
      <c r="E1264">
        <v>250.21799999999999</v>
      </c>
      <c r="F1264" t="s">
        <v>412</v>
      </c>
      <c r="G1264" s="31">
        <v>1.56</v>
      </c>
      <c r="L1264">
        <v>17</v>
      </c>
      <c r="M1264">
        <v>17</v>
      </c>
      <c r="N1264" t="s">
        <v>54</v>
      </c>
      <c r="O1264">
        <v>5.23</v>
      </c>
      <c r="P1264">
        <v>14.568</v>
      </c>
      <c r="Q1264" t="s">
        <v>527</v>
      </c>
      <c r="R1264" s="31">
        <v>0.1</v>
      </c>
    </row>
    <row r="1265" spans="1:18" x14ac:dyDescent="0.3">
      <c r="A1265">
        <v>26</v>
      </c>
      <c r="B1265">
        <v>26</v>
      </c>
      <c r="C1265" t="s">
        <v>23</v>
      </c>
      <c r="D1265">
        <v>3.35</v>
      </c>
      <c r="E1265">
        <v>39075.379000000001</v>
      </c>
      <c r="F1265" t="s">
        <v>413</v>
      </c>
      <c r="G1265" s="31">
        <v>1.45</v>
      </c>
      <c r="L1265">
        <v>18</v>
      </c>
      <c r="M1265">
        <v>18</v>
      </c>
      <c r="N1265" t="s">
        <v>55</v>
      </c>
      <c r="O1265">
        <v>1.32</v>
      </c>
      <c r="P1265">
        <v>3401.0430000000001</v>
      </c>
      <c r="Q1265" t="s">
        <v>528</v>
      </c>
      <c r="R1265" s="31">
        <v>0.1</v>
      </c>
    </row>
    <row r="1266" spans="1:18" x14ac:dyDescent="0.3">
      <c r="A1266">
        <v>27</v>
      </c>
      <c r="B1266">
        <v>27</v>
      </c>
      <c r="C1266" t="s">
        <v>24</v>
      </c>
      <c r="D1266">
        <v>3.44</v>
      </c>
      <c r="E1266">
        <v>5051.6170000000002</v>
      </c>
      <c r="F1266" t="s">
        <v>414</v>
      </c>
      <c r="G1266" s="31">
        <v>1.5</v>
      </c>
      <c r="L1266">
        <v>19</v>
      </c>
      <c r="M1266">
        <v>19</v>
      </c>
      <c r="N1266" t="s">
        <v>56</v>
      </c>
      <c r="O1266">
        <v>0.87</v>
      </c>
      <c r="P1266">
        <v>24958.984</v>
      </c>
      <c r="Q1266" t="s">
        <v>529</v>
      </c>
      <c r="R1266" s="31">
        <v>0.91</v>
      </c>
    </row>
    <row r="1267" spans="1:18" x14ac:dyDescent="0.3">
      <c r="A1267">
        <v>28</v>
      </c>
      <c r="B1267">
        <v>28</v>
      </c>
      <c r="C1267" t="s">
        <v>25</v>
      </c>
      <c r="D1267">
        <v>3.52</v>
      </c>
      <c r="E1267">
        <v>12563.047</v>
      </c>
      <c r="F1267" t="s">
        <v>415</v>
      </c>
      <c r="G1267" s="31">
        <v>0.75</v>
      </c>
      <c r="L1267">
        <v>20</v>
      </c>
      <c r="M1267">
        <v>20</v>
      </c>
      <c r="N1267" t="s">
        <v>57</v>
      </c>
      <c r="O1267">
        <v>1.51</v>
      </c>
      <c r="P1267">
        <v>748.154</v>
      </c>
      <c r="Q1267" t="s">
        <v>530</v>
      </c>
      <c r="R1267" s="31">
        <v>0.22</v>
      </c>
    </row>
    <row r="1268" spans="1:18" x14ac:dyDescent="0.3">
      <c r="A1268">
        <v>29</v>
      </c>
      <c r="B1268">
        <v>29</v>
      </c>
      <c r="C1268" t="s">
        <v>26</v>
      </c>
      <c r="D1268">
        <v>1.04</v>
      </c>
      <c r="E1268">
        <v>767.38300000000004</v>
      </c>
      <c r="F1268" t="s">
        <v>416</v>
      </c>
      <c r="G1268" s="31">
        <v>0.4</v>
      </c>
      <c r="L1268">
        <v>21</v>
      </c>
      <c r="M1268">
        <v>21</v>
      </c>
      <c r="N1268" t="s">
        <v>58</v>
      </c>
      <c r="O1268">
        <v>2.33</v>
      </c>
      <c r="P1268">
        <v>551.29499999999996</v>
      </c>
      <c r="Q1268" t="s">
        <v>531</v>
      </c>
      <c r="R1268" s="31">
        <v>0.26</v>
      </c>
    </row>
    <row r="1269" spans="1:18" x14ac:dyDescent="0.3">
      <c r="A1269">
        <v>30</v>
      </c>
      <c r="B1269">
        <v>30</v>
      </c>
      <c r="C1269" t="s">
        <v>27</v>
      </c>
      <c r="D1269">
        <v>4.2699999999999996</v>
      </c>
      <c r="E1269">
        <v>8141.7269999999999</v>
      </c>
      <c r="F1269" t="s">
        <v>417</v>
      </c>
      <c r="G1269" s="31">
        <v>0.23</v>
      </c>
      <c r="L1269">
        <v>22</v>
      </c>
      <c r="M1269">
        <v>22</v>
      </c>
      <c r="N1269" t="s">
        <v>59</v>
      </c>
      <c r="O1269">
        <v>2.5</v>
      </c>
      <c r="P1269">
        <v>63229.362999999998</v>
      </c>
      <c r="Q1269" t="s">
        <v>532</v>
      </c>
      <c r="R1269" s="31">
        <v>6.97</v>
      </c>
    </row>
    <row r="1270" spans="1:18" x14ac:dyDescent="0.3">
      <c r="A1270">
        <v>31</v>
      </c>
      <c r="B1270">
        <v>31</v>
      </c>
      <c r="C1270" t="s">
        <v>28</v>
      </c>
      <c r="D1270">
        <v>3</v>
      </c>
      <c r="E1270">
        <v>291614.375</v>
      </c>
      <c r="F1270" t="s">
        <v>418</v>
      </c>
      <c r="G1270" s="31">
        <v>0.68</v>
      </c>
      <c r="L1270">
        <v>23</v>
      </c>
      <c r="M1270">
        <v>23</v>
      </c>
      <c r="N1270" t="s">
        <v>60</v>
      </c>
      <c r="O1270">
        <v>2.58</v>
      </c>
      <c r="P1270">
        <v>30320.063999999998</v>
      </c>
      <c r="Q1270" t="s">
        <v>533</v>
      </c>
      <c r="R1270" s="31">
        <v>1.56</v>
      </c>
    </row>
    <row r="1271" spans="1:18" x14ac:dyDescent="0.3">
      <c r="A1271">
        <v>32</v>
      </c>
      <c r="B1271">
        <v>32</v>
      </c>
      <c r="C1271" t="s">
        <v>29</v>
      </c>
      <c r="D1271">
        <v>3.35</v>
      </c>
      <c r="E1271">
        <v>2225.817</v>
      </c>
      <c r="F1271" t="s">
        <v>419</v>
      </c>
      <c r="G1271" s="31">
        <v>0.11</v>
      </c>
    </row>
    <row r="1272" spans="1:18" x14ac:dyDescent="0.3">
      <c r="A1272">
        <v>33</v>
      </c>
      <c r="B1272">
        <v>33</v>
      </c>
      <c r="C1272" t="s">
        <v>30</v>
      </c>
      <c r="D1272">
        <v>4.67</v>
      </c>
      <c r="E1272">
        <v>51595.574000000001</v>
      </c>
      <c r="F1272" t="s">
        <v>420</v>
      </c>
      <c r="G1272" s="31">
        <v>0.49</v>
      </c>
      <c r="L1272" t="s">
        <v>379</v>
      </c>
    </row>
    <row r="1273" spans="1:18" x14ac:dyDescent="0.3">
      <c r="A1273">
        <v>34</v>
      </c>
      <c r="B1273">
        <v>34</v>
      </c>
      <c r="C1273" t="s">
        <v>31</v>
      </c>
      <c r="D1273">
        <v>3.25</v>
      </c>
      <c r="E1273">
        <v>8132.4769999999999</v>
      </c>
      <c r="F1273" t="s">
        <v>421</v>
      </c>
      <c r="G1273" s="31">
        <v>0.26</v>
      </c>
    </row>
    <row r="1274" spans="1:18" x14ac:dyDescent="0.3">
      <c r="A1274">
        <v>35</v>
      </c>
      <c r="B1274">
        <v>35</v>
      </c>
      <c r="C1274" t="s">
        <v>32</v>
      </c>
      <c r="D1274">
        <v>3.12</v>
      </c>
      <c r="E1274">
        <v>223.804</v>
      </c>
      <c r="F1274" t="s">
        <v>422</v>
      </c>
      <c r="G1274" s="31">
        <v>0.11</v>
      </c>
      <c r="L1274" t="s">
        <v>557</v>
      </c>
    </row>
    <row r="1275" spans="1:18" x14ac:dyDescent="0.3">
      <c r="A1275">
        <v>36</v>
      </c>
      <c r="B1275">
        <v>36</v>
      </c>
      <c r="C1275" t="s">
        <v>33</v>
      </c>
      <c r="D1275">
        <v>1.89</v>
      </c>
      <c r="E1275">
        <v>2811.3009999999999</v>
      </c>
      <c r="F1275" t="s">
        <v>423</v>
      </c>
      <c r="G1275" s="31">
        <v>0.72</v>
      </c>
    </row>
    <row r="1276" spans="1:18" x14ac:dyDescent="0.3">
      <c r="G1276" s="31">
        <f>G1253/G1255</f>
        <v>1</v>
      </c>
      <c r="L1276" t="s">
        <v>575</v>
      </c>
    </row>
    <row r="1277" spans="1:18" x14ac:dyDescent="0.3">
      <c r="A1277" t="s">
        <v>379</v>
      </c>
    </row>
    <row r="1278" spans="1:18" x14ac:dyDescent="0.3">
      <c r="M1278" t="s">
        <v>382</v>
      </c>
      <c r="N1278" t="s">
        <v>383</v>
      </c>
      <c r="O1278" t="s">
        <v>384</v>
      </c>
      <c r="P1278" t="s">
        <v>385</v>
      </c>
      <c r="Q1278" t="s">
        <v>386</v>
      </c>
      <c r="R1278" s="31" t="s">
        <v>387</v>
      </c>
    </row>
    <row r="1279" spans="1:18" x14ac:dyDescent="0.3">
      <c r="A1279" t="s">
        <v>380</v>
      </c>
      <c r="L1279">
        <v>1</v>
      </c>
      <c r="M1279">
        <v>1</v>
      </c>
      <c r="N1279" t="s">
        <v>35</v>
      </c>
      <c r="O1279">
        <v>1.46</v>
      </c>
      <c r="P1279">
        <v>642.13199999999995</v>
      </c>
      <c r="Q1279" t="s">
        <v>511</v>
      </c>
      <c r="R1279" s="31">
        <v>13.15</v>
      </c>
    </row>
    <row r="1280" spans="1:18" x14ac:dyDescent="0.3">
      <c r="L1280">
        <v>2</v>
      </c>
      <c r="M1280">
        <v>2</v>
      </c>
      <c r="N1280" t="s">
        <v>36</v>
      </c>
      <c r="O1280">
        <v>1.7</v>
      </c>
      <c r="P1280">
        <v>45024.226999999999</v>
      </c>
      <c r="Q1280" t="s">
        <v>512</v>
      </c>
      <c r="R1280" s="31">
        <v>75.47</v>
      </c>
    </row>
    <row r="1281" spans="1:18" x14ac:dyDescent="0.3">
      <c r="A1281" t="s">
        <v>452</v>
      </c>
      <c r="L1281">
        <v>3</v>
      </c>
      <c r="M1281">
        <v>3</v>
      </c>
      <c r="N1281" t="s">
        <v>37</v>
      </c>
      <c r="O1281">
        <v>1.83</v>
      </c>
      <c r="P1281">
        <v>227.517</v>
      </c>
      <c r="Q1281" t="s">
        <v>513</v>
      </c>
      <c r="R1281" s="31">
        <v>0.17</v>
      </c>
    </row>
    <row r="1282" spans="1:18" x14ac:dyDescent="0.3">
      <c r="L1282">
        <v>4</v>
      </c>
      <c r="M1282">
        <v>4</v>
      </c>
      <c r="N1282" t="s">
        <v>38</v>
      </c>
      <c r="O1282">
        <v>1.18</v>
      </c>
      <c r="P1282">
        <v>501.87400000000002</v>
      </c>
      <c r="Q1282" t="s">
        <v>514</v>
      </c>
      <c r="R1282" s="31">
        <v>0.21</v>
      </c>
    </row>
    <row r="1283" spans="1:18" x14ac:dyDescent="0.3">
      <c r="B1283" t="s">
        <v>382</v>
      </c>
      <c r="C1283" t="s">
        <v>383</v>
      </c>
      <c r="D1283" t="s">
        <v>384</v>
      </c>
      <c r="E1283" t="s">
        <v>385</v>
      </c>
      <c r="F1283" t="s">
        <v>386</v>
      </c>
      <c r="G1283" s="31" t="s">
        <v>387</v>
      </c>
      <c r="L1283">
        <v>5</v>
      </c>
      <c r="M1283">
        <v>5</v>
      </c>
      <c r="N1283" t="s">
        <v>39</v>
      </c>
      <c r="O1283">
        <v>1.38</v>
      </c>
      <c r="P1283">
        <v>43089.398000000001</v>
      </c>
      <c r="Q1283" t="s">
        <v>515</v>
      </c>
      <c r="R1283" s="31">
        <v>18.64</v>
      </c>
    </row>
    <row r="1284" spans="1:18" x14ac:dyDescent="0.3">
      <c r="A1284">
        <v>1</v>
      </c>
      <c r="B1284">
        <v>1</v>
      </c>
      <c r="C1284" t="s">
        <v>0</v>
      </c>
      <c r="D1284">
        <v>1.01</v>
      </c>
      <c r="E1284">
        <v>3102.5309999999999</v>
      </c>
      <c r="F1284" t="s">
        <v>388</v>
      </c>
      <c r="G1284" s="31">
        <v>29.74</v>
      </c>
      <c r="L1284">
        <v>6</v>
      </c>
      <c r="M1284">
        <v>6</v>
      </c>
      <c r="N1284" t="s">
        <v>40</v>
      </c>
      <c r="O1284">
        <v>1.53</v>
      </c>
      <c r="P1284">
        <v>7886.8450000000003</v>
      </c>
      <c r="Q1284" t="s">
        <v>516</v>
      </c>
      <c r="R1284" s="31">
        <v>1.33</v>
      </c>
    </row>
    <row r="1285" spans="1:18" x14ac:dyDescent="0.3">
      <c r="A1285">
        <v>2</v>
      </c>
      <c r="B1285">
        <v>2</v>
      </c>
      <c r="C1285" t="s">
        <v>1</v>
      </c>
      <c r="D1285">
        <v>1.45</v>
      </c>
      <c r="E1285">
        <v>2638.7779999999998</v>
      </c>
      <c r="F1285" t="s">
        <v>389</v>
      </c>
      <c r="G1285" s="31">
        <v>5.1100000000000003</v>
      </c>
      <c r="L1285">
        <v>7</v>
      </c>
      <c r="M1285">
        <v>7</v>
      </c>
      <c r="N1285" t="s">
        <v>41</v>
      </c>
      <c r="O1285">
        <v>2.31</v>
      </c>
      <c r="P1285">
        <v>533.23400000000004</v>
      </c>
      <c r="Q1285" t="s">
        <v>517</v>
      </c>
      <c r="R1285" s="31">
        <v>1</v>
      </c>
    </row>
    <row r="1286" spans="1:18" x14ac:dyDescent="0.3">
      <c r="A1286">
        <v>3</v>
      </c>
      <c r="B1286">
        <v>3</v>
      </c>
      <c r="C1286" t="s">
        <v>50</v>
      </c>
      <c r="D1286">
        <v>3.56</v>
      </c>
      <c r="E1286">
        <v>260.2</v>
      </c>
      <c r="F1286" t="s">
        <v>390</v>
      </c>
      <c r="G1286" s="31">
        <v>0.23</v>
      </c>
      <c r="L1286">
        <v>8</v>
      </c>
      <c r="M1286">
        <v>8</v>
      </c>
      <c r="N1286" t="s">
        <v>42</v>
      </c>
      <c r="O1286">
        <v>0.88</v>
      </c>
      <c r="P1286">
        <v>3075.922</v>
      </c>
      <c r="Q1286" t="s">
        <v>518</v>
      </c>
      <c r="R1286" s="31">
        <v>33.82</v>
      </c>
    </row>
    <row r="1287" spans="1:18" x14ac:dyDescent="0.3">
      <c r="A1287">
        <v>4</v>
      </c>
      <c r="B1287">
        <v>4</v>
      </c>
      <c r="C1287" t="s">
        <v>2</v>
      </c>
      <c r="D1287">
        <v>3.69</v>
      </c>
      <c r="E1287">
        <v>15166.063</v>
      </c>
      <c r="F1287" t="s">
        <v>391</v>
      </c>
      <c r="G1287" s="31">
        <v>1.18</v>
      </c>
      <c r="L1287">
        <v>9</v>
      </c>
      <c r="M1287">
        <v>9</v>
      </c>
      <c r="N1287" t="s">
        <v>43</v>
      </c>
      <c r="O1287">
        <v>2.5499999999999998</v>
      </c>
      <c r="P1287">
        <v>5201.0420000000004</v>
      </c>
      <c r="Q1287" t="s">
        <v>519</v>
      </c>
      <c r="R1287" s="31">
        <v>0.13</v>
      </c>
    </row>
    <row r="1288" spans="1:18" x14ac:dyDescent="0.3">
      <c r="A1288">
        <v>5</v>
      </c>
      <c r="B1288">
        <v>5</v>
      </c>
      <c r="C1288" t="s">
        <v>3</v>
      </c>
      <c r="D1288">
        <v>4.46</v>
      </c>
      <c r="E1288">
        <v>74.358999999999995</v>
      </c>
      <c r="F1288" t="s">
        <v>392</v>
      </c>
      <c r="G1288" s="31">
        <v>0.1</v>
      </c>
      <c r="L1288">
        <v>10</v>
      </c>
      <c r="M1288">
        <v>10</v>
      </c>
      <c r="N1288" t="s">
        <v>52</v>
      </c>
      <c r="O1288">
        <v>4.1500000000000004</v>
      </c>
      <c r="P1288">
        <v>5426.6869999999999</v>
      </c>
      <c r="Q1288" t="s">
        <v>520</v>
      </c>
      <c r="R1288" s="31">
        <v>0.12</v>
      </c>
    </row>
    <row r="1289" spans="1:18" x14ac:dyDescent="0.3">
      <c r="A1289">
        <v>6</v>
      </c>
      <c r="B1289">
        <v>6</v>
      </c>
      <c r="C1289" t="s">
        <v>4</v>
      </c>
      <c r="D1289">
        <v>4.8</v>
      </c>
      <c r="E1289">
        <v>30905.888999999999</v>
      </c>
      <c r="F1289" t="s">
        <v>393</v>
      </c>
      <c r="G1289" s="31">
        <v>1.85</v>
      </c>
      <c r="L1289">
        <v>11</v>
      </c>
      <c r="M1289">
        <v>11</v>
      </c>
      <c r="N1289" t="s">
        <v>44</v>
      </c>
      <c r="O1289">
        <v>4.2699999999999996</v>
      </c>
      <c r="P1289">
        <v>605.05200000000002</v>
      </c>
      <c r="Q1289" t="s">
        <v>521</v>
      </c>
      <c r="R1289" s="31">
        <v>0.27</v>
      </c>
    </row>
    <row r="1290" spans="1:18" x14ac:dyDescent="0.3">
      <c r="A1290">
        <v>7</v>
      </c>
      <c r="B1290">
        <v>7</v>
      </c>
      <c r="C1290" t="s">
        <v>5</v>
      </c>
      <c r="D1290">
        <v>2.7</v>
      </c>
      <c r="E1290">
        <v>351.983</v>
      </c>
      <c r="F1290" t="s">
        <v>394</v>
      </c>
      <c r="G1290" s="31">
        <v>0.08</v>
      </c>
      <c r="L1290">
        <v>12</v>
      </c>
      <c r="M1290">
        <v>12</v>
      </c>
      <c r="N1290" t="s">
        <v>45</v>
      </c>
      <c r="O1290">
        <v>3.46</v>
      </c>
      <c r="P1290">
        <v>135977.82800000001</v>
      </c>
      <c r="Q1290" t="s">
        <v>522</v>
      </c>
      <c r="R1290" s="31">
        <v>0.1</v>
      </c>
    </row>
    <row r="1291" spans="1:18" x14ac:dyDescent="0.3">
      <c r="A1291">
        <v>8</v>
      </c>
      <c r="B1291">
        <v>8</v>
      </c>
      <c r="C1291" t="s">
        <v>6</v>
      </c>
      <c r="D1291">
        <v>0.67</v>
      </c>
      <c r="E1291">
        <v>2797.51</v>
      </c>
      <c r="F1291" t="s">
        <v>395</v>
      </c>
      <c r="G1291" s="31">
        <v>40.049999999999997</v>
      </c>
      <c r="L1291">
        <v>13</v>
      </c>
      <c r="M1291">
        <v>13</v>
      </c>
      <c r="N1291" t="s">
        <v>46</v>
      </c>
      <c r="O1291">
        <v>2.67</v>
      </c>
      <c r="P1291">
        <v>134805.266</v>
      </c>
      <c r="Q1291" t="s">
        <v>523</v>
      </c>
      <c r="R1291" s="31">
        <v>10.06</v>
      </c>
    </row>
    <row r="1292" spans="1:18" x14ac:dyDescent="0.3">
      <c r="A1292">
        <v>9</v>
      </c>
      <c r="B1292">
        <v>9</v>
      </c>
      <c r="C1292" t="s">
        <v>7</v>
      </c>
      <c r="D1292">
        <v>3.56</v>
      </c>
      <c r="E1292">
        <v>543.39499999999998</v>
      </c>
      <c r="F1292" t="s">
        <v>396</v>
      </c>
      <c r="G1292" s="31">
        <v>1.79</v>
      </c>
      <c r="L1292">
        <v>14</v>
      </c>
      <c r="M1292">
        <v>14</v>
      </c>
      <c r="N1292" t="s">
        <v>47</v>
      </c>
      <c r="O1292">
        <v>0.68</v>
      </c>
      <c r="P1292">
        <v>11695.206</v>
      </c>
      <c r="Q1292" t="s">
        <v>524</v>
      </c>
      <c r="R1292" s="31">
        <v>7.22</v>
      </c>
    </row>
    <row r="1293" spans="1:18" x14ac:dyDescent="0.3">
      <c r="A1293">
        <v>10</v>
      </c>
      <c r="B1293">
        <v>10</v>
      </c>
      <c r="C1293" t="s">
        <v>51</v>
      </c>
      <c r="D1293">
        <v>4.6500000000000004</v>
      </c>
      <c r="E1293">
        <v>980.90899999999999</v>
      </c>
      <c r="F1293" t="s">
        <v>397</v>
      </c>
      <c r="G1293" s="31">
        <v>0.24</v>
      </c>
      <c r="L1293">
        <v>15</v>
      </c>
      <c r="M1293">
        <v>15</v>
      </c>
      <c r="N1293" t="s">
        <v>48</v>
      </c>
      <c r="O1293">
        <v>1.21</v>
      </c>
      <c r="P1293">
        <v>3045.0439999999999</v>
      </c>
      <c r="Q1293" t="s">
        <v>525</v>
      </c>
      <c r="R1293" s="31">
        <v>0.25</v>
      </c>
    </row>
    <row r="1294" spans="1:18" x14ac:dyDescent="0.3">
      <c r="A1294">
        <v>11</v>
      </c>
      <c r="B1294">
        <v>11</v>
      </c>
      <c r="C1294" t="s">
        <v>8</v>
      </c>
      <c r="D1294">
        <v>2.74</v>
      </c>
      <c r="E1294">
        <v>29242.648000000001</v>
      </c>
      <c r="F1294" t="s">
        <v>398</v>
      </c>
      <c r="G1294" s="31">
        <v>1.95</v>
      </c>
      <c r="L1294">
        <v>16</v>
      </c>
      <c r="M1294">
        <v>16</v>
      </c>
      <c r="N1294" t="s">
        <v>53</v>
      </c>
      <c r="O1294">
        <v>4.57</v>
      </c>
      <c r="P1294">
        <v>7612.86</v>
      </c>
      <c r="Q1294" t="s">
        <v>526</v>
      </c>
      <c r="R1294" s="31">
        <v>0.11</v>
      </c>
    </row>
    <row r="1295" spans="1:18" x14ac:dyDescent="0.3">
      <c r="A1295">
        <v>12</v>
      </c>
      <c r="B1295">
        <v>12</v>
      </c>
      <c r="C1295" t="s">
        <v>9</v>
      </c>
      <c r="D1295">
        <v>2.62</v>
      </c>
      <c r="E1295">
        <v>2356.0929999999998</v>
      </c>
      <c r="F1295" t="s">
        <v>399</v>
      </c>
      <c r="G1295" s="31">
        <v>1.26</v>
      </c>
      <c r="L1295">
        <v>17</v>
      </c>
      <c r="M1295">
        <v>17</v>
      </c>
      <c r="N1295" t="s">
        <v>54</v>
      </c>
      <c r="O1295">
        <v>5.24</v>
      </c>
      <c r="P1295">
        <v>279.52800000000002</v>
      </c>
      <c r="Q1295" t="s">
        <v>527</v>
      </c>
      <c r="R1295" s="31">
        <v>0.1</v>
      </c>
    </row>
    <row r="1296" spans="1:18" x14ac:dyDescent="0.3">
      <c r="A1296">
        <v>13</v>
      </c>
      <c r="B1296">
        <v>13</v>
      </c>
      <c r="C1296" t="s">
        <v>10</v>
      </c>
      <c r="D1296">
        <v>4.09</v>
      </c>
      <c r="E1296">
        <v>1210338</v>
      </c>
      <c r="F1296" t="s">
        <v>400</v>
      </c>
      <c r="G1296" s="31">
        <v>123.47</v>
      </c>
      <c r="L1296">
        <v>18</v>
      </c>
      <c r="M1296">
        <v>18</v>
      </c>
      <c r="N1296" t="s">
        <v>55</v>
      </c>
      <c r="O1296">
        <v>1.32</v>
      </c>
      <c r="P1296">
        <v>255.29</v>
      </c>
      <c r="Q1296" t="s">
        <v>528</v>
      </c>
      <c r="R1296" s="31">
        <v>0.11</v>
      </c>
    </row>
    <row r="1297" spans="1:18" x14ac:dyDescent="0.3">
      <c r="A1297">
        <v>14</v>
      </c>
      <c r="B1297">
        <v>14</v>
      </c>
      <c r="C1297" t="s">
        <v>11</v>
      </c>
      <c r="D1297">
        <v>3.53</v>
      </c>
      <c r="E1297">
        <v>40.317999999999998</v>
      </c>
      <c r="F1297" t="s">
        <v>401</v>
      </c>
      <c r="G1297" s="31">
        <v>3.5</v>
      </c>
      <c r="L1297">
        <v>19</v>
      </c>
      <c r="M1297">
        <v>19</v>
      </c>
      <c r="N1297" t="s">
        <v>56</v>
      </c>
      <c r="O1297">
        <v>0.87</v>
      </c>
      <c r="P1297">
        <v>3679.212</v>
      </c>
      <c r="Q1297" t="s">
        <v>529</v>
      </c>
      <c r="R1297" s="31">
        <v>0.1</v>
      </c>
    </row>
    <row r="1298" spans="1:18" x14ac:dyDescent="0.3">
      <c r="A1298">
        <v>15</v>
      </c>
      <c r="B1298">
        <v>15</v>
      </c>
      <c r="C1298" t="s">
        <v>12</v>
      </c>
      <c r="D1298">
        <v>3.33</v>
      </c>
      <c r="E1298">
        <v>43.844999999999999</v>
      </c>
      <c r="F1298" t="s">
        <v>402</v>
      </c>
      <c r="G1298" s="31">
        <v>0.25</v>
      </c>
      <c r="L1298">
        <v>20</v>
      </c>
      <c r="M1298">
        <v>20</v>
      </c>
      <c r="N1298" t="s">
        <v>57</v>
      </c>
      <c r="O1298">
        <v>1.51</v>
      </c>
      <c r="P1298">
        <v>115.747</v>
      </c>
      <c r="Q1298" t="s">
        <v>530</v>
      </c>
      <c r="R1298" s="31">
        <v>0.06</v>
      </c>
    </row>
    <row r="1299" spans="1:18" x14ac:dyDescent="0.3">
      <c r="A1299">
        <v>16</v>
      </c>
      <c r="B1299">
        <v>16</v>
      </c>
      <c r="C1299" t="s">
        <v>13</v>
      </c>
      <c r="D1299">
        <v>3.23</v>
      </c>
      <c r="E1299">
        <v>3700.884</v>
      </c>
      <c r="F1299" t="s">
        <v>403</v>
      </c>
      <c r="G1299" s="31">
        <v>1.03</v>
      </c>
      <c r="L1299">
        <v>21</v>
      </c>
      <c r="M1299">
        <v>21</v>
      </c>
      <c r="N1299" t="s">
        <v>58</v>
      </c>
      <c r="O1299">
        <v>2.33</v>
      </c>
      <c r="P1299">
        <v>93.453999999999994</v>
      </c>
      <c r="Q1299" t="s">
        <v>531</v>
      </c>
      <c r="R1299" s="31">
        <v>0.12</v>
      </c>
    </row>
    <row r="1300" spans="1:18" x14ac:dyDescent="0.3">
      <c r="A1300">
        <v>17</v>
      </c>
      <c r="B1300">
        <v>17</v>
      </c>
      <c r="C1300" t="s">
        <v>14</v>
      </c>
      <c r="D1300">
        <v>2.02</v>
      </c>
      <c r="E1300">
        <v>6290.3509999999997</v>
      </c>
      <c r="F1300" t="s">
        <v>404</v>
      </c>
      <c r="G1300" s="31">
        <v>1.59</v>
      </c>
      <c r="L1300">
        <v>22</v>
      </c>
      <c r="M1300">
        <v>22</v>
      </c>
      <c r="N1300" t="s">
        <v>59</v>
      </c>
      <c r="O1300">
        <v>2.5</v>
      </c>
      <c r="P1300">
        <v>11471.706</v>
      </c>
      <c r="Q1300" t="s">
        <v>532</v>
      </c>
      <c r="R1300" s="31">
        <v>2.2999999999999998</v>
      </c>
    </row>
    <row r="1301" spans="1:18" x14ac:dyDescent="0.3">
      <c r="A1301">
        <v>18</v>
      </c>
      <c r="B1301">
        <v>18</v>
      </c>
      <c r="C1301" t="s">
        <v>15</v>
      </c>
      <c r="D1301">
        <v>2.4900000000000002</v>
      </c>
      <c r="E1301">
        <v>16425.756000000001</v>
      </c>
      <c r="F1301" t="s">
        <v>405</v>
      </c>
      <c r="G1301" s="31">
        <v>10.17</v>
      </c>
      <c r="L1301">
        <v>23</v>
      </c>
      <c r="M1301">
        <v>23</v>
      </c>
      <c r="N1301" t="s">
        <v>60</v>
      </c>
      <c r="O1301">
        <v>2.75</v>
      </c>
      <c r="P1301">
        <v>8124.7179999999998</v>
      </c>
      <c r="Q1301" t="s">
        <v>533</v>
      </c>
      <c r="R1301" s="31">
        <v>1.08</v>
      </c>
    </row>
    <row r="1302" spans="1:18" x14ac:dyDescent="0.3">
      <c r="A1302">
        <v>19</v>
      </c>
      <c r="B1302">
        <v>19</v>
      </c>
      <c r="C1302" t="s">
        <v>16</v>
      </c>
      <c r="D1302">
        <v>2.71</v>
      </c>
      <c r="E1302">
        <v>1329.45</v>
      </c>
      <c r="F1302" t="s">
        <v>406</v>
      </c>
      <c r="G1302" s="31">
        <v>0.13</v>
      </c>
    </row>
    <row r="1303" spans="1:18" x14ac:dyDescent="0.3">
      <c r="A1303">
        <v>20</v>
      </c>
      <c r="B1303">
        <v>20</v>
      </c>
      <c r="C1303" t="s">
        <v>17</v>
      </c>
      <c r="D1303">
        <v>3.13</v>
      </c>
      <c r="E1303">
        <v>6241.0780000000004</v>
      </c>
      <c r="F1303" t="s">
        <v>407</v>
      </c>
      <c r="G1303" s="31">
        <v>1.39</v>
      </c>
      <c r="L1303" t="s">
        <v>379</v>
      </c>
    </row>
    <row r="1304" spans="1:18" x14ac:dyDescent="0.3">
      <c r="A1304">
        <v>21</v>
      </c>
      <c r="B1304">
        <v>21</v>
      </c>
      <c r="C1304" t="s">
        <v>18</v>
      </c>
      <c r="D1304">
        <v>3.68</v>
      </c>
      <c r="E1304">
        <v>6983.7129999999997</v>
      </c>
      <c r="F1304" t="s">
        <v>408</v>
      </c>
      <c r="G1304" s="31">
        <v>0.37</v>
      </c>
    </row>
    <row r="1305" spans="1:18" x14ac:dyDescent="0.3">
      <c r="A1305">
        <v>22</v>
      </c>
      <c r="B1305">
        <v>22</v>
      </c>
      <c r="C1305" t="s">
        <v>19</v>
      </c>
      <c r="D1305">
        <v>2.62</v>
      </c>
      <c r="E1305">
        <v>16248.944</v>
      </c>
      <c r="F1305" t="s">
        <v>409</v>
      </c>
      <c r="G1305" s="31">
        <v>2.67</v>
      </c>
      <c r="L1305" t="s">
        <v>557</v>
      </c>
    </row>
    <row r="1306" spans="1:18" x14ac:dyDescent="0.3">
      <c r="A1306">
        <v>23</v>
      </c>
      <c r="B1306">
        <v>23</v>
      </c>
      <c r="C1306" t="s">
        <v>20</v>
      </c>
      <c r="D1306">
        <v>2.89</v>
      </c>
      <c r="E1306">
        <v>7855.6620000000003</v>
      </c>
      <c r="F1306" t="s">
        <v>410</v>
      </c>
      <c r="G1306" s="31">
        <v>0.67</v>
      </c>
    </row>
    <row r="1307" spans="1:18" x14ac:dyDescent="0.3">
      <c r="A1307">
        <v>24</v>
      </c>
      <c r="B1307">
        <v>24</v>
      </c>
      <c r="C1307" t="s">
        <v>21</v>
      </c>
      <c r="D1307">
        <v>4.1399999999999997</v>
      </c>
      <c r="E1307">
        <v>126.304</v>
      </c>
      <c r="F1307" t="s">
        <v>411</v>
      </c>
      <c r="G1307" s="31">
        <v>0.1</v>
      </c>
      <c r="L1307" t="s">
        <v>576</v>
      </c>
    </row>
    <row r="1308" spans="1:18" x14ac:dyDescent="0.3">
      <c r="A1308">
        <v>25</v>
      </c>
      <c r="B1308">
        <v>25</v>
      </c>
      <c r="C1308" t="s">
        <v>22</v>
      </c>
      <c r="D1308">
        <v>3.41</v>
      </c>
      <c r="E1308">
        <v>185.602</v>
      </c>
      <c r="F1308" t="s">
        <v>412</v>
      </c>
      <c r="G1308" s="31">
        <v>4.46</v>
      </c>
    </row>
    <row r="1309" spans="1:18" x14ac:dyDescent="0.3">
      <c r="A1309">
        <v>26</v>
      </c>
      <c r="B1309">
        <v>26</v>
      </c>
      <c r="C1309" t="s">
        <v>23</v>
      </c>
      <c r="D1309">
        <v>3.35</v>
      </c>
      <c r="E1309">
        <v>27560.701000000001</v>
      </c>
      <c r="F1309" t="s">
        <v>413</v>
      </c>
      <c r="G1309" s="31">
        <v>3.32</v>
      </c>
      <c r="M1309" t="s">
        <v>382</v>
      </c>
      <c r="N1309" t="s">
        <v>383</v>
      </c>
      <c r="O1309" t="s">
        <v>384</v>
      </c>
      <c r="P1309" t="s">
        <v>385</v>
      </c>
      <c r="Q1309" t="s">
        <v>386</v>
      </c>
      <c r="R1309" s="31" t="s">
        <v>387</v>
      </c>
    </row>
    <row r="1310" spans="1:18" x14ac:dyDescent="0.3">
      <c r="A1310">
        <v>27</v>
      </c>
      <c r="B1310">
        <v>27</v>
      </c>
      <c r="C1310" t="s">
        <v>24</v>
      </c>
      <c r="D1310">
        <v>3.45</v>
      </c>
      <c r="E1310">
        <v>324.95400000000001</v>
      </c>
      <c r="F1310" t="s">
        <v>414</v>
      </c>
      <c r="G1310" s="31">
        <v>0.1</v>
      </c>
      <c r="L1310">
        <v>1</v>
      </c>
      <c r="M1310">
        <v>1</v>
      </c>
      <c r="N1310" t="s">
        <v>35</v>
      </c>
      <c r="O1310">
        <v>1.59</v>
      </c>
      <c r="P1310">
        <v>43.558</v>
      </c>
      <c r="Q1310" t="s">
        <v>511</v>
      </c>
      <c r="R1310" s="31">
        <v>81.99</v>
      </c>
    </row>
    <row r="1311" spans="1:18" x14ac:dyDescent="0.3">
      <c r="A1311">
        <v>28</v>
      </c>
      <c r="B1311">
        <v>28</v>
      </c>
      <c r="C1311" t="s">
        <v>25</v>
      </c>
      <c r="D1311">
        <v>3.51</v>
      </c>
      <c r="E1311">
        <v>4097.4260000000004</v>
      </c>
      <c r="F1311" t="s">
        <v>415</v>
      </c>
      <c r="G1311" s="31">
        <v>0.96</v>
      </c>
      <c r="L1311">
        <v>2</v>
      </c>
      <c r="M1311">
        <v>2</v>
      </c>
      <c r="N1311" t="s">
        <v>36</v>
      </c>
      <c r="O1311">
        <v>1.71</v>
      </c>
      <c r="P1311">
        <v>244.61199999999999</v>
      </c>
      <c r="Q1311" t="s">
        <v>512</v>
      </c>
      <c r="R1311" s="31">
        <v>427.96</v>
      </c>
    </row>
    <row r="1312" spans="1:18" x14ac:dyDescent="0.3">
      <c r="A1312">
        <v>29</v>
      </c>
      <c r="B1312">
        <v>29</v>
      </c>
      <c r="C1312" t="s">
        <v>26</v>
      </c>
      <c r="D1312">
        <v>1.03</v>
      </c>
      <c r="E1312">
        <v>628.07500000000005</v>
      </c>
      <c r="F1312" t="s">
        <v>416</v>
      </c>
      <c r="G1312" s="31">
        <v>1.1299999999999999</v>
      </c>
      <c r="L1312">
        <v>3</v>
      </c>
      <c r="M1312">
        <v>3</v>
      </c>
      <c r="N1312" t="s">
        <v>37</v>
      </c>
      <c r="Q1312" t="s">
        <v>513</v>
      </c>
      <c r="R1312" s="31">
        <v>0.1</v>
      </c>
    </row>
    <row r="1313" spans="1:18" x14ac:dyDescent="0.3">
      <c r="A1313">
        <v>30</v>
      </c>
      <c r="B1313">
        <v>30</v>
      </c>
      <c r="C1313" t="s">
        <v>27</v>
      </c>
      <c r="D1313">
        <v>4.33</v>
      </c>
      <c r="E1313">
        <v>155.53800000000001</v>
      </c>
      <c r="F1313" t="s">
        <v>417</v>
      </c>
      <c r="G1313" s="31">
        <v>0.13</v>
      </c>
      <c r="L1313">
        <v>4</v>
      </c>
      <c r="M1313">
        <v>4</v>
      </c>
      <c r="N1313" t="s">
        <v>38</v>
      </c>
      <c r="O1313">
        <v>1.33</v>
      </c>
      <c r="P1313">
        <v>84.637</v>
      </c>
      <c r="Q1313" t="s">
        <v>514</v>
      </c>
      <c r="R1313" s="31">
        <v>0.72</v>
      </c>
    </row>
    <row r="1314" spans="1:18" x14ac:dyDescent="0.3">
      <c r="A1314">
        <v>31</v>
      </c>
      <c r="B1314">
        <v>31</v>
      </c>
      <c r="C1314" t="s">
        <v>28</v>
      </c>
      <c r="D1314">
        <v>3</v>
      </c>
      <c r="E1314">
        <v>43132.358999999997</v>
      </c>
      <c r="F1314" t="s">
        <v>418</v>
      </c>
      <c r="G1314" s="31">
        <v>0.15</v>
      </c>
      <c r="L1314">
        <v>5</v>
      </c>
      <c r="M1314">
        <v>5</v>
      </c>
      <c r="N1314" t="s">
        <v>39</v>
      </c>
      <c r="O1314">
        <v>1.4</v>
      </c>
      <c r="P1314">
        <v>100.02500000000001</v>
      </c>
      <c r="Q1314" t="s">
        <v>515</v>
      </c>
      <c r="R1314" s="31">
        <v>45.96</v>
      </c>
    </row>
    <row r="1315" spans="1:18" x14ac:dyDescent="0.3">
      <c r="A1315">
        <v>32</v>
      </c>
      <c r="B1315">
        <v>32</v>
      </c>
      <c r="C1315" t="s">
        <v>29</v>
      </c>
      <c r="D1315">
        <v>3.35</v>
      </c>
      <c r="E1315">
        <v>412.791</v>
      </c>
      <c r="F1315" t="s">
        <v>419</v>
      </c>
      <c r="G1315" s="31">
        <v>0.11</v>
      </c>
      <c r="L1315">
        <v>6</v>
      </c>
      <c r="M1315">
        <v>6</v>
      </c>
      <c r="N1315" t="s">
        <v>40</v>
      </c>
      <c r="Q1315" t="s">
        <v>516</v>
      </c>
      <c r="R1315" s="31">
        <v>0.1</v>
      </c>
    </row>
    <row r="1316" spans="1:18" x14ac:dyDescent="0.3">
      <c r="A1316">
        <v>33</v>
      </c>
      <c r="B1316">
        <v>33</v>
      </c>
      <c r="C1316" t="s">
        <v>30</v>
      </c>
      <c r="D1316">
        <v>4.67</v>
      </c>
      <c r="E1316">
        <v>25108.359</v>
      </c>
      <c r="F1316" t="s">
        <v>420</v>
      </c>
      <c r="G1316" s="31">
        <v>1.02</v>
      </c>
      <c r="L1316">
        <v>7</v>
      </c>
      <c r="M1316">
        <v>7</v>
      </c>
      <c r="N1316" t="s">
        <v>41</v>
      </c>
      <c r="Q1316" t="s">
        <v>517</v>
      </c>
      <c r="R1316" s="31">
        <v>0.1</v>
      </c>
    </row>
    <row r="1317" spans="1:18" x14ac:dyDescent="0.3">
      <c r="A1317">
        <v>34</v>
      </c>
      <c r="B1317">
        <v>34</v>
      </c>
      <c r="C1317" t="s">
        <v>31</v>
      </c>
      <c r="D1317">
        <v>3.26</v>
      </c>
      <c r="E1317">
        <v>3546.23</v>
      </c>
      <c r="F1317" t="s">
        <v>421</v>
      </c>
      <c r="G1317" s="31">
        <v>0.37</v>
      </c>
      <c r="L1317">
        <v>8</v>
      </c>
      <c r="M1317">
        <v>8</v>
      </c>
      <c r="N1317" t="s">
        <v>42</v>
      </c>
      <c r="Q1317" t="s">
        <v>518</v>
      </c>
      <c r="R1317" s="31">
        <v>0.1</v>
      </c>
    </row>
    <row r="1318" spans="1:18" x14ac:dyDescent="0.3">
      <c r="A1318">
        <v>35</v>
      </c>
      <c r="B1318">
        <v>35</v>
      </c>
      <c r="C1318" t="s">
        <v>32</v>
      </c>
      <c r="D1318">
        <v>3.07</v>
      </c>
      <c r="E1318">
        <v>122.047</v>
      </c>
      <c r="F1318" t="s">
        <v>422</v>
      </c>
      <c r="G1318" s="31">
        <v>0.11</v>
      </c>
      <c r="L1318">
        <v>9</v>
      </c>
      <c r="M1318">
        <v>9</v>
      </c>
      <c r="N1318" t="s">
        <v>43</v>
      </c>
      <c r="O1318">
        <v>2.5099999999999998</v>
      </c>
      <c r="P1318">
        <v>37.988</v>
      </c>
      <c r="Q1318" t="s">
        <v>519</v>
      </c>
      <c r="R1318" s="31">
        <v>0.12</v>
      </c>
    </row>
    <row r="1319" spans="1:18" x14ac:dyDescent="0.3">
      <c r="A1319">
        <v>36</v>
      </c>
      <c r="B1319">
        <v>36</v>
      </c>
      <c r="C1319" t="s">
        <v>33</v>
      </c>
      <c r="D1319">
        <v>1.9</v>
      </c>
      <c r="E1319">
        <v>241.006</v>
      </c>
      <c r="F1319" t="s">
        <v>423</v>
      </c>
      <c r="G1319" s="31">
        <v>0.2</v>
      </c>
      <c r="L1319">
        <v>10</v>
      </c>
      <c r="M1319">
        <v>10</v>
      </c>
      <c r="N1319" t="s">
        <v>52</v>
      </c>
      <c r="O1319">
        <v>4.16</v>
      </c>
      <c r="P1319">
        <v>47.872999999999998</v>
      </c>
      <c r="Q1319" t="s">
        <v>520</v>
      </c>
      <c r="R1319" s="31">
        <v>0.1</v>
      </c>
    </row>
    <row r="1320" spans="1:18" x14ac:dyDescent="0.3">
      <c r="G1320" s="31">
        <f>G1297/G1299</f>
        <v>3.3980582524271843</v>
      </c>
      <c r="L1320">
        <v>11</v>
      </c>
      <c r="M1320">
        <v>11</v>
      </c>
      <c r="N1320" t="s">
        <v>44</v>
      </c>
      <c r="Q1320" t="s">
        <v>521</v>
      </c>
      <c r="R1320" s="31">
        <v>0.1</v>
      </c>
    </row>
    <row r="1321" spans="1:18" x14ac:dyDescent="0.3">
      <c r="A1321" t="s">
        <v>379</v>
      </c>
      <c r="L1321">
        <v>12</v>
      </c>
      <c r="M1321">
        <v>12</v>
      </c>
      <c r="N1321" t="s">
        <v>45</v>
      </c>
      <c r="O1321">
        <v>3.68</v>
      </c>
      <c r="P1321">
        <v>24.489000000000001</v>
      </c>
      <c r="Q1321" t="s">
        <v>522</v>
      </c>
      <c r="R1321" s="31">
        <v>0.1</v>
      </c>
    </row>
    <row r="1322" spans="1:18" x14ac:dyDescent="0.3">
      <c r="L1322">
        <v>13</v>
      </c>
      <c r="M1322">
        <v>13</v>
      </c>
      <c r="N1322" t="s">
        <v>46</v>
      </c>
      <c r="O1322">
        <v>2.57</v>
      </c>
      <c r="P1322">
        <v>2221.19</v>
      </c>
      <c r="Q1322" t="s">
        <v>523</v>
      </c>
      <c r="R1322" s="31">
        <v>0.1</v>
      </c>
    </row>
    <row r="1323" spans="1:18" x14ac:dyDescent="0.3">
      <c r="A1323" t="s">
        <v>380</v>
      </c>
      <c r="L1323">
        <v>14</v>
      </c>
      <c r="M1323">
        <v>14</v>
      </c>
      <c r="N1323" t="s">
        <v>47</v>
      </c>
      <c r="Q1323" t="s">
        <v>524</v>
      </c>
      <c r="R1323" s="31">
        <v>0.1</v>
      </c>
    </row>
    <row r="1324" spans="1:18" x14ac:dyDescent="0.3">
      <c r="L1324">
        <v>15</v>
      </c>
      <c r="M1324">
        <v>15</v>
      </c>
      <c r="N1324" t="s">
        <v>48</v>
      </c>
      <c r="O1324">
        <v>1.24</v>
      </c>
      <c r="P1324">
        <v>74.617999999999995</v>
      </c>
      <c r="Q1324" t="s">
        <v>525</v>
      </c>
      <c r="R1324" s="31">
        <v>0.1</v>
      </c>
    </row>
    <row r="1325" spans="1:18" x14ac:dyDescent="0.3">
      <c r="A1325" t="s">
        <v>453</v>
      </c>
      <c r="L1325">
        <v>16</v>
      </c>
      <c r="M1325">
        <v>16</v>
      </c>
      <c r="N1325" t="s">
        <v>53</v>
      </c>
      <c r="O1325">
        <v>4.57</v>
      </c>
      <c r="P1325">
        <v>278.642</v>
      </c>
      <c r="Q1325" t="s">
        <v>526</v>
      </c>
      <c r="R1325" s="31">
        <v>0.1</v>
      </c>
    </row>
    <row r="1326" spans="1:18" x14ac:dyDescent="0.3">
      <c r="L1326">
        <v>17</v>
      </c>
      <c r="M1326">
        <v>17</v>
      </c>
      <c r="N1326" t="s">
        <v>54</v>
      </c>
      <c r="O1326">
        <v>5.22</v>
      </c>
      <c r="P1326">
        <v>52.658000000000001</v>
      </c>
      <c r="Q1326" t="s">
        <v>527</v>
      </c>
      <c r="R1326" s="31">
        <v>0.1</v>
      </c>
    </row>
    <row r="1327" spans="1:18" x14ac:dyDescent="0.3">
      <c r="B1327" t="s">
        <v>382</v>
      </c>
      <c r="C1327" t="s">
        <v>383</v>
      </c>
      <c r="D1327" t="s">
        <v>384</v>
      </c>
      <c r="E1327" t="s">
        <v>385</v>
      </c>
      <c r="F1327" t="s">
        <v>386</v>
      </c>
      <c r="G1327" s="31" t="s">
        <v>387</v>
      </c>
      <c r="L1327">
        <v>18</v>
      </c>
      <c r="M1327">
        <v>18</v>
      </c>
      <c r="N1327" t="s">
        <v>55</v>
      </c>
      <c r="Q1327" t="s">
        <v>528</v>
      </c>
      <c r="R1327" s="31">
        <v>0.1</v>
      </c>
    </row>
    <row r="1328" spans="1:18" x14ac:dyDescent="0.3">
      <c r="A1328">
        <v>1</v>
      </c>
      <c r="B1328">
        <v>1</v>
      </c>
      <c r="C1328" t="s">
        <v>0</v>
      </c>
      <c r="D1328">
        <v>1.01</v>
      </c>
      <c r="E1328">
        <v>2422.0729999999999</v>
      </c>
      <c r="F1328" t="s">
        <v>388</v>
      </c>
      <c r="G1328" s="31">
        <v>9.83</v>
      </c>
      <c r="L1328">
        <v>19</v>
      </c>
      <c r="M1328">
        <v>19</v>
      </c>
      <c r="N1328" t="s">
        <v>56</v>
      </c>
      <c r="O1328">
        <v>0.95</v>
      </c>
      <c r="P1328">
        <v>2.649</v>
      </c>
      <c r="Q1328" t="s">
        <v>529</v>
      </c>
      <c r="R1328" s="31">
        <v>0.1</v>
      </c>
    </row>
    <row r="1329" spans="1:18" x14ac:dyDescent="0.3">
      <c r="A1329">
        <v>2</v>
      </c>
      <c r="B1329">
        <v>2</v>
      </c>
      <c r="C1329" t="s">
        <v>1</v>
      </c>
      <c r="D1329">
        <v>1.45</v>
      </c>
      <c r="E1329">
        <v>3003.38</v>
      </c>
      <c r="F1329" t="s">
        <v>389</v>
      </c>
      <c r="G1329" s="31">
        <v>2.4300000000000002</v>
      </c>
      <c r="L1329">
        <v>20</v>
      </c>
      <c r="M1329">
        <v>20</v>
      </c>
      <c r="N1329" t="s">
        <v>57</v>
      </c>
      <c r="Q1329" t="s">
        <v>530</v>
      </c>
      <c r="R1329" s="31">
        <v>0.1</v>
      </c>
    </row>
    <row r="1330" spans="1:18" x14ac:dyDescent="0.3">
      <c r="A1330">
        <v>3</v>
      </c>
      <c r="B1330">
        <v>3</v>
      </c>
      <c r="C1330" t="s">
        <v>50</v>
      </c>
      <c r="D1330">
        <v>3.57</v>
      </c>
      <c r="E1330">
        <v>946.83</v>
      </c>
      <c r="F1330" t="s">
        <v>390</v>
      </c>
      <c r="G1330" s="31">
        <v>0.32</v>
      </c>
      <c r="L1330">
        <v>21</v>
      </c>
      <c r="M1330">
        <v>21</v>
      </c>
      <c r="N1330" t="s">
        <v>58</v>
      </c>
      <c r="Q1330" t="s">
        <v>531</v>
      </c>
      <c r="R1330" s="31">
        <v>0.1</v>
      </c>
    </row>
    <row r="1331" spans="1:18" x14ac:dyDescent="0.3">
      <c r="A1331">
        <v>4</v>
      </c>
      <c r="B1331">
        <v>4</v>
      </c>
      <c r="C1331" t="s">
        <v>2</v>
      </c>
      <c r="D1331">
        <v>3.69</v>
      </c>
      <c r="E1331">
        <v>25816.442999999999</v>
      </c>
      <c r="F1331" t="s">
        <v>391</v>
      </c>
      <c r="G1331" s="31">
        <v>0.82</v>
      </c>
      <c r="L1331">
        <v>22</v>
      </c>
      <c r="M1331">
        <v>22</v>
      </c>
      <c r="N1331" t="s">
        <v>59</v>
      </c>
      <c r="Q1331" t="s">
        <v>532</v>
      </c>
      <c r="R1331" s="31">
        <v>0.1</v>
      </c>
    </row>
    <row r="1332" spans="1:18" x14ac:dyDescent="0.3">
      <c r="A1332">
        <v>5</v>
      </c>
      <c r="B1332">
        <v>5</v>
      </c>
      <c r="C1332" t="s">
        <v>3</v>
      </c>
      <c r="D1332">
        <v>4.4800000000000004</v>
      </c>
      <c r="E1332">
        <v>131.73599999999999</v>
      </c>
      <c r="F1332" t="s">
        <v>392</v>
      </c>
      <c r="G1332" s="31">
        <v>0.1</v>
      </c>
      <c r="L1332">
        <v>23</v>
      </c>
      <c r="M1332">
        <v>23</v>
      </c>
      <c r="N1332" t="s">
        <v>60</v>
      </c>
      <c r="O1332">
        <v>2.58</v>
      </c>
      <c r="P1332">
        <v>50.220999999999997</v>
      </c>
      <c r="Q1332" t="s">
        <v>533</v>
      </c>
      <c r="R1332" s="31">
        <v>2.02</v>
      </c>
    </row>
    <row r="1333" spans="1:18" x14ac:dyDescent="0.3">
      <c r="A1333">
        <v>6</v>
      </c>
      <c r="B1333">
        <v>6</v>
      </c>
      <c r="C1333" t="s">
        <v>4</v>
      </c>
      <c r="D1333">
        <v>4.79</v>
      </c>
      <c r="E1333">
        <v>122397.523</v>
      </c>
      <c r="F1333" t="s">
        <v>393</v>
      </c>
      <c r="G1333" s="31">
        <v>2.66</v>
      </c>
    </row>
    <row r="1334" spans="1:18" x14ac:dyDescent="0.3">
      <c r="A1334">
        <v>7</v>
      </c>
      <c r="B1334">
        <v>7</v>
      </c>
      <c r="C1334" t="s">
        <v>5</v>
      </c>
      <c r="D1334">
        <v>2.71</v>
      </c>
      <c r="E1334">
        <v>1208.662</v>
      </c>
      <c r="F1334" t="s">
        <v>394</v>
      </c>
      <c r="G1334" s="31">
        <v>0.1</v>
      </c>
      <c r="L1334" t="s">
        <v>379</v>
      </c>
    </row>
    <row r="1335" spans="1:18" x14ac:dyDescent="0.3">
      <c r="A1335">
        <v>8</v>
      </c>
      <c r="B1335">
        <v>8</v>
      </c>
      <c r="C1335" t="s">
        <v>6</v>
      </c>
      <c r="D1335">
        <v>0.66</v>
      </c>
      <c r="E1335">
        <v>729.21699999999998</v>
      </c>
      <c r="F1335" t="s">
        <v>395</v>
      </c>
      <c r="G1335" s="31">
        <v>5.12</v>
      </c>
    </row>
    <row r="1336" spans="1:18" x14ac:dyDescent="0.3">
      <c r="A1336">
        <v>9</v>
      </c>
      <c r="B1336">
        <v>9</v>
      </c>
      <c r="C1336" t="s">
        <v>7</v>
      </c>
      <c r="D1336">
        <v>3.56</v>
      </c>
      <c r="E1336">
        <v>552.10500000000002</v>
      </c>
      <c r="F1336" t="s">
        <v>396</v>
      </c>
      <c r="G1336" s="31">
        <v>0.77</v>
      </c>
      <c r="L1336" t="s">
        <v>557</v>
      </c>
    </row>
    <row r="1337" spans="1:18" x14ac:dyDescent="0.3">
      <c r="A1337">
        <v>10</v>
      </c>
      <c r="B1337">
        <v>10</v>
      </c>
      <c r="C1337" t="s">
        <v>51</v>
      </c>
      <c r="D1337">
        <v>4.59</v>
      </c>
      <c r="E1337">
        <v>2820.75</v>
      </c>
      <c r="F1337" t="s">
        <v>397</v>
      </c>
      <c r="G1337" s="31">
        <v>0.28000000000000003</v>
      </c>
    </row>
    <row r="1338" spans="1:18" x14ac:dyDescent="0.3">
      <c r="A1338">
        <v>11</v>
      </c>
      <c r="B1338">
        <v>11</v>
      </c>
      <c r="C1338" t="s">
        <v>8</v>
      </c>
      <c r="D1338">
        <v>2.74</v>
      </c>
      <c r="E1338">
        <v>52506.358999999997</v>
      </c>
      <c r="F1338" t="s">
        <v>398</v>
      </c>
      <c r="G1338" s="31">
        <v>1.4</v>
      </c>
      <c r="L1338" t="s">
        <v>577</v>
      </c>
    </row>
    <row r="1339" spans="1:18" x14ac:dyDescent="0.3">
      <c r="A1339">
        <v>12</v>
      </c>
      <c r="B1339">
        <v>12</v>
      </c>
      <c r="C1339" t="s">
        <v>9</v>
      </c>
      <c r="D1339">
        <v>2.62</v>
      </c>
      <c r="E1339">
        <v>8933.259</v>
      </c>
      <c r="F1339" t="s">
        <v>399</v>
      </c>
      <c r="G1339" s="31">
        <v>1.54</v>
      </c>
    </row>
    <row r="1340" spans="1:18" x14ac:dyDescent="0.3">
      <c r="A1340">
        <v>13</v>
      </c>
      <c r="B1340">
        <v>13</v>
      </c>
      <c r="C1340" t="s">
        <v>10</v>
      </c>
      <c r="D1340">
        <v>4.08</v>
      </c>
      <c r="E1340">
        <v>1466606.375</v>
      </c>
      <c r="F1340" t="s">
        <v>400</v>
      </c>
      <c r="G1340" s="31">
        <v>65.05</v>
      </c>
      <c r="M1340" t="s">
        <v>382</v>
      </c>
      <c r="N1340" t="s">
        <v>383</v>
      </c>
      <c r="O1340" t="s">
        <v>384</v>
      </c>
      <c r="P1340" t="s">
        <v>385</v>
      </c>
      <c r="Q1340" t="s">
        <v>386</v>
      </c>
      <c r="R1340" s="31" t="s">
        <v>387</v>
      </c>
    </row>
    <row r="1341" spans="1:18" x14ac:dyDescent="0.3">
      <c r="A1341">
        <v>14</v>
      </c>
      <c r="B1341">
        <v>14</v>
      </c>
      <c r="C1341" t="s">
        <v>11</v>
      </c>
      <c r="D1341">
        <v>3.52</v>
      </c>
      <c r="E1341">
        <v>6.1120000000000001</v>
      </c>
      <c r="F1341" t="s">
        <v>401</v>
      </c>
      <c r="G1341" s="31">
        <v>0.7</v>
      </c>
      <c r="L1341">
        <v>1</v>
      </c>
      <c r="M1341">
        <v>1</v>
      </c>
      <c r="N1341" t="s">
        <v>35</v>
      </c>
      <c r="O1341">
        <v>1.48</v>
      </c>
      <c r="P1341">
        <v>407.52199999999999</v>
      </c>
      <c r="Q1341" t="s">
        <v>511</v>
      </c>
      <c r="R1341" s="31">
        <v>14.23</v>
      </c>
    </row>
    <row r="1342" spans="1:18" x14ac:dyDescent="0.3">
      <c r="A1342">
        <v>15</v>
      </c>
      <c r="B1342">
        <v>15</v>
      </c>
      <c r="C1342" t="s">
        <v>12</v>
      </c>
      <c r="D1342">
        <v>3.33</v>
      </c>
      <c r="E1342">
        <v>327.09399999999999</v>
      </c>
      <c r="F1342" t="s">
        <v>402</v>
      </c>
      <c r="G1342" s="31">
        <v>0.74</v>
      </c>
      <c r="L1342">
        <v>2</v>
      </c>
      <c r="M1342">
        <v>2</v>
      </c>
      <c r="N1342" t="s">
        <v>36</v>
      </c>
      <c r="O1342">
        <v>1.66</v>
      </c>
      <c r="P1342">
        <v>1896210.375</v>
      </c>
      <c r="Q1342" t="s">
        <v>512</v>
      </c>
      <c r="R1342" s="31">
        <v>420.48</v>
      </c>
    </row>
    <row r="1343" spans="1:18" x14ac:dyDescent="0.3">
      <c r="A1343">
        <v>16</v>
      </c>
      <c r="B1343">
        <v>16</v>
      </c>
      <c r="C1343" t="s">
        <v>13</v>
      </c>
      <c r="D1343">
        <v>3.23</v>
      </c>
      <c r="E1343">
        <v>6567.1880000000001</v>
      </c>
      <c r="F1343" t="s">
        <v>403</v>
      </c>
      <c r="G1343" s="31">
        <v>0.67</v>
      </c>
      <c r="L1343">
        <v>3</v>
      </c>
      <c r="M1343">
        <v>3</v>
      </c>
      <c r="N1343" t="s">
        <v>37</v>
      </c>
      <c r="O1343">
        <v>1.81</v>
      </c>
      <c r="P1343">
        <v>518.88900000000001</v>
      </c>
      <c r="Q1343" t="s">
        <v>513</v>
      </c>
      <c r="R1343" s="31">
        <v>0.27</v>
      </c>
    </row>
    <row r="1344" spans="1:18" x14ac:dyDescent="0.3">
      <c r="A1344">
        <v>17</v>
      </c>
      <c r="B1344">
        <v>17</v>
      </c>
      <c r="C1344" t="s">
        <v>14</v>
      </c>
      <c r="D1344">
        <v>2.02</v>
      </c>
      <c r="E1344">
        <v>12522.5</v>
      </c>
      <c r="F1344" t="s">
        <v>404</v>
      </c>
      <c r="G1344" s="31">
        <v>1.1299999999999999</v>
      </c>
      <c r="L1344">
        <v>4</v>
      </c>
      <c r="M1344">
        <v>4</v>
      </c>
      <c r="N1344" t="s">
        <v>38</v>
      </c>
      <c r="O1344">
        <v>1.18</v>
      </c>
      <c r="P1344">
        <v>3568.4630000000002</v>
      </c>
      <c r="Q1344" t="s">
        <v>514</v>
      </c>
      <c r="R1344" s="31">
        <v>0.99</v>
      </c>
    </row>
    <row r="1345" spans="1:18" x14ac:dyDescent="0.3">
      <c r="A1345">
        <v>18</v>
      </c>
      <c r="B1345">
        <v>18</v>
      </c>
      <c r="C1345" t="s">
        <v>15</v>
      </c>
      <c r="D1345">
        <v>2.5</v>
      </c>
      <c r="E1345">
        <v>38525.487999999998</v>
      </c>
      <c r="F1345" t="s">
        <v>405</v>
      </c>
      <c r="G1345" s="31">
        <v>9.2200000000000006</v>
      </c>
      <c r="L1345">
        <v>5</v>
      </c>
      <c r="M1345">
        <v>5</v>
      </c>
      <c r="N1345" t="s">
        <v>39</v>
      </c>
      <c r="O1345">
        <v>1.38</v>
      </c>
      <c r="P1345">
        <v>116894.484</v>
      </c>
      <c r="Q1345" t="s">
        <v>515</v>
      </c>
      <c r="R1345" s="31">
        <v>41.39</v>
      </c>
    </row>
    <row r="1346" spans="1:18" x14ac:dyDescent="0.3">
      <c r="A1346">
        <v>19</v>
      </c>
      <c r="B1346">
        <v>19</v>
      </c>
      <c r="C1346" t="s">
        <v>16</v>
      </c>
      <c r="D1346">
        <v>2.71</v>
      </c>
      <c r="E1346">
        <v>3461.0369999999998</v>
      </c>
      <c r="F1346" t="s">
        <v>406</v>
      </c>
      <c r="G1346" s="31">
        <v>0.11</v>
      </c>
      <c r="L1346">
        <v>6</v>
      </c>
      <c r="M1346">
        <v>6</v>
      </c>
      <c r="N1346" t="s">
        <v>40</v>
      </c>
      <c r="O1346">
        <v>1.52</v>
      </c>
      <c r="P1346">
        <v>9100.7479999999996</v>
      </c>
      <c r="Q1346" t="s">
        <v>516</v>
      </c>
      <c r="R1346" s="31">
        <v>1.66</v>
      </c>
    </row>
    <row r="1347" spans="1:18" x14ac:dyDescent="0.3">
      <c r="A1347">
        <v>20</v>
      </c>
      <c r="B1347">
        <v>20</v>
      </c>
      <c r="C1347" t="s">
        <v>17</v>
      </c>
      <c r="D1347">
        <v>3.13</v>
      </c>
      <c r="E1347">
        <v>21182.355</v>
      </c>
      <c r="F1347" t="s">
        <v>407</v>
      </c>
      <c r="G1347" s="31">
        <v>2.09</v>
      </c>
      <c r="L1347">
        <v>7</v>
      </c>
      <c r="M1347">
        <v>7</v>
      </c>
      <c r="N1347" t="s">
        <v>41</v>
      </c>
      <c r="O1347">
        <v>2.29</v>
      </c>
      <c r="P1347">
        <v>3319.645</v>
      </c>
      <c r="Q1347" t="s">
        <v>517</v>
      </c>
      <c r="R1347" s="31">
        <v>5.45</v>
      </c>
    </row>
    <row r="1348" spans="1:18" x14ac:dyDescent="0.3">
      <c r="A1348">
        <v>21</v>
      </c>
      <c r="B1348">
        <v>21</v>
      </c>
      <c r="C1348" t="s">
        <v>18</v>
      </c>
      <c r="D1348">
        <v>3.68</v>
      </c>
      <c r="E1348">
        <v>21045.15</v>
      </c>
      <c r="F1348" t="s">
        <v>408</v>
      </c>
      <c r="G1348" s="31">
        <v>0.49</v>
      </c>
      <c r="L1348">
        <v>8</v>
      </c>
      <c r="M1348">
        <v>8</v>
      </c>
      <c r="N1348" t="s">
        <v>42</v>
      </c>
      <c r="O1348">
        <v>0.88</v>
      </c>
      <c r="P1348">
        <v>1363.5940000000001</v>
      </c>
      <c r="Q1348" t="s">
        <v>518</v>
      </c>
      <c r="R1348" s="31">
        <v>33.68</v>
      </c>
    </row>
    <row r="1349" spans="1:18" x14ac:dyDescent="0.3">
      <c r="A1349">
        <v>22</v>
      </c>
      <c r="B1349">
        <v>22</v>
      </c>
      <c r="C1349" t="s">
        <v>19</v>
      </c>
      <c r="D1349">
        <v>2.63</v>
      </c>
      <c r="E1349">
        <v>56897.313000000002</v>
      </c>
      <c r="F1349" t="s">
        <v>409</v>
      </c>
      <c r="G1349" s="31">
        <v>2.99</v>
      </c>
      <c r="L1349">
        <v>9</v>
      </c>
      <c r="M1349">
        <v>9</v>
      </c>
      <c r="N1349" t="s">
        <v>43</v>
      </c>
      <c r="O1349">
        <v>2.54</v>
      </c>
      <c r="P1349">
        <v>5613.4489999999996</v>
      </c>
      <c r="Q1349" t="s">
        <v>519</v>
      </c>
      <c r="R1349" s="31">
        <v>0.16</v>
      </c>
    </row>
    <row r="1350" spans="1:18" x14ac:dyDescent="0.3">
      <c r="A1350">
        <v>23</v>
      </c>
      <c r="B1350">
        <v>23</v>
      </c>
      <c r="C1350" t="s">
        <v>20</v>
      </c>
      <c r="D1350">
        <v>2.89</v>
      </c>
      <c r="E1350">
        <v>35049.620999999999</v>
      </c>
      <c r="F1350" t="s">
        <v>410</v>
      </c>
      <c r="G1350" s="31">
        <v>1.08</v>
      </c>
      <c r="L1350">
        <v>10</v>
      </c>
      <c r="M1350">
        <v>10</v>
      </c>
      <c r="N1350" t="s">
        <v>52</v>
      </c>
      <c r="O1350">
        <v>4.1500000000000004</v>
      </c>
      <c r="P1350">
        <v>2797.4369999999999</v>
      </c>
      <c r="Q1350" t="s">
        <v>520</v>
      </c>
      <c r="R1350" s="31">
        <v>0.1</v>
      </c>
    </row>
    <row r="1351" spans="1:18" x14ac:dyDescent="0.3">
      <c r="A1351">
        <v>24</v>
      </c>
      <c r="B1351">
        <v>24</v>
      </c>
      <c r="C1351" t="s">
        <v>21</v>
      </c>
      <c r="D1351">
        <v>4.12</v>
      </c>
      <c r="E1351">
        <v>149.863</v>
      </c>
      <c r="F1351" t="s">
        <v>411</v>
      </c>
      <c r="G1351" s="31">
        <v>0.1</v>
      </c>
      <c r="L1351">
        <v>11</v>
      </c>
      <c r="M1351">
        <v>11</v>
      </c>
      <c r="N1351" t="s">
        <v>44</v>
      </c>
      <c r="O1351">
        <v>4.18</v>
      </c>
      <c r="P1351">
        <v>108.71899999999999</v>
      </c>
      <c r="Q1351" t="s">
        <v>521</v>
      </c>
      <c r="R1351" s="31">
        <v>0.2</v>
      </c>
    </row>
    <row r="1352" spans="1:18" x14ac:dyDescent="0.3">
      <c r="A1352">
        <v>25</v>
      </c>
      <c r="B1352">
        <v>25</v>
      </c>
      <c r="C1352" t="s">
        <v>22</v>
      </c>
      <c r="D1352">
        <v>3.41</v>
      </c>
      <c r="E1352">
        <v>470.476</v>
      </c>
      <c r="F1352" t="s">
        <v>412</v>
      </c>
      <c r="G1352" s="31">
        <v>2.7</v>
      </c>
      <c r="L1352">
        <v>12</v>
      </c>
      <c r="M1352">
        <v>12</v>
      </c>
      <c r="N1352" t="s">
        <v>45</v>
      </c>
      <c r="O1352">
        <v>3.45</v>
      </c>
      <c r="P1352">
        <v>591429</v>
      </c>
      <c r="Q1352" t="s">
        <v>522</v>
      </c>
      <c r="R1352" s="31">
        <v>16.18</v>
      </c>
    </row>
    <row r="1353" spans="1:18" x14ac:dyDescent="0.3">
      <c r="A1353">
        <v>26</v>
      </c>
      <c r="B1353">
        <v>26</v>
      </c>
      <c r="C1353" t="s">
        <v>23</v>
      </c>
      <c r="D1353">
        <v>3.35</v>
      </c>
      <c r="E1353">
        <v>26849.928</v>
      </c>
      <c r="F1353" t="s">
        <v>413</v>
      </c>
      <c r="G1353" s="31">
        <v>1.38</v>
      </c>
      <c r="L1353">
        <v>13</v>
      </c>
      <c r="M1353">
        <v>13</v>
      </c>
      <c r="N1353" t="s">
        <v>46</v>
      </c>
      <c r="O1353">
        <v>2.58</v>
      </c>
      <c r="P1353">
        <v>138046</v>
      </c>
      <c r="Q1353" t="s">
        <v>523</v>
      </c>
      <c r="R1353" s="31">
        <v>11.23</v>
      </c>
    </row>
    <row r="1354" spans="1:18" x14ac:dyDescent="0.3">
      <c r="A1354">
        <v>27</v>
      </c>
      <c r="B1354">
        <v>27</v>
      </c>
      <c r="C1354" t="s">
        <v>24</v>
      </c>
      <c r="D1354">
        <v>3.44</v>
      </c>
      <c r="E1354">
        <v>221.42099999999999</v>
      </c>
      <c r="F1354" t="s">
        <v>414</v>
      </c>
      <c r="G1354" s="31">
        <v>0.1</v>
      </c>
      <c r="L1354">
        <v>14</v>
      </c>
      <c r="M1354">
        <v>14</v>
      </c>
      <c r="N1354" t="s">
        <v>47</v>
      </c>
      <c r="O1354">
        <v>0.67</v>
      </c>
      <c r="P1354">
        <v>20356.678</v>
      </c>
      <c r="Q1354" t="s">
        <v>524</v>
      </c>
      <c r="R1354" s="31">
        <v>15.94</v>
      </c>
    </row>
    <row r="1355" spans="1:18" x14ac:dyDescent="0.3">
      <c r="A1355">
        <v>28</v>
      </c>
      <c r="B1355">
        <v>28</v>
      </c>
      <c r="C1355" t="s">
        <v>25</v>
      </c>
      <c r="D1355">
        <v>3.51</v>
      </c>
      <c r="E1355">
        <v>6623.7449999999999</v>
      </c>
      <c r="F1355" t="s">
        <v>415</v>
      </c>
      <c r="G1355" s="31">
        <v>0.59</v>
      </c>
      <c r="L1355">
        <v>15</v>
      </c>
      <c r="M1355">
        <v>15</v>
      </c>
      <c r="N1355" t="s">
        <v>48</v>
      </c>
      <c r="O1355">
        <v>1.22</v>
      </c>
      <c r="P1355">
        <v>14710.367</v>
      </c>
      <c r="Q1355" t="s">
        <v>525</v>
      </c>
      <c r="R1355" s="31">
        <v>3.47</v>
      </c>
    </row>
    <row r="1356" spans="1:18" x14ac:dyDescent="0.3">
      <c r="A1356">
        <v>29</v>
      </c>
      <c r="B1356">
        <v>29</v>
      </c>
      <c r="C1356" t="s">
        <v>26</v>
      </c>
      <c r="D1356">
        <v>1.05</v>
      </c>
      <c r="E1356">
        <v>866.37300000000005</v>
      </c>
      <c r="F1356" t="s">
        <v>416</v>
      </c>
      <c r="G1356" s="31">
        <v>0.57999999999999996</v>
      </c>
      <c r="L1356">
        <v>16</v>
      </c>
      <c r="M1356">
        <v>16</v>
      </c>
      <c r="N1356" t="s">
        <v>53</v>
      </c>
      <c r="O1356">
        <v>4.5599999999999996</v>
      </c>
      <c r="P1356">
        <v>19955.903999999999</v>
      </c>
      <c r="Q1356" t="s">
        <v>526</v>
      </c>
      <c r="R1356" s="31">
        <v>0.44</v>
      </c>
    </row>
    <row r="1357" spans="1:18" x14ac:dyDescent="0.3">
      <c r="A1357">
        <v>30</v>
      </c>
      <c r="B1357">
        <v>30</v>
      </c>
      <c r="C1357" t="s">
        <v>27</v>
      </c>
      <c r="D1357">
        <v>4.33</v>
      </c>
      <c r="E1357">
        <v>293.85500000000002</v>
      </c>
      <c r="F1357" t="s">
        <v>417</v>
      </c>
      <c r="G1357" s="31">
        <v>0.12</v>
      </c>
      <c r="L1357">
        <v>17</v>
      </c>
      <c r="M1357">
        <v>17</v>
      </c>
      <c r="N1357" t="s">
        <v>54</v>
      </c>
      <c r="O1357">
        <v>5.18</v>
      </c>
      <c r="P1357">
        <v>4612.576</v>
      </c>
      <c r="Q1357" t="s">
        <v>527</v>
      </c>
      <c r="R1357" s="31">
        <v>0.16</v>
      </c>
    </row>
    <row r="1358" spans="1:18" x14ac:dyDescent="0.3">
      <c r="A1358">
        <v>31</v>
      </c>
      <c r="B1358">
        <v>31</v>
      </c>
      <c r="C1358" t="s">
        <v>28</v>
      </c>
      <c r="D1358">
        <v>3</v>
      </c>
      <c r="E1358">
        <v>120204.664</v>
      </c>
      <c r="F1358" t="s">
        <v>418</v>
      </c>
      <c r="G1358" s="31">
        <v>0.33</v>
      </c>
      <c r="L1358">
        <v>18</v>
      </c>
      <c r="M1358">
        <v>18</v>
      </c>
      <c r="N1358" t="s">
        <v>55</v>
      </c>
      <c r="O1358">
        <v>1.32</v>
      </c>
      <c r="P1358">
        <v>2833.8180000000002</v>
      </c>
      <c r="Q1358" t="s">
        <v>528</v>
      </c>
      <c r="R1358" s="31">
        <v>0.19</v>
      </c>
    </row>
    <row r="1359" spans="1:18" x14ac:dyDescent="0.3">
      <c r="A1359">
        <v>32</v>
      </c>
      <c r="B1359">
        <v>32</v>
      </c>
      <c r="C1359" t="s">
        <v>29</v>
      </c>
      <c r="D1359">
        <v>3.36</v>
      </c>
      <c r="E1359">
        <v>1136.8530000000001</v>
      </c>
      <c r="F1359" t="s">
        <v>419</v>
      </c>
      <c r="G1359" s="31">
        <v>0.09</v>
      </c>
      <c r="L1359">
        <v>19</v>
      </c>
      <c r="M1359">
        <v>19</v>
      </c>
      <c r="N1359" t="s">
        <v>56</v>
      </c>
      <c r="O1359">
        <v>0.87</v>
      </c>
      <c r="P1359">
        <v>33800.112999999998</v>
      </c>
      <c r="Q1359" t="s">
        <v>529</v>
      </c>
      <c r="R1359" s="31">
        <v>3.08</v>
      </c>
    </row>
    <row r="1360" spans="1:18" x14ac:dyDescent="0.3">
      <c r="A1360">
        <v>33</v>
      </c>
      <c r="B1360">
        <v>33</v>
      </c>
      <c r="C1360" t="s">
        <v>30</v>
      </c>
      <c r="D1360">
        <v>4.67</v>
      </c>
      <c r="E1360">
        <v>91246.710999999996</v>
      </c>
      <c r="F1360" t="s">
        <v>420</v>
      </c>
      <c r="G1360" s="31">
        <v>0.98</v>
      </c>
      <c r="L1360">
        <v>20</v>
      </c>
      <c r="M1360">
        <v>20</v>
      </c>
      <c r="N1360" t="s">
        <v>57</v>
      </c>
      <c r="O1360">
        <v>1.51</v>
      </c>
      <c r="P1360">
        <v>538.50900000000001</v>
      </c>
      <c r="Q1360" t="s">
        <v>530</v>
      </c>
      <c r="R1360" s="31">
        <v>0.35</v>
      </c>
    </row>
    <row r="1361" spans="1:18" x14ac:dyDescent="0.3">
      <c r="A1361">
        <v>34</v>
      </c>
      <c r="B1361">
        <v>34</v>
      </c>
      <c r="C1361" t="s">
        <v>31</v>
      </c>
      <c r="D1361">
        <v>3.25</v>
      </c>
      <c r="E1361">
        <v>6855.1570000000002</v>
      </c>
      <c r="F1361" t="s">
        <v>421</v>
      </c>
      <c r="G1361" s="31">
        <v>0.3</v>
      </c>
      <c r="L1361">
        <v>21</v>
      </c>
      <c r="M1361">
        <v>21</v>
      </c>
      <c r="N1361" t="s">
        <v>58</v>
      </c>
      <c r="O1361">
        <v>2.33</v>
      </c>
      <c r="P1361">
        <v>335.02199999999999</v>
      </c>
      <c r="Q1361" t="s">
        <v>531</v>
      </c>
      <c r="R1361" s="31">
        <v>0.36</v>
      </c>
    </row>
    <row r="1362" spans="1:18" x14ac:dyDescent="0.3">
      <c r="A1362">
        <v>35</v>
      </c>
      <c r="B1362">
        <v>35</v>
      </c>
      <c r="C1362" t="s">
        <v>32</v>
      </c>
      <c r="D1362">
        <v>3.06</v>
      </c>
      <c r="E1362">
        <v>257.226</v>
      </c>
      <c r="F1362" t="s">
        <v>422</v>
      </c>
      <c r="G1362" s="31">
        <v>0.11</v>
      </c>
      <c r="L1362">
        <v>22</v>
      </c>
      <c r="M1362">
        <v>22</v>
      </c>
      <c r="N1362" t="s">
        <v>59</v>
      </c>
      <c r="O1362">
        <v>2.5</v>
      </c>
      <c r="P1362">
        <v>28682.048999999999</v>
      </c>
      <c r="Q1362" t="s">
        <v>532</v>
      </c>
      <c r="R1362" s="31">
        <v>6.78</v>
      </c>
    </row>
    <row r="1363" spans="1:18" x14ac:dyDescent="0.3">
      <c r="A1363">
        <v>36</v>
      </c>
      <c r="B1363">
        <v>36</v>
      </c>
      <c r="C1363" t="s">
        <v>33</v>
      </c>
      <c r="D1363">
        <v>1.89</v>
      </c>
      <c r="E1363">
        <v>1892.4190000000001</v>
      </c>
      <c r="F1363" t="s">
        <v>423</v>
      </c>
      <c r="G1363" s="31">
        <v>0.65</v>
      </c>
      <c r="L1363">
        <v>23</v>
      </c>
      <c r="M1363">
        <v>23</v>
      </c>
      <c r="N1363" t="s">
        <v>60</v>
      </c>
      <c r="O1363">
        <v>2.58</v>
      </c>
      <c r="P1363">
        <v>13675.017</v>
      </c>
      <c r="Q1363" t="s">
        <v>533</v>
      </c>
      <c r="R1363" s="31">
        <v>1.75</v>
      </c>
    </row>
    <row r="1364" spans="1:18" x14ac:dyDescent="0.3">
      <c r="G1364" s="31">
        <f>G1341/G1343</f>
        <v>1.044776119402985</v>
      </c>
    </row>
    <row r="1365" spans="1:18" x14ac:dyDescent="0.3">
      <c r="A1365" t="s">
        <v>379</v>
      </c>
      <c r="L1365" t="s">
        <v>379</v>
      </c>
    </row>
    <row r="1367" spans="1:18" x14ac:dyDescent="0.3">
      <c r="A1367" t="s">
        <v>380</v>
      </c>
      <c r="L1367" t="s">
        <v>557</v>
      </c>
    </row>
    <row r="1369" spans="1:18" x14ac:dyDescent="0.3">
      <c r="A1369" t="s">
        <v>454</v>
      </c>
      <c r="L1369" t="s">
        <v>578</v>
      </c>
    </row>
    <row r="1371" spans="1:18" x14ac:dyDescent="0.3">
      <c r="B1371" t="s">
        <v>382</v>
      </c>
      <c r="C1371" t="s">
        <v>383</v>
      </c>
      <c r="D1371" t="s">
        <v>384</v>
      </c>
      <c r="E1371" t="s">
        <v>385</v>
      </c>
      <c r="F1371" t="s">
        <v>386</v>
      </c>
      <c r="G1371" s="31" t="s">
        <v>387</v>
      </c>
      <c r="M1371" t="s">
        <v>382</v>
      </c>
      <c r="N1371" t="s">
        <v>383</v>
      </c>
      <c r="O1371" t="s">
        <v>384</v>
      </c>
      <c r="P1371" t="s">
        <v>385</v>
      </c>
      <c r="Q1371" t="s">
        <v>386</v>
      </c>
      <c r="R1371" s="31" t="s">
        <v>387</v>
      </c>
    </row>
    <row r="1372" spans="1:18" x14ac:dyDescent="0.3">
      <c r="A1372">
        <v>1</v>
      </c>
      <c r="B1372">
        <v>1</v>
      </c>
      <c r="C1372" t="s">
        <v>0</v>
      </c>
      <c r="D1372">
        <v>1.01</v>
      </c>
      <c r="E1372">
        <v>7964.3280000000004</v>
      </c>
      <c r="F1372" t="s">
        <v>388</v>
      </c>
      <c r="G1372" s="31">
        <v>34.99</v>
      </c>
      <c r="L1372">
        <v>1</v>
      </c>
      <c r="M1372">
        <v>1</v>
      </c>
      <c r="N1372" t="s">
        <v>35</v>
      </c>
      <c r="O1372">
        <v>1.45</v>
      </c>
      <c r="P1372">
        <v>10022.501</v>
      </c>
      <c r="Q1372" t="s">
        <v>511</v>
      </c>
      <c r="R1372" s="31">
        <v>11.61</v>
      </c>
    </row>
    <row r="1373" spans="1:18" x14ac:dyDescent="0.3">
      <c r="A1373">
        <v>2</v>
      </c>
      <c r="B1373">
        <v>2</v>
      </c>
      <c r="C1373" t="s">
        <v>1</v>
      </c>
      <c r="D1373">
        <v>1.45</v>
      </c>
      <c r="E1373">
        <v>7140.31</v>
      </c>
      <c r="F1373" t="s">
        <v>389</v>
      </c>
      <c r="G1373" s="31">
        <v>5.71</v>
      </c>
      <c r="L1373">
        <v>2</v>
      </c>
      <c r="M1373">
        <v>2</v>
      </c>
      <c r="N1373" t="s">
        <v>36</v>
      </c>
      <c r="O1373">
        <v>1.67</v>
      </c>
      <c r="P1373">
        <v>659353</v>
      </c>
      <c r="Q1373" t="s">
        <v>512</v>
      </c>
      <c r="R1373" s="31">
        <v>135.78</v>
      </c>
    </row>
    <row r="1374" spans="1:18" x14ac:dyDescent="0.3">
      <c r="A1374">
        <v>3</v>
      </c>
      <c r="B1374">
        <v>3</v>
      </c>
      <c r="C1374" t="s">
        <v>50</v>
      </c>
      <c r="D1374">
        <v>3.66</v>
      </c>
      <c r="E1374">
        <v>61.472000000000001</v>
      </c>
      <c r="F1374" t="s">
        <v>390</v>
      </c>
      <c r="G1374" s="31">
        <v>0.14000000000000001</v>
      </c>
      <c r="L1374">
        <v>3</v>
      </c>
      <c r="M1374">
        <v>3</v>
      </c>
      <c r="N1374" t="s">
        <v>37</v>
      </c>
      <c r="O1374">
        <v>1.82</v>
      </c>
      <c r="P1374">
        <v>286.81099999999998</v>
      </c>
      <c r="Q1374" t="s">
        <v>513</v>
      </c>
      <c r="R1374" s="31">
        <v>0.14000000000000001</v>
      </c>
    </row>
    <row r="1375" spans="1:18" x14ac:dyDescent="0.3">
      <c r="A1375">
        <v>4</v>
      </c>
      <c r="B1375">
        <v>4</v>
      </c>
      <c r="C1375" t="s">
        <v>2</v>
      </c>
      <c r="D1375">
        <v>3.68</v>
      </c>
      <c r="E1375">
        <v>34723.379000000001</v>
      </c>
      <c r="F1375" t="s">
        <v>391</v>
      </c>
      <c r="G1375" s="31">
        <v>1.1599999999999999</v>
      </c>
      <c r="L1375">
        <v>4</v>
      </c>
      <c r="M1375">
        <v>4</v>
      </c>
      <c r="N1375" t="s">
        <v>38</v>
      </c>
      <c r="O1375">
        <v>1.18</v>
      </c>
      <c r="P1375">
        <v>1543.3810000000001</v>
      </c>
      <c r="Q1375" t="s">
        <v>514</v>
      </c>
      <c r="R1375" s="31">
        <v>0.34</v>
      </c>
    </row>
    <row r="1376" spans="1:18" x14ac:dyDescent="0.3">
      <c r="A1376">
        <v>5</v>
      </c>
      <c r="B1376">
        <v>5</v>
      </c>
      <c r="C1376" t="s">
        <v>3</v>
      </c>
      <c r="D1376">
        <v>4.4800000000000004</v>
      </c>
      <c r="E1376">
        <v>160.60900000000001</v>
      </c>
      <c r="F1376" t="s">
        <v>392</v>
      </c>
      <c r="G1376" s="31">
        <v>0.1</v>
      </c>
      <c r="L1376">
        <v>5</v>
      </c>
      <c r="M1376">
        <v>5</v>
      </c>
      <c r="N1376" t="s">
        <v>39</v>
      </c>
      <c r="O1376">
        <v>1.38</v>
      </c>
      <c r="P1376">
        <v>109315.54700000001</v>
      </c>
      <c r="Q1376" t="s">
        <v>515</v>
      </c>
      <c r="R1376" s="31">
        <v>27.41</v>
      </c>
    </row>
    <row r="1377" spans="1:18" x14ac:dyDescent="0.3">
      <c r="A1377">
        <v>6</v>
      </c>
      <c r="B1377">
        <v>6</v>
      </c>
      <c r="C1377" t="s">
        <v>4</v>
      </c>
      <c r="D1377">
        <v>4.79</v>
      </c>
      <c r="E1377">
        <v>80748.593999999997</v>
      </c>
      <c r="F1377" t="s">
        <v>393</v>
      </c>
      <c r="G1377" s="31">
        <v>1.92</v>
      </c>
      <c r="L1377">
        <v>6</v>
      </c>
      <c r="M1377">
        <v>6</v>
      </c>
      <c r="N1377" t="s">
        <v>40</v>
      </c>
      <c r="O1377">
        <v>1.53</v>
      </c>
      <c r="P1377">
        <v>7314.64</v>
      </c>
      <c r="Q1377" t="s">
        <v>516</v>
      </c>
      <c r="R1377" s="31">
        <v>0.94</v>
      </c>
    </row>
    <row r="1378" spans="1:18" x14ac:dyDescent="0.3">
      <c r="A1378">
        <v>7</v>
      </c>
      <c r="B1378">
        <v>7</v>
      </c>
      <c r="C1378" t="s">
        <v>5</v>
      </c>
      <c r="D1378">
        <v>2.71</v>
      </c>
      <c r="E1378">
        <v>7313.3109999999997</v>
      </c>
      <c r="F1378" t="s">
        <v>394</v>
      </c>
      <c r="G1378" s="31">
        <v>0.62</v>
      </c>
      <c r="L1378">
        <v>7</v>
      </c>
      <c r="M1378">
        <v>7</v>
      </c>
      <c r="N1378" t="s">
        <v>41</v>
      </c>
      <c r="O1378">
        <v>2.29</v>
      </c>
      <c r="P1378">
        <v>2132.6289999999999</v>
      </c>
      <c r="Q1378" t="s">
        <v>517</v>
      </c>
      <c r="R1378" s="31">
        <v>2.5099999999999998</v>
      </c>
    </row>
    <row r="1379" spans="1:18" x14ac:dyDescent="0.3">
      <c r="A1379">
        <v>8</v>
      </c>
      <c r="B1379">
        <v>8</v>
      </c>
      <c r="C1379" t="s">
        <v>6</v>
      </c>
      <c r="D1379">
        <v>0.67</v>
      </c>
      <c r="E1379">
        <v>2760.404</v>
      </c>
      <c r="F1379" t="s">
        <v>395</v>
      </c>
      <c r="G1379" s="31">
        <v>17.920000000000002</v>
      </c>
      <c r="L1379">
        <v>8</v>
      </c>
      <c r="M1379">
        <v>8</v>
      </c>
      <c r="N1379" t="s">
        <v>42</v>
      </c>
      <c r="O1379">
        <v>0.88</v>
      </c>
      <c r="P1379">
        <v>86.671000000000006</v>
      </c>
      <c r="Q1379" t="s">
        <v>518</v>
      </c>
      <c r="R1379" s="31">
        <v>21.94</v>
      </c>
    </row>
    <row r="1380" spans="1:18" x14ac:dyDescent="0.3">
      <c r="A1380">
        <v>9</v>
      </c>
      <c r="B1380">
        <v>9</v>
      </c>
      <c r="C1380" t="s">
        <v>7</v>
      </c>
      <c r="D1380">
        <v>3.56</v>
      </c>
      <c r="E1380">
        <v>767.73</v>
      </c>
      <c r="F1380" t="s">
        <v>396</v>
      </c>
      <c r="G1380" s="31">
        <v>1.1200000000000001</v>
      </c>
      <c r="L1380">
        <v>9</v>
      </c>
      <c r="M1380">
        <v>9</v>
      </c>
      <c r="N1380" t="s">
        <v>43</v>
      </c>
      <c r="O1380">
        <v>2.5499999999999998</v>
      </c>
      <c r="P1380">
        <v>3732.4949999999999</v>
      </c>
      <c r="Q1380" t="s">
        <v>519</v>
      </c>
      <c r="R1380" s="31">
        <v>7.0000000000000007E-2</v>
      </c>
    </row>
    <row r="1381" spans="1:18" x14ac:dyDescent="0.3">
      <c r="A1381">
        <v>10</v>
      </c>
      <c r="B1381">
        <v>10</v>
      </c>
      <c r="C1381" t="s">
        <v>51</v>
      </c>
      <c r="D1381">
        <v>4.59</v>
      </c>
      <c r="E1381">
        <v>2076.4059999999999</v>
      </c>
      <c r="F1381" t="s">
        <v>397</v>
      </c>
      <c r="G1381" s="31">
        <v>0.22</v>
      </c>
      <c r="L1381">
        <v>10</v>
      </c>
      <c r="M1381">
        <v>10</v>
      </c>
      <c r="N1381" t="s">
        <v>52</v>
      </c>
      <c r="O1381">
        <v>4.1399999999999997</v>
      </c>
      <c r="P1381">
        <v>10684.225</v>
      </c>
      <c r="Q1381" t="s">
        <v>520</v>
      </c>
      <c r="R1381" s="31">
        <v>0.52</v>
      </c>
    </row>
    <row r="1382" spans="1:18" x14ac:dyDescent="0.3">
      <c r="A1382">
        <v>11</v>
      </c>
      <c r="B1382">
        <v>11</v>
      </c>
      <c r="C1382" t="s">
        <v>8</v>
      </c>
      <c r="D1382">
        <v>2.73</v>
      </c>
      <c r="E1382">
        <v>127119.234</v>
      </c>
      <c r="F1382" t="s">
        <v>398</v>
      </c>
      <c r="G1382" s="31">
        <v>3.45</v>
      </c>
      <c r="L1382">
        <v>11</v>
      </c>
      <c r="M1382">
        <v>11</v>
      </c>
      <c r="N1382" t="s">
        <v>44</v>
      </c>
      <c r="O1382">
        <v>4.1900000000000004</v>
      </c>
      <c r="P1382">
        <v>305.24</v>
      </c>
      <c r="Q1382" t="s">
        <v>521</v>
      </c>
      <c r="R1382" s="31">
        <v>0.17</v>
      </c>
    </row>
    <row r="1383" spans="1:18" x14ac:dyDescent="0.3">
      <c r="A1383">
        <v>12</v>
      </c>
      <c r="B1383">
        <v>12</v>
      </c>
      <c r="C1383" t="s">
        <v>9</v>
      </c>
      <c r="D1383">
        <v>2.62</v>
      </c>
      <c r="E1383">
        <v>18343.219000000001</v>
      </c>
      <c r="F1383" t="s">
        <v>399</v>
      </c>
      <c r="G1383" s="31">
        <v>3.15</v>
      </c>
      <c r="L1383">
        <v>12</v>
      </c>
      <c r="M1383">
        <v>12</v>
      </c>
      <c r="N1383" t="s">
        <v>45</v>
      </c>
      <c r="O1383">
        <v>3.45</v>
      </c>
      <c r="P1383">
        <v>335400.68800000002</v>
      </c>
      <c r="Q1383" t="s">
        <v>522</v>
      </c>
      <c r="R1383" s="31">
        <v>2.78</v>
      </c>
    </row>
    <row r="1384" spans="1:18" x14ac:dyDescent="0.3">
      <c r="A1384">
        <v>13</v>
      </c>
      <c r="B1384">
        <v>13</v>
      </c>
      <c r="C1384" t="s">
        <v>10</v>
      </c>
      <c r="D1384">
        <v>4.09</v>
      </c>
      <c r="E1384">
        <v>821163.56299999997</v>
      </c>
      <c r="F1384" t="s">
        <v>400</v>
      </c>
      <c r="G1384" s="31">
        <v>35.770000000000003</v>
      </c>
      <c r="L1384">
        <v>13</v>
      </c>
      <c r="M1384">
        <v>13</v>
      </c>
      <c r="N1384" t="s">
        <v>46</v>
      </c>
      <c r="O1384">
        <v>2.59</v>
      </c>
      <c r="P1384">
        <v>136686.28099999999</v>
      </c>
      <c r="Q1384" t="s">
        <v>523</v>
      </c>
      <c r="R1384" s="31">
        <v>7.76</v>
      </c>
    </row>
    <row r="1385" spans="1:18" x14ac:dyDescent="0.3">
      <c r="A1385">
        <v>14</v>
      </c>
      <c r="B1385">
        <v>14</v>
      </c>
      <c r="C1385" t="s">
        <v>11</v>
      </c>
      <c r="D1385">
        <v>3.51</v>
      </c>
      <c r="E1385">
        <v>47.881</v>
      </c>
      <c r="F1385" t="s">
        <v>401</v>
      </c>
      <c r="G1385" s="31">
        <v>1.77</v>
      </c>
      <c r="L1385">
        <v>14</v>
      </c>
      <c r="M1385">
        <v>14</v>
      </c>
      <c r="N1385" t="s">
        <v>47</v>
      </c>
      <c r="O1385">
        <v>0.68</v>
      </c>
      <c r="P1385">
        <v>25147.166000000001</v>
      </c>
      <c r="Q1385" t="s">
        <v>524</v>
      </c>
      <c r="R1385" s="31">
        <v>14.27</v>
      </c>
    </row>
    <row r="1386" spans="1:18" x14ac:dyDescent="0.3">
      <c r="A1386">
        <v>15</v>
      </c>
      <c r="B1386">
        <v>15</v>
      </c>
      <c r="C1386" t="s">
        <v>12</v>
      </c>
      <c r="D1386">
        <v>3.33</v>
      </c>
      <c r="E1386">
        <v>566.66499999999996</v>
      </c>
      <c r="F1386" t="s">
        <v>402</v>
      </c>
      <c r="G1386" s="31">
        <v>1.36</v>
      </c>
      <c r="L1386">
        <v>15</v>
      </c>
      <c r="M1386">
        <v>15</v>
      </c>
      <c r="N1386" t="s">
        <v>48</v>
      </c>
      <c r="O1386">
        <v>1.22</v>
      </c>
      <c r="P1386">
        <v>11445.097</v>
      </c>
      <c r="Q1386" t="s">
        <v>525</v>
      </c>
      <c r="R1386" s="31">
        <v>1.8</v>
      </c>
    </row>
    <row r="1387" spans="1:18" x14ac:dyDescent="0.3">
      <c r="A1387">
        <v>16</v>
      </c>
      <c r="B1387">
        <v>16</v>
      </c>
      <c r="C1387" t="s">
        <v>13</v>
      </c>
      <c r="D1387">
        <v>3.23</v>
      </c>
      <c r="E1387">
        <v>17054.059000000001</v>
      </c>
      <c r="F1387" t="s">
        <v>403</v>
      </c>
      <c r="G1387" s="31">
        <v>1.62</v>
      </c>
      <c r="L1387">
        <v>16</v>
      </c>
      <c r="M1387">
        <v>16</v>
      </c>
      <c r="N1387" t="s">
        <v>53</v>
      </c>
      <c r="O1387">
        <v>4.57</v>
      </c>
      <c r="P1387">
        <v>31794.555</v>
      </c>
      <c r="Q1387" t="s">
        <v>526</v>
      </c>
      <c r="R1387" s="31">
        <v>0.52</v>
      </c>
    </row>
    <row r="1388" spans="1:18" x14ac:dyDescent="0.3">
      <c r="A1388">
        <v>17</v>
      </c>
      <c r="B1388">
        <v>17</v>
      </c>
      <c r="C1388" t="s">
        <v>14</v>
      </c>
      <c r="D1388">
        <v>2.0099999999999998</v>
      </c>
      <c r="E1388">
        <v>49256.824000000001</v>
      </c>
      <c r="F1388" t="s">
        <v>404</v>
      </c>
      <c r="G1388" s="31">
        <v>4.07</v>
      </c>
      <c r="L1388">
        <v>17</v>
      </c>
      <c r="M1388">
        <v>17</v>
      </c>
      <c r="N1388" t="s">
        <v>54</v>
      </c>
      <c r="O1388">
        <v>5.26</v>
      </c>
      <c r="P1388">
        <v>39.853000000000002</v>
      </c>
      <c r="Q1388" t="s">
        <v>527</v>
      </c>
      <c r="R1388" s="31">
        <v>0.1</v>
      </c>
    </row>
    <row r="1389" spans="1:18" x14ac:dyDescent="0.3">
      <c r="A1389">
        <v>18</v>
      </c>
      <c r="B1389">
        <v>18</v>
      </c>
      <c r="C1389" t="s">
        <v>15</v>
      </c>
      <c r="D1389">
        <v>2.4900000000000002</v>
      </c>
      <c r="E1389">
        <v>63475.641000000003</v>
      </c>
      <c r="F1389" t="s">
        <v>405</v>
      </c>
      <c r="G1389" s="31">
        <v>15.71</v>
      </c>
      <c r="L1389">
        <v>18</v>
      </c>
      <c r="M1389">
        <v>18</v>
      </c>
      <c r="N1389" t="s">
        <v>55</v>
      </c>
      <c r="O1389">
        <v>1.31</v>
      </c>
      <c r="P1389">
        <v>648.11699999999996</v>
      </c>
      <c r="Q1389" t="s">
        <v>528</v>
      </c>
      <c r="R1389" s="31">
        <v>0.13</v>
      </c>
    </row>
    <row r="1390" spans="1:18" x14ac:dyDescent="0.3">
      <c r="A1390">
        <v>19</v>
      </c>
      <c r="B1390">
        <v>19</v>
      </c>
      <c r="C1390" t="s">
        <v>16</v>
      </c>
      <c r="D1390">
        <v>2.7</v>
      </c>
      <c r="E1390">
        <v>9366.5959999999995</v>
      </c>
      <c r="F1390" t="s">
        <v>406</v>
      </c>
      <c r="G1390" s="31">
        <v>0.28999999999999998</v>
      </c>
      <c r="L1390">
        <v>19</v>
      </c>
      <c r="M1390">
        <v>19</v>
      </c>
      <c r="N1390" t="s">
        <v>56</v>
      </c>
      <c r="O1390">
        <v>0.87</v>
      </c>
      <c r="P1390">
        <v>9672.4650000000001</v>
      </c>
      <c r="Q1390" t="s">
        <v>529</v>
      </c>
      <c r="R1390" s="31">
        <v>0.1</v>
      </c>
    </row>
    <row r="1391" spans="1:18" x14ac:dyDescent="0.3">
      <c r="A1391">
        <v>20</v>
      </c>
      <c r="B1391">
        <v>20</v>
      </c>
      <c r="C1391" t="s">
        <v>17</v>
      </c>
      <c r="D1391">
        <v>3.13</v>
      </c>
      <c r="E1391">
        <v>16185.228999999999</v>
      </c>
      <c r="F1391" t="s">
        <v>407</v>
      </c>
      <c r="G1391" s="31">
        <v>1.7</v>
      </c>
      <c r="L1391">
        <v>20</v>
      </c>
      <c r="M1391">
        <v>20</v>
      </c>
      <c r="N1391" t="s">
        <v>57</v>
      </c>
      <c r="O1391">
        <v>1.51</v>
      </c>
      <c r="P1391">
        <v>348.09500000000003</v>
      </c>
      <c r="Q1391" t="s">
        <v>530</v>
      </c>
      <c r="R1391" s="31">
        <v>0.15</v>
      </c>
    </row>
    <row r="1392" spans="1:18" x14ac:dyDescent="0.3">
      <c r="A1392">
        <v>21</v>
      </c>
      <c r="B1392">
        <v>21</v>
      </c>
      <c r="C1392" t="s">
        <v>18</v>
      </c>
      <c r="D1392">
        <v>3.68</v>
      </c>
      <c r="E1392">
        <v>17457.359</v>
      </c>
      <c r="F1392" t="s">
        <v>408</v>
      </c>
      <c r="G1392" s="31">
        <v>0.43</v>
      </c>
      <c r="L1392">
        <v>21</v>
      </c>
      <c r="M1392">
        <v>21</v>
      </c>
      <c r="N1392" t="s">
        <v>58</v>
      </c>
      <c r="O1392">
        <v>2.33</v>
      </c>
      <c r="P1392">
        <v>346.09500000000003</v>
      </c>
      <c r="Q1392" t="s">
        <v>531</v>
      </c>
      <c r="R1392" s="31">
        <v>0.26</v>
      </c>
    </row>
    <row r="1393" spans="1:18" x14ac:dyDescent="0.3">
      <c r="A1393">
        <v>22</v>
      </c>
      <c r="B1393">
        <v>22</v>
      </c>
      <c r="C1393" t="s">
        <v>19</v>
      </c>
      <c r="D1393">
        <v>2.62</v>
      </c>
      <c r="E1393">
        <v>117212.375</v>
      </c>
      <c r="F1393" t="s">
        <v>409</v>
      </c>
      <c r="G1393" s="31">
        <v>6.12</v>
      </c>
      <c r="L1393">
        <v>22</v>
      </c>
      <c r="M1393">
        <v>22</v>
      </c>
      <c r="N1393" t="s">
        <v>59</v>
      </c>
      <c r="O1393">
        <v>2.5</v>
      </c>
      <c r="P1393">
        <v>1144.6880000000001</v>
      </c>
      <c r="Q1393" t="s">
        <v>532</v>
      </c>
      <c r="R1393" s="31">
        <v>0.1</v>
      </c>
    </row>
    <row r="1394" spans="1:18" x14ac:dyDescent="0.3">
      <c r="A1394">
        <v>23</v>
      </c>
      <c r="B1394">
        <v>23</v>
      </c>
      <c r="C1394" t="s">
        <v>20</v>
      </c>
      <c r="D1394">
        <v>2.89</v>
      </c>
      <c r="E1394">
        <v>26928.018</v>
      </c>
      <c r="F1394" t="s">
        <v>410</v>
      </c>
      <c r="G1394" s="31">
        <v>0.9</v>
      </c>
      <c r="L1394">
        <v>23</v>
      </c>
      <c r="M1394">
        <v>23</v>
      </c>
      <c r="N1394" t="s">
        <v>60</v>
      </c>
      <c r="O1394">
        <v>2.58</v>
      </c>
      <c r="P1394">
        <v>13776.716</v>
      </c>
      <c r="Q1394" t="s">
        <v>533</v>
      </c>
      <c r="R1394" s="31">
        <v>1.23</v>
      </c>
    </row>
    <row r="1395" spans="1:18" x14ac:dyDescent="0.3">
      <c r="A1395">
        <v>24</v>
      </c>
      <c r="B1395">
        <v>24</v>
      </c>
      <c r="C1395" t="s">
        <v>21</v>
      </c>
      <c r="D1395">
        <v>4.1100000000000003</v>
      </c>
      <c r="E1395">
        <v>449.41899999999998</v>
      </c>
      <c r="F1395" t="s">
        <v>411</v>
      </c>
      <c r="G1395" s="31">
        <v>0.11</v>
      </c>
    </row>
    <row r="1396" spans="1:18" x14ac:dyDescent="0.3">
      <c r="A1396">
        <v>25</v>
      </c>
      <c r="B1396">
        <v>25</v>
      </c>
      <c r="C1396" t="s">
        <v>22</v>
      </c>
      <c r="D1396">
        <v>3.41</v>
      </c>
      <c r="E1396">
        <v>497.04599999999999</v>
      </c>
      <c r="F1396" t="s">
        <v>412</v>
      </c>
      <c r="G1396" s="31">
        <v>2.95</v>
      </c>
      <c r="L1396" t="s">
        <v>379</v>
      </c>
    </row>
    <row r="1397" spans="1:18" x14ac:dyDescent="0.3">
      <c r="A1397">
        <v>26</v>
      </c>
      <c r="B1397">
        <v>26</v>
      </c>
      <c r="C1397" t="s">
        <v>23</v>
      </c>
      <c r="D1397">
        <v>3.35</v>
      </c>
      <c r="E1397">
        <v>134153.28099999999</v>
      </c>
      <c r="F1397" t="s">
        <v>413</v>
      </c>
      <c r="G1397" s="31">
        <v>6.76</v>
      </c>
    </row>
    <row r="1398" spans="1:18" x14ac:dyDescent="0.3">
      <c r="A1398">
        <v>27</v>
      </c>
      <c r="B1398">
        <v>27</v>
      </c>
      <c r="C1398" t="s">
        <v>24</v>
      </c>
      <c r="D1398">
        <v>3.44</v>
      </c>
      <c r="E1398">
        <v>2033.585</v>
      </c>
      <c r="F1398" t="s">
        <v>414</v>
      </c>
      <c r="G1398" s="31">
        <v>0.8</v>
      </c>
      <c r="L1398" t="s">
        <v>557</v>
      </c>
    </row>
    <row r="1399" spans="1:18" x14ac:dyDescent="0.3">
      <c r="A1399">
        <v>28</v>
      </c>
      <c r="B1399">
        <v>28</v>
      </c>
      <c r="C1399" t="s">
        <v>25</v>
      </c>
      <c r="D1399">
        <v>3.51</v>
      </c>
      <c r="E1399">
        <v>8503.8040000000001</v>
      </c>
      <c r="F1399" t="s">
        <v>415</v>
      </c>
      <c r="G1399" s="31">
        <v>0.76</v>
      </c>
    </row>
    <row r="1400" spans="1:18" x14ac:dyDescent="0.3">
      <c r="A1400">
        <v>29</v>
      </c>
      <c r="B1400">
        <v>29</v>
      </c>
      <c r="C1400" t="s">
        <v>26</v>
      </c>
      <c r="D1400">
        <v>1.03</v>
      </c>
      <c r="E1400">
        <v>2153.0839999999998</v>
      </c>
      <c r="F1400" t="s">
        <v>416</v>
      </c>
      <c r="G1400" s="31">
        <v>1.22</v>
      </c>
      <c r="L1400" t="s">
        <v>579</v>
      </c>
    </row>
    <row r="1401" spans="1:18" x14ac:dyDescent="0.3">
      <c r="A1401">
        <v>30</v>
      </c>
      <c r="B1401">
        <v>30</v>
      </c>
      <c r="C1401" t="s">
        <v>27</v>
      </c>
      <c r="D1401">
        <v>4.33</v>
      </c>
      <c r="E1401">
        <v>687.23</v>
      </c>
      <c r="F1401" t="s">
        <v>417</v>
      </c>
      <c r="G1401" s="31">
        <v>0.13</v>
      </c>
    </row>
    <row r="1402" spans="1:18" x14ac:dyDescent="0.3">
      <c r="A1402">
        <v>31</v>
      </c>
      <c r="B1402">
        <v>31</v>
      </c>
      <c r="C1402" t="s">
        <v>28</v>
      </c>
      <c r="D1402">
        <v>3</v>
      </c>
      <c r="E1402">
        <v>57369.16</v>
      </c>
      <c r="F1402" t="s">
        <v>418</v>
      </c>
      <c r="G1402" s="31">
        <v>0.12</v>
      </c>
      <c r="M1402" t="s">
        <v>382</v>
      </c>
      <c r="N1402" t="s">
        <v>383</v>
      </c>
      <c r="O1402" t="s">
        <v>384</v>
      </c>
      <c r="P1402" t="s">
        <v>385</v>
      </c>
      <c r="Q1402" t="s">
        <v>386</v>
      </c>
      <c r="R1402" s="31" t="s">
        <v>387</v>
      </c>
    </row>
    <row r="1403" spans="1:18" x14ac:dyDescent="0.3">
      <c r="A1403">
        <v>32</v>
      </c>
      <c r="B1403">
        <v>32</v>
      </c>
      <c r="C1403" t="s">
        <v>29</v>
      </c>
      <c r="D1403">
        <v>3.34</v>
      </c>
      <c r="E1403">
        <v>451.71300000000002</v>
      </c>
      <c r="F1403" t="s">
        <v>419</v>
      </c>
      <c r="G1403" s="31">
        <v>0.05</v>
      </c>
      <c r="L1403">
        <v>1</v>
      </c>
      <c r="M1403">
        <v>1</v>
      </c>
      <c r="N1403" t="s">
        <v>35</v>
      </c>
      <c r="Q1403" t="s">
        <v>511</v>
      </c>
      <c r="R1403" s="31">
        <v>0.1</v>
      </c>
    </row>
    <row r="1404" spans="1:18" x14ac:dyDescent="0.3">
      <c r="A1404">
        <v>33</v>
      </c>
      <c r="B1404">
        <v>33</v>
      </c>
      <c r="C1404" t="s">
        <v>30</v>
      </c>
      <c r="D1404">
        <v>4.67</v>
      </c>
      <c r="E1404">
        <v>59147.262000000002</v>
      </c>
      <c r="F1404" t="s">
        <v>420</v>
      </c>
      <c r="G1404" s="31">
        <v>0.76</v>
      </c>
      <c r="L1404">
        <v>2</v>
      </c>
      <c r="M1404">
        <v>2</v>
      </c>
      <c r="N1404" t="s">
        <v>36</v>
      </c>
      <c r="O1404">
        <v>1.69</v>
      </c>
      <c r="P1404">
        <v>170.798</v>
      </c>
      <c r="Q1404" t="s">
        <v>512</v>
      </c>
      <c r="R1404" s="31">
        <v>427.89</v>
      </c>
    </row>
    <row r="1405" spans="1:18" x14ac:dyDescent="0.3">
      <c r="A1405">
        <v>34</v>
      </c>
      <c r="B1405">
        <v>34</v>
      </c>
      <c r="C1405" t="s">
        <v>31</v>
      </c>
      <c r="D1405">
        <v>3.5</v>
      </c>
      <c r="E1405">
        <v>1554.3620000000001</v>
      </c>
      <c r="F1405" t="s">
        <v>421</v>
      </c>
      <c r="G1405" s="31">
        <v>0.08</v>
      </c>
      <c r="L1405">
        <v>3</v>
      </c>
      <c r="M1405">
        <v>3</v>
      </c>
      <c r="N1405" t="s">
        <v>37</v>
      </c>
      <c r="Q1405" t="s">
        <v>513</v>
      </c>
      <c r="R1405" s="31">
        <v>0.1</v>
      </c>
    </row>
    <row r="1406" spans="1:18" x14ac:dyDescent="0.3">
      <c r="A1406">
        <v>35</v>
      </c>
      <c r="B1406">
        <v>35</v>
      </c>
      <c r="C1406" t="s">
        <v>32</v>
      </c>
      <c r="D1406">
        <v>3.06</v>
      </c>
      <c r="E1406">
        <v>113.13</v>
      </c>
      <c r="F1406" t="s">
        <v>422</v>
      </c>
      <c r="G1406" s="31">
        <v>0.1</v>
      </c>
      <c r="L1406">
        <v>4</v>
      </c>
      <c r="M1406">
        <v>4</v>
      </c>
      <c r="N1406" t="s">
        <v>38</v>
      </c>
      <c r="O1406">
        <v>1.29</v>
      </c>
      <c r="P1406">
        <v>123.633</v>
      </c>
      <c r="Q1406" t="s">
        <v>514</v>
      </c>
      <c r="R1406" s="31">
        <v>0.77</v>
      </c>
    </row>
    <row r="1407" spans="1:18" x14ac:dyDescent="0.3">
      <c r="A1407">
        <v>36</v>
      </c>
      <c r="B1407">
        <v>36</v>
      </c>
      <c r="C1407" t="s">
        <v>33</v>
      </c>
      <c r="D1407">
        <v>1.89</v>
      </c>
      <c r="E1407">
        <v>647.94100000000003</v>
      </c>
      <c r="F1407" t="s">
        <v>423</v>
      </c>
      <c r="G1407" s="31">
        <v>0.24</v>
      </c>
      <c r="L1407">
        <v>5</v>
      </c>
      <c r="M1407">
        <v>5</v>
      </c>
      <c r="N1407" t="s">
        <v>39</v>
      </c>
      <c r="O1407">
        <v>1.38</v>
      </c>
      <c r="P1407">
        <v>37.229999999999997</v>
      </c>
      <c r="Q1407" t="s">
        <v>515</v>
      </c>
      <c r="R1407" s="31">
        <v>45.86</v>
      </c>
    </row>
    <row r="1408" spans="1:18" x14ac:dyDescent="0.3">
      <c r="G1408" s="31">
        <f>G1385/G1387</f>
        <v>1.0925925925925926</v>
      </c>
      <c r="L1408">
        <v>6</v>
      </c>
      <c r="M1408">
        <v>6</v>
      </c>
      <c r="N1408" t="s">
        <v>40</v>
      </c>
      <c r="Q1408" t="s">
        <v>516</v>
      </c>
      <c r="R1408" s="31">
        <v>0.1</v>
      </c>
    </row>
    <row r="1409" spans="1:18" x14ac:dyDescent="0.3">
      <c r="A1409" t="s">
        <v>379</v>
      </c>
      <c r="L1409">
        <v>7</v>
      </c>
      <c r="M1409">
        <v>7</v>
      </c>
      <c r="N1409" t="s">
        <v>41</v>
      </c>
      <c r="Q1409" t="s">
        <v>517</v>
      </c>
      <c r="R1409" s="31">
        <v>0.1</v>
      </c>
    </row>
    <row r="1410" spans="1:18" x14ac:dyDescent="0.3">
      <c r="L1410">
        <v>8</v>
      </c>
      <c r="M1410">
        <v>8</v>
      </c>
      <c r="N1410" t="s">
        <v>42</v>
      </c>
      <c r="Q1410" t="s">
        <v>518</v>
      </c>
      <c r="R1410" s="31">
        <v>0.1</v>
      </c>
    </row>
    <row r="1411" spans="1:18" x14ac:dyDescent="0.3">
      <c r="A1411" t="s">
        <v>380</v>
      </c>
      <c r="L1411">
        <v>9</v>
      </c>
      <c r="M1411">
        <v>9</v>
      </c>
      <c r="N1411" t="s">
        <v>43</v>
      </c>
      <c r="O1411">
        <v>2.64</v>
      </c>
      <c r="P1411">
        <v>8.125</v>
      </c>
      <c r="Q1411" t="s">
        <v>519</v>
      </c>
      <c r="R1411" s="31">
        <v>0.11</v>
      </c>
    </row>
    <row r="1412" spans="1:18" x14ac:dyDescent="0.3">
      <c r="L1412">
        <v>10</v>
      </c>
      <c r="M1412">
        <v>10</v>
      </c>
      <c r="N1412" t="s">
        <v>52</v>
      </c>
      <c r="O1412">
        <v>4.22</v>
      </c>
      <c r="P1412">
        <v>75.253</v>
      </c>
      <c r="Q1412" t="s">
        <v>520</v>
      </c>
      <c r="R1412" s="31">
        <v>0.1</v>
      </c>
    </row>
    <row r="1413" spans="1:18" x14ac:dyDescent="0.3">
      <c r="A1413" t="s">
        <v>455</v>
      </c>
      <c r="L1413">
        <v>11</v>
      </c>
      <c r="M1413">
        <v>11</v>
      </c>
      <c r="N1413" t="s">
        <v>44</v>
      </c>
      <c r="Q1413" t="s">
        <v>521</v>
      </c>
      <c r="R1413" s="31">
        <v>0.1</v>
      </c>
    </row>
    <row r="1414" spans="1:18" x14ac:dyDescent="0.3">
      <c r="L1414">
        <v>12</v>
      </c>
      <c r="M1414">
        <v>12</v>
      </c>
      <c r="N1414" t="s">
        <v>45</v>
      </c>
      <c r="O1414">
        <v>3.37</v>
      </c>
      <c r="P1414">
        <v>52.325000000000003</v>
      </c>
      <c r="Q1414" t="s">
        <v>522</v>
      </c>
      <c r="R1414" s="31">
        <v>0.1</v>
      </c>
    </row>
    <row r="1415" spans="1:18" x14ac:dyDescent="0.3">
      <c r="B1415" t="s">
        <v>382</v>
      </c>
      <c r="C1415" t="s">
        <v>383</v>
      </c>
      <c r="D1415" t="s">
        <v>384</v>
      </c>
      <c r="E1415" t="s">
        <v>385</v>
      </c>
      <c r="F1415" t="s">
        <v>386</v>
      </c>
      <c r="G1415" s="31" t="s">
        <v>387</v>
      </c>
      <c r="L1415">
        <v>13</v>
      </c>
      <c r="M1415">
        <v>13</v>
      </c>
      <c r="N1415" t="s">
        <v>46</v>
      </c>
      <c r="O1415">
        <v>2.56</v>
      </c>
      <c r="P1415">
        <v>566.298</v>
      </c>
      <c r="Q1415" t="s">
        <v>523</v>
      </c>
      <c r="R1415" s="31">
        <v>0.1</v>
      </c>
    </row>
    <row r="1416" spans="1:18" x14ac:dyDescent="0.3">
      <c r="A1416">
        <v>1</v>
      </c>
      <c r="B1416">
        <v>1</v>
      </c>
      <c r="C1416" t="s">
        <v>0</v>
      </c>
      <c r="D1416">
        <v>1.1100000000000001</v>
      </c>
      <c r="E1416">
        <v>53.923999999999999</v>
      </c>
      <c r="F1416" t="s">
        <v>388</v>
      </c>
      <c r="G1416" s="31">
        <v>0.1</v>
      </c>
      <c r="L1416">
        <v>14</v>
      </c>
      <c r="M1416">
        <v>14</v>
      </c>
      <c r="N1416" t="s">
        <v>47</v>
      </c>
      <c r="Q1416" t="s">
        <v>524</v>
      </c>
      <c r="R1416" s="31">
        <v>0.1</v>
      </c>
    </row>
    <row r="1417" spans="1:18" x14ac:dyDescent="0.3">
      <c r="A1417">
        <v>2</v>
      </c>
      <c r="B1417">
        <v>2</v>
      </c>
      <c r="C1417" t="s">
        <v>1</v>
      </c>
      <c r="D1417">
        <v>1.46</v>
      </c>
      <c r="E1417">
        <v>447.31200000000001</v>
      </c>
      <c r="F1417" t="s">
        <v>389</v>
      </c>
      <c r="G1417" s="31">
        <v>9.2100000000000009</v>
      </c>
      <c r="L1417">
        <v>15</v>
      </c>
      <c r="M1417">
        <v>15</v>
      </c>
      <c r="N1417" t="s">
        <v>48</v>
      </c>
      <c r="O1417">
        <v>1.25</v>
      </c>
      <c r="P1417">
        <v>127.569</v>
      </c>
      <c r="Q1417" t="s">
        <v>525</v>
      </c>
      <c r="R1417" s="31">
        <v>0.1</v>
      </c>
    </row>
    <row r="1418" spans="1:18" x14ac:dyDescent="0.3">
      <c r="A1418">
        <v>3</v>
      </c>
      <c r="B1418">
        <v>3</v>
      </c>
      <c r="C1418" t="s">
        <v>50</v>
      </c>
      <c r="D1418">
        <v>3.73</v>
      </c>
      <c r="E1418">
        <v>127.89</v>
      </c>
      <c r="F1418" t="s">
        <v>390</v>
      </c>
      <c r="G1418" s="31">
        <v>0.82</v>
      </c>
      <c r="L1418">
        <v>16</v>
      </c>
      <c r="M1418">
        <v>16</v>
      </c>
      <c r="N1418" t="s">
        <v>53</v>
      </c>
      <c r="O1418">
        <v>4.6100000000000003</v>
      </c>
      <c r="P1418">
        <v>23.777999999999999</v>
      </c>
      <c r="Q1418" t="s">
        <v>526</v>
      </c>
      <c r="R1418" s="31">
        <v>0.1</v>
      </c>
    </row>
    <row r="1419" spans="1:18" x14ac:dyDescent="0.3">
      <c r="A1419">
        <v>4</v>
      </c>
      <c r="B1419">
        <v>4</v>
      </c>
      <c r="C1419" t="s">
        <v>2</v>
      </c>
      <c r="D1419">
        <v>3.72</v>
      </c>
      <c r="E1419">
        <v>130.392</v>
      </c>
      <c r="F1419" t="s">
        <v>391</v>
      </c>
      <c r="G1419" s="31">
        <v>0.8</v>
      </c>
      <c r="L1419">
        <v>17</v>
      </c>
      <c r="M1419">
        <v>17</v>
      </c>
      <c r="N1419" t="s">
        <v>54</v>
      </c>
      <c r="O1419">
        <v>5.25</v>
      </c>
      <c r="P1419">
        <v>115.242</v>
      </c>
      <c r="Q1419" t="s">
        <v>527</v>
      </c>
      <c r="R1419" s="31">
        <v>0.1</v>
      </c>
    </row>
    <row r="1420" spans="1:18" x14ac:dyDescent="0.3">
      <c r="A1420">
        <v>5</v>
      </c>
      <c r="B1420">
        <v>5</v>
      </c>
      <c r="C1420" t="s">
        <v>3</v>
      </c>
      <c r="D1420">
        <v>4.5</v>
      </c>
      <c r="E1420">
        <v>126.495</v>
      </c>
      <c r="F1420" t="s">
        <v>392</v>
      </c>
      <c r="G1420" s="31">
        <v>0.1</v>
      </c>
      <c r="L1420">
        <v>18</v>
      </c>
      <c r="M1420">
        <v>18</v>
      </c>
      <c r="N1420" t="s">
        <v>55</v>
      </c>
      <c r="Q1420" t="s">
        <v>528</v>
      </c>
      <c r="R1420" s="31">
        <v>0.1</v>
      </c>
    </row>
    <row r="1421" spans="1:18" x14ac:dyDescent="0.3">
      <c r="A1421">
        <v>6</v>
      </c>
      <c r="B1421">
        <v>6</v>
      </c>
      <c r="C1421" t="s">
        <v>4</v>
      </c>
      <c r="D1421">
        <v>4.9000000000000004</v>
      </c>
      <c r="E1421">
        <v>65.444000000000003</v>
      </c>
      <c r="F1421" t="s">
        <v>393</v>
      </c>
      <c r="G1421" s="31">
        <v>2.2999999999999998</v>
      </c>
      <c r="L1421">
        <v>19</v>
      </c>
      <c r="M1421">
        <v>19</v>
      </c>
      <c r="N1421" t="s">
        <v>56</v>
      </c>
      <c r="O1421">
        <v>0.88</v>
      </c>
      <c r="P1421">
        <v>55.219000000000001</v>
      </c>
      <c r="Q1421" t="s">
        <v>529</v>
      </c>
      <c r="R1421" s="31">
        <v>0.1</v>
      </c>
    </row>
    <row r="1422" spans="1:18" x14ac:dyDescent="0.3">
      <c r="A1422">
        <v>7</v>
      </c>
      <c r="B1422">
        <v>7</v>
      </c>
      <c r="C1422" t="s">
        <v>5</v>
      </c>
      <c r="D1422">
        <v>2.69</v>
      </c>
      <c r="E1422">
        <v>27.721</v>
      </c>
      <c r="F1422" t="s">
        <v>394</v>
      </c>
      <c r="G1422" s="31">
        <v>0.09</v>
      </c>
      <c r="L1422">
        <v>20</v>
      </c>
      <c r="M1422">
        <v>20</v>
      </c>
      <c r="N1422" t="s">
        <v>57</v>
      </c>
      <c r="Q1422" t="s">
        <v>530</v>
      </c>
      <c r="R1422" s="31">
        <v>0.1</v>
      </c>
    </row>
    <row r="1423" spans="1:18" x14ac:dyDescent="0.3">
      <c r="A1423">
        <v>8</v>
      </c>
      <c r="B1423">
        <v>8</v>
      </c>
      <c r="C1423" t="s">
        <v>6</v>
      </c>
      <c r="F1423" t="s">
        <v>395</v>
      </c>
      <c r="G1423" s="31">
        <v>0.1</v>
      </c>
      <c r="L1423">
        <v>21</v>
      </c>
      <c r="M1423">
        <v>21</v>
      </c>
      <c r="N1423" t="s">
        <v>58</v>
      </c>
      <c r="Q1423" t="s">
        <v>531</v>
      </c>
      <c r="R1423" s="31">
        <v>0.1</v>
      </c>
    </row>
    <row r="1424" spans="1:18" x14ac:dyDescent="0.3">
      <c r="A1424">
        <v>9</v>
      </c>
      <c r="B1424">
        <v>9</v>
      </c>
      <c r="C1424" t="s">
        <v>7</v>
      </c>
      <c r="D1424">
        <v>3.61</v>
      </c>
      <c r="E1424">
        <v>27.306000000000001</v>
      </c>
      <c r="F1424" t="s">
        <v>396</v>
      </c>
      <c r="G1424" s="31">
        <v>1.44</v>
      </c>
      <c r="L1424">
        <v>22</v>
      </c>
      <c r="M1424">
        <v>22</v>
      </c>
      <c r="N1424" t="s">
        <v>59</v>
      </c>
      <c r="Q1424" t="s">
        <v>532</v>
      </c>
      <c r="R1424" s="31">
        <v>0.1</v>
      </c>
    </row>
    <row r="1425" spans="1:18" x14ac:dyDescent="0.3">
      <c r="A1425">
        <v>10</v>
      </c>
      <c r="B1425">
        <v>10</v>
      </c>
      <c r="C1425" t="s">
        <v>51</v>
      </c>
      <c r="D1425">
        <v>4.79</v>
      </c>
      <c r="E1425">
        <v>562.41800000000001</v>
      </c>
      <c r="F1425" t="s">
        <v>397</v>
      </c>
      <c r="G1425" s="31">
        <v>0.88</v>
      </c>
      <c r="L1425">
        <v>23</v>
      </c>
      <c r="M1425">
        <v>23</v>
      </c>
      <c r="N1425" t="s">
        <v>60</v>
      </c>
      <c r="O1425">
        <v>2.6</v>
      </c>
      <c r="P1425">
        <v>11.680999999999999</v>
      </c>
      <c r="Q1425" t="s">
        <v>533</v>
      </c>
      <c r="R1425" s="31">
        <v>2</v>
      </c>
    </row>
    <row r="1426" spans="1:18" x14ac:dyDescent="0.3">
      <c r="A1426">
        <v>11</v>
      </c>
      <c r="B1426">
        <v>11</v>
      </c>
      <c r="C1426" t="s">
        <v>8</v>
      </c>
      <c r="F1426" t="s">
        <v>398</v>
      </c>
      <c r="G1426" s="31">
        <v>0.1</v>
      </c>
    </row>
    <row r="1427" spans="1:18" x14ac:dyDescent="0.3">
      <c r="A1427">
        <v>12</v>
      </c>
      <c r="B1427">
        <v>12</v>
      </c>
      <c r="C1427" t="s">
        <v>9</v>
      </c>
      <c r="D1427">
        <v>2.62</v>
      </c>
      <c r="E1427">
        <v>86.287999999999997</v>
      </c>
      <c r="F1427" t="s">
        <v>399</v>
      </c>
      <c r="G1427" s="31">
        <v>2.87</v>
      </c>
      <c r="L1427" t="s">
        <v>379</v>
      </c>
    </row>
    <row r="1428" spans="1:18" x14ac:dyDescent="0.3">
      <c r="A1428">
        <v>13</v>
      </c>
      <c r="B1428">
        <v>13</v>
      </c>
      <c r="C1428" t="s">
        <v>10</v>
      </c>
      <c r="D1428">
        <v>4.05</v>
      </c>
      <c r="E1428">
        <v>231.232</v>
      </c>
      <c r="F1428" t="s">
        <v>400</v>
      </c>
      <c r="G1428" s="31">
        <v>0.1</v>
      </c>
    </row>
    <row r="1429" spans="1:18" x14ac:dyDescent="0.3">
      <c r="A1429">
        <v>14</v>
      </c>
      <c r="B1429">
        <v>14</v>
      </c>
      <c r="C1429" t="s">
        <v>11</v>
      </c>
      <c r="F1429" t="s">
        <v>401</v>
      </c>
      <c r="G1429" s="31">
        <v>0.1</v>
      </c>
      <c r="L1429" t="s">
        <v>557</v>
      </c>
    </row>
    <row r="1430" spans="1:18" x14ac:dyDescent="0.3">
      <c r="A1430">
        <v>15</v>
      </c>
      <c r="B1430">
        <v>15</v>
      </c>
      <c r="C1430" t="s">
        <v>12</v>
      </c>
      <c r="D1430">
        <v>3.32</v>
      </c>
      <c r="E1430">
        <v>45.881999999999998</v>
      </c>
      <c r="F1430" t="s">
        <v>402</v>
      </c>
      <c r="G1430" s="31">
        <v>1.67</v>
      </c>
    </row>
    <row r="1431" spans="1:18" x14ac:dyDescent="0.3">
      <c r="A1431">
        <v>16</v>
      </c>
      <c r="B1431">
        <v>16</v>
      </c>
      <c r="C1431" t="s">
        <v>13</v>
      </c>
      <c r="F1431" t="s">
        <v>403</v>
      </c>
      <c r="G1431" s="31">
        <v>0.1</v>
      </c>
      <c r="L1431" t="s">
        <v>580</v>
      </c>
    </row>
    <row r="1432" spans="1:18" x14ac:dyDescent="0.3">
      <c r="A1432">
        <v>17</v>
      </c>
      <c r="B1432">
        <v>17</v>
      </c>
      <c r="C1432" t="s">
        <v>14</v>
      </c>
      <c r="D1432">
        <v>2.0699999999999998</v>
      </c>
      <c r="E1432">
        <v>70.721999999999994</v>
      </c>
      <c r="F1432" t="s">
        <v>404</v>
      </c>
      <c r="G1432" s="31">
        <v>3.27</v>
      </c>
    </row>
    <row r="1433" spans="1:18" x14ac:dyDescent="0.3">
      <c r="A1433">
        <v>18</v>
      </c>
      <c r="B1433">
        <v>18</v>
      </c>
      <c r="C1433" t="s">
        <v>15</v>
      </c>
      <c r="D1433">
        <v>2.4900000000000002</v>
      </c>
      <c r="E1433">
        <v>32.328000000000003</v>
      </c>
      <c r="F1433" t="s">
        <v>405</v>
      </c>
      <c r="G1433" s="31">
        <v>10.35</v>
      </c>
      <c r="M1433" t="s">
        <v>382</v>
      </c>
      <c r="N1433" t="s">
        <v>383</v>
      </c>
      <c r="O1433" t="s">
        <v>384</v>
      </c>
      <c r="P1433" t="s">
        <v>385</v>
      </c>
      <c r="Q1433" t="s">
        <v>386</v>
      </c>
      <c r="R1433" s="31" t="s">
        <v>387</v>
      </c>
    </row>
    <row r="1434" spans="1:18" x14ac:dyDescent="0.3">
      <c r="A1434">
        <v>19</v>
      </c>
      <c r="B1434">
        <v>19</v>
      </c>
      <c r="C1434" t="s">
        <v>16</v>
      </c>
      <c r="D1434">
        <v>2.76</v>
      </c>
      <c r="E1434">
        <v>14.874000000000001</v>
      </c>
      <c r="F1434" t="s">
        <v>406</v>
      </c>
      <c r="G1434" s="31">
        <v>0.3</v>
      </c>
      <c r="L1434">
        <v>1</v>
      </c>
      <c r="M1434">
        <v>1</v>
      </c>
      <c r="N1434" t="s">
        <v>35</v>
      </c>
      <c r="O1434">
        <v>1.45</v>
      </c>
      <c r="P1434">
        <v>406209.06300000002</v>
      </c>
      <c r="Q1434" t="s">
        <v>511</v>
      </c>
      <c r="R1434" s="31">
        <v>665.55</v>
      </c>
    </row>
    <row r="1435" spans="1:18" x14ac:dyDescent="0.3">
      <c r="A1435">
        <v>20</v>
      </c>
      <c r="B1435">
        <v>20</v>
      </c>
      <c r="C1435" t="s">
        <v>17</v>
      </c>
      <c r="D1435">
        <v>3.04</v>
      </c>
      <c r="E1435">
        <v>196.72499999999999</v>
      </c>
      <c r="F1435" t="s">
        <v>407</v>
      </c>
      <c r="G1435" s="31">
        <v>0.1</v>
      </c>
      <c r="L1435">
        <v>2</v>
      </c>
      <c r="M1435">
        <v>2</v>
      </c>
      <c r="N1435" t="s">
        <v>36</v>
      </c>
      <c r="O1435">
        <v>1.68</v>
      </c>
      <c r="P1435">
        <v>2780843.75</v>
      </c>
      <c r="Q1435" t="s">
        <v>512</v>
      </c>
      <c r="R1435" s="31">
        <v>3377</v>
      </c>
    </row>
    <row r="1436" spans="1:18" x14ac:dyDescent="0.3">
      <c r="A1436">
        <v>21</v>
      </c>
      <c r="B1436">
        <v>21</v>
      </c>
      <c r="C1436" t="s">
        <v>18</v>
      </c>
      <c r="D1436">
        <v>3.68</v>
      </c>
      <c r="E1436">
        <v>773.73199999999997</v>
      </c>
      <c r="F1436" t="s">
        <v>408</v>
      </c>
      <c r="G1436" s="31">
        <v>0.22</v>
      </c>
      <c r="L1436">
        <v>3</v>
      </c>
      <c r="M1436">
        <v>3</v>
      </c>
      <c r="N1436" t="s">
        <v>37</v>
      </c>
      <c r="O1436">
        <v>1.82</v>
      </c>
      <c r="P1436">
        <v>6737.4539999999997</v>
      </c>
      <c r="Q1436" t="s">
        <v>513</v>
      </c>
      <c r="R1436" s="31">
        <v>12.81</v>
      </c>
    </row>
    <row r="1437" spans="1:18" x14ac:dyDescent="0.3">
      <c r="A1437">
        <v>22</v>
      </c>
      <c r="B1437">
        <v>22</v>
      </c>
      <c r="C1437" t="s">
        <v>19</v>
      </c>
      <c r="F1437" t="s">
        <v>409</v>
      </c>
      <c r="G1437" s="31">
        <v>0.1</v>
      </c>
      <c r="L1437">
        <v>4</v>
      </c>
      <c r="M1437">
        <v>4</v>
      </c>
      <c r="N1437" t="s">
        <v>38</v>
      </c>
      <c r="O1437">
        <v>1.18</v>
      </c>
      <c r="P1437">
        <v>8918.4009999999998</v>
      </c>
      <c r="Q1437" t="s">
        <v>514</v>
      </c>
      <c r="R1437" s="31">
        <v>13.47</v>
      </c>
    </row>
    <row r="1438" spans="1:18" x14ac:dyDescent="0.3">
      <c r="A1438">
        <v>23</v>
      </c>
      <c r="B1438">
        <v>23</v>
      </c>
      <c r="C1438" t="s">
        <v>20</v>
      </c>
      <c r="F1438" t="s">
        <v>410</v>
      </c>
      <c r="G1438" s="31">
        <v>0.1</v>
      </c>
      <c r="L1438">
        <v>5</v>
      </c>
      <c r="M1438">
        <v>5</v>
      </c>
      <c r="N1438" t="s">
        <v>39</v>
      </c>
      <c r="O1438">
        <v>1.38</v>
      </c>
      <c r="P1438">
        <v>223566.625</v>
      </c>
      <c r="Q1438" t="s">
        <v>515</v>
      </c>
      <c r="R1438" s="31">
        <v>417.34</v>
      </c>
    </row>
    <row r="1439" spans="1:18" x14ac:dyDescent="0.3">
      <c r="A1439">
        <v>24</v>
      </c>
      <c r="B1439">
        <v>24</v>
      </c>
      <c r="C1439" t="s">
        <v>21</v>
      </c>
      <c r="D1439">
        <v>4.16</v>
      </c>
      <c r="E1439">
        <v>20.300999999999998</v>
      </c>
      <c r="F1439" t="s">
        <v>411</v>
      </c>
      <c r="G1439" s="31">
        <v>0.1</v>
      </c>
      <c r="L1439">
        <v>6</v>
      </c>
      <c r="M1439">
        <v>6</v>
      </c>
      <c r="N1439" t="s">
        <v>40</v>
      </c>
      <c r="O1439">
        <v>1.53</v>
      </c>
      <c r="P1439">
        <v>26091.521000000001</v>
      </c>
      <c r="Q1439" t="s">
        <v>516</v>
      </c>
      <c r="R1439" s="31">
        <v>27.03</v>
      </c>
    </row>
    <row r="1440" spans="1:18" x14ac:dyDescent="0.3">
      <c r="A1440">
        <v>25</v>
      </c>
      <c r="B1440">
        <v>25</v>
      </c>
      <c r="C1440" t="s">
        <v>22</v>
      </c>
      <c r="D1440">
        <v>3.43</v>
      </c>
      <c r="E1440">
        <v>34.287999999999997</v>
      </c>
      <c r="F1440" t="s">
        <v>412</v>
      </c>
      <c r="G1440" s="31">
        <v>21.86</v>
      </c>
      <c r="L1440">
        <v>7</v>
      </c>
      <c r="M1440">
        <v>7</v>
      </c>
      <c r="N1440" t="s">
        <v>41</v>
      </c>
      <c r="O1440">
        <v>2.31</v>
      </c>
      <c r="P1440">
        <v>6034.8450000000003</v>
      </c>
      <c r="Q1440" t="s">
        <v>517</v>
      </c>
      <c r="R1440" s="31">
        <v>56.3</v>
      </c>
    </row>
    <row r="1441" spans="1:18" x14ac:dyDescent="0.3">
      <c r="A1441">
        <v>26</v>
      </c>
      <c r="B1441">
        <v>26</v>
      </c>
      <c r="C1441" t="s">
        <v>23</v>
      </c>
      <c r="F1441" t="s">
        <v>413</v>
      </c>
      <c r="G1441" s="31">
        <v>0.1</v>
      </c>
      <c r="L1441">
        <v>8</v>
      </c>
      <c r="M1441">
        <v>8</v>
      </c>
      <c r="N1441" t="s">
        <v>42</v>
      </c>
      <c r="O1441">
        <v>0.89</v>
      </c>
      <c r="P1441">
        <v>33180.483999999997</v>
      </c>
      <c r="Q1441" t="s">
        <v>518</v>
      </c>
      <c r="R1441" s="31">
        <v>524.66</v>
      </c>
    </row>
    <row r="1442" spans="1:18" x14ac:dyDescent="0.3">
      <c r="A1442">
        <v>27</v>
      </c>
      <c r="B1442">
        <v>27</v>
      </c>
      <c r="C1442" t="s">
        <v>24</v>
      </c>
      <c r="D1442">
        <v>3.46</v>
      </c>
      <c r="E1442">
        <v>100.14400000000001</v>
      </c>
      <c r="F1442" t="s">
        <v>414</v>
      </c>
      <c r="G1442" s="31">
        <v>0.1</v>
      </c>
      <c r="L1442">
        <v>9</v>
      </c>
      <c r="M1442">
        <v>9</v>
      </c>
      <c r="N1442" t="s">
        <v>43</v>
      </c>
      <c r="O1442">
        <v>2.54</v>
      </c>
      <c r="P1442">
        <v>31629.969000000001</v>
      </c>
      <c r="Q1442" t="s">
        <v>519</v>
      </c>
      <c r="R1442" s="31">
        <v>5.04</v>
      </c>
    </row>
    <row r="1443" spans="1:18" x14ac:dyDescent="0.3">
      <c r="A1443">
        <v>28</v>
      </c>
      <c r="B1443">
        <v>28</v>
      </c>
      <c r="C1443" t="s">
        <v>25</v>
      </c>
      <c r="D1443">
        <v>3.34</v>
      </c>
      <c r="E1443">
        <v>1.4390000000000001</v>
      </c>
      <c r="F1443" t="s">
        <v>415</v>
      </c>
      <c r="G1443" s="31">
        <v>1.8</v>
      </c>
      <c r="L1443">
        <v>10</v>
      </c>
      <c r="M1443">
        <v>10</v>
      </c>
      <c r="N1443" t="s">
        <v>52</v>
      </c>
      <c r="O1443">
        <v>4.12</v>
      </c>
      <c r="P1443">
        <v>106144.734</v>
      </c>
      <c r="Q1443" t="s">
        <v>520</v>
      </c>
      <c r="R1443" s="31">
        <v>69.77</v>
      </c>
    </row>
    <row r="1444" spans="1:18" x14ac:dyDescent="0.3">
      <c r="A1444">
        <v>29</v>
      </c>
      <c r="B1444">
        <v>29</v>
      </c>
      <c r="C1444" t="s">
        <v>26</v>
      </c>
      <c r="F1444" t="s">
        <v>416</v>
      </c>
      <c r="G1444" s="31">
        <v>0.1</v>
      </c>
      <c r="L1444">
        <v>11</v>
      </c>
      <c r="M1444">
        <v>11</v>
      </c>
      <c r="N1444" t="s">
        <v>44</v>
      </c>
      <c r="O1444">
        <v>4.22</v>
      </c>
      <c r="P1444">
        <v>3653.8490000000002</v>
      </c>
      <c r="Q1444" t="s">
        <v>521</v>
      </c>
      <c r="R1444" s="31">
        <v>5.08</v>
      </c>
    </row>
    <row r="1445" spans="1:18" x14ac:dyDescent="0.3">
      <c r="A1445">
        <v>30</v>
      </c>
      <c r="B1445">
        <v>30</v>
      </c>
      <c r="C1445" t="s">
        <v>27</v>
      </c>
      <c r="D1445">
        <v>4.33</v>
      </c>
      <c r="E1445">
        <v>109.059</v>
      </c>
      <c r="F1445" t="s">
        <v>417</v>
      </c>
      <c r="G1445" s="31">
        <v>0.17</v>
      </c>
      <c r="L1445">
        <v>12</v>
      </c>
      <c r="M1445">
        <v>12</v>
      </c>
      <c r="N1445" t="s">
        <v>45</v>
      </c>
      <c r="O1445">
        <v>3.45</v>
      </c>
      <c r="P1445">
        <v>3307115.25</v>
      </c>
      <c r="Q1445" t="s">
        <v>522</v>
      </c>
      <c r="R1445" s="31">
        <v>844.9</v>
      </c>
    </row>
    <row r="1446" spans="1:18" x14ac:dyDescent="0.3">
      <c r="A1446">
        <v>31</v>
      </c>
      <c r="B1446">
        <v>31</v>
      </c>
      <c r="C1446" t="s">
        <v>28</v>
      </c>
      <c r="D1446">
        <v>3.12</v>
      </c>
      <c r="E1446">
        <v>18.327000000000002</v>
      </c>
      <c r="F1446" t="s">
        <v>418</v>
      </c>
      <c r="G1446" s="31">
        <v>0.1</v>
      </c>
      <c r="L1446">
        <v>13</v>
      </c>
      <c r="M1446">
        <v>13</v>
      </c>
      <c r="N1446" t="s">
        <v>46</v>
      </c>
      <c r="O1446">
        <v>2.59</v>
      </c>
      <c r="P1446">
        <v>401587.625</v>
      </c>
      <c r="Q1446" t="s">
        <v>523</v>
      </c>
      <c r="R1446" s="31">
        <v>210.61</v>
      </c>
    </row>
    <row r="1447" spans="1:18" x14ac:dyDescent="0.3">
      <c r="A1447">
        <v>32</v>
      </c>
      <c r="B1447">
        <v>32</v>
      </c>
      <c r="C1447" t="s">
        <v>29</v>
      </c>
      <c r="F1447" t="s">
        <v>419</v>
      </c>
      <c r="G1447" s="31">
        <v>0.1</v>
      </c>
      <c r="L1447">
        <v>14</v>
      </c>
      <c r="M1447">
        <v>14</v>
      </c>
      <c r="N1447" t="s">
        <v>47</v>
      </c>
      <c r="O1447">
        <v>0.67</v>
      </c>
      <c r="P1447">
        <v>57162.266000000003</v>
      </c>
      <c r="Q1447" t="s">
        <v>524</v>
      </c>
      <c r="R1447" s="31">
        <v>292.26</v>
      </c>
    </row>
    <row r="1448" spans="1:18" x14ac:dyDescent="0.3">
      <c r="A1448">
        <v>33</v>
      </c>
      <c r="B1448">
        <v>33</v>
      </c>
      <c r="C1448" t="s">
        <v>30</v>
      </c>
      <c r="D1448">
        <v>4.7</v>
      </c>
      <c r="E1448">
        <v>11.827999999999999</v>
      </c>
      <c r="F1448" t="s">
        <v>420</v>
      </c>
      <c r="G1448" s="31">
        <v>3.35</v>
      </c>
      <c r="L1448">
        <v>15</v>
      </c>
      <c r="M1448">
        <v>15</v>
      </c>
      <c r="N1448" t="s">
        <v>48</v>
      </c>
      <c r="O1448">
        <v>1.22</v>
      </c>
      <c r="P1448">
        <v>91182.343999999997</v>
      </c>
      <c r="Q1448" t="s">
        <v>525</v>
      </c>
      <c r="R1448" s="31">
        <v>141.44999999999999</v>
      </c>
    </row>
    <row r="1449" spans="1:18" x14ac:dyDescent="0.3">
      <c r="A1449">
        <v>34</v>
      </c>
      <c r="B1449">
        <v>34</v>
      </c>
      <c r="C1449" t="s">
        <v>31</v>
      </c>
      <c r="D1449">
        <v>3.59</v>
      </c>
      <c r="E1449">
        <v>15.701000000000001</v>
      </c>
      <c r="F1449" t="s">
        <v>421</v>
      </c>
      <c r="G1449" s="31">
        <v>0.12</v>
      </c>
      <c r="L1449">
        <v>16</v>
      </c>
      <c r="M1449">
        <v>16</v>
      </c>
      <c r="N1449" t="s">
        <v>53</v>
      </c>
      <c r="O1449">
        <v>4.5599999999999996</v>
      </c>
      <c r="P1449">
        <v>158809.57800000001</v>
      </c>
      <c r="Q1449" t="s">
        <v>526</v>
      </c>
      <c r="R1449" s="31">
        <v>23.21</v>
      </c>
    </row>
    <row r="1450" spans="1:18" x14ac:dyDescent="0.3">
      <c r="A1450">
        <v>35</v>
      </c>
      <c r="B1450">
        <v>35</v>
      </c>
      <c r="C1450" t="s">
        <v>32</v>
      </c>
      <c r="F1450" t="s">
        <v>422</v>
      </c>
      <c r="G1450" s="31">
        <v>0.1</v>
      </c>
      <c r="L1450">
        <v>17</v>
      </c>
      <c r="M1450">
        <v>17</v>
      </c>
      <c r="N1450" t="s">
        <v>54</v>
      </c>
      <c r="O1450">
        <v>5.18</v>
      </c>
      <c r="P1450">
        <v>1816.85</v>
      </c>
      <c r="Q1450" t="s">
        <v>527</v>
      </c>
      <c r="R1450" s="31">
        <v>0.33</v>
      </c>
    </row>
    <row r="1451" spans="1:18" x14ac:dyDescent="0.3">
      <c r="A1451">
        <v>36</v>
      </c>
      <c r="B1451">
        <v>36</v>
      </c>
      <c r="C1451" t="s">
        <v>33</v>
      </c>
      <c r="D1451">
        <v>1.96</v>
      </c>
      <c r="E1451">
        <v>7.7649999999999997</v>
      </c>
      <c r="F1451" t="s">
        <v>423</v>
      </c>
      <c r="G1451" s="31">
        <v>7.0000000000000007E-2</v>
      </c>
      <c r="L1451">
        <v>18</v>
      </c>
      <c r="M1451">
        <v>18</v>
      </c>
      <c r="N1451" t="s">
        <v>55</v>
      </c>
      <c r="O1451">
        <v>1.31</v>
      </c>
      <c r="P1451">
        <v>2446.8850000000002</v>
      </c>
      <c r="Q1451" t="s">
        <v>528</v>
      </c>
      <c r="R1451" s="31">
        <v>0.94</v>
      </c>
    </row>
    <row r="1452" spans="1:18" x14ac:dyDescent="0.3">
      <c r="L1452">
        <v>19</v>
      </c>
      <c r="M1452">
        <v>19</v>
      </c>
      <c r="N1452" t="s">
        <v>56</v>
      </c>
      <c r="O1452">
        <v>0.87</v>
      </c>
      <c r="P1452">
        <v>211884.70300000001</v>
      </c>
      <c r="Q1452" t="s">
        <v>529</v>
      </c>
      <c r="R1452" s="31">
        <v>143.69999999999999</v>
      </c>
    </row>
    <row r="1453" spans="1:18" x14ac:dyDescent="0.3">
      <c r="A1453" t="s">
        <v>379</v>
      </c>
      <c r="L1453">
        <v>20</v>
      </c>
      <c r="M1453">
        <v>20</v>
      </c>
      <c r="N1453" t="s">
        <v>57</v>
      </c>
      <c r="O1453">
        <v>1.51</v>
      </c>
      <c r="P1453">
        <v>1411.345</v>
      </c>
      <c r="Q1453" t="s">
        <v>530</v>
      </c>
      <c r="R1453" s="31">
        <v>5.35</v>
      </c>
    </row>
    <row r="1454" spans="1:18" x14ac:dyDescent="0.3">
      <c r="L1454">
        <v>21</v>
      </c>
      <c r="M1454">
        <v>21</v>
      </c>
      <c r="N1454" t="s">
        <v>58</v>
      </c>
      <c r="O1454">
        <v>2.4700000000000002</v>
      </c>
      <c r="P1454">
        <v>136.435</v>
      </c>
      <c r="Q1454" t="s">
        <v>531</v>
      </c>
      <c r="R1454" s="31">
        <v>1.01</v>
      </c>
    </row>
    <row r="1455" spans="1:18" x14ac:dyDescent="0.3">
      <c r="A1455" t="s">
        <v>456</v>
      </c>
      <c r="L1455">
        <v>22</v>
      </c>
      <c r="M1455">
        <v>22</v>
      </c>
      <c r="N1455" t="s">
        <v>59</v>
      </c>
      <c r="O1455">
        <v>2.5</v>
      </c>
      <c r="P1455">
        <v>46247.832000000002</v>
      </c>
      <c r="Q1455" t="s">
        <v>532</v>
      </c>
      <c r="R1455" s="31">
        <v>64.66</v>
      </c>
    </row>
    <row r="1456" spans="1:18" x14ac:dyDescent="0.3">
      <c r="L1456">
        <v>23</v>
      </c>
      <c r="M1456">
        <v>23</v>
      </c>
      <c r="N1456" t="s">
        <v>60</v>
      </c>
      <c r="O1456">
        <v>2.48</v>
      </c>
      <c r="P1456">
        <v>83789.75</v>
      </c>
      <c r="Q1456" t="s">
        <v>533</v>
      </c>
      <c r="R1456" s="31">
        <v>51.8</v>
      </c>
    </row>
    <row r="1457" spans="1:18" x14ac:dyDescent="0.3">
      <c r="A1457" t="s">
        <v>457</v>
      </c>
    </row>
    <row r="1458" spans="1:18" x14ac:dyDescent="0.3">
      <c r="L1458" t="s">
        <v>379</v>
      </c>
    </row>
    <row r="1459" spans="1:18" x14ac:dyDescent="0.3">
      <c r="B1459" t="s">
        <v>382</v>
      </c>
      <c r="C1459" t="s">
        <v>383</v>
      </c>
      <c r="D1459" t="s">
        <v>384</v>
      </c>
      <c r="E1459" t="s">
        <v>385</v>
      </c>
      <c r="F1459" t="s">
        <v>386</v>
      </c>
      <c r="G1459" s="31" t="s">
        <v>387</v>
      </c>
    </row>
    <row r="1460" spans="1:18" x14ac:dyDescent="0.3">
      <c r="A1460">
        <v>1</v>
      </c>
      <c r="B1460">
        <v>1</v>
      </c>
      <c r="C1460" t="s">
        <v>0</v>
      </c>
      <c r="D1460">
        <v>1.01</v>
      </c>
      <c r="E1460">
        <v>4017.8119999999999</v>
      </c>
      <c r="F1460" t="s">
        <v>388</v>
      </c>
      <c r="G1460" s="31">
        <v>15.93</v>
      </c>
      <c r="L1460" t="s">
        <v>557</v>
      </c>
    </row>
    <row r="1461" spans="1:18" x14ac:dyDescent="0.3">
      <c r="A1461">
        <v>2</v>
      </c>
      <c r="B1461">
        <v>2</v>
      </c>
      <c r="C1461" t="s">
        <v>1</v>
      </c>
      <c r="D1461">
        <v>1.45</v>
      </c>
      <c r="E1461">
        <v>4366.79</v>
      </c>
      <c r="F1461" t="s">
        <v>389</v>
      </c>
      <c r="G1461" s="31">
        <v>3.29</v>
      </c>
    </row>
    <row r="1462" spans="1:18" x14ac:dyDescent="0.3">
      <c r="A1462">
        <v>3</v>
      </c>
      <c r="B1462">
        <v>3</v>
      </c>
      <c r="C1462" t="s">
        <v>50</v>
      </c>
      <c r="D1462">
        <v>3.55</v>
      </c>
      <c r="E1462">
        <v>1075.961</v>
      </c>
      <c r="F1462" t="s">
        <v>390</v>
      </c>
      <c r="G1462" s="31">
        <v>0.35</v>
      </c>
      <c r="L1462" t="s">
        <v>581</v>
      </c>
    </row>
    <row r="1463" spans="1:18" x14ac:dyDescent="0.3">
      <c r="A1463">
        <v>4</v>
      </c>
      <c r="B1463">
        <v>4</v>
      </c>
      <c r="C1463" t="s">
        <v>2</v>
      </c>
      <c r="D1463">
        <v>3.68</v>
      </c>
      <c r="E1463">
        <v>31532.974999999999</v>
      </c>
      <c r="F1463" t="s">
        <v>391</v>
      </c>
      <c r="G1463" s="31">
        <v>0.96</v>
      </c>
    </row>
    <row r="1464" spans="1:18" x14ac:dyDescent="0.3">
      <c r="A1464">
        <v>5</v>
      </c>
      <c r="B1464">
        <v>5</v>
      </c>
      <c r="C1464" t="s">
        <v>3</v>
      </c>
      <c r="D1464">
        <v>4.51</v>
      </c>
      <c r="E1464">
        <v>192.48599999999999</v>
      </c>
      <c r="F1464" t="s">
        <v>392</v>
      </c>
      <c r="G1464" s="31">
        <v>0.1</v>
      </c>
      <c r="M1464" t="s">
        <v>382</v>
      </c>
      <c r="N1464" t="s">
        <v>383</v>
      </c>
      <c r="O1464" t="s">
        <v>384</v>
      </c>
      <c r="P1464" t="s">
        <v>385</v>
      </c>
      <c r="Q1464" t="s">
        <v>386</v>
      </c>
      <c r="R1464" s="31" t="s">
        <v>387</v>
      </c>
    </row>
    <row r="1465" spans="1:18" x14ac:dyDescent="0.3">
      <c r="A1465">
        <v>6</v>
      </c>
      <c r="B1465">
        <v>6</v>
      </c>
      <c r="C1465" t="s">
        <v>4</v>
      </c>
      <c r="D1465">
        <v>4.8</v>
      </c>
      <c r="E1465">
        <v>114114.758</v>
      </c>
      <c r="F1465" t="s">
        <v>393</v>
      </c>
      <c r="G1465" s="31">
        <v>2.41</v>
      </c>
      <c r="L1465">
        <v>1</v>
      </c>
      <c r="M1465">
        <v>1</v>
      </c>
      <c r="N1465" t="s">
        <v>35</v>
      </c>
      <c r="O1465">
        <v>1.43</v>
      </c>
      <c r="P1465">
        <v>53.371000000000002</v>
      </c>
      <c r="Q1465" t="s">
        <v>511</v>
      </c>
      <c r="R1465" s="31">
        <v>82</v>
      </c>
    </row>
    <row r="1466" spans="1:18" x14ac:dyDescent="0.3">
      <c r="A1466">
        <v>7</v>
      </c>
      <c r="B1466">
        <v>7</v>
      </c>
      <c r="C1466" t="s">
        <v>5</v>
      </c>
      <c r="D1466">
        <v>2.7</v>
      </c>
      <c r="E1466">
        <v>458.3</v>
      </c>
      <c r="F1466" t="s">
        <v>394</v>
      </c>
      <c r="G1466" s="31">
        <v>0.14000000000000001</v>
      </c>
      <c r="L1466">
        <v>2</v>
      </c>
      <c r="M1466">
        <v>2</v>
      </c>
      <c r="N1466" t="s">
        <v>36</v>
      </c>
      <c r="O1466">
        <v>1.7</v>
      </c>
      <c r="P1466">
        <v>245.035</v>
      </c>
      <c r="Q1466" t="s">
        <v>512</v>
      </c>
      <c r="R1466" s="31">
        <v>427.96</v>
      </c>
    </row>
    <row r="1467" spans="1:18" x14ac:dyDescent="0.3">
      <c r="A1467">
        <v>8</v>
      </c>
      <c r="B1467">
        <v>8</v>
      </c>
      <c r="C1467" t="s">
        <v>6</v>
      </c>
      <c r="D1467">
        <v>0.67</v>
      </c>
      <c r="E1467">
        <v>7154.0870000000004</v>
      </c>
      <c r="F1467" t="s">
        <v>395</v>
      </c>
      <c r="G1467" s="31">
        <v>40.79</v>
      </c>
      <c r="L1467">
        <v>3</v>
      </c>
      <c r="M1467">
        <v>3</v>
      </c>
      <c r="N1467" t="s">
        <v>37</v>
      </c>
      <c r="Q1467" t="s">
        <v>513</v>
      </c>
      <c r="R1467" s="31">
        <v>0.1</v>
      </c>
    </row>
    <row r="1468" spans="1:18" x14ac:dyDescent="0.3">
      <c r="A1468">
        <v>9</v>
      </c>
      <c r="B1468">
        <v>9</v>
      </c>
      <c r="C1468" t="s">
        <v>7</v>
      </c>
      <c r="D1468">
        <v>3.57</v>
      </c>
      <c r="E1468">
        <v>449.49299999999999</v>
      </c>
      <c r="F1468" t="s">
        <v>396</v>
      </c>
      <c r="G1468" s="31">
        <v>0.62</v>
      </c>
      <c r="L1468">
        <v>4</v>
      </c>
      <c r="M1468">
        <v>4</v>
      </c>
      <c r="N1468" t="s">
        <v>38</v>
      </c>
      <c r="O1468">
        <v>1.07</v>
      </c>
      <c r="P1468">
        <v>420.80599999999998</v>
      </c>
      <c r="Q1468" t="s">
        <v>514</v>
      </c>
      <c r="R1468" s="31">
        <v>1.2</v>
      </c>
    </row>
    <row r="1469" spans="1:18" x14ac:dyDescent="0.3">
      <c r="A1469">
        <v>10</v>
      </c>
      <c r="B1469">
        <v>10</v>
      </c>
      <c r="C1469" t="s">
        <v>51</v>
      </c>
      <c r="D1469">
        <v>4.6100000000000003</v>
      </c>
      <c r="E1469">
        <v>1746.617</v>
      </c>
      <c r="F1469" t="s">
        <v>397</v>
      </c>
      <c r="G1469" s="31">
        <v>0.17</v>
      </c>
      <c r="L1469">
        <v>5</v>
      </c>
      <c r="M1469">
        <v>5</v>
      </c>
      <c r="N1469" t="s">
        <v>39</v>
      </c>
      <c r="O1469">
        <v>1.39</v>
      </c>
      <c r="P1469">
        <v>316.83</v>
      </c>
      <c r="Q1469" t="s">
        <v>515</v>
      </c>
      <c r="R1469" s="31">
        <v>46.32</v>
      </c>
    </row>
    <row r="1470" spans="1:18" x14ac:dyDescent="0.3">
      <c r="A1470">
        <v>11</v>
      </c>
      <c r="B1470">
        <v>11</v>
      </c>
      <c r="C1470" t="s">
        <v>8</v>
      </c>
      <c r="D1470">
        <v>2.74</v>
      </c>
      <c r="E1470">
        <v>89682.414000000004</v>
      </c>
      <c r="F1470" t="s">
        <v>398</v>
      </c>
      <c r="G1470" s="31">
        <v>2.2400000000000002</v>
      </c>
      <c r="L1470">
        <v>6</v>
      </c>
      <c r="M1470">
        <v>6</v>
      </c>
      <c r="N1470" t="s">
        <v>40</v>
      </c>
      <c r="Q1470" t="s">
        <v>516</v>
      </c>
      <c r="R1470" s="31">
        <v>0.1</v>
      </c>
    </row>
    <row r="1471" spans="1:18" x14ac:dyDescent="0.3">
      <c r="A1471">
        <v>12</v>
      </c>
      <c r="B1471">
        <v>12</v>
      </c>
      <c r="C1471" t="s">
        <v>9</v>
      </c>
      <c r="D1471">
        <v>2.62</v>
      </c>
      <c r="E1471">
        <v>7503.3249999999998</v>
      </c>
      <c r="F1471" t="s">
        <v>399</v>
      </c>
      <c r="G1471" s="31">
        <v>1.28</v>
      </c>
      <c r="L1471">
        <v>7</v>
      </c>
      <c r="M1471">
        <v>7</v>
      </c>
      <c r="N1471" t="s">
        <v>41</v>
      </c>
      <c r="Q1471" t="s">
        <v>517</v>
      </c>
      <c r="R1471" s="31">
        <v>0.1</v>
      </c>
    </row>
    <row r="1472" spans="1:18" x14ac:dyDescent="0.3">
      <c r="A1472">
        <v>13</v>
      </c>
      <c r="B1472">
        <v>13</v>
      </c>
      <c r="C1472" t="s">
        <v>10</v>
      </c>
      <c r="D1472">
        <v>4.09</v>
      </c>
      <c r="E1472">
        <v>1104992.25</v>
      </c>
      <c r="F1472" t="s">
        <v>400</v>
      </c>
      <c r="G1472" s="31">
        <v>45.88</v>
      </c>
      <c r="L1472">
        <v>8</v>
      </c>
      <c r="M1472">
        <v>8</v>
      </c>
      <c r="N1472" t="s">
        <v>42</v>
      </c>
      <c r="Q1472" t="s">
        <v>518</v>
      </c>
      <c r="R1472" s="31">
        <v>0.1</v>
      </c>
    </row>
    <row r="1473" spans="1:18" x14ac:dyDescent="0.3">
      <c r="A1473">
        <v>14</v>
      </c>
      <c r="B1473">
        <v>14</v>
      </c>
      <c r="C1473" t="s">
        <v>11</v>
      </c>
      <c r="D1473">
        <v>3.53</v>
      </c>
      <c r="E1473">
        <v>153.97999999999999</v>
      </c>
      <c r="F1473" t="s">
        <v>401</v>
      </c>
      <c r="G1473" s="31">
        <v>3.98</v>
      </c>
      <c r="L1473">
        <v>9</v>
      </c>
      <c r="M1473">
        <v>9</v>
      </c>
      <c r="N1473" t="s">
        <v>43</v>
      </c>
      <c r="O1473">
        <v>2.56</v>
      </c>
      <c r="P1473">
        <v>21.428000000000001</v>
      </c>
      <c r="Q1473" t="s">
        <v>519</v>
      </c>
      <c r="R1473" s="31">
        <v>0.12</v>
      </c>
    </row>
    <row r="1474" spans="1:18" x14ac:dyDescent="0.3">
      <c r="A1474">
        <v>15</v>
      </c>
      <c r="B1474">
        <v>15</v>
      </c>
      <c r="C1474" t="s">
        <v>12</v>
      </c>
      <c r="D1474">
        <v>3.33</v>
      </c>
      <c r="E1474">
        <v>679.26099999999997</v>
      </c>
      <c r="F1474" t="s">
        <v>402</v>
      </c>
      <c r="G1474" s="31">
        <v>1.48</v>
      </c>
      <c r="L1474">
        <v>10</v>
      </c>
      <c r="M1474">
        <v>10</v>
      </c>
      <c r="N1474" t="s">
        <v>52</v>
      </c>
      <c r="O1474">
        <v>4.22</v>
      </c>
      <c r="P1474">
        <v>36.680999999999997</v>
      </c>
      <c r="Q1474" t="s">
        <v>520</v>
      </c>
      <c r="R1474" s="31">
        <v>0.1</v>
      </c>
    </row>
    <row r="1475" spans="1:18" x14ac:dyDescent="0.3">
      <c r="A1475">
        <v>16</v>
      </c>
      <c r="B1475">
        <v>16</v>
      </c>
      <c r="C1475" t="s">
        <v>13</v>
      </c>
      <c r="D1475">
        <v>3.23</v>
      </c>
      <c r="E1475">
        <v>12648.364</v>
      </c>
      <c r="F1475" t="s">
        <v>403</v>
      </c>
      <c r="G1475" s="31">
        <v>1.1299999999999999</v>
      </c>
      <c r="L1475">
        <v>11</v>
      </c>
      <c r="M1475">
        <v>11</v>
      </c>
      <c r="N1475" t="s">
        <v>44</v>
      </c>
      <c r="Q1475" t="s">
        <v>521</v>
      </c>
      <c r="R1475" s="31">
        <v>0.1</v>
      </c>
    </row>
    <row r="1476" spans="1:18" x14ac:dyDescent="0.3">
      <c r="A1476">
        <v>17</v>
      </c>
      <c r="B1476">
        <v>17</v>
      </c>
      <c r="C1476" t="s">
        <v>14</v>
      </c>
      <c r="D1476">
        <v>2.02</v>
      </c>
      <c r="E1476">
        <v>13532.039000000001</v>
      </c>
      <c r="F1476" t="s">
        <v>404</v>
      </c>
      <c r="G1476" s="31">
        <v>1.17</v>
      </c>
      <c r="L1476">
        <v>12</v>
      </c>
      <c r="M1476">
        <v>12</v>
      </c>
      <c r="N1476" t="s">
        <v>45</v>
      </c>
      <c r="O1476">
        <v>3.5</v>
      </c>
      <c r="P1476">
        <v>26.861999999999998</v>
      </c>
      <c r="Q1476" t="s">
        <v>522</v>
      </c>
      <c r="R1476" s="31">
        <v>0.1</v>
      </c>
    </row>
    <row r="1477" spans="1:18" x14ac:dyDescent="0.3">
      <c r="A1477">
        <v>18</v>
      </c>
      <c r="B1477">
        <v>18</v>
      </c>
      <c r="C1477" t="s">
        <v>15</v>
      </c>
      <c r="D1477">
        <v>2.4900000000000002</v>
      </c>
      <c r="E1477">
        <v>47326.434000000001</v>
      </c>
      <c r="F1477" t="s">
        <v>405</v>
      </c>
      <c r="G1477" s="31">
        <v>10.81</v>
      </c>
      <c r="L1477">
        <v>13</v>
      </c>
      <c r="M1477">
        <v>13</v>
      </c>
      <c r="N1477" t="s">
        <v>46</v>
      </c>
      <c r="O1477">
        <v>2.58</v>
      </c>
      <c r="P1477">
        <v>3439.027</v>
      </c>
      <c r="Q1477" t="s">
        <v>523</v>
      </c>
      <c r="R1477" s="31">
        <v>0.1</v>
      </c>
    </row>
    <row r="1478" spans="1:18" x14ac:dyDescent="0.3">
      <c r="A1478">
        <v>19</v>
      </c>
      <c r="B1478">
        <v>19</v>
      </c>
      <c r="C1478" t="s">
        <v>16</v>
      </c>
      <c r="D1478">
        <v>2.71</v>
      </c>
      <c r="E1478">
        <v>1909.1489999999999</v>
      </c>
      <c r="F1478" t="s">
        <v>406</v>
      </c>
      <c r="G1478" s="31">
        <v>7.0000000000000007E-2</v>
      </c>
      <c r="L1478">
        <v>14</v>
      </c>
      <c r="M1478">
        <v>14</v>
      </c>
      <c r="N1478" t="s">
        <v>47</v>
      </c>
      <c r="Q1478" t="s">
        <v>524</v>
      </c>
      <c r="R1478" s="31">
        <v>0.1</v>
      </c>
    </row>
    <row r="1479" spans="1:18" x14ac:dyDescent="0.3">
      <c r="A1479">
        <v>20</v>
      </c>
      <c r="B1479">
        <v>20</v>
      </c>
      <c r="C1479" t="s">
        <v>17</v>
      </c>
      <c r="D1479">
        <v>3.13</v>
      </c>
      <c r="E1479">
        <v>29587.162</v>
      </c>
      <c r="F1479" t="s">
        <v>407</v>
      </c>
      <c r="G1479" s="31">
        <v>2.84</v>
      </c>
      <c r="L1479">
        <v>15</v>
      </c>
      <c r="M1479">
        <v>15</v>
      </c>
      <c r="N1479" t="s">
        <v>48</v>
      </c>
      <c r="O1479">
        <v>1.23</v>
      </c>
      <c r="P1479">
        <v>63.914999999999999</v>
      </c>
      <c r="Q1479" t="s">
        <v>525</v>
      </c>
      <c r="R1479" s="31">
        <v>0.1</v>
      </c>
    </row>
    <row r="1480" spans="1:18" x14ac:dyDescent="0.3">
      <c r="A1480">
        <v>21</v>
      </c>
      <c r="B1480">
        <v>21</v>
      </c>
      <c r="C1480" t="s">
        <v>18</v>
      </c>
      <c r="D1480">
        <v>3.68</v>
      </c>
      <c r="E1480">
        <v>41572.254000000001</v>
      </c>
      <c r="F1480" t="s">
        <v>408</v>
      </c>
      <c r="G1480" s="31">
        <v>0.93</v>
      </c>
      <c r="L1480">
        <v>16</v>
      </c>
      <c r="M1480">
        <v>16</v>
      </c>
      <c r="N1480" t="s">
        <v>53</v>
      </c>
      <c r="O1480">
        <v>4.5999999999999996</v>
      </c>
      <c r="P1480">
        <v>44.887</v>
      </c>
      <c r="Q1480" t="s">
        <v>526</v>
      </c>
      <c r="R1480" s="31">
        <v>0.1</v>
      </c>
    </row>
    <row r="1481" spans="1:18" x14ac:dyDescent="0.3">
      <c r="A1481">
        <v>22</v>
      </c>
      <c r="B1481">
        <v>22</v>
      </c>
      <c r="C1481" t="s">
        <v>19</v>
      </c>
      <c r="D1481">
        <v>2.63</v>
      </c>
      <c r="E1481">
        <v>49718.699000000001</v>
      </c>
      <c r="F1481" t="s">
        <v>409</v>
      </c>
      <c r="G1481" s="31">
        <v>2.58</v>
      </c>
      <c r="L1481">
        <v>17</v>
      </c>
      <c r="M1481">
        <v>17</v>
      </c>
      <c r="N1481" t="s">
        <v>54</v>
      </c>
      <c r="O1481">
        <v>5.21</v>
      </c>
      <c r="P1481">
        <v>153.05500000000001</v>
      </c>
      <c r="Q1481" t="s">
        <v>527</v>
      </c>
      <c r="R1481" s="31">
        <v>0.1</v>
      </c>
    </row>
    <row r="1482" spans="1:18" x14ac:dyDescent="0.3">
      <c r="A1482">
        <v>23</v>
      </c>
      <c r="B1482">
        <v>23</v>
      </c>
      <c r="C1482" t="s">
        <v>20</v>
      </c>
      <c r="D1482">
        <v>2.89</v>
      </c>
      <c r="E1482">
        <v>21116.326000000001</v>
      </c>
      <c r="F1482" t="s">
        <v>410</v>
      </c>
      <c r="G1482" s="31">
        <v>0.65</v>
      </c>
      <c r="L1482">
        <v>18</v>
      </c>
      <c r="M1482">
        <v>18</v>
      </c>
      <c r="N1482" t="s">
        <v>55</v>
      </c>
      <c r="Q1482" t="s">
        <v>528</v>
      </c>
      <c r="R1482" s="31">
        <v>0.1</v>
      </c>
    </row>
    <row r="1483" spans="1:18" x14ac:dyDescent="0.3">
      <c r="A1483">
        <v>24</v>
      </c>
      <c r="B1483">
        <v>24</v>
      </c>
      <c r="C1483" t="s">
        <v>21</v>
      </c>
      <c r="D1483">
        <v>4.1100000000000003</v>
      </c>
      <c r="E1483">
        <v>721.05100000000004</v>
      </c>
      <c r="F1483" t="s">
        <v>411</v>
      </c>
      <c r="G1483" s="31">
        <v>0.12</v>
      </c>
      <c r="L1483">
        <v>19</v>
      </c>
      <c r="M1483">
        <v>19</v>
      </c>
      <c r="N1483" t="s">
        <v>56</v>
      </c>
      <c r="O1483">
        <v>0.93</v>
      </c>
      <c r="P1483">
        <v>45.018999999999998</v>
      </c>
      <c r="Q1483" t="s">
        <v>529</v>
      </c>
      <c r="R1483" s="31">
        <v>0.1</v>
      </c>
    </row>
    <row r="1484" spans="1:18" x14ac:dyDescent="0.3">
      <c r="A1484">
        <v>25</v>
      </c>
      <c r="B1484">
        <v>25</v>
      </c>
      <c r="C1484" t="s">
        <v>22</v>
      </c>
      <c r="D1484">
        <v>3.42</v>
      </c>
      <c r="E1484">
        <v>3008.393</v>
      </c>
      <c r="F1484" t="s">
        <v>412</v>
      </c>
      <c r="G1484" s="31">
        <v>9.4700000000000006</v>
      </c>
      <c r="L1484">
        <v>20</v>
      </c>
      <c r="M1484">
        <v>20</v>
      </c>
      <c r="N1484" t="s">
        <v>57</v>
      </c>
      <c r="Q1484" t="s">
        <v>530</v>
      </c>
      <c r="R1484" s="31">
        <v>0.1</v>
      </c>
    </row>
    <row r="1485" spans="1:18" x14ac:dyDescent="0.3">
      <c r="A1485">
        <v>26</v>
      </c>
      <c r="B1485">
        <v>26</v>
      </c>
      <c r="C1485" t="s">
        <v>23</v>
      </c>
      <c r="D1485">
        <v>3.35</v>
      </c>
      <c r="E1485">
        <v>173755.84400000001</v>
      </c>
      <c r="F1485" t="s">
        <v>413</v>
      </c>
      <c r="G1485" s="31">
        <v>7.91</v>
      </c>
      <c r="L1485">
        <v>21</v>
      </c>
      <c r="M1485">
        <v>21</v>
      </c>
      <c r="N1485" t="s">
        <v>58</v>
      </c>
      <c r="Q1485" t="s">
        <v>531</v>
      </c>
      <c r="R1485" s="31">
        <v>0.1</v>
      </c>
    </row>
    <row r="1486" spans="1:18" x14ac:dyDescent="0.3">
      <c r="A1486">
        <v>27</v>
      </c>
      <c r="B1486">
        <v>27</v>
      </c>
      <c r="C1486" t="s">
        <v>24</v>
      </c>
      <c r="D1486">
        <v>3.43</v>
      </c>
      <c r="E1486">
        <v>1921.617</v>
      </c>
      <c r="F1486" t="s">
        <v>414</v>
      </c>
      <c r="G1486" s="31">
        <v>0.68</v>
      </c>
      <c r="L1486">
        <v>22</v>
      </c>
      <c r="M1486">
        <v>22</v>
      </c>
      <c r="N1486" t="s">
        <v>59</v>
      </c>
      <c r="Q1486" t="s">
        <v>532</v>
      </c>
      <c r="R1486" s="31">
        <v>0.1</v>
      </c>
    </row>
    <row r="1487" spans="1:18" x14ac:dyDescent="0.3">
      <c r="A1487">
        <v>28</v>
      </c>
      <c r="B1487">
        <v>28</v>
      </c>
      <c r="C1487" t="s">
        <v>25</v>
      </c>
      <c r="D1487">
        <v>3.51</v>
      </c>
      <c r="E1487">
        <v>8348.1139999999996</v>
      </c>
      <c r="F1487" t="s">
        <v>415</v>
      </c>
      <c r="G1487" s="31">
        <v>0.68</v>
      </c>
      <c r="L1487">
        <v>23</v>
      </c>
      <c r="M1487">
        <v>23</v>
      </c>
      <c r="N1487" t="s">
        <v>60</v>
      </c>
      <c r="O1487">
        <v>2.61</v>
      </c>
      <c r="P1487">
        <v>62.728999999999999</v>
      </c>
      <c r="Q1487" t="s">
        <v>533</v>
      </c>
      <c r="R1487" s="31">
        <v>2.0299999999999998</v>
      </c>
    </row>
    <row r="1488" spans="1:18" x14ac:dyDescent="0.3">
      <c r="A1488">
        <v>29</v>
      </c>
      <c r="B1488">
        <v>29</v>
      </c>
      <c r="C1488" t="s">
        <v>26</v>
      </c>
      <c r="D1488">
        <v>1.04</v>
      </c>
      <c r="E1488">
        <v>1668.172</v>
      </c>
      <c r="F1488" t="s">
        <v>416</v>
      </c>
      <c r="G1488" s="31">
        <v>0.9</v>
      </c>
    </row>
    <row r="1489" spans="1:18" x14ac:dyDescent="0.3">
      <c r="A1489">
        <v>30</v>
      </c>
      <c r="B1489">
        <v>30</v>
      </c>
      <c r="C1489" t="s">
        <v>27</v>
      </c>
      <c r="D1489">
        <v>4.26</v>
      </c>
      <c r="E1489">
        <v>5565.6989999999996</v>
      </c>
      <c r="F1489" t="s">
        <v>417</v>
      </c>
      <c r="G1489" s="31">
        <v>0.2</v>
      </c>
      <c r="L1489" t="s">
        <v>379</v>
      </c>
    </row>
    <row r="1490" spans="1:18" x14ac:dyDescent="0.3">
      <c r="A1490">
        <v>31</v>
      </c>
      <c r="B1490">
        <v>31</v>
      </c>
      <c r="C1490" t="s">
        <v>28</v>
      </c>
      <c r="D1490">
        <v>3</v>
      </c>
      <c r="E1490">
        <v>64011.938000000002</v>
      </c>
      <c r="F1490" t="s">
        <v>418</v>
      </c>
      <c r="G1490" s="31">
        <v>0.13</v>
      </c>
    </row>
    <row r="1491" spans="1:18" x14ac:dyDescent="0.3">
      <c r="A1491">
        <v>32</v>
      </c>
      <c r="B1491">
        <v>32</v>
      </c>
      <c r="C1491" t="s">
        <v>29</v>
      </c>
      <c r="D1491">
        <v>3.35</v>
      </c>
      <c r="E1491">
        <v>1708.7429999999999</v>
      </c>
      <c r="F1491" t="s">
        <v>419</v>
      </c>
      <c r="G1491" s="31">
        <v>0.12</v>
      </c>
      <c r="L1491" t="s">
        <v>557</v>
      </c>
    </row>
    <row r="1492" spans="1:18" x14ac:dyDescent="0.3">
      <c r="A1492">
        <v>33</v>
      </c>
      <c r="B1492">
        <v>33</v>
      </c>
      <c r="C1492" t="s">
        <v>30</v>
      </c>
      <c r="D1492">
        <v>4.67</v>
      </c>
      <c r="E1492">
        <v>30689.396000000001</v>
      </c>
      <c r="F1492" t="s">
        <v>420</v>
      </c>
      <c r="G1492" s="31">
        <v>0.46</v>
      </c>
    </row>
    <row r="1493" spans="1:18" x14ac:dyDescent="0.3">
      <c r="A1493">
        <v>34</v>
      </c>
      <c r="B1493">
        <v>34</v>
      </c>
      <c r="C1493" t="s">
        <v>31</v>
      </c>
      <c r="D1493">
        <v>3.5</v>
      </c>
      <c r="E1493">
        <v>2768.4690000000001</v>
      </c>
      <c r="F1493" t="s">
        <v>421</v>
      </c>
      <c r="G1493" s="31">
        <v>0.12</v>
      </c>
      <c r="L1493" t="s">
        <v>582</v>
      </c>
    </row>
    <row r="1494" spans="1:18" x14ac:dyDescent="0.3">
      <c r="A1494">
        <v>35</v>
      </c>
      <c r="B1494">
        <v>35</v>
      </c>
      <c r="C1494" t="s">
        <v>32</v>
      </c>
      <c r="D1494">
        <v>3.07</v>
      </c>
      <c r="E1494">
        <v>453.57400000000001</v>
      </c>
      <c r="F1494" t="s">
        <v>422</v>
      </c>
      <c r="G1494" s="31">
        <v>0.13</v>
      </c>
    </row>
    <row r="1495" spans="1:18" x14ac:dyDescent="0.3">
      <c r="A1495">
        <v>36</v>
      </c>
      <c r="B1495">
        <v>36</v>
      </c>
      <c r="C1495" t="s">
        <v>33</v>
      </c>
      <c r="D1495">
        <v>1.9</v>
      </c>
      <c r="E1495">
        <v>3731.1529999999998</v>
      </c>
      <c r="F1495" t="s">
        <v>423</v>
      </c>
      <c r="G1495" s="31">
        <v>1.24</v>
      </c>
      <c r="M1495" t="s">
        <v>382</v>
      </c>
      <c r="N1495" t="s">
        <v>383</v>
      </c>
      <c r="O1495" t="s">
        <v>384</v>
      </c>
      <c r="P1495" t="s">
        <v>385</v>
      </c>
      <c r="Q1495" t="s">
        <v>386</v>
      </c>
      <c r="R1495" s="31" t="s">
        <v>387</v>
      </c>
    </row>
    <row r="1496" spans="1:18" x14ac:dyDescent="0.3">
      <c r="G1496" s="31">
        <f>G1473/G1475</f>
        <v>3.5221238938053099</v>
      </c>
      <c r="L1496">
        <v>1</v>
      </c>
      <c r="M1496">
        <v>1</v>
      </c>
      <c r="N1496" t="s">
        <v>35</v>
      </c>
      <c r="O1496">
        <v>1.43</v>
      </c>
      <c r="P1496">
        <v>1541.479</v>
      </c>
      <c r="Q1496" t="s">
        <v>511</v>
      </c>
      <c r="R1496" s="31">
        <v>7.86</v>
      </c>
    </row>
    <row r="1497" spans="1:18" x14ac:dyDescent="0.3">
      <c r="A1497" t="s">
        <v>379</v>
      </c>
      <c r="L1497">
        <v>2</v>
      </c>
      <c r="M1497">
        <v>2</v>
      </c>
      <c r="N1497" t="s">
        <v>36</v>
      </c>
      <c r="O1497">
        <v>1.67</v>
      </c>
      <c r="P1497">
        <v>908615.43799999997</v>
      </c>
      <c r="Q1497" t="s">
        <v>512</v>
      </c>
      <c r="R1497" s="31">
        <v>130.03</v>
      </c>
    </row>
    <row r="1498" spans="1:18" x14ac:dyDescent="0.3">
      <c r="L1498">
        <v>3</v>
      </c>
      <c r="M1498">
        <v>3</v>
      </c>
      <c r="N1498" t="s">
        <v>37</v>
      </c>
      <c r="O1498">
        <v>1.81</v>
      </c>
      <c r="P1498">
        <v>1065.9849999999999</v>
      </c>
      <c r="Q1498" t="s">
        <v>513</v>
      </c>
      <c r="R1498" s="31">
        <v>0.24</v>
      </c>
    </row>
    <row r="1499" spans="1:18" x14ac:dyDescent="0.3">
      <c r="A1499" t="s">
        <v>456</v>
      </c>
      <c r="L1499">
        <v>4</v>
      </c>
      <c r="M1499">
        <v>4</v>
      </c>
      <c r="N1499" t="s">
        <v>38</v>
      </c>
      <c r="O1499">
        <v>1.18</v>
      </c>
      <c r="P1499">
        <v>3632.154</v>
      </c>
      <c r="Q1499" t="s">
        <v>514</v>
      </c>
      <c r="R1499" s="31">
        <v>0.55000000000000004</v>
      </c>
    </row>
    <row r="1500" spans="1:18" x14ac:dyDescent="0.3">
      <c r="L1500">
        <v>5</v>
      </c>
      <c r="M1500">
        <v>5</v>
      </c>
      <c r="N1500" t="s">
        <v>39</v>
      </c>
      <c r="O1500">
        <v>1.37</v>
      </c>
      <c r="P1500">
        <v>466110.81300000002</v>
      </c>
      <c r="Q1500" t="s">
        <v>515</v>
      </c>
      <c r="R1500" s="31">
        <v>76.67</v>
      </c>
    </row>
    <row r="1501" spans="1:18" x14ac:dyDescent="0.3">
      <c r="A1501" t="s">
        <v>458</v>
      </c>
      <c r="L1501">
        <v>6</v>
      </c>
      <c r="M1501">
        <v>6</v>
      </c>
      <c r="N1501" t="s">
        <v>40</v>
      </c>
      <c r="O1501">
        <v>1.52</v>
      </c>
      <c r="P1501">
        <v>17107.682000000001</v>
      </c>
      <c r="Q1501" t="s">
        <v>516</v>
      </c>
      <c r="R1501" s="31">
        <v>1.67</v>
      </c>
    </row>
    <row r="1502" spans="1:18" x14ac:dyDescent="0.3">
      <c r="L1502">
        <v>7</v>
      </c>
      <c r="M1502">
        <v>7</v>
      </c>
      <c r="N1502" t="s">
        <v>41</v>
      </c>
      <c r="O1502">
        <v>2.2999999999999998</v>
      </c>
      <c r="P1502">
        <v>1378.691</v>
      </c>
      <c r="Q1502" t="s">
        <v>517</v>
      </c>
      <c r="R1502" s="31">
        <v>1.31</v>
      </c>
    </row>
    <row r="1503" spans="1:18" x14ac:dyDescent="0.3">
      <c r="B1503" t="s">
        <v>382</v>
      </c>
      <c r="C1503" t="s">
        <v>383</v>
      </c>
      <c r="D1503" t="s">
        <v>384</v>
      </c>
      <c r="E1503" t="s">
        <v>385</v>
      </c>
      <c r="F1503" t="s">
        <v>386</v>
      </c>
      <c r="G1503" s="31" t="s">
        <v>387</v>
      </c>
      <c r="L1503">
        <v>8</v>
      </c>
      <c r="M1503">
        <v>8</v>
      </c>
      <c r="N1503" t="s">
        <v>42</v>
      </c>
      <c r="O1503">
        <v>0.88</v>
      </c>
      <c r="P1503">
        <v>31740.508000000002</v>
      </c>
      <c r="Q1503" t="s">
        <v>518</v>
      </c>
      <c r="R1503" s="31">
        <v>47.64</v>
      </c>
    </row>
    <row r="1504" spans="1:18" x14ac:dyDescent="0.3">
      <c r="A1504">
        <v>1</v>
      </c>
      <c r="B1504">
        <v>1</v>
      </c>
      <c r="C1504" t="s">
        <v>0</v>
      </c>
      <c r="D1504">
        <v>1.01</v>
      </c>
      <c r="E1504">
        <v>3676.1680000000001</v>
      </c>
      <c r="F1504" t="s">
        <v>388</v>
      </c>
      <c r="G1504" s="31">
        <v>24.74</v>
      </c>
      <c r="L1504">
        <v>9</v>
      </c>
      <c r="M1504">
        <v>9</v>
      </c>
      <c r="N1504" t="s">
        <v>43</v>
      </c>
      <c r="O1504">
        <v>2.54</v>
      </c>
      <c r="P1504">
        <v>10506.489</v>
      </c>
      <c r="Q1504" t="s">
        <v>519</v>
      </c>
      <c r="R1504" s="31">
        <v>0.16</v>
      </c>
    </row>
    <row r="1505" spans="1:18" x14ac:dyDescent="0.3">
      <c r="A1505">
        <v>2</v>
      </c>
      <c r="B1505">
        <v>2</v>
      </c>
      <c r="C1505" t="s">
        <v>1</v>
      </c>
      <c r="D1505">
        <v>1.45</v>
      </c>
      <c r="E1505">
        <v>3600.259</v>
      </c>
      <c r="F1505" t="s">
        <v>389</v>
      </c>
      <c r="G1505" s="31">
        <v>4.7</v>
      </c>
      <c r="L1505">
        <v>10</v>
      </c>
      <c r="M1505">
        <v>10</v>
      </c>
      <c r="N1505" t="s">
        <v>52</v>
      </c>
      <c r="O1505">
        <v>4.12</v>
      </c>
      <c r="P1505">
        <v>7194.1419999999998</v>
      </c>
      <c r="Q1505" t="s">
        <v>520</v>
      </c>
      <c r="R1505" s="31">
        <v>0.18</v>
      </c>
    </row>
    <row r="1506" spans="1:18" x14ac:dyDescent="0.3">
      <c r="A1506">
        <v>3</v>
      </c>
      <c r="B1506">
        <v>3</v>
      </c>
      <c r="C1506" t="s">
        <v>50</v>
      </c>
      <c r="D1506">
        <v>3.56</v>
      </c>
      <c r="E1506">
        <v>232.28100000000001</v>
      </c>
      <c r="F1506" t="s">
        <v>390</v>
      </c>
      <c r="G1506" s="31">
        <v>0.15</v>
      </c>
      <c r="L1506">
        <v>11</v>
      </c>
      <c r="M1506">
        <v>11</v>
      </c>
      <c r="N1506" t="s">
        <v>44</v>
      </c>
      <c r="O1506">
        <v>4.2300000000000004</v>
      </c>
      <c r="P1506">
        <v>287.88799999999998</v>
      </c>
      <c r="Q1506" t="s">
        <v>521</v>
      </c>
      <c r="R1506" s="31">
        <v>0.13</v>
      </c>
    </row>
    <row r="1507" spans="1:18" x14ac:dyDescent="0.3">
      <c r="A1507">
        <v>4</v>
      </c>
      <c r="B1507">
        <v>4</v>
      </c>
      <c r="C1507" t="s">
        <v>2</v>
      </c>
      <c r="D1507">
        <v>3.69</v>
      </c>
      <c r="E1507">
        <v>54467.788999999997</v>
      </c>
      <c r="F1507" t="s">
        <v>391</v>
      </c>
      <c r="G1507" s="31">
        <v>2.76</v>
      </c>
      <c r="L1507">
        <v>12</v>
      </c>
      <c r="M1507">
        <v>12</v>
      </c>
      <c r="N1507" t="s">
        <v>45</v>
      </c>
      <c r="O1507">
        <v>3.44</v>
      </c>
      <c r="P1507">
        <v>1702139.125</v>
      </c>
      <c r="Q1507" t="s">
        <v>522</v>
      </c>
      <c r="R1507" s="31">
        <v>37.479999999999997</v>
      </c>
    </row>
    <row r="1508" spans="1:18" x14ac:dyDescent="0.3">
      <c r="A1508">
        <v>5</v>
      </c>
      <c r="B1508">
        <v>5</v>
      </c>
      <c r="C1508" t="s">
        <v>3</v>
      </c>
      <c r="D1508">
        <v>4.4800000000000004</v>
      </c>
      <c r="E1508">
        <v>163.13999999999999</v>
      </c>
      <c r="F1508" t="s">
        <v>392</v>
      </c>
      <c r="G1508" s="31">
        <v>0.1</v>
      </c>
      <c r="L1508">
        <v>13</v>
      </c>
      <c r="M1508">
        <v>13</v>
      </c>
      <c r="N1508" t="s">
        <v>46</v>
      </c>
      <c r="O1508">
        <v>2.59</v>
      </c>
      <c r="P1508">
        <v>175597.28099999999</v>
      </c>
      <c r="Q1508" t="s">
        <v>523</v>
      </c>
      <c r="R1508" s="31">
        <v>8.0299999999999994</v>
      </c>
    </row>
    <row r="1509" spans="1:18" x14ac:dyDescent="0.3">
      <c r="A1509">
        <v>6</v>
      </c>
      <c r="B1509">
        <v>6</v>
      </c>
      <c r="C1509" t="s">
        <v>4</v>
      </c>
      <c r="D1509">
        <v>4.8</v>
      </c>
      <c r="E1509">
        <v>49604.237999999998</v>
      </c>
      <c r="F1509" t="s">
        <v>393</v>
      </c>
      <c r="G1509" s="31">
        <v>1.92</v>
      </c>
      <c r="L1509">
        <v>14</v>
      </c>
      <c r="M1509">
        <v>14</v>
      </c>
      <c r="N1509" t="s">
        <v>47</v>
      </c>
      <c r="O1509">
        <v>0.68</v>
      </c>
      <c r="P1509">
        <v>35227.093999999997</v>
      </c>
      <c r="Q1509" t="s">
        <v>524</v>
      </c>
      <c r="R1509" s="31">
        <v>16.190000000000001</v>
      </c>
    </row>
    <row r="1510" spans="1:18" x14ac:dyDescent="0.3">
      <c r="A1510">
        <v>7</v>
      </c>
      <c r="B1510">
        <v>7</v>
      </c>
      <c r="C1510" t="s">
        <v>5</v>
      </c>
      <c r="D1510">
        <v>2.71</v>
      </c>
      <c r="E1510">
        <v>651.09199999999998</v>
      </c>
      <c r="F1510" t="s">
        <v>394</v>
      </c>
      <c r="G1510" s="31">
        <v>0.09</v>
      </c>
      <c r="L1510">
        <v>15</v>
      </c>
      <c r="M1510">
        <v>15</v>
      </c>
      <c r="N1510" t="s">
        <v>48</v>
      </c>
      <c r="O1510">
        <v>1.21</v>
      </c>
      <c r="P1510">
        <v>35265.125</v>
      </c>
      <c r="Q1510" t="s">
        <v>525</v>
      </c>
      <c r="R1510" s="31">
        <v>4.93</v>
      </c>
    </row>
    <row r="1511" spans="1:18" x14ac:dyDescent="0.3">
      <c r="A1511">
        <v>8</v>
      </c>
      <c r="B1511">
        <v>8</v>
      </c>
      <c r="C1511" t="s">
        <v>6</v>
      </c>
      <c r="D1511">
        <v>0.67</v>
      </c>
      <c r="E1511">
        <v>3185.3609999999999</v>
      </c>
      <c r="F1511" t="s">
        <v>395</v>
      </c>
      <c r="G1511" s="31">
        <v>31.71</v>
      </c>
      <c r="L1511">
        <v>16</v>
      </c>
      <c r="M1511">
        <v>16</v>
      </c>
      <c r="N1511" t="s">
        <v>53</v>
      </c>
      <c r="O1511">
        <v>4.54</v>
      </c>
      <c r="P1511">
        <v>86024.562999999995</v>
      </c>
      <c r="Q1511" t="s">
        <v>526</v>
      </c>
      <c r="R1511" s="31">
        <v>1.1599999999999999</v>
      </c>
    </row>
    <row r="1512" spans="1:18" x14ac:dyDescent="0.3">
      <c r="A1512">
        <v>9</v>
      </c>
      <c r="B1512">
        <v>9</v>
      </c>
      <c r="C1512" t="s">
        <v>7</v>
      </c>
      <c r="D1512">
        <v>3.56</v>
      </c>
      <c r="E1512">
        <v>1499.35</v>
      </c>
      <c r="F1512" t="s">
        <v>396</v>
      </c>
      <c r="G1512" s="31">
        <v>3.27</v>
      </c>
      <c r="L1512">
        <v>17</v>
      </c>
      <c r="M1512">
        <v>17</v>
      </c>
      <c r="N1512" t="s">
        <v>54</v>
      </c>
      <c r="O1512">
        <v>5.26</v>
      </c>
      <c r="P1512">
        <v>50.93</v>
      </c>
      <c r="Q1512" t="s">
        <v>527</v>
      </c>
      <c r="R1512" s="31">
        <v>0.1</v>
      </c>
    </row>
    <row r="1513" spans="1:18" x14ac:dyDescent="0.3">
      <c r="A1513">
        <v>10</v>
      </c>
      <c r="B1513">
        <v>10</v>
      </c>
      <c r="C1513" t="s">
        <v>51</v>
      </c>
      <c r="D1513">
        <v>4.79</v>
      </c>
      <c r="E1513">
        <v>275.029</v>
      </c>
      <c r="F1513" t="s">
        <v>397</v>
      </c>
      <c r="G1513" s="31">
        <v>0.05</v>
      </c>
      <c r="L1513">
        <v>18</v>
      </c>
      <c r="M1513">
        <v>18</v>
      </c>
      <c r="N1513" t="s">
        <v>55</v>
      </c>
      <c r="O1513">
        <v>1.31</v>
      </c>
      <c r="P1513">
        <v>3546.4630000000002</v>
      </c>
      <c r="Q1513" t="s">
        <v>528</v>
      </c>
      <c r="R1513" s="31">
        <v>0.13</v>
      </c>
    </row>
    <row r="1514" spans="1:18" x14ac:dyDescent="0.3">
      <c r="A1514">
        <v>11</v>
      </c>
      <c r="B1514">
        <v>11</v>
      </c>
      <c r="C1514" t="s">
        <v>8</v>
      </c>
      <c r="D1514">
        <v>2.74</v>
      </c>
      <c r="E1514">
        <v>38744.266000000003</v>
      </c>
      <c r="F1514" t="s">
        <v>398</v>
      </c>
      <c r="G1514" s="31">
        <v>1.75</v>
      </c>
      <c r="L1514">
        <v>19</v>
      </c>
      <c r="M1514">
        <v>19</v>
      </c>
      <c r="N1514" t="s">
        <v>56</v>
      </c>
      <c r="O1514">
        <v>0.87</v>
      </c>
      <c r="P1514">
        <v>12067.294</v>
      </c>
      <c r="Q1514" t="s">
        <v>529</v>
      </c>
      <c r="R1514" s="31">
        <v>0.23</v>
      </c>
    </row>
    <row r="1515" spans="1:18" x14ac:dyDescent="0.3">
      <c r="A1515">
        <v>12</v>
      </c>
      <c r="B1515">
        <v>12</v>
      </c>
      <c r="C1515" t="s">
        <v>9</v>
      </c>
      <c r="D1515">
        <v>2.62</v>
      </c>
      <c r="E1515">
        <v>6253.875</v>
      </c>
      <c r="F1515" t="s">
        <v>399</v>
      </c>
      <c r="G1515" s="31">
        <v>1.86</v>
      </c>
      <c r="L1515">
        <v>20</v>
      </c>
      <c r="M1515">
        <v>20</v>
      </c>
      <c r="N1515" t="s">
        <v>57</v>
      </c>
      <c r="O1515">
        <v>1.51</v>
      </c>
      <c r="P1515">
        <v>970.04700000000003</v>
      </c>
      <c r="Q1515" t="s">
        <v>530</v>
      </c>
      <c r="R1515" s="31">
        <v>0.34</v>
      </c>
    </row>
    <row r="1516" spans="1:18" x14ac:dyDescent="0.3">
      <c r="A1516">
        <v>13</v>
      </c>
      <c r="B1516">
        <v>13</v>
      </c>
      <c r="C1516" t="s">
        <v>10</v>
      </c>
      <c r="D1516">
        <v>4.09</v>
      </c>
      <c r="E1516">
        <v>922588.5</v>
      </c>
      <c r="F1516" t="s">
        <v>400</v>
      </c>
      <c r="G1516" s="31">
        <v>63.37</v>
      </c>
      <c r="L1516">
        <v>21</v>
      </c>
      <c r="M1516">
        <v>21</v>
      </c>
      <c r="N1516" t="s">
        <v>58</v>
      </c>
      <c r="O1516">
        <v>2.57</v>
      </c>
      <c r="P1516">
        <v>60.055999999999997</v>
      </c>
      <c r="Q1516" t="s">
        <v>531</v>
      </c>
      <c r="R1516" s="31">
        <v>0.05</v>
      </c>
    </row>
    <row r="1517" spans="1:18" x14ac:dyDescent="0.3">
      <c r="A1517">
        <v>14</v>
      </c>
      <c r="B1517">
        <v>14</v>
      </c>
      <c r="C1517" t="s">
        <v>11</v>
      </c>
      <c r="D1517">
        <v>3.52</v>
      </c>
      <c r="E1517">
        <v>11.29</v>
      </c>
      <c r="F1517" t="s">
        <v>401</v>
      </c>
      <c r="G1517" s="31">
        <v>1.35</v>
      </c>
      <c r="L1517">
        <v>22</v>
      </c>
      <c r="M1517">
        <v>22</v>
      </c>
      <c r="N1517" t="s">
        <v>59</v>
      </c>
      <c r="O1517">
        <v>2.5</v>
      </c>
      <c r="P1517">
        <v>22300.613000000001</v>
      </c>
      <c r="Q1517" t="s">
        <v>532</v>
      </c>
      <c r="R1517" s="31">
        <v>2.81</v>
      </c>
    </row>
    <row r="1518" spans="1:18" x14ac:dyDescent="0.3">
      <c r="A1518">
        <v>15</v>
      </c>
      <c r="B1518">
        <v>15</v>
      </c>
      <c r="C1518" t="s">
        <v>12</v>
      </c>
      <c r="D1518">
        <v>3.34</v>
      </c>
      <c r="E1518">
        <v>135.62100000000001</v>
      </c>
      <c r="F1518" t="s">
        <v>402</v>
      </c>
      <c r="G1518" s="31">
        <v>0.52</v>
      </c>
      <c r="L1518">
        <v>23</v>
      </c>
      <c r="M1518">
        <v>23</v>
      </c>
      <c r="N1518" t="s">
        <v>60</v>
      </c>
      <c r="O1518">
        <v>2.56</v>
      </c>
      <c r="P1518">
        <v>46436.891000000003</v>
      </c>
      <c r="Q1518" t="s">
        <v>533</v>
      </c>
      <c r="R1518" s="31">
        <v>2.77</v>
      </c>
    </row>
    <row r="1519" spans="1:18" x14ac:dyDescent="0.3">
      <c r="A1519">
        <v>16</v>
      </c>
      <c r="B1519">
        <v>16</v>
      </c>
      <c r="C1519" t="s">
        <v>13</v>
      </c>
      <c r="D1519">
        <v>3.23</v>
      </c>
      <c r="E1519">
        <v>4739.2569999999996</v>
      </c>
      <c r="F1519" t="s">
        <v>403</v>
      </c>
      <c r="G1519" s="31">
        <v>0.86</v>
      </c>
    </row>
    <row r="1520" spans="1:18" x14ac:dyDescent="0.3">
      <c r="A1520">
        <v>17</v>
      </c>
      <c r="B1520">
        <v>17</v>
      </c>
      <c r="C1520" t="s">
        <v>14</v>
      </c>
      <c r="D1520">
        <v>2.02</v>
      </c>
      <c r="E1520">
        <v>29030.092000000001</v>
      </c>
      <c r="F1520" t="s">
        <v>404</v>
      </c>
      <c r="G1520" s="31">
        <v>3.85</v>
      </c>
      <c r="L1520" t="s">
        <v>379</v>
      </c>
    </row>
    <row r="1521" spans="1:18" x14ac:dyDescent="0.3">
      <c r="A1521">
        <v>18</v>
      </c>
      <c r="B1521">
        <v>18</v>
      </c>
      <c r="C1521" t="s">
        <v>15</v>
      </c>
      <c r="D1521">
        <v>2.5</v>
      </c>
      <c r="E1521">
        <v>27834.651999999998</v>
      </c>
      <c r="F1521" t="s">
        <v>405</v>
      </c>
      <c r="G1521" s="31">
        <v>11.28</v>
      </c>
    </row>
    <row r="1522" spans="1:18" x14ac:dyDescent="0.3">
      <c r="A1522">
        <v>19</v>
      </c>
      <c r="B1522">
        <v>19</v>
      </c>
      <c r="C1522" t="s">
        <v>16</v>
      </c>
      <c r="D1522">
        <v>2.71</v>
      </c>
      <c r="E1522">
        <v>7673.7190000000001</v>
      </c>
      <c r="F1522" t="s">
        <v>406</v>
      </c>
      <c r="G1522" s="31">
        <v>0.37</v>
      </c>
      <c r="L1522" t="s">
        <v>557</v>
      </c>
    </row>
    <row r="1523" spans="1:18" x14ac:dyDescent="0.3">
      <c r="A1523">
        <v>20</v>
      </c>
      <c r="B1523">
        <v>20</v>
      </c>
      <c r="C1523" t="s">
        <v>17</v>
      </c>
      <c r="D1523">
        <v>3.13</v>
      </c>
      <c r="E1523">
        <v>13477.446</v>
      </c>
      <c r="F1523" t="s">
        <v>407</v>
      </c>
      <c r="G1523" s="31">
        <v>2.17</v>
      </c>
    </row>
    <row r="1524" spans="1:18" x14ac:dyDescent="0.3">
      <c r="A1524">
        <v>21</v>
      </c>
      <c r="B1524">
        <v>21</v>
      </c>
      <c r="C1524" t="s">
        <v>18</v>
      </c>
      <c r="D1524">
        <v>3.68</v>
      </c>
      <c r="E1524">
        <v>14875.91</v>
      </c>
      <c r="F1524" t="s">
        <v>408</v>
      </c>
      <c r="G1524" s="31">
        <v>0.56000000000000005</v>
      </c>
      <c r="L1524" t="s">
        <v>583</v>
      </c>
    </row>
    <row r="1525" spans="1:18" x14ac:dyDescent="0.3">
      <c r="A1525">
        <v>22</v>
      </c>
      <c r="B1525">
        <v>22</v>
      </c>
      <c r="C1525" t="s">
        <v>19</v>
      </c>
      <c r="D1525">
        <v>2.63</v>
      </c>
      <c r="E1525">
        <v>39583.824000000001</v>
      </c>
      <c r="F1525" t="s">
        <v>409</v>
      </c>
      <c r="G1525" s="31">
        <v>3.62</v>
      </c>
    </row>
    <row r="1526" spans="1:18" x14ac:dyDescent="0.3">
      <c r="A1526">
        <v>23</v>
      </c>
      <c r="B1526">
        <v>23</v>
      </c>
      <c r="C1526" t="s">
        <v>20</v>
      </c>
      <c r="D1526">
        <v>2.89</v>
      </c>
      <c r="E1526">
        <v>14363.575000000001</v>
      </c>
      <c r="F1526" t="s">
        <v>410</v>
      </c>
      <c r="G1526" s="31">
        <v>0.78</v>
      </c>
      <c r="M1526" t="s">
        <v>382</v>
      </c>
      <c r="N1526" t="s">
        <v>383</v>
      </c>
      <c r="O1526" t="s">
        <v>384</v>
      </c>
      <c r="P1526" t="s">
        <v>385</v>
      </c>
      <c r="Q1526" t="s">
        <v>386</v>
      </c>
      <c r="R1526" s="31" t="s">
        <v>387</v>
      </c>
    </row>
    <row r="1527" spans="1:18" x14ac:dyDescent="0.3">
      <c r="A1527">
        <v>24</v>
      </c>
      <c r="B1527">
        <v>24</v>
      </c>
      <c r="C1527" t="s">
        <v>21</v>
      </c>
      <c r="D1527">
        <v>4.1100000000000003</v>
      </c>
      <c r="E1527">
        <v>435.79599999999999</v>
      </c>
      <c r="F1527" t="s">
        <v>411</v>
      </c>
      <c r="G1527" s="31">
        <v>0.12</v>
      </c>
      <c r="L1527">
        <v>1</v>
      </c>
      <c r="M1527">
        <v>1</v>
      </c>
      <c r="N1527" t="s">
        <v>35</v>
      </c>
      <c r="O1527">
        <v>1.44</v>
      </c>
      <c r="P1527">
        <v>4497.32</v>
      </c>
      <c r="Q1527" t="s">
        <v>511</v>
      </c>
      <c r="R1527" s="31">
        <v>6.6</v>
      </c>
    </row>
    <row r="1528" spans="1:18" x14ac:dyDescent="0.3">
      <c r="A1528">
        <v>25</v>
      </c>
      <c r="B1528">
        <v>25</v>
      </c>
      <c r="C1528" t="s">
        <v>22</v>
      </c>
      <c r="D1528">
        <v>3.42</v>
      </c>
      <c r="E1528">
        <v>229.952</v>
      </c>
      <c r="F1528" t="s">
        <v>412</v>
      </c>
      <c r="G1528" s="31">
        <v>3.33</v>
      </c>
      <c r="L1528">
        <v>2</v>
      </c>
      <c r="M1528">
        <v>2</v>
      </c>
      <c r="N1528" t="s">
        <v>36</v>
      </c>
      <c r="O1528">
        <v>1.65</v>
      </c>
      <c r="P1528">
        <v>6053758.5</v>
      </c>
      <c r="Q1528" t="s">
        <v>512</v>
      </c>
      <c r="R1528" s="31">
        <v>511.06</v>
      </c>
    </row>
    <row r="1529" spans="1:18" x14ac:dyDescent="0.3">
      <c r="A1529">
        <v>26</v>
      </c>
      <c r="B1529">
        <v>26</v>
      </c>
      <c r="C1529" t="s">
        <v>23</v>
      </c>
      <c r="D1529">
        <v>3.35</v>
      </c>
      <c r="E1529">
        <v>19173.377</v>
      </c>
      <c r="F1529" t="s">
        <v>413</v>
      </c>
      <c r="G1529" s="31">
        <v>1.69</v>
      </c>
      <c r="L1529">
        <v>3</v>
      </c>
      <c r="M1529">
        <v>3</v>
      </c>
      <c r="N1529" t="s">
        <v>37</v>
      </c>
      <c r="O1529">
        <v>1.8</v>
      </c>
      <c r="P1529">
        <v>3480.7950000000001</v>
      </c>
      <c r="Q1529" t="s">
        <v>513</v>
      </c>
      <c r="R1529" s="31">
        <v>0.52</v>
      </c>
    </row>
    <row r="1530" spans="1:18" x14ac:dyDescent="0.3">
      <c r="A1530">
        <v>27</v>
      </c>
      <c r="B1530">
        <v>27</v>
      </c>
      <c r="C1530" t="s">
        <v>24</v>
      </c>
      <c r="D1530">
        <v>3.44</v>
      </c>
      <c r="E1530">
        <v>1032.8050000000001</v>
      </c>
      <c r="F1530" t="s">
        <v>414</v>
      </c>
      <c r="G1530" s="31">
        <v>0.55000000000000004</v>
      </c>
      <c r="L1530">
        <v>4</v>
      </c>
      <c r="M1530">
        <v>4</v>
      </c>
      <c r="N1530" t="s">
        <v>38</v>
      </c>
      <c r="O1530">
        <v>1.18</v>
      </c>
      <c r="P1530">
        <v>12208.401</v>
      </c>
      <c r="Q1530" t="s">
        <v>514</v>
      </c>
      <c r="R1530" s="31">
        <v>1.36</v>
      </c>
    </row>
    <row r="1531" spans="1:18" x14ac:dyDescent="0.3">
      <c r="A1531">
        <v>28</v>
      </c>
      <c r="B1531">
        <v>28</v>
      </c>
      <c r="C1531" t="s">
        <v>25</v>
      </c>
      <c r="D1531">
        <v>3.51</v>
      </c>
      <c r="E1531">
        <v>18086.099999999999</v>
      </c>
      <c r="F1531" t="s">
        <v>415</v>
      </c>
      <c r="G1531" s="31">
        <v>2.2799999999999998</v>
      </c>
      <c r="L1531">
        <v>5</v>
      </c>
      <c r="M1531">
        <v>5</v>
      </c>
      <c r="N1531" t="s">
        <v>39</v>
      </c>
      <c r="O1531">
        <v>1.38</v>
      </c>
      <c r="P1531">
        <v>433291.43800000002</v>
      </c>
      <c r="Q1531" t="s">
        <v>515</v>
      </c>
      <c r="R1531" s="31">
        <v>57.15</v>
      </c>
    </row>
    <row r="1532" spans="1:18" x14ac:dyDescent="0.3">
      <c r="A1532">
        <v>29</v>
      </c>
      <c r="B1532">
        <v>29</v>
      </c>
      <c r="C1532" t="s">
        <v>26</v>
      </c>
      <c r="D1532">
        <v>1.04</v>
      </c>
      <c r="E1532">
        <v>1687.6079999999999</v>
      </c>
      <c r="F1532" t="s">
        <v>416</v>
      </c>
      <c r="G1532" s="31">
        <v>1.55</v>
      </c>
      <c r="L1532">
        <v>6</v>
      </c>
      <c r="M1532">
        <v>6</v>
      </c>
      <c r="N1532" t="s">
        <v>40</v>
      </c>
      <c r="O1532">
        <v>1.52</v>
      </c>
      <c r="P1532">
        <v>19648.205000000002</v>
      </c>
      <c r="Q1532" t="s">
        <v>516</v>
      </c>
      <c r="R1532" s="31">
        <v>1.52</v>
      </c>
    </row>
    <row r="1533" spans="1:18" x14ac:dyDescent="0.3">
      <c r="A1533">
        <v>30</v>
      </c>
      <c r="B1533">
        <v>30</v>
      </c>
      <c r="C1533" t="s">
        <v>27</v>
      </c>
      <c r="D1533">
        <v>4.32</v>
      </c>
      <c r="E1533">
        <v>1370.117</v>
      </c>
      <c r="F1533" t="s">
        <v>417</v>
      </c>
      <c r="G1533" s="31">
        <v>0.09</v>
      </c>
      <c r="L1533">
        <v>7</v>
      </c>
      <c r="M1533">
        <v>7</v>
      </c>
      <c r="N1533" t="s">
        <v>41</v>
      </c>
      <c r="O1533">
        <v>2.27</v>
      </c>
      <c r="P1533">
        <v>534.38199999999995</v>
      </c>
      <c r="Q1533" t="s">
        <v>517</v>
      </c>
      <c r="R1533" s="31">
        <v>0.47</v>
      </c>
    </row>
    <row r="1534" spans="1:18" x14ac:dyDescent="0.3">
      <c r="A1534">
        <v>31</v>
      </c>
      <c r="B1534">
        <v>31</v>
      </c>
      <c r="C1534" t="s">
        <v>28</v>
      </c>
      <c r="D1534">
        <v>3</v>
      </c>
      <c r="E1534">
        <v>39435.995999999999</v>
      </c>
      <c r="F1534" t="s">
        <v>418</v>
      </c>
      <c r="G1534" s="31">
        <v>0.09</v>
      </c>
      <c r="L1534">
        <v>8</v>
      </c>
      <c r="M1534">
        <v>8</v>
      </c>
      <c r="N1534" t="s">
        <v>42</v>
      </c>
      <c r="O1534">
        <v>0.89</v>
      </c>
      <c r="P1534">
        <v>1449722.75</v>
      </c>
      <c r="Q1534" t="s">
        <v>518</v>
      </c>
      <c r="R1534" s="31">
        <v>1133.31</v>
      </c>
    </row>
    <row r="1535" spans="1:18" x14ac:dyDescent="0.3">
      <c r="A1535">
        <v>32</v>
      </c>
      <c r="B1535">
        <v>32</v>
      </c>
      <c r="C1535" t="s">
        <v>29</v>
      </c>
      <c r="D1535">
        <v>3.35</v>
      </c>
      <c r="E1535">
        <v>465.18700000000001</v>
      </c>
      <c r="F1535" t="s">
        <v>419</v>
      </c>
      <c r="G1535" s="31">
        <v>0.08</v>
      </c>
      <c r="L1535">
        <v>9</v>
      </c>
      <c r="M1535">
        <v>9</v>
      </c>
      <c r="N1535" t="s">
        <v>43</v>
      </c>
      <c r="O1535">
        <v>2.54</v>
      </c>
      <c r="P1535">
        <v>14107.004000000001</v>
      </c>
      <c r="Q1535" t="s">
        <v>519</v>
      </c>
      <c r="R1535" s="31">
        <v>0.17</v>
      </c>
    </row>
    <row r="1536" spans="1:18" x14ac:dyDescent="0.3">
      <c r="A1536">
        <v>33</v>
      </c>
      <c r="B1536">
        <v>33</v>
      </c>
      <c r="C1536" t="s">
        <v>30</v>
      </c>
      <c r="D1536">
        <v>4.67</v>
      </c>
      <c r="E1536">
        <v>53902.343999999997</v>
      </c>
      <c r="F1536" t="s">
        <v>420</v>
      </c>
      <c r="G1536" s="31">
        <v>1.1100000000000001</v>
      </c>
      <c r="L1536">
        <v>10</v>
      </c>
      <c r="M1536">
        <v>10</v>
      </c>
      <c r="N1536" t="s">
        <v>52</v>
      </c>
      <c r="O1536">
        <v>4.13</v>
      </c>
      <c r="P1536">
        <v>3372.34</v>
      </c>
      <c r="Q1536" t="s">
        <v>520</v>
      </c>
      <c r="R1536" s="31">
        <v>0.1</v>
      </c>
    </row>
    <row r="1537" spans="1:18" x14ac:dyDescent="0.3">
      <c r="A1537">
        <v>34</v>
      </c>
      <c r="B1537">
        <v>34</v>
      </c>
      <c r="C1537" t="s">
        <v>31</v>
      </c>
      <c r="D1537">
        <v>3.5</v>
      </c>
      <c r="E1537">
        <v>2182.8159999999998</v>
      </c>
      <c r="F1537" t="s">
        <v>421</v>
      </c>
      <c r="G1537" s="31">
        <v>0.16</v>
      </c>
      <c r="L1537">
        <v>11</v>
      </c>
      <c r="M1537">
        <v>11</v>
      </c>
      <c r="N1537" t="s">
        <v>44</v>
      </c>
      <c r="O1537">
        <v>4.17</v>
      </c>
      <c r="P1537">
        <v>248.691</v>
      </c>
      <c r="Q1537" t="s">
        <v>521</v>
      </c>
      <c r="R1537" s="31">
        <v>0.1</v>
      </c>
    </row>
    <row r="1538" spans="1:18" x14ac:dyDescent="0.3">
      <c r="A1538">
        <v>35</v>
      </c>
      <c r="B1538">
        <v>35</v>
      </c>
      <c r="C1538" t="s">
        <v>32</v>
      </c>
      <c r="D1538">
        <v>3.06</v>
      </c>
      <c r="E1538">
        <v>175.583</v>
      </c>
      <c r="F1538" t="s">
        <v>422</v>
      </c>
      <c r="G1538" s="31">
        <v>0.11</v>
      </c>
      <c r="L1538">
        <v>12</v>
      </c>
      <c r="M1538">
        <v>12</v>
      </c>
      <c r="N1538" t="s">
        <v>45</v>
      </c>
      <c r="O1538">
        <v>3.44</v>
      </c>
      <c r="P1538">
        <v>1852855.625</v>
      </c>
      <c r="Q1538" t="s">
        <v>522</v>
      </c>
      <c r="R1538" s="31">
        <v>33.04</v>
      </c>
    </row>
    <row r="1539" spans="1:18" x14ac:dyDescent="0.3">
      <c r="A1539">
        <v>36</v>
      </c>
      <c r="B1539">
        <v>36</v>
      </c>
      <c r="C1539" t="s">
        <v>33</v>
      </c>
      <c r="D1539">
        <v>1.93</v>
      </c>
      <c r="E1539">
        <v>878.85299999999995</v>
      </c>
      <c r="F1539" t="s">
        <v>423</v>
      </c>
      <c r="G1539" s="31">
        <v>0.5</v>
      </c>
      <c r="L1539">
        <v>13</v>
      </c>
      <c r="M1539">
        <v>13</v>
      </c>
      <c r="N1539" t="s">
        <v>46</v>
      </c>
      <c r="O1539">
        <v>2.59</v>
      </c>
      <c r="P1539">
        <v>121756.32</v>
      </c>
      <c r="Q1539" t="s">
        <v>523</v>
      </c>
      <c r="R1539" s="31">
        <v>4.1900000000000004</v>
      </c>
    </row>
    <row r="1540" spans="1:18" x14ac:dyDescent="0.3">
      <c r="G1540" s="31">
        <f>G1517/G1519</f>
        <v>1.5697674418604652</v>
      </c>
      <c r="L1540">
        <v>14</v>
      </c>
      <c r="M1540">
        <v>14</v>
      </c>
      <c r="N1540" t="s">
        <v>47</v>
      </c>
      <c r="O1540">
        <v>0.68</v>
      </c>
      <c r="P1540">
        <v>41811.644999999997</v>
      </c>
      <c r="Q1540" t="s">
        <v>524</v>
      </c>
      <c r="R1540" s="31">
        <v>15.59</v>
      </c>
    </row>
    <row r="1541" spans="1:18" x14ac:dyDescent="0.3">
      <c r="A1541" t="s">
        <v>379</v>
      </c>
      <c r="L1541">
        <v>15</v>
      </c>
      <c r="M1541">
        <v>15</v>
      </c>
      <c r="N1541" t="s">
        <v>48</v>
      </c>
      <c r="O1541">
        <v>1.21</v>
      </c>
      <c r="P1541">
        <v>54478.055</v>
      </c>
      <c r="Q1541" t="s">
        <v>525</v>
      </c>
      <c r="R1541" s="31">
        <v>6.21</v>
      </c>
    </row>
    <row r="1542" spans="1:18" x14ac:dyDescent="0.3">
      <c r="L1542">
        <v>16</v>
      </c>
      <c r="M1542">
        <v>16</v>
      </c>
      <c r="N1542" t="s">
        <v>53</v>
      </c>
      <c r="O1542">
        <v>4.55</v>
      </c>
      <c r="P1542">
        <v>37657.516000000003</v>
      </c>
      <c r="Q1542" t="s">
        <v>526</v>
      </c>
      <c r="R1542" s="31">
        <v>0.39</v>
      </c>
    </row>
    <row r="1543" spans="1:18" x14ac:dyDescent="0.3">
      <c r="A1543" t="s">
        <v>456</v>
      </c>
      <c r="L1543">
        <v>17</v>
      </c>
      <c r="M1543">
        <v>17</v>
      </c>
      <c r="N1543" t="s">
        <v>54</v>
      </c>
      <c r="O1543">
        <v>5.27</v>
      </c>
      <c r="P1543">
        <v>24.22</v>
      </c>
      <c r="Q1543" t="s">
        <v>527</v>
      </c>
      <c r="R1543" s="31">
        <v>0.1</v>
      </c>
    </row>
    <row r="1544" spans="1:18" x14ac:dyDescent="0.3">
      <c r="L1544">
        <v>18</v>
      </c>
      <c r="M1544">
        <v>18</v>
      </c>
      <c r="N1544" t="s">
        <v>55</v>
      </c>
      <c r="O1544">
        <v>1.32</v>
      </c>
      <c r="P1544">
        <v>5703.0230000000001</v>
      </c>
      <c r="Q1544" t="s">
        <v>528</v>
      </c>
      <c r="R1544" s="31">
        <v>0.17</v>
      </c>
    </row>
    <row r="1545" spans="1:18" x14ac:dyDescent="0.3">
      <c r="A1545" t="s">
        <v>459</v>
      </c>
      <c r="L1545">
        <v>19</v>
      </c>
      <c r="M1545">
        <v>19</v>
      </c>
      <c r="N1545" t="s">
        <v>56</v>
      </c>
      <c r="O1545">
        <v>0.87</v>
      </c>
      <c r="P1545">
        <v>60057.292999999998</v>
      </c>
      <c r="Q1545" t="s">
        <v>529</v>
      </c>
      <c r="R1545" s="31">
        <v>2.72</v>
      </c>
    </row>
    <row r="1546" spans="1:18" x14ac:dyDescent="0.3">
      <c r="L1546">
        <v>20</v>
      </c>
      <c r="M1546">
        <v>20</v>
      </c>
      <c r="N1546" t="s">
        <v>57</v>
      </c>
      <c r="O1546">
        <v>1.51</v>
      </c>
      <c r="P1546">
        <v>2060.451</v>
      </c>
      <c r="Q1546" t="s">
        <v>530</v>
      </c>
      <c r="R1546" s="31">
        <v>0.59</v>
      </c>
    </row>
    <row r="1547" spans="1:18" x14ac:dyDescent="0.3">
      <c r="B1547" t="s">
        <v>382</v>
      </c>
      <c r="C1547" t="s">
        <v>383</v>
      </c>
      <c r="D1547" t="s">
        <v>384</v>
      </c>
      <c r="E1547" t="s">
        <v>385</v>
      </c>
      <c r="F1547" t="s">
        <v>386</v>
      </c>
      <c r="G1547" s="31" t="s">
        <v>387</v>
      </c>
      <c r="L1547">
        <v>21</v>
      </c>
      <c r="M1547">
        <v>21</v>
      </c>
      <c r="N1547" t="s">
        <v>58</v>
      </c>
      <c r="O1547">
        <v>2.5499999999999998</v>
      </c>
      <c r="P1547">
        <v>45.948</v>
      </c>
      <c r="Q1547" t="s">
        <v>531</v>
      </c>
      <c r="R1547" s="31">
        <v>0.14000000000000001</v>
      </c>
    </row>
    <row r="1548" spans="1:18" x14ac:dyDescent="0.3">
      <c r="A1548">
        <v>1</v>
      </c>
      <c r="B1548">
        <v>1</v>
      </c>
      <c r="C1548" t="s">
        <v>0</v>
      </c>
      <c r="D1548">
        <v>1.01</v>
      </c>
      <c r="E1548">
        <v>1395.7670000000001</v>
      </c>
      <c r="F1548" t="s">
        <v>388</v>
      </c>
      <c r="G1548" s="31">
        <v>13.08</v>
      </c>
      <c r="L1548">
        <v>22</v>
      </c>
      <c r="M1548">
        <v>22</v>
      </c>
      <c r="N1548" t="s">
        <v>59</v>
      </c>
      <c r="O1548">
        <v>2.5</v>
      </c>
      <c r="P1548">
        <v>67361.445000000007</v>
      </c>
      <c r="Q1548" t="s">
        <v>532</v>
      </c>
      <c r="R1548" s="31">
        <v>7.1</v>
      </c>
    </row>
    <row r="1549" spans="1:18" x14ac:dyDescent="0.3">
      <c r="A1549">
        <v>2</v>
      </c>
      <c r="B1549">
        <v>2</v>
      </c>
      <c r="C1549" t="s">
        <v>1</v>
      </c>
      <c r="D1549">
        <v>1.46</v>
      </c>
      <c r="E1549">
        <v>2685.32</v>
      </c>
      <c r="F1549" t="s">
        <v>389</v>
      </c>
      <c r="G1549" s="31">
        <v>5.19</v>
      </c>
      <c r="L1549">
        <v>23</v>
      </c>
      <c r="M1549">
        <v>23</v>
      </c>
      <c r="N1549" t="s">
        <v>60</v>
      </c>
      <c r="O1549">
        <v>2.58</v>
      </c>
      <c r="P1549">
        <v>25323.699000000001</v>
      </c>
      <c r="Q1549" t="s">
        <v>533</v>
      </c>
      <c r="R1549" s="31">
        <v>1.27</v>
      </c>
    </row>
    <row r="1550" spans="1:18" x14ac:dyDescent="0.3">
      <c r="A1550">
        <v>3</v>
      </c>
      <c r="B1550">
        <v>3</v>
      </c>
      <c r="C1550" t="s">
        <v>50</v>
      </c>
      <c r="D1550">
        <v>3.78</v>
      </c>
      <c r="E1550">
        <v>97.573999999999998</v>
      </c>
      <c r="F1550" t="s">
        <v>390</v>
      </c>
      <c r="G1550" s="31">
        <v>0.11</v>
      </c>
    </row>
    <row r="1551" spans="1:18" x14ac:dyDescent="0.3">
      <c r="A1551">
        <v>4</v>
      </c>
      <c r="B1551">
        <v>4</v>
      </c>
      <c r="C1551" t="s">
        <v>2</v>
      </c>
      <c r="D1551">
        <v>3.69</v>
      </c>
      <c r="E1551">
        <v>10627.522000000001</v>
      </c>
      <c r="F1551" t="s">
        <v>391</v>
      </c>
      <c r="G1551" s="31">
        <v>0.86</v>
      </c>
      <c r="L1551" t="s">
        <v>379</v>
      </c>
    </row>
    <row r="1552" spans="1:18" x14ac:dyDescent="0.3">
      <c r="A1552">
        <v>5</v>
      </c>
      <c r="B1552">
        <v>5</v>
      </c>
      <c r="C1552" t="s">
        <v>3</v>
      </c>
      <c r="D1552">
        <v>4.5599999999999996</v>
      </c>
      <c r="E1552">
        <v>145.68700000000001</v>
      </c>
      <c r="F1552" t="s">
        <v>392</v>
      </c>
      <c r="G1552" s="31">
        <v>0.1</v>
      </c>
    </row>
    <row r="1553" spans="1:18" x14ac:dyDescent="0.3">
      <c r="A1553">
        <v>6</v>
      </c>
      <c r="B1553">
        <v>6</v>
      </c>
      <c r="C1553" t="s">
        <v>4</v>
      </c>
      <c r="D1553">
        <v>4.8</v>
      </c>
      <c r="E1553">
        <v>61539.222999999998</v>
      </c>
      <c r="F1553" t="s">
        <v>393</v>
      </c>
      <c r="G1553" s="31">
        <v>3.32</v>
      </c>
      <c r="L1553" t="s">
        <v>557</v>
      </c>
    </row>
    <row r="1554" spans="1:18" x14ac:dyDescent="0.3">
      <c r="A1554">
        <v>7</v>
      </c>
      <c r="B1554">
        <v>7</v>
      </c>
      <c r="C1554" t="s">
        <v>5</v>
      </c>
      <c r="D1554">
        <v>2.71</v>
      </c>
      <c r="E1554">
        <v>2224.6779999999999</v>
      </c>
      <c r="F1554" t="s">
        <v>394</v>
      </c>
      <c r="G1554" s="31">
        <v>0.42</v>
      </c>
    </row>
    <row r="1555" spans="1:18" x14ac:dyDescent="0.3">
      <c r="A1555">
        <v>8</v>
      </c>
      <c r="B1555">
        <v>8</v>
      </c>
      <c r="C1555" t="s">
        <v>6</v>
      </c>
      <c r="D1555">
        <v>0.68</v>
      </c>
      <c r="E1555">
        <v>935.57299999999998</v>
      </c>
      <c r="F1555" t="s">
        <v>395</v>
      </c>
      <c r="G1555" s="31">
        <v>14.83</v>
      </c>
      <c r="L1555" t="s">
        <v>584</v>
      </c>
    </row>
    <row r="1556" spans="1:18" x14ac:dyDescent="0.3">
      <c r="A1556">
        <v>9</v>
      </c>
      <c r="B1556">
        <v>9</v>
      </c>
      <c r="C1556" t="s">
        <v>7</v>
      </c>
      <c r="D1556">
        <v>3.56</v>
      </c>
      <c r="E1556">
        <v>513.74400000000003</v>
      </c>
      <c r="F1556" t="s">
        <v>396</v>
      </c>
      <c r="G1556" s="31">
        <v>1.7</v>
      </c>
    </row>
    <row r="1557" spans="1:18" x14ac:dyDescent="0.3">
      <c r="A1557">
        <v>10</v>
      </c>
      <c r="B1557">
        <v>10</v>
      </c>
      <c r="C1557" t="s">
        <v>51</v>
      </c>
      <c r="D1557">
        <v>4.6100000000000003</v>
      </c>
      <c r="E1557">
        <v>265.95699999999999</v>
      </c>
      <c r="F1557" t="s">
        <v>397</v>
      </c>
      <c r="G1557" s="31">
        <v>7.0000000000000007E-2</v>
      </c>
      <c r="M1557" t="s">
        <v>382</v>
      </c>
      <c r="N1557" t="s">
        <v>383</v>
      </c>
      <c r="O1557" t="s">
        <v>384</v>
      </c>
      <c r="P1557" t="s">
        <v>385</v>
      </c>
      <c r="Q1557" t="s">
        <v>386</v>
      </c>
      <c r="R1557" s="31" t="s">
        <v>387</v>
      </c>
    </row>
    <row r="1558" spans="1:18" x14ac:dyDescent="0.3">
      <c r="A1558">
        <v>11</v>
      </c>
      <c r="B1558">
        <v>11</v>
      </c>
      <c r="C1558" t="s">
        <v>8</v>
      </c>
      <c r="D1558">
        <v>2.74</v>
      </c>
      <c r="E1558">
        <v>20919.375</v>
      </c>
      <c r="F1558" t="s">
        <v>398</v>
      </c>
      <c r="G1558" s="31">
        <v>1.47</v>
      </c>
      <c r="L1558">
        <v>1</v>
      </c>
      <c r="M1558">
        <v>1</v>
      </c>
      <c r="N1558" t="s">
        <v>35</v>
      </c>
      <c r="O1558">
        <v>1.43</v>
      </c>
      <c r="P1558">
        <v>5979.5159999999996</v>
      </c>
      <c r="Q1558" t="s">
        <v>511</v>
      </c>
      <c r="R1558" s="31">
        <v>9.43</v>
      </c>
    </row>
    <row r="1559" spans="1:18" x14ac:dyDescent="0.3">
      <c r="A1559">
        <v>12</v>
      </c>
      <c r="B1559">
        <v>12</v>
      </c>
      <c r="C1559" t="s">
        <v>9</v>
      </c>
      <c r="D1559">
        <v>2.63</v>
      </c>
      <c r="E1559">
        <v>5196.4780000000001</v>
      </c>
      <c r="F1559" t="s">
        <v>399</v>
      </c>
      <c r="G1559" s="31">
        <v>2.2799999999999998</v>
      </c>
      <c r="L1559">
        <v>2</v>
      </c>
      <c r="M1559">
        <v>2</v>
      </c>
      <c r="N1559" t="s">
        <v>36</v>
      </c>
      <c r="O1559">
        <v>1.64</v>
      </c>
      <c r="P1559">
        <v>4077915.75</v>
      </c>
      <c r="Q1559" t="s">
        <v>512</v>
      </c>
      <c r="R1559" s="31">
        <v>495.07</v>
      </c>
    </row>
    <row r="1560" spans="1:18" x14ac:dyDescent="0.3">
      <c r="A1560">
        <v>13</v>
      </c>
      <c r="B1560">
        <v>13</v>
      </c>
      <c r="C1560" t="s">
        <v>10</v>
      </c>
      <c r="D1560">
        <v>4.09</v>
      </c>
      <c r="E1560">
        <v>390696.31300000002</v>
      </c>
      <c r="F1560" t="s">
        <v>400</v>
      </c>
      <c r="G1560" s="31">
        <v>29.63</v>
      </c>
      <c r="L1560">
        <v>3</v>
      </c>
      <c r="M1560">
        <v>3</v>
      </c>
      <c r="N1560" t="s">
        <v>37</v>
      </c>
      <c r="O1560">
        <v>1.78</v>
      </c>
      <c r="P1560">
        <v>2524.5100000000002</v>
      </c>
      <c r="Q1560" t="s">
        <v>513</v>
      </c>
      <c r="R1560" s="31">
        <v>0.54</v>
      </c>
    </row>
    <row r="1561" spans="1:18" x14ac:dyDescent="0.3">
      <c r="A1561">
        <v>14</v>
      </c>
      <c r="B1561">
        <v>14</v>
      </c>
      <c r="C1561" t="s">
        <v>11</v>
      </c>
      <c r="D1561">
        <v>3.52</v>
      </c>
      <c r="E1561">
        <v>4.0620000000000003</v>
      </c>
      <c r="F1561" t="s">
        <v>401</v>
      </c>
      <c r="G1561" s="31">
        <v>1.54</v>
      </c>
      <c r="L1561">
        <v>4</v>
      </c>
      <c r="M1561">
        <v>4</v>
      </c>
      <c r="N1561" t="s">
        <v>38</v>
      </c>
      <c r="O1561">
        <v>1.17</v>
      </c>
      <c r="P1561">
        <v>17944.646000000001</v>
      </c>
      <c r="Q1561" t="s">
        <v>514</v>
      </c>
      <c r="R1561" s="31">
        <v>2.76</v>
      </c>
    </row>
    <row r="1562" spans="1:18" x14ac:dyDescent="0.3">
      <c r="A1562">
        <v>15</v>
      </c>
      <c r="B1562">
        <v>15</v>
      </c>
      <c r="C1562" t="s">
        <v>12</v>
      </c>
      <c r="D1562">
        <v>3.32</v>
      </c>
      <c r="E1562">
        <v>116.941</v>
      </c>
      <c r="F1562" t="s">
        <v>402</v>
      </c>
      <c r="G1562" s="31">
        <v>0.64</v>
      </c>
      <c r="L1562">
        <v>5</v>
      </c>
      <c r="M1562">
        <v>5</v>
      </c>
      <c r="N1562" t="s">
        <v>39</v>
      </c>
      <c r="O1562">
        <v>1.37</v>
      </c>
      <c r="P1562">
        <v>329181.625</v>
      </c>
      <c r="Q1562" t="s">
        <v>515</v>
      </c>
      <c r="R1562" s="31">
        <v>61.76</v>
      </c>
    </row>
    <row r="1563" spans="1:18" x14ac:dyDescent="0.3">
      <c r="A1563">
        <v>16</v>
      </c>
      <c r="B1563">
        <v>16</v>
      </c>
      <c r="C1563" t="s">
        <v>13</v>
      </c>
      <c r="D1563">
        <v>3.23</v>
      </c>
      <c r="E1563">
        <v>4851.7539999999999</v>
      </c>
      <c r="F1563" t="s">
        <v>403</v>
      </c>
      <c r="G1563" s="31">
        <v>1.25</v>
      </c>
      <c r="L1563">
        <v>6</v>
      </c>
      <c r="M1563">
        <v>6</v>
      </c>
      <c r="N1563" t="s">
        <v>40</v>
      </c>
      <c r="O1563">
        <v>1.51</v>
      </c>
      <c r="P1563">
        <v>52848.413999999997</v>
      </c>
      <c r="Q1563" t="s">
        <v>516</v>
      </c>
      <c r="R1563" s="31">
        <v>5.67</v>
      </c>
    </row>
    <row r="1564" spans="1:18" x14ac:dyDescent="0.3">
      <c r="A1564">
        <v>17</v>
      </c>
      <c r="B1564">
        <v>17</v>
      </c>
      <c r="C1564" t="s">
        <v>14</v>
      </c>
      <c r="D1564">
        <v>2.02</v>
      </c>
      <c r="E1564">
        <v>18425.300999999999</v>
      </c>
      <c r="F1564" t="s">
        <v>404</v>
      </c>
      <c r="G1564" s="31">
        <v>3.68</v>
      </c>
      <c r="L1564">
        <v>7</v>
      </c>
      <c r="M1564">
        <v>7</v>
      </c>
      <c r="N1564" t="s">
        <v>41</v>
      </c>
      <c r="O1564">
        <v>2.29</v>
      </c>
      <c r="P1564">
        <v>4749.5959999999995</v>
      </c>
      <c r="Q1564" t="s">
        <v>517</v>
      </c>
      <c r="R1564" s="31">
        <v>4.6500000000000004</v>
      </c>
    </row>
    <row r="1565" spans="1:18" x14ac:dyDescent="0.3">
      <c r="A1565">
        <v>18</v>
      </c>
      <c r="B1565">
        <v>18</v>
      </c>
      <c r="C1565" t="s">
        <v>15</v>
      </c>
      <c r="D1565">
        <v>2.5</v>
      </c>
      <c r="E1565">
        <v>51061.641000000003</v>
      </c>
      <c r="F1565" t="s">
        <v>405</v>
      </c>
      <c r="G1565" s="31">
        <v>28.19</v>
      </c>
      <c r="L1565">
        <v>8</v>
      </c>
      <c r="M1565">
        <v>8</v>
      </c>
      <c r="N1565" t="s">
        <v>42</v>
      </c>
      <c r="O1565">
        <v>0.76</v>
      </c>
      <c r="P1565">
        <v>3.9409999999999998</v>
      </c>
      <c r="Q1565" t="s">
        <v>518</v>
      </c>
      <c r="R1565" s="31">
        <v>18.88</v>
      </c>
    </row>
    <row r="1566" spans="1:18" x14ac:dyDescent="0.3">
      <c r="A1566">
        <v>19</v>
      </c>
      <c r="B1566">
        <v>19</v>
      </c>
      <c r="C1566" t="s">
        <v>16</v>
      </c>
      <c r="D1566">
        <v>2.71</v>
      </c>
      <c r="E1566">
        <v>178850.859</v>
      </c>
      <c r="F1566" t="s">
        <v>406</v>
      </c>
      <c r="G1566" s="31">
        <v>11.42</v>
      </c>
      <c r="L1566">
        <v>9</v>
      </c>
      <c r="M1566">
        <v>9</v>
      </c>
      <c r="N1566" t="s">
        <v>43</v>
      </c>
      <c r="O1566">
        <v>2.54</v>
      </c>
      <c r="P1566">
        <v>12486.662</v>
      </c>
      <c r="Q1566" t="s">
        <v>519</v>
      </c>
      <c r="R1566" s="31">
        <v>0.21</v>
      </c>
    </row>
    <row r="1567" spans="1:18" x14ac:dyDescent="0.3">
      <c r="A1567">
        <v>20</v>
      </c>
      <c r="B1567">
        <v>20</v>
      </c>
      <c r="C1567" t="s">
        <v>17</v>
      </c>
      <c r="D1567">
        <v>3.13</v>
      </c>
      <c r="E1567">
        <v>7788.0720000000001</v>
      </c>
      <c r="F1567" t="s">
        <v>407</v>
      </c>
      <c r="G1567" s="31">
        <v>1.76</v>
      </c>
      <c r="L1567">
        <v>10</v>
      </c>
      <c r="M1567">
        <v>10</v>
      </c>
      <c r="N1567" t="s">
        <v>52</v>
      </c>
      <c r="O1567">
        <v>4.0999999999999996</v>
      </c>
      <c r="P1567">
        <v>54803.163999999997</v>
      </c>
      <c r="Q1567" t="s">
        <v>520</v>
      </c>
      <c r="R1567" s="31">
        <v>3.6</v>
      </c>
    </row>
    <row r="1568" spans="1:18" x14ac:dyDescent="0.3">
      <c r="A1568">
        <v>21</v>
      </c>
      <c r="B1568">
        <v>21</v>
      </c>
      <c r="C1568" t="s">
        <v>18</v>
      </c>
      <c r="D1568">
        <v>3.68</v>
      </c>
      <c r="E1568">
        <v>7432.0720000000001</v>
      </c>
      <c r="F1568" t="s">
        <v>408</v>
      </c>
      <c r="G1568" s="31">
        <v>0.4</v>
      </c>
      <c r="L1568">
        <v>11</v>
      </c>
      <c r="M1568">
        <v>11</v>
      </c>
      <c r="N1568" t="s">
        <v>44</v>
      </c>
      <c r="O1568">
        <v>4.1900000000000004</v>
      </c>
      <c r="P1568">
        <v>5440.52</v>
      </c>
      <c r="Q1568" t="s">
        <v>521</v>
      </c>
      <c r="R1568" s="31">
        <v>0.73</v>
      </c>
    </row>
    <row r="1569" spans="1:18" x14ac:dyDescent="0.3">
      <c r="A1569">
        <v>22</v>
      </c>
      <c r="B1569">
        <v>22</v>
      </c>
      <c r="C1569" t="s">
        <v>19</v>
      </c>
      <c r="D1569">
        <v>2.64</v>
      </c>
      <c r="E1569">
        <v>31221.074000000001</v>
      </c>
      <c r="F1569" t="s">
        <v>409</v>
      </c>
      <c r="G1569" s="31">
        <v>4.2699999999999996</v>
      </c>
      <c r="L1569">
        <v>12</v>
      </c>
      <c r="M1569">
        <v>12</v>
      </c>
      <c r="N1569" t="s">
        <v>45</v>
      </c>
      <c r="O1569">
        <v>3.44</v>
      </c>
      <c r="P1569">
        <v>1644340.125</v>
      </c>
      <c r="Q1569" t="s">
        <v>522</v>
      </c>
      <c r="R1569" s="31">
        <v>40.11</v>
      </c>
    </row>
    <row r="1570" spans="1:18" x14ac:dyDescent="0.3">
      <c r="A1570">
        <v>23</v>
      </c>
      <c r="B1570">
        <v>23</v>
      </c>
      <c r="C1570" t="s">
        <v>20</v>
      </c>
      <c r="D1570">
        <v>2.89</v>
      </c>
      <c r="E1570">
        <v>10871.618</v>
      </c>
      <c r="F1570" t="s">
        <v>410</v>
      </c>
      <c r="G1570" s="31">
        <v>0.88</v>
      </c>
      <c r="L1570">
        <v>13</v>
      </c>
      <c r="M1570">
        <v>13</v>
      </c>
      <c r="N1570" t="s">
        <v>46</v>
      </c>
      <c r="O1570">
        <v>2.58</v>
      </c>
      <c r="P1570">
        <v>404776.28100000002</v>
      </c>
      <c r="Q1570" t="s">
        <v>523</v>
      </c>
      <c r="R1570" s="31">
        <v>22.12</v>
      </c>
    </row>
    <row r="1571" spans="1:18" x14ac:dyDescent="0.3">
      <c r="A1571">
        <v>24</v>
      </c>
      <c r="B1571">
        <v>24</v>
      </c>
      <c r="C1571" t="s">
        <v>21</v>
      </c>
      <c r="D1571">
        <v>4.18</v>
      </c>
      <c r="E1571">
        <v>31.736000000000001</v>
      </c>
      <c r="F1571" t="s">
        <v>411</v>
      </c>
      <c r="G1571" s="31">
        <v>0.1</v>
      </c>
      <c r="L1571">
        <v>14</v>
      </c>
      <c r="M1571">
        <v>14</v>
      </c>
      <c r="N1571" t="s">
        <v>47</v>
      </c>
      <c r="O1571">
        <v>0.68</v>
      </c>
      <c r="P1571">
        <v>49263.190999999999</v>
      </c>
      <c r="Q1571" t="s">
        <v>524</v>
      </c>
      <c r="R1571" s="31">
        <v>25.98</v>
      </c>
    </row>
    <row r="1572" spans="1:18" x14ac:dyDescent="0.3">
      <c r="A1572">
        <v>25</v>
      </c>
      <c r="B1572">
        <v>25</v>
      </c>
      <c r="C1572" t="s">
        <v>22</v>
      </c>
      <c r="D1572">
        <v>3.42</v>
      </c>
      <c r="E1572">
        <v>118.98</v>
      </c>
      <c r="F1572" t="s">
        <v>412</v>
      </c>
      <c r="G1572" s="31">
        <v>4.03</v>
      </c>
      <c r="L1572">
        <v>15</v>
      </c>
      <c r="M1572">
        <v>15</v>
      </c>
      <c r="N1572" t="s">
        <v>48</v>
      </c>
      <c r="O1572">
        <v>1.21</v>
      </c>
      <c r="P1572">
        <v>47494.800999999999</v>
      </c>
      <c r="Q1572" t="s">
        <v>525</v>
      </c>
      <c r="R1572" s="31">
        <v>7.51</v>
      </c>
    </row>
    <row r="1573" spans="1:18" x14ac:dyDescent="0.3">
      <c r="A1573">
        <v>26</v>
      </c>
      <c r="B1573">
        <v>26</v>
      </c>
      <c r="C1573" t="s">
        <v>23</v>
      </c>
      <c r="D1573">
        <v>3.35</v>
      </c>
      <c r="E1573">
        <v>17109.311000000002</v>
      </c>
      <c r="F1573" t="s">
        <v>413</v>
      </c>
      <c r="G1573" s="31">
        <v>2.1800000000000002</v>
      </c>
      <c r="L1573">
        <v>16</v>
      </c>
      <c r="M1573">
        <v>16</v>
      </c>
      <c r="N1573" t="s">
        <v>53</v>
      </c>
      <c r="O1573">
        <v>4.55</v>
      </c>
      <c r="P1573">
        <v>41294.315999999999</v>
      </c>
      <c r="Q1573" t="s">
        <v>526</v>
      </c>
      <c r="R1573" s="31">
        <v>0.59</v>
      </c>
    </row>
    <row r="1574" spans="1:18" x14ac:dyDescent="0.3">
      <c r="A1574">
        <v>27</v>
      </c>
      <c r="B1574">
        <v>27</v>
      </c>
      <c r="C1574" t="s">
        <v>24</v>
      </c>
      <c r="D1574">
        <v>3.44</v>
      </c>
      <c r="E1574">
        <v>38.75</v>
      </c>
      <c r="F1574" t="s">
        <v>414</v>
      </c>
      <c r="G1574" s="31">
        <v>0.1</v>
      </c>
      <c r="L1574">
        <v>17</v>
      </c>
      <c r="M1574">
        <v>17</v>
      </c>
      <c r="N1574" t="s">
        <v>54</v>
      </c>
      <c r="O1574">
        <v>5.26</v>
      </c>
      <c r="P1574">
        <v>126.607</v>
      </c>
      <c r="Q1574" t="s">
        <v>527</v>
      </c>
      <c r="R1574" s="31">
        <v>0.1</v>
      </c>
    </row>
    <row r="1575" spans="1:18" x14ac:dyDescent="0.3">
      <c r="A1575">
        <v>28</v>
      </c>
      <c r="B1575">
        <v>28</v>
      </c>
      <c r="C1575" t="s">
        <v>25</v>
      </c>
      <c r="D1575">
        <v>3.52</v>
      </c>
      <c r="E1575">
        <v>772.45799999999997</v>
      </c>
      <c r="F1575" t="s">
        <v>415</v>
      </c>
      <c r="G1575" s="31">
        <v>0.41</v>
      </c>
      <c r="L1575">
        <v>18</v>
      </c>
      <c r="M1575">
        <v>18</v>
      </c>
      <c r="N1575" t="s">
        <v>55</v>
      </c>
      <c r="O1575">
        <v>1.31</v>
      </c>
      <c r="P1575">
        <v>4338.3900000000003</v>
      </c>
      <c r="Q1575" t="s">
        <v>528</v>
      </c>
      <c r="R1575" s="31">
        <v>0.18</v>
      </c>
    </row>
    <row r="1576" spans="1:18" x14ac:dyDescent="0.3">
      <c r="A1576">
        <v>29</v>
      </c>
      <c r="B1576">
        <v>29</v>
      </c>
      <c r="C1576" t="s">
        <v>26</v>
      </c>
      <c r="D1576">
        <v>1.03</v>
      </c>
      <c r="E1576">
        <v>814.93499999999995</v>
      </c>
      <c r="F1576" t="s">
        <v>416</v>
      </c>
      <c r="G1576" s="31">
        <v>1.32</v>
      </c>
      <c r="L1576">
        <v>19</v>
      </c>
      <c r="M1576">
        <v>19</v>
      </c>
      <c r="N1576" t="s">
        <v>56</v>
      </c>
      <c r="O1576">
        <v>0.87</v>
      </c>
      <c r="P1576">
        <v>29204.581999999999</v>
      </c>
      <c r="Q1576" t="s">
        <v>529</v>
      </c>
      <c r="R1576" s="31">
        <v>1.52</v>
      </c>
    </row>
    <row r="1577" spans="1:18" x14ac:dyDescent="0.3">
      <c r="A1577">
        <v>30</v>
      </c>
      <c r="B1577">
        <v>30</v>
      </c>
      <c r="C1577" t="s">
        <v>27</v>
      </c>
      <c r="D1577">
        <v>4.26</v>
      </c>
      <c r="E1577">
        <v>2622.7370000000001</v>
      </c>
      <c r="F1577" t="s">
        <v>417</v>
      </c>
      <c r="G1577" s="31">
        <v>0.24</v>
      </c>
      <c r="L1577">
        <v>20</v>
      </c>
      <c r="M1577">
        <v>20</v>
      </c>
      <c r="N1577" t="s">
        <v>57</v>
      </c>
      <c r="O1577">
        <v>1.5</v>
      </c>
      <c r="P1577">
        <v>890.05499999999995</v>
      </c>
      <c r="Q1577" t="s">
        <v>530</v>
      </c>
      <c r="R1577" s="31">
        <v>0.35</v>
      </c>
    </row>
    <row r="1578" spans="1:18" x14ac:dyDescent="0.3">
      <c r="A1578">
        <v>31</v>
      </c>
      <c r="B1578">
        <v>31</v>
      </c>
      <c r="C1578" t="s">
        <v>28</v>
      </c>
      <c r="D1578">
        <v>3</v>
      </c>
      <c r="E1578">
        <v>35651.516000000003</v>
      </c>
      <c r="F1578" t="s">
        <v>418</v>
      </c>
      <c r="G1578" s="31">
        <v>0.09</v>
      </c>
      <c r="L1578">
        <v>21</v>
      </c>
      <c r="M1578">
        <v>21</v>
      </c>
      <c r="N1578" t="s">
        <v>58</v>
      </c>
      <c r="O1578">
        <v>2.58</v>
      </c>
      <c r="P1578">
        <v>150.023</v>
      </c>
      <c r="Q1578" t="s">
        <v>531</v>
      </c>
      <c r="R1578" s="31">
        <v>0.11</v>
      </c>
    </row>
    <row r="1579" spans="1:18" x14ac:dyDescent="0.3">
      <c r="A1579">
        <v>32</v>
      </c>
      <c r="B1579">
        <v>32</v>
      </c>
      <c r="C1579" t="s">
        <v>29</v>
      </c>
      <c r="D1579">
        <v>3.36</v>
      </c>
      <c r="E1579">
        <v>206.322</v>
      </c>
      <c r="F1579" t="s">
        <v>419</v>
      </c>
      <c r="G1579" s="31">
        <v>0.08</v>
      </c>
      <c r="L1579">
        <v>22</v>
      </c>
      <c r="M1579">
        <v>22</v>
      </c>
      <c r="N1579" t="s">
        <v>59</v>
      </c>
      <c r="O1579">
        <v>2.5</v>
      </c>
      <c r="P1579">
        <v>56476.648000000001</v>
      </c>
      <c r="Q1579" t="s">
        <v>532</v>
      </c>
      <c r="R1579" s="31">
        <v>8.27</v>
      </c>
    </row>
    <row r="1580" spans="1:18" x14ac:dyDescent="0.3">
      <c r="A1580">
        <v>33</v>
      </c>
      <c r="B1580">
        <v>33</v>
      </c>
      <c r="C1580" t="s">
        <v>30</v>
      </c>
      <c r="D1580">
        <v>4.67</v>
      </c>
      <c r="E1580">
        <v>17668.708999999999</v>
      </c>
      <c r="F1580" t="s">
        <v>420</v>
      </c>
      <c r="G1580" s="31">
        <v>0.87</v>
      </c>
      <c r="L1580">
        <v>23</v>
      </c>
      <c r="M1580">
        <v>23</v>
      </c>
      <c r="N1580" t="s">
        <v>60</v>
      </c>
      <c r="O1580">
        <v>2.59</v>
      </c>
      <c r="P1580">
        <v>27601.123</v>
      </c>
      <c r="Q1580" t="s">
        <v>533</v>
      </c>
      <c r="R1580" s="31">
        <v>1.92</v>
      </c>
    </row>
    <row r="1581" spans="1:18" x14ac:dyDescent="0.3">
      <c r="A1581">
        <v>34</v>
      </c>
      <c r="B1581">
        <v>34</v>
      </c>
      <c r="C1581" t="s">
        <v>31</v>
      </c>
      <c r="D1581">
        <v>3.26</v>
      </c>
      <c r="E1581">
        <v>2238.7919999999999</v>
      </c>
      <c r="F1581" t="s">
        <v>421</v>
      </c>
      <c r="G1581" s="31">
        <v>0.24</v>
      </c>
    </row>
    <row r="1582" spans="1:18" x14ac:dyDescent="0.3">
      <c r="A1582">
        <v>35</v>
      </c>
      <c r="B1582">
        <v>35</v>
      </c>
      <c r="C1582" t="s">
        <v>32</v>
      </c>
      <c r="D1582">
        <v>3.03</v>
      </c>
      <c r="E1582">
        <v>16.800999999999998</v>
      </c>
      <c r="F1582" t="s">
        <v>422</v>
      </c>
      <c r="G1582" s="31">
        <v>0.1</v>
      </c>
      <c r="L1582" t="s">
        <v>379</v>
      </c>
    </row>
    <row r="1583" spans="1:18" x14ac:dyDescent="0.3">
      <c r="A1583">
        <v>36</v>
      </c>
      <c r="B1583">
        <v>36</v>
      </c>
      <c r="C1583" t="s">
        <v>33</v>
      </c>
      <c r="D1583">
        <v>1.9</v>
      </c>
      <c r="E1583">
        <v>566.13400000000001</v>
      </c>
      <c r="F1583" t="s">
        <v>423</v>
      </c>
      <c r="G1583" s="31">
        <v>0.46</v>
      </c>
    </row>
    <row r="1584" spans="1:18" x14ac:dyDescent="0.3">
      <c r="G1584" s="31">
        <f>G1561/G1563</f>
        <v>1.232</v>
      </c>
      <c r="L1584" t="s">
        <v>557</v>
      </c>
    </row>
    <row r="1585" spans="1:18" x14ac:dyDescent="0.3">
      <c r="A1585" t="s">
        <v>379</v>
      </c>
    </row>
    <row r="1586" spans="1:18" x14ac:dyDescent="0.3">
      <c r="L1586" t="s">
        <v>585</v>
      </c>
    </row>
    <row r="1587" spans="1:18" x14ac:dyDescent="0.3">
      <c r="A1587" t="s">
        <v>456</v>
      </c>
    </row>
    <row r="1588" spans="1:18" x14ac:dyDescent="0.3">
      <c r="M1588" t="s">
        <v>382</v>
      </c>
      <c r="N1588" t="s">
        <v>383</v>
      </c>
      <c r="O1588" t="s">
        <v>384</v>
      </c>
      <c r="P1588" t="s">
        <v>385</v>
      </c>
      <c r="Q1588" t="s">
        <v>386</v>
      </c>
      <c r="R1588" s="31" t="s">
        <v>387</v>
      </c>
    </row>
    <row r="1589" spans="1:18" x14ac:dyDescent="0.3">
      <c r="A1589" t="s">
        <v>460</v>
      </c>
      <c r="L1589">
        <v>1</v>
      </c>
      <c r="M1589">
        <v>1</v>
      </c>
      <c r="N1589" t="s">
        <v>35</v>
      </c>
      <c r="O1589">
        <v>1.44</v>
      </c>
      <c r="P1589">
        <v>44859.472999999998</v>
      </c>
      <c r="Q1589" t="s">
        <v>511</v>
      </c>
      <c r="R1589" s="31">
        <v>9.44</v>
      </c>
    </row>
    <row r="1590" spans="1:18" x14ac:dyDescent="0.3">
      <c r="L1590">
        <v>2</v>
      </c>
      <c r="M1590">
        <v>2</v>
      </c>
      <c r="N1590" t="s">
        <v>36</v>
      </c>
      <c r="O1590">
        <v>1.66</v>
      </c>
      <c r="P1590">
        <v>1315343.625</v>
      </c>
      <c r="Q1590" t="s">
        <v>512</v>
      </c>
      <c r="R1590" s="31">
        <v>117.6</v>
      </c>
    </row>
    <row r="1591" spans="1:18" x14ac:dyDescent="0.3">
      <c r="B1591" t="s">
        <v>382</v>
      </c>
      <c r="C1591" t="s">
        <v>383</v>
      </c>
      <c r="D1591" t="s">
        <v>384</v>
      </c>
      <c r="E1591" t="s">
        <v>385</v>
      </c>
      <c r="F1591" t="s">
        <v>386</v>
      </c>
      <c r="G1591" s="31" t="s">
        <v>387</v>
      </c>
      <c r="L1591">
        <v>3</v>
      </c>
      <c r="M1591">
        <v>3</v>
      </c>
      <c r="N1591" t="s">
        <v>37</v>
      </c>
      <c r="O1591">
        <v>1.8</v>
      </c>
      <c r="P1591">
        <v>1600.9860000000001</v>
      </c>
      <c r="Q1591" t="s">
        <v>513</v>
      </c>
      <c r="R1591" s="31">
        <v>0.23</v>
      </c>
    </row>
    <row r="1592" spans="1:18" x14ac:dyDescent="0.3">
      <c r="A1592">
        <v>1</v>
      </c>
      <c r="B1592">
        <v>1</v>
      </c>
      <c r="C1592" t="s">
        <v>0</v>
      </c>
      <c r="D1592">
        <v>1.02</v>
      </c>
      <c r="E1592">
        <v>570.43399999999997</v>
      </c>
      <c r="F1592" t="s">
        <v>388</v>
      </c>
      <c r="G1592" s="31">
        <v>3.77</v>
      </c>
      <c r="L1592">
        <v>4</v>
      </c>
      <c r="M1592">
        <v>4</v>
      </c>
      <c r="N1592" t="s">
        <v>38</v>
      </c>
      <c r="O1592">
        <v>1.18</v>
      </c>
      <c r="P1592">
        <v>2207.3649999999998</v>
      </c>
      <c r="Q1592" t="s">
        <v>514</v>
      </c>
      <c r="R1592" s="31">
        <v>0.24</v>
      </c>
    </row>
    <row r="1593" spans="1:18" x14ac:dyDescent="0.3">
      <c r="A1593">
        <v>2</v>
      </c>
      <c r="B1593">
        <v>2</v>
      </c>
      <c r="C1593" t="s">
        <v>1</v>
      </c>
      <c r="D1593">
        <v>1.46</v>
      </c>
      <c r="E1593">
        <v>749.32799999999997</v>
      </c>
      <c r="F1593" t="s">
        <v>389</v>
      </c>
      <c r="G1593" s="31">
        <v>1.47</v>
      </c>
      <c r="L1593">
        <v>5</v>
      </c>
      <c r="M1593">
        <v>5</v>
      </c>
      <c r="N1593" t="s">
        <v>39</v>
      </c>
      <c r="O1593">
        <v>1.38</v>
      </c>
      <c r="P1593">
        <v>454881.5</v>
      </c>
      <c r="Q1593" t="s">
        <v>515</v>
      </c>
      <c r="R1593" s="31">
        <v>51.73</v>
      </c>
    </row>
    <row r="1594" spans="1:18" x14ac:dyDescent="0.3">
      <c r="A1594">
        <v>3</v>
      </c>
      <c r="B1594">
        <v>3</v>
      </c>
      <c r="C1594" t="s">
        <v>50</v>
      </c>
      <c r="D1594">
        <v>3.58</v>
      </c>
      <c r="E1594">
        <v>204.55600000000001</v>
      </c>
      <c r="F1594" t="s">
        <v>390</v>
      </c>
      <c r="G1594" s="31">
        <v>0.14000000000000001</v>
      </c>
      <c r="L1594">
        <v>6</v>
      </c>
      <c r="M1594">
        <v>6</v>
      </c>
      <c r="N1594" t="s">
        <v>40</v>
      </c>
      <c r="O1594">
        <v>1.52</v>
      </c>
      <c r="P1594">
        <v>19735.127</v>
      </c>
      <c r="Q1594" t="s">
        <v>516</v>
      </c>
      <c r="R1594" s="31">
        <v>1.32</v>
      </c>
    </row>
    <row r="1595" spans="1:18" x14ac:dyDescent="0.3">
      <c r="A1595">
        <v>4</v>
      </c>
      <c r="B1595">
        <v>4</v>
      </c>
      <c r="C1595" t="s">
        <v>2</v>
      </c>
      <c r="D1595">
        <v>3.7</v>
      </c>
      <c r="E1595">
        <v>6152.19</v>
      </c>
      <c r="F1595" t="s">
        <v>391</v>
      </c>
      <c r="G1595" s="31">
        <v>0.41</v>
      </c>
      <c r="L1595">
        <v>7</v>
      </c>
      <c r="M1595">
        <v>7</v>
      </c>
      <c r="N1595" t="s">
        <v>41</v>
      </c>
      <c r="O1595">
        <v>2.2799999999999998</v>
      </c>
      <c r="P1595">
        <v>2084.9409999999998</v>
      </c>
      <c r="Q1595" t="s">
        <v>517</v>
      </c>
      <c r="R1595" s="31">
        <v>1.32</v>
      </c>
    </row>
    <row r="1596" spans="1:18" x14ac:dyDescent="0.3">
      <c r="A1596">
        <v>5</v>
      </c>
      <c r="B1596">
        <v>5</v>
      </c>
      <c r="C1596" t="s">
        <v>3</v>
      </c>
      <c r="D1596">
        <v>4.49</v>
      </c>
      <c r="E1596">
        <v>187.74600000000001</v>
      </c>
      <c r="F1596" t="s">
        <v>392</v>
      </c>
      <c r="G1596" s="31">
        <v>0.1</v>
      </c>
      <c r="L1596">
        <v>8</v>
      </c>
      <c r="M1596">
        <v>8</v>
      </c>
      <c r="N1596" t="s">
        <v>42</v>
      </c>
      <c r="O1596">
        <v>0.89</v>
      </c>
      <c r="P1596">
        <v>919858.75</v>
      </c>
      <c r="Q1596" t="s">
        <v>518</v>
      </c>
      <c r="R1596" s="31">
        <v>625.94000000000005</v>
      </c>
    </row>
    <row r="1597" spans="1:18" x14ac:dyDescent="0.3">
      <c r="A1597">
        <v>6</v>
      </c>
      <c r="B1597">
        <v>6</v>
      </c>
      <c r="C1597" t="s">
        <v>4</v>
      </c>
      <c r="D1597">
        <v>4.8</v>
      </c>
      <c r="E1597">
        <v>7669.357</v>
      </c>
      <c r="F1597" t="s">
        <v>393</v>
      </c>
      <c r="G1597" s="31">
        <v>0.55000000000000004</v>
      </c>
      <c r="L1597">
        <v>9</v>
      </c>
      <c r="M1597">
        <v>9</v>
      </c>
      <c r="N1597" t="s">
        <v>43</v>
      </c>
      <c r="O1597">
        <v>2.54</v>
      </c>
      <c r="P1597">
        <v>12618.52</v>
      </c>
      <c r="Q1597" t="s">
        <v>519</v>
      </c>
      <c r="R1597" s="31">
        <v>0.13</v>
      </c>
    </row>
    <row r="1598" spans="1:18" x14ac:dyDescent="0.3">
      <c r="A1598">
        <v>7</v>
      </c>
      <c r="B1598">
        <v>7</v>
      </c>
      <c r="C1598" t="s">
        <v>5</v>
      </c>
      <c r="D1598">
        <v>2.71</v>
      </c>
      <c r="E1598">
        <v>174.227</v>
      </c>
      <c r="F1598" t="s">
        <v>394</v>
      </c>
      <c r="G1598" s="31">
        <v>0.13</v>
      </c>
      <c r="L1598">
        <v>10</v>
      </c>
      <c r="M1598">
        <v>10</v>
      </c>
      <c r="N1598" t="s">
        <v>52</v>
      </c>
      <c r="O1598">
        <v>4.1100000000000003</v>
      </c>
      <c r="P1598">
        <v>30122.030999999999</v>
      </c>
      <c r="Q1598" t="s">
        <v>520</v>
      </c>
      <c r="R1598" s="31">
        <v>1.1399999999999999</v>
      </c>
    </row>
    <row r="1599" spans="1:18" x14ac:dyDescent="0.3">
      <c r="A1599">
        <v>8</v>
      </c>
      <c r="B1599">
        <v>8</v>
      </c>
      <c r="C1599" t="s">
        <v>6</v>
      </c>
      <c r="D1599">
        <v>0.67</v>
      </c>
      <c r="E1599">
        <v>1217.2840000000001</v>
      </c>
      <c r="F1599" t="s">
        <v>395</v>
      </c>
      <c r="G1599" s="31">
        <v>13.99</v>
      </c>
      <c r="L1599">
        <v>11</v>
      </c>
      <c r="M1599">
        <v>11</v>
      </c>
      <c r="N1599" t="s">
        <v>44</v>
      </c>
      <c r="O1599">
        <v>4.1900000000000004</v>
      </c>
      <c r="P1599">
        <v>796.00300000000004</v>
      </c>
      <c r="Q1599" t="s">
        <v>521</v>
      </c>
      <c r="R1599" s="31">
        <v>0.12</v>
      </c>
    </row>
    <row r="1600" spans="1:18" x14ac:dyDescent="0.3">
      <c r="A1600">
        <v>9</v>
      </c>
      <c r="B1600">
        <v>9</v>
      </c>
      <c r="C1600" t="s">
        <v>7</v>
      </c>
      <c r="D1600">
        <v>3.57</v>
      </c>
      <c r="E1600">
        <v>202.44800000000001</v>
      </c>
      <c r="F1600" t="s">
        <v>396</v>
      </c>
      <c r="G1600" s="31">
        <v>0.56999999999999995</v>
      </c>
      <c r="L1600">
        <v>12</v>
      </c>
      <c r="M1600">
        <v>12</v>
      </c>
      <c r="N1600" t="s">
        <v>45</v>
      </c>
      <c r="O1600">
        <v>3.44</v>
      </c>
      <c r="P1600">
        <v>1486825</v>
      </c>
      <c r="Q1600" t="s">
        <v>522</v>
      </c>
      <c r="R1600" s="31">
        <v>22.03</v>
      </c>
    </row>
    <row r="1601" spans="1:18" x14ac:dyDescent="0.3">
      <c r="A1601">
        <v>10</v>
      </c>
      <c r="B1601">
        <v>10</v>
      </c>
      <c r="C1601" t="s">
        <v>51</v>
      </c>
      <c r="D1601">
        <v>4.59</v>
      </c>
      <c r="E1601">
        <v>214.833</v>
      </c>
      <c r="F1601" t="s">
        <v>397</v>
      </c>
      <c r="G1601" s="31">
        <v>0.14000000000000001</v>
      </c>
      <c r="L1601">
        <v>13</v>
      </c>
      <c r="M1601">
        <v>13</v>
      </c>
      <c r="N1601" t="s">
        <v>46</v>
      </c>
      <c r="O1601">
        <v>2.66</v>
      </c>
      <c r="P1601">
        <v>135046.29699999999</v>
      </c>
      <c r="Q1601" t="s">
        <v>523</v>
      </c>
      <c r="R1601" s="31">
        <v>4.0999999999999996</v>
      </c>
    </row>
    <row r="1602" spans="1:18" x14ac:dyDescent="0.3">
      <c r="A1602">
        <v>11</v>
      </c>
      <c r="B1602">
        <v>11</v>
      </c>
      <c r="C1602" t="s">
        <v>8</v>
      </c>
      <c r="D1602">
        <v>2.74</v>
      </c>
      <c r="E1602">
        <v>10873.502</v>
      </c>
      <c r="F1602" t="s">
        <v>398</v>
      </c>
      <c r="G1602" s="31">
        <v>0.67</v>
      </c>
      <c r="L1602">
        <v>14</v>
      </c>
      <c r="M1602">
        <v>14</v>
      </c>
      <c r="N1602" t="s">
        <v>47</v>
      </c>
      <c r="O1602">
        <v>0.68</v>
      </c>
      <c r="P1602">
        <v>36344.879000000001</v>
      </c>
      <c r="Q1602" t="s">
        <v>524</v>
      </c>
      <c r="R1602" s="31">
        <v>11.57</v>
      </c>
    </row>
    <row r="1603" spans="1:18" x14ac:dyDescent="0.3">
      <c r="A1603">
        <v>12</v>
      </c>
      <c r="B1603">
        <v>12</v>
      </c>
      <c r="C1603" t="s">
        <v>9</v>
      </c>
      <c r="D1603">
        <v>2.63</v>
      </c>
      <c r="E1603">
        <v>791.58</v>
      </c>
      <c r="F1603" t="s">
        <v>399</v>
      </c>
      <c r="G1603" s="31">
        <v>0.53</v>
      </c>
      <c r="L1603">
        <v>15</v>
      </c>
      <c r="M1603">
        <v>15</v>
      </c>
      <c r="N1603" t="s">
        <v>48</v>
      </c>
      <c r="O1603">
        <v>1.21</v>
      </c>
      <c r="P1603">
        <v>19736.365000000002</v>
      </c>
      <c r="Q1603" t="s">
        <v>525</v>
      </c>
      <c r="R1603" s="31">
        <v>1.81</v>
      </c>
    </row>
    <row r="1604" spans="1:18" x14ac:dyDescent="0.3">
      <c r="A1604">
        <v>13</v>
      </c>
      <c r="B1604">
        <v>13</v>
      </c>
      <c r="C1604" t="s">
        <v>10</v>
      </c>
      <c r="D1604">
        <v>4.09</v>
      </c>
      <c r="E1604">
        <v>757407.375</v>
      </c>
      <c r="F1604" t="s">
        <v>400</v>
      </c>
      <c r="G1604" s="31">
        <v>53.71</v>
      </c>
      <c r="L1604">
        <v>16</v>
      </c>
      <c r="M1604">
        <v>16</v>
      </c>
      <c r="N1604" t="s">
        <v>53</v>
      </c>
      <c r="O1604">
        <v>4.55</v>
      </c>
      <c r="P1604">
        <v>48343.129000000001</v>
      </c>
      <c r="Q1604" t="s">
        <v>526</v>
      </c>
      <c r="R1604" s="31">
        <v>0.44</v>
      </c>
    </row>
    <row r="1605" spans="1:18" x14ac:dyDescent="0.3">
      <c r="A1605">
        <v>14</v>
      </c>
      <c r="B1605">
        <v>14</v>
      </c>
      <c r="C1605" t="s">
        <v>11</v>
      </c>
      <c r="D1605">
        <v>3.77</v>
      </c>
      <c r="E1605">
        <v>8.6999999999999993</v>
      </c>
      <c r="F1605" t="s">
        <v>401</v>
      </c>
      <c r="G1605" s="31">
        <v>1.34</v>
      </c>
      <c r="L1605">
        <v>17</v>
      </c>
      <c r="M1605">
        <v>17</v>
      </c>
      <c r="N1605" t="s">
        <v>54</v>
      </c>
      <c r="O1605">
        <v>5.18</v>
      </c>
      <c r="P1605">
        <v>274.98700000000002</v>
      </c>
      <c r="Q1605" t="s">
        <v>527</v>
      </c>
      <c r="R1605" s="31">
        <v>0.1</v>
      </c>
    </row>
    <row r="1606" spans="1:18" x14ac:dyDescent="0.3">
      <c r="A1606">
        <v>15</v>
      </c>
      <c r="B1606">
        <v>15</v>
      </c>
      <c r="C1606" t="s">
        <v>12</v>
      </c>
      <c r="D1606">
        <v>3.33</v>
      </c>
      <c r="E1606">
        <v>130.571</v>
      </c>
      <c r="F1606" t="s">
        <v>402</v>
      </c>
      <c r="G1606" s="31">
        <v>0.53</v>
      </c>
      <c r="L1606">
        <v>18</v>
      </c>
      <c r="M1606">
        <v>18</v>
      </c>
      <c r="N1606" t="s">
        <v>55</v>
      </c>
      <c r="O1606">
        <v>1.32</v>
      </c>
      <c r="P1606">
        <v>4373.1880000000001</v>
      </c>
      <c r="Q1606" t="s">
        <v>528</v>
      </c>
      <c r="R1606" s="31">
        <v>0.11</v>
      </c>
    </row>
    <row r="1607" spans="1:18" x14ac:dyDescent="0.3">
      <c r="A1607">
        <v>16</v>
      </c>
      <c r="B1607">
        <v>16</v>
      </c>
      <c r="C1607" t="s">
        <v>13</v>
      </c>
      <c r="D1607">
        <v>3.23</v>
      </c>
      <c r="E1607">
        <v>2255.9209999999998</v>
      </c>
      <c r="F1607" t="s">
        <v>403</v>
      </c>
      <c r="G1607" s="31">
        <v>0.56999999999999995</v>
      </c>
      <c r="L1607">
        <v>19</v>
      </c>
      <c r="M1607">
        <v>19</v>
      </c>
      <c r="N1607" t="s">
        <v>56</v>
      </c>
      <c r="O1607">
        <v>0.87</v>
      </c>
      <c r="P1607">
        <v>41705.391000000003</v>
      </c>
      <c r="Q1607" t="s">
        <v>529</v>
      </c>
      <c r="R1607" s="31">
        <v>1.51</v>
      </c>
    </row>
    <row r="1608" spans="1:18" x14ac:dyDescent="0.3">
      <c r="A1608">
        <v>17</v>
      </c>
      <c r="B1608">
        <v>17</v>
      </c>
      <c r="C1608" t="s">
        <v>14</v>
      </c>
      <c r="D1608">
        <v>2.02</v>
      </c>
      <c r="E1608">
        <v>4032.1610000000001</v>
      </c>
      <c r="F1608" t="s">
        <v>404</v>
      </c>
      <c r="G1608" s="31">
        <v>0.9</v>
      </c>
      <c r="L1608">
        <v>20</v>
      </c>
      <c r="M1608">
        <v>20</v>
      </c>
      <c r="N1608" t="s">
        <v>57</v>
      </c>
      <c r="O1608">
        <v>1.51</v>
      </c>
      <c r="P1608">
        <v>1099.903</v>
      </c>
      <c r="Q1608" t="s">
        <v>530</v>
      </c>
      <c r="R1608" s="31">
        <v>0.27</v>
      </c>
    </row>
    <row r="1609" spans="1:18" x14ac:dyDescent="0.3">
      <c r="A1609">
        <v>18</v>
      </c>
      <c r="B1609">
        <v>18</v>
      </c>
      <c r="C1609" t="s">
        <v>15</v>
      </c>
      <c r="D1609">
        <v>2.5099999999999998</v>
      </c>
      <c r="E1609">
        <v>6560.8029999999999</v>
      </c>
      <c r="F1609" t="s">
        <v>405</v>
      </c>
      <c r="G1609" s="31">
        <v>3.78</v>
      </c>
      <c r="L1609">
        <v>21</v>
      </c>
      <c r="M1609">
        <v>21</v>
      </c>
      <c r="N1609" t="s">
        <v>58</v>
      </c>
      <c r="O1609">
        <v>2.56</v>
      </c>
      <c r="P1609">
        <v>70.834000000000003</v>
      </c>
      <c r="Q1609" t="s">
        <v>531</v>
      </c>
      <c r="R1609" s="31">
        <v>0.14000000000000001</v>
      </c>
    </row>
    <row r="1610" spans="1:18" x14ac:dyDescent="0.3">
      <c r="A1610">
        <v>19</v>
      </c>
      <c r="B1610">
        <v>19</v>
      </c>
      <c r="C1610" t="s">
        <v>16</v>
      </c>
      <c r="D1610">
        <v>2.72</v>
      </c>
      <c r="E1610">
        <v>762.71199999999999</v>
      </c>
      <c r="F1610" t="s">
        <v>406</v>
      </c>
      <c r="G1610" s="31">
        <v>7.0000000000000007E-2</v>
      </c>
      <c r="L1610">
        <v>22</v>
      </c>
      <c r="M1610">
        <v>22</v>
      </c>
      <c r="N1610" t="s">
        <v>59</v>
      </c>
      <c r="O1610">
        <v>2.5</v>
      </c>
      <c r="P1610">
        <v>143814.516</v>
      </c>
      <c r="Q1610" t="s">
        <v>532</v>
      </c>
      <c r="R1610" s="31">
        <v>13.26</v>
      </c>
    </row>
    <row r="1611" spans="1:18" x14ac:dyDescent="0.3">
      <c r="A1611">
        <v>20</v>
      </c>
      <c r="B1611">
        <v>20</v>
      </c>
      <c r="C1611" t="s">
        <v>17</v>
      </c>
      <c r="D1611">
        <v>3.13</v>
      </c>
      <c r="E1611">
        <v>4799.3469999999998</v>
      </c>
      <c r="F1611" t="s">
        <v>407</v>
      </c>
      <c r="G1611" s="31">
        <v>0.79</v>
      </c>
      <c r="L1611">
        <v>23</v>
      </c>
      <c r="M1611">
        <v>23</v>
      </c>
      <c r="N1611" t="s">
        <v>60</v>
      </c>
      <c r="O1611">
        <v>2.5499999999999998</v>
      </c>
      <c r="P1611">
        <v>36145.574000000001</v>
      </c>
      <c r="Q1611" t="s">
        <v>533</v>
      </c>
      <c r="R1611" s="31">
        <v>1.51</v>
      </c>
    </row>
    <row r="1612" spans="1:18" x14ac:dyDescent="0.3">
      <c r="A1612">
        <v>21</v>
      </c>
      <c r="B1612">
        <v>21</v>
      </c>
      <c r="C1612" t="s">
        <v>18</v>
      </c>
      <c r="D1612">
        <v>3.68</v>
      </c>
      <c r="E1612">
        <v>5151.0919999999996</v>
      </c>
      <c r="F1612" t="s">
        <v>408</v>
      </c>
      <c r="G1612" s="31">
        <v>0.21</v>
      </c>
    </row>
    <row r="1613" spans="1:18" x14ac:dyDescent="0.3">
      <c r="A1613">
        <v>22</v>
      </c>
      <c r="B1613">
        <v>22</v>
      </c>
      <c r="C1613" t="s">
        <v>19</v>
      </c>
      <c r="D1613">
        <v>2.64</v>
      </c>
      <c r="E1613">
        <v>5546.3860000000004</v>
      </c>
      <c r="F1613" t="s">
        <v>409</v>
      </c>
      <c r="G1613" s="31">
        <v>1.1399999999999999</v>
      </c>
      <c r="L1613" t="s">
        <v>379</v>
      </c>
    </row>
    <row r="1614" spans="1:18" x14ac:dyDescent="0.3">
      <c r="A1614">
        <v>23</v>
      </c>
      <c r="B1614">
        <v>23</v>
      </c>
      <c r="C1614" t="s">
        <v>20</v>
      </c>
      <c r="D1614">
        <v>2.89</v>
      </c>
      <c r="E1614">
        <v>5635.4430000000002</v>
      </c>
      <c r="F1614" t="s">
        <v>410</v>
      </c>
      <c r="G1614" s="31">
        <v>0.39</v>
      </c>
    </row>
    <row r="1615" spans="1:18" x14ac:dyDescent="0.3">
      <c r="A1615">
        <v>24</v>
      </c>
      <c r="B1615">
        <v>24</v>
      </c>
      <c r="C1615" t="s">
        <v>21</v>
      </c>
      <c r="D1615">
        <v>4.12</v>
      </c>
      <c r="E1615">
        <v>142.98599999999999</v>
      </c>
      <c r="F1615" t="s">
        <v>411</v>
      </c>
      <c r="G1615" s="31">
        <v>0.1</v>
      </c>
      <c r="L1615" t="s">
        <v>557</v>
      </c>
    </row>
    <row r="1616" spans="1:18" x14ac:dyDescent="0.3">
      <c r="A1616">
        <v>25</v>
      </c>
      <c r="B1616">
        <v>25</v>
      </c>
      <c r="C1616" t="s">
        <v>22</v>
      </c>
      <c r="D1616">
        <v>3.41</v>
      </c>
      <c r="E1616">
        <v>214.42699999999999</v>
      </c>
      <c r="F1616" t="s">
        <v>412</v>
      </c>
      <c r="G1616" s="31">
        <v>3.49</v>
      </c>
    </row>
    <row r="1617" spans="1:18" x14ac:dyDescent="0.3">
      <c r="A1617">
        <v>26</v>
      </c>
      <c r="B1617">
        <v>26</v>
      </c>
      <c r="C1617" t="s">
        <v>23</v>
      </c>
      <c r="D1617">
        <v>3.35</v>
      </c>
      <c r="E1617">
        <v>8435.8070000000007</v>
      </c>
      <c r="F1617" t="s">
        <v>413</v>
      </c>
      <c r="G1617" s="31">
        <v>0.93</v>
      </c>
      <c r="L1617" t="s">
        <v>586</v>
      </c>
    </row>
    <row r="1618" spans="1:18" x14ac:dyDescent="0.3">
      <c r="A1618">
        <v>27</v>
      </c>
      <c r="B1618">
        <v>27</v>
      </c>
      <c r="C1618" t="s">
        <v>24</v>
      </c>
      <c r="D1618">
        <v>3.43</v>
      </c>
      <c r="E1618">
        <v>107.4</v>
      </c>
      <c r="F1618" t="s">
        <v>414</v>
      </c>
      <c r="G1618" s="31">
        <v>0.1</v>
      </c>
    </row>
    <row r="1619" spans="1:18" x14ac:dyDescent="0.3">
      <c r="A1619">
        <v>28</v>
      </c>
      <c r="B1619">
        <v>28</v>
      </c>
      <c r="C1619" t="s">
        <v>25</v>
      </c>
      <c r="D1619">
        <v>3.51</v>
      </c>
      <c r="E1619">
        <v>176.303</v>
      </c>
      <c r="F1619" t="s">
        <v>415</v>
      </c>
      <c r="G1619" s="31">
        <v>0.24</v>
      </c>
      <c r="M1619" t="s">
        <v>382</v>
      </c>
      <c r="N1619" t="s">
        <v>383</v>
      </c>
      <c r="O1619" t="s">
        <v>384</v>
      </c>
      <c r="P1619" t="s">
        <v>385</v>
      </c>
      <c r="Q1619" t="s">
        <v>386</v>
      </c>
      <c r="R1619" s="31" t="s">
        <v>387</v>
      </c>
    </row>
    <row r="1620" spans="1:18" x14ac:dyDescent="0.3">
      <c r="A1620">
        <v>29</v>
      </c>
      <c r="B1620">
        <v>29</v>
      </c>
      <c r="C1620" t="s">
        <v>26</v>
      </c>
      <c r="D1620">
        <v>1.05</v>
      </c>
      <c r="E1620">
        <v>159.14599999999999</v>
      </c>
      <c r="F1620" t="s">
        <v>416</v>
      </c>
      <c r="G1620" s="31">
        <v>0.49</v>
      </c>
      <c r="L1620">
        <v>1</v>
      </c>
      <c r="M1620">
        <v>1</v>
      </c>
      <c r="N1620" t="s">
        <v>35</v>
      </c>
      <c r="Q1620" t="s">
        <v>511</v>
      </c>
      <c r="R1620" s="31">
        <v>0.1</v>
      </c>
    </row>
    <row r="1621" spans="1:18" x14ac:dyDescent="0.3">
      <c r="A1621">
        <v>30</v>
      </c>
      <c r="B1621">
        <v>30</v>
      </c>
      <c r="C1621" t="s">
        <v>27</v>
      </c>
      <c r="D1621">
        <v>4.33</v>
      </c>
      <c r="E1621">
        <v>408.93900000000002</v>
      </c>
      <c r="F1621" t="s">
        <v>417</v>
      </c>
      <c r="G1621" s="31">
        <v>0.14000000000000001</v>
      </c>
      <c r="L1621">
        <v>2</v>
      </c>
      <c r="M1621">
        <v>2</v>
      </c>
      <c r="N1621" t="s">
        <v>36</v>
      </c>
      <c r="O1621">
        <v>1.7</v>
      </c>
      <c r="P1621">
        <v>35.997999999999998</v>
      </c>
      <c r="Q1621" t="s">
        <v>512</v>
      </c>
      <c r="R1621" s="31">
        <v>427.74</v>
      </c>
    </row>
    <row r="1622" spans="1:18" x14ac:dyDescent="0.3">
      <c r="A1622">
        <v>31</v>
      </c>
      <c r="B1622">
        <v>31</v>
      </c>
      <c r="C1622" t="s">
        <v>28</v>
      </c>
      <c r="D1622">
        <v>3</v>
      </c>
      <c r="E1622">
        <v>54548.711000000003</v>
      </c>
      <c r="F1622" t="s">
        <v>418</v>
      </c>
      <c r="G1622" s="31">
        <v>0.18</v>
      </c>
      <c r="L1622">
        <v>3</v>
      </c>
      <c r="M1622">
        <v>3</v>
      </c>
      <c r="N1622" t="s">
        <v>37</v>
      </c>
      <c r="Q1622" t="s">
        <v>513</v>
      </c>
      <c r="R1622" s="31">
        <v>0.1</v>
      </c>
    </row>
    <row r="1623" spans="1:18" x14ac:dyDescent="0.3">
      <c r="A1623">
        <v>32</v>
      </c>
      <c r="B1623">
        <v>32</v>
      </c>
      <c r="C1623" t="s">
        <v>29</v>
      </c>
      <c r="D1623">
        <v>3.36</v>
      </c>
      <c r="E1623">
        <v>74.004999999999995</v>
      </c>
      <c r="F1623" t="s">
        <v>419</v>
      </c>
      <c r="G1623" s="31">
        <v>0.05</v>
      </c>
      <c r="L1623">
        <v>4</v>
      </c>
      <c r="M1623">
        <v>4</v>
      </c>
      <c r="N1623" t="s">
        <v>38</v>
      </c>
      <c r="O1623">
        <v>1.1200000000000001</v>
      </c>
      <c r="P1623">
        <v>468.82400000000001</v>
      </c>
      <c r="Q1623" t="s">
        <v>514</v>
      </c>
      <c r="R1623" s="31">
        <v>1.27</v>
      </c>
    </row>
    <row r="1624" spans="1:18" x14ac:dyDescent="0.3">
      <c r="A1624">
        <v>33</v>
      </c>
      <c r="B1624">
        <v>33</v>
      </c>
      <c r="C1624" t="s">
        <v>30</v>
      </c>
      <c r="D1624">
        <v>4.67</v>
      </c>
      <c r="E1624">
        <v>11410.466</v>
      </c>
      <c r="F1624" t="s">
        <v>420</v>
      </c>
      <c r="G1624" s="31">
        <v>0.56000000000000005</v>
      </c>
      <c r="L1624">
        <v>5</v>
      </c>
      <c r="M1624">
        <v>5</v>
      </c>
      <c r="N1624" t="s">
        <v>39</v>
      </c>
      <c r="O1624">
        <v>1.42</v>
      </c>
      <c r="P1624">
        <v>150.32900000000001</v>
      </c>
      <c r="Q1624" t="s">
        <v>515</v>
      </c>
      <c r="R1624" s="31">
        <v>46.05</v>
      </c>
    </row>
    <row r="1625" spans="1:18" x14ac:dyDescent="0.3">
      <c r="A1625">
        <v>34</v>
      </c>
      <c r="B1625">
        <v>34</v>
      </c>
      <c r="C1625" t="s">
        <v>31</v>
      </c>
      <c r="D1625">
        <v>3.26</v>
      </c>
      <c r="E1625">
        <v>1369.309</v>
      </c>
      <c r="F1625" t="s">
        <v>421</v>
      </c>
      <c r="G1625" s="31">
        <v>0.11</v>
      </c>
      <c r="L1625">
        <v>6</v>
      </c>
      <c r="M1625">
        <v>6</v>
      </c>
      <c r="N1625" t="s">
        <v>40</v>
      </c>
      <c r="Q1625" t="s">
        <v>516</v>
      </c>
      <c r="R1625" s="31">
        <v>0.1</v>
      </c>
    </row>
    <row r="1626" spans="1:18" x14ac:dyDescent="0.3">
      <c r="A1626">
        <v>35</v>
      </c>
      <c r="B1626">
        <v>35</v>
      </c>
      <c r="C1626" t="s">
        <v>32</v>
      </c>
      <c r="D1626">
        <v>3.06</v>
      </c>
      <c r="E1626">
        <v>75.022000000000006</v>
      </c>
      <c r="F1626" t="s">
        <v>422</v>
      </c>
      <c r="G1626" s="31">
        <v>0.1</v>
      </c>
      <c r="L1626">
        <v>7</v>
      </c>
      <c r="M1626">
        <v>7</v>
      </c>
      <c r="N1626" t="s">
        <v>41</v>
      </c>
      <c r="O1626">
        <v>2.33</v>
      </c>
      <c r="P1626">
        <v>16.789000000000001</v>
      </c>
      <c r="Q1626" t="s">
        <v>517</v>
      </c>
      <c r="R1626" s="31">
        <v>1.62</v>
      </c>
    </row>
    <row r="1627" spans="1:18" x14ac:dyDescent="0.3">
      <c r="A1627">
        <v>36</v>
      </c>
      <c r="B1627">
        <v>36</v>
      </c>
      <c r="C1627" t="s">
        <v>33</v>
      </c>
      <c r="D1627">
        <v>1.9</v>
      </c>
      <c r="E1627">
        <v>956.38300000000004</v>
      </c>
      <c r="F1627" t="s">
        <v>423</v>
      </c>
      <c r="G1627" s="31">
        <v>0.57999999999999996</v>
      </c>
      <c r="L1627">
        <v>8</v>
      </c>
      <c r="M1627">
        <v>8</v>
      </c>
      <c r="N1627" t="s">
        <v>42</v>
      </c>
      <c r="Q1627" t="s">
        <v>518</v>
      </c>
      <c r="R1627" s="31">
        <v>0.1</v>
      </c>
    </row>
    <row r="1628" spans="1:18" x14ac:dyDescent="0.3">
      <c r="G1628" s="31">
        <f>G1605/G1607</f>
        <v>2.3508771929824563</v>
      </c>
      <c r="L1628">
        <v>9</v>
      </c>
      <c r="M1628">
        <v>9</v>
      </c>
      <c r="N1628" t="s">
        <v>43</v>
      </c>
      <c r="Q1628" t="s">
        <v>519</v>
      </c>
      <c r="R1628" s="31">
        <v>0.1</v>
      </c>
    </row>
    <row r="1629" spans="1:18" x14ac:dyDescent="0.3">
      <c r="A1629" t="s">
        <v>379</v>
      </c>
      <c r="L1629">
        <v>10</v>
      </c>
      <c r="M1629">
        <v>10</v>
      </c>
      <c r="N1629" t="s">
        <v>52</v>
      </c>
      <c r="O1629">
        <v>4.3499999999999996</v>
      </c>
      <c r="P1629">
        <v>7.0170000000000003</v>
      </c>
      <c r="Q1629" t="s">
        <v>520</v>
      </c>
      <c r="R1629" s="31">
        <v>0.1</v>
      </c>
    </row>
    <row r="1630" spans="1:18" x14ac:dyDescent="0.3">
      <c r="L1630">
        <v>11</v>
      </c>
      <c r="M1630">
        <v>11</v>
      </c>
      <c r="N1630" t="s">
        <v>44</v>
      </c>
      <c r="Q1630" t="s">
        <v>521</v>
      </c>
      <c r="R1630" s="31">
        <v>0.1</v>
      </c>
    </row>
    <row r="1631" spans="1:18" x14ac:dyDescent="0.3">
      <c r="A1631" t="s">
        <v>456</v>
      </c>
      <c r="L1631">
        <v>12</v>
      </c>
      <c r="M1631">
        <v>12</v>
      </c>
      <c r="N1631" t="s">
        <v>45</v>
      </c>
      <c r="O1631">
        <v>3.54</v>
      </c>
      <c r="P1631">
        <v>2.012</v>
      </c>
      <c r="Q1631" t="s">
        <v>522</v>
      </c>
      <c r="R1631" s="31">
        <v>0.1</v>
      </c>
    </row>
    <row r="1632" spans="1:18" x14ac:dyDescent="0.3">
      <c r="L1632">
        <v>13</v>
      </c>
      <c r="M1632">
        <v>13</v>
      </c>
      <c r="N1632" t="s">
        <v>46</v>
      </c>
      <c r="O1632">
        <v>2.56</v>
      </c>
      <c r="P1632">
        <v>4051.7710000000002</v>
      </c>
      <c r="Q1632" t="s">
        <v>523</v>
      </c>
      <c r="R1632" s="31">
        <v>0.1</v>
      </c>
    </row>
    <row r="1633" spans="1:18" x14ac:dyDescent="0.3">
      <c r="A1633" t="s">
        <v>461</v>
      </c>
      <c r="L1633">
        <v>14</v>
      </c>
      <c r="M1633">
        <v>14</v>
      </c>
      <c r="N1633" t="s">
        <v>47</v>
      </c>
      <c r="Q1633" t="s">
        <v>524</v>
      </c>
      <c r="R1633" s="31">
        <v>0.1</v>
      </c>
    </row>
    <row r="1634" spans="1:18" x14ac:dyDescent="0.3">
      <c r="L1634">
        <v>15</v>
      </c>
      <c r="M1634">
        <v>15</v>
      </c>
      <c r="N1634" t="s">
        <v>48</v>
      </c>
      <c r="O1634">
        <v>1.23</v>
      </c>
      <c r="P1634">
        <v>117.349</v>
      </c>
      <c r="Q1634" t="s">
        <v>525</v>
      </c>
      <c r="R1634" s="31">
        <v>0.1</v>
      </c>
    </row>
    <row r="1635" spans="1:18" x14ac:dyDescent="0.3">
      <c r="B1635" t="s">
        <v>382</v>
      </c>
      <c r="C1635" t="s">
        <v>383</v>
      </c>
      <c r="D1635" t="s">
        <v>384</v>
      </c>
      <c r="E1635" t="s">
        <v>385</v>
      </c>
      <c r="F1635" t="s">
        <v>386</v>
      </c>
      <c r="G1635" s="31" t="s">
        <v>387</v>
      </c>
      <c r="L1635">
        <v>16</v>
      </c>
      <c r="M1635">
        <v>16</v>
      </c>
      <c r="N1635" t="s">
        <v>53</v>
      </c>
      <c r="O1635">
        <v>4.5999999999999996</v>
      </c>
      <c r="P1635">
        <v>160.59299999999999</v>
      </c>
      <c r="Q1635" t="s">
        <v>526</v>
      </c>
      <c r="R1635" s="31">
        <v>0.1</v>
      </c>
    </row>
    <row r="1636" spans="1:18" x14ac:dyDescent="0.3">
      <c r="A1636">
        <v>1</v>
      </c>
      <c r="B1636">
        <v>1</v>
      </c>
      <c r="C1636" t="s">
        <v>0</v>
      </c>
      <c r="D1636">
        <v>1.08</v>
      </c>
      <c r="E1636">
        <v>69.046000000000006</v>
      </c>
      <c r="F1636" t="s">
        <v>388</v>
      </c>
      <c r="G1636" s="31">
        <v>0.79</v>
      </c>
      <c r="L1636">
        <v>17</v>
      </c>
      <c r="M1636">
        <v>17</v>
      </c>
      <c r="N1636" t="s">
        <v>54</v>
      </c>
      <c r="O1636">
        <v>5.25</v>
      </c>
      <c r="P1636">
        <v>106.36199999999999</v>
      </c>
      <c r="Q1636" t="s">
        <v>527</v>
      </c>
      <c r="R1636" s="31">
        <v>0.1</v>
      </c>
    </row>
    <row r="1637" spans="1:18" x14ac:dyDescent="0.3">
      <c r="A1637">
        <v>2</v>
      </c>
      <c r="B1637">
        <v>2</v>
      </c>
      <c r="C1637" t="s">
        <v>1</v>
      </c>
      <c r="D1637">
        <v>1.8</v>
      </c>
      <c r="E1637">
        <v>2.0539999999999998</v>
      </c>
      <c r="F1637" t="s">
        <v>389</v>
      </c>
      <c r="G1637" s="31">
        <v>4.55</v>
      </c>
      <c r="L1637">
        <v>18</v>
      </c>
      <c r="M1637">
        <v>18</v>
      </c>
      <c r="N1637" t="s">
        <v>55</v>
      </c>
      <c r="Q1637" t="s">
        <v>528</v>
      </c>
      <c r="R1637" s="31">
        <v>0.1</v>
      </c>
    </row>
    <row r="1638" spans="1:18" x14ac:dyDescent="0.3">
      <c r="A1638">
        <v>3</v>
      </c>
      <c r="B1638">
        <v>3</v>
      </c>
      <c r="C1638" t="s">
        <v>50</v>
      </c>
      <c r="D1638">
        <v>3.71</v>
      </c>
      <c r="E1638">
        <v>97.92</v>
      </c>
      <c r="F1638" t="s">
        <v>390</v>
      </c>
      <c r="G1638" s="31">
        <v>0.68</v>
      </c>
      <c r="L1638">
        <v>19</v>
      </c>
      <c r="M1638">
        <v>19</v>
      </c>
      <c r="N1638" t="s">
        <v>56</v>
      </c>
      <c r="O1638">
        <v>0.85</v>
      </c>
      <c r="P1638">
        <v>82.364999999999995</v>
      </c>
      <c r="Q1638" t="s">
        <v>529</v>
      </c>
      <c r="R1638" s="31">
        <v>0.1</v>
      </c>
    </row>
    <row r="1639" spans="1:18" x14ac:dyDescent="0.3">
      <c r="A1639">
        <v>4</v>
      </c>
      <c r="B1639">
        <v>4</v>
      </c>
      <c r="C1639" t="s">
        <v>2</v>
      </c>
      <c r="D1639">
        <v>3.84</v>
      </c>
      <c r="E1639">
        <v>93.361000000000004</v>
      </c>
      <c r="F1639" t="s">
        <v>391</v>
      </c>
      <c r="G1639" s="31">
        <v>0.78</v>
      </c>
      <c r="L1639">
        <v>20</v>
      </c>
      <c r="M1639">
        <v>20</v>
      </c>
      <c r="N1639" t="s">
        <v>57</v>
      </c>
      <c r="Q1639" t="s">
        <v>530</v>
      </c>
      <c r="R1639" s="31">
        <v>0.1</v>
      </c>
    </row>
    <row r="1640" spans="1:18" x14ac:dyDescent="0.3">
      <c r="A1640">
        <v>5</v>
      </c>
      <c r="B1640">
        <v>5</v>
      </c>
      <c r="C1640" t="s">
        <v>3</v>
      </c>
      <c r="D1640">
        <v>4.54</v>
      </c>
      <c r="E1640">
        <v>224.226</v>
      </c>
      <c r="F1640" t="s">
        <v>392</v>
      </c>
      <c r="G1640" s="31">
        <v>0.61</v>
      </c>
      <c r="L1640">
        <v>21</v>
      </c>
      <c r="M1640">
        <v>21</v>
      </c>
      <c r="N1640" t="s">
        <v>58</v>
      </c>
      <c r="Q1640" t="s">
        <v>531</v>
      </c>
      <c r="R1640" s="31">
        <v>0.1</v>
      </c>
    </row>
    <row r="1641" spans="1:18" x14ac:dyDescent="0.3">
      <c r="A1641">
        <v>6</v>
      </c>
      <c r="B1641">
        <v>6</v>
      </c>
      <c r="C1641" t="s">
        <v>4</v>
      </c>
      <c r="D1641">
        <v>4.9000000000000004</v>
      </c>
      <c r="E1641">
        <v>61.793999999999997</v>
      </c>
      <c r="F1641" t="s">
        <v>393</v>
      </c>
      <c r="G1641" s="31">
        <v>2.2999999999999998</v>
      </c>
      <c r="L1641">
        <v>22</v>
      </c>
      <c r="M1641">
        <v>22</v>
      </c>
      <c r="N1641" t="s">
        <v>59</v>
      </c>
      <c r="Q1641" t="s">
        <v>532</v>
      </c>
      <c r="R1641" s="31">
        <v>0.1</v>
      </c>
    </row>
    <row r="1642" spans="1:18" x14ac:dyDescent="0.3">
      <c r="A1642">
        <v>7</v>
      </c>
      <c r="B1642">
        <v>7</v>
      </c>
      <c r="C1642" t="s">
        <v>5</v>
      </c>
      <c r="D1642">
        <v>2.72</v>
      </c>
      <c r="E1642">
        <v>9.1989999999999998</v>
      </c>
      <c r="F1642" t="s">
        <v>394</v>
      </c>
      <c r="G1642" s="31">
        <v>7.0000000000000007E-2</v>
      </c>
      <c r="L1642">
        <v>23</v>
      </c>
      <c r="M1642">
        <v>23</v>
      </c>
      <c r="N1642" t="s">
        <v>60</v>
      </c>
      <c r="O1642">
        <v>2.59</v>
      </c>
      <c r="P1642">
        <v>630.25800000000004</v>
      </c>
      <c r="Q1642" t="s">
        <v>533</v>
      </c>
      <c r="R1642" s="31">
        <v>2.37</v>
      </c>
    </row>
    <row r="1643" spans="1:18" x14ac:dyDescent="0.3">
      <c r="A1643">
        <v>8</v>
      </c>
      <c r="B1643">
        <v>8</v>
      </c>
      <c r="C1643" t="s">
        <v>6</v>
      </c>
      <c r="F1643" t="s">
        <v>395</v>
      </c>
      <c r="G1643" s="31">
        <v>0.1</v>
      </c>
    </row>
    <row r="1644" spans="1:18" x14ac:dyDescent="0.3">
      <c r="A1644">
        <v>9</v>
      </c>
      <c r="B1644">
        <v>9</v>
      </c>
      <c r="C1644" t="s">
        <v>7</v>
      </c>
      <c r="D1644">
        <v>3.6</v>
      </c>
      <c r="E1644">
        <v>76.853999999999999</v>
      </c>
      <c r="F1644" t="s">
        <v>396</v>
      </c>
      <c r="G1644" s="31">
        <v>2.39</v>
      </c>
      <c r="L1644" t="s">
        <v>379</v>
      </c>
    </row>
    <row r="1645" spans="1:18" x14ac:dyDescent="0.3">
      <c r="A1645">
        <v>10</v>
      </c>
      <c r="B1645">
        <v>10</v>
      </c>
      <c r="C1645" t="s">
        <v>51</v>
      </c>
      <c r="D1645">
        <v>4.7300000000000004</v>
      </c>
      <c r="E1645">
        <v>797.81299999999999</v>
      </c>
      <c r="F1645" t="s">
        <v>397</v>
      </c>
      <c r="G1645" s="31">
        <v>1.22</v>
      </c>
    </row>
    <row r="1646" spans="1:18" x14ac:dyDescent="0.3">
      <c r="A1646">
        <v>11</v>
      </c>
      <c r="B1646">
        <v>11</v>
      </c>
      <c r="C1646" t="s">
        <v>8</v>
      </c>
      <c r="F1646" t="s">
        <v>398</v>
      </c>
      <c r="G1646" s="31">
        <v>0.1</v>
      </c>
      <c r="L1646" t="s">
        <v>557</v>
      </c>
    </row>
    <row r="1647" spans="1:18" x14ac:dyDescent="0.3">
      <c r="A1647">
        <v>12</v>
      </c>
      <c r="B1647">
        <v>12</v>
      </c>
      <c r="C1647" t="s">
        <v>9</v>
      </c>
      <c r="D1647">
        <v>2.68</v>
      </c>
      <c r="E1647">
        <v>27.850999999999999</v>
      </c>
      <c r="F1647" t="s">
        <v>399</v>
      </c>
      <c r="G1647" s="31">
        <v>2.74</v>
      </c>
    </row>
    <row r="1648" spans="1:18" x14ac:dyDescent="0.3">
      <c r="A1648">
        <v>13</v>
      </c>
      <c r="B1648">
        <v>13</v>
      </c>
      <c r="C1648" t="s">
        <v>10</v>
      </c>
      <c r="D1648">
        <v>4.12</v>
      </c>
      <c r="E1648">
        <v>21.597999999999999</v>
      </c>
      <c r="F1648" t="s">
        <v>400</v>
      </c>
      <c r="G1648" s="31">
        <v>0.1</v>
      </c>
      <c r="L1648" t="s">
        <v>587</v>
      </c>
    </row>
    <row r="1649" spans="1:18" x14ac:dyDescent="0.3">
      <c r="A1649">
        <v>14</v>
      </c>
      <c r="B1649">
        <v>14</v>
      </c>
      <c r="C1649" t="s">
        <v>11</v>
      </c>
      <c r="F1649" t="s">
        <v>401</v>
      </c>
      <c r="G1649" s="31">
        <v>0.1</v>
      </c>
    </row>
    <row r="1650" spans="1:18" x14ac:dyDescent="0.3">
      <c r="A1650">
        <v>15</v>
      </c>
      <c r="B1650">
        <v>15</v>
      </c>
      <c r="C1650" t="s">
        <v>12</v>
      </c>
      <c r="D1650">
        <v>3.39</v>
      </c>
      <c r="E1650">
        <v>50.362000000000002</v>
      </c>
      <c r="F1650" t="s">
        <v>402</v>
      </c>
      <c r="G1650" s="31">
        <v>1.82</v>
      </c>
      <c r="M1650" t="s">
        <v>382</v>
      </c>
      <c r="N1650" t="s">
        <v>383</v>
      </c>
      <c r="O1650" t="s">
        <v>384</v>
      </c>
      <c r="P1650" t="s">
        <v>385</v>
      </c>
      <c r="Q1650" t="s">
        <v>386</v>
      </c>
      <c r="R1650" s="31" t="s">
        <v>387</v>
      </c>
    </row>
    <row r="1651" spans="1:18" x14ac:dyDescent="0.3">
      <c r="A1651">
        <v>16</v>
      </c>
      <c r="B1651">
        <v>16</v>
      </c>
      <c r="C1651" t="s">
        <v>13</v>
      </c>
      <c r="D1651">
        <v>3.18</v>
      </c>
      <c r="E1651">
        <v>6.673</v>
      </c>
      <c r="F1651" t="s">
        <v>403</v>
      </c>
      <c r="G1651" s="31">
        <v>2.04</v>
      </c>
      <c r="L1651">
        <v>1</v>
      </c>
      <c r="M1651">
        <v>1</v>
      </c>
      <c r="N1651" t="s">
        <v>35</v>
      </c>
      <c r="O1651">
        <v>1.45</v>
      </c>
      <c r="P1651">
        <v>24249.401999999998</v>
      </c>
      <c r="Q1651" t="s">
        <v>511</v>
      </c>
      <c r="R1651" s="31">
        <v>22.03</v>
      </c>
    </row>
    <row r="1652" spans="1:18" x14ac:dyDescent="0.3">
      <c r="A1652">
        <v>17</v>
      </c>
      <c r="B1652">
        <v>17</v>
      </c>
      <c r="C1652" t="s">
        <v>14</v>
      </c>
      <c r="D1652">
        <v>2.08</v>
      </c>
      <c r="E1652">
        <v>34.932000000000002</v>
      </c>
      <c r="F1652" t="s">
        <v>404</v>
      </c>
      <c r="G1652" s="31">
        <v>3.23</v>
      </c>
      <c r="L1652">
        <v>2</v>
      </c>
      <c r="M1652">
        <v>2</v>
      </c>
      <c r="N1652" t="s">
        <v>36</v>
      </c>
      <c r="O1652">
        <v>1.67</v>
      </c>
      <c r="P1652">
        <v>1949496.125</v>
      </c>
      <c r="Q1652" t="s">
        <v>512</v>
      </c>
      <c r="R1652" s="31">
        <v>470.81</v>
      </c>
    </row>
    <row r="1653" spans="1:18" x14ac:dyDescent="0.3">
      <c r="A1653">
        <v>18</v>
      </c>
      <c r="B1653">
        <v>18</v>
      </c>
      <c r="C1653" t="s">
        <v>15</v>
      </c>
      <c r="D1653">
        <v>2.42</v>
      </c>
      <c r="E1653">
        <v>27.31</v>
      </c>
      <c r="F1653" t="s">
        <v>405</v>
      </c>
      <c r="G1653" s="31">
        <v>10.33</v>
      </c>
      <c r="L1653">
        <v>3</v>
      </c>
      <c r="M1653">
        <v>3</v>
      </c>
      <c r="N1653" t="s">
        <v>37</v>
      </c>
      <c r="O1653">
        <v>1.81</v>
      </c>
      <c r="P1653">
        <v>674.76099999999997</v>
      </c>
      <c r="Q1653" t="s">
        <v>513</v>
      </c>
      <c r="R1653" s="31">
        <v>0.35</v>
      </c>
    </row>
    <row r="1654" spans="1:18" x14ac:dyDescent="0.3">
      <c r="A1654">
        <v>19</v>
      </c>
      <c r="B1654">
        <v>19</v>
      </c>
      <c r="C1654" t="s">
        <v>16</v>
      </c>
      <c r="D1654">
        <v>2.7</v>
      </c>
      <c r="E1654">
        <v>19.978000000000002</v>
      </c>
      <c r="F1654" t="s">
        <v>406</v>
      </c>
      <c r="G1654" s="31">
        <v>0.3</v>
      </c>
      <c r="L1654">
        <v>4</v>
      </c>
      <c r="M1654">
        <v>4</v>
      </c>
      <c r="N1654" t="s">
        <v>38</v>
      </c>
      <c r="O1654">
        <v>1.18</v>
      </c>
      <c r="P1654">
        <v>1944.7329999999999</v>
      </c>
      <c r="Q1654" t="s">
        <v>514</v>
      </c>
      <c r="R1654" s="31">
        <v>0.64</v>
      </c>
    </row>
    <row r="1655" spans="1:18" x14ac:dyDescent="0.3">
      <c r="A1655">
        <v>20</v>
      </c>
      <c r="B1655">
        <v>20</v>
      </c>
      <c r="C1655" t="s">
        <v>17</v>
      </c>
      <c r="D1655">
        <v>3.39</v>
      </c>
      <c r="E1655">
        <v>1424.1479999999999</v>
      </c>
      <c r="F1655" t="s">
        <v>407</v>
      </c>
      <c r="G1655" s="31">
        <v>1.62</v>
      </c>
      <c r="L1655">
        <v>5</v>
      </c>
      <c r="M1655">
        <v>5</v>
      </c>
      <c r="N1655" t="s">
        <v>39</v>
      </c>
      <c r="O1655">
        <v>1.38</v>
      </c>
      <c r="P1655">
        <v>114228.789</v>
      </c>
      <c r="Q1655" t="s">
        <v>515</v>
      </c>
      <c r="R1655" s="31">
        <v>44.46</v>
      </c>
    </row>
    <row r="1656" spans="1:18" x14ac:dyDescent="0.3">
      <c r="A1656">
        <v>21</v>
      </c>
      <c r="B1656">
        <v>21</v>
      </c>
      <c r="C1656" t="s">
        <v>18</v>
      </c>
      <c r="D1656">
        <v>3.68</v>
      </c>
      <c r="E1656">
        <v>388.072</v>
      </c>
      <c r="F1656" t="s">
        <v>408</v>
      </c>
      <c r="G1656" s="31">
        <v>0.09</v>
      </c>
      <c r="L1656">
        <v>6</v>
      </c>
      <c r="M1656">
        <v>6</v>
      </c>
      <c r="N1656" t="s">
        <v>40</v>
      </c>
      <c r="O1656">
        <v>1.53</v>
      </c>
      <c r="P1656">
        <v>10034.103999999999</v>
      </c>
      <c r="Q1656" t="s">
        <v>516</v>
      </c>
      <c r="R1656" s="31">
        <v>2</v>
      </c>
    </row>
    <row r="1657" spans="1:18" x14ac:dyDescent="0.3">
      <c r="A1657">
        <v>22</v>
      </c>
      <c r="B1657">
        <v>22</v>
      </c>
      <c r="C1657" t="s">
        <v>19</v>
      </c>
      <c r="F1657" t="s">
        <v>409</v>
      </c>
      <c r="G1657" s="31">
        <v>0.1</v>
      </c>
      <c r="L1657">
        <v>7</v>
      </c>
      <c r="M1657">
        <v>7</v>
      </c>
      <c r="N1657" t="s">
        <v>41</v>
      </c>
      <c r="O1657">
        <v>2.29</v>
      </c>
      <c r="P1657">
        <v>1209.5809999999999</v>
      </c>
      <c r="Q1657" t="s">
        <v>517</v>
      </c>
      <c r="R1657" s="31">
        <v>2.35</v>
      </c>
    </row>
    <row r="1658" spans="1:18" x14ac:dyDescent="0.3">
      <c r="A1658">
        <v>23</v>
      </c>
      <c r="B1658">
        <v>23</v>
      </c>
      <c r="C1658" t="s">
        <v>20</v>
      </c>
      <c r="F1658" t="s">
        <v>410</v>
      </c>
      <c r="G1658" s="31">
        <v>0.1</v>
      </c>
      <c r="L1658">
        <v>8</v>
      </c>
      <c r="M1658">
        <v>8</v>
      </c>
      <c r="N1658" t="s">
        <v>42</v>
      </c>
      <c r="O1658">
        <v>0.89</v>
      </c>
      <c r="P1658">
        <v>2362.2109999999998</v>
      </c>
      <c r="Q1658" t="s">
        <v>518</v>
      </c>
      <c r="R1658" s="31">
        <v>38.81</v>
      </c>
    </row>
    <row r="1659" spans="1:18" x14ac:dyDescent="0.3">
      <c r="A1659">
        <v>24</v>
      </c>
      <c r="B1659">
        <v>24</v>
      </c>
      <c r="C1659" t="s">
        <v>21</v>
      </c>
      <c r="D1659">
        <v>4.18</v>
      </c>
      <c r="E1659">
        <v>4.3719999999999999</v>
      </c>
      <c r="F1659" t="s">
        <v>411</v>
      </c>
      <c r="G1659" s="31">
        <v>0.1</v>
      </c>
      <c r="L1659">
        <v>9</v>
      </c>
      <c r="M1659">
        <v>9</v>
      </c>
      <c r="N1659" t="s">
        <v>43</v>
      </c>
      <c r="O1659">
        <v>2.5499999999999998</v>
      </c>
      <c r="P1659">
        <v>3548.8049999999998</v>
      </c>
      <c r="Q1659" t="s">
        <v>519</v>
      </c>
      <c r="R1659" s="31">
        <v>0.11</v>
      </c>
    </row>
    <row r="1660" spans="1:18" x14ac:dyDescent="0.3">
      <c r="A1660">
        <v>25</v>
      </c>
      <c r="B1660">
        <v>25</v>
      </c>
      <c r="C1660" t="s">
        <v>22</v>
      </c>
      <c r="F1660" t="s">
        <v>412</v>
      </c>
      <c r="G1660" s="31">
        <v>0.1</v>
      </c>
      <c r="L1660">
        <v>10</v>
      </c>
      <c r="M1660">
        <v>10</v>
      </c>
      <c r="N1660" t="s">
        <v>52</v>
      </c>
      <c r="O1660">
        <v>4.13</v>
      </c>
      <c r="P1660">
        <v>19908.296999999999</v>
      </c>
      <c r="Q1660" t="s">
        <v>520</v>
      </c>
      <c r="R1660" s="31">
        <v>2.0099999999999998</v>
      </c>
    </row>
    <row r="1661" spans="1:18" x14ac:dyDescent="0.3">
      <c r="A1661">
        <v>26</v>
      </c>
      <c r="B1661">
        <v>26</v>
      </c>
      <c r="C1661" t="s">
        <v>23</v>
      </c>
      <c r="F1661" t="s">
        <v>413</v>
      </c>
      <c r="G1661" s="31">
        <v>0.1</v>
      </c>
      <c r="L1661">
        <v>11</v>
      </c>
      <c r="M1661">
        <v>11</v>
      </c>
      <c r="N1661" t="s">
        <v>44</v>
      </c>
      <c r="O1661">
        <v>4.1900000000000004</v>
      </c>
      <c r="P1661">
        <v>2984.08</v>
      </c>
      <c r="Q1661" t="s">
        <v>521</v>
      </c>
      <c r="R1661" s="31">
        <v>0.82</v>
      </c>
    </row>
    <row r="1662" spans="1:18" x14ac:dyDescent="0.3">
      <c r="A1662">
        <v>27</v>
      </c>
      <c r="B1662">
        <v>27</v>
      </c>
      <c r="C1662" t="s">
        <v>24</v>
      </c>
      <c r="D1662">
        <v>3.41</v>
      </c>
      <c r="E1662">
        <v>193.363</v>
      </c>
      <c r="F1662" t="s">
        <v>414</v>
      </c>
      <c r="G1662" s="31">
        <v>0.1</v>
      </c>
      <c r="L1662">
        <v>12</v>
      </c>
      <c r="M1662">
        <v>12</v>
      </c>
      <c r="N1662" t="s">
        <v>45</v>
      </c>
      <c r="O1662">
        <v>3.45</v>
      </c>
      <c r="P1662">
        <v>682813.81299999997</v>
      </c>
      <c r="Q1662" t="s">
        <v>522</v>
      </c>
      <c r="R1662" s="31">
        <v>22.48</v>
      </c>
    </row>
    <row r="1663" spans="1:18" x14ac:dyDescent="0.3">
      <c r="A1663">
        <v>28</v>
      </c>
      <c r="B1663">
        <v>28</v>
      </c>
      <c r="C1663" t="s">
        <v>25</v>
      </c>
      <c r="D1663">
        <v>3.82</v>
      </c>
      <c r="E1663">
        <v>1.6519999999999999</v>
      </c>
      <c r="F1663" t="s">
        <v>415</v>
      </c>
      <c r="G1663" s="31">
        <v>1.8</v>
      </c>
      <c r="L1663">
        <v>13</v>
      </c>
      <c r="M1663">
        <v>13</v>
      </c>
      <c r="N1663" t="s">
        <v>46</v>
      </c>
      <c r="O1663">
        <v>2.6</v>
      </c>
      <c r="P1663">
        <v>130516.211</v>
      </c>
      <c r="Q1663" t="s">
        <v>523</v>
      </c>
      <c r="R1663" s="31">
        <v>11.51</v>
      </c>
    </row>
    <row r="1664" spans="1:18" x14ac:dyDescent="0.3">
      <c r="A1664">
        <v>29</v>
      </c>
      <c r="B1664">
        <v>29</v>
      </c>
      <c r="C1664" t="s">
        <v>26</v>
      </c>
      <c r="F1664" t="s">
        <v>416</v>
      </c>
      <c r="G1664" s="31">
        <v>0.1</v>
      </c>
      <c r="L1664">
        <v>14</v>
      </c>
      <c r="M1664">
        <v>14</v>
      </c>
      <c r="N1664" t="s">
        <v>47</v>
      </c>
      <c r="O1664">
        <v>0.67</v>
      </c>
      <c r="P1664">
        <v>28697.525000000001</v>
      </c>
      <c r="Q1664" t="s">
        <v>524</v>
      </c>
      <c r="R1664" s="31">
        <v>25.99</v>
      </c>
    </row>
    <row r="1665" spans="1:18" x14ac:dyDescent="0.3">
      <c r="A1665">
        <v>30</v>
      </c>
      <c r="B1665">
        <v>30</v>
      </c>
      <c r="C1665" t="s">
        <v>27</v>
      </c>
      <c r="D1665">
        <v>4.33</v>
      </c>
      <c r="E1665">
        <v>60.637999999999998</v>
      </c>
      <c r="F1665" t="s">
        <v>417</v>
      </c>
      <c r="G1665" s="31">
        <v>0.15</v>
      </c>
      <c r="L1665">
        <v>15</v>
      </c>
      <c r="M1665">
        <v>15</v>
      </c>
      <c r="N1665" t="s">
        <v>48</v>
      </c>
      <c r="O1665">
        <v>1.22</v>
      </c>
      <c r="P1665">
        <v>8196.3259999999991</v>
      </c>
      <c r="Q1665" t="s">
        <v>525</v>
      </c>
      <c r="R1665" s="31">
        <v>1.84</v>
      </c>
    </row>
    <row r="1666" spans="1:18" x14ac:dyDescent="0.3">
      <c r="A1666">
        <v>31</v>
      </c>
      <c r="B1666">
        <v>31</v>
      </c>
      <c r="C1666" t="s">
        <v>28</v>
      </c>
      <c r="F1666" t="s">
        <v>418</v>
      </c>
      <c r="G1666" s="31">
        <v>0.1</v>
      </c>
      <c r="L1666">
        <v>16</v>
      </c>
      <c r="M1666">
        <v>16</v>
      </c>
      <c r="N1666" t="s">
        <v>53</v>
      </c>
      <c r="O1666">
        <v>4.5599999999999996</v>
      </c>
      <c r="P1666">
        <v>23334.16</v>
      </c>
      <c r="Q1666" t="s">
        <v>526</v>
      </c>
      <c r="R1666" s="31">
        <v>0.56999999999999995</v>
      </c>
    </row>
    <row r="1667" spans="1:18" x14ac:dyDescent="0.3">
      <c r="A1667">
        <v>32</v>
      </c>
      <c r="B1667">
        <v>32</v>
      </c>
      <c r="C1667" t="s">
        <v>29</v>
      </c>
      <c r="F1667" t="s">
        <v>419</v>
      </c>
      <c r="G1667" s="31">
        <v>0.1</v>
      </c>
      <c r="L1667">
        <v>17</v>
      </c>
      <c r="M1667">
        <v>17</v>
      </c>
      <c r="N1667" t="s">
        <v>54</v>
      </c>
      <c r="O1667">
        <v>5.29</v>
      </c>
      <c r="P1667">
        <v>23.08</v>
      </c>
      <c r="Q1667" t="s">
        <v>527</v>
      </c>
      <c r="R1667" s="31">
        <v>0.1</v>
      </c>
    </row>
    <row r="1668" spans="1:18" x14ac:dyDescent="0.3">
      <c r="A1668">
        <v>33</v>
      </c>
      <c r="B1668">
        <v>33</v>
      </c>
      <c r="C1668" t="s">
        <v>30</v>
      </c>
      <c r="D1668">
        <v>4.66</v>
      </c>
      <c r="E1668">
        <v>13.096</v>
      </c>
      <c r="F1668" t="s">
        <v>420</v>
      </c>
      <c r="G1668" s="31">
        <v>3.35</v>
      </c>
      <c r="L1668">
        <v>18</v>
      </c>
      <c r="M1668">
        <v>18</v>
      </c>
      <c r="N1668" t="s">
        <v>55</v>
      </c>
      <c r="O1668">
        <v>1.32</v>
      </c>
      <c r="P1668">
        <v>1593.441</v>
      </c>
      <c r="Q1668" t="s">
        <v>528</v>
      </c>
      <c r="R1668" s="31">
        <v>0.11</v>
      </c>
    </row>
    <row r="1669" spans="1:18" x14ac:dyDescent="0.3">
      <c r="A1669">
        <v>34</v>
      </c>
      <c r="B1669">
        <v>34</v>
      </c>
      <c r="C1669" t="s">
        <v>31</v>
      </c>
      <c r="D1669">
        <v>3.65</v>
      </c>
      <c r="E1669">
        <v>10.814</v>
      </c>
      <c r="F1669" t="s">
        <v>421</v>
      </c>
      <c r="G1669" s="31">
        <v>0.12</v>
      </c>
      <c r="L1669">
        <v>19</v>
      </c>
      <c r="M1669">
        <v>19</v>
      </c>
      <c r="N1669" t="s">
        <v>56</v>
      </c>
      <c r="O1669">
        <v>0.87</v>
      </c>
      <c r="P1669">
        <v>32634.256000000001</v>
      </c>
      <c r="Q1669" t="s">
        <v>529</v>
      </c>
      <c r="R1669" s="31">
        <v>3.22</v>
      </c>
    </row>
    <row r="1670" spans="1:18" x14ac:dyDescent="0.3">
      <c r="A1670">
        <v>35</v>
      </c>
      <c r="B1670">
        <v>35</v>
      </c>
      <c r="C1670" t="s">
        <v>32</v>
      </c>
      <c r="F1670" t="s">
        <v>422</v>
      </c>
      <c r="G1670" s="31">
        <v>0.1</v>
      </c>
      <c r="L1670">
        <v>20</v>
      </c>
      <c r="M1670">
        <v>20</v>
      </c>
      <c r="N1670" t="s">
        <v>57</v>
      </c>
      <c r="O1670">
        <v>1.51</v>
      </c>
      <c r="P1670">
        <v>329.161</v>
      </c>
      <c r="Q1670" t="s">
        <v>530</v>
      </c>
      <c r="R1670" s="31">
        <v>0.23</v>
      </c>
    </row>
    <row r="1671" spans="1:18" x14ac:dyDescent="0.3">
      <c r="A1671">
        <v>36</v>
      </c>
      <c r="B1671">
        <v>36</v>
      </c>
      <c r="C1671" t="s">
        <v>33</v>
      </c>
      <c r="D1671">
        <v>2.0499999999999998</v>
      </c>
      <c r="E1671">
        <v>3.2040000000000002</v>
      </c>
      <c r="F1671" t="s">
        <v>423</v>
      </c>
      <c r="G1671" s="31">
        <v>0.14000000000000001</v>
      </c>
      <c r="L1671">
        <v>21</v>
      </c>
      <c r="M1671">
        <v>21</v>
      </c>
      <c r="N1671" t="s">
        <v>58</v>
      </c>
      <c r="O1671">
        <v>2.33</v>
      </c>
      <c r="P1671">
        <v>391.096</v>
      </c>
      <c r="Q1671" t="s">
        <v>531</v>
      </c>
      <c r="R1671" s="31">
        <v>0.46</v>
      </c>
    </row>
    <row r="1672" spans="1:18" x14ac:dyDescent="0.3">
      <c r="L1672">
        <v>22</v>
      </c>
      <c r="M1672">
        <v>22</v>
      </c>
      <c r="N1672" t="s">
        <v>59</v>
      </c>
      <c r="O1672">
        <v>2.5</v>
      </c>
      <c r="P1672">
        <v>9855.982</v>
      </c>
      <c r="Q1672" t="s">
        <v>532</v>
      </c>
      <c r="R1672" s="31">
        <v>2.29</v>
      </c>
    </row>
    <row r="1673" spans="1:18" x14ac:dyDescent="0.3">
      <c r="A1673" t="s">
        <v>379</v>
      </c>
      <c r="L1673">
        <v>23</v>
      </c>
      <c r="M1673">
        <v>23</v>
      </c>
      <c r="N1673" t="s">
        <v>60</v>
      </c>
      <c r="O1673">
        <v>2.65</v>
      </c>
      <c r="P1673">
        <v>11089.916999999999</v>
      </c>
      <c r="Q1673" t="s">
        <v>533</v>
      </c>
      <c r="R1673" s="31">
        <v>1.62</v>
      </c>
    </row>
    <row r="1675" spans="1:18" x14ac:dyDescent="0.3">
      <c r="A1675" t="s">
        <v>456</v>
      </c>
      <c r="L1675" t="s">
        <v>379</v>
      </c>
    </row>
    <row r="1677" spans="1:18" x14ac:dyDescent="0.3">
      <c r="A1677" t="s">
        <v>462</v>
      </c>
      <c r="L1677" t="s">
        <v>557</v>
      </c>
    </row>
    <row r="1679" spans="1:18" x14ac:dyDescent="0.3">
      <c r="B1679" t="s">
        <v>382</v>
      </c>
      <c r="C1679" t="s">
        <v>383</v>
      </c>
      <c r="D1679" t="s">
        <v>384</v>
      </c>
      <c r="E1679" t="s">
        <v>385</v>
      </c>
      <c r="F1679" t="s">
        <v>386</v>
      </c>
      <c r="G1679" s="31" t="s">
        <v>387</v>
      </c>
      <c r="L1679" t="s">
        <v>588</v>
      </c>
    </row>
    <row r="1680" spans="1:18" x14ac:dyDescent="0.3">
      <c r="A1680">
        <v>1</v>
      </c>
      <c r="B1680">
        <v>1</v>
      </c>
      <c r="C1680" t="s">
        <v>0</v>
      </c>
      <c r="D1680">
        <v>1.01</v>
      </c>
      <c r="E1680">
        <v>4937.37</v>
      </c>
      <c r="F1680" t="s">
        <v>388</v>
      </c>
      <c r="G1680" s="31">
        <v>46.91</v>
      </c>
    </row>
    <row r="1681" spans="1:18" x14ac:dyDescent="0.3">
      <c r="A1681">
        <v>2</v>
      </c>
      <c r="B1681">
        <v>2</v>
      </c>
      <c r="C1681" t="s">
        <v>1</v>
      </c>
      <c r="D1681">
        <v>1.45</v>
      </c>
      <c r="E1681">
        <v>3597.335</v>
      </c>
      <c r="F1681" t="s">
        <v>389</v>
      </c>
      <c r="G1681" s="31">
        <v>6.6</v>
      </c>
      <c r="M1681" t="s">
        <v>382</v>
      </c>
      <c r="N1681" t="s">
        <v>383</v>
      </c>
      <c r="O1681" t="s">
        <v>384</v>
      </c>
      <c r="P1681" t="s">
        <v>385</v>
      </c>
      <c r="Q1681" t="s">
        <v>386</v>
      </c>
      <c r="R1681" s="31" t="s">
        <v>387</v>
      </c>
    </row>
    <row r="1682" spans="1:18" x14ac:dyDescent="0.3">
      <c r="A1682">
        <v>3</v>
      </c>
      <c r="B1682">
        <v>3</v>
      </c>
      <c r="C1682" t="s">
        <v>50</v>
      </c>
      <c r="D1682">
        <v>3.59</v>
      </c>
      <c r="E1682">
        <v>723.22</v>
      </c>
      <c r="F1682" t="s">
        <v>390</v>
      </c>
      <c r="G1682" s="31">
        <v>0.56999999999999995</v>
      </c>
      <c r="L1682">
        <v>1</v>
      </c>
      <c r="M1682">
        <v>1</v>
      </c>
      <c r="N1682" t="s">
        <v>35</v>
      </c>
      <c r="O1682">
        <v>1.45</v>
      </c>
      <c r="P1682">
        <v>35201.976999999999</v>
      </c>
      <c r="Q1682" t="s">
        <v>511</v>
      </c>
      <c r="R1682" s="31">
        <v>27.6</v>
      </c>
    </row>
    <row r="1683" spans="1:18" x14ac:dyDescent="0.3">
      <c r="A1683">
        <v>4</v>
      </c>
      <c r="B1683">
        <v>4</v>
      </c>
      <c r="C1683" t="s">
        <v>2</v>
      </c>
      <c r="D1683">
        <v>3.7</v>
      </c>
      <c r="E1683">
        <v>19845.178</v>
      </c>
      <c r="F1683" t="s">
        <v>391</v>
      </c>
      <c r="G1683" s="31">
        <v>1.49</v>
      </c>
      <c r="L1683">
        <v>2</v>
      </c>
      <c r="M1683">
        <v>2</v>
      </c>
      <c r="N1683" t="s">
        <v>36</v>
      </c>
      <c r="O1683">
        <v>1.67</v>
      </c>
      <c r="P1683">
        <v>1016800.875</v>
      </c>
      <c r="Q1683" t="s">
        <v>512</v>
      </c>
      <c r="R1683" s="31">
        <v>313.77</v>
      </c>
    </row>
    <row r="1684" spans="1:18" x14ac:dyDescent="0.3">
      <c r="A1684">
        <v>5</v>
      </c>
      <c r="B1684">
        <v>5</v>
      </c>
      <c r="C1684" t="s">
        <v>3</v>
      </c>
      <c r="D1684">
        <v>4.51</v>
      </c>
      <c r="E1684">
        <v>193.09100000000001</v>
      </c>
      <c r="F1684" t="s">
        <v>392</v>
      </c>
      <c r="G1684" s="31">
        <v>0.11</v>
      </c>
      <c r="L1684">
        <v>3</v>
      </c>
      <c r="M1684">
        <v>3</v>
      </c>
      <c r="N1684" t="s">
        <v>37</v>
      </c>
      <c r="O1684">
        <v>1.82</v>
      </c>
      <c r="P1684">
        <v>375.37200000000001</v>
      </c>
      <c r="Q1684" t="s">
        <v>513</v>
      </c>
      <c r="R1684" s="31">
        <v>0.28000000000000003</v>
      </c>
    </row>
    <row r="1685" spans="1:18" x14ac:dyDescent="0.3">
      <c r="A1685">
        <v>6</v>
      </c>
      <c r="B1685">
        <v>6</v>
      </c>
      <c r="C1685" t="s">
        <v>4</v>
      </c>
      <c r="D1685">
        <v>4.8</v>
      </c>
      <c r="E1685">
        <v>14370.813</v>
      </c>
      <c r="F1685" t="s">
        <v>393</v>
      </c>
      <c r="G1685" s="31">
        <v>1.04</v>
      </c>
      <c r="L1685">
        <v>4</v>
      </c>
      <c r="M1685">
        <v>4</v>
      </c>
      <c r="N1685" t="s">
        <v>38</v>
      </c>
      <c r="O1685">
        <v>1.18</v>
      </c>
      <c r="P1685">
        <v>1885.421</v>
      </c>
      <c r="Q1685" t="s">
        <v>514</v>
      </c>
      <c r="R1685" s="31">
        <v>0.69</v>
      </c>
    </row>
    <row r="1686" spans="1:18" x14ac:dyDescent="0.3">
      <c r="A1686">
        <v>7</v>
      </c>
      <c r="B1686">
        <v>7</v>
      </c>
      <c r="C1686" t="s">
        <v>5</v>
      </c>
      <c r="D1686">
        <v>2.71</v>
      </c>
      <c r="E1686">
        <v>3179.4389999999999</v>
      </c>
      <c r="F1686" t="s">
        <v>394</v>
      </c>
      <c r="G1686" s="31">
        <v>0.59</v>
      </c>
      <c r="L1686">
        <v>5</v>
      </c>
      <c r="M1686">
        <v>5</v>
      </c>
      <c r="N1686" t="s">
        <v>39</v>
      </c>
      <c r="O1686">
        <v>1.38</v>
      </c>
      <c r="P1686">
        <v>106199.30499999999</v>
      </c>
      <c r="Q1686" t="s">
        <v>515</v>
      </c>
      <c r="R1686" s="31">
        <v>46.31</v>
      </c>
    </row>
    <row r="1687" spans="1:18" x14ac:dyDescent="0.3">
      <c r="A1687">
        <v>8</v>
      </c>
      <c r="B1687">
        <v>8</v>
      </c>
      <c r="C1687" t="s">
        <v>6</v>
      </c>
      <c r="D1687">
        <v>0.67</v>
      </c>
      <c r="E1687">
        <v>1851.7249999999999</v>
      </c>
      <c r="F1687" t="s">
        <v>395</v>
      </c>
      <c r="G1687" s="31">
        <v>26.81</v>
      </c>
      <c r="L1687">
        <v>6</v>
      </c>
      <c r="M1687">
        <v>6</v>
      </c>
      <c r="N1687" t="s">
        <v>40</v>
      </c>
      <c r="O1687">
        <v>1.52</v>
      </c>
      <c r="P1687">
        <v>14191.710999999999</v>
      </c>
      <c r="Q1687" t="s">
        <v>516</v>
      </c>
      <c r="R1687" s="31">
        <v>3.09</v>
      </c>
    </row>
    <row r="1688" spans="1:18" x14ac:dyDescent="0.3">
      <c r="A1688">
        <v>9</v>
      </c>
      <c r="B1688">
        <v>9</v>
      </c>
      <c r="C1688" t="s">
        <v>7</v>
      </c>
      <c r="D1688">
        <v>3.56</v>
      </c>
      <c r="E1688">
        <v>527.73900000000003</v>
      </c>
      <c r="F1688" t="s">
        <v>396</v>
      </c>
      <c r="G1688" s="31">
        <v>1.71</v>
      </c>
      <c r="L1688">
        <v>7</v>
      </c>
      <c r="M1688">
        <v>7</v>
      </c>
      <c r="N1688" t="s">
        <v>41</v>
      </c>
      <c r="O1688">
        <v>2.2799999999999998</v>
      </c>
      <c r="P1688">
        <v>3747.7130000000002</v>
      </c>
      <c r="Q1688" t="s">
        <v>517</v>
      </c>
      <c r="R1688" s="31">
        <v>7.4</v>
      </c>
    </row>
    <row r="1689" spans="1:18" x14ac:dyDescent="0.3">
      <c r="A1689">
        <v>10</v>
      </c>
      <c r="B1689">
        <v>10</v>
      </c>
      <c r="C1689" t="s">
        <v>51</v>
      </c>
      <c r="D1689">
        <v>4.7</v>
      </c>
      <c r="E1689">
        <v>315.101</v>
      </c>
      <c r="F1689" t="s">
        <v>397</v>
      </c>
      <c r="G1689" s="31">
        <v>0.08</v>
      </c>
      <c r="L1689">
        <v>8</v>
      </c>
      <c r="M1689">
        <v>8</v>
      </c>
      <c r="N1689" t="s">
        <v>42</v>
      </c>
      <c r="O1689">
        <v>0.88</v>
      </c>
      <c r="P1689">
        <v>2789.8710000000001</v>
      </c>
      <c r="Q1689" t="s">
        <v>518</v>
      </c>
      <c r="R1689" s="31">
        <v>43.77</v>
      </c>
    </row>
    <row r="1690" spans="1:18" x14ac:dyDescent="0.3">
      <c r="A1690">
        <v>11</v>
      </c>
      <c r="B1690">
        <v>11</v>
      </c>
      <c r="C1690" t="s">
        <v>8</v>
      </c>
      <c r="D1690">
        <v>2.74</v>
      </c>
      <c r="E1690">
        <v>18230.592000000001</v>
      </c>
      <c r="F1690" t="s">
        <v>398</v>
      </c>
      <c r="G1690" s="31">
        <v>1.29</v>
      </c>
      <c r="L1690">
        <v>9</v>
      </c>
      <c r="M1690">
        <v>9</v>
      </c>
      <c r="N1690" t="s">
        <v>43</v>
      </c>
      <c r="O1690">
        <v>2.54</v>
      </c>
      <c r="P1690">
        <v>3058.1080000000002</v>
      </c>
      <c r="Q1690" t="s">
        <v>519</v>
      </c>
      <c r="R1690" s="31">
        <v>0.1</v>
      </c>
    </row>
    <row r="1691" spans="1:18" x14ac:dyDescent="0.3">
      <c r="A1691">
        <v>12</v>
      </c>
      <c r="B1691">
        <v>12</v>
      </c>
      <c r="C1691" t="s">
        <v>9</v>
      </c>
      <c r="D1691">
        <v>2.63</v>
      </c>
      <c r="E1691">
        <v>2746.42</v>
      </c>
      <c r="F1691" t="s">
        <v>399</v>
      </c>
      <c r="G1691" s="31">
        <v>1.38</v>
      </c>
      <c r="L1691">
        <v>10</v>
      </c>
      <c r="M1691">
        <v>10</v>
      </c>
      <c r="N1691" t="s">
        <v>52</v>
      </c>
      <c r="O1691">
        <v>4.13</v>
      </c>
      <c r="P1691">
        <v>20153.763999999999</v>
      </c>
      <c r="Q1691" t="s">
        <v>520</v>
      </c>
      <c r="R1691" s="31">
        <v>2.2599999999999998</v>
      </c>
    </row>
    <row r="1692" spans="1:18" x14ac:dyDescent="0.3">
      <c r="A1692">
        <v>13</v>
      </c>
      <c r="B1692">
        <v>13</v>
      </c>
      <c r="C1692" t="s">
        <v>10</v>
      </c>
      <c r="D1692">
        <v>4.09</v>
      </c>
      <c r="E1692">
        <v>837466.125</v>
      </c>
      <c r="F1692" t="s">
        <v>400</v>
      </c>
      <c r="G1692" s="31">
        <v>79.52</v>
      </c>
      <c r="L1692">
        <v>11</v>
      </c>
      <c r="M1692">
        <v>11</v>
      </c>
      <c r="N1692" t="s">
        <v>44</v>
      </c>
      <c r="O1692">
        <v>4.1900000000000004</v>
      </c>
      <c r="P1692">
        <v>278.90600000000001</v>
      </c>
      <c r="Q1692" t="s">
        <v>521</v>
      </c>
      <c r="R1692" s="31">
        <v>0.28000000000000003</v>
      </c>
    </row>
    <row r="1693" spans="1:18" x14ac:dyDescent="0.3">
      <c r="A1693">
        <v>14</v>
      </c>
      <c r="B1693">
        <v>14</v>
      </c>
      <c r="C1693" t="s">
        <v>11</v>
      </c>
      <c r="D1693">
        <v>3.52</v>
      </c>
      <c r="E1693">
        <v>16.219000000000001</v>
      </c>
      <c r="F1693" t="s">
        <v>401</v>
      </c>
      <c r="G1693" s="31">
        <v>2.16</v>
      </c>
      <c r="L1693">
        <v>12</v>
      </c>
      <c r="M1693">
        <v>12</v>
      </c>
      <c r="N1693" t="s">
        <v>45</v>
      </c>
      <c r="O1693">
        <v>3.45</v>
      </c>
      <c r="P1693">
        <v>477058.25</v>
      </c>
      <c r="Q1693" t="s">
        <v>522</v>
      </c>
      <c r="R1693" s="31">
        <v>12.96</v>
      </c>
    </row>
    <row r="1694" spans="1:18" x14ac:dyDescent="0.3">
      <c r="A1694">
        <v>15</v>
      </c>
      <c r="B1694">
        <v>15</v>
      </c>
      <c r="C1694" t="s">
        <v>12</v>
      </c>
      <c r="D1694">
        <v>3.33</v>
      </c>
      <c r="E1694">
        <v>150.631</v>
      </c>
      <c r="F1694" t="s">
        <v>402</v>
      </c>
      <c r="G1694" s="31">
        <v>0.8</v>
      </c>
      <c r="L1694">
        <v>13</v>
      </c>
      <c r="M1694">
        <v>13</v>
      </c>
      <c r="N1694" t="s">
        <v>46</v>
      </c>
      <c r="O1694">
        <v>2.6</v>
      </c>
      <c r="P1694">
        <v>86614.656000000003</v>
      </c>
      <c r="Q1694" t="s">
        <v>523</v>
      </c>
      <c r="R1694" s="31">
        <v>7.66</v>
      </c>
    </row>
    <row r="1695" spans="1:18" x14ac:dyDescent="0.3">
      <c r="A1695">
        <v>16</v>
      </c>
      <c r="B1695">
        <v>16</v>
      </c>
      <c r="C1695" t="s">
        <v>13</v>
      </c>
      <c r="D1695">
        <v>3.23</v>
      </c>
      <c r="E1695">
        <v>3230.5279999999998</v>
      </c>
      <c r="F1695" t="s">
        <v>403</v>
      </c>
      <c r="G1695" s="31">
        <v>0.93</v>
      </c>
      <c r="L1695">
        <v>14</v>
      </c>
      <c r="M1695">
        <v>14</v>
      </c>
      <c r="N1695" t="s">
        <v>47</v>
      </c>
      <c r="O1695">
        <v>0.67</v>
      </c>
      <c r="P1695">
        <v>27138.886999999999</v>
      </c>
      <c r="Q1695" t="s">
        <v>524</v>
      </c>
      <c r="R1695" s="31">
        <v>26.94</v>
      </c>
    </row>
    <row r="1696" spans="1:18" x14ac:dyDescent="0.3">
      <c r="A1696">
        <v>17</v>
      </c>
      <c r="B1696">
        <v>17</v>
      </c>
      <c r="C1696" t="s">
        <v>14</v>
      </c>
      <c r="D1696">
        <v>2.02</v>
      </c>
      <c r="E1696">
        <v>21094.076000000001</v>
      </c>
      <c r="F1696" t="s">
        <v>404</v>
      </c>
      <c r="G1696" s="31">
        <v>4.07</v>
      </c>
      <c r="L1696">
        <v>15</v>
      </c>
      <c r="M1696">
        <v>15</v>
      </c>
      <c r="N1696" t="s">
        <v>48</v>
      </c>
      <c r="O1696">
        <v>1.21</v>
      </c>
      <c r="P1696">
        <v>11042.828</v>
      </c>
      <c r="Q1696" t="s">
        <v>525</v>
      </c>
      <c r="R1696" s="31">
        <v>2.98</v>
      </c>
    </row>
    <row r="1697" spans="1:18" x14ac:dyDescent="0.3">
      <c r="A1697">
        <v>18</v>
      </c>
      <c r="B1697">
        <v>18</v>
      </c>
      <c r="C1697" t="s">
        <v>15</v>
      </c>
      <c r="D1697">
        <v>2.5</v>
      </c>
      <c r="E1697">
        <v>10129.029</v>
      </c>
      <c r="F1697" t="s">
        <v>405</v>
      </c>
      <c r="G1697" s="31">
        <v>6.79</v>
      </c>
      <c r="L1697">
        <v>16</v>
      </c>
      <c r="M1697">
        <v>16</v>
      </c>
      <c r="N1697" t="s">
        <v>53</v>
      </c>
      <c r="O1697">
        <v>4.5599999999999996</v>
      </c>
      <c r="P1697">
        <v>23378.9</v>
      </c>
      <c r="Q1697" t="s">
        <v>526</v>
      </c>
      <c r="R1697" s="31">
        <v>0.63</v>
      </c>
    </row>
    <row r="1698" spans="1:18" x14ac:dyDescent="0.3">
      <c r="A1698">
        <v>19</v>
      </c>
      <c r="B1698">
        <v>19</v>
      </c>
      <c r="C1698" t="s">
        <v>16</v>
      </c>
      <c r="D1698">
        <v>2.71</v>
      </c>
      <c r="E1698">
        <v>838.68499999999995</v>
      </c>
      <c r="F1698" t="s">
        <v>406</v>
      </c>
      <c r="G1698" s="31">
        <v>0.1</v>
      </c>
      <c r="L1698">
        <v>17</v>
      </c>
      <c r="M1698">
        <v>17</v>
      </c>
      <c r="N1698" t="s">
        <v>54</v>
      </c>
      <c r="O1698">
        <v>5.26</v>
      </c>
      <c r="P1698">
        <v>255.10599999999999</v>
      </c>
      <c r="Q1698" t="s">
        <v>527</v>
      </c>
      <c r="R1698" s="31">
        <v>0.1</v>
      </c>
    </row>
    <row r="1699" spans="1:18" x14ac:dyDescent="0.3">
      <c r="A1699">
        <v>20</v>
      </c>
      <c r="B1699">
        <v>20</v>
      </c>
      <c r="C1699" t="s">
        <v>17</v>
      </c>
      <c r="D1699">
        <v>3.13</v>
      </c>
      <c r="E1699">
        <v>5715.7749999999996</v>
      </c>
      <c r="F1699" t="s">
        <v>407</v>
      </c>
      <c r="G1699" s="31">
        <v>1.25</v>
      </c>
      <c r="L1699">
        <v>18</v>
      </c>
      <c r="M1699">
        <v>18</v>
      </c>
      <c r="N1699" t="s">
        <v>55</v>
      </c>
      <c r="O1699">
        <v>1.31</v>
      </c>
      <c r="P1699">
        <v>565.07000000000005</v>
      </c>
      <c r="Q1699" t="s">
        <v>528</v>
      </c>
      <c r="R1699" s="31">
        <v>0.14000000000000001</v>
      </c>
    </row>
    <row r="1700" spans="1:18" x14ac:dyDescent="0.3">
      <c r="A1700">
        <v>21</v>
      </c>
      <c r="B1700">
        <v>21</v>
      </c>
      <c r="C1700" t="s">
        <v>18</v>
      </c>
      <c r="D1700">
        <v>3.68</v>
      </c>
      <c r="E1700">
        <v>7974.7849999999999</v>
      </c>
      <c r="F1700" t="s">
        <v>408</v>
      </c>
      <c r="G1700" s="31">
        <v>0.42</v>
      </c>
      <c r="L1700">
        <v>19</v>
      </c>
      <c r="M1700">
        <v>19</v>
      </c>
      <c r="N1700" t="s">
        <v>56</v>
      </c>
      <c r="O1700">
        <v>0.87</v>
      </c>
      <c r="P1700">
        <v>7424.2060000000001</v>
      </c>
      <c r="Q1700" t="s">
        <v>529</v>
      </c>
      <c r="R1700" s="31">
        <v>0.1</v>
      </c>
    </row>
    <row r="1701" spans="1:18" x14ac:dyDescent="0.3">
      <c r="A1701">
        <v>22</v>
      </c>
      <c r="B1701">
        <v>22</v>
      </c>
      <c r="C1701" t="s">
        <v>19</v>
      </c>
      <c r="D1701">
        <v>2.64</v>
      </c>
      <c r="E1701">
        <v>19066.296999999999</v>
      </c>
      <c r="F1701" t="s">
        <v>409</v>
      </c>
      <c r="G1701" s="31">
        <v>2.92</v>
      </c>
      <c r="L1701">
        <v>20</v>
      </c>
      <c r="M1701">
        <v>20</v>
      </c>
      <c r="N1701" t="s">
        <v>57</v>
      </c>
      <c r="O1701">
        <v>1.51</v>
      </c>
      <c r="P1701">
        <v>98.073999999999998</v>
      </c>
      <c r="Q1701" t="s">
        <v>530</v>
      </c>
      <c r="R1701" s="31">
        <v>7.0000000000000007E-2</v>
      </c>
    </row>
    <row r="1702" spans="1:18" x14ac:dyDescent="0.3">
      <c r="A1702">
        <v>23</v>
      </c>
      <c r="B1702">
        <v>23</v>
      </c>
      <c r="C1702" t="s">
        <v>20</v>
      </c>
      <c r="D1702">
        <v>2.89</v>
      </c>
      <c r="E1702">
        <v>9185.1299999999992</v>
      </c>
      <c r="F1702" t="s">
        <v>410</v>
      </c>
      <c r="G1702" s="31">
        <v>0.75</v>
      </c>
      <c r="L1702">
        <v>21</v>
      </c>
      <c r="M1702">
        <v>21</v>
      </c>
      <c r="N1702" t="s">
        <v>58</v>
      </c>
      <c r="O1702">
        <v>2.56</v>
      </c>
      <c r="P1702">
        <v>40.457000000000001</v>
      </c>
      <c r="Q1702" t="s">
        <v>531</v>
      </c>
      <c r="R1702" s="31">
        <v>0.1</v>
      </c>
    </row>
    <row r="1703" spans="1:18" x14ac:dyDescent="0.3">
      <c r="A1703">
        <v>24</v>
      </c>
      <c r="B1703">
        <v>24</v>
      </c>
      <c r="C1703" t="s">
        <v>21</v>
      </c>
      <c r="D1703">
        <v>4.16</v>
      </c>
      <c r="E1703">
        <v>68.546999999999997</v>
      </c>
      <c r="F1703" t="s">
        <v>411</v>
      </c>
      <c r="G1703" s="31">
        <v>0.1</v>
      </c>
      <c r="L1703">
        <v>22</v>
      </c>
      <c r="M1703">
        <v>22</v>
      </c>
      <c r="N1703" t="s">
        <v>59</v>
      </c>
      <c r="O1703">
        <v>2.5</v>
      </c>
      <c r="P1703">
        <v>104803.633</v>
      </c>
      <c r="Q1703" t="s">
        <v>532</v>
      </c>
      <c r="R1703" s="31">
        <v>31.08</v>
      </c>
    </row>
    <row r="1704" spans="1:18" x14ac:dyDescent="0.3">
      <c r="A1704">
        <v>25</v>
      </c>
      <c r="B1704">
        <v>25</v>
      </c>
      <c r="C1704" t="s">
        <v>22</v>
      </c>
      <c r="D1704">
        <v>3.42</v>
      </c>
      <c r="E1704">
        <v>111.83199999999999</v>
      </c>
      <c r="F1704" t="s">
        <v>412</v>
      </c>
      <c r="G1704" s="31">
        <v>3.92</v>
      </c>
      <c r="L1704">
        <v>23</v>
      </c>
      <c r="M1704">
        <v>23</v>
      </c>
      <c r="N1704" t="s">
        <v>60</v>
      </c>
      <c r="O1704">
        <v>2.59</v>
      </c>
      <c r="P1704">
        <v>15103.214</v>
      </c>
      <c r="Q1704" t="s">
        <v>533</v>
      </c>
      <c r="R1704" s="31">
        <v>2.29</v>
      </c>
    </row>
    <row r="1705" spans="1:18" x14ac:dyDescent="0.3">
      <c r="A1705">
        <v>26</v>
      </c>
      <c r="B1705">
        <v>26</v>
      </c>
      <c r="C1705" t="s">
        <v>23</v>
      </c>
      <c r="D1705">
        <v>3.35</v>
      </c>
      <c r="E1705">
        <v>39013.891000000003</v>
      </c>
      <c r="F1705" t="s">
        <v>413</v>
      </c>
      <c r="G1705" s="31">
        <v>4.49</v>
      </c>
    </row>
    <row r="1706" spans="1:18" x14ac:dyDescent="0.3">
      <c r="A1706">
        <v>27</v>
      </c>
      <c r="B1706">
        <v>27</v>
      </c>
      <c r="C1706" t="s">
        <v>24</v>
      </c>
      <c r="D1706">
        <v>3.43</v>
      </c>
      <c r="E1706">
        <v>565.34500000000003</v>
      </c>
      <c r="F1706" t="s">
        <v>414</v>
      </c>
      <c r="G1706" s="31">
        <v>0.33</v>
      </c>
      <c r="L1706" t="s">
        <v>379</v>
      </c>
    </row>
    <row r="1707" spans="1:18" x14ac:dyDescent="0.3">
      <c r="A1707">
        <v>28</v>
      </c>
      <c r="B1707">
        <v>28</v>
      </c>
      <c r="C1707" t="s">
        <v>25</v>
      </c>
      <c r="D1707">
        <v>3.52</v>
      </c>
      <c r="E1707">
        <v>2072.5149999999999</v>
      </c>
      <c r="F1707" t="s">
        <v>415</v>
      </c>
      <c r="G1707" s="31">
        <v>0.62</v>
      </c>
    </row>
    <row r="1708" spans="1:18" x14ac:dyDescent="0.3">
      <c r="A1708">
        <v>29</v>
      </c>
      <c r="B1708">
        <v>29</v>
      </c>
      <c r="C1708" t="s">
        <v>26</v>
      </c>
      <c r="D1708">
        <v>1.04</v>
      </c>
      <c r="E1708">
        <v>1242.337</v>
      </c>
      <c r="F1708" t="s">
        <v>416</v>
      </c>
      <c r="G1708" s="31">
        <v>1.73</v>
      </c>
      <c r="L1708" t="s">
        <v>557</v>
      </c>
    </row>
    <row r="1709" spans="1:18" x14ac:dyDescent="0.3">
      <c r="A1709">
        <v>30</v>
      </c>
      <c r="B1709">
        <v>30</v>
      </c>
      <c r="C1709" t="s">
        <v>27</v>
      </c>
      <c r="D1709">
        <v>4.33</v>
      </c>
      <c r="E1709">
        <v>818.74300000000005</v>
      </c>
      <c r="F1709" t="s">
        <v>417</v>
      </c>
      <c r="G1709" s="31">
        <v>0.09</v>
      </c>
    </row>
    <row r="1710" spans="1:18" x14ac:dyDescent="0.3">
      <c r="A1710">
        <v>31</v>
      </c>
      <c r="B1710">
        <v>31</v>
      </c>
      <c r="C1710" t="s">
        <v>28</v>
      </c>
      <c r="D1710">
        <v>3</v>
      </c>
      <c r="E1710">
        <v>24701.699000000001</v>
      </c>
      <c r="F1710" t="s">
        <v>418</v>
      </c>
      <c r="G1710" s="31">
        <v>0.1</v>
      </c>
      <c r="L1710" t="s">
        <v>589</v>
      </c>
    </row>
    <row r="1711" spans="1:18" x14ac:dyDescent="0.3">
      <c r="A1711">
        <v>32</v>
      </c>
      <c r="B1711">
        <v>32</v>
      </c>
      <c r="C1711" t="s">
        <v>29</v>
      </c>
      <c r="D1711">
        <v>3.35</v>
      </c>
      <c r="E1711">
        <v>251.071</v>
      </c>
      <c r="F1711" t="s">
        <v>419</v>
      </c>
      <c r="G1711" s="31">
        <v>0.09</v>
      </c>
    </row>
    <row r="1712" spans="1:18" x14ac:dyDescent="0.3">
      <c r="A1712">
        <v>33</v>
      </c>
      <c r="B1712">
        <v>33</v>
      </c>
      <c r="C1712" t="s">
        <v>30</v>
      </c>
      <c r="D1712">
        <v>4.67</v>
      </c>
      <c r="E1712">
        <v>35127.184000000001</v>
      </c>
      <c r="F1712" t="s">
        <v>420</v>
      </c>
      <c r="G1712" s="31">
        <v>1.2</v>
      </c>
      <c r="M1712" t="s">
        <v>382</v>
      </c>
      <c r="N1712" t="s">
        <v>383</v>
      </c>
      <c r="O1712" t="s">
        <v>384</v>
      </c>
      <c r="P1712" t="s">
        <v>385</v>
      </c>
      <c r="Q1712" t="s">
        <v>386</v>
      </c>
      <c r="R1712" s="31" t="s">
        <v>387</v>
      </c>
    </row>
    <row r="1713" spans="1:18" x14ac:dyDescent="0.3">
      <c r="A1713">
        <v>34</v>
      </c>
      <c r="B1713">
        <v>34</v>
      </c>
      <c r="C1713" t="s">
        <v>31</v>
      </c>
      <c r="D1713">
        <v>3.5</v>
      </c>
      <c r="E1713">
        <v>766.64800000000002</v>
      </c>
      <c r="F1713" t="s">
        <v>421</v>
      </c>
      <c r="G1713" s="31">
        <v>0.09</v>
      </c>
      <c r="L1713">
        <v>1</v>
      </c>
      <c r="M1713">
        <v>1</v>
      </c>
      <c r="N1713" t="s">
        <v>35</v>
      </c>
      <c r="O1713">
        <v>1.45</v>
      </c>
      <c r="P1713">
        <v>83.61</v>
      </c>
      <c r="Q1713" t="s">
        <v>511</v>
      </c>
      <c r="R1713" s="31">
        <v>8.82</v>
      </c>
    </row>
    <row r="1714" spans="1:18" x14ac:dyDescent="0.3">
      <c r="A1714">
        <v>35</v>
      </c>
      <c r="B1714">
        <v>35</v>
      </c>
      <c r="C1714" t="s">
        <v>32</v>
      </c>
      <c r="D1714">
        <v>3.07</v>
      </c>
      <c r="E1714">
        <v>443.858</v>
      </c>
      <c r="F1714" t="s">
        <v>422</v>
      </c>
      <c r="G1714" s="31">
        <v>7.0000000000000007E-2</v>
      </c>
      <c r="L1714">
        <v>2</v>
      </c>
      <c r="M1714">
        <v>2</v>
      </c>
      <c r="N1714" t="s">
        <v>36</v>
      </c>
      <c r="O1714">
        <v>1.67</v>
      </c>
      <c r="P1714">
        <v>1085934.375</v>
      </c>
      <c r="Q1714" t="s">
        <v>512</v>
      </c>
      <c r="R1714" s="31">
        <v>169.83</v>
      </c>
    </row>
    <row r="1715" spans="1:18" x14ac:dyDescent="0.3">
      <c r="A1715">
        <v>36</v>
      </c>
      <c r="B1715">
        <v>36</v>
      </c>
      <c r="C1715" t="s">
        <v>33</v>
      </c>
      <c r="D1715">
        <v>1.89</v>
      </c>
      <c r="E1715">
        <v>1603.328</v>
      </c>
      <c r="F1715" t="s">
        <v>423</v>
      </c>
      <c r="G1715" s="31">
        <v>1.28</v>
      </c>
      <c r="L1715">
        <v>3</v>
      </c>
      <c r="M1715">
        <v>3</v>
      </c>
      <c r="N1715" t="s">
        <v>37</v>
      </c>
      <c r="O1715">
        <v>1.81</v>
      </c>
      <c r="P1715">
        <v>877.94200000000001</v>
      </c>
      <c r="Q1715" t="s">
        <v>513</v>
      </c>
      <c r="R1715" s="31">
        <v>0.24</v>
      </c>
    </row>
    <row r="1716" spans="1:18" x14ac:dyDescent="0.3">
      <c r="G1716" s="31">
        <f>G1693/G1695</f>
        <v>2.3225806451612905</v>
      </c>
      <c r="L1716">
        <v>4</v>
      </c>
      <c r="M1716">
        <v>4</v>
      </c>
      <c r="N1716" t="s">
        <v>38</v>
      </c>
      <c r="O1716">
        <v>1.19</v>
      </c>
      <c r="P1716">
        <v>1816.58</v>
      </c>
      <c r="Q1716" t="s">
        <v>514</v>
      </c>
      <c r="R1716" s="31">
        <v>0.35</v>
      </c>
    </row>
    <row r="1717" spans="1:18" x14ac:dyDescent="0.3">
      <c r="A1717" t="s">
        <v>379</v>
      </c>
      <c r="L1717">
        <v>5</v>
      </c>
      <c r="M1717">
        <v>5</v>
      </c>
      <c r="N1717" t="s">
        <v>39</v>
      </c>
      <c r="O1717">
        <v>1.38</v>
      </c>
      <c r="P1717">
        <v>173224.359</v>
      </c>
      <c r="Q1717" t="s">
        <v>515</v>
      </c>
      <c r="R1717" s="31">
        <v>35.880000000000003</v>
      </c>
    </row>
    <row r="1718" spans="1:18" x14ac:dyDescent="0.3">
      <c r="L1718">
        <v>6</v>
      </c>
      <c r="M1718">
        <v>6</v>
      </c>
      <c r="N1718" t="s">
        <v>40</v>
      </c>
      <c r="O1718">
        <v>1.52</v>
      </c>
      <c r="P1718">
        <v>9143.7749999999996</v>
      </c>
      <c r="Q1718" t="s">
        <v>516</v>
      </c>
      <c r="R1718" s="31">
        <v>1.04</v>
      </c>
    </row>
    <row r="1719" spans="1:18" x14ac:dyDescent="0.3">
      <c r="A1719" t="s">
        <v>456</v>
      </c>
      <c r="L1719">
        <v>7</v>
      </c>
      <c r="M1719">
        <v>7</v>
      </c>
      <c r="N1719" t="s">
        <v>41</v>
      </c>
      <c r="O1719">
        <v>2.2799999999999998</v>
      </c>
      <c r="P1719">
        <v>1339.982</v>
      </c>
      <c r="Q1719" t="s">
        <v>517</v>
      </c>
      <c r="R1719" s="31">
        <v>1.47</v>
      </c>
    </row>
    <row r="1720" spans="1:18" x14ac:dyDescent="0.3">
      <c r="L1720">
        <v>8</v>
      </c>
      <c r="M1720">
        <v>8</v>
      </c>
      <c r="N1720" t="s">
        <v>42</v>
      </c>
      <c r="O1720">
        <v>0.89</v>
      </c>
      <c r="P1720">
        <v>664937.5</v>
      </c>
      <c r="Q1720" t="s">
        <v>518</v>
      </c>
      <c r="R1720" s="31">
        <v>759.52</v>
      </c>
    </row>
    <row r="1721" spans="1:18" x14ac:dyDescent="0.3">
      <c r="A1721" t="s">
        <v>463</v>
      </c>
      <c r="L1721">
        <v>9</v>
      </c>
      <c r="M1721">
        <v>9</v>
      </c>
      <c r="N1721" t="s">
        <v>43</v>
      </c>
      <c r="O1721">
        <v>2.54</v>
      </c>
      <c r="P1721">
        <v>4949.7569999999996</v>
      </c>
      <c r="Q1721" t="s">
        <v>519</v>
      </c>
      <c r="R1721" s="31">
        <v>0.09</v>
      </c>
    </row>
    <row r="1722" spans="1:18" x14ac:dyDescent="0.3">
      <c r="L1722">
        <v>10</v>
      </c>
      <c r="M1722">
        <v>10</v>
      </c>
      <c r="N1722" t="s">
        <v>52</v>
      </c>
      <c r="O1722">
        <v>4.12</v>
      </c>
      <c r="P1722">
        <v>9688.2880000000005</v>
      </c>
      <c r="Q1722" t="s">
        <v>520</v>
      </c>
      <c r="R1722" s="31">
        <v>0.39</v>
      </c>
    </row>
    <row r="1723" spans="1:18" x14ac:dyDescent="0.3">
      <c r="B1723" t="s">
        <v>382</v>
      </c>
      <c r="C1723" t="s">
        <v>383</v>
      </c>
      <c r="D1723" t="s">
        <v>384</v>
      </c>
      <c r="E1723" t="s">
        <v>385</v>
      </c>
      <c r="F1723" t="s">
        <v>386</v>
      </c>
      <c r="G1723" s="31" t="s">
        <v>387</v>
      </c>
      <c r="L1723">
        <v>11</v>
      </c>
      <c r="M1723">
        <v>11</v>
      </c>
      <c r="N1723" t="s">
        <v>44</v>
      </c>
      <c r="O1723">
        <v>4.17</v>
      </c>
      <c r="P1723">
        <v>750.75800000000004</v>
      </c>
      <c r="Q1723" t="s">
        <v>521</v>
      </c>
      <c r="R1723" s="31">
        <v>0.2</v>
      </c>
    </row>
    <row r="1724" spans="1:18" x14ac:dyDescent="0.3">
      <c r="A1724">
        <v>1</v>
      </c>
      <c r="B1724">
        <v>1</v>
      </c>
      <c r="C1724" t="s">
        <v>0</v>
      </c>
      <c r="D1724">
        <v>1.02</v>
      </c>
      <c r="E1724">
        <v>3599.6529999999998</v>
      </c>
      <c r="F1724" t="s">
        <v>388</v>
      </c>
      <c r="G1724" s="31">
        <v>17.72</v>
      </c>
      <c r="L1724">
        <v>12</v>
      </c>
      <c r="M1724">
        <v>12</v>
      </c>
      <c r="N1724" t="s">
        <v>45</v>
      </c>
      <c r="O1724">
        <v>3.44</v>
      </c>
      <c r="P1724">
        <v>1004371.188</v>
      </c>
      <c r="Q1724" t="s">
        <v>522</v>
      </c>
      <c r="R1724" s="31">
        <v>22.37</v>
      </c>
    </row>
    <row r="1725" spans="1:18" x14ac:dyDescent="0.3">
      <c r="A1725">
        <v>2</v>
      </c>
      <c r="B1725">
        <v>2</v>
      </c>
      <c r="C1725" t="s">
        <v>1</v>
      </c>
      <c r="D1725">
        <v>1.46</v>
      </c>
      <c r="E1725">
        <v>4592.424</v>
      </c>
      <c r="F1725" t="s">
        <v>389</v>
      </c>
      <c r="G1725" s="31">
        <v>4.28</v>
      </c>
      <c r="L1725">
        <v>13</v>
      </c>
      <c r="M1725">
        <v>13</v>
      </c>
      <c r="N1725" t="s">
        <v>46</v>
      </c>
      <c r="O1725">
        <v>2.6</v>
      </c>
      <c r="P1725">
        <v>98464.577999999994</v>
      </c>
      <c r="Q1725" t="s">
        <v>523</v>
      </c>
      <c r="R1725" s="31">
        <v>4.66</v>
      </c>
    </row>
    <row r="1726" spans="1:18" x14ac:dyDescent="0.3">
      <c r="A1726">
        <v>3</v>
      </c>
      <c r="B1726">
        <v>3</v>
      </c>
      <c r="C1726" t="s">
        <v>50</v>
      </c>
      <c r="D1726">
        <v>3.8</v>
      </c>
      <c r="E1726">
        <v>98.850999999999999</v>
      </c>
      <c r="F1726" t="s">
        <v>390</v>
      </c>
      <c r="G1726" s="31">
        <v>0.06</v>
      </c>
      <c r="L1726">
        <v>14</v>
      </c>
      <c r="M1726">
        <v>14</v>
      </c>
      <c r="N1726" t="s">
        <v>47</v>
      </c>
      <c r="O1726">
        <v>0.68</v>
      </c>
      <c r="P1726">
        <v>27773.605</v>
      </c>
      <c r="Q1726" t="s">
        <v>524</v>
      </c>
      <c r="R1726" s="31">
        <v>14.27</v>
      </c>
    </row>
    <row r="1727" spans="1:18" x14ac:dyDescent="0.3">
      <c r="A1727">
        <v>4</v>
      </c>
      <c r="B1727">
        <v>4</v>
      </c>
      <c r="C1727" t="s">
        <v>2</v>
      </c>
      <c r="D1727">
        <v>3.7</v>
      </c>
      <c r="E1727">
        <v>15720.516</v>
      </c>
      <c r="F1727" t="s">
        <v>391</v>
      </c>
      <c r="G1727" s="31">
        <v>0.62</v>
      </c>
      <c r="L1727">
        <v>15</v>
      </c>
      <c r="M1727">
        <v>15</v>
      </c>
      <c r="N1727" t="s">
        <v>48</v>
      </c>
      <c r="O1727">
        <v>1.22</v>
      </c>
      <c r="P1727">
        <v>18958.365000000002</v>
      </c>
      <c r="Q1727" t="s">
        <v>525</v>
      </c>
      <c r="R1727" s="31">
        <v>2.89</v>
      </c>
    </row>
    <row r="1728" spans="1:18" x14ac:dyDescent="0.3">
      <c r="A1728">
        <v>5</v>
      </c>
      <c r="B1728">
        <v>5</v>
      </c>
      <c r="C1728" t="s">
        <v>3</v>
      </c>
      <c r="D1728">
        <v>4.4800000000000004</v>
      </c>
      <c r="E1728">
        <v>81.838999999999999</v>
      </c>
      <c r="F1728" t="s">
        <v>392</v>
      </c>
      <c r="G1728" s="31">
        <v>0.1</v>
      </c>
      <c r="L1728">
        <v>16</v>
      </c>
      <c r="M1728">
        <v>16</v>
      </c>
      <c r="N1728" t="s">
        <v>53</v>
      </c>
      <c r="O1728">
        <v>4.55</v>
      </c>
      <c r="P1728">
        <v>58850.315999999999</v>
      </c>
      <c r="Q1728" t="s">
        <v>526</v>
      </c>
      <c r="R1728" s="31">
        <v>0.89</v>
      </c>
    </row>
    <row r="1729" spans="1:18" x14ac:dyDescent="0.3">
      <c r="A1729">
        <v>6</v>
      </c>
      <c r="B1729">
        <v>6</v>
      </c>
      <c r="C1729" t="s">
        <v>4</v>
      </c>
      <c r="D1729">
        <v>4.8</v>
      </c>
      <c r="E1729">
        <v>30361.98</v>
      </c>
      <c r="F1729" t="s">
        <v>393</v>
      </c>
      <c r="G1729" s="31">
        <v>0.93</v>
      </c>
      <c r="L1729">
        <v>17</v>
      </c>
      <c r="M1729">
        <v>17</v>
      </c>
      <c r="N1729" t="s">
        <v>54</v>
      </c>
      <c r="O1729">
        <v>5.16</v>
      </c>
      <c r="P1729">
        <v>583.005</v>
      </c>
      <c r="Q1729" t="s">
        <v>527</v>
      </c>
      <c r="R1729" s="31">
        <v>0.11</v>
      </c>
    </row>
    <row r="1730" spans="1:18" x14ac:dyDescent="0.3">
      <c r="A1730">
        <v>7</v>
      </c>
      <c r="B1730">
        <v>7</v>
      </c>
      <c r="C1730" t="s">
        <v>5</v>
      </c>
      <c r="D1730">
        <v>2.71</v>
      </c>
      <c r="E1730">
        <v>2031.83</v>
      </c>
      <c r="F1730" t="s">
        <v>394</v>
      </c>
      <c r="G1730" s="31">
        <v>0.2</v>
      </c>
      <c r="L1730">
        <v>18</v>
      </c>
      <c r="M1730">
        <v>18</v>
      </c>
      <c r="N1730" t="s">
        <v>55</v>
      </c>
      <c r="O1730">
        <v>1.32</v>
      </c>
      <c r="P1730">
        <v>2207.5189999999998</v>
      </c>
      <c r="Q1730" t="s">
        <v>528</v>
      </c>
      <c r="R1730" s="31">
        <v>0.09</v>
      </c>
    </row>
    <row r="1731" spans="1:18" x14ac:dyDescent="0.3">
      <c r="A1731">
        <v>8</v>
      </c>
      <c r="B1731">
        <v>8</v>
      </c>
      <c r="C1731" t="s">
        <v>6</v>
      </c>
      <c r="D1731">
        <v>0.66</v>
      </c>
      <c r="E1731">
        <v>4191.4139999999998</v>
      </c>
      <c r="F1731" t="s">
        <v>395</v>
      </c>
      <c r="G1731" s="31">
        <v>30.18</v>
      </c>
      <c r="L1731">
        <v>19</v>
      </c>
      <c r="M1731">
        <v>19</v>
      </c>
      <c r="N1731" t="s">
        <v>56</v>
      </c>
      <c r="O1731">
        <v>0.87</v>
      </c>
      <c r="P1731">
        <v>30487.896000000001</v>
      </c>
      <c r="Q1731" t="s">
        <v>529</v>
      </c>
      <c r="R1731" s="31">
        <v>1.67</v>
      </c>
    </row>
    <row r="1732" spans="1:18" x14ac:dyDescent="0.3">
      <c r="A1732">
        <v>9</v>
      </c>
      <c r="B1732">
        <v>9</v>
      </c>
      <c r="C1732" t="s">
        <v>7</v>
      </c>
      <c r="D1732">
        <v>3.56</v>
      </c>
      <c r="E1732">
        <v>1615.864</v>
      </c>
      <c r="F1732" t="s">
        <v>396</v>
      </c>
      <c r="G1732" s="31">
        <v>2.57</v>
      </c>
      <c r="L1732">
        <v>20</v>
      </c>
      <c r="M1732">
        <v>20</v>
      </c>
      <c r="N1732" t="s">
        <v>57</v>
      </c>
      <c r="O1732">
        <v>1.51</v>
      </c>
      <c r="P1732">
        <v>666.34900000000005</v>
      </c>
      <c r="Q1732" t="s">
        <v>530</v>
      </c>
      <c r="R1732" s="31">
        <v>0.27</v>
      </c>
    </row>
    <row r="1733" spans="1:18" x14ac:dyDescent="0.3">
      <c r="A1733">
        <v>10</v>
      </c>
      <c r="B1733">
        <v>10</v>
      </c>
      <c r="C1733" t="s">
        <v>51</v>
      </c>
      <c r="D1733">
        <v>4.6100000000000003</v>
      </c>
      <c r="E1733">
        <v>796.34</v>
      </c>
      <c r="F1733" t="s">
        <v>397</v>
      </c>
      <c r="G1733" s="31">
        <v>0.1</v>
      </c>
      <c r="L1733">
        <v>21</v>
      </c>
      <c r="M1733">
        <v>21</v>
      </c>
      <c r="N1733" t="s">
        <v>58</v>
      </c>
      <c r="O1733">
        <v>2.42</v>
      </c>
      <c r="P1733">
        <v>64.33</v>
      </c>
      <c r="Q1733" t="s">
        <v>531</v>
      </c>
      <c r="R1733" s="31">
        <v>7.0000000000000007E-2</v>
      </c>
    </row>
    <row r="1734" spans="1:18" x14ac:dyDescent="0.3">
      <c r="A1734">
        <v>11</v>
      </c>
      <c r="B1734">
        <v>11</v>
      </c>
      <c r="C1734" t="s">
        <v>8</v>
      </c>
      <c r="D1734">
        <v>2.74</v>
      </c>
      <c r="E1734">
        <v>60725.582000000002</v>
      </c>
      <c r="F1734" t="s">
        <v>398</v>
      </c>
      <c r="G1734" s="31">
        <v>1.93</v>
      </c>
      <c r="L1734">
        <v>22</v>
      </c>
      <c r="M1734">
        <v>22</v>
      </c>
      <c r="N1734" t="s">
        <v>59</v>
      </c>
      <c r="O1734">
        <v>2.5</v>
      </c>
      <c r="P1734">
        <v>29966.572</v>
      </c>
      <c r="Q1734" t="s">
        <v>532</v>
      </c>
      <c r="R1734" s="31">
        <v>4.43</v>
      </c>
    </row>
    <row r="1735" spans="1:18" x14ac:dyDescent="0.3">
      <c r="A1735">
        <v>12</v>
      </c>
      <c r="B1735">
        <v>12</v>
      </c>
      <c r="C1735" t="s">
        <v>9</v>
      </c>
      <c r="D1735">
        <v>2.63</v>
      </c>
      <c r="E1735">
        <v>5484.8969999999999</v>
      </c>
      <c r="F1735" t="s">
        <v>399</v>
      </c>
      <c r="G1735" s="31">
        <v>1.22</v>
      </c>
      <c r="L1735">
        <v>23</v>
      </c>
      <c r="M1735">
        <v>23</v>
      </c>
      <c r="N1735" t="s">
        <v>60</v>
      </c>
      <c r="O1735">
        <v>2.63</v>
      </c>
      <c r="P1735">
        <v>22615.035</v>
      </c>
      <c r="Q1735" t="s">
        <v>533</v>
      </c>
      <c r="R1735" s="31">
        <v>1.66</v>
      </c>
    </row>
    <row r="1736" spans="1:18" x14ac:dyDescent="0.3">
      <c r="A1736">
        <v>13</v>
      </c>
      <c r="B1736">
        <v>13</v>
      </c>
      <c r="C1736" t="s">
        <v>10</v>
      </c>
      <c r="D1736">
        <v>4.08</v>
      </c>
      <c r="E1736">
        <v>2892870.25</v>
      </c>
      <c r="F1736" t="s">
        <v>400</v>
      </c>
      <c r="G1736" s="31">
        <v>161.91</v>
      </c>
    </row>
    <row r="1737" spans="1:18" x14ac:dyDescent="0.3">
      <c r="A1737">
        <v>14</v>
      </c>
      <c r="B1737">
        <v>14</v>
      </c>
      <c r="C1737" t="s">
        <v>11</v>
      </c>
      <c r="D1737">
        <v>3.53</v>
      </c>
      <c r="E1737">
        <v>52.072000000000003</v>
      </c>
      <c r="F1737" t="s">
        <v>401</v>
      </c>
      <c r="G1737" s="31">
        <v>2.12</v>
      </c>
      <c r="L1737" t="s">
        <v>379</v>
      </c>
    </row>
    <row r="1738" spans="1:18" x14ac:dyDescent="0.3">
      <c r="A1738">
        <v>15</v>
      </c>
      <c r="B1738">
        <v>15</v>
      </c>
      <c r="C1738" t="s">
        <v>12</v>
      </c>
      <c r="D1738">
        <v>3.33</v>
      </c>
      <c r="E1738">
        <v>299.32799999999997</v>
      </c>
      <c r="F1738" t="s">
        <v>402</v>
      </c>
      <c r="G1738" s="31">
        <v>0.82</v>
      </c>
    </row>
    <row r="1739" spans="1:18" x14ac:dyDescent="0.3">
      <c r="A1739">
        <v>16</v>
      </c>
      <c r="B1739">
        <v>16</v>
      </c>
      <c r="C1739" t="s">
        <v>13</v>
      </c>
      <c r="D1739">
        <v>3.23</v>
      </c>
      <c r="E1739">
        <v>9290.5810000000001</v>
      </c>
      <c r="F1739" t="s">
        <v>403</v>
      </c>
      <c r="G1739" s="31">
        <v>1.08</v>
      </c>
      <c r="L1739" t="s">
        <v>557</v>
      </c>
    </row>
    <row r="1740" spans="1:18" x14ac:dyDescent="0.3">
      <c r="A1740">
        <v>17</v>
      </c>
      <c r="B1740">
        <v>17</v>
      </c>
      <c r="C1740" t="s">
        <v>14</v>
      </c>
      <c r="D1740">
        <v>2.0299999999999998</v>
      </c>
      <c r="E1740">
        <v>32858.144999999997</v>
      </c>
      <c r="F1740" t="s">
        <v>404</v>
      </c>
      <c r="G1740" s="31">
        <v>3.16</v>
      </c>
    </row>
    <row r="1741" spans="1:18" x14ac:dyDescent="0.3">
      <c r="A1741">
        <v>18</v>
      </c>
      <c r="B1741">
        <v>18</v>
      </c>
      <c r="C1741" t="s">
        <v>15</v>
      </c>
      <c r="D1741">
        <v>2.5099999999999998</v>
      </c>
      <c r="E1741">
        <v>62534.351999999999</v>
      </c>
      <c r="F1741" t="s">
        <v>405</v>
      </c>
      <c r="G1741" s="31">
        <v>17.5</v>
      </c>
      <c r="L1741" t="s">
        <v>590</v>
      </c>
    </row>
    <row r="1742" spans="1:18" x14ac:dyDescent="0.3">
      <c r="A1742">
        <v>19</v>
      </c>
      <c r="B1742">
        <v>19</v>
      </c>
      <c r="C1742" t="s">
        <v>16</v>
      </c>
      <c r="D1742">
        <v>2.72</v>
      </c>
      <c r="E1742">
        <v>5100.8149999999996</v>
      </c>
      <c r="F1742" t="s">
        <v>406</v>
      </c>
      <c r="G1742" s="31">
        <v>0.19</v>
      </c>
    </row>
    <row r="1743" spans="1:18" x14ac:dyDescent="0.3">
      <c r="A1743">
        <v>20</v>
      </c>
      <c r="B1743">
        <v>20</v>
      </c>
      <c r="C1743" t="s">
        <v>17</v>
      </c>
      <c r="D1743">
        <v>3.13</v>
      </c>
      <c r="E1743">
        <v>15163.512000000001</v>
      </c>
      <c r="F1743" t="s">
        <v>407</v>
      </c>
      <c r="G1743" s="31">
        <v>1.79</v>
      </c>
      <c r="M1743" t="s">
        <v>382</v>
      </c>
      <c r="N1743" t="s">
        <v>383</v>
      </c>
      <c r="O1743" t="s">
        <v>384</v>
      </c>
      <c r="P1743" t="s">
        <v>385</v>
      </c>
      <c r="Q1743" t="s">
        <v>386</v>
      </c>
      <c r="R1743" s="31" t="s">
        <v>387</v>
      </c>
    </row>
    <row r="1744" spans="1:18" x14ac:dyDescent="0.3">
      <c r="A1744">
        <v>21</v>
      </c>
      <c r="B1744">
        <v>21</v>
      </c>
      <c r="C1744" t="s">
        <v>18</v>
      </c>
      <c r="D1744">
        <v>3.68</v>
      </c>
      <c r="E1744">
        <v>13951.927</v>
      </c>
      <c r="F1744" t="s">
        <v>408</v>
      </c>
      <c r="G1744" s="31">
        <v>0.39</v>
      </c>
      <c r="L1744">
        <v>1</v>
      </c>
      <c r="M1744">
        <v>1</v>
      </c>
      <c r="N1744" t="s">
        <v>35</v>
      </c>
      <c r="O1744">
        <v>1.46</v>
      </c>
      <c r="P1744">
        <v>588.88400000000001</v>
      </c>
      <c r="Q1744" t="s">
        <v>511</v>
      </c>
      <c r="R1744" s="31">
        <v>19.25</v>
      </c>
    </row>
    <row r="1745" spans="1:18" x14ac:dyDescent="0.3">
      <c r="A1745">
        <v>22</v>
      </c>
      <c r="B1745">
        <v>22</v>
      </c>
      <c r="C1745" t="s">
        <v>19</v>
      </c>
      <c r="D1745">
        <v>2.64</v>
      </c>
      <c r="E1745">
        <v>39315.300999999999</v>
      </c>
      <c r="F1745" t="s">
        <v>409</v>
      </c>
      <c r="G1745" s="31">
        <v>2.63</v>
      </c>
      <c r="L1745">
        <v>2</v>
      </c>
      <c r="M1745">
        <v>2</v>
      </c>
      <c r="N1745" t="s">
        <v>36</v>
      </c>
      <c r="O1745">
        <v>1.68</v>
      </c>
      <c r="P1745">
        <v>644153.93799999997</v>
      </c>
      <c r="Q1745" t="s">
        <v>512</v>
      </c>
      <c r="R1745" s="31">
        <v>258.33999999999997</v>
      </c>
    </row>
    <row r="1746" spans="1:18" x14ac:dyDescent="0.3">
      <c r="A1746">
        <v>23</v>
      </c>
      <c r="B1746">
        <v>23</v>
      </c>
      <c r="C1746" t="s">
        <v>20</v>
      </c>
      <c r="D1746">
        <v>2.89</v>
      </c>
      <c r="E1746">
        <v>26408.9</v>
      </c>
      <c r="F1746" t="s">
        <v>410</v>
      </c>
      <c r="G1746" s="31">
        <v>1</v>
      </c>
      <c r="L1746">
        <v>3</v>
      </c>
      <c r="M1746">
        <v>3</v>
      </c>
      <c r="N1746" t="s">
        <v>37</v>
      </c>
      <c r="O1746">
        <v>1.81</v>
      </c>
      <c r="P1746">
        <v>186.95099999999999</v>
      </c>
      <c r="Q1746" t="s">
        <v>513</v>
      </c>
      <c r="R1746" s="31">
        <v>0.23</v>
      </c>
    </row>
    <row r="1747" spans="1:18" x14ac:dyDescent="0.3">
      <c r="A1747">
        <v>24</v>
      </c>
      <c r="B1747">
        <v>24</v>
      </c>
      <c r="C1747" t="s">
        <v>21</v>
      </c>
      <c r="D1747">
        <v>4.12</v>
      </c>
      <c r="E1747">
        <v>265.73099999999999</v>
      </c>
      <c r="F1747" t="s">
        <v>411</v>
      </c>
      <c r="G1747" s="31">
        <v>0.1</v>
      </c>
      <c r="L1747">
        <v>4</v>
      </c>
      <c r="M1747">
        <v>4</v>
      </c>
      <c r="N1747" t="s">
        <v>38</v>
      </c>
      <c r="O1747">
        <v>1.18</v>
      </c>
      <c r="P1747">
        <v>1559.2249999999999</v>
      </c>
      <c r="Q1747" t="s">
        <v>514</v>
      </c>
      <c r="R1747" s="31">
        <v>0.66</v>
      </c>
    </row>
    <row r="1748" spans="1:18" x14ac:dyDescent="0.3">
      <c r="A1748">
        <v>25</v>
      </c>
      <c r="B1748">
        <v>25</v>
      </c>
      <c r="C1748" t="s">
        <v>22</v>
      </c>
      <c r="D1748">
        <v>3.42</v>
      </c>
      <c r="E1748">
        <v>247.345</v>
      </c>
      <c r="F1748" t="s">
        <v>412</v>
      </c>
      <c r="G1748" s="31">
        <v>2.4900000000000002</v>
      </c>
      <c r="L1748">
        <v>5</v>
      </c>
      <c r="M1748">
        <v>5</v>
      </c>
      <c r="N1748" t="s">
        <v>39</v>
      </c>
      <c r="O1748">
        <v>1.39</v>
      </c>
      <c r="P1748">
        <v>32407.33</v>
      </c>
      <c r="Q1748" t="s">
        <v>515</v>
      </c>
      <c r="R1748" s="31">
        <v>23.18</v>
      </c>
    </row>
    <row r="1749" spans="1:18" x14ac:dyDescent="0.3">
      <c r="A1749">
        <v>26</v>
      </c>
      <c r="B1749">
        <v>26</v>
      </c>
      <c r="C1749" t="s">
        <v>23</v>
      </c>
      <c r="D1749">
        <v>3.35</v>
      </c>
      <c r="E1749">
        <v>48629.082000000002</v>
      </c>
      <c r="F1749" t="s">
        <v>413</v>
      </c>
      <c r="G1749" s="31">
        <v>2.87</v>
      </c>
      <c r="L1749">
        <v>6</v>
      </c>
      <c r="M1749">
        <v>6</v>
      </c>
      <c r="N1749" t="s">
        <v>40</v>
      </c>
      <c r="O1749">
        <v>1.54</v>
      </c>
      <c r="P1749">
        <v>4423.0209999999997</v>
      </c>
      <c r="Q1749" t="s">
        <v>516</v>
      </c>
      <c r="R1749" s="31">
        <v>1.1299999999999999</v>
      </c>
    </row>
    <row r="1750" spans="1:18" x14ac:dyDescent="0.3">
      <c r="A1750">
        <v>27</v>
      </c>
      <c r="B1750">
        <v>27</v>
      </c>
      <c r="C1750" t="s">
        <v>24</v>
      </c>
      <c r="D1750">
        <v>3.44</v>
      </c>
      <c r="E1750">
        <v>8321.0030000000006</v>
      </c>
      <c r="F1750" t="s">
        <v>414</v>
      </c>
      <c r="G1750" s="31">
        <v>4.04</v>
      </c>
      <c r="L1750">
        <v>7</v>
      </c>
      <c r="M1750">
        <v>7</v>
      </c>
      <c r="N1750" t="s">
        <v>41</v>
      </c>
      <c r="O1750">
        <v>2.2599999999999998</v>
      </c>
      <c r="P1750">
        <v>696.83600000000001</v>
      </c>
      <c r="Q1750" t="s">
        <v>517</v>
      </c>
      <c r="R1750" s="31">
        <v>1.81</v>
      </c>
    </row>
    <row r="1751" spans="1:18" x14ac:dyDescent="0.3">
      <c r="A1751">
        <v>28</v>
      </c>
      <c r="B1751">
        <v>28</v>
      </c>
      <c r="C1751" t="s">
        <v>25</v>
      </c>
      <c r="D1751">
        <v>3.52</v>
      </c>
      <c r="E1751">
        <v>14704.316000000001</v>
      </c>
      <c r="F1751" t="s">
        <v>415</v>
      </c>
      <c r="G1751" s="31">
        <v>1.39</v>
      </c>
      <c r="L1751">
        <v>8</v>
      </c>
      <c r="M1751">
        <v>8</v>
      </c>
      <c r="N1751" t="s">
        <v>42</v>
      </c>
      <c r="O1751">
        <v>0.68</v>
      </c>
      <c r="P1751">
        <v>9.2810000000000006</v>
      </c>
      <c r="Q1751" t="s">
        <v>518</v>
      </c>
      <c r="R1751" s="31">
        <v>42.17</v>
      </c>
    </row>
    <row r="1752" spans="1:18" x14ac:dyDescent="0.3">
      <c r="A1752">
        <v>29</v>
      </c>
      <c r="B1752">
        <v>29</v>
      </c>
      <c r="C1752" t="s">
        <v>26</v>
      </c>
      <c r="D1752">
        <v>1.05</v>
      </c>
      <c r="E1752">
        <v>1000.711</v>
      </c>
      <c r="F1752" t="s">
        <v>416</v>
      </c>
      <c r="G1752" s="31">
        <v>0.77</v>
      </c>
      <c r="L1752">
        <v>9</v>
      </c>
      <c r="M1752">
        <v>9</v>
      </c>
      <c r="N1752" t="s">
        <v>43</v>
      </c>
      <c r="O1752">
        <v>2.54</v>
      </c>
      <c r="P1752">
        <v>2191.42</v>
      </c>
      <c r="Q1752" t="s">
        <v>519</v>
      </c>
      <c r="R1752" s="31">
        <v>0.08</v>
      </c>
    </row>
    <row r="1753" spans="1:18" x14ac:dyDescent="0.3">
      <c r="A1753">
        <v>30</v>
      </c>
      <c r="B1753">
        <v>30</v>
      </c>
      <c r="C1753" t="s">
        <v>27</v>
      </c>
      <c r="D1753">
        <v>4.33</v>
      </c>
      <c r="E1753">
        <v>368.173</v>
      </c>
      <c r="F1753" t="s">
        <v>417</v>
      </c>
      <c r="G1753" s="31">
        <v>0.13</v>
      </c>
      <c r="L1753">
        <v>10</v>
      </c>
      <c r="M1753">
        <v>10</v>
      </c>
      <c r="N1753" t="s">
        <v>52</v>
      </c>
      <c r="O1753">
        <v>4.16</v>
      </c>
      <c r="P1753">
        <v>515.89200000000005</v>
      </c>
      <c r="Q1753" t="s">
        <v>520</v>
      </c>
      <c r="R1753" s="31">
        <v>0.1</v>
      </c>
    </row>
    <row r="1754" spans="1:18" x14ac:dyDescent="0.3">
      <c r="A1754">
        <v>31</v>
      </c>
      <c r="B1754">
        <v>31</v>
      </c>
      <c r="C1754" t="s">
        <v>28</v>
      </c>
      <c r="D1754">
        <v>3</v>
      </c>
      <c r="E1754">
        <v>167935.641</v>
      </c>
      <c r="F1754" t="s">
        <v>418</v>
      </c>
      <c r="G1754" s="31">
        <v>0.59</v>
      </c>
      <c r="L1754">
        <v>11</v>
      </c>
      <c r="M1754">
        <v>11</v>
      </c>
      <c r="N1754" t="s">
        <v>44</v>
      </c>
      <c r="O1754">
        <v>4.22</v>
      </c>
      <c r="P1754">
        <v>162.04300000000001</v>
      </c>
      <c r="Q1754" t="s">
        <v>521</v>
      </c>
      <c r="R1754" s="31">
        <v>0.28000000000000003</v>
      </c>
    </row>
    <row r="1755" spans="1:18" x14ac:dyDescent="0.3">
      <c r="A1755">
        <v>32</v>
      </c>
      <c r="B1755">
        <v>32</v>
      </c>
      <c r="C1755" t="s">
        <v>29</v>
      </c>
      <c r="D1755">
        <v>3.36</v>
      </c>
      <c r="E1755">
        <v>788.899</v>
      </c>
      <c r="F1755" t="s">
        <v>419</v>
      </c>
      <c r="G1755" s="31">
        <v>0.08</v>
      </c>
      <c r="L1755">
        <v>12</v>
      </c>
      <c r="M1755">
        <v>12</v>
      </c>
      <c r="N1755" t="s">
        <v>45</v>
      </c>
      <c r="O1755">
        <v>3.45</v>
      </c>
      <c r="P1755">
        <v>207093.68799999999</v>
      </c>
      <c r="Q1755" t="s">
        <v>522</v>
      </c>
      <c r="R1755" s="31">
        <v>0.1</v>
      </c>
    </row>
    <row r="1756" spans="1:18" x14ac:dyDescent="0.3">
      <c r="A1756">
        <v>33</v>
      </c>
      <c r="B1756">
        <v>33</v>
      </c>
      <c r="C1756" t="s">
        <v>30</v>
      </c>
      <c r="D1756">
        <v>4.67</v>
      </c>
      <c r="E1756">
        <v>23640.287</v>
      </c>
      <c r="F1756" t="s">
        <v>420</v>
      </c>
      <c r="G1756" s="31">
        <v>0.51</v>
      </c>
      <c r="L1756">
        <v>13</v>
      </c>
      <c r="M1756">
        <v>13</v>
      </c>
      <c r="N1756" t="s">
        <v>46</v>
      </c>
      <c r="O1756">
        <v>2.6</v>
      </c>
      <c r="P1756">
        <v>138906.42199999999</v>
      </c>
      <c r="Q1756" t="s">
        <v>523</v>
      </c>
      <c r="R1756" s="31">
        <v>15.26</v>
      </c>
    </row>
    <row r="1757" spans="1:18" x14ac:dyDescent="0.3">
      <c r="A1757">
        <v>34</v>
      </c>
      <c r="B1757">
        <v>34</v>
      </c>
      <c r="C1757" t="s">
        <v>31</v>
      </c>
      <c r="D1757">
        <v>3.26</v>
      </c>
      <c r="E1757">
        <v>8828.8389999999999</v>
      </c>
      <c r="F1757" t="s">
        <v>421</v>
      </c>
      <c r="G1757" s="31">
        <v>0.46</v>
      </c>
      <c r="L1757">
        <v>14</v>
      </c>
      <c r="M1757">
        <v>14</v>
      </c>
      <c r="N1757" t="s">
        <v>47</v>
      </c>
      <c r="O1757">
        <v>0.67</v>
      </c>
      <c r="P1757">
        <v>10782.194</v>
      </c>
      <c r="Q1757" t="s">
        <v>524</v>
      </c>
      <c r="R1757" s="31">
        <v>9.42</v>
      </c>
    </row>
    <row r="1758" spans="1:18" x14ac:dyDescent="0.3">
      <c r="A1758">
        <v>35</v>
      </c>
      <c r="B1758">
        <v>35</v>
      </c>
      <c r="C1758" t="s">
        <v>32</v>
      </c>
      <c r="D1758">
        <v>3.06</v>
      </c>
      <c r="E1758">
        <v>352.78199999999998</v>
      </c>
      <c r="F1758" t="s">
        <v>422</v>
      </c>
      <c r="G1758" s="31">
        <v>0.13</v>
      </c>
      <c r="L1758">
        <v>15</v>
      </c>
      <c r="M1758">
        <v>15</v>
      </c>
      <c r="N1758" t="s">
        <v>48</v>
      </c>
      <c r="O1758">
        <v>1.22</v>
      </c>
      <c r="P1758">
        <v>5929.6450000000004</v>
      </c>
      <c r="Q1758" t="s">
        <v>525</v>
      </c>
      <c r="R1758" s="31">
        <v>1.44</v>
      </c>
    </row>
    <row r="1759" spans="1:18" x14ac:dyDescent="0.3">
      <c r="A1759">
        <v>36</v>
      </c>
      <c r="B1759">
        <v>36</v>
      </c>
      <c r="C1759" t="s">
        <v>33</v>
      </c>
      <c r="D1759">
        <v>1.91</v>
      </c>
      <c r="E1759">
        <v>495.55900000000003</v>
      </c>
      <c r="F1759" t="s">
        <v>423</v>
      </c>
      <c r="G1759" s="31">
        <v>0.21</v>
      </c>
      <c r="L1759">
        <v>16</v>
      </c>
      <c r="M1759">
        <v>16</v>
      </c>
      <c r="N1759" t="s">
        <v>53</v>
      </c>
      <c r="O1759">
        <v>4.5599999999999996</v>
      </c>
      <c r="P1759">
        <v>10886.019</v>
      </c>
      <c r="Q1759" t="s">
        <v>526</v>
      </c>
      <c r="R1759" s="31">
        <v>0.27</v>
      </c>
    </row>
    <row r="1760" spans="1:18" x14ac:dyDescent="0.3">
      <c r="G1760" s="31">
        <f>G1737/G1739</f>
        <v>1.962962962962963</v>
      </c>
      <c r="L1760">
        <v>17</v>
      </c>
      <c r="M1760">
        <v>17</v>
      </c>
      <c r="N1760" t="s">
        <v>54</v>
      </c>
      <c r="O1760">
        <v>5.24</v>
      </c>
      <c r="P1760">
        <v>207.161</v>
      </c>
      <c r="Q1760" t="s">
        <v>527</v>
      </c>
      <c r="R1760" s="31">
        <v>0.1</v>
      </c>
    </row>
    <row r="1761" spans="1:18" x14ac:dyDescent="0.3">
      <c r="A1761" t="s">
        <v>379</v>
      </c>
      <c r="L1761">
        <v>18</v>
      </c>
      <c r="M1761">
        <v>18</v>
      </c>
      <c r="N1761" t="s">
        <v>55</v>
      </c>
      <c r="O1761">
        <v>1.31</v>
      </c>
      <c r="P1761">
        <v>1019.965</v>
      </c>
      <c r="Q1761" t="s">
        <v>528</v>
      </c>
      <c r="R1761" s="31">
        <v>0.08</v>
      </c>
    </row>
    <row r="1762" spans="1:18" x14ac:dyDescent="0.3">
      <c r="L1762">
        <v>19</v>
      </c>
      <c r="M1762">
        <v>19</v>
      </c>
      <c r="N1762" t="s">
        <v>56</v>
      </c>
      <c r="O1762">
        <v>0.87</v>
      </c>
      <c r="P1762">
        <v>25301.971000000001</v>
      </c>
      <c r="Q1762" t="s">
        <v>529</v>
      </c>
      <c r="R1762" s="31">
        <v>2.76</v>
      </c>
    </row>
    <row r="1763" spans="1:18" x14ac:dyDescent="0.3">
      <c r="A1763" t="s">
        <v>456</v>
      </c>
      <c r="L1763">
        <v>20</v>
      </c>
      <c r="M1763">
        <v>20</v>
      </c>
      <c r="N1763" t="s">
        <v>57</v>
      </c>
      <c r="O1763">
        <v>1.51</v>
      </c>
      <c r="P1763">
        <v>104.79300000000001</v>
      </c>
      <c r="Q1763" t="s">
        <v>530</v>
      </c>
      <c r="R1763" s="31">
        <v>0.08</v>
      </c>
    </row>
    <row r="1764" spans="1:18" x14ac:dyDescent="0.3">
      <c r="L1764">
        <v>21</v>
      </c>
      <c r="M1764">
        <v>21</v>
      </c>
      <c r="N1764" t="s">
        <v>58</v>
      </c>
      <c r="O1764">
        <v>2.3199999999999998</v>
      </c>
      <c r="P1764">
        <v>98.063000000000002</v>
      </c>
      <c r="Q1764" t="s">
        <v>531</v>
      </c>
      <c r="R1764" s="31">
        <v>0.19</v>
      </c>
    </row>
    <row r="1765" spans="1:18" x14ac:dyDescent="0.3">
      <c r="A1765" t="s">
        <v>464</v>
      </c>
      <c r="L1765">
        <v>22</v>
      </c>
      <c r="M1765">
        <v>22</v>
      </c>
      <c r="N1765" t="s">
        <v>59</v>
      </c>
      <c r="O1765">
        <v>2.5</v>
      </c>
      <c r="P1765">
        <v>6713.2190000000001</v>
      </c>
      <c r="Q1765" t="s">
        <v>532</v>
      </c>
      <c r="R1765" s="31">
        <v>1.77</v>
      </c>
    </row>
    <row r="1766" spans="1:18" x14ac:dyDescent="0.3">
      <c r="L1766">
        <v>23</v>
      </c>
      <c r="M1766">
        <v>23</v>
      </c>
      <c r="N1766" t="s">
        <v>60</v>
      </c>
      <c r="O1766">
        <v>2.58</v>
      </c>
      <c r="P1766">
        <v>7326.4080000000004</v>
      </c>
      <c r="Q1766" t="s">
        <v>533</v>
      </c>
      <c r="R1766" s="31">
        <v>1.48</v>
      </c>
    </row>
    <row r="1767" spans="1:18" x14ac:dyDescent="0.3">
      <c r="B1767" t="s">
        <v>382</v>
      </c>
      <c r="C1767" t="s">
        <v>383</v>
      </c>
      <c r="D1767" t="s">
        <v>384</v>
      </c>
      <c r="E1767" t="s">
        <v>385</v>
      </c>
      <c r="F1767" t="s">
        <v>386</v>
      </c>
      <c r="G1767" s="31" t="s">
        <v>387</v>
      </c>
    </row>
    <row r="1768" spans="1:18" x14ac:dyDescent="0.3">
      <c r="A1768">
        <v>1</v>
      </c>
      <c r="B1768">
        <v>1</v>
      </c>
      <c r="C1768" t="s">
        <v>0</v>
      </c>
      <c r="D1768">
        <v>1.01</v>
      </c>
      <c r="E1768">
        <v>1608.8879999999999</v>
      </c>
      <c r="F1768" t="s">
        <v>388</v>
      </c>
      <c r="G1768" s="31">
        <v>7.46</v>
      </c>
      <c r="L1768" t="s">
        <v>379</v>
      </c>
    </row>
    <row r="1769" spans="1:18" x14ac:dyDescent="0.3">
      <c r="A1769">
        <v>2</v>
      </c>
      <c r="B1769">
        <v>2</v>
      </c>
      <c r="C1769" t="s">
        <v>1</v>
      </c>
      <c r="D1769">
        <v>1.46</v>
      </c>
      <c r="E1769">
        <v>4067.8020000000001</v>
      </c>
      <c r="F1769" t="s">
        <v>389</v>
      </c>
      <c r="G1769" s="31">
        <v>3.68</v>
      </c>
    </row>
    <row r="1770" spans="1:18" x14ac:dyDescent="0.3">
      <c r="A1770">
        <v>3</v>
      </c>
      <c r="B1770">
        <v>3</v>
      </c>
      <c r="C1770" t="s">
        <v>50</v>
      </c>
      <c r="D1770">
        <v>3.58</v>
      </c>
      <c r="E1770">
        <v>661.96100000000001</v>
      </c>
      <c r="F1770" t="s">
        <v>390</v>
      </c>
      <c r="G1770" s="31">
        <v>0.26</v>
      </c>
      <c r="L1770" t="s">
        <v>557</v>
      </c>
    </row>
    <row r="1771" spans="1:18" x14ac:dyDescent="0.3">
      <c r="A1771">
        <v>4</v>
      </c>
      <c r="B1771">
        <v>4</v>
      </c>
      <c r="C1771" t="s">
        <v>2</v>
      </c>
      <c r="D1771">
        <v>3.69</v>
      </c>
      <c r="E1771">
        <v>24193.695</v>
      </c>
      <c r="F1771" t="s">
        <v>391</v>
      </c>
      <c r="G1771" s="31">
        <v>0.89</v>
      </c>
    </row>
    <row r="1772" spans="1:18" x14ac:dyDescent="0.3">
      <c r="A1772">
        <v>5</v>
      </c>
      <c r="B1772">
        <v>5</v>
      </c>
      <c r="C1772" t="s">
        <v>3</v>
      </c>
      <c r="D1772">
        <v>4.5</v>
      </c>
      <c r="E1772">
        <v>156.32900000000001</v>
      </c>
      <c r="F1772" t="s">
        <v>392</v>
      </c>
      <c r="G1772" s="31">
        <v>0.1</v>
      </c>
      <c r="L1772" t="s">
        <v>591</v>
      </c>
    </row>
    <row r="1773" spans="1:18" x14ac:dyDescent="0.3">
      <c r="A1773">
        <v>6</v>
      </c>
      <c r="B1773">
        <v>6</v>
      </c>
      <c r="C1773" t="s">
        <v>4</v>
      </c>
      <c r="D1773">
        <v>4.8</v>
      </c>
      <c r="E1773">
        <v>41754.726999999999</v>
      </c>
      <c r="F1773" t="s">
        <v>393</v>
      </c>
      <c r="G1773" s="31">
        <v>1.17</v>
      </c>
    </row>
    <row r="1774" spans="1:18" x14ac:dyDescent="0.3">
      <c r="A1774">
        <v>7</v>
      </c>
      <c r="B1774">
        <v>7</v>
      </c>
      <c r="C1774" t="s">
        <v>5</v>
      </c>
      <c r="D1774">
        <v>2.71</v>
      </c>
      <c r="E1774">
        <v>2806.7629999999999</v>
      </c>
      <c r="F1774" t="s">
        <v>394</v>
      </c>
      <c r="G1774" s="31">
        <v>0.26</v>
      </c>
      <c r="M1774" t="s">
        <v>382</v>
      </c>
      <c r="N1774" t="s">
        <v>383</v>
      </c>
      <c r="O1774" t="s">
        <v>384</v>
      </c>
      <c r="P1774" t="s">
        <v>385</v>
      </c>
      <c r="Q1774" t="s">
        <v>386</v>
      </c>
      <c r="R1774" s="31" t="s">
        <v>387</v>
      </c>
    </row>
    <row r="1775" spans="1:18" x14ac:dyDescent="0.3">
      <c r="A1775">
        <v>8</v>
      </c>
      <c r="B1775">
        <v>8</v>
      </c>
      <c r="C1775" t="s">
        <v>6</v>
      </c>
      <c r="D1775">
        <v>0.67</v>
      </c>
      <c r="E1775">
        <v>4337.9309999999996</v>
      </c>
      <c r="F1775" t="s">
        <v>395</v>
      </c>
      <c r="G1775" s="31">
        <v>29.98</v>
      </c>
      <c r="L1775">
        <v>1</v>
      </c>
      <c r="M1775">
        <v>1</v>
      </c>
      <c r="N1775" t="s">
        <v>35</v>
      </c>
      <c r="Q1775" t="s">
        <v>511</v>
      </c>
      <c r="R1775" s="31">
        <v>0.1</v>
      </c>
    </row>
    <row r="1776" spans="1:18" x14ac:dyDescent="0.3">
      <c r="A1776">
        <v>9</v>
      </c>
      <c r="B1776">
        <v>9</v>
      </c>
      <c r="C1776" t="s">
        <v>7</v>
      </c>
      <c r="D1776">
        <v>3.56</v>
      </c>
      <c r="E1776">
        <v>492.16800000000001</v>
      </c>
      <c r="F1776" t="s">
        <v>396</v>
      </c>
      <c r="G1776" s="31">
        <v>0.8</v>
      </c>
      <c r="L1776">
        <v>2</v>
      </c>
      <c r="M1776">
        <v>2</v>
      </c>
      <c r="N1776" t="s">
        <v>36</v>
      </c>
      <c r="O1776">
        <v>1.67</v>
      </c>
      <c r="P1776">
        <v>109.31699999999999</v>
      </c>
      <c r="Q1776" t="s">
        <v>512</v>
      </c>
      <c r="R1776" s="31">
        <v>427.82</v>
      </c>
    </row>
    <row r="1777" spans="1:18" x14ac:dyDescent="0.3">
      <c r="A1777">
        <v>10</v>
      </c>
      <c r="B1777">
        <v>10</v>
      </c>
      <c r="C1777" t="s">
        <v>51</v>
      </c>
      <c r="D1777">
        <v>4.7699999999999996</v>
      </c>
      <c r="E1777">
        <v>427.096</v>
      </c>
      <c r="F1777" t="s">
        <v>397</v>
      </c>
      <c r="G1777" s="31">
        <v>0.05</v>
      </c>
      <c r="L1777">
        <v>3</v>
      </c>
      <c r="M1777">
        <v>3</v>
      </c>
      <c r="N1777" t="s">
        <v>37</v>
      </c>
      <c r="Q1777" t="s">
        <v>513</v>
      </c>
      <c r="R1777" s="31">
        <v>0.1</v>
      </c>
    </row>
    <row r="1778" spans="1:18" x14ac:dyDescent="0.3">
      <c r="A1778">
        <v>11</v>
      </c>
      <c r="B1778">
        <v>11</v>
      </c>
      <c r="C1778" t="s">
        <v>8</v>
      </c>
      <c r="D1778">
        <v>2.74</v>
      </c>
      <c r="E1778">
        <v>50375.722999999998</v>
      </c>
      <c r="F1778" t="s">
        <v>398</v>
      </c>
      <c r="G1778" s="31">
        <v>1.56</v>
      </c>
      <c r="L1778">
        <v>4</v>
      </c>
      <c r="M1778">
        <v>4</v>
      </c>
      <c r="N1778" t="s">
        <v>38</v>
      </c>
      <c r="O1778">
        <v>1.25</v>
      </c>
      <c r="P1778">
        <v>179.71899999999999</v>
      </c>
      <c r="Q1778" t="s">
        <v>514</v>
      </c>
      <c r="R1778" s="31">
        <v>0.85</v>
      </c>
    </row>
    <row r="1779" spans="1:18" x14ac:dyDescent="0.3">
      <c r="A1779">
        <v>12</v>
      </c>
      <c r="B1779">
        <v>12</v>
      </c>
      <c r="C1779" t="s">
        <v>9</v>
      </c>
      <c r="D1779">
        <v>2.63</v>
      </c>
      <c r="E1779">
        <v>5908.5929999999998</v>
      </c>
      <c r="F1779" t="s">
        <v>399</v>
      </c>
      <c r="G1779" s="31">
        <v>1.24</v>
      </c>
      <c r="L1779">
        <v>5</v>
      </c>
      <c r="M1779">
        <v>5</v>
      </c>
      <c r="N1779" t="s">
        <v>39</v>
      </c>
      <c r="O1779">
        <v>1.36</v>
      </c>
      <c r="P1779">
        <v>79.97</v>
      </c>
      <c r="Q1779" t="s">
        <v>515</v>
      </c>
      <c r="R1779" s="31">
        <v>45.93</v>
      </c>
    </row>
    <row r="1780" spans="1:18" x14ac:dyDescent="0.3">
      <c r="A1780">
        <v>13</v>
      </c>
      <c r="B1780">
        <v>13</v>
      </c>
      <c r="C1780" t="s">
        <v>10</v>
      </c>
      <c r="D1780">
        <v>4.09</v>
      </c>
      <c r="E1780">
        <v>860678.625</v>
      </c>
      <c r="F1780" t="s">
        <v>400</v>
      </c>
      <c r="G1780" s="31">
        <v>41.07</v>
      </c>
      <c r="L1780">
        <v>6</v>
      </c>
      <c r="M1780">
        <v>6</v>
      </c>
      <c r="N1780" t="s">
        <v>40</v>
      </c>
      <c r="Q1780" t="s">
        <v>516</v>
      </c>
      <c r="R1780" s="31">
        <v>0.1</v>
      </c>
    </row>
    <row r="1781" spans="1:18" x14ac:dyDescent="0.3">
      <c r="A1781">
        <v>14</v>
      </c>
      <c r="B1781">
        <v>14</v>
      </c>
      <c r="C1781" t="s">
        <v>11</v>
      </c>
      <c r="D1781">
        <v>3.52</v>
      </c>
      <c r="E1781">
        <v>13.98</v>
      </c>
      <c r="F1781" t="s">
        <v>401</v>
      </c>
      <c r="G1781" s="31">
        <v>1.02</v>
      </c>
      <c r="L1781">
        <v>7</v>
      </c>
      <c r="M1781">
        <v>7</v>
      </c>
      <c r="N1781" t="s">
        <v>41</v>
      </c>
      <c r="Q1781" t="s">
        <v>517</v>
      </c>
      <c r="R1781" s="31">
        <v>0.1</v>
      </c>
    </row>
    <row r="1782" spans="1:18" x14ac:dyDescent="0.3">
      <c r="A1782">
        <v>15</v>
      </c>
      <c r="B1782">
        <v>15</v>
      </c>
      <c r="C1782" t="s">
        <v>12</v>
      </c>
      <c r="D1782">
        <v>3.33</v>
      </c>
      <c r="E1782">
        <v>371.47800000000001</v>
      </c>
      <c r="F1782" t="s">
        <v>402</v>
      </c>
      <c r="G1782" s="31">
        <v>0.97</v>
      </c>
      <c r="L1782">
        <v>8</v>
      </c>
      <c r="M1782">
        <v>8</v>
      </c>
      <c r="N1782" t="s">
        <v>42</v>
      </c>
      <c r="Q1782" t="s">
        <v>518</v>
      </c>
      <c r="R1782" s="31">
        <v>0.1</v>
      </c>
    </row>
    <row r="1783" spans="1:18" x14ac:dyDescent="0.3">
      <c r="A1783">
        <v>16</v>
      </c>
      <c r="B1783">
        <v>16</v>
      </c>
      <c r="C1783" t="s">
        <v>13</v>
      </c>
      <c r="D1783">
        <v>3.23</v>
      </c>
      <c r="E1783">
        <v>7663.9129999999996</v>
      </c>
      <c r="F1783" t="s">
        <v>403</v>
      </c>
      <c r="G1783" s="31">
        <v>0.88</v>
      </c>
      <c r="L1783">
        <v>9</v>
      </c>
      <c r="M1783">
        <v>9</v>
      </c>
      <c r="N1783" t="s">
        <v>43</v>
      </c>
      <c r="O1783">
        <v>2.72</v>
      </c>
      <c r="P1783">
        <v>3.02</v>
      </c>
      <c r="Q1783" t="s">
        <v>519</v>
      </c>
      <c r="R1783" s="31">
        <v>0.11</v>
      </c>
    </row>
    <row r="1784" spans="1:18" x14ac:dyDescent="0.3">
      <c r="A1784">
        <v>17</v>
      </c>
      <c r="B1784">
        <v>17</v>
      </c>
      <c r="C1784" t="s">
        <v>14</v>
      </c>
      <c r="D1784">
        <v>2.02</v>
      </c>
      <c r="E1784">
        <v>53170.18</v>
      </c>
      <c r="F1784" t="s">
        <v>404</v>
      </c>
      <c r="G1784" s="31">
        <v>4.75</v>
      </c>
      <c r="L1784">
        <v>10</v>
      </c>
      <c r="M1784">
        <v>10</v>
      </c>
      <c r="N1784" t="s">
        <v>52</v>
      </c>
      <c r="O1784">
        <v>4.16</v>
      </c>
      <c r="P1784">
        <v>4.359</v>
      </c>
      <c r="Q1784" t="s">
        <v>520</v>
      </c>
      <c r="R1784" s="31">
        <v>0.1</v>
      </c>
    </row>
    <row r="1785" spans="1:18" x14ac:dyDescent="0.3">
      <c r="A1785">
        <v>18</v>
      </c>
      <c r="B1785">
        <v>18</v>
      </c>
      <c r="C1785" t="s">
        <v>15</v>
      </c>
      <c r="D1785">
        <v>2.5</v>
      </c>
      <c r="E1785">
        <v>32418.123</v>
      </c>
      <c r="F1785" t="s">
        <v>405</v>
      </c>
      <c r="G1785" s="31">
        <v>9.1</v>
      </c>
      <c r="L1785">
        <v>11</v>
      </c>
      <c r="M1785">
        <v>11</v>
      </c>
      <c r="N1785" t="s">
        <v>44</v>
      </c>
      <c r="Q1785" t="s">
        <v>521</v>
      </c>
      <c r="R1785" s="31">
        <v>0.1</v>
      </c>
    </row>
    <row r="1786" spans="1:18" x14ac:dyDescent="0.3">
      <c r="A1786">
        <v>19</v>
      </c>
      <c r="B1786">
        <v>19</v>
      </c>
      <c r="C1786" t="s">
        <v>16</v>
      </c>
      <c r="D1786">
        <v>2.71</v>
      </c>
      <c r="E1786">
        <v>3725.67</v>
      </c>
      <c r="F1786" t="s">
        <v>406</v>
      </c>
      <c r="G1786" s="31">
        <v>0.14000000000000001</v>
      </c>
      <c r="L1786">
        <v>12</v>
      </c>
      <c r="M1786">
        <v>12</v>
      </c>
      <c r="N1786" t="s">
        <v>45</v>
      </c>
      <c r="O1786">
        <v>3.52</v>
      </c>
      <c r="P1786">
        <v>231.34299999999999</v>
      </c>
      <c r="Q1786" t="s">
        <v>522</v>
      </c>
      <c r="R1786" s="31">
        <v>0.1</v>
      </c>
    </row>
    <row r="1787" spans="1:18" x14ac:dyDescent="0.3">
      <c r="A1787">
        <v>20</v>
      </c>
      <c r="B1787">
        <v>20</v>
      </c>
      <c r="C1787" t="s">
        <v>17</v>
      </c>
      <c r="D1787">
        <v>3.13</v>
      </c>
      <c r="E1787">
        <v>11042.083000000001</v>
      </c>
      <c r="F1787" t="s">
        <v>407</v>
      </c>
      <c r="G1787" s="31">
        <v>1.24</v>
      </c>
      <c r="L1787">
        <v>13</v>
      </c>
      <c r="M1787">
        <v>13</v>
      </c>
      <c r="N1787" t="s">
        <v>46</v>
      </c>
      <c r="O1787">
        <v>2.57</v>
      </c>
      <c r="P1787">
        <v>2834.95</v>
      </c>
      <c r="Q1787" t="s">
        <v>523</v>
      </c>
      <c r="R1787" s="31">
        <v>0.1</v>
      </c>
    </row>
    <row r="1788" spans="1:18" x14ac:dyDescent="0.3">
      <c r="A1788">
        <v>21</v>
      </c>
      <c r="B1788">
        <v>21</v>
      </c>
      <c r="C1788" t="s">
        <v>18</v>
      </c>
      <c r="D1788">
        <v>3.68</v>
      </c>
      <c r="E1788">
        <v>16061.554</v>
      </c>
      <c r="F1788" t="s">
        <v>408</v>
      </c>
      <c r="G1788" s="31">
        <v>0.43</v>
      </c>
      <c r="L1788">
        <v>14</v>
      </c>
      <c r="M1788">
        <v>14</v>
      </c>
      <c r="N1788" t="s">
        <v>47</v>
      </c>
      <c r="Q1788" t="s">
        <v>524</v>
      </c>
      <c r="R1788" s="31">
        <v>0.1</v>
      </c>
    </row>
    <row r="1789" spans="1:18" x14ac:dyDescent="0.3">
      <c r="A1789">
        <v>22</v>
      </c>
      <c r="B1789">
        <v>22</v>
      </c>
      <c r="C1789" t="s">
        <v>19</v>
      </c>
      <c r="D1789">
        <v>2.63</v>
      </c>
      <c r="E1789">
        <v>39046.292999999998</v>
      </c>
      <c r="F1789" t="s">
        <v>409</v>
      </c>
      <c r="G1789" s="31">
        <v>2.52</v>
      </c>
      <c r="L1789">
        <v>15</v>
      </c>
      <c r="M1789">
        <v>15</v>
      </c>
      <c r="N1789" t="s">
        <v>48</v>
      </c>
      <c r="O1789">
        <v>1.25</v>
      </c>
      <c r="P1789">
        <v>185.06800000000001</v>
      </c>
      <c r="Q1789" t="s">
        <v>525</v>
      </c>
      <c r="R1789" s="31">
        <v>0.1</v>
      </c>
    </row>
    <row r="1790" spans="1:18" x14ac:dyDescent="0.3">
      <c r="A1790">
        <v>23</v>
      </c>
      <c r="B1790">
        <v>23</v>
      </c>
      <c r="C1790" t="s">
        <v>20</v>
      </c>
      <c r="D1790">
        <v>2.88</v>
      </c>
      <c r="E1790">
        <v>25471.565999999999</v>
      </c>
      <c r="F1790" t="s">
        <v>410</v>
      </c>
      <c r="G1790" s="31">
        <v>0.93</v>
      </c>
      <c r="L1790">
        <v>16</v>
      </c>
      <c r="M1790">
        <v>16</v>
      </c>
      <c r="N1790" t="s">
        <v>53</v>
      </c>
      <c r="O1790">
        <v>4.63</v>
      </c>
      <c r="P1790">
        <v>60.133000000000003</v>
      </c>
      <c r="Q1790" t="s">
        <v>526</v>
      </c>
      <c r="R1790" s="31">
        <v>0.1</v>
      </c>
    </row>
    <row r="1791" spans="1:18" x14ac:dyDescent="0.3">
      <c r="A1791">
        <v>24</v>
      </c>
      <c r="B1791">
        <v>24</v>
      </c>
      <c r="C1791" t="s">
        <v>21</v>
      </c>
      <c r="D1791">
        <v>4.16</v>
      </c>
      <c r="E1791">
        <v>72.825999999999993</v>
      </c>
      <c r="F1791" t="s">
        <v>411</v>
      </c>
      <c r="G1791" s="31">
        <v>0.1</v>
      </c>
      <c r="L1791">
        <v>17</v>
      </c>
      <c r="M1791">
        <v>17</v>
      </c>
      <c r="N1791" t="s">
        <v>54</v>
      </c>
      <c r="O1791">
        <v>5.26</v>
      </c>
      <c r="P1791">
        <v>14.224</v>
      </c>
      <c r="Q1791" t="s">
        <v>527</v>
      </c>
      <c r="R1791" s="31">
        <v>0.1</v>
      </c>
    </row>
    <row r="1792" spans="1:18" x14ac:dyDescent="0.3">
      <c r="A1792">
        <v>25</v>
      </c>
      <c r="B1792">
        <v>25</v>
      </c>
      <c r="C1792" t="s">
        <v>22</v>
      </c>
      <c r="D1792">
        <v>3.41</v>
      </c>
      <c r="E1792">
        <v>290.21699999999998</v>
      </c>
      <c r="F1792" t="s">
        <v>412</v>
      </c>
      <c r="G1792" s="31">
        <v>2.5299999999999998</v>
      </c>
      <c r="L1792">
        <v>18</v>
      </c>
      <c r="M1792">
        <v>18</v>
      </c>
      <c r="N1792" t="s">
        <v>55</v>
      </c>
      <c r="Q1792" t="s">
        <v>528</v>
      </c>
      <c r="R1792" s="31">
        <v>0.1</v>
      </c>
    </row>
    <row r="1793" spans="1:18" x14ac:dyDescent="0.3">
      <c r="A1793">
        <v>26</v>
      </c>
      <c r="B1793">
        <v>26</v>
      </c>
      <c r="C1793" t="s">
        <v>23</v>
      </c>
      <c r="D1793">
        <v>3.35</v>
      </c>
      <c r="E1793">
        <v>28254.254000000001</v>
      </c>
      <c r="F1793" t="s">
        <v>413</v>
      </c>
      <c r="G1793" s="31">
        <v>1.67</v>
      </c>
      <c r="L1793">
        <v>19</v>
      </c>
      <c r="M1793">
        <v>19</v>
      </c>
      <c r="N1793" t="s">
        <v>56</v>
      </c>
      <c r="O1793">
        <v>0.88</v>
      </c>
      <c r="P1793">
        <v>75.573999999999998</v>
      </c>
      <c r="Q1793" t="s">
        <v>529</v>
      </c>
      <c r="R1793" s="31">
        <v>0.1</v>
      </c>
    </row>
    <row r="1794" spans="1:18" x14ac:dyDescent="0.3">
      <c r="A1794">
        <v>27</v>
      </c>
      <c r="B1794">
        <v>27</v>
      </c>
      <c r="C1794" t="s">
        <v>24</v>
      </c>
      <c r="D1794">
        <v>3.45</v>
      </c>
      <c r="E1794">
        <v>199.422</v>
      </c>
      <c r="F1794" t="s">
        <v>414</v>
      </c>
      <c r="G1794" s="31">
        <v>0.1</v>
      </c>
      <c r="L1794">
        <v>20</v>
      </c>
      <c r="M1794">
        <v>20</v>
      </c>
      <c r="N1794" t="s">
        <v>57</v>
      </c>
      <c r="Q1794" t="s">
        <v>530</v>
      </c>
      <c r="R1794" s="31">
        <v>0.1</v>
      </c>
    </row>
    <row r="1795" spans="1:18" x14ac:dyDescent="0.3">
      <c r="A1795">
        <v>28</v>
      </c>
      <c r="B1795">
        <v>28</v>
      </c>
      <c r="C1795" t="s">
        <v>25</v>
      </c>
      <c r="D1795">
        <v>3.51</v>
      </c>
      <c r="E1795">
        <v>3958.6819999999998</v>
      </c>
      <c r="F1795" t="s">
        <v>415</v>
      </c>
      <c r="G1795" s="31">
        <v>0.46</v>
      </c>
      <c r="L1795">
        <v>21</v>
      </c>
      <c r="M1795">
        <v>21</v>
      </c>
      <c r="N1795" t="s">
        <v>58</v>
      </c>
      <c r="Q1795" t="s">
        <v>531</v>
      </c>
      <c r="R1795" s="31">
        <v>0.1</v>
      </c>
    </row>
    <row r="1796" spans="1:18" x14ac:dyDescent="0.3">
      <c r="A1796">
        <v>29</v>
      </c>
      <c r="B1796">
        <v>29</v>
      </c>
      <c r="C1796" t="s">
        <v>26</v>
      </c>
      <c r="D1796">
        <v>1.06</v>
      </c>
      <c r="E1796">
        <v>651.48099999999999</v>
      </c>
      <c r="F1796" t="s">
        <v>416</v>
      </c>
      <c r="G1796" s="31">
        <v>0.56999999999999995</v>
      </c>
      <c r="L1796">
        <v>22</v>
      </c>
      <c r="M1796">
        <v>22</v>
      </c>
      <c r="N1796" t="s">
        <v>59</v>
      </c>
      <c r="Q1796" t="s">
        <v>532</v>
      </c>
      <c r="R1796" s="31">
        <v>0.1</v>
      </c>
    </row>
    <row r="1797" spans="1:18" x14ac:dyDescent="0.3">
      <c r="A1797">
        <v>30</v>
      </c>
      <c r="B1797">
        <v>30</v>
      </c>
      <c r="C1797" t="s">
        <v>27</v>
      </c>
      <c r="D1797">
        <v>4.33</v>
      </c>
      <c r="E1797">
        <v>429.23</v>
      </c>
      <c r="F1797" t="s">
        <v>417</v>
      </c>
      <c r="G1797" s="31">
        <v>0.13</v>
      </c>
      <c r="L1797">
        <v>23</v>
      </c>
      <c r="M1797">
        <v>23</v>
      </c>
      <c r="N1797" t="s">
        <v>60</v>
      </c>
      <c r="O1797">
        <v>2.59</v>
      </c>
      <c r="P1797">
        <v>232.143</v>
      </c>
      <c r="Q1797" t="s">
        <v>533</v>
      </c>
      <c r="R1797" s="31">
        <v>2.13</v>
      </c>
    </row>
    <row r="1798" spans="1:18" x14ac:dyDescent="0.3">
      <c r="A1798">
        <v>31</v>
      </c>
      <c r="B1798">
        <v>31</v>
      </c>
      <c r="C1798" t="s">
        <v>28</v>
      </c>
      <c r="D1798">
        <v>3</v>
      </c>
      <c r="E1798">
        <v>68133.758000000002</v>
      </c>
      <c r="F1798" t="s">
        <v>418</v>
      </c>
      <c r="G1798" s="31">
        <v>0.17</v>
      </c>
    </row>
    <row r="1799" spans="1:18" x14ac:dyDescent="0.3">
      <c r="A1799">
        <v>32</v>
      </c>
      <c r="B1799">
        <v>32</v>
      </c>
      <c r="C1799" t="s">
        <v>29</v>
      </c>
      <c r="D1799">
        <v>3.35</v>
      </c>
      <c r="E1799">
        <v>406.80200000000002</v>
      </c>
      <c r="F1799" t="s">
        <v>419</v>
      </c>
      <c r="G1799" s="31">
        <v>0.05</v>
      </c>
      <c r="L1799" t="s">
        <v>379</v>
      </c>
    </row>
    <row r="1800" spans="1:18" x14ac:dyDescent="0.3">
      <c r="A1800">
        <v>33</v>
      </c>
      <c r="B1800">
        <v>33</v>
      </c>
      <c r="C1800" t="s">
        <v>30</v>
      </c>
      <c r="D1800">
        <v>4.67</v>
      </c>
      <c r="E1800">
        <v>33908.258000000002</v>
      </c>
      <c r="F1800" t="s">
        <v>420</v>
      </c>
      <c r="G1800" s="31">
        <v>0.59</v>
      </c>
    </row>
    <row r="1801" spans="1:18" x14ac:dyDescent="0.3">
      <c r="A1801">
        <v>34</v>
      </c>
      <c r="B1801">
        <v>34</v>
      </c>
      <c r="C1801" t="s">
        <v>31</v>
      </c>
      <c r="D1801">
        <v>3.26</v>
      </c>
      <c r="E1801">
        <v>8154.6880000000001</v>
      </c>
      <c r="F1801" t="s">
        <v>421</v>
      </c>
      <c r="G1801" s="31">
        <v>0.41</v>
      </c>
      <c r="L1801" t="s">
        <v>557</v>
      </c>
    </row>
    <row r="1802" spans="1:18" x14ac:dyDescent="0.3">
      <c r="A1802">
        <v>35</v>
      </c>
      <c r="B1802">
        <v>35</v>
      </c>
      <c r="C1802" t="s">
        <v>32</v>
      </c>
      <c r="D1802">
        <v>3.05</v>
      </c>
      <c r="E1802">
        <v>153.08699999999999</v>
      </c>
      <c r="F1802" t="s">
        <v>422</v>
      </c>
      <c r="G1802" s="31">
        <v>0.11</v>
      </c>
    </row>
    <row r="1803" spans="1:18" x14ac:dyDescent="0.3">
      <c r="A1803">
        <v>36</v>
      </c>
      <c r="B1803">
        <v>36</v>
      </c>
      <c r="C1803" t="s">
        <v>33</v>
      </c>
      <c r="D1803">
        <v>1.89</v>
      </c>
      <c r="E1803">
        <v>3828.299</v>
      </c>
      <c r="F1803" t="s">
        <v>423</v>
      </c>
      <c r="G1803" s="31">
        <v>1.52</v>
      </c>
      <c r="L1803" t="s">
        <v>592</v>
      </c>
    </row>
    <row r="1804" spans="1:18" x14ac:dyDescent="0.3">
      <c r="G1804" s="31">
        <f>G1781/G1783</f>
        <v>1.1590909090909092</v>
      </c>
    </row>
    <row r="1805" spans="1:18" x14ac:dyDescent="0.3">
      <c r="A1805" t="s">
        <v>379</v>
      </c>
      <c r="M1805" t="s">
        <v>382</v>
      </c>
      <c r="N1805" t="s">
        <v>383</v>
      </c>
      <c r="O1805" t="s">
        <v>384</v>
      </c>
      <c r="P1805" t="s">
        <v>385</v>
      </c>
      <c r="Q1805" t="s">
        <v>386</v>
      </c>
      <c r="R1805" s="31" t="s">
        <v>387</v>
      </c>
    </row>
    <row r="1806" spans="1:18" x14ac:dyDescent="0.3">
      <c r="L1806">
        <v>1</v>
      </c>
      <c r="M1806">
        <v>1</v>
      </c>
      <c r="N1806" t="s">
        <v>35</v>
      </c>
      <c r="O1806">
        <v>1.43</v>
      </c>
      <c r="P1806">
        <v>5576.14</v>
      </c>
      <c r="Q1806" t="s">
        <v>511</v>
      </c>
      <c r="R1806" s="31">
        <v>5.92</v>
      </c>
    </row>
    <row r="1807" spans="1:18" x14ac:dyDescent="0.3">
      <c r="A1807" t="s">
        <v>456</v>
      </c>
      <c r="L1807">
        <v>2</v>
      </c>
      <c r="M1807">
        <v>2</v>
      </c>
      <c r="N1807" t="s">
        <v>36</v>
      </c>
      <c r="O1807">
        <v>1.65</v>
      </c>
      <c r="P1807">
        <v>2453750.75</v>
      </c>
      <c r="Q1807" t="s">
        <v>512</v>
      </c>
      <c r="R1807" s="31">
        <v>199.35</v>
      </c>
    </row>
    <row r="1808" spans="1:18" x14ac:dyDescent="0.3">
      <c r="L1808">
        <v>3</v>
      </c>
      <c r="M1808">
        <v>3</v>
      </c>
      <c r="N1808" t="s">
        <v>37</v>
      </c>
      <c r="O1808">
        <v>1.8</v>
      </c>
      <c r="P1808">
        <v>1975.145</v>
      </c>
      <c r="Q1808" t="s">
        <v>513</v>
      </c>
      <c r="R1808" s="31">
        <v>0.28000000000000003</v>
      </c>
    </row>
    <row r="1809" spans="1:18" x14ac:dyDescent="0.3">
      <c r="A1809" t="s">
        <v>465</v>
      </c>
      <c r="L1809">
        <v>4</v>
      </c>
      <c r="M1809">
        <v>4</v>
      </c>
      <c r="N1809" t="s">
        <v>38</v>
      </c>
      <c r="O1809">
        <v>1.17</v>
      </c>
      <c r="P1809">
        <v>9152.5239999999994</v>
      </c>
      <c r="Q1809" t="s">
        <v>514</v>
      </c>
      <c r="R1809" s="31">
        <v>0.91</v>
      </c>
    </row>
    <row r="1810" spans="1:18" x14ac:dyDescent="0.3">
      <c r="L1810">
        <v>5</v>
      </c>
      <c r="M1810">
        <v>5</v>
      </c>
      <c r="N1810" t="s">
        <v>39</v>
      </c>
      <c r="O1810">
        <v>1.37</v>
      </c>
      <c r="P1810">
        <v>445298.90600000002</v>
      </c>
      <c r="Q1810" t="s">
        <v>515</v>
      </c>
      <c r="R1810" s="31">
        <v>51.7</v>
      </c>
    </row>
    <row r="1811" spans="1:18" x14ac:dyDescent="0.3">
      <c r="B1811" t="s">
        <v>382</v>
      </c>
      <c r="C1811" t="s">
        <v>383</v>
      </c>
      <c r="D1811" t="s">
        <v>384</v>
      </c>
      <c r="E1811" t="s">
        <v>385</v>
      </c>
      <c r="F1811" t="s">
        <v>386</v>
      </c>
      <c r="G1811" s="31" t="s">
        <v>387</v>
      </c>
      <c r="L1811">
        <v>6</v>
      </c>
      <c r="M1811">
        <v>6</v>
      </c>
      <c r="N1811" t="s">
        <v>40</v>
      </c>
      <c r="O1811">
        <v>1.51</v>
      </c>
      <c r="P1811">
        <v>32784.480000000003</v>
      </c>
      <c r="Q1811" t="s">
        <v>516</v>
      </c>
      <c r="R1811" s="31">
        <v>2.23</v>
      </c>
    </row>
    <row r="1812" spans="1:18" x14ac:dyDescent="0.3">
      <c r="A1812">
        <v>1</v>
      </c>
      <c r="B1812">
        <v>1</v>
      </c>
      <c r="C1812" t="s">
        <v>0</v>
      </c>
      <c r="D1812">
        <v>1</v>
      </c>
      <c r="E1812">
        <v>445.113</v>
      </c>
      <c r="F1812" t="s">
        <v>388</v>
      </c>
      <c r="G1812" s="31">
        <v>3.8</v>
      </c>
      <c r="L1812">
        <v>7</v>
      </c>
      <c r="M1812">
        <v>7</v>
      </c>
      <c r="N1812" t="s">
        <v>41</v>
      </c>
      <c r="O1812">
        <v>2.29</v>
      </c>
      <c r="P1812">
        <v>8657.1389999999992</v>
      </c>
      <c r="Q1812" t="s">
        <v>517</v>
      </c>
      <c r="R1812" s="31">
        <v>5.27</v>
      </c>
    </row>
    <row r="1813" spans="1:18" x14ac:dyDescent="0.3">
      <c r="A1813">
        <v>2</v>
      </c>
      <c r="B1813">
        <v>2</v>
      </c>
      <c r="C1813" t="s">
        <v>1</v>
      </c>
      <c r="D1813">
        <v>1.45</v>
      </c>
      <c r="E1813">
        <v>2936.4360000000001</v>
      </c>
      <c r="F1813" t="s">
        <v>389</v>
      </c>
      <c r="G1813" s="31">
        <v>5.6</v>
      </c>
      <c r="L1813">
        <v>8</v>
      </c>
      <c r="M1813">
        <v>8</v>
      </c>
      <c r="N1813" t="s">
        <v>42</v>
      </c>
      <c r="O1813">
        <v>0.88</v>
      </c>
      <c r="P1813">
        <v>2522.357</v>
      </c>
      <c r="Q1813" t="s">
        <v>518</v>
      </c>
      <c r="R1813" s="31">
        <v>13.64</v>
      </c>
    </row>
    <row r="1814" spans="1:18" x14ac:dyDescent="0.3">
      <c r="A1814">
        <v>3</v>
      </c>
      <c r="B1814">
        <v>3</v>
      </c>
      <c r="C1814" t="s">
        <v>50</v>
      </c>
      <c r="D1814">
        <v>3.82</v>
      </c>
      <c r="E1814">
        <v>70.272999999999996</v>
      </c>
      <c r="F1814" t="s">
        <v>390</v>
      </c>
      <c r="G1814" s="31">
        <v>0.09</v>
      </c>
      <c r="L1814">
        <v>9</v>
      </c>
      <c r="M1814">
        <v>9</v>
      </c>
      <c r="N1814" t="s">
        <v>43</v>
      </c>
      <c r="O1814">
        <v>2.54</v>
      </c>
      <c r="P1814">
        <v>27108.951000000001</v>
      </c>
      <c r="Q1814" t="s">
        <v>519</v>
      </c>
      <c r="R1814" s="31">
        <v>0.28000000000000003</v>
      </c>
    </row>
    <row r="1815" spans="1:18" x14ac:dyDescent="0.3">
      <c r="A1815">
        <v>4</v>
      </c>
      <c r="B1815">
        <v>4</v>
      </c>
      <c r="C1815" t="s">
        <v>2</v>
      </c>
      <c r="D1815">
        <v>3.69</v>
      </c>
      <c r="E1815">
        <v>5056.0649999999996</v>
      </c>
      <c r="F1815" t="s">
        <v>391</v>
      </c>
      <c r="G1815" s="31">
        <v>0.47</v>
      </c>
      <c r="L1815">
        <v>10</v>
      </c>
      <c r="M1815">
        <v>10</v>
      </c>
      <c r="N1815" t="s">
        <v>52</v>
      </c>
      <c r="O1815">
        <v>4.1100000000000003</v>
      </c>
      <c r="P1815">
        <v>10705.281000000001</v>
      </c>
      <c r="Q1815" t="s">
        <v>520</v>
      </c>
      <c r="R1815" s="31">
        <v>0.28999999999999998</v>
      </c>
    </row>
    <row r="1816" spans="1:18" x14ac:dyDescent="0.3">
      <c r="A1816">
        <v>5</v>
      </c>
      <c r="B1816">
        <v>5</v>
      </c>
      <c r="C1816" t="s">
        <v>3</v>
      </c>
      <c r="D1816">
        <v>4.47</v>
      </c>
      <c r="E1816">
        <v>420.88</v>
      </c>
      <c r="F1816" t="s">
        <v>392</v>
      </c>
      <c r="G1816" s="31">
        <v>0.64</v>
      </c>
      <c r="L1816">
        <v>11</v>
      </c>
      <c r="M1816">
        <v>11</v>
      </c>
      <c r="N1816" t="s">
        <v>44</v>
      </c>
      <c r="O1816">
        <v>4.17</v>
      </c>
      <c r="P1816">
        <v>2921.797</v>
      </c>
      <c r="Q1816" t="s">
        <v>521</v>
      </c>
      <c r="R1816" s="31">
        <v>0.28000000000000003</v>
      </c>
    </row>
    <row r="1817" spans="1:18" x14ac:dyDescent="0.3">
      <c r="A1817">
        <v>6</v>
      </c>
      <c r="B1817">
        <v>6</v>
      </c>
      <c r="C1817" t="s">
        <v>4</v>
      </c>
      <c r="D1817">
        <v>4.8</v>
      </c>
      <c r="E1817">
        <v>5453.2030000000004</v>
      </c>
      <c r="F1817" t="s">
        <v>393</v>
      </c>
      <c r="G1817" s="31">
        <v>0.62</v>
      </c>
      <c r="L1817">
        <v>12</v>
      </c>
      <c r="M1817">
        <v>12</v>
      </c>
      <c r="N1817" t="s">
        <v>45</v>
      </c>
      <c r="O1817">
        <v>3.44</v>
      </c>
      <c r="P1817">
        <v>1975681.375</v>
      </c>
      <c r="Q1817" t="s">
        <v>522</v>
      </c>
      <c r="R1817" s="31">
        <v>31.36</v>
      </c>
    </row>
    <row r="1818" spans="1:18" x14ac:dyDescent="0.3">
      <c r="A1818">
        <v>7</v>
      </c>
      <c r="B1818">
        <v>7</v>
      </c>
      <c r="C1818" t="s">
        <v>5</v>
      </c>
      <c r="D1818">
        <v>2.7</v>
      </c>
      <c r="E1818">
        <v>294.79399999999998</v>
      </c>
      <c r="F1818" t="s">
        <v>394</v>
      </c>
      <c r="G1818" s="31">
        <v>0.06</v>
      </c>
      <c r="L1818">
        <v>13</v>
      </c>
      <c r="M1818">
        <v>13</v>
      </c>
      <c r="N1818" t="s">
        <v>46</v>
      </c>
      <c r="O1818">
        <v>2.57</v>
      </c>
      <c r="P1818">
        <v>404398.09399999998</v>
      </c>
      <c r="Q1818" t="s">
        <v>523</v>
      </c>
      <c r="R1818" s="31">
        <v>13.96</v>
      </c>
    </row>
    <row r="1819" spans="1:18" x14ac:dyDescent="0.3">
      <c r="A1819">
        <v>8</v>
      </c>
      <c r="B1819">
        <v>8</v>
      </c>
      <c r="C1819" t="s">
        <v>6</v>
      </c>
      <c r="D1819">
        <v>0.66</v>
      </c>
      <c r="E1819">
        <v>546.01099999999997</v>
      </c>
      <c r="F1819" t="s">
        <v>395</v>
      </c>
      <c r="G1819" s="31">
        <v>9.56</v>
      </c>
      <c r="L1819">
        <v>14</v>
      </c>
      <c r="M1819">
        <v>14</v>
      </c>
      <c r="N1819" t="s">
        <v>47</v>
      </c>
      <c r="O1819">
        <v>0.67</v>
      </c>
      <c r="P1819">
        <v>24227.68</v>
      </c>
      <c r="Q1819" t="s">
        <v>524</v>
      </c>
      <c r="R1819" s="31">
        <v>7.47</v>
      </c>
    </row>
    <row r="1820" spans="1:18" x14ac:dyDescent="0.3">
      <c r="A1820">
        <v>9</v>
      </c>
      <c r="B1820">
        <v>9</v>
      </c>
      <c r="C1820" t="s">
        <v>7</v>
      </c>
      <c r="D1820">
        <v>3.56</v>
      </c>
      <c r="E1820">
        <v>197.44200000000001</v>
      </c>
      <c r="F1820" t="s">
        <v>396</v>
      </c>
      <c r="G1820" s="31">
        <v>0.74</v>
      </c>
      <c r="L1820">
        <v>15</v>
      </c>
      <c r="M1820">
        <v>15</v>
      </c>
      <c r="N1820" t="s">
        <v>48</v>
      </c>
      <c r="O1820">
        <v>1.21</v>
      </c>
      <c r="P1820">
        <v>34554.641000000003</v>
      </c>
      <c r="Q1820" t="s">
        <v>525</v>
      </c>
      <c r="R1820" s="31">
        <v>3.39</v>
      </c>
    </row>
    <row r="1821" spans="1:18" x14ac:dyDescent="0.3">
      <c r="A1821">
        <v>10</v>
      </c>
      <c r="B1821">
        <v>10</v>
      </c>
      <c r="C1821" t="s">
        <v>51</v>
      </c>
      <c r="D1821">
        <v>4.8</v>
      </c>
      <c r="E1821">
        <v>610.04999999999995</v>
      </c>
      <c r="F1821" t="s">
        <v>397</v>
      </c>
      <c r="G1821" s="31">
        <v>0.15</v>
      </c>
      <c r="L1821">
        <v>16</v>
      </c>
      <c r="M1821">
        <v>16</v>
      </c>
      <c r="N1821" t="s">
        <v>53</v>
      </c>
      <c r="O1821">
        <v>4.54</v>
      </c>
      <c r="P1821">
        <v>116695.5</v>
      </c>
      <c r="Q1821" t="s">
        <v>526</v>
      </c>
      <c r="R1821" s="31">
        <v>1.1100000000000001</v>
      </c>
    </row>
    <row r="1822" spans="1:18" x14ac:dyDescent="0.3">
      <c r="A1822">
        <v>11</v>
      </c>
      <c r="B1822">
        <v>11</v>
      </c>
      <c r="C1822" t="s">
        <v>8</v>
      </c>
      <c r="D1822">
        <v>2.74</v>
      </c>
      <c r="E1822">
        <v>11056.406999999999</v>
      </c>
      <c r="F1822" t="s">
        <v>398</v>
      </c>
      <c r="G1822" s="31">
        <v>0.9</v>
      </c>
      <c r="L1822">
        <v>17</v>
      </c>
      <c r="M1822">
        <v>17</v>
      </c>
      <c r="N1822" t="s">
        <v>54</v>
      </c>
      <c r="O1822">
        <v>5.17</v>
      </c>
      <c r="P1822">
        <v>1665.864</v>
      </c>
      <c r="Q1822" t="s">
        <v>527</v>
      </c>
      <c r="R1822" s="31">
        <v>0.12</v>
      </c>
    </row>
    <row r="1823" spans="1:18" x14ac:dyDescent="0.3">
      <c r="A1823">
        <v>12</v>
      </c>
      <c r="B1823">
        <v>12</v>
      </c>
      <c r="C1823" t="s">
        <v>9</v>
      </c>
      <c r="D1823">
        <v>2.64</v>
      </c>
      <c r="E1823">
        <v>244.94300000000001</v>
      </c>
      <c r="F1823" t="s">
        <v>399</v>
      </c>
      <c r="G1823" s="31">
        <v>0.51</v>
      </c>
      <c r="L1823">
        <v>18</v>
      </c>
      <c r="M1823">
        <v>18</v>
      </c>
      <c r="N1823" t="s">
        <v>55</v>
      </c>
      <c r="O1823">
        <v>1.32</v>
      </c>
      <c r="P1823">
        <v>6382.4049999999997</v>
      </c>
      <c r="Q1823" t="s">
        <v>528</v>
      </c>
      <c r="R1823" s="31">
        <v>0.17</v>
      </c>
    </row>
    <row r="1824" spans="1:18" x14ac:dyDescent="0.3">
      <c r="A1824">
        <v>13</v>
      </c>
      <c r="B1824">
        <v>13</v>
      </c>
      <c r="C1824" t="s">
        <v>10</v>
      </c>
      <c r="D1824">
        <v>4.09</v>
      </c>
      <c r="E1824">
        <v>1039933.063</v>
      </c>
      <c r="F1824" t="s">
        <v>400</v>
      </c>
      <c r="G1824" s="31">
        <v>103.96</v>
      </c>
      <c r="L1824">
        <v>19</v>
      </c>
      <c r="M1824">
        <v>19</v>
      </c>
      <c r="N1824" t="s">
        <v>56</v>
      </c>
      <c r="O1824">
        <v>0.87</v>
      </c>
      <c r="P1824">
        <v>43989.457000000002</v>
      </c>
      <c r="Q1824" t="s">
        <v>529</v>
      </c>
      <c r="R1824" s="31">
        <v>1.65</v>
      </c>
    </row>
    <row r="1825" spans="1:18" x14ac:dyDescent="0.3">
      <c r="A1825">
        <v>14</v>
      </c>
      <c r="B1825">
        <v>14</v>
      </c>
      <c r="C1825" t="s">
        <v>11</v>
      </c>
      <c r="D1825">
        <v>3.74</v>
      </c>
      <c r="E1825">
        <v>3.9079999999999999</v>
      </c>
      <c r="F1825" t="s">
        <v>401</v>
      </c>
      <c r="G1825" s="31">
        <v>1.53</v>
      </c>
      <c r="L1825">
        <v>20</v>
      </c>
      <c r="M1825">
        <v>20</v>
      </c>
      <c r="N1825" t="s">
        <v>57</v>
      </c>
      <c r="O1825">
        <v>1.5</v>
      </c>
      <c r="P1825">
        <v>1345.875</v>
      </c>
      <c r="Q1825" t="s">
        <v>530</v>
      </c>
      <c r="R1825" s="31">
        <v>0.34</v>
      </c>
    </row>
    <row r="1826" spans="1:18" x14ac:dyDescent="0.3">
      <c r="A1826">
        <v>15</v>
      </c>
      <c r="B1826">
        <v>15</v>
      </c>
      <c r="C1826" t="s">
        <v>12</v>
      </c>
      <c r="D1826">
        <v>3.32</v>
      </c>
      <c r="E1826">
        <v>28.678000000000001</v>
      </c>
      <c r="F1826" t="s">
        <v>402</v>
      </c>
      <c r="G1826" s="31">
        <v>0.17</v>
      </c>
      <c r="L1826">
        <v>21</v>
      </c>
      <c r="M1826">
        <v>21</v>
      </c>
      <c r="N1826" t="s">
        <v>58</v>
      </c>
      <c r="O1826">
        <v>2.4700000000000002</v>
      </c>
      <c r="P1826">
        <v>39.375</v>
      </c>
      <c r="Q1826" t="s">
        <v>531</v>
      </c>
      <c r="R1826" s="31">
        <v>0.13</v>
      </c>
    </row>
    <row r="1827" spans="1:18" x14ac:dyDescent="0.3">
      <c r="A1827">
        <v>16</v>
      </c>
      <c r="B1827">
        <v>16</v>
      </c>
      <c r="C1827" t="s">
        <v>13</v>
      </c>
      <c r="D1827">
        <v>3.23</v>
      </c>
      <c r="E1827">
        <v>2588.34</v>
      </c>
      <c r="F1827" t="s">
        <v>403</v>
      </c>
      <c r="G1827" s="31">
        <v>0.82</v>
      </c>
      <c r="L1827">
        <v>22</v>
      </c>
      <c r="M1827">
        <v>22</v>
      </c>
      <c r="N1827" t="s">
        <v>59</v>
      </c>
      <c r="O1827">
        <v>2.5</v>
      </c>
      <c r="P1827">
        <v>12990.26</v>
      </c>
      <c r="Q1827" t="s">
        <v>532</v>
      </c>
      <c r="R1827" s="31">
        <v>1.1000000000000001</v>
      </c>
    </row>
    <row r="1828" spans="1:18" x14ac:dyDescent="0.3">
      <c r="A1828">
        <v>17</v>
      </c>
      <c r="B1828">
        <v>17</v>
      </c>
      <c r="C1828" t="s">
        <v>14</v>
      </c>
      <c r="D1828">
        <v>2.0099999999999998</v>
      </c>
      <c r="E1828">
        <v>2059.922</v>
      </c>
      <c r="F1828" t="s">
        <v>404</v>
      </c>
      <c r="G1828" s="31">
        <v>0.86</v>
      </c>
      <c r="L1828">
        <v>23</v>
      </c>
      <c r="M1828">
        <v>23</v>
      </c>
      <c r="N1828" t="s">
        <v>60</v>
      </c>
      <c r="O1828">
        <v>2.44</v>
      </c>
      <c r="P1828">
        <v>71344.625</v>
      </c>
      <c r="Q1828" t="s">
        <v>533</v>
      </c>
      <c r="R1828" s="31">
        <v>2.92</v>
      </c>
    </row>
    <row r="1829" spans="1:18" x14ac:dyDescent="0.3">
      <c r="A1829">
        <v>18</v>
      </c>
      <c r="B1829">
        <v>18</v>
      </c>
      <c r="C1829" t="s">
        <v>15</v>
      </c>
      <c r="D1829">
        <v>2.5</v>
      </c>
      <c r="E1829">
        <v>8733.74</v>
      </c>
      <c r="F1829" t="s">
        <v>405</v>
      </c>
      <c r="G1829" s="31">
        <v>6.17</v>
      </c>
    </row>
    <row r="1830" spans="1:18" x14ac:dyDescent="0.3">
      <c r="A1830">
        <v>19</v>
      </c>
      <c r="B1830">
        <v>19</v>
      </c>
      <c r="C1830" t="s">
        <v>16</v>
      </c>
      <c r="D1830">
        <v>2.71</v>
      </c>
      <c r="E1830">
        <v>1355.9949999999999</v>
      </c>
      <c r="F1830" t="s">
        <v>406</v>
      </c>
      <c r="G1830" s="31">
        <v>0.13</v>
      </c>
      <c r="L1830" t="s">
        <v>379</v>
      </c>
    </row>
    <row r="1831" spans="1:18" x14ac:dyDescent="0.3">
      <c r="A1831">
        <v>20</v>
      </c>
      <c r="B1831">
        <v>20</v>
      </c>
      <c r="C1831" t="s">
        <v>17</v>
      </c>
      <c r="D1831">
        <v>3.13</v>
      </c>
      <c r="E1831">
        <v>4364.549</v>
      </c>
      <c r="F1831" t="s">
        <v>407</v>
      </c>
      <c r="G1831" s="31">
        <v>0.95</v>
      </c>
    </row>
    <row r="1832" spans="1:18" x14ac:dyDescent="0.3">
      <c r="A1832">
        <v>21</v>
      </c>
      <c r="B1832">
        <v>21</v>
      </c>
      <c r="C1832" t="s">
        <v>18</v>
      </c>
      <c r="D1832">
        <v>3.68</v>
      </c>
      <c r="E1832">
        <v>3319.4670000000001</v>
      </c>
      <c r="F1832" t="s">
        <v>408</v>
      </c>
      <c r="G1832" s="31">
        <v>0.17</v>
      </c>
      <c r="L1832" t="s">
        <v>557</v>
      </c>
    </row>
    <row r="1833" spans="1:18" x14ac:dyDescent="0.3">
      <c r="A1833">
        <v>22</v>
      </c>
      <c r="B1833">
        <v>22</v>
      </c>
      <c r="C1833" t="s">
        <v>19</v>
      </c>
      <c r="D1833">
        <v>2.64</v>
      </c>
      <c r="E1833">
        <v>1523.6679999999999</v>
      </c>
      <c r="F1833" t="s">
        <v>409</v>
      </c>
      <c r="G1833" s="31">
        <v>1.0900000000000001</v>
      </c>
    </row>
    <row r="1834" spans="1:18" x14ac:dyDescent="0.3">
      <c r="A1834">
        <v>23</v>
      </c>
      <c r="B1834">
        <v>23</v>
      </c>
      <c r="C1834" t="s">
        <v>20</v>
      </c>
      <c r="D1834">
        <v>2.89</v>
      </c>
      <c r="E1834">
        <v>3731.8809999999999</v>
      </c>
      <c r="F1834" t="s">
        <v>410</v>
      </c>
      <c r="G1834" s="31">
        <v>0.39</v>
      </c>
      <c r="L1834" t="s">
        <v>593</v>
      </c>
    </row>
    <row r="1835" spans="1:18" x14ac:dyDescent="0.3">
      <c r="A1835">
        <v>24</v>
      </c>
      <c r="B1835">
        <v>24</v>
      </c>
      <c r="C1835" t="s">
        <v>21</v>
      </c>
      <c r="F1835" t="s">
        <v>411</v>
      </c>
      <c r="G1835" s="31">
        <v>0.1</v>
      </c>
    </row>
    <row r="1836" spans="1:18" x14ac:dyDescent="0.3">
      <c r="A1836">
        <v>25</v>
      </c>
      <c r="B1836">
        <v>25</v>
      </c>
      <c r="C1836" t="s">
        <v>22</v>
      </c>
      <c r="D1836">
        <v>3.42</v>
      </c>
      <c r="E1836">
        <v>226.501</v>
      </c>
      <c r="F1836" t="s">
        <v>412</v>
      </c>
      <c r="G1836" s="31">
        <v>4.7300000000000004</v>
      </c>
      <c r="M1836" t="s">
        <v>382</v>
      </c>
      <c r="N1836" t="s">
        <v>383</v>
      </c>
      <c r="O1836" t="s">
        <v>384</v>
      </c>
      <c r="P1836" t="s">
        <v>385</v>
      </c>
      <c r="Q1836" t="s">
        <v>386</v>
      </c>
      <c r="R1836" s="31" t="s">
        <v>387</v>
      </c>
    </row>
    <row r="1837" spans="1:18" x14ac:dyDescent="0.3">
      <c r="A1837">
        <v>26</v>
      </c>
      <c r="B1837">
        <v>26</v>
      </c>
      <c r="C1837" t="s">
        <v>23</v>
      </c>
      <c r="D1837">
        <v>3.35</v>
      </c>
      <c r="E1837">
        <v>43033.671999999999</v>
      </c>
      <c r="F1837" t="s">
        <v>413</v>
      </c>
      <c r="G1837" s="31">
        <v>5</v>
      </c>
      <c r="L1837">
        <v>1</v>
      </c>
      <c r="M1837">
        <v>1</v>
      </c>
      <c r="N1837" t="s">
        <v>35</v>
      </c>
      <c r="O1837">
        <v>1.43</v>
      </c>
      <c r="P1837">
        <v>971.25199999999995</v>
      </c>
      <c r="Q1837" t="s">
        <v>511</v>
      </c>
      <c r="R1837" s="31">
        <v>11.41</v>
      </c>
    </row>
    <row r="1838" spans="1:18" x14ac:dyDescent="0.3">
      <c r="A1838">
        <v>27</v>
      </c>
      <c r="B1838">
        <v>27</v>
      </c>
      <c r="C1838" t="s">
        <v>24</v>
      </c>
      <c r="D1838">
        <v>3.44</v>
      </c>
      <c r="E1838">
        <v>215.98400000000001</v>
      </c>
      <c r="F1838" t="s">
        <v>414</v>
      </c>
      <c r="G1838" s="31">
        <v>0.1</v>
      </c>
      <c r="L1838">
        <v>2</v>
      </c>
      <c r="M1838">
        <v>2</v>
      </c>
      <c r="N1838" t="s">
        <v>36</v>
      </c>
      <c r="O1838">
        <v>1.66</v>
      </c>
      <c r="P1838">
        <v>2125755.25</v>
      </c>
      <c r="Q1838" t="s">
        <v>512</v>
      </c>
      <c r="R1838" s="31">
        <v>367.43</v>
      </c>
    </row>
    <row r="1839" spans="1:18" x14ac:dyDescent="0.3">
      <c r="A1839">
        <v>28</v>
      </c>
      <c r="B1839">
        <v>28</v>
      </c>
      <c r="C1839" t="s">
        <v>25</v>
      </c>
      <c r="D1839">
        <v>3.51</v>
      </c>
      <c r="E1839">
        <v>1883.981</v>
      </c>
      <c r="F1839" t="s">
        <v>415</v>
      </c>
      <c r="G1839" s="31">
        <v>0.6</v>
      </c>
      <c r="L1839">
        <v>3</v>
      </c>
      <c r="M1839">
        <v>3</v>
      </c>
      <c r="N1839" t="s">
        <v>37</v>
      </c>
      <c r="O1839">
        <v>1.79</v>
      </c>
      <c r="P1839">
        <v>732.86599999999999</v>
      </c>
      <c r="Q1839" t="s">
        <v>513</v>
      </c>
      <c r="R1839" s="31">
        <v>0.27</v>
      </c>
    </row>
    <row r="1840" spans="1:18" x14ac:dyDescent="0.3">
      <c r="A1840">
        <v>29</v>
      </c>
      <c r="B1840">
        <v>29</v>
      </c>
      <c r="C1840" t="s">
        <v>26</v>
      </c>
      <c r="D1840">
        <v>1.02</v>
      </c>
      <c r="E1840">
        <v>114.587</v>
      </c>
      <c r="F1840" t="s">
        <v>416</v>
      </c>
      <c r="G1840" s="31">
        <v>0.61</v>
      </c>
      <c r="L1840">
        <v>4</v>
      </c>
      <c r="M1840">
        <v>4</v>
      </c>
      <c r="N1840" t="s">
        <v>38</v>
      </c>
      <c r="O1840">
        <v>1.17</v>
      </c>
      <c r="P1840">
        <v>8441.0040000000008</v>
      </c>
      <c r="Q1840" t="s">
        <v>514</v>
      </c>
      <c r="R1840" s="31">
        <v>1.75</v>
      </c>
    </row>
    <row r="1841" spans="1:18" x14ac:dyDescent="0.3">
      <c r="A1841">
        <v>30</v>
      </c>
      <c r="B1841">
        <v>30</v>
      </c>
      <c r="C1841" t="s">
        <v>27</v>
      </c>
      <c r="D1841">
        <v>4.26</v>
      </c>
      <c r="E1841">
        <v>289.26900000000001</v>
      </c>
      <c r="F1841" t="s">
        <v>417</v>
      </c>
      <c r="G1841" s="31">
        <v>0.14000000000000001</v>
      </c>
      <c r="L1841">
        <v>5</v>
      </c>
      <c r="M1841">
        <v>5</v>
      </c>
      <c r="N1841" t="s">
        <v>39</v>
      </c>
      <c r="O1841">
        <v>1.37</v>
      </c>
      <c r="P1841">
        <v>367366.125</v>
      </c>
      <c r="Q1841" t="s">
        <v>515</v>
      </c>
      <c r="R1841" s="31">
        <v>89.91</v>
      </c>
    </row>
    <row r="1842" spans="1:18" x14ac:dyDescent="0.3">
      <c r="A1842">
        <v>31</v>
      </c>
      <c r="B1842">
        <v>31</v>
      </c>
      <c r="C1842" t="s">
        <v>28</v>
      </c>
      <c r="D1842">
        <v>3</v>
      </c>
      <c r="E1842">
        <v>15152.097</v>
      </c>
      <c r="F1842" t="s">
        <v>418</v>
      </c>
      <c r="G1842" s="31">
        <v>0.1</v>
      </c>
      <c r="L1842">
        <v>6</v>
      </c>
      <c r="M1842">
        <v>6</v>
      </c>
      <c r="N1842" t="s">
        <v>40</v>
      </c>
      <c r="O1842">
        <v>1.52</v>
      </c>
      <c r="P1842">
        <v>9726.7170000000006</v>
      </c>
      <c r="Q1842" t="s">
        <v>516</v>
      </c>
      <c r="R1842" s="31">
        <v>1.41</v>
      </c>
    </row>
    <row r="1843" spans="1:18" x14ac:dyDescent="0.3">
      <c r="A1843">
        <v>32</v>
      </c>
      <c r="B1843">
        <v>32</v>
      </c>
      <c r="C1843" t="s">
        <v>29</v>
      </c>
      <c r="D1843">
        <v>3.37</v>
      </c>
      <c r="E1843">
        <v>133.137</v>
      </c>
      <c r="F1843" t="s">
        <v>419</v>
      </c>
      <c r="G1843" s="31">
        <v>7.0000000000000007E-2</v>
      </c>
      <c r="L1843">
        <v>7</v>
      </c>
      <c r="M1843">
        <v>7</v>
      </c>
      <c r="N1843" t="s">
        <v>41</v>
      </c>
      <c r="O1843">
        <v>2.27</v>
      </c>
      <c r="P1843">
        <v>2732.1410000000001</v>
      </c>
      <c r="Q1843" t="s">
        <v>517</v>
      </c>
      <c r="R1843" s="31">
        <v>3.6</v>
      </c>
    </row>
    <row r="1844" spans="1:18" x14ac:dyDescent="0.3">
      <c r="A1844">
        <v>33</v>
      </c>
      <c r="B1844">
        <v>33</v>
      </c>
      <c r="C1844" t="s">
        <v>30</v>
      </c>
      <c r="D1844">
        <v>4.67</v>
      </c>
      <c r="E1844">
        <v>13024.351000000001</v>
      </c>
      <c r="F1844" t="s">
        <v>420</v>
      </c>
      <c r="G1844" s="31">
        <v>0.78</v>
      </c>
      <c r="L1844">
        <v>8</v>
      </c>
      <c r="M1844">
        <v>8</v>
      </c>
      <c r="N1844" t="s">
        <v>42</v>
      </c>
      <c r="O1844">
        <v>0.9</v>
      </c>
      <c r="P1844">
        <v>28.904</v>
      </c>
      <c r="Q1844" t="s">
        <v>518</v>
      </c>
      <c r="R1844" s="31">
        <v>24.87</v>
      </c>
    </row>
    <row r="1845" spans="1:18" x14ac:dyDescent="0.3">
      <c r="A1845">
        <v>34</v>
      </c>
      <c r="B1845">
        <v>34</v>
      </c>
      <c r="C1845" t="s">
        <v>31</v>
      </c>
      <c r="D1845">
        <v>3.5</v>
      </c>
      <c r="E1845">
        <v>628.23</v>
      </c>
      <c r="F1845" t="s">
        <v>421</v>
      </c>
      <c r="G1845" s="31">
        <v>0.08</v>
      </c>
      <c r="L1845">
        <v>9</v>
      </c>
      <c r="M1845">
        <v>9</v>
      </c>
      <c r="N1845" t="s">
        <v>43</v>
      </c>
      <c r="O1845">
        <v>2.54</v>
      </c>
      <c r="P1845">
        <v>15888.24</v>
      </c>
      <c r="Q1845" t="s">
        <v>519</v>
      </c>
      <c r="R1845" s="31">
        <v>0.35</v>
      </c>
    </row>
    <row r="1846" spans="1:18" x14ac:dyDescent="0.3">
      <c r="A1846">
        <v>35</v>
      </c>
      <c r="B1846">
        <v>35</v>
      </c>
      <c r="C1846" t="s">
        <v>32</v>
      </c>
      <c r="D1846">
        <v>3.06</v>
      </c>
      <c r="E1846">
        <v>175.60300000000001</v>
      </c>
      <c r="F1846" t="s">
        <v>422</v>
      </c>
      <c r="G1846" s="31">
        <v>0.12</v>
      </c>
      <c r="L1846">
        <v>10</v>
      </c>
      <c r="M1846">
        <v>10</v>
      </c>
      <c r="N1846" t="s">
        <v>52</v>
      </c>
      <c r="O1846">
        <v>4.12</v>
      </c>
      <c r="P1846">
        <v>740.55100000000004</v>
      </c>
      <c r="Q1846" t="s">
        <v>520</v>
      </c>
      <c r="R1846" s="31">
        <v>0.1</v>
      </c>
    </row>
    <row r="1847" spans="1:18" x14ac:dyDescent="0.3">
      <c r="A1847">
        <v>36</v>
      </c>
      <c r="B1847">
        <v>36</v>
      </c>
      <c r="C1847" t="s">
        <v>33</v>
      </c>
      <c r="D1847">
        <v>1.85</v>
      </c>
      <c r="E1847">
        <v>101.629</v>
      </c>
      <c r="F1847" t="s">
        <v>423</v>
      </c>
      <c r="G1847" s="31">
        <v>0.09</v>
      </c>
      <c r="L1847">
        <v>11</v>
      </c>
      <c r="M1847">
        <v>11</v>
      </c>
      <c r="N1847" t="s">
        <v>44</v>
      </c>
      <c r="O1847">
        <v>4.17</v>
      </c>
      <c r="P1847">
        <v>2913.8440000000001</v>
      </c>
      <c r="Q1847" t="s">
        <v>521</v>
      </c>
      <c r="R1847" s="31">
        <v>0.57999999999999996</v>
      </c>
    </row>
    <row r="1848" spans="1:18" x14ac:dyDescent="0.3">
      <c r="G1848" s="31">
        <f>G1825/G1827</f>
        <v>1.8658536585365855</v>
      </c>
      <c r="L1848">
        <v>12</v>
      </c>
      <c r="M1848">
        <v>12</v>
      </c>
      <c r="N1848" t="s">
        <v>45</v>
      </c>
      <c r="O1848">
        <v>3.44</v>
      </c>
      <c r="P1848">
        <v>1684957</v>
      </c>
      <c r="Q1848" t="s">
        <v>522</v>
      </c>
      <c r="R1848" s="31">
        <v>54.28</v>
      </c>
    </row>
    <row r="1849" spans="1:18" x14ac:dyDescent="0.3">
      <c r="A1849" t="s">
        <v>379</v>
      </c>
      <c r="L1849">
        <v>13</v>
      </c>
      <c r="M1849">
        <v>13</v>
      </c>
      <c r="N1849" t="s">
        <v>46</v>
      </c>
      <c r="O1849">
        <v>2.58</v>
      </c>
      <c r="P1849">
        <v>360615.59399999998</v>
      </c>
      <c r="Q1849" t="s">
        <v>523</v>
      </c>
      <c r="R1849" s="31">
        <v>25.75</v>
      </c>
    </row>
    <row r="1850" spans="1:18" x14ac:dyDescent="0.3">
      <c r="L1850">
        <v>14</v>
      </c>
      <c r="M1850">
        <v>14</v>
      </c>
      <c r="N1850" t="s">
        <v>47</v>
      </c>
      <c r="O1850">
        <v>0.68</v>
      </c>
      <c r="P1850">
        <v>27605.030999999999</v>
      </c>
      <c r="Q1850" t="s">
        <v>524</v>
      </c>
      <c r="R1850" s="31">
        <v>18.059999999999999</v>
      </c>
    </row>
    <row r="1851" spans="1:18" x14ac:dyDescent="0.3">
      <c r="A1851" t="s">
        <v>456</v>
      </c>
      <c r="L1851">
        <v>15</v>
      </c>
      <c r="M1851">
        <v>15</v>
      </c>
      <c r="N1851" t="s">
        <v>48</v>
      </c>
      <c r="O1851">
        <v>1.21</v>
      </c>
      <c r="P1851">
        <v>29503.187999999998</v>
      </c>
      <c r="Q1851" t="s">
        <v>525</v>
      </c>
      <c r="R1851" s="31">
        <v>5.97</v>
      </c>
    </row>
    <row r="1852" spans="1:18" x14ac:dyDescent="0.3">
      <c r="L1852">
        <v>16</v>
      </c>
      <c r="M1852">
        <v>16</v>
      </c>
      <c r="N1852" t="s">
        <v>53</v>
      </c>
      <c r="O1852">
        <v>4.54</v>
      </c>
      <c r="P1852">
        <v>83267.398000000001</v>
      </c>
      <c r="Q1852" t="s">
        <v>526</v>
      </c>
      <c r="R1852" s="31">
        <v>1.64</v>
      </c>
    </row>
    <row r="1853" spans="1:18" x14ac:dyDescent="0.3">
      <c r="A1853" t="s">
        <v>466</v>
      </c>
      <c r="L1853">
        <v>17</v>
      </c>
      <c r="M1853">
        <v>17</v>
      </c>
      <c r="N1853" t="s">
        <v>54</v>
      </c>
      <c r="O1853">
        <v>5.26</v>
      </c>
      <c r="P1853">
        <v>82.664000000000001</v>
      </c>
      <c r="Q1853" t="s">
        <v>527</v>
      </c>
      <c r="R1853" s="31">
        <v>0.1</v>
      </c>
    </row>
    <row r="1854" spans="1:18" x14ac:dyDescent="0.3">
      <c r="L1854">
        <v>18</v>
      </c>
      <c r="M1854">
        <v>18</v>
      </c>
      <c r="N1854" t="s">
        <v>55</v>
      </c>
      <c r="O1854">
        <v>1.31</v>
      </c>
      <c r="P1854">
        <v>2722.6750000000002</v>
      </c>
      <c r="Q1854" t="s">
        <v>528</v>
      </c>
      <c r="R1854" s="31">
        <v>0.14000000000000001</v>
      </c>
    </row>
    <row r="1855" spans="1:18" x14ac:dyDescent="0.3">
      <c r="B1855" t="s">
        <v>382</v>
      </c>
      <c r="C1855" t="s">
        <v>383</v>
      </c>
      <c r="D1855" t="s">
        <v>384</v>
      </c>
      <c r="E1855" t="s">
        <v>385</v>
      </c>
      <c r="F1855" t="s">
        <v>386</v>
      </c>
      <c r="G1855" s="31" t="s">
        <v>387</v>
      </c>
      <c r="L1855">
        <v>19</v>
      </c>
      <c r="M1855">
        <v>19</v>
      </c>
      <c r="N1855" t="s">
        <v>56</v>
      </c>
      <c r="O1855">
        <v>0.88</v>
      </c>
      <c r="P1855">
        <v>19447.498</v>
      </c>
      <c r="Q1855" t="s">
        <v>529</v>
      </c>
      <c r="R1855" s="31">
        <v>1.06</v>
      </c>
    </row>
    <row r="1856" spans="1:18" x14ac:dyDescent="0.3">
      <c r="A1856">
        <v>1</v>
      </c>
      <c r="B1856">
        <v>1</v>
      </c>
      <c r="C1856" t="s">
        <v>0</v>
      </c>
      <c r="D1856">
        <v>0.89</v>
      </c>
      <c r="E1856">
        <v>29.834</v>
      </c>
      <c r="F1856" t="s">
        <v>388</v>
      </c>
      <c r="G1856" s="31">
        <v>0.1</v>
      </c>
      <c r="L1856">
        <v>20</v>
      </c>
      <c r="M1856">
        <v>20</v>
      </c>
      <c r="N1856" t="s">
        <v>57</v>
      </c>
      <c r="O1856">
        <v>1.5</v>
      </c>
      <c r="P1856">
        <v>1401.6959999999999</v>
      </c>
      <c r="Q1856" t="s">
        <v>530</v>
      </c>
      <c r="R1856" s="31">
        <v>0.73</v>
      </c>
    </row>
    <row r="1857" spans="1:18" x14ac:dyDescent="0.3">
      <c r="A1857">
        <v>2</v>
      </c>
      <c r="B1857">
        <v>2</v>
      </c>
      <c r="C1857" t="s">
        <v>1</v>
      </c>
      <c r="D1857">
        <v>1.42</v>
      </c>
      <c r="E1857">
        <v>183.465</v>
      </c>
      <c r="F1857" t="s">
        <v>389</v>
      </c>
      <c r="G1857" s="31">
        <v>6.45</v>
      </c>
      <c r="L1857">
        <v>21</v>
      </c>
      <c r="M1857">
        <v>21</v>
      </c>
      <c r="N1857" t="s">
        <v>58</v>
      </c>
      <c r="O1857">
        <v>2.41</v>
      </c>
      <c r="P1857">
        <v>50.439</v>
      </c>
      <c r="Q1857" t="s">
        <v>531</v>
      </c>
      <c r="R1857" s="31">
        <v>7.0000000000000007E-2</v>
      </c>
    </row>
    <row r="1858" spans="1:18" x14ac:dyDescent="0.3">
      <c r="A1858">
        <v>3</v>
      </c>
      <c r="B1858">
        <v>3</v>
      </c>
      <c r="C1858" t="s">
        <v>50</v>
      </c>
      <c r="D1858">
        <v>3.73</v>
      </c>
      <c r="E1858">
        <v>156.149</v>
      </c>
      <c r="F1858" t="s">
        <v>390</v>
      </c>
      <c r="G1858" s="31">
        <v>0.95</v>
      </c>
      <c r="L1858">
        <v>22</v>
      </c>
      <c r="M1858">
        <v>22</v>
      </c>
      <c r="N1858" t="s">
        <v>59</v>
      </c>
      <c r="O1858">
        <v>2.5</v>
      </c>
      <c r="P1858">
        <v>44053.913999999997</v>
      </c>
      <c r="Q1858" t="s">
        <v>532</v>
      </c>
      <c r="R1858" s="31">
        <v>8.42</v>
      </c>
    </row>
    <row r="1859" spans="1:18" x14ac:dyDescent="0.3">
      <c r="A1859">
        <v>4</v>
      </c>
      <c r="B1859">
        <v>4</v>
      </c>
      <c r="C1859" t="s">
        <v>2</v>
      </c>
      <c r="D1859">
        <v>3.77</v>
      </c>
      <c r="E1859">
        <v>80.966999999999999</v>
      </c>
      <c r="F1859" t="s">
        <v>391</v>
      </c>
      <c r="G1859" s="31">
        <v>0.77</v>
      </c>
      <c r="L1859">
        <v>23</v>
      </c>
      <c r="M1859">
        <v>23</v>
      </c>
      <c r="N1859" t="s">
        <v>60</v>
      </c>
      <c r="O1859">
        <v>2.44</v>
      </c>
      <c r="P1859">
        <v>77259.289000000004</v>
      </c>
      <c r="Q1859" t="s">
        <v>533</v>
      </c>
      <c r="R1859" s="31">
        <v>6.56</v>
      </c>
    </row>
    <row r="1860" spans="1:18" x14ac:dyDescent="0.3">
      <c r="A1860">
        <v>5</v>
      </c>
      <c r="B1860">
        <v>5</v>
      </c>
      <c r="C1860" t="s">
        <v>3</v>
      </c>
      <c r="D1860">
        <v>4.49</v>
      </c>
      <c r="E1860">
        <v>284.75900000000001</v>
      </c>
      <c r="F1860" t="s">
        <v>392</v>
      </c>
      <c r="G1860" s="31">
        <v>1.67</v>
      </c>
    </row>
    <row r="1861" spans="1:18" x14ac:dyDescent="0.3">
      <c r="A1861">
        <v>6</v>
      </c>
      <c r="B1861">
        <v>6</v>
      </c>
      <c r="C1861" t="s">
        <v>4</v>
      </c>
      <c r="D1861">
        <v>4.91</v>
      </c>
      <c r="E1861">
        <v>50.204999999999998</v>
      </c>
      <c r="F1861" t="s">
        <v>393</v>
      </c>
      <c r="G1861" s="31">
        <v>2.2999999999999998</v>
      </c>
      <c r="L1861" t="s">
        <v>379</v>
      </c>
    </row>
    <row r="1862" spans="1:18" x14ac:dyDescent="0.3">
      <c r="A1862">
        <v>7</v>
      </c>
      <c r="B1862">
        <v>7</v>
      </c>
      <c r="C1862" t="s">
        <v>5</v>
      </c>
      <c r="D1862">
        <v>2.75</v>
      </c>
      <c r="E1862">
        <v>21.344999999999999</v>
      </c>
      <c r="F1862" t="s">
        <v>394</v>
      </c>
      <c r="G1862" s="31">
        <v>0.08</v>
      </c>
    </row>
    <row r="1863" spans="1:18" x14ac:dyDescent="0.3">
      <c r="A1863">
        <v>8</v>
      </c>
      <c r="B1863">
        <v>8</v>
      </c>
      <c r="C1863" t="s">
        <v>6</v>
      </c>
      <c r="F1863" t="s">
        <v>395</v>
      </c>
      <c r="G1863" s="31">
        <v>0.1</v>
      </c>
      <c r="L1863" t="s">
        <v>557</v>
      </c>
    </row>
    <row r="1864" spans="1:18" x14ac:dyDescent="0.3">
      <c r="A1864">
        <v>9</v>
      </c>
      <c r="B1864">
        <v>9</v>
      </c>
      <c r="C1864" t="s">
        <v>7</v>
      </c>
      <c r="D1864">
        <v>3.58</v>
      </c>
      <c r="E1864">
        <v>64.95</v>
      </c>
      <c r="F1864" t="s">
        <v>396</v>
      </c>
      <c r="G1864" s="31">
        <v>2.16</v>
      </c>
    </row>
    <row r="1865" spans="1:18" x14ac:dyDescent="0.3">
      <c r="A1865">
        <v>10</v>
      </c>
      <c r="B1865">
        <v>10</v>
      </c>
      <c r="C1865" t="s">
        <v>51</v>
      </c>
      <c r="D1865">
        <v>4.78</v>
      </c>
      <c r="E1865">
        <v>324.05399999999997</v>
      </c>
      <c r="F1865" t="s">
        <v>397</v>
      </c>
      <c r="G1865" s="31">
        <v>0.53</v>
      </c>
      <c r="L1865" t="s">
        <v>594</v>
      </c>
    </row>
    <row r="1866" spans="1:18" x14ac:dyDescent="0.3">
      <c r="A1866">
        <v>11</v>
      </c>
      <c r="B1866">
        <v>11</v>
      </c>
      <c r="C1866" t="s">
        <v>8</v>
      </c>
      <c r="F1866" t="s">
        <v>398</v>
      </c>
      <c r="G1866" s="31">
        <v>0.1</v>
      </c>
    </row>
    <row r="1867" spans="1:18" x14ac:dyDescent="0.3">
      <c r="A1867">
        <v>12</v>
      </c>
      <c r="B1867">
        <v>12</v>
      </c>
      <c r="C1867" t="s">
        <v>9</v>
      </c>
      <c r="D1867">
        <v>2.66</v>
      </c>
      <c r="E1867">
        <v>44.820999999999998</v>
      </c>
      <c r="F1867" t="s">
        <v>399</v>
      </c>
      <c r="G1867" s="31">
        <v>2.78</v>
      </c>
      <c r="M1867" t="s">
        <v>382</v>
      </c>
      <c r="N1867" t="s">
        <v>383</v>
      </c>
      <c r="O1867" t="s">
        <v>384</v>
      </c>
      <c r="P1867" t="s">
        <v>385</v>
      </c>
      <c r="Q1867" t="s">
        <v>386</v>
      </c>
      <c r="R1867" s="31" t="s">
        <v>387</v>
      </c>
    </row>
    <row r="1868" spans="1:18" x14ac:dyDescent="0.3">
      <c r="A1868">
        <v>13</v>
      </c>
      <c r="B1868">
        <v>13</v>
      </c>
      <c r="C1868" t="s">
        <v>10</v>
      </c>
      <c r="D1868">
        <v>4.09</v>
      </c>
      <c r="E1868">
        <v>287.13099999999997</v>
      </c>
      <c r="F1868" t="s">
        <v>400</v>
      </c>
      <c r="G1868" s="31">
        <v>0.1</v>
      </c>
      <c r="L1868">
        <v>1</v>
      </c>
      <c r="M1868">
        <v>1</v>
      </c>
      <c r="N1868" t="s">
        <v>35</v>
      </c>
      <c r="O1868">
        <v>1.51</v>
      </c>
      <c r="P1868">
        <v>537.21299999999997</v>
      </c>
      <c r="Q1868" t="s">
        <v>511</v>
      </c>
      <c r="R1868" s="31">
        <v>5.7</v>
      </c>
    </row>
    <row r="1869" spans="1:18" x14ac:dyDescent="0.3">
      <c r="A1869">
        <v>14</v>
      </c>
      <c r="B1869">
        <v>14</v>
      </c>
      <c r="C1869" t="s">
        <v>11</v>
      </c>
      <c r="F1869" t="s">
        <v>401</v>
      </c>
      <c r="G1869" s="31">
        <v>0.1</v>
      </c>
      <c r="L1869">
        <v>2</v>
      </c>
      <c r="M1869">
        <v>2</v>
      </c>
      <c r="N1869" t="s">
        <v>36</v>
      </c>
      <c r="O1869">
        <v>1.67</v>
      </c>
      <c r="P1869">
        <v>540992.75</v>
      </c>
      <c r="Q1869" t="s">
        <v>512</v>
      </c>
      <c r="R1869" s="31">
        <v>69.069999999999993</v>
      </c>
    </row>
    <row r="1870" spans="1:18" x14ac:dyDescent="0.3">
      <c r="A1870">
        <v>15</v>
      </c>
      <c r="B1870">
        <v>15</v>
      </c>
      <c r="C1870" t="s">
        <v>12</v>
      </c>
      <c r="D1870">
        <v>3.38</v>
      </c>
      <c r="E1870">
        <v>37.848999999999997</v>
      </c>
      <c r="F1870" t="s">
        <v>402</v>
      </c>
      <c r="G1870" s="31">
        <v>1.4</v>
      </c>
      <c r="L1870">
        <v>3</v>
      </c>
      <c r="M1870">
        <v>3</v>
      </c>
      <c r="N1870" t="s">
        <v>37</v>
      </c>
      <c r="O1870">
        <v>1.8</v>
      </c>
      <c r="P1870">
        <v>338.09399999999999</v>
      </c>
      <c r="Q1870" t="s">
        <v>513</v>
      </c>
      <c r="R1870" s="31">
        <v>0.09</v>
      </c>
    </row>
    <row r="1871" spans="1:18" x14ac:dyDescent="0.3">
      <c r="A1871">
        <v>16</v>
      </c>
      <c r="B1871">
        <v>16</v>
      </c>
      <c r="C1871" t="s">
        <v>13</v>
      </c>
      <c r="D1871">
        <v>3.58</v>
      </c>
      <c r="E1871">
        <v>2.9929999999999999</v>
      </c>
      <c r="F1871" t="s">
        <v>403</v>
      </c>
      <c r="G1871" s="31">
        <v>2.04</v>
      </c>
      <c r="L1871">
        <v>4</v>
      </c>
      <c r="M1871">
        <v>4</v>
      </c>
      <c r="N1871" t="s">
        <v>38</v>
      </c>
      <c r="O1871">
        <v>1.18</v>
      </c>
      <c r="P1871">
        <v>1578.0319999999999</v>
      </c>
      <c r="Q1871" t="s">
        <v>514</v>
      </c>
      <c r="R1871" s="31">
        <v>0.2</v>
      </c>
    </row>
    <row r="1872" spans="1:18" x14ac:dyDescent="0.3">
      <c r="A1872">
        <v>17</v>
      </c>
      <c r="B1872">
        <v>17</v>
      </c>
      <c r="C1872" t="s">
        <v>14</v>
      </c>
      <c r="D1872">
        <v>2.06</v>
      </c>
      <c r="E1872">
        <v>62.862000000000002</v>
      </c>
      <c r="F1872" t="s">
        <v>404</v>
      </c>
      <c r="G1872" s="31">
        <v>3.26</v>
      </c>
      <c r="L1872">
        <v>5</v>
      </c>
      <c r="M1872">
        <v>5</v>
      </c>
      <c r="N1872" t="s">
        <v>39</v>
      </c>
      <c r="O1872">
        <v>1.38</v>
      </c>
      <c r="P1872">
        <v>244675.46900000001</v>
      </c>
      <c r="Q1872" t="s">
        <v>515</v>
      </c>
      <c r="R1872" s="31">
        <v>31.2</v>
      </c>
    </row>
    <row r="1873" spans="1:18" x14ac:dyDescent="0.3">
      <c r="A1873">
        <v>18</v>
      </c>
      <c r="B1873">
        <v>18</v>
      </c>
      <c r="C1873" t="s">
        <v>15</v>
      </c>
      <c r="D1873">
        <v>2.57</v>
      </c>
      <c r="E1873">
        <v>85.634</v>
      </c>
      <c r="F1873" t="s">
        <v>405</v>
      </c>
      <c r="G1873" s="31">
        <v>10.52</v>
      </c>
      <c r="L1873">
        <v>6</v>
      </c>
      <c r="M1873">
        <v>6</v>
      </c>
      <c r="N1873" t="s">
        <v>40</v>
      </c>
      <c r="O1873">
        <v>1.52</v>
      </c>
      <c r="P1873">
        <v>23147.57</v>
      </c>
      <c r="Q1873" t="s">
        <v>516</v>
      </c>
      <c r="R1873" s="31">
        <v>1.66</v>
      </c>
    </row>
    <row r="1874" spans="1:18" x14ac:dyDescent="0.3">
      <c r="A1874">
        <v>19</v>
      </c>
      <c r="B1874">
        <v>19</v>
      </c>
      <c r="C1874" t="s">
        <v>16</v>
      </c>
      <c r="D1874">
        <v>2.71</v>
      </c>
      <c r="E1874">
        <v>9.6419999999999995</v>
      </c>
      <c r="F1874" t="s">
        <v>406</v>
      </c>
      <c r="G1874" s="31">
        <v>0.3</v>
      </c>
      <c r="L1874">
        <v>7</v>
      </c>
      <c r="M1874">
        <v>7</v>
      </c>
      <c r="N1874" t="s">
        <v>41</v>
      </c>
      <c r="O1874">
        <v>2.27</v>
      </c>
      <c r="P1874">
        <v>5536.5249999999996</v>
      </c>
      <c r="Q1874" t="s">
        <v>517</v>
      </c>
      <c r="R1874" s="31">
        <v>3.57</v>
      </c>
    </row>
    <row r="1875" spans="1:18" x14ac:dyDescent="0.3">
      <c r="A1875">
        <v>20</v>
      </c>
      <c r="B1875">
        <v>20</v>
      </c>
      <c r="C1875" t="s">
        <v>17</v>
      </c>
      <c r="D1875">
        <v>3.05</v>
      </c>
      <c r="E1875">
        <v>613.82000000000005</v>
      </c>
      <c r="F1875" t="s">
        <v>407</v>
      </c>
      <c r="G1875" s="31">
        <v>0.41</v>
      </c>
      <c r="L1875">
        <v>8</v>
      </c>
      <c r="M1875">
        <v>8</v>
      </c>
      <c r="N1875" t="s">
        <v>42</v>
      </c>
      <c r="O1875">
        <v>0.69</v>
      </c>
      <c r="P1875">
        <v>18.352</v>
      </c>
      <c r="Q1875" t="s">
        <v>518</v>
      </c>
      <c r="R1875" s="31">
        <v>12.51</v>
      </c>
    </row>
    <row r="1876" spans="1:18" x14ac:dyDescent="0.3">
      <c r="A1876">
        <v>21</v>
      </c>
      <c r="B1876">
        <v>21</v>
      </c>
      <c r="C1876" t="s">
        <v>18</v>
      </c>
      <c r="D1876">
        <v>3.69</v>
      </c>
      <c r="E1876">
        <v>437.92700000000002</v>
      </c>
      <c r="F1876" t="s">
        <v>408</v>
      </c>
      <c r="G1876" s="31">
        <v>0.11</v>
      </c>
      <c r="L1876">
        <v>9</v>
      </c>
      <c r="M1876">
        <v>9</v>
      </c>
      <c r="N1876" t="s">
        <v>43</v>
      </c>
      <c r="O1876">
        <v>2.54</v>
      </c>
      <c r="P1876">
        <v>9144.5470000000005</v>
      </c>
      <c r="Q1876" t="s">
        <v>519</v>
      </c>
      <c r="R1876" s="31">
        <v>0.1</v>
      </c>
    </row>
    <row r="1877" spans="1:18" x14ac:dyDescent="0.3">
      <c r="A1877">
        <v>22</v>
      </c>
      <c r="B1877">
        <v>22</v>
      </c>
      <c r="C1877" t="s">
        <v>19</v>
      </c>
      <c r="F1877" t="s">
        <v>409</v>
      </c>
      <c r="G1877" s="31">
        <v>0.1</v>
      </c>
      <c r="L1877">
        <v>10</v>
      </c>
      <c r="M1877">
        <v>10</v>
      </c>
      <c r="N1877" t="s">
        <v>52</v>
      </c>
      <c r="O1877">
        <v>4.09</v>
      </c>
      <c r="P1877">
        <v>63955.116999999998</v>
      </c>
      <c r="Q1877" t="s">
        <v>520</v>
      </c>
      <c r="R1877" s="31">
        <v>2.82</v>
      </c>
    </row>
    <row r="1878" spans="1:18" x14ac:dyDescent="0.3">
      <c r="A1878">
        <v>23</v>
      </c>
      <c r="B1878">
        <v>23</v>
      </c>
      <c r="C1878" t="s">
        <v>20</v>
      </c>
      <c r="F1878" t="s">
        <v>410</v>
      </c>
      <c r="G1878" s="31">
        <v>0.1</v>
      </c>
      <c r="L1878">
        <v>11</v>
      </c>
      <c r="M1878">
        <v>11</v>
      </c>
      <c r="N1878" t="s">
        <v>44</v>
      </c>
      <c r="O1878">
        <v>4.16</v>
      </c>
      <c r="P1878">
        <v>1095.0419999999999</v>
      </c>
      <c r="Q1878" t="s">
        <v>521</v>
      </c>
      <c r="R1878" s="31">
        <v>0.15</v>
      </c>
    </row>
    <row r="1879" spans="1:18" x14ac:dyDescent="0.3">
      <c r="A1879">
        <v>24</v>
      </c>
      <c r="B1879">
        <v>24</v>
      </c>
      <c r="C1879" t="s">
        <v>21</v>
      </c>
      <c r="D1879">
        <v>4.17</v>
      </c>
      <c r="E1879">
        <v>5.6479999999999997</v>
      </c>
      <c r="F1879" t="s">
        <v>411</v>
      </c>
      <c r="G1879" s="31">
        <v>0.1</v>
      </c>
      <c r="L1879">
        <v>12</v>
      </c>
      <c r="M1879">
        <v>12</v>
      </c>
      <c r="N1879" t="s">
        <v>45</v>
      </c>
      <c r="O1879">
        <v>3.43</v>
      </c>
      <c r="P1879">
        <v>1068036.125</v>
      </c>
      <c r="Q1879" t="s">
        <v>522</v>
      </c>
      <c r="R1879" s="31">
        <v>15.56</v>
      </c>
    </row>
    <row r="1880" spans="1:18" x14ac:dyDescent="0.3">
      <c r="A1880">
        <v>25</v>
      </c>
      <c r="B1880">
        <v>25</v>
      </c>
      <c r="C1880" t="s">
        <v>22</v>
      </c>
      <c r="D1880">
        <v>3.52</v>
      </c>
      <c r="E1880">
        <v>18.123999999999999</v>
      </c>
      <c r="F1880" t="s">
        <v>412</v>
      </c>
      <c r="G1880" s="31">
        <v>21.19</v>
      </c>
      <c r="L1880">
        <v>13</v>
      </c>
      <c r="M1880">
        <v>13</v>
      </c>
      <c r="N1880" t="s">
        <v>46</v>
      </c>
      <c r="O1880">
        <v>2.57</v>
      </c>
      <c r="P1880">
        <v>134378.42199999999</v>
      </c>
      <c r="Q1880" t="s">
        <v>523</v>
      </c>
      <c r="R1880" s="31">
        <v>4.3499999999999996</v>
      </c>
    </row>
    <row r="1881" spans="1:18" x14ac:dyDescent="0.3">
      <c r="A1881">
        <v>26</v>
      </c>
      <c r="B1881">
        <v>26</v>
      </c>
      <c r="C1881" t="s">
        <v>23</v>
      </c>
      <c r="F1881" t="s">
        <v>413</v>
      </c>
      <c r="G1881" s="31">
        <v>0.1</v>
      </c>
      <c r="L1881">
        <v>14</v>
      </c>
      <c r="M1881">
        <v>14</v>
      </c>
      <c r="N1881" t="s">
        <v>47</v>
      </c>
      <c r="O1881">
        <v>0.68</v>
      </c>
      <c r="P1881">
        <v>26028.35</v>
      </c>
      <c r="Q1881" t="s">
        <v>524</v>
      </c>
      <c r="R1881" s="31">
        <v>8.5</v>
      </c>
    </row>
    <row r="1882" spans="1:18" x14ac:dyDescent="0.3">
      <c r="A1882">
        <v>27</v>
      </c>
      <c r="B1882">
        <v>27</v>
      </c>
      <c r="C1882" t="s">
        <v>24</v>
      </c>
      <c r="D1882">
        <v>3.45</v>
      </c>
      <c r="E1882">
        <v>144.64500000000001</v>
      </c>
      <c r="F1882" t="s">
        <v>414</v>
      </c>
      <c r="G1882" s="31">
        <v>0.1</v>
      </c>
      <c r="L1882">
        <v>15</v>
      </c>
      <c r="M1882">
        <v>15</v>
      </c>
      <c r="N1882" t="s">
        <v>48</v>
      </c>
      <c r="O1882">
        <v>1.21</v>
      </c>
      <c r="P1882">
        <v>13680.562</v>
      </c>
      <c r="Q1882" t="s">
        <v>525</v>
      </c>
      <c r="R1882" s="31">
        <v>1.27</v>
      </c>
    </row>
    <row r="1883" spans="1:18" x14ac:dyDescent="0.3">
      <c r="A1883">
        <v>28</v>
      </c>
      <c r="B1883">
        <v>28</v>
      </c>
      <c r="C1883" t="s">
        <v>25</v>
      </c>
      <c r="F1883" t="s">
        <v>415</v>
      </c>
      <c r="G1883" s="31">
        <v>0.1</v>
      </c>
      <c r="L1883">
        <v>16</v>
      </c>
      <c r="M1883">
        <v>16</v>
      </c>
      <c r="N1883" t="s">
        <v>53</v>
      </c>
      <c r="O1883">
        <v>4.53</v>
      </c>
      <c r="P1883">
        <v>137464.03099999999</v>
      </c>
      <c r="Q1883" t="s">
        <v>526</v>
      </c>
      <c r="R1883" s="31">
        <v>1.38</v>
      </c>
    </row>
    <row r="1884" spans="1:18" x14ac:dyDescent="0.3">
      <c r="A1884">
        <v>29</v>
      </c>
      <c r="B1884">
        <v>29</v>
      </c>
      <c r="C1884" t="s">
        <v>26</v>
      </c>
      <c r="D1884">
        <v>0.6</v>
      </c>
      <c r="E1884">
        <v>0.98099999999999998</v>
      </c>
      <c r="F1884" t="s">
        <v>416</v>
      </c>
      <c r="G1884" s="31">
        <v>3.08</v>
      </c>
      <c r="L1884">
        <v>17</v>
      </c>
      <c r="M1884">
        <v>17</v>
      </c>
      <c r="N1884" t="s">
        <v>54</v>
      </c>
      <c r="O1884">
        <v>5.22</v>
      </c>
      <c r="P1884">
        <v>25.835999999999999</v>
      </c>
      <c r="Q1884" t="s">
        <v>527</v>
      </c>
      <c r="R1884" s="31">
        <v>0.1</v>
      </c>
    </row>
    <row r="1885" spans="1:18" x14ac:dyDescent="0.3">
      <c r="A1885">
        <v>30</v>
      </c>
      <c r="B1885">
        <v>30</v>
      </c>
      <c r="C1885" t="s">
        <v>27</v>
      </c>
      <c r="D1885">
        <v>4.33</v>
      </c>
      <c r="E1885">
        <v>59.774999999999999</v>
      </c>
      <c r="F1885" t="s">
        <v>417</v>
      </c>
      <c r="G1885" s="31">
        <v>0.14000000000000001</v>
      </c>
      <c r="L1885">
        <v>18</v>
      </c>
      <c r="M1885">
        <v>18</v>
      </c>
      <c r="N1885" t="s">
        <v>55</v>
      </c>
      <c r="O1885">
        <v>1.31</v>
      </c>
      <c r="P1885">
        <v>2146.7640000000001</v>
      </c>
      <c r="Q1885" t="s">
        <v>528</v>
      </c>
      <c r="R1885" s="31">
        <v>0.06</v>
      </c>
    </row>
    <row r="1886" spans="1:18" x14ac:dyDescent="0.3">
      <c r="A1886">
        <v>31</v>
      </c>
      <c r="B1886">
        <v>31</v>
      </c>
      <c r="C1886" t="s">
        <v>28</v>
      </c>
      <c r="D1886">
        <v>3.06</v>
      </c>
      <c r="E1886">
        <v>17.361000000000001</v>
      </c>
      <c r="F1886" t="s">
        <v>418</v>
      </c>
      <c r="G1886" s="31">
        <v>0.1</v>
      </c>
      <c r="L1886">
        <v>19</v>
      </c>
      <c r="M1886">
        <v>19</v>
      </c>
      <c r="N1886" t="s">
        <v>56</v>
      </c>
      <c r="O1886">
        <v>0.87</v>
      </c>
      <c r="P1886">
        <v>29913.526999999998</v>
      </c>
      <c r="Q1886" t="s">
        <v>529</v>
      </c>
      <c r="R1886" s="31">
        <v>1.04</v>
      </c>
    </row>
    <row r="1887" spans="1:18" x14ac:dyDescent="0.3">
      <c r="A1887">
        <v>32</v>
      </c>
      <c r="B1887">
        <v>32</v>
      </c>
      <c r="C1887" t="s">
        <v>29</v>
      </c>
      <c r="F1887" t="s">
        <v>419</v>
      </c>
      <c r="G1887" s="31">
        <v>0.1</v>
      </c>
      <c r="L1887">
        <v>20</v>
      </c>
      <c r="M1887">
        <v>20</v>
      </c>
      <c r="N1887" t="s">
        <v>57</v>
      </c>
      <c r="O1887">
        <v>1.51</v>
      </c>
      <c r="P1887">
        <v>440.92399999999998</v>
      </c>
      <c r="Q1887" t="s">
        <v>530</v>
      </c>
      <c r="R1887" s="31">
        <v>0.11</v>
      </c>
    </row>
    <row r="1888" spans="1:18" x14ac:dyDescent="0.3">
      <c r="A1888">
        <v>33</v>
      </c>
      <c r="B1888">
        <v>33</v>
      </c>
      <c r="C1888" t="s">
        <v>30</v>
      </c>
      <c r="D1888">
        <v>4.67</v>
      </c>
      <c r="E1888">
        <v>15.26</v>
      </c>
      <c r="F1888" t="s">
        <v>420</v>
      </c>
      <c r="G1888" s="31">
        <v>3.35</v>
      </c>
      <c r="L1888">
        <v>21</v>
      </c>
      <c r="M1888">
        <v>21</v>
      </c>
      <c r="N1888" t="s">
        <v>58</v>
      </c>
      <c r="O1888">
        <v>2.4300000000000002</v>
      </c>
      <c r="P1888">
        <v>29.966000000000001</v>
      </c>
      <c r="Q1888" t="s">
        <v>531</v>
      </c>
      <c r="R1888" s="31">
        <v>0.13</v>
      </c>
    </row>
    <row r="1889" spans="1:18" x14ac:dyDescent="0.3">
      <c r="A1889">
        <v>34</v>
      </c>
      <c r="B1889">
        <v>34</v>
      </c>
      <c r="C1889" t="s">
        <v>31</v>
      </c>
      <c r="D1889">
        <v>3.6</v>
      </c>
      <c r="E1889">
        <v>8.9570000000000007</v>
      </c>
      <c r="F1889" t="s">
        <v>421</v>
      </c>
      <c r="G1889" s="31">
        <v>0.11</v>
      </c>
      <c r="L1889">
        <v>22</v>
      </c>
      <c r="M1889">
        <v>22</v>
      </c>
      <c r="N1889" t="s">
        <v>59</v>
      </c>
      <c r="O1889">
        <v>2.4900000000000002</v>
      </c>
      <c r="P1889">
        <v>144413.34400000001</v>
      </c>
      <c r="Q1889" t="s">
        <v>532</v>
      </c>
      <c r="R1889" s="31">
        <v>14.23</v>
      </c>
    </row>
    <row r="1890" spans="1:18" x14ac:dyDescent="0.3">
      <c r="A1890">
        <v>35</v>
      </c>
      <c r="B1890">
        <v>35</v>
      </c>
      <c r="C1890" t="s">
        <v>32</v>
      </c>
      <c r="D1890">
        <v>3.06</v>
      </c>
      <c r="E1890">
        <v>17.905999999999999</v>
      </c>
      <c r="F1890" t="s">
        <v>422</v>
      </c>
      <c r="G1890" s="31">
        <v>0.1</v>
      </c>
      <c r="L1890">
        <v>23</v>
      </c>
      <c r="M1890">
        <v>23</v>
      </c>
      <c r="N1890" t="s">
        <v>60</v>
      </c>
      <c r="O1890">
        <v>2.57</v>
      </c>
      <c r="P1890">
        <v>26775.805</v>
      </c>
      <c r="Q1890" t="s">
        <v>533</v>
      </c>
      <c r="R1890" s="31">
        <v>1.24</v>
      </c>
    </row>
    <row r="1891" spans="1:18" x14ac:dyDescent="0.3">
      <c r="A1891">
        <v>36</v>
      </c>
      <c r="B1891">
        <v>36</v>
      </c>
      <c r="C1891" t="s">
        <v>33</v>
      </c>
      <c r="D1891">
        <v>1.88</v>
      </c>
      <c r="E1891">
        <v>10.836</v>
      </c>
      <c r="F1891" t="s">
        <v>423</v>
      </c>
      <c r="G1891" s="31">
        <v>0.08</v>
      </c>
    </row>
    <row r="1892" spans="1:18" x14ac:dyDescent="0.3">
      <c r="L1892" t="s">
        <v>379</v>
      </c>
    </row>
    <row r="1893" spans="1:18" x14ac:dyDescent="0.3">
      <c r="A1893" t="s">
        <v>379</v>
      </c>
    </row>
    <row r="1894" spans="1:18" x14ac:dyDescent="0.3">
      <c r="L1894" t="s">
        <v>557</v>
      </c>
    </row>
    <row r="1895" spans="1:18" x14ac:dyDescent="0.3">
      <c r="A1895" t="s">
        <v>456</v>
      </c>
    </row>
    <row r="1896" spans="1:18" x14ac:dyDescent="0.3">
      <c r="L1896" t="s">
        <v>595</v>
      </c>
    </row>
    <row r="1897" spans="1:18" x14ac:dyDescent="0.3">
      <c r="A1897" t="s">
        <v>467</v>
      </c>
    </row>
    <row r="1898" spans="1:18" x14ac:dyDescent="0.3">
      <c r="M1898" t="s">
        <v>382</v>
      </c>
      <c r="N1898" t="s">
        <v>383</v>
      </c>
      <c r="O1898" t="s">
        <v>384</v>
      </c>
      <c r="P1898" t="s">
        <v>385</v>
      </c>
      <c r="Q1898" t="s">
        <v>386</v>
      </c>
      <c r="R1898" s="31" t="s">
        <v>387</v>
      </c>
    </row>
    <row r="1899" spans="1:18" x14ac:dyDescent="0.3">
      <c r="B1899" t="s">
        <v>382</v>
      </c>
      <c r="C1899" t="s">
        <v>383</v>
      </c>
      <c r="D1899" t="s">
        <v>384</v>
      </c>
      <c r="E1899" t="s">
        <v>385</v>
      </c>
      <c r="F1899" t="s">
        <v>386</v>
      </c>
      <c r="G1899" s="31" t="s">
        <v>387</v>
      </c>
      <c r="L1899">
        <v>1</v>
      </c>
      <c r="M1899">
        <v>1</v>
      </c>
      <c r="N1899" t="s">
        <v>35</v>
      </c>
      <c r="O1899">
        <v>1.43</v>
      </c>
      <c r="P1899">
        <v>237.196</v>
      </c>
      <c r="Q1899" t="s">
        <v>511</v>
      </c>
      <c r="R1899" s="31">
        <v>10.029999999999999</v>
      </c>
    </row>
    <row r="1900" spans="1:18" x14ac:dyDescent="0.3">
      <c r="A1900">
        <v>1</v>
      </c>
      <c r="B1900">
        <v>1</v>
      </c>
      <c r="C1900" t="s">
        <v>0</v>
      </c>
      <c r="D1900">
        <v>1.01</v>
      </c>
      <c r="E1900">
        <v>1681.52</v>
      </c>
      <c r="F1900" t="s">
        <v>388</v>
      </c>
      <c r="G1900" s="31">
        <v>17.239999999999998</v>
      </c>
      <c r="L1900">
        <v>2</v>
      </c>
      <c r="M1900">
        <v>2</v>
      </c>
      <c r="N1900" t="s">
        <v>36</v>
      </c>
      <c r="O1900">
        <v>1.65</v>
      </c>
      <c r="P1900">
        <v>2010750.25</v>
      </c>
      <c r="Q1900" t="s">
        <v>512</v>
      </c>
      <c r="R1900" s="31">
        <v>312.23</v>
      </c>
    </row>
    <row r="1901" spans="1:18" x14ac:dyDescent="0.3">
      <c r="A1901">
        <v>2</v>
      </c>
      <c r="B1901">
        <v>2</v>
      </c>
      <c r="C1901" t="s">
        <v>1</v>
      </c>
      <c r="D1901">
        <v>1.45</v>
      </c>
      <c r="E1901">
        <v>17726.157999999999</v>
      </c>
      <c r="F1901" t="s">
        <v>389</v>
      </c>
      <c r="G1901" s="31">
        <v>32.81</v>
      </c>
      <c r="L1901">
        <v>3</v>
      </c>
      <c r="M1901">
        <v>3</v>
      </c>
      <c r="N1901" t="s">
        <v>37</v>
      </c>
      <c r="O1901">
        <v>1.79</v>
      </c>
      <c r="P1901">
        <v>1208.605</v>
      </c>
      <c r="Q1901" t="s">
        <v>513</v>
      </c>
      <c r="R1901" s="31">
        <v>0.34</v>
      </c>
    </row>
    <row r="1902" spans="1:18" x14ac:dyDescent="0.3">
      <c r="A1902">
        <v>3</v>
      </c>
      <c r="B1902">
        <v>3</v>
      </c>
      <c r="C1902" t="s">
        <v>50</v>
      </c>
      <c r="D1902">
        <v>3.59</v>
      </c>
      <c r="E1902">
        <v>192.87799999999999</v>
      </c>
      <c r="F1902" t="s">
        <v>390</v>
      </c>
      <c r="G1902" s="31">
        <v>0.19</v>
      </c>
      <c r="L1902">
        <v>4</v>
      </c>
      <c r="M1902">
        <v>4</v>
      </c>
      <c r="N1902" t="s">
        <v>38</v>
      </c>
      <c r="O1902">
        <v>1.17</v>
      </c>
      <c r="P1902">
        <v>4632.3599999999997</v>
      </c>
      <c r="Q1902" t="s">
        <v>514</v>
      </c>
      <c r="R1902" s="31">
        <v>0.89</v>
      </c>
    </row>
    <row r="1903" spans="1:18" x14ac:dyDescent="0.3">
      <c r="A1903">
        <v>4</v>
      </c>
      <c r="B1903">
        <v>4</v>
      </c>
      <c r="C1903" t="s">
        <v>2</v>
      </c>
      <c r="D1903">
        <v>3.7</v>
      </c>
      <c r="E1903">
        <v>15971.968000000001</v>
      </c>
      <c r="F1903" t="s">
        <v>391</v>
      </c>
      <c r="G1903" s="31">
        <v>1.34</v>
      </c>
      <c r="L1903">
        <v>5</v>
      </c>
      <c r="M1903">
        <v>5</v>
      </c>
      <c r="N1903" t="s">
        <v>39</v>
      </c>
      <c r="O1903">
        <v>1.37</v>
      </c>
      <c r="P1903">
        <v>316607.43800000002</v>
      </c>
      <c r="Q1903" t="s">
        <v>515</v>
      </c>
      <c r="R1903" s="31">
        <v>69.75</v>
      </c>
    </row>
    <row r="1904" spans="1:18" x14ac:dyDescent="0.3">
      <c r="A1904">
        <v>5</v>
      </c>
      <c r="B1904">
        <v>5</v>
      </c>
      <c r="C1904" t="s">
        <v>3</v>
      </c>
      <c r="D1904">
        <v>4.49</v>
      </c>
      <c r="E1904">
        <v>94.135999999999996</v>
      </c>
      <c r="F1904" t="s">
        <v>392</v>
      </c>
      <c r="G1904" s="31">
        <v>0.1</v>
      </c>
      <c r="L1904">
        <v>6</v>
      </c>
      <c r="M1904">
        <v>6</v>
      </c>
      <c r="N1904" t="s">
        <v>40</v>
      </c>
      <c r="O1904">
        <v>1.52</v>
      </c>
      <c r="P1904">
        <v>39526.035000000003</v>
      </c>
      <c r="Q1904" t="s">
        <v>516</v>
      </c>
      <c r="R1904" s="31">
        <v>4.97</v>
      </c>
    </row>
    <row r="1905" spans="1:18" x14ac:dyDescent="0.3">
      <c r="A1905">
        <v>6</v>
      </c>
      <c r="B1905">
        <v>6</v>
      </c>
      <c r="C1905" t="s">
        <v>4</v>
      </c>
      <c r="D1905">
        <v>4.8</v>
      </c>
      <c r="E1905">
        <v>30249.440999999999</v>
      </c>
      <c r="F1905" t="s">
        <v>393</v>
      </c>
      <c r="G1905" s="31">
        <v>1.97</v>
      </c>
      <c r="L1905">
        <v>7</v>
      </c>
      <c r="M1905">
        <v>7</v>
      </c>
      <c r="N1905" t="s">
        <v>41</v>
      </c>
      <c r="O1905">
        <v>2.27</v>
      </c>
      <c r="P1905">
        <v>5497.3209999999999</v>
      </c>
      <c r="Q1905" t="s">
        <v>517</v>
      </c>
      <c r="R1905" s="31">
        <v>6.27</v>
      </c>
    </row>
    <row r="1906" spans="1:18" x14ac:dyDescent="0.3">
      <c r="A1906">
        <v>7</v>
      </c>
      <c r="B1906">
        <v>7</v>
      </c>
      <c r="C1906" t="s">
        <v>5</v>
      </c>
      <c r="D1906">
        <v>2.7</v>
      </c>
      <c r="E1906">
        <v>1773.1569999999999</v>
      </c>
      <c r="F1906" t="s">
        <v>394</v>
      </c>
      <c r="G1906" s="31">
        <v>0.37</v>
      </c>
      <c r="L1906">
        <v>8</v>
      </c>
      <c r="M1906">
        <v>8</v>
      </c>
      <c r="N1906" t="s">
        <v>42</v>
      </c>
      <c r="O1906">
        <v>0.88</v>
      </c>
      <c r="P1906">
        <v>5.6520000000000001</v>
      </c>
      <c r="Q1906" t="s">
        <v>518</v>
      </c>
      <c r="R1906" s="31">
        <v>22.11</v>
      </c>
    </row>
    <row r="1907" spans="1:18" x14ac:dyDescent="0.3">
      <c r="A1907">
        <v>8</v>
      </c>
      <c r="B1907">
        <v>8</v>
      </c>
      <c r="C1907" t="s">
        <v>6</v>
      </c>
      <c r="D1907">
        <v>0.67</v>
      </c>
      <c r="E1907">
        <v>2550.4470000000001</v>
      </c>
      <c r="F1907" t="s">
        <v>395</v>
      </c>
      <c r="G1907" s="31">
        <v>39.869999999999997</v>
      </c>
      <c r="L1907">
        <v>9</v>
      </c>
      <c r="M1907">
        <v>9</v>
      </c>
      <c r="N1907" t="s">
        <v>43</v>
      </c>
      <c r="O1907">
        <v>2.54</v>
      </c>
      <c r="P1907">
        <v>30592.52</v>
      </c>
      <c r="Q1907" t="s">
        <v>519</v>
      </c>
      <c r="R1907" s="31">
        <v>0.59</v>
      </c>
    </row>
    <row r="1908" spans="1:18" x14ac:dyDescent="0.3">
      <c r="A1908">
        <v>9</v>
      </c>
      <c r="B1908">
        <v>9</v>
      </c>
      <c r="C1908" t="s">
        <v>7</v>
      </c>
      <c r="D1908">
        <v>3.56</v>
      </c>
      <c r="E1908">
        <v>108.65</v>
      </c>
      <c r="F1908" t="s">
        <v>396</v>
      </c>
      <c r="G1908" s="31">
        <v>0.52</v>
      </c>
      <c r="L1908">
        <v>10</v>
      </c>
      <c r="M1908">
        <v>10</v>
      </c>
      <c r="N1908" t="s">
        <v>52</v>
      </c>
      <c r="O1908">
        <v>4.1100000000000003</v>
      </c>
      <c r="P1908">
        <v>13883.856</v>
      </c>
      <c r="Q1908" t="s">
        <v>520</v>
      </c>
      <c r="R1908" s="31">
        <v>0.8</v>
      </c>
    </row>
    <row r="1909" spans="1:18" x14ac:dyDescent="0.3">
      <c r="A1909">
        <v>10</v>
      </c>
      <c r="B1909">
        <v>10</v>
      </c>
      <c r="C1909" t="s">
        <v>51</v>
      </c>
      <c r="D1909">
        <v>4.6399999999999997</v>
      </c>
      <c r="E1909">
        <v>294.49</v>
      </c>
      <c r="F1909" t="s">
        <v>397</v>
      </c>
      <c r="G1909" s="31">
        <v>0.08</v>
      </c>
      <c r="L1909">
        <v>11</v>
      </c>
      <c r="M1909">
        <v>11</v>
      </c>
      <c r="N1909" t="s">
        <v>44</v>
      </c>
      <c r="O1909">
        <v>4.18</v>
      </c>
      <c r="P1909">
        <v>1484.33</v>
      </c>
      <c r="Q1909" t="s">
        <v>521</v>
      </c>
      <c r="R1909" s="31">
        <v>0.33</v>
      </c>
    </row>
    <row r="1910" spans="1:18" x14ac:dyDescent="0.3">
      <c r="A1910">
        <v>11</v>
      </c>
      <c r="B1910">
        <v>11</v>
      </c>
      <c r="C1910" t="s">
        <v>8</v>
      </c>
      <c r="D1910">
        <v>2.74</v>
      </c>
      <c r="E1910">
        <v>24875.866999999998</v>
      </c>
      <c r="F1910" t="s">
        <v>398</v>
      </c>
      <c r="G1910" s="31">
        <v>1.84</v>
      </c>
      <c r="L1910">
        <v>12</v>
      </c>
      <c r="M1910">
        <v>12</v>
      </c>
      <c r="N1910" t="s">
        <v>45</v>
      </c>
      <c r="O1910">
        <v>3.44</v>
      </c>
      <c r="P1910">
        <v>1909077.125</v>
      </c>
      <c r="Q1910" t="s">
        <v>522</v>
      </c>
      <c r="R1910" s="31">
        <v>55.89</v>
      </c>
    </row>
    <row r="1911" spans="1:18" x14ac:dyDescent="0.3">
      <c r="A1911">
        <v>12</v>
      </c>
      <c r="B1911">
        <v>12</v>
      </c>
      <c r="C1911" t="s">
        <v>9</v>
      </c>
      <c r="D1911">
        <v>2.62</v>
      </c>
      <c r="E1911">
        <v>3186.165</v>
      </c>
      <c r="F1911" t="s">
        <v>399</v>
      </c>
      <c r="G1911" s="31">
        <v>1.69</v>
      </c>
      <c r="L1911">
        <v>13</v>
      </c>
      <c r="M1911">
        <v>13</v>
      </c>
      <c r="N1911" t="s">
        <v>46</v>
      </c>
      <c r="O1911">
        <v>2.59</v>
      </c>
      <c r="P1911">
        <v>141827.67199999999</v>
      </c>
      <c r="Q1911" t="s">
        <v>523</v>
      </c>
      <c r="R1911" s="31">
        <v>8.1999999999999993</v>
      </c>
    </row>
    <row r="1912" spans="1:18" x14ac:dyDescent="0.3">
      <c r="A1912">
        <v>13</v>
      </c>
      <c r="B1912">
        <v>13</v>
      </c>
      <c r="C1912" t="s">
        <v>10</v>
      </c>
      <c r="D1912">
        <v>4.09</v>
      </c>
      <c r="E1912">
        <v>158633.03099999999</v>
      </c>
      <c r="F1912" t="s">
        <v>400</v>
      </c>
      <c r="G1912" s="31">
        <v>3.33</v>
      </c>
      <c r="L1912">
        <v>14</v>
      </c>
      <c r="M1912">
        <v>14</v>
      </c>
      <c r="N1912" t="s">
        <v>47</v>
      </c>
      <c r="O1912">
        <v>0.68</v>
      </c>
      <c r="P1912">
        <v>41974.75</v>
      </c>
      <c r="Q1912" t="s">
        <v>524</v>
      </c>
      <c r="R1912" s="31">
        <v>25.59</v>
      </c>
    </row>
    <row r="1913" spans="1:18" x14ac:dyDescent="0.3">
      <c r="A1913">
        <v>14</v>
      </c>
      <c r="B1913">
        <v>14</v>
      </c>
      <c r="C1913" t="s">
        <v>11</v>
      </c>
      <c r="D1913">
        <v>3.52</v>
      </c>
      <c r="E1913">
        <v>9.4879999999999995</v>
      </c>
      <c r="F1913" t="s">
        <v>401</v>
      </c>
      <c r="G1913" s="31">
        <v>1.99</v>
      </c>
      <c r="L1913">
        <v>15</v>
      </c>
      <c r="M1913">
        <v>15</v>
      </c>
      <c r="N1913" t="s">
        <v>48</v>
      </c>
      <c r="O1913">
        <v>1.21</v>
      </c>
      <c r="P1913">
        <v>35491.75</v>
      </c>
      <c r="Q1913" t="s">
        <v>525</v>
      </c>
      <c r="R1913" s="31">
        <v>6.47</v>
      </c>
    </row>
    <row r="1914" spans="1:18" x14ac:dyDescent="0.3">
      <c r="A1914">
        <v>15</v>
      </c>
      <c r="B1914">
        <v>15</v>
      </c>
      <c r="C1914" t="s">
        <v>12</v>
      </c>
      <c r="D1914">
        <v>3.32</v>
      </c>
      <c r="E1914">
        <v>140.113</v>
      </c>
      <c r="F1914" t="s">
        <v>402</v>
      </c>
      <c r="G1914" s="31">
        <v>0.83</v>
      </c>
      <c r="L1914">
        <v>16</v>
      </c>
      <c r="M1914">
        <v>16</v>
      </c>
      <c r="N1914" t="s">
        <v>53</v>
      </c>
      <c r="O1914">
        <v>4.54</v>
      </c>
      <c r="P1914">
        <v>121525.109</v>
      </c>
      <c r="Q1914" t="s">
        <v>526</v>
      </c>
      <c r="R1914" s="31">
        <v>2.15</v>
      </c>
    </row>
    <row r="1915" spans="1:18" x14ac:dyDescent="0.3">
      <c r="A1915">
        <v>16</v>
      </c>
      <c r="B1915">
        <v>16</v>
      </c>
      <c r="C1915" t="s">
        <v>13</v>
      </c>
      <c r="D1915">
        <v>3.23</v>
      </c>
      <c r="E1915">
        <v>3361.3879999999999</v>
      </c>
      <c r="F1915" t="s">
        <v>403</v>
      </c>
      <c r="G1915" s="31">
        <v>1.05</v>
      </c>
      <c r="L1915">
        <v>17</v>
      </c>
      <c r="M1915">
        <v>17</v>
      </c>
      <c r="N1915" t="s">
        <v>54</v>
      </c>
      <c r="O1915">
        <v>5.28</v>
      </c>
      <c r="P1915">
        <v>63.636000000000003</v>
      </c>
      <c r="Q1915" t="s">
        <v>527</v>
      </c>
      <c r="R1915" s="31">
        <v>0.1</v>
      </c>
    </row>
    <row r="1916" spans="1:18" x14ac:dyDescent="0.3">
      <c r="A1916">
        <v>17</v>
      </c>
      <c r="B1916">
        <v>17</v>
      </c>
      <c r="C1916" t="s">
        <v>14</v>
      </c>
      <c r="D1916">
        <v>2</v>
      </c>
      <c r="E1916">
        <v>13802.949000000001</v>
      </c>
      <c r="F1916" t="s">
        <v>404</v>
      </c>
      <c r="G1916" s="31">
        <v>3.13</v>
      </c>
      <c r="L1916">
        <v>18</v>
      </c>
      <c r="M1916">
        <v>18</v>
      </c>
      <c r="N1916" t="s">
        <v>55</v>
      </c>
      <c r="O1916">
        <v>1.32</v>
      </c>
      <c r="P1916">
        <v>5544.2719999999999</v>
      </c>
      <c r="Q1916" t="s">
        <v>528</v>
      </c>
      <c r="R1916" s="31">
        <v>0.27</v>
      </c>
    </row>
    <row r="1917" spans="1:18" x14ac:dyDescent="0.3">
      <c r="A1917">
        <v>18</v>
      </c>
      <c r="B1917">
        <v>18</v>
      </c>
      <c r="C1917" t="s">
        <v>15</v>
      </c>
      <c r="D1917">
        <v>2.4900000000000002</v>
      </c>
      <c r="E1917">
        <v>24843.412</v>
      </c>
      <c r="F1917" t="s">
        <v>405</v>
      </c>
      <c r="G1917" s="31">
        <v>15.81</v>
      </c>
      <c r="L1917">
        <v>19</v>
      </c>
      <c r="M1917">
        <v>19</v>
      </c>
      <c r="N1917" t="s">
        <v>56</v>
      </c>
      <c r="O1917">
        <v>0.87</v>
      </c>
      <c r="P1917">
        <v>50052.101999999999</v>
      </c>
      <c r="Q1917" t="s">
        <v>529</v>
      </c>
      <c r="R1917" s="31">
        <v>3.58</v>
      </c>
    </row>
    <row r="1918" spans="1:18" x14ac:dyDescent="0.3">
      <c r="A1918">
        <v>19</v>
      </c>
      <c r="B1918">
        <v>19</v>
      </c>
      <c r="C1918" t="s">
        <v>16</v>
      </c>
      <c r="D1918">
        <v>2.71</v>
      </c>
      <c r="E1918">
        <v>4122.49</v>
      </c>
      <c r="F1918" t="s">
        <v>406</v>
      </c>
      <c r="G1918" s="31">
        <v>0.34</v>
      </c>
      <c r="L1918">
        <v>20</v>
      </c>
      <c r="M1918">
        <v>20</v>
      </c>
      <c r="N1918" t="s">
        <v>57</v>
      </c>
      <c r="O1918">
        <v>1.51</v>
      </c>
      <c r="P1918">
        <v>778.53200000000004</v>
      </c>
      <c r="Q1918" t="s">
        <v>530</v>
      </c>
      <c r="R1918" s="31">
        <v>0.36</v>
      </c>
    </row>
    <row r="1919" spans="1:18" x14ac:dyDescent="0.3">
      <c r="A1919">
        <v>20</v>
      </c>
      <c r="B1919">
        <v>20</v>
      </c>
      <c r="C1919" t="s">
        <v>17</v>
      </c>
      <c r="D1919">
        <v>3.05</v>
      </c>
      <c r="E1919">
        <v>12781.48</v>
      </c>
      <c r="F1919" t="s">
        <v>407</v>
      </c>
      <c r="G1919" s="31">
        <v>3.19</v>
      </c>
      <c r="L1919">
        <v>21</v>
      </c>
      <c r="M1919">
        <v>21</v>
      </c>
      <c r="N1919" t="s">
        <v>58</v>
      </c>
      <c r="O1919">
        <v>2.3199999999999998</v>
      </c>
      <c r="P1919">
        <v>1579.213</v>
      </c>
      <c r="Q1919" t="s">
        <v>531</v>
      </c>
      <c r="R1919" s="31">
        <v>1.1000000000000001</v>
      </c>
    </row>
    <row r="1920" spans="1:18" x14ac:dyDescent="0.3">
      <c r="A1920">
        <v>21</v>
      </c>
      <c r="B1920">
        <v>21</v>
      </c>
      <c r="C1920" t="s">
        <v>18</v>
      </c>
      <c r="D1920">
        <v>3.68</v>
      </c>
      <c r="E1920">
        <v>25651.059000000001</v>
      </c>
      <c r="F1920" t="s">
        <v>408</v>
      </c>
      <c r="G1920" s="31">
        <v>1.51</v>
      </c>
      <c r="L1920">
        <v>22</v>
      </c>
      <c r="M1920">
        <v>22</v>
      </c>
      <c r="N1920" t="s">
        <v>59</v>
      </c>
      <c r="O1920">
        <v>2.5</v>
      </c>
      <c r="P1920">
        <v>114782.398</v>
      </c>
      <c r="Q1920" t="s">
        <v>532</v>
      </c>
      <c r="R1920" s="31">
        <v>19.95</v>
      </c>
    </row>
    <row r="1921" spans="1:18" x14ac:dyDescent="0.3">
      <c r="A1921">
        <v>22</v>
      </c>
      <c r="B1921">
        <v>22</v>
      </c>
      <c r="C1921" t="s">
        <v>19</v>
      </c>
      <c r="D1921">
        <v>2.63</v>
      </c>
      <c r="E1921">
        <v>22266.407999999999</v>
      </c>
      <c r="F1921" t="s">
        <v>409</v>
      </c>
      <c r="G1921" s="31">
        <v>3.6</v>
      </c>
      <c r="L1921">
        <v>23</v>
      </c>
      <c r="M1921">
        <v>23</v>
      </c>
      <c r="N1921" t="s">
        <v>60</v>
      </c>
      <c r="O1921">
        <v>2.57</v>
      </c>
      <c r="P1921">
        <v>31644.01</v>
      </c>
      <c r="Q1921" t="s">
        <v>533</v>
      </c>
      <c r="R1921" s="31">
        <v>2.54</v>
      </c>
    </row>
    <row r="1922" spans="1:18" x14ac:dyDescent="0.3">
      <c r="A1922">
        <v>23</v>
      </c>
      <c r="B1922">
        <v>23</v>
      </c>
      <c r="C1922" t="s">
        <v>20</v>
      </c>
      <c r="D1922">
        <v>2.89</v>
      </c>
      <c r="E1922">
        <v>20310.893</v>
      </c>
      <c r="F1922" t="s">
        <v>410</v>
      </c>
      <c r="G1922" s="31">
        <v>1.66</v>
      </c>
    </row>
    <row r="1923" spans="1:18" x14ac:dyDescent="0.3">
      <c r="A1923">
        <v>24</v>
      </c>
      <c r="B1923">
        <v>24</v>
      </c>
      <c r="C1923" t="s">
        <v>21</v>
      </c>
      <c r="D1923">
        <v>4.1100000000000003</v>
      </c>
      <c r="E1923">
        <v>328.77699999999999</v>
      </c>
      <c r="F1923" t="s">
        <v>411</v>
      </c>
      <c r="G1923" s="31">
        <v>0.12</v>
      </c>
      <c r="L1923" t="s">
        <v>379</v>
      </c>
    </row>
    <row r="1924" spans="1:18" x14ac:dyDescent="0.3">
      <c r="A1924">
        <v>25</v>
      </c>
      <c r="B1924">
        <v>25</v>
      </c>
      <c r="C1924" t="s">
        <v>22</v>
      </c>
      <c r="D1924">
        <v>3.38</v>
      </c>
      <c r="E1924">
        <v>113.39</v>
      </c>
      <c r="F1924" t="s">
        <v>412</v>
      </c>
      <c r="G1924" s="31">
        <v>4.33</v>
      </c>
    </row>
    <row r="1925" spans="1:18" x14ac:dyDescent="0.3">
      <c r="A1925">
        <v>26</v>
      </c>
      <c r="B1925">
        <v>26</v>
      </c>
      <c r="C1925" t="s">
        <v>23</v>
      </c>
      <c r="D1925">
        <v>3.35</v>
      </c>
      <c r="E1925">
        <v>111154.109</v>
      </c>
      <c r="F1925" t="s">
        <v>413</v>
      </c>
      <c r="G1925" s="31">
        <v>13.48</v>
      </c>
      <c r="L1925" t="s">
        <v>557</v>
      </c>
    </row>
    <row r="1926" spans="1:18" x14ac:dyDescent="0.3">
      <c r="A1926">
        <v>27</v>
      </c>
      <c r="B1926">
        <v>27</v>
      </c>
      <c r="C1926" t="s">
        <v>24</v>
      </c>
      <c r="D1926">
        <v>3.44</v>
      </c>
      <c r="E1926">
        <v>268.565</v>
      </c>
      <c r="F1926" t="s">
        <v>414</v>
      </c>
      <c r="G1926" s="31">
        <v>0.05</v>
      </c>
    </row>
    <row r="1927" spans="1:18" x14ac:dyDescent="0.3">
      <c r="A1927">
        <v>28</v>
      </c>
      <c r="B1927">
        <v>28</v>
      </c>
      <c r="C1927" t="s">
        <v>25</v>
      </c>
      <c r="D1927">
        <v>3.51</v>
      </c>
      <c r="E1927">
        <v>1886.096</v>
      </c>
      <c r="F1927" t="s">
        <v>415</v>
      </c>
      <c r="G1927" s="31">
        <v>0.65</v>
      </c>
      <c r="L1927" t="s">
        <v>596</v>
      </c>
    </row>
    <row r="1928" spans="1:18" x14ac:dyDescent="0.3">
      <c r="A1928">
        <v>29</v>
      </c>
      <c r="B1928">
        <v>29</v>
      </c>
      <c r="C1928" t="s">
        <v>26</v>
      </c>
      <c r="D1928">
        <v>1.03</v>
      </c>
      <c r="E1928">
        <v>743.62099999999998</v>
      </c>
      <c r="F1928" t="s">
        <v>416</v>
      </c>
      <c r="G1928" s="31">
        <v>1.35</v>
      </c>
    </row>
    <row r="1929" spans="1:18" x14ac:dyDescent="0.3">
      <c r="A1929">
        <v>30</v>
      </c>
      <c r="B1929">
        <v>30</v>
      </c>
      <c r="C1929" t="s">
        <v>27</v>
      </c>
      <c r="D1929">
        <v>4.33</v>
      </c>
      <c r="E1929">
        <v>452.90800000000002</v>
      </c>
      <c r="F1929" t="s">
        <v>417</v>
      </c>
      <c r="G1929" s="31">
        <v>0.06</v>
      </c>
      <c r="M1929" t="s">
        <v>382</v>
      </c>
      <c r="N1929" t="s">
        <v>383</v>
      </c>
      <c r="O1929" t="s">
        <v>384</v>
      </c>
      <c r="P1929" t="s">
        <v>385</v>
      </c>
      <c r="Q1929" t="s">
        <v>386</v>
      </c>
      <c r="R1929" s="31" t="s">
        <v>387</v>
      </c>
    </row>
    <row r="1930" spans="1:18" x14ac:dyDescent="0.3">
      <c r="A1930">
        <v>31</v>
      </c>
      <c r="B1930">
        <v>31</v>
      </c>
      <c r="C1930" t="s">
        <v>28</v>
      </c>
      <c r="D1930">
        <v>3</v>
      </c>
      <c r="E1930">
        <v>44871.891000000003</v>
      </c>
      <c r="F1930" t="s">
        <v>418</v>
      </c>
      <c r="G1930" s="31">
        <v>0.18</v>
      </c>
      <c r="L1930">
        <v>1</v>
      </c>
      <c r="M1930">
        <v>1</v>
      </c>
      <c r="N1930" t="s">
        <v>35</v>
      </c>
      <c r="Q1930" t="s">
        <v>511</v>
      </c>
      <c r="R1930" s="31">
        <v>0.1</v>
      </c>
    </row>
    <row r="1931" spans="1:18" x14ac:dyDescent="0.3">
      <c r="A1931">
        <v>32</v>
      </c>
      <c r="B1931">
        <v>32</v>
      </c>
      <c r="C1931" t="s">
        <v>29</v>
      </c>
      <c r="D1931">
        <v>3.35</v>
      </c>
      <c r="E1931">
        <v>489.86200000000002</v>
      </c>
      <c r="F1931" t="s">
        <v>419</v>
      </c>
      <c r="G1931" s="31">
        <v>0.13</v>
      </c>
      <c r="L1931">
        <v>2</v>
      </c>
      <c r="M1931">
        <v>2</v>
      </c>
      <c r="N1931" t="s">
        <v>36</v>
      </c>
      <c r="O1931">
        <v>1.69</v>
      </c>
      <c r="P1931">
        <v>57.734000000000002</v>
      </c>
      <c r="Q1931" t="s">
        <v>512</v>
      </c>
      <c r="R1931" s="31">
        <v>427.77</v>
      </c>
    </row>
    <row r="1932" spans="1:18" x14ac:dyDescent="0.3">
      <c r="A1932">
        <v>33</v>
      </c>
      <c r="B1932">
        <v>33</v>
      </c>
      <c r="C1932" t="s">
        <v>30</v>
      </c>
      <c r="D1932">
        <v>4.67</v>
      </c>
      <c r="E1932">
        <v>24002.596000000001</v>
      </c>
      <c r="F1932" t="s">
        <v>420</v>
      </c>
      <c r="G1932" s="31">
        <v>1.08</v>
      </c>
      <c r="L1932">
        <v>3</v>
      </c>
      <c r="M1932">
        <v>3</v>
      </c>
      <c r="N1932" t="s">
        <v>37</v>
      </c>
      <c r="Q1932" t="s">
        <v>513</v>
      </c>
      <c r="R1932" s="31">
        <v>0.1</v>
      </c>
    </row>
    <row r="1933" spans="1:18" x14ac:dyDescent="0.3">
      <c r="A1933">
        <v>34</v>
      </c>
      <c r="B1933">
        <v>34</v>
      </c>
      <c r="C1933" t="s">
        <v>31</v>
      </c>
      <c r="D1933">
        <v>3.5</v>
      </c>
      <c r="E1933">
        <v>479.42899999999997</v>
      </c>
      <c r="F1933" t="s">
        <v>421</v>
      </c>
      <c r="G1933" s="31">
        <v>7.0000000000000007E-2</v>
      </c>
      <c r="L1933">
        <v>4</v>
      </c>
      <c r="M1933">
        <v>4</v>
      </c>
      <c r="N1933" t="s">
        <v>38</v>
      </c>
      <c r="O1933">
        <v>1.25</v>
      </c>
      <c r="P1933">
        <v>61.463999999999999</v>
      </c>
      <c r="Q1933" t="s">
        <v>514</v>
      </c>
      <c r="R1933" s="31">
        <v>0.68</v>
      </c>
    </row>
    <row r="1934" spans="1:18" x14ac:dyDescent="0.3">
      <c r="A1934">
        <v>35</v>
      </c>
      <c r="B1934">
        <v>35</v>
      </c>
      <c r="C1934" t="s">
        <v>32</v>
      </c>
      <c r="D1934">
        <v>3.06</v>
      </c>
      <c r="E1934">
        <v>68.906000000000006</v>
      </c>
      <c r="F1934" t="s">
        <v>422</v>
      </c>
      <c r="G1934" s="31">
        <v>0.1</v>
      </c>
      <c r="L1934">
        <v>5</v>
      </c>
      <c r="M1934">
        <v>5</v>
      </c>
      <c r="N1934" t="s">
        <v>39</v>
      </c>
      <c r="O1934">
        <v>1.42</v>
      </c>
      <c r="P1934">
        <v>83.662999999999997</v>
      </c>
      <c r="Q1934" t="s">
        <v>515</v>
      </c>
      <c r="R1934" s="31">
        <v>45.94</v>
      </c>
    </row>
    <row r="1935" spans="1:18" x14ac:dyDescent="0.3">
      <c r="A1935">
        <v>36</v>
      </c>
      <c r="B1935">
        <v>36</v>
      </c>
      <c r="C1935" t="s">
        <v>33</v>
      </c>
      <c r="D1935">
        <v>1.88</v>
      </c>
      <c r="E1935">
        <v>832.43899999999996</v>
      </c>
      <c r="F1935" t="s">
        <v>423</v>
      </c>
      <c r="G1935" s="31">
        <v>0.73</v>
      </c>
      <c r="L1935">
        <v>6</v>
      </c>
      <c r="M1935">
        <v>6</v>
      </c>
      <c r="N1935" t="s">
        <v>40</v>
      </c>
      <c r="Q1935" t="s">
        <v>516</v>
      </c>
      <c r="R1935" s="31">
        <v>0.1</v>
      </c>
    </row>
    <row r="1936" spans="1:18" x14ac:dyDescent="0.3">
      <c r="G1936" s="31">
        <f>G1913/G1915</f>
        <v>1.8952380952380952</v>
      </c>
      <c r="L1936">
        <v>7</v>
      </c>
      <c r="M1936">
        <v>7</v>
      </c>
      <c r="N1936" t="s">
        <v>41</v>
      </c>
      <c r="Q1936" t="s">
        <v>517</v>
      </c>
      <c r="R1936" s="31">
        <v>0.1</v>
      </c>
    </row>
    <row r="1937" spans="1:18" x14ac:dyDescent="0.3">
      <c r="A1937" t="s">
        <v>379</v>
      </c>
      <c r="L1937">
        <v>8</v>
      </c>
      <c r="M1937">
        <v>8</v>
      </c>
      <c r="N1937" t="s">
        <v>42</v>
      </c>
      <c r="Q1937" t="s">
        <v>518</v>
      </c>
      <c r="R1937" s="31">
        <v>0.1</v>
      </c>
    </row>
    <row r="1938" spans="1:18" x14ac:dyDescent="0.3">
      <c r="L1938">
        <v>9</v>
      </c>
      <c r="M1938">
        <v>9</v>
      </c>
      <c r="N1938" t="s">
        <v>43</v>
      </c>
      <c r="O1938">
        <v>2.42</v>
      </c>
      <c r="P1938">
        <v>1.958</v>
      </c>
      <c r="Q1938" t="s">
        <v>519</v>
      </c>
      <c r="R1938" s="31">
        <v>0.11</v>
      </c>
    </row>
    <row r="1939" spans="1:18" x14ac:dyDescent="0.3">
      <c r="A1939" t="s">
        <v>456</v>
      </c>
      <c r="L1939">
        <v>10</v>
      </c>
      <c r="M1939">
        <v>10</v>
      </c>
      <c r="N1939" t="s">
        <v>52</v>
      </c>
      <c r="O1939">
        <v>4.1500000000000004</v>
      </c>
      <c r="P1939">
        <v>6.2839999999999998</v>
      </c>
      <c r="Q1939" t="s">
        <v>520</v>
      </c>
      <c r="R1939" s="31">
        <v>0.1</v>
      </c>
    </row>
    <row r="1940" spans="1:18" x14ac:dyDescent="0.3">
      <c r="L1940">
        <v>11</v>
      </c>
      <c r="M1940">
        <v>11</v>
      </c>
      <c r="N1940" t="s">
        <v>44</v>
      </c>
      <c r="Q1940" t="s">
        <v>521</v>
      </c>
      <c r="R1940" s="31">
        <v>0.1</v>
      </c>
    </row>
    <row r="1941" spans="1:18" x14ac:dyDescent="0.3">
      <c r="A1941" t="s">
        <v>468</v>
      </c>
      <c r="L1941">
        <v>12</v>
      </c>
      <c r="M1941">
        <v>12</v>
      </c>
      <c r="N1941" t="s">
        <v>45</v>
      </c>
      <c r="O1941">
        <v>3.46</v>
      </c>
      <c r="P1941">
        <v>159.11799999999999</v>
      </c>
      <c r="Q1941" t="s">
        <v>522</v>
      </c>
      <c r="R1941" s="31">
        <v>0.1</v>
      </c>
    </row>
    <row r="1942" spans="1:18" x14ac:dyDescent="0.3">
      <c r="L1942">
        <v>13</v>
      </c>
      <c r="M1942">
        <v>13</v>
      </c>
      <c r="N1942" t="s">
        <v>46</v>
      </c>
      <c r="O1942">
        <v>2.56</v>
      </c>
      <c r="P1942">
        <v>61.213000000000001</v>
      </c>
      <c r="Q1942" t="s">
        <v>523</v>
      </c>
      <c r="R1942" s="31">
        <v>0.1</v>
      </c>
    </row>
    <row r="1943" spans="1:18" x14ac:dyDescent="0.3">
      <c r="B1943" t="s">
        <v>382</v>
      </c>
      <c r="C1943" t="s">
        <v>383</v>
      </c>
      <c r="D1943" t="s">
        <v>384</v>
      </c>
      <c r="E1943" t="s">
        <v>385</v>
      </c>
      <c r="F1943" t="s">
        <v>386</v>
      </c>
      <c r="G1943" s="31" t="s">
        <v>387</v>
      </c>
      <c r="L1943">
        <v>14</v>
      </c>
      <c r="M1943">
        <v>14</v>
      </c>
      <c r="N1943" t="s">
        <v>47</v>
      </c>
      <c r="Q1943" t="s">
        <v>524</v>
      </c>
      <c r="R1943" s="31">
        <v>0.1</v>
      </c>
    </row>
    <row r="1944" spans="1:18" x14ac:dyDescent="0.3">
      <c r="A1944">
        <v>1</v>
      </c>
      <c r="B1944">
        <v>1</v>
      </c>
      <c r="C1944" t="s">
        <v>0</v>
      </c>
      <c r="D1944">
        <v>1.03</v>
      </c>
      <c r="E1944">
        <v>2109.1880000000001</v>
      </c>
      <c r="F1944" t="s">
        <v>388</v>
      </c>
      <c r="G1944" s="31">
        <v>15.21</v>
      </c>
      <c r="L1944">
        <v>15</v>
      </c>
      <c r="M1944">
        <v>15</v>
      </c>
      <c r="N1944" t="s">
        <v>48</v>
      </c>
      <c r="O1944">
        <v>1.23</v>
      </c>
      <c r="P1944">
        <v>72.644000000000005</v>
      </c>
      <c r="Q1944" t="s">
        <v>525</v>
      </c>
      <c r="R1944" s="31">
        <v>0.1</v>
      </c>
    </row>
    <row r="1945" spans="1:18" x14ac:dyDescent="0.3">
      <c r="A1945">
        <v>2</v>
      </c>
      <c r="B1945">
        <v>2</v>
      </c>
      <c r="C1945" t="s">
        <v>1</v>
      </c>
      <c r="D1945">
        <v>1.46</v>
      </c>
      <c r="E1945">
        <v>2413.614</v>
      </c>
      <c r="F1945" t="s">
        <v>389</v>
      </c>
      <c r="G1945" s="31">
        <v>3.59</v>
      </c>
      <c r="L1945">
        <v>16</v>
      </c>
      <c r="M1945">
        <v>16</v>
      </c>
      <c r="N1945" t="s">
        <v>53</v>
      </c>
      <c r="O1945">
        <v>4.5999999999999996</v>
      </c>
      <c r="P1945">
        <v>44.32</v>
      </c>
      <c r="Q1945" t="s">
        <v>526</v>
      </c>
      <c r="R1945" s="31">
        <v>0.1</v>
      </c>
    </row>
    <row r="1946" spans="1:18" x14ac:dyDescent="0.3">
      <c r="A1946">
        <v>3</v>
      </c>
      <c r="B1946">
        <v>3</v>
      </c>
      <c r="C1946" t="s">
        <v>50</v>
      </c>
      <c r="D1946">
        <v>3.55</v>
      </c>
      <c r="E1946">
        <v>154.71</v>
      </c>
      <c r="F1946" t="s">
        <v>390</v>
      </c>
      <c r="G1946" s="31">
        <v>0.11</v>
      </c>
      <c r="L1946">
        <v>17</v>
      </c>
      <c r="M1946">
        <v>17</v>
      </c>
      <c r="N1946" t="s">
        <v>54</v>
      </c>
      <c r="O1946">
        <v>5.2</v>
      </c>
      <c r="P1946">
        <v>242.41399999999999</v>
      </c>
      <c r="Q1946" t="s">
        <v>527</v>
      </c>
      <c r="R1946" s="31">
        <v>0.1</v>
      </c>
    </row>
    <row r="1947" spans="1:18" x14ac:dyDescent="0.3">
      <c r="A1947">
        <v>4</v>
      </c>
      <c r="B1947">
        <v>4</v>
      </c>
      <c r="C1947" t="s">
        <v>2</v>
      </c>
      <c r="D1947">
        <v>3.7</v>
      </c>
      <c r="E1947">
        <v>15500.162</v>
      </c>
      <c r="F1947" t="s">
        <v>391</v>
      </c>
      <c r="G1947" s="31">
        <v>0.91</v>
      </c>
      <c r="L1947">
        <v>18</v>
      </c>
      <c r="M1947">
        <v>18</v>
      </c>
      <c r="N1947" t="s">
        <v>55</v>
      </c>
      <c r="O1947">
        <v>1.39</v>
      </c>
      <c r="P1947">
        <v>4.8499999999999996</v>
      </c>
      <c r="Q1947" t="s">
        <v>528</v>
      </c>
      <c r="R1947" s="31">
        <v>0.1</v>
      </c>
    </row>
    <row r="1948" spans="1:18" x14ac:dyDescent="0.3">
      <c r="A1948">
        <v>5</v>
      </c>
      <c r="B1948">
        <v>5</v>
      </c>
      <c r="C1948" t="s">
        <v>3</v>
      </c>
      <c r="D1948">
        <v>4.47</v>
      </c>
      <c r="E1948">
        <v>161.17099999999999</v>
      </c>
      <c r="F1948" t="s">
        <v>392</v>
      </c>
      <c r="G1948" s="31">
        <v>0.1</v>
      </c>
      <c r="L1948">
        <v>19</v>
      </c>
      <c r="M1948">
        <v>19</v>
      </c>
      <c r="N1948" t="s">
        <v>56</v>
      </c>
      <c r="O1948">
        <v>0.9</v>
      </c>
      <c r="P1948">
        <v>110.753</v>
      </c>
      <c r="Q1948" t="s">
        <v>529</v>
      </c>
      <c r="R1948" s="31">
        <v>0.1</v>
      </c>
    </row>
    <row r="1949" spans="1:18" x14ac:dyDescent="0.3">
      <c r="A1949">
        <v>6</v>
      </c>
      <c r="B1949">
        <v>6</v>
      </c>
      <c r="C1949" t="s">
        <v>4</v>
      </c>
      <c r="D1949">
        <v>4.8099999999999996</v>
      </c>
      <c r="E1949">
        <v>15539.736000000001</v>
      </c>
      <c r="F1949" t="s">
        <v>393</v>
      </c>
      <c r="G1949" s="31">
        <v>0.84</v>
      </c>
      <c r="L1949">
        <v>20</v>
      </c>
      <c r="M1949">
        <v>20</v>
      </c>
      <c r="N1949" t="s">
        <v>57</v>
      </c>
      <c r="Q1949" t="s">
        <v>530</v>
      </c>
      <c r="R1949" s="31">
        <v>0.1</v>
      </c>
    </row>
    <row r="1950" spans="1:18" x14ac:dyDescent="0.3">
      <c r="A1950">
        <v>7</v>
      </c>
      <c r="B1950">
        <v>7</v>
      </c>
      <c r="C1950" t="s">
        <v>5</v>
      </c>
      <c r="D1950">
        <v>2.71</v>
      </c>
      <c r="E1950">
        <v>1025.9659999999999</v>
      </c>
      <c r="F1950" t="s">
        <v>394</v>
      </c>
      <c r="G1950" s="31">
        <v>0.15</v>
      </c>
      <c r="L1950">
        <v>21</v>
      </c>
      <c r="M1950">
        <v>21</v>
      </c>
      <c r="N1950" t="s">
        <v>58</v>
      </c>
      <c r="Q1950" t="s">
        <v>531</v>
      </c>
      <c r="R1950" s="31">
        <v>0.1</v>
      </c>
    </row>
    <row r="1951" spans="1:18" x14ac:dyDescent="0.3">
      <c r="A1951">
        <v>8</v>
      </c>
      <c r="B1951">
        <v>8</v>
      </c>
      <c r="C1951" t="s">
        <v>6</v>
      </c>
      <c r="D1951">
        <v>0.67</v>
      </c>
      <c r="E1951">
        <v>928.14599999999996</v>
      </c>
      <c r="F1951" t="s">
        <v>395</v>
      </c>
      <c r="G1951" s="31">
        <v>11.18</v>
      </c>
      <c r="L1951">
        <v>22</v>
      </c>
      <c r="M1951">
        <v>22</v>
      </c>
      <c r="N1951" t="s">
        <v>59</v>
      </c>
      <c r="Q1951" t="s">
        <v>532</v>
      </c>
      <c r="R1951" s="31">
        <v>0.1</v>
      </c>
    </row>
    <row r="1952" spans="1:18" x14ac:dyDescent="0.3">
      <c r="A1952">
        <v>9</v>
      </c>
      <c r="B1952">
        <v>9</v>
      </c>
      <c r="C1952" t="s">
        <v>7</v>
      </c>
      <c r="D1952">
        <v>3.6</v>
      </c>
      <c r="E1952">
        <v>267.55399999999997</v>
      </c>
      <c r="F1952" t="s">
        <v>396</v>
      </c>
      <c r="G1952" s="31">
        <v>0.72</v>
      </c>
      <c r="L1952">
        <v>23</v>
      </c>
      <c r="M1952">
        <v>23</v>
      </c>
      <c r="N1952" t="s">
        <v>60</v>
      </c>
      <c r="O1952">
        <v>2.62</v>
      </c>
      <c r="P1952">
        <v>175.43199999999999</v>
      </c>
      <c r="Q1952" t="s">
        <v>533</v>
      </c>
      <c r="R1952" s="31">
        <v>2.1</v>
      </c>
    </row>
    <row r="1953" spans="1:18" x14ac:dyDescent="0.3">
      <c r="A1953">
        <v>10</v>
      </c>
      <c r="B1953">
        <v>10</v>
      </c>
      <c r="C1953" t="s">
        <v>51</v>
      </c>
      <c r="D1953">
        <v>4.79</v>
      </c>
      <c r="E1953">
        <v>495.459</v>
      </c>
      <c r="F1953" t="s">
        <v>397</v>
      </c>
      <c r="G1953" s="31">
        <v>0.09</v>
      </c>
    </row>
    <row r="1954" spans="1:18" x14ac:dyDescent="0.3">
      <c r="A1954">
        <v>11</v>
      </c>
      <c r="B1954">
        <v>11</v>
      </c>
      <c r="C1954" t="s">
        <v>8</v>
      </c>
      <c r="D1954">
        <v>2.74</v>
      </c>
      <c r="E1954">
        <v>36190.019999999997</v>
      </c>
      <c r="F1954" t="s">
        <v>398</v>
      </c>
      <c r="G1954" s="31">
        <v>1.79</v>
      </c>
      <c r="L1954" t="s">
        <v>379</v>
      </c>
    </row>
    <row r="1955" spans="1:18" x14ac:dyDescent="0.3">
      <c r="A1955">
        <v>12</v>
      </c>
      <c r="B1955">
        <v>12</v>
      </c>
      <c r="C1955" t="s">
        <v>9</v>
      </c>
      <c r="D1955">
        <v>2.63</v>
      </c>
      <c r="E1955">
        <v>3425.5749999999998</v>
      </c>
      <c r="F1955" t="s">
        <v>399</v>
      </c>
      <c r="G1955" s="31">
        <v>1.25</v>
      </c>
    </row>
    <row r="1956" spans="1:18" x14ac:dyDescent="0.3">
      <c r="A1956">
        <v>13</v>
      </c>
      <c r="B1956">
        <v>13</v>
      </c>
      <c r="C1956" t="s">
        <v>10</v>
      </c>
      <c r="D1956">
        <v>4.09</v>
      </c>
      <c r="E1956">
        <v>104112.82799999999</v>
      </c>
      <c r="F1956" t="s">
        <v>400</v>
      </c>
      <c r="G1956" s="31">
        <v>0.1</v>
      </c>
      <c r="L1956" t="s">
        <v>557</v>
      </c>
    </row>
    <row r="1957" spans="1:18" x14ac:dyDescent="0.3">
      <c r="A1957">
        <v>14</v>
      </c>
      <c r="B1957">
        <v>14</v>
      </c>
      <c r="C1957" t="s">
        <v>11</v>
      </c>
      <c r="D1957">
        <v>3.53</v>
      </c>
      <c r="E1957">
        <v>11.308</v>
      </c>
      <c r="F1957" t="s">
        <v>401</v>
      </c>
      <c r="G1957" s="31">
        <v>1.47</v>
      </c>
    </row>
    <row r="1958" spans="1:18" x14ac:dyDescent="0.3">
      <c r="A1958">
        <v>15</v>
      </c>
      <c r="B1958">
        <v>15</v>
      </c>
      <c r="C1958" t="s">
        <v>12</v>
      </c>
      <c r="D1958">
        <v>3.32</v>
      </c>
      <c r="E1958">
        <v>205.34299999999999</v>
      </c>
      <c r="F1958" t="s">
        <v>402</v>
      </c>
      <c r="G1958" s="31">
        <v>0.84</v>
      </c>
      <c r="L1958" t="s">
        <v>597</v>
      </c>
    </row>
    <row r="1959" spans="1:18" x14ac:dyDescent="0.3">
      <c r="A1959">
        <v>16</v>
      </c>
      <c r="B1959">
        <v>16</v>
      </c>
      <c r="C1959" t="s">
        <v>13</v>
      </c>
      <c r="D1959">
        <v>3.23</v>
      </c>
      <c r="E1959">
        <v>3772.1889999999999</v>
      </c>
      <c r="F1959" t="s">
        <v>403</v>
      </c>
      <c r="G1959" s="31">
        <v>0.79</v>
      </c>
    </row>
    <row r="1960" spans="1:18" x14ac:dyDescent="0.3">
      <c r="A1960">
        <v>17</v>
      </c>
      <c r="B1960">
        <v>17</v>
      </c>
      <c r="C1960" t="s">
        <v>14</v>
      </c>
      <c r="D1960">
        <v>2.0299999999999998</v>
      </c>
      <c r="E1960">
        <v>4194.2809999999999</v>
      </c>
      <c r="F1960" t="s">
        <v>404</v>
      </c>
      <c r="G1960" s="31">
        <v>0.93</v>
      </c>
      <c r="M1960" t="s">
        <v>382</v>
      </c>
      <c r="N1960" t="s">
        <v>383</v>
      </c>
      <c r="O1960" t="s">
        <v>384</v>
      </c>
      <c r="P1960" t="s">
        <v>385</v>
      </c>
      <c r="Q1960" t="s">
        <v>386</v>
      </c>
      <c r="R1960" s="31" t="s">
        <v>387</v>
      </c>
    </row>
    <row r="1961" spans="1:18" x14ac:dyDescent="0.3">
      <c r="A1961">
        <v>18</v>
      </c>
      <c r="B1961">
        <v>18</v>
      </c>
      <c r="C1961" t="s">
        <v>15</v>
      </c>
      <c r="D1961">
        <v>2.5099999999999998</v>
      </c>
      <c r="E1961">
        <v>14857.562</v>
      </c>
      <c r="F1961" t="s">
        <v>405</v>
      </c>
      <c r="G1961" s="31">
        <v>7.1</v>
      </c>
      <c r="L1961">
        <v>1</v>
      </c>
      <c r="M1961">
        <v>1</v>
      </c>
      <c r="N1961" t="s">
        <v>35</v>
      </c>
      <c r="O1961">
        <v>1.44</v>
      </c>
      <c r="P1961">
        <v>75033.320000000007</v>
      </c>
      <c r="Q1961" t="s">
        <v>511</v>
      </c>
      <c r="R1961" s="31">
        <v>13</v>
      </c>
    </row>
    <row r="1962" spans="1:18" x14ac:dyDescent="0.3">
      <c r="A1962">
        <v>19</v>
      </c>
      <c r="B1962">
        <v>19</v>
      </c>
      <c r="C1962" t="s">
        <v>16</v>
      </c>
      <c r="D1962">
        <v>2.71</v>
      </c>
      <c r="E1962">
        <v>2519.096</v>
      </c>
      <c r="F1962" t="s">
        <v>406</v>
      </c>
      <c r="G1962" s="31">
        <v>0.16</v>
      </c>
      <c r="L1962">
        <v>2</v>
      </c>
      <c r="M1962">
        <v>2</v>
      </c>
      <c r="N1962" t="s">
        <v>36</v>
      </c>
      <c r="O1962">
        <v>1.67</v>
      </c>
      <c r="P1962">
        <v>2192812.25</v>
      </c>
      <c r="Q1962" t="s">
        <v>512</v>
      </c>
      <c r="R1962" s="31">
        <v>188.59</v>
      </c>
    </row>
    <row r="1963" spans="1:18" x14ac:dyDescent="0.3">
      <c r="A1963">
        <v>20</v>
      </c>
      <c r="B1963">
        <v>20</v>
      </c>
      <c r="C1963" t="s">
        <v>17</v>
      </c>
      <c r="D1963">
        <v>3.13</v>
      </c>
      <c r="E1963">
        <v>3480.364</v>
      </c>
      <c r="F1963" t="s">
        <v>407</v>
      </c>
      <c r="G1963" s="31">
        <v>0.56000000000000005</v>
      </c>
      <c r="L1963">
        <v>3</v>
      </c>
      <c r="M1963">
        <v>3</v>
      </c>
      <c r="N1963" t="s">
        <v>37</v>
      </c>
      <c r="O1963">
        <v>1.81</v>
      </c>
      <c r="P1963">
        <v>968.46400000000006</v>
      </c>
      <c r="Q1963" t="s">
        <v>513</v>
      </c>
      <c r="R1963" s="31">
        <v>0.16</v>
      </c>
    </row>
    <row r="1964" spans="1:18" x14ac:dyDescent="0.3">
      <c r="A1964">
        <v>21</v>
      </c>
      <c r="B1964">
        <v>21</v>
      </c>
      <c r="C1964" t="s">
        <v>18</v>
      </c>
      <c r="D1964">
        <v>3.68</v>
      </c>
      <c r="E1964">
        <v>5895.9160000000002</v>
      </c>
      <c r="F1964" t="s">
        <v>408</v>
      </c>
      <c r="G1964" s="31">
        <v>0.24</v>
      </c>
      <c r="L1964">
        <v>4</v>
      </c>
      <c r="M1964">
        <v>4</v>
      </c>
      <c r="N1964" t="s">
        <v>38</v>
      </c>
      <c r="O1964">
        <v>1.18</v>
      </c>
      <c r="P1964">
        <v>3606.6419999999998</v>
      </c>
      <c r="Q1964" t="s">
        <v>514</v>
      </c>
      <c r="R1964" s="31">
        <v>0.4</v>
      </c>
    </row>
    <row r="1965" spans="1:18" x14ac:dyDescent="0.3">
      <c r="A1965">
        <v>22</v>
      </c>
      <c r="B1965">
        <v>22</v>
      </c>
      <c r="C1965" t="s">
        <v>19</v>
      </c>
      <c r="D1965">
        <v>2.64</v>
      </c>
      <c r="E1965">
        <v>21087.609</v>
      </c>
      <c r="F1965" t="s">
        <v>409</v>
      </c>
      <c r="G1965" s="31">
        <v>2.42</v>
      </c>
      <c r="L1965">
        <v>5</v>
      </c>
      <c r="M1965">
        <v>5</v>
      </c>
      <c r="N1965" t="s">
        <v>39</v>
      </c>
      <c r="O1965">
        <v>1.38</v>
      </c>
      <c r="P1965">
        <v>349802.46899999998</v>
      </c>
      <c r="Q1965" t="s">
        <v>515</v>
      </c>
      <c r="R1965" s="31">
        <v>42.95</v>
      </c>
    </row>
    <row r="1966" spans="1:18" x14ac:dyDescent="0.3">
      <c r="A1966">
        <v>23</v>
      </c>
      <c r="B1966">
        <v>23</v>
      </c>
      <c r="C1966" t="s">
        <v>20</v>
      </c>
      <c r="D1966">
        <v>2.89</v>
      </c>
      <c r="E1966">
        <v>7575.2060000000001</v>
      </c>
      <c r="F1966" t="s">
        <v>410</v>
      </c>
      <c r="G1966" s="31">
        <v>0.49</v>
      </c>
      <c r="L1966">
        <v>6</v>
      </c>
      <c r="M1966">
        <v>6</v>
      </c>
      <c r="N1966" t="s">
        <v>40</v>
      </c>
      <c r="O1966">
        <v>1.52</v>
      </c>
      <c r="P1966">
        <v>19077.245999999999</v>
      </c>
      <c r="Q1966" t="s">
        <v>516</v>
      </c>
      <c r="R1966" s="31">
        <v>1.36</v>
      </c>
    </row>
    <row r="1967" spans="1:18" x14ac:dyDescent="0.3">
      <c r="A1967">
        <v>24</v>
      </c>
      <c r="B1967">
        <v>24</v>
      </c>
      <c r="C1967" t="s">
        <v>21</v>
      </c>
      <c r="D1967">
        <v>4.1500000000000004</v>
      </c>
      <c r="E1967">
        <v>69.694999999999993</v>
      </c>
      <c r="F1967" t="s">
        <v>411</v>
      </c>
      <c r="G1967" s="31">
        <v>0.1</v>
      </c>
      <c r="L1967">
        <v>7</v>
      </c>
      <c r="M1967">
        <v>7</v>
      </c>
      <c r="N1967" t="s">
        <v>41</v>
      </c>
      <c r="O1967">
        <v>2.2799999999999998</v>
      </c>
      <c r="P1967">
        <v>5976.7780000000002</v>
      </c>
      <c r="Q1967" t="s">
        <v>517</v>
      </c>
      <c r="R1967" s="31">
        <v>3.82</v>
      </c>
    </row>
    <row r="1968" spans="1:18" x14ac:dyDescent="0.3">
      <c r="A1968">
        <v>25</v>
      </c>
      <c r="B1968">
        <v>25</v>
      </c>
      <c r="C1968" t="s">
        <v>22</v>
      </c>
      <c r="D1968">
        <v>3.43</v>
      </c>
      <c r="E1968">
        <v>176.35</v>
      </c>
      <c r="F1968" t="s">
        <v>412</v>
      </c>
      <c r="G1968" s="31">
        <v>3.34</v>
      </c>
      <c r="L1968">
        <v>8</v>
      </c>
      <c r="M1968">
        <v>8</v>
      </c>
      <c r="N1968" t="s">
        <v>42</v>
      </c>
      <c r="O1968">
        <v>0.88</v>
      </c>
      <c r="P1968">
        <v>533.85</v>
      </c>
      <c r="Q1968" t="s">
        <v>518</v>
      </c>
      <c r="R1968" s="31">
        <v>12.79</v>
      </c>
    </row>
    <row r="1969" spans="1:18" x14ac:dyDescent="0.3">
      <c r="A1969">
        <v>26</v>
      </c>
      <c r="B1969">
        <v>26</v>
      </c>
      <c r="C1969" t="s">
        <v>23</v>
      </c>
      <c r="D1969">
        <v>3.35</v>
      </c>
      <c r="E1969">
        <v>24604.684000000001</v>
      </c>
      <c r="F1969" t="s">
        <v>413</v>
      </c>
      <c r="G1969" s="31">
        <v>2.2799999999999998</v>
      </c>
      <c r="L1969">
        <v>9</v>
      </c>
      <c r="M1969">
        <v>9</v>
      </c>
      <c r="N1969" t="s">
        <v>43</v>
      </c>
      <c r="O1969">
        <v>2.54</v>
      </c>
      <c r="P1969">
        <v>8157.7579999999998</v>
      </c>
      <c r="Q1969" t="s">
        <v>519</v>
      </c>
      <c r="R1969" s="31">
        <v>0.09</v>
      </c>
    </row>
    <row r="1970" spans="1:18" x14ac:dyDescent="0.3">
      <c r="A1970">
        <v>27</v>
      </c>
      <c r="B1970">
        <v>27</v>
      </c>
      <c r="C1970" t="s">
        <v>24</v>
      </c>
      <c r="D1970">
        <v>3.44</v>
      </c>
      <c r="E1970">
        <v>697.41499999999996</v>
      </c>
      <c r="F1970" t="s">
        <v>414</v>
      </c>
      <c r="G1970" s="31">
        <v>0.35</v>
      </c>
      <c r="L1970">
        <v>10</v>
      </c>
      <c r="M1970">
        <v>10</v>
      </c>
      <c r="N1970" t="s">
        <v>52</v>
      </c>
      <c r="O1970">
        <v>4.1100000000000003</v>
      </c>
      <c r="P1970">
        <v>21446.748</v>
      </c>
      <c r="Q1970" t="s">
        <v>520</v>
      </c>
      <c r="R1970" s="31">
        <v>0.8</v>
      </c>
    </row>
    <row r="1971" spans="1:18" x14ac:dyDescent="0.3">
      <c r="A1971">
        <v>28</v>
      </c>
      <c r="B1971">
        <v>28</v>
      </c>
      <c r="C1971" t="s">
        <v>25</v>
      </c>
      <c r="D1971">
        <v>3.52</v>
      </c>
      <c r="E1971">
        <v>3271.3319999999999</v>
      </c>
      <c r="F1971" t="s">
        <v>415</v>
      </c>
      <c r="G1971" s="31">
        <v>0.63</v>
      </c>
      <c r="L1971">
        <v>11</v>
      </c>
      <c r="M1971">
        <v>11</v>
      </c>
      <c r="N1971" t="s">
        <v>44</v>
      </c>
      <c r="O1971">
        <v>4.18</v>
      </c>
      <c r="P1971">
        <v>620.51599999999996</v>
      </c>
      <c r="Q1971" t="s">
        <v>521</v>
      </c>
      <c r="R1971" s="31">
        <v>0.12</v>
      </c>
    </row>
    <row r="1972" spans="1:18" x14ac:dyDescent="0.3">
      <c r="A1972">
        <v>29</v>
      </c>
      <c r="B1972">
        <v>29</v>
      </c>
      <c r="C1972" t="s">
        <v>26</v>
      </c>
      <c r="D1972">
        <v>1.06</v>
      </c>
      <c r="E1972">
        <v>446.61200000000002</v>
      </c>
      <c r="F1972" t="s">
        <v>416</v>
      </c>
      <c r="G1972" s="31">
        <v>0.72</v>
      </c>
      <c r="L1972">
        <v>12</v>
      </c>
      <c r="M1972">
        <v>12</v>
      </c>
      <c r="N1972" t="s">
        <v>45</v>
      </c>
      <c r="O1972">
        <v>3.44</v>
      </c>
      <c r="P1972">
        <v>1591674.125</v>
      </c>
      <c r="Q1972" t="s">
        <v>522</v>
      </c>
      <c r="R1972" s="31">
        <v>25.38</v>
      </c>
    </row>
    <row r="1973" spans="1:18" x14ac:dyDescent="0.3">
      <c r="A1973">
        <v>30</v>
      </c>
      <c r="B1973">
        <v>30</v>
      </c>
      <c r="C1973" t="s">
        <v>27</v>
      </c>
      <c r="D1973">
        <v>4.32</v>
      </c>
      <c r="E1973">
        <v>198.559</v>
      </c>
      <c r="F1973" t="s">
        <v>417</v>
      </c>
      <c r="G1973" s="31">
        <v>0.13</v>
      </c>
      <c r="L1973">
        <v>13</v>
      </c>
      <c r="M1973">
        <v>13</v>
      </c>
      <c r="N1973" t="s">
        <v>46</v>
      </c>
      <c r="O1973">
        <v>2.58</v>
      </c>
      <c r="P1973">
        <v>268681.84399999998</v>
      </c>
      <c r="Q1973" t="s">
        <v>523</v>
      </c>
      <c r="R1973" s="31">
        <v>9.4</v>
      </c>
    </row>
    <row r="1974" spans="1:18" x14ac:dyDescent="0.3">
      <c r="A1974">
        <v>31</v>
      </c>
      <c r="B1974">
        <v>31</v>
      </c>
      <c r="C1974" t="s">
        <v>28</v>
      </c>
      <c r="D1974">
        <v>3</v>
      </c>
      <c r="E1974">
        <v>27452.313999999998</v>
      </c>
      <c r="F1974" t="s">
        <v>418</v>
      </c>
      <c r="G1974" s="31">
        <v>0.12</v>
      </c>
      <c r="L1974">
        <v>14</v>
      </c>
      <c r="M1974">
        <v>14</v>
      </c>
      <c r="N1974" t="s">
        <v>47</v>
      </c>
      <c r="O1974">
        <v>0.68</v>
      </c>
      <c r="P1974">
        <v>40354.605000000003</v>
      </c>
      <c r="Q1974" t="s">
        <v>524</v>
      </c>
      <c r="R1974" s="31">
        <v>13.77</v>
      </c>
    </row>
    <row r="1975" spans="1:18" x14ac:dyDescent="0.3">
      <c r="A1975">
        <v>32</v>
      </c>
      <c r="B1975">
        <v>32</v>
      </c>
      <c r="C1975" t="s">
        <v>29</v>
      </c>
      <c r="D1975">
        <v>3.35</v>
      </c>
      <c r="E1975">
        <v>473.26</v>
      </c>
      <c r="F1975" t="s">
        <v>419</v>
      </c>
      <c r="G1975" s="31">
        <v>0.09</v>
      </c>
      <c r="L1975">
        <v>15</v>
      </c>
      <c r="M1975">
        <v>15</v>
      </c>
      <c r="N1975" t="s">
        <v>48</v>
      </c>
      <c r="O1975">
        <v>1.21</v>
      </c>
      <c r="P1975">
        <v>25635.305</v>
      </c>
      <c r="Q1975" t="s">
        <v>525</v>
      </c>
      <c r="R1975" s="31">
        <v>2.56</v>
      </c>
    </row>
    <row r="1976" spans="1:18" x14ac:dyDescent="0.3">
      <c r="A1976">
        <v>33</v>
      </c>
      <c r="B1976">
        <v>33</v>
      </c>
      <c r="C1976" t="s">
        <v>30</v>
      </c>
      <c r="D1976">
        <v>4.67</v>
      </c>
      <c r="E1976">
        <v>5446.18</v>
      </c>
      <c r="F1976" t="s">
        <v>420</v>
      </c>
      <c r="G1976" s="31">
        <v>0.48</v>
      </c>
      <c r="L1976">
        <v>16</v>
      </c>
      <c r="M1976">
        <v>16</v>
      </c>
      <c r="N1976" t="s">
        <v>53</v>
      </c>
      <c r="O1976">
        <v>4.55</v>
      </c>
      <c r="P1976">
        <v>98683.718999999997</v>
      </c>
      <c r="Q1976" t="s">
        <v>526</v>
      </c>
      <c r="R1976" s="31">
        <v>0.98</v>
      </c>
    </row>
    <row r="1977" spans="1:18" x14ac:dyDescent="0.3">
      <c r="A1977">
        <v>34</v>
      </c>
      <c r="B1977">
        <v>34</v>
      </c>
      <c r="C1977" t="s">
        <v>31</v>
      </c>
      <c r="D1977">
        <v>3.26</v>
      </c>
      <c r="E1977">
        <v>2576.9639999999999</v>
      </c>
      <c r="F1977" t="s">
        <v>421</v>
      </c>
      <c r="G1977" s="31">
        <v>0.21</v>
      </c>
      <c r="L1977">
        <v>17</v>
      </c>
      <c r="M1977">
        <v>17</v>
      </c>
      <c r="N1977" t="s">
        <v>54</v>
      </c>
      <c r="O1977">
        <v>5.28</v>
      </c>
      <c r="P1977">
        <v>20.353999999999999</v>
      </c>
      <c r="Q1977" t="s">
        <v>527</v>
      </c>
      <c r="R1977" s="31">
        <v>0.1</v>
      </c>
    </row>
    <row r="1978" spans="1:18" x14ac:dyDescent="0.3">
      <c r="A1978">
        <v>35</v>
      </c>
      <c r="B1978">
        <v>35</v>
      </c>
      <c r="C1978" t="s">
        <v>32</v>
      </c>
      <c r="D1978">
        <v>3.12</v>
      </c>
      <c r="E1978">
        <v>64.236000000000004</v>
      </c>
      <c r="F1978" t="s">
        <v>422</v>
      </c>
      <c r="G1978" s="31">
        <v>0.1</v>
      </c>
      <c r="L1978">
        <v>18</v>
      </c>
      <c r="M1978">
        <v>18</v>
      </c>
      <c r="N1978" t="s">
        <v>55</v>
      </c>
      <c r="O1978">
        <v>1.32</v>
      </c>
      <c r="P1978">
        <v>1482.6</v>
      </c>
      <c r="Q1978" t="s">
        <v>528</v>
      </c>
      <c r="R1978" s="31">
        <v>0.14000000000000001</v>
      </c>
    </row>
    <row r="1979" spans="1:18" x14ac:dyDescent="0.3">
      <c r="A1979">
        <v>36</v>
      </c>
      <c r="B1979">
        <v>36</v>
      </c>
      <c r="C1979" t="s">
        <v>33</v>
      </c>
      <c r="D1979">
        <v>1.93</v>
      </c>
      <c r="E1979">
        <v>161.30699999999999</v>
      </c>
      <c r="F1979" t="s">
        <v>423</v>
      </c>
      <c r="G1979" s="31">
        <v>0.1</v>
      </c>
      <c r="L1979">
        <v>19</v>
      </c>
      <c r="M1979">
        <v>19</v>
      </c>
      <c r="N1979" t="s">
        <v>56</v>
      </c>
      <c r="O1979">
        <v>0.87</v>
      </c>
      <c r="P1979">
        <v>16447.574000000001</v>
      </c>
      <c r="Q1979" t="s">
        <v>529</v>
      </c>
      <c r="R1979" s="31">
        <v>0.38</v>
      </c>
    </row>
    <row r="1980" spans="1:18" x14ac:dyDescent="0.3">
      <c r="G1980" s="31">
        <f>G1957/G1959</f>
        <v>1.860759493670886</v>
      </c>
      <c r="L1980">
        <v>20</v>
      </c>
      <c r="M1980">
        <v>20</v>
      </c>
      <c r="N1980" t="s">
        <v>57</v>
      </c>
      <c r="O1980">
        <v>1.51</v>
      </c>
      <c r="P1980">
        <v>1066.7829999999999</v>
      </c>
      <c r="Q1980" t="s">
        <v>530</v>
      </c>
      <c r="R1980" s="31">
        <v>0.28000000000000003</v>
      </c>
    </row>
    <row r="1981" spans="1:18" x14ac:dyDescent="0.3">
      <c r="A1981" t="s">
        <v>379</v>
      </c>
      <c r="L1981">
        <v>21</v>
      </c>
      <c r="M1981">
        <v>21</v>
      </c>
      <c r="N1981" t="s">
        <v>58</v>
      </c>
      <c r="O1981">
        <v>2.4900000000000002</v>
      </c>
      <c r="P1981">
        <v>68.731999999999999</v>
      </c>
      <c r="Q1981" t="s">
        <v>531</v>
      </c>
      <c r="R1981" s="31">
        <v>0.14000000000000001</v>
      </c>
    </row>
    <row r="1982" spans="1:18" x14ac:dyDescent="0.3">
      <c r="L1982">
        <v>22</v>
      </c>
      <c r="M1982">
        <v>22</v>
      </c>
      <c r="N1982" t="s">
        <v>59</v>
      </c>
      <c r="O1982">
        <v>2.5</v>
      </c>
      <c r="P1982">
        <v>15551.087</v>
      </c>
      <c r="Q1982" t="s">
        <v>532</v>
      </c>
      <c r="R1982" s="31">
        <v>1.39</v>
      </c>
    </row>
    <row r="1983" spans="1:18" x14ac:dyDescent="0.3">
      <c r="A1983" t="s">
        <v>456</v>
      </c>
      <c r="L1983">
        <v>23</v>
      </c>
      <c r="M1983">
        <v>23</v>
      </c>
      <c r="N1983" t="s">
        <v>60</v>
      </c>
      <c r="O1983">
        <v>2.46</v>
      </c>
      <c r="P1983">
        <v>72586.906000000003</v>
      </c>
      <c r="Q1983" t="s">
        <v>533</v>
      </c>
      <c r="R1983" s="31">
        <v>3.09</v>
      </c>
    </row>
    <row r="1985" spans="1:18" x14ac:dyDescent="0.3">
      <c r="A1985" t="s">
        <v>469</v>
      </c>
      <c r="L1985" t="s">
        <v>379</v>
      </c>
    </row>
    <row r="1987" spans="1:18" x14ac:dyDescent="0.3">
      <c r="B1987" t="s">
        <v>382</v>
      </c>
      <c r="C1987" t="s">
        <v>383</v>
      </c>
      <c r="D1987" t="s">
        <v>384</v>
      </c>
      <c r="E1987" t="s">
        <v>385</v>
      </c>
      <c r="F1987" t="s">
        <v>386</v>
      </c>
      <c r="G1987" s="31" t="s">
        <v>387</v>
      </c>
      <c r="L1987" t="s">
        <v>557</v>
      </c>
    </row>
    <row r="1988" spans="1:18" x14ac:dyDescent="0.3">
      <c r="A1988">
        <v>1</v>
      </c>
      <c r="B1988">
        <v>1</v>
      </c>
      <c r="C1988" t="s">
        <v>0</v>
      </c>
      <c r="D1988">
        <v>1.01</v>
      </c>
      <c r="E1988">
        <v>66.477999999999994</v>
      </c>
      <c r="F1988" t="s">
        <v>388</v>
      </c>
      <c r="G1988" s="31">
        <v>0.63</v>
      </c>
    </row>
    <row r="1989" spans="1:18" x14ac:dyDescent="0.3">
      <c r="A1989">
        <v>2</v>
      </c>
      <c r="B1989">
        <v>2</v>
      </c>
      <c r="C1989" t="s">
        <v>1</v>
      </c>
      <c r="D1989">
        <v>1.32</v>
      </c>
      <c r="E1989">
        <v>80.992999999999995</v>
      </c>
      <c r="F1989" t="s">
        <v>389</v>
      </c>
      <c r="G1989" s="31">
        <v>5.37</v>
      </c>
      <c r="L1989" t="s">
        <v>598</v>
      </c>
    </row>
    <row r="1990" spans="1:18" x14ac:dyDescent="0.3">
      <c r="A1990">
        <v>3</v>
      </c>
      <c r="B1990">
        <v>3</v>
      </c>
      <c r="C1990" t="s">
        <v>50</v>
      </c>
      <c r="D1990">
        <v>3.67</v>
      </c>
      <c r="E1990">
        <v>20.213999999999999</v>
      </c>
      <c r="F1990" t="s">
        <v>390</v>
      </c>
      <c r="G1990" s="31">
        <v>0.31</v>
      </c>
    </row>
    <row r="1991" spans="1:18" x14ac:dyDescent="0.3">
      <c r="A1991">
        <v>4</v>
      </c>
      <c r="B1991">
        <v>4</v>
      </c>
      <c r="C1991" t="s">
        <v>2</v>
      </c>
      <c r="D1991">
        <v>3.75</v>
      </c>
      <c r="E1991">
        <v>53.137</v>
      </c>
      <c r="F1991" t="s">
        <v>391</v>
      </c>
      <c r="G1991" s="31">
        <v>0.76</v>
      </c>
      <c r="M1991" t="s">
        <v>382</v>
      </c>
      <c r="N1991" t="s">
        <v>383</v>
      </c>
      <c r="O1991" t="s">
        <v>384</v>
      </c>
      <c r="P1991" t="s">
        <v>385</v>
      </c>
      <c r="Q1991" t="s">
        <v>386</v>
      </c>
      <c r="R1991" s="31" t="s">
        <v>387</v>
      </c>
    </row>
    <row r="1992" spans="1:18" x14ac:dyDescent="0.3">
      <c r="A1992">
        <v>5</v>
      </c>
      <c r="B1992">
        <v>5</v>
      </c>
      <c r="C1992" t="s">
        <v>3</v>
      </c>
      <c r="D1992">
        <v>4.5199999999999996</v>
      </c>
      <c r="E1992">
        <v>93.14</v>
      </c>
      <c r="F1992" t="s">
        <v>392</v>
      </c>
      <c r="G1992" s="31">
        <v>0.1</v>
      </c>
      <c r="L1992">
        <v>1</v>
      </c>
      <c r="M1992">
        <v>1</v>
      </c>
      <c r="N1992" t="s">
        <v>35</v>
      </c>
      <c r="O1992">
        <v>1.44</v>
      </c>
      <c r="P1992">
        <v>16858.23</v>
      </c>
      <c r="Q1992" t="s">
        <v>511</v>
      </c>
      <c r="R1992" s="31">
        <v>22.11</v>
      </c>
    </row>
    <row r="1993" spans="1:18" x14ac:dyDescent="0.3">
      <c r="A1993">
        <v>6</v>
      </c>
      <c r="B1993">
        <v>6</v>
      </c>
      <c r="C1993" t="s">
        <v>4</v>
      </c>
      <c r="D1993">
        <v>4.8099999999999996</v>
      </c>
      <c r="E1993">
        <v>56.505000000000003</v>
      </c>
      <c r="F1993" t="s">
        <v>393</v>
      </c>
      <c r="G1993" s="31">
        <v>2.2999999999999998</v>
      </c>
      <c r="L1993">
        <v>2</v>
      </c>
      <c r="M1993">
        <v>2</v>
      </c>
      <c r="N1993" t="s">
        <v>36</v>
      </c>
      <c r="O1993">
        <v>1.68</v>
      </c>
      <c r="P1993">
        <v>1026635.688</v>
      </c>
      <c r="Q1993" t="s">
        <v>512</v>
      </c>
      <c r="R1993" s="31">
        <v>315.94</v>
      </c>
    </row>
    <row r="1994" spans="1:18" x14ac:dyDescent="0.3">
      <c r="A1994">
        <v>7</v>
      </c>
      <c r="B1994">
        <v>7</v>
      </c>
      <c r="C1994" t="s">
        <v>5</v>
      </c>
      <c r="D1994">
        <v>2.73</v>
      </c>
      <c r="E1994">
        <v>5.8250000000000002</v>
      </c>
      <c r="F1994" t="s">
        <v>394</v>
      </c>
      <c r="G1994" s="31">
        <v>7.0000000000000007E-2</v>
      </c>
      <c r="L1994">
        <v>3</v>
      </c>
      <c r="M1994">
        <v>3</v>
      </c>
      <c r="N1994" t="s">
        <v>37</v>
      </c>
      <c r="O1994">
        <v>1.82</v>
      </c>
      <c r="P1994">
        <v>450.44499999999999</v>
      </c>
      <c r="Q1994" t="s">
        <v>513</v>
      </c>
      <c r="R1994" s="31">
        <v>0.3</v>
      </c>
    </row>
    <row r="1995" spans="1:18" x14ac:dyDescent="0.3">
      <c r="A1995">
        <v>8</v>
      </c>
      <c r="B1995">
        <v>8</v>
      </c>
      <c r="C1995" t="s">
        <v>6</v>
      </c>
      <c r="F1995" t="s">
        <v>395</v>
      </c>
      <c r="G1995" s="31">
        <v>0.1</v>
      </c>
      <c r="L1995">
        <v>4</v>
      </c>
      <c r="M1995">
        <v>4</v>
      </c>
      <c r="N1995" t="s">
        <v>38</v>
      </c>
      <c r="O1995">
        <v>1.18</v>
      </c>
      <c r="P1995">
        <v>3728.0610000000001</v>
      </c>
      <c r="Q1995" t="s">
        <v>514</v>
      </c>
      <c r="R1995" s="31">
        <v>1.24</v>
      </c>
    </row>
    <row r="1996" spans="1:18" x14ac:dyDescent="0.3">
      <c r="A1996">
        <v>9</v>
      </c>
      <c r="B1996">
        <v>9</v>
      </c>
      <c r="C1996" t="s">
        <v>7</v>
      </c>
      <c r="D1996">
        <v>3.59</v>
      </c>
      <c r="E1996">
        <v>23.158999999999999</v>
      </c>
      <c r="F1996" t="s">
        <v>396</v>
      </c>
      <c r="G1996" s="31">
        <v>1.37</v>
      </c>
      <c r="L1996">
        <v>5</v>
      </c>
      <c r="M1996">
        <v>5</v>
      </c>
      <c r="N1996" t="s">
        <v>39</v>
      </c>
      <c r="O1996">
        <v>1.38</v>
      </c>
      <c r="P1996">
        <v>87683.335999999996</v>
      </c>
      <c r="Q1996" t="s">
        <v>515</v>
      </c>
      <c r="R1996" s="31">
        <v>39.9</v>
      </c>
    </row>
    <row r="1997" spans="1:18" x14ac:dyDescent="0.3">
      <c r="A1997">
        <v>10</v>
      </c>
      <c r="B1997">
        <v>10</v>
      </c>
      <c r="C1997" t="s">
        <v>51</v>
      </c>
      <c r="D1997">
        <v>4.6900000000000004</v>
      </c>
      <c r="E1997">
        <v>220.39</v>
      </c>
      <c r="F1997" t="s">
        <v>397</v>
      </c>
      <c r="G1997" s="31">
        <v>0.37</v>
      </c>
      <c r="L1997">
        <v>6</v>
      </c>
      <c r="M1997">
        <v>6</v>
      </c>
      <c r="N1997" t="s">
        <v>40</v>
      </c>
      <c r="O1997">
        <v>1.53</v>
      </c>
      <c r="P1997">
        <v>8458.491</v>
      </c>
      <c r="Q1997" t="s">
        <v>516</v>
      </c>
      <c r="R1997" s="31">
        <v>1.87</v>
      </c>
    </row>
    <row r="1998" spans="1:18" x14ac:dyDescent="0.3">
      <c r="A1998">
        <v>11</v>
      </c>
      <c r="B1998">
        <v>11</v>
      </c>
      <c r="C1998" t="s">
        <v>8</v>
      </c>
      <c r="D1998">
        <v>2.93</v>
      </c>
      <c r="E1998">
        <v>3.3580000000000001</v>
      </c>
      <c r="F1998" t="s">
        <v>398</v>
      </c>
      <c r="G1998" s="31">
        <v>1.63</v>
      </c>
      <c r="L1998">
        <v>7</v>
      </c>
      <c r="M1998">
        <v>7</v>
      </c>
      <c r="N1998" t="s">
        <v>41</v>
      </c>
      <c r="O1998">
        <v>2.2799999999999998</v>
      </c>
      <c r="P1998">
        <v>624.99</v>
      </c>
      <c r="Q1998" t="s">
        <v>517</v>
      </c>
      <c r="R1998" s="31">
        <v>1.49</v>
      </c>
    </row>
    <row r="1999" spans="1:18" x14ac:dyDescent="0.3">
      <c r="A1999">
        <v>12</v>
      </c>
      <c r="B1999">
        <v>12</v>
      </c>
      <c r="C1999" t="s">
        <v>9</v>
      </c>
      <c r="D1999">
        <v>2.64</v>
      </c>
      <c r="E1999">
        <v>110.173</v>
      </c>
      <c r="F1999" t="s">
        <v>399</v>
      </c>
      <c r="G1999" s="31">
        <v>2.93</v>
      </c>
      <c r="L1999">
        <v>8</v>
      </c>
      <c r="M1999">
        <v>8</v>
      </c>
      <c r="N1999" t="s">
        <v>42</v>
      </c>
      <c r="O1999">
        <v>0.68</v>
      </c>
      <c r="P1999">
        <v>14.282</v>
      </c>
      <c r="Q1999" t="s">
        <v>518</v>
      </c>
      <c r="R1999" s="31">
        <v>37.79</v>
      </c>
    </row>
    <row r="2000" spans="1:18" x14ac:dyDescent="0.3">
      <c r="A2000">
        <v>13</v>
      </c>
      <c r="B2000">
        <v>13</v>
      </c>
      <c r="C2000" t="s">
        <v>10</v>
      </c>
      <c r="D2000">
        <v>3.91</v>
      </c>
      <c r="E2000">
        <v>8.5730000000000004</v>
      </c>
      <c r="F2000" t="s">
        <v>400</v>
      </c>
      <c r="G2000" s="31">
        <v>0.1</v>
      </c>
      <c r="L2000">
        <v>9</v>
      </c>
      <c r="M2000">
        <v>9</v>
      </c>
      <c r="N2000" t="s">
        <v>43</v>
      </c>
      <c r="O2000">
        <v>2.54</v>
      </c>
      <c r="P2000">
        <v>4128.4269999999997</v>
      </c>
      <c r="Q2000" t="s">
        <v>519</v>
      </c>
      <c r="R2000" s="31">
        <v>0.14000000000000001</v>
      </c>
    </row>
    <row r="2001" spans="1:18" x14ac:dyDescent="0.3">
      <c r="A2001">
        <v>14</v>
      </c>
      <c r="B2001">
        <v>14</v>
      </c>
      <c r="C2001" t="s">
        <v>11</v>
      </c>
      <c r="F2001" t="s">
        <v>401</v>
      </c>
      <c r="G2001" s="31">
        <v>0.1</v>
      </c>
      <c r="L2001">
        <v>10</v>
      </c>
      <c r="M2001">
        <v>10</v>
      </c>
      <c r="N2001" t="s">
        <v>52</v>
      </c>
      <c r="O2001">
        <v>4.13</v>
      </c>
      <c r="P2001">
        <v>40852.218999999997</v>
      </c>
      <c r="Q2001" t="s">
        <v>520</v>
      </c>
      <c r="R2001" s="31">
        <v>5.21</v>
      </c>
    </row>
    <row r="2002" spans="1:18" x14ac:dyDescent="0.3">
      <c r="A2002">
        <v>15</v>
      </c>
      <c r="B2002">
        <v>15</v>
      </c>
      <c r="C2002" t="s">
        <v>12</v>
      </c>
      <c r="F2002" t="s">
        <v>402</v>
      </c>
      <c r="G2002" s="31">
        <v>0.1</v>
      </c>
      <c r="L2002">
        <v>11</v>
      </c>
      <c r="M2002">
        <v>11</v>
      </c>
      <c r="N2002" t="s">
        <v>44</v>
      </c>
      <c r="O2002">
        <v>4.2</v>
      </c>
      <c r="P2002">
        <v>340.58199999999999</v>
      </c>
      <c r="Q2002" t="s">
        <v>521</v>
      </c>
      <c r="R2002" s="31">
        <v>0.28999999999999998</v>
      </c>
    </row>
    <row r="2003" spans="1:18" x14ac:dyDescent="0.3">
      <c r="A2003">
        <v>16</v>
      </c>
      <c r="B2003">
        <v>16</v>
      </c>
      <c r="C2003" t="s">
        <v>13</v>
      </c>
      <c r="F2003" t="s">
        <v>403</v>
      </c>
      <c r="G2003" s="31">
        <v>0.1</v>
      </c>
      <c r="L2003">
        <v>12</v>
      </c>
      <c r="M2003">
        <v>12</v>
      </c>
      <c r="N2003" t="s">
        <v>45</v>
      </c>
      <c r="O2003">
        <v>3.45</v>
      </c>
      <c r="P2003">
        <v>497870.21899999998</v>
      </c>
      <c r="Q2003" t="s">
        <v>522</v>
      </c>
      <c r="R2003" s="31">
        <v>14.16</v>
      </c>
    </row>
    <row r="2004" spans="1:18" x14ac:dyDescent="0.3">
      <c r="A2004">
        <v>17</v>
      </c>
      <c r="B2004">
        <v>17</v>
      </c>
      <c r="C2004" t="s">
        <v>14</v>
      </c>
      <c r="D2004">
        <v>2.06</v>
      </c>
      <c r="E2004">
        <v>34.381</v>
      </c>
      <c r="F2004" t="s">
        <v>404</v>
      </c>
      <c r="G2004" s="31">
        <v>3.23</v>
      </c>
      <c r="L2004">
        <v>13</v>
      </c>
      <c r="M2004">
        <v>13</v>
      </c>
      <c r="N2004" t="s">
        <v>46</v>
      </c>
      <c r="O2004">
        <v>2.59</v>
      </c>
      <c r="P2004">
        <v>65945.125</v>
      </c>
      <c r="Q2004" t="s">
        <v>523</v>
      </c>
      <c r="R2004" s="31">
        <v>5.28</v>
      </c>
    </row>
    <row r="2005" spans="1:18" x14ac:dyDescent="0.3">
      <c r="A2005">
        <v>18</v>
      </c>
      <c r="B2005">
        <v>18</v>
      </c>
      <c r="C2005" t="s">
        <v>15</v>
      </c>
      <c r="D2005">
        <v>2.54</v>
      </c>
      <c r="E2005">
        <v>15.54</v>
      </c>
      <c r="F2005" t="s">
        <v>405</v>
      </c>
      <c r="G2005" s="31">
        <v>10.29</v>
      </c>
      <c r="L2005">
        <v>14</v>
      </c>
      <c r="M2005">
        <v>14</v>
      </c>
      <c r="N2005" t="s">
        <v>47</v>
      </c>
      <c r="O2005">
        <v>0.67</v>
      </c>
      <c r="P2005">
        <v>23322.76</v>
      </c>
      <c r="Q2005" t="s">
        <v>524</v>
      </c>
      <c r="R2005" s="31">
        <v>22.62</v>
      </c>
    </row>
    <row r="2006" spans="1:18" x14ac:dyDescent="0.3">
      <c r="A2006">
        <v>19</v>
      </c>
      <c r="B2006">
        <v>19</v>
      </c>
      <c r="C2006" t="s">
        <v>16</v>
      </c>
      <c r="D2006">
        <v>2.76</v>
      </c>
      <c r="E2006">
        <v>11.726000000000001</v>
      </c>
      <c r="F2006" t="s">
        <v>406</v>
      </c>
      <c r="G2006" s="31">
        <v>0.3</v>
      </c>
      <c r="L2006">
        <v>15</v>
      </c>
      <c r="M2006">
        <v>15</v>
      </c>
      <c r="N2006" t="s">
        <v>48</v>
      </c>
      <c r="O2006">
        <v>1.22</v>
      </c>
      <c r="P2006">
        <v>10657.084000000001</v>
      </c>
      <c r="Q2006" t="s">
        <v>525</v>
      </c>
      <c r="R2006" s="31">
        <v>2.85</v>
      </c>
    </row>
    <row r="2007" spans="1:18" x14ac:dyDescent="0.3">
      <c r="A2007">
        <v>20</v>
      </c>
      <c r="B2007">
        <v>20</v>
      </c>
      <c r="C2007" t="s">
        <v>17</v>
      </c>
      <c r="D2007">
        <v>3.14</v>
      </c>
      <c r="E2007">
        <v>517.05899999999997</v>
      </c>
      <c r="F2007" t="s">
        <v>407</v>
      </c>
      <c r="G2007" s="31">
        <v>0.27</v>
      </c>
      <c r="L2007">
        <v>16</v>
      </c>
      <c r="M2007">
        <v>16</v>
      </c>
      <c r="N2007" t="s">
        <v>53</v>
      </c>
      <c r="O2007">
        <v>4.5599999999999996</v>
      </c>
      <c r="P2007">
        <v>24592.421999999999</v>
      </c>
      <c r="Q2007" t="s">
        <v>526</v>
      </c>
      <c r="R2007" s="31">
        <v>0.67</v>
      </c>
    </row>
    <row r="2008" spans="1:18" x14ac:dyDescent="0.3">
      <c r="A2008">
        <v>21</v>
      </c>
      <c r="B2008">
        <v>21</v>
      </c>
      <c r="C2008" t="s">
        <v>18</v>
      </c>
      <c r="D2008">
        <v>3.68</v>
      </c>
      <c r="E2008">
        <v>222.154</v>
      </c>
      <c r="F2008" t="s">
        <v>408</v>
      </c>
      <c r="G2008" s="31">
        <v>0.13</v>
      </c>
      <c r="L2008">
        <v>17</v>
      </c>
      <c r="M2008">
        <v>17</v>
      </c>
      <c r="N2008" t="s">
        <v>54</v>
      </c>
      <c r="O2008">
        <v>5.23</v>
      </c>
      <c r="P2008">
        <v>209.751</v>
      </c>
      <c r="Q2008" t="s">
        <v>527</v>
      </c>
      <c r="R2008" s="31">
        <v>0.1</v>
      </c>
    </row>
    <row r="2009" spans="1:18" x14ac:dyDescent="0.3">
      <c r="A2009">
        <v>22</v>
      </c>
      <c r="B2009">
        <v>22</v>
      </c>
      <c r="C2009" t="s">
        <v>19</v>
      </c>
      <c r="F2009" t="s">
        <v>409</v>
      </c>
      <c r="G2009" s="31">
        <v>0.1</v>
      </c>
      <c r="L2009">
        <v>18</v>
      </c>
      <c r="M2009">
        <v>18</v>
      </c>
      <c r="N2009" t="s">
        <v>55</v>
      </c>
      <c r="O2009">
        <v>1.32</v>
      </c>
      <c r="P2009">
        <v>868.774</v>
      </c>
      <c r="Q2009" t="s">
        <v>528</v>
      </c>
      <c r="R2009" s="31">
        <v>0.06</v>
      </c>
    </row>
    <row r="2010" spans="1:18" x14ac:dyDescent="0.3">
      <c r="A2010">
        <v>23</v>
      </c>
      <c r="B2010">
        <v>23</v>
      </c>
      <c r="C2010" t="s">
        <v>20</v>
      </c>
      <c r="D2010">
        <v>2.89</v>
      </c>
      <c r="E2010">
        <v>3.0880000000000001</v>
      </c>
      <c r="F2010" t="s">
        <v>410</v>
      </c>
      <c r="G2010" s="31">
        <v>0.81</v>
      </c>
      <c r="L2010">
        <v>19</v>
      </c>
      <c r="M2010">
        <v>19</v>
      </c>
      <c r="N2010" t="s">
        <v>56</v>
      </c>
      <c r="O2010">
        <v>0.87</v>
      </c>
      <c r="P2010">
        <v>314.49200000000002</v>
      </c>
      <c r="Q2010" t="s">
        <v>529</v>
      </c>
      <c r="R2010" s="31">
        <v>0.1</v>
      </c>
    </row>
    <row r="2011" spans="1:18" x14ac:dyDescent="0.3">
      <c r="A2011">
        <v>24</v>
      </c>
      <c r="B2011">
        <v>24</v>
      </c>
      <c r="C2011" t="s">
        <v>21</v>
      </c>
      <c r="D2011">
        <v>4.13</v>
      </c>
      <c r="E2011">
        <v>19.661000000000001</v>
      </c>
      <c r="F2011" t="s">
        <v>411</v>
      </c>
      <c r="G2011" s="31">
        <v>0.1</v>
      </c>
      <c r="L2011">
        <v>20</v>
      </c>
      <c r="M2011">
        <v>20</v>
      </c>
      <c r="N2011" t="s">
        <v>57</v>
      </c>
      <c r="O2011">
        <v>1.51</v>
      </c>
      <c r="P2011">
        <v>254.58</v>
      </c>
      <c r="Q2011" t="s">
        <v>530</v>
      </c>
      <c r="R2011" s="31">
        <v>0.19</v>
      </c>
    </row>
    <row r="2012" spans="1:18" x14ac:dyDescent="0.3">
      <c r="A2012">
        <v>25</v>
      </c>
      <c r="B2012">
        <v>25</v>
      </c>
      <c r="C2012" t="s">
        <v>22</v>
      </c>
      <c r="D2012">
        <v>3.46</v>
      </c>
      <c r="E2012">
        <v>99.641999999999996</v>
      </c>
      <c r="F2012" t="s">
        <v>412</v>
      </c>
      <c r="G2012" s="31">
        <v>24.56</v>
      </c>
      <c r="L2012">
        <v>21</v>
      </c>
      <c r="M2012">
        <v>21</v>
      </c>
      <c r="N2012" t="s">
        <v>58</v>
      </c>
      <c r="O2012">
        <v>2.33</v>
      </c>
      <c r="P2012">
        <v>317.83600000000001</v>
      </c>
      <c r="Q2012" t="s">
        <v>531</v>
      </c>
      <c r="R2012" s="31">
        <v>0.42</v>
      </c>
    </row>
    <row r="2013" spans="1:18" x14ac:dyDescent="0.3">
      <c r="A2013">
        <v>26</v>
      </c>
      <c r="B2013">
        <v>26</v>
      </c>
      <c r="C2013" t="s">
        <v>23</v>
      </c>
      <c r="F2013" t="s">
        <v>413</v>
      </c>
      <c r="G2013" s="31">
        <v>0.1</v>
      </c>
      <c r="L2013">
        <v>22</v>
      </c>
      <c r="M2013">
        <v>22</v>
      </c>
      <c r="N2013" t="s">
        <v>59</v>
      </c>
      <c r="O2013">
        <v>2.5</v>
      </c>
      <c r="P2013">
        <v>20860.900000000001</v>
      </c>
      <c r="Q2013" t="s">
        <v>532</v>
      </c>
      <c r="R2013" s="31">
        <v>5.84</v>
      </c>
    </row>
    <row r="2014" spans="1:18" x14ac:dyDescent="0.3">
      <c r="A2014">
        <v>27</v>
      </c>
      <c r="B2014">
        <v>27</v>
      </c>
      <c r="C2014" t="s">
        <v>24</v>
      </c>
      <c r="D2014">
        <v>3.56</v>
      </c>
      <c r="E2014">
        <v>24.651</v>
      </c>
      <c r="F2014" t="s">
        <v>414</v>
      </c>
      <c r="G2014" s="31">
        <v>0.1</v>
      </c>
      <c r="L2014">
        <v>23</v>
      </c>
      <c r="M2014">
        <v>23</v>
      </c>
      <c r="N2014" t="s">
        <v>60</v>
      </c>
      <c r="O2014">
        <v>2.48</v>
      </c>
      <c r="P2014">
        <v>16772.567999999999</v>
      </c>
      <c r="Q2014" t="s">
        <v>533</v>
      </c>
      <c r="R2014" s="31">
        <v>2.4900000000000002</v>
      </c>
    </row>
    <row r="2015" spans="1:18" x14ac:dyDescent="0.3">
      <c r="A2015">
        <v>28</v>
      </c>
      <c r="B2015">
        <v>28</v>
      </c>
      <c r="C2015" t="s">
        <v>25</v>
      </c>
      <c r="F2015" t="s">
        <v>415</v>
      </c>
      <c r="G2015" s="31">
        <v>0.1</v>
      </c>
    </row>
    <row r="2016" spans="1:18" x14ac:dyDescent="0.3">
      <c r="A2016">
        <v>29</v>
      </c>
      <c r="B2016">
        <v>29</v>
      </c>
      <c r="C2016" t="s">
        <v>26</v>
      </c>
      <c r="D2016">
        <v>0.71</v>
      </c>
      <c r="E2016">
        <v>6.6429999999999998</v>
      </c>
      <c r="F2016" t="s">
        <v>416</v>
      </c>
      <c r="G2016" s="31">
        <v>3.12</v>
      </c>
      <c r="L2016" t="s">
        <v>379</v>
      </c>
    </row>
    <row r="2017" spans="1:18" x14ac:dyDescent="0.3">
      <c r="A2017">
        <v>30</v>
      </c>
      <c r="B2017">
        <v>30</v>
      </c>
      <c r="C2017" t="s">
        <v>27</v>
      </c>
      <c r="D2017">
        <v>4.34</v>
      </c>
      <c r="E2017">
        <v>10.404</v>
      </c>
      <c r="F2017" t="s">
        <v>417</v>
      </c>
      <c r="G2017" s="31">
        <v>0.12</v>
      </c>
    </row>
    <row r="2018" spans="1:18" x14ac:dyDescent="0.3">
      <c r="A2018">
        <v>31</v>
      </c>
      <c r="B2018">
        <v>31</v>
      </c>
      <c r="C2018" t="s">
        <v>28</v>
      </c>
      <c r="D2018">
        <v>3.11</v>
      </c>
      <c r="E2018">
        <v>3.4609999999999999</v>
      </c>
      <c r="F2018" t="s">
        <v>418</v>
      </c>
      <c r="G2018" s="31">
        <v>0.1</v>
      </c>
      <c r="L2018" t="s">
        <v>557</v>
      </c>
    </row>
    <row r="2019" spans="1:18" x14ac:dyDescent="0.3">
      <c r="A2019">
        <v>32</v>
      </c>
      <c r="B2019">
        <v>32</v>
      </c>
      <c r="C2019" t="s">
        <v>29</v>
      </c>
      <c r="F2019" t="s">
        <v>419</v>
      </c>
      <c r="G2019" s="31">
        <v>0.1</v>
      </c>
    </row>
    <row r="2020" spans="1:18" x14ac:dyDescent="0.3">
      <c r="A2020">
        <v>33</v>
      </c>
      <c r="B2020">
        <v>33</v>
      </c>
      <c r="C2020" t="s">
        <v>30</v>
      </c>
      <c r="D2020">
        <v>4.58</v>
      </c>
      <c r="E2020">
        <v>9.6649999999999991</v>
      </c>
      <c r="F2020" t="s">
        <v>420</v>
      </c>
      <c r="G2020" s="31">
        <v>3.35</v>
      </c>
      <c r="L2020" t="s">
        <v>599</v>
      </c>
    </row>
    <row r="2021" spans="1:18" x14ac:dyDescent="0.3">
      <c r="A2021">
        <v>34</v>
      </c>
      <c r="B2021">
        <v>34</v>
      </c>
      <c r="C2021" t="s">
        <v>31</v>
      </c>
      <c r="D2021">
        <v>3.65</v>
      </c>
      <c r="E2021">
        <v>23.097999999999999</v>
      </c>
      <c r="F2021" t="s">
        <v>421</v>
      </c>
      <c r="G2021" s="31">
        <v>0.12</v>
      </c>
    </row>
    <row r="2022" spans="1:18" x14ac:dyDescent="0.3">
      <c r="A2022">
        <v>35</v>
      </c>
      <c r="B2022">
        <v>35</v>
      </c>
      <c r="C2022" t="s">
        <v>32</v>
      </c>
      <c r="D2022">
        <v>3.06</v>
      </c>
      <c r="E2022">
        <v>27.059000000000001</v>
      </c>
      <c r="F2022" t="s">
        <v>422</v>
      </c>
      <c r="G2022" s="31">
        <v>0.1</v>
      </c>
      <c r="M2022" t="s">
        <v>382</v>
      </c>
      <c r="N2022" t="s">
        <v>383</v>
      </c>
      <c r="O2022" t="s">
        <v>384</v>
      </c>
      <c r="P2022" t="s">
        <v>385</v>
      </c>
      <c r="Q2022" t="s">
        <v>386</v>
      </c>
      <c r="R2022" s="31" t="s">
        <v>387</v>
      </c>
    </row>
    <row r="2023" spans="1:18" x14ac:dyDescent="0.3">
      <c r="A2023">
        <v>36</v>
      </c>
      <c r="B2023">
        <v>36</v>
      </c>
      <c r="C2023" t="s">
        <v>33</v>
      </c>
      <c r="D2023">
        <v>1.95</v>
      </c>
      <c r="E2023">
        <v>5.9509999999999996</v>
      </c>
      <c r="F2023" t="s">
        <v>423</v>
      </c>
      <c r="G2023" s="31">
        <v>0.06</v>
      </c>
      <c r="L2023">
        <v>1</v>
      </c>
      <c r="M2023">
        <v>1</v>
      </c>
      <c r="N2023" t="s">
        <v>35</v>
      </c>
      <c r="O2023">
        <v>1.44</v>
      </c>
      <c r="P2023">
        <v>8421.0630000000001</v>
      </c>
      <c r="Q2023" t="s">
        <v>511</v>
      </c>
      <c r="R2023" s="31">
        <v>7.4</v>
      </c>
    </row>
    <row r="2024" spans="1:18" x14ac:dyDescent="0.3">
      <c r="L2024">
        <v>2</v>
      </c>
      <c r="M2024">
        <v>2</v>
      </c>
      <c r="N2024" t="s">
        <v>36</v>
      </c>
      <c r="O2024">
        <v>1.66</v>
      </c>
      <c r="P2024">
        <v>3074310.25</v>
      </c>
      <c r="Q2024" t="s">
        <v>512</v>
      </c>
      <c r="R2024" s="31">
        <v>290.41000000000003</v>
      </c>
    </row>
    <row r="2025" spans="1:18" x14ac:dyDescent="0.3">
      <c r="A2025" t="s">
        <v>379</v>
      </c>
      <c r="L2025">
        <v>3</v>
      </c>
      <c r="M2025">
        <v>3</v>
      </c>
      <c r="N2025" t="s">
        <v>37</v>
      </c>
      <c r="O2025">
        <v>1.81</v>
      </c>
      <c r="P2025">
        <v>1591.37</v>
      </c>
      <c r="Q2025" t="s">
        <v>513</v>
      </c>
      <c r="R2025" s="31">
        <v>0.28000000000000003</v>
      </c>
    </row>
    <row r="2026" spans="1:18" x14ac:dyDescent="0.3">
      <c r="L2026">
        <v>4</v>
      </c>
      <c r="M2026">
        <v>4</v>
      </c>
      <c r="N2026" t="s">
        <v>38</v>
      </c>
      <c r="O2026">
        <v>1.18</v>
      </c>
      <c r="P2026">
        <v>5507.2560000000003</v>
      </c>
      <c r="Q2026" t="s">
        <v>514</v>
      </c>
      <c r="R2026" s="31">
        <v>0.67</v>
      </c>
    </row>
    <row r="2027" spans="1:18" x14ac:dyDescent="0.3">
      <c r="A2027" t="s">
        <v>456</v>
      </c>
      <c r="L2027">
        <v>5</v>
      </c>
      <c r="M2027">
        <v>5</v>
      </c>
      <c r="N2027" t="s">
        <v>39</v>
      </c>
      <c r="O2027">
        <v>1.38</v>
      </c>
      <c r="P2027">
        <v>333459.18800000002</v>
      </c>
      <c r="Q2027" t="s">
        <v>515</v>
      </c>
      <c r="R2027" s="31">
        <v>47.24</v>
      </c>
    </row>
    <row r="2028" spans="1:18" x14ac:dyDescent="0.3">
      <c r="L2028">
        <v>6</v>
      </c>
      <c r="M2028">
        <v>6</v>
      </c>
      <c r="N2028" t="s">
        <v>40</v>
      </c>
      <c r="O2028">
        <v>1.52</v>
      </c>
      <c r="P2028">
        <v>41533.233999999997</v>
      </c>
      <c r="Q2028" t="s">
        <v>516</v>
      </c>
      <c r="R2028" s="31">
        <v>3.37</v>
      </c>
    </row>
    <row r="2029" spans="1:18" x14ac:dyDescent="0.3">
      <c r="A2029" t="s">
        <v>470</v>
      </c>
      <c r="L2029">
        <v>7</v>
      </c>
      <c r="M2029">
        <v>7</v>
      </c>
      <c r="N2029" t="s">
        <v>41</v>
      </c>
      <c r="O2029">
        <v>2.29</v>
      </c>
      <c r="P2029">
        <v>8712.1460000000006</v>
      </c>
      <c r="Q2029" t="s">
        <v>517</v>
      </c>
      <c r="R2029" s="31">
        <v>6.35</v>
      </c>
    </row>
    <row r="2030" spans="1:18" x14ac:dyDescent="0.3">
      <c r="L2030">
        <v>8</v>
      </c>
      <c r="M2030">
        <v>8</v>
      </c>
      <c r="N2030" t="s">
        <v>42</v>
      </c>
      <c r="O2030">
        <v>0.76</v>
      </c>
      <c r="P2030">
        <v>122.244</v>
      </c>
      <c r="Q2030" t="s">
        <v>518</v>
      </c>
      <c r="R2030" s="31">
        <v>14.37</v>
      </c>
    </row>
    <row r="2031" spans="1:18" x14ac:dyDescent="0.3">
      <c r="B2031" t="s">
        <v>382</v>
      </c>
      <c r="C2031" t="s">
        <v>383</v>
      </c>
      <c r="D2031" t="s">
        <v>384</v>
      </c>
      <c r="E2031" t="s">
        <v>385</v>
      </c>
      <c r="F2031" t="s">
        <v>386</v>
      </c>
      <c r="G2031" s="31" t="s">
        <v>387</v>
      </c>
      <c r="L2031">
        <v>9</v>
      </c>
      <c r="M2031">
        <v>9</v>
      </c>
      <c r="N2031" t="s">
        <v>43</v>
      </c>
      <c r="O2031">
        <v>2.54</v>
      </c>
      <c r="P2031">
        <v>18729.324000000001</v>
      </c>
      <c r="Q2031" t="s">
        <v>519</v>
      </c>
      <c r="R2031" s="31">
        <v>0.24</v>
      </c>
    </row>
    <row r="2032" spans="1:18" x14ac:dyDescent="0.3">
      <c r="A2032">
        <v>1</v>
      </c>
      <c r="B2032">
        <v>1</v>
      </c>
      <c r="C2032" t="s">
        <v>0</v>
      </c>
      <c r="D2032">
        <v>1.02</v>
      </c>
      <c r="E2032">
        <v>6825.4210000000003</v>
      </c>
      <c r="F2032" t="s">
        <v>388</v>
      </c>
      <c r="G2032" s="31">
        <v>416.35</v>
      </c>
      <c r="L2032">
        <v>10</v>
      </c>
      <c r="M2032">
        <v>10</v>
      </c>
      <c r="N2032" t="s">
        <v>52</v>
      </c>
      <c r="O2032">
        <v>4.12</v>
      </c>
      <c r="P2032">
        <v>7855.9170000000004</v>
      </c>
      <c r="Q2032" t="s">
        <v>520</v>
      </c>
      <c r="R2032" s="31">
        <v>0.19</v>
      </c>
    </row>
    <row r="2033" spans="1:18" x14ac:dyDescent="0.3">
      <c r="A2033">
        <v>2</v>
      </c>
      <c r="B2033">
        <v>2</v>
      </c>
      <c r="C2033" t="s">
        <v>1</v>
      </c>
      <c r="D2033">
        <v>1.46</v>
      </c>
      <c r="E2033">
        <v>10498.45</v>
      </c>
      <c r="F2033" t="s">
        <v>389</v>
      </c>
      <c r="G2033" s="31">
        <v>114.56</v>
      </c>
      <c r="L2033">
        <v>11</v>
      </c>
      <c r="M2033">
        <v>11</v>
      </c>
      <c r="N2033" t="s">
        <v>44</v>
      </c>
      <c r="O2033">
        <v>4.17</v>
      </c>
      <c r="P2033">
        <v>2024.4190000000001</v>
      </c>
      <c r="Q2033" t="s">
        <v>521</v>
      </c>
      <c r="R2033" s="31">
        <v>0.26</v>
      </c>
    </row>
    <row r="2034" spans="1:18" x14ac:dyDescent="0.3">
      <c r="A2034">
        <v>3</v>
      </c>
      <c r="B2034">
        <v>3</v>
      </c>
      <c r="C2034" t="s">
        <v>50</v>
      </c>
      <c r="D2034">
        <v>3.57</v>
      </c>
      <c r="E2034">
        <v>2049.067</v>
      </c>
      <c r="F2034" t="s">
        <v>390</v>
      </c>
      <c r="G2034" s="31">
        <v>9.93</v>
      </c>
      <c r="L2034">
        <v>12</v>
      </c>
      <c r="M2034">
        <v>12</v>
      </c>
      <c r="N2034" t="s">
        <v>45</v>
      </c>
      <c r="O2034">
        <v>3.44</v>
      </c>
      <c r="P2034">
        <v>1715922.375</v>
      </c>
      <c r="Q2034" t="s">
        <v>522</v>
      </c>
      <c r="R2034" s="31">
        <v>31.88</v>
      </c>
    </row>
    <row r="2035" spans="1:18" x14ac:dyDescent="0.3">
      <c r="A2035">
        <v>4</v>
      </c>
      <c r="B2035">
        <v>4</v>
      </c>
      <c r="C2035" t="s">
        <v>2</v>
      </c>
      <c r="D2035">
        <v>3.69</v>
      </c>
      <c r="E2035">
        <v>63097.141000000003</v>
      </c>
      <c r="F2035" t="s">
        <v>391</v>
      </c>
      <c r="G2035" s="31">
        <v>28.62</v>
      </c>
      <c r="L2035">
        <v>13</v>
      </c>
      <c r="M2035">
        <v>13</v>
      </c>
      <c r="N2035" t="s">
        <v>46</v>
      </c>
      <c r="O2035">
        <v>2.58</v>
      </c>
      <c r="P2035">
        <v>237580.04699999999</v>
      </c>
      <c r="Q2035" t="s">
        <v>523</v>
      </c>
      <c r="R2035" s="31">
        <v>9.4600000000000009</v>
      </c>
    </row>
    <row r="2036" spans="1:18" x14ac:dyDescent="0.3">
      <c r="A2036">
        <v>5</v>
      </c>
      <c r="B2036">
        <v>5</v>
      </c>
      <c r="C2036" t="s">
        <v>3</v>
      </c>
      <c r="D2036">
        <v>4.4800000000000004</v>
      </c>
      <c r="E2036">
        <v>3039.174</v>
      </c>
      <c r="F2036" t="s">
        <v>392</v>
      </c>
      <c r="G2036" s="31">
        <v>50.06</v>
      </c>
      <c r="L2036">
        <v>14</v>
      </c>
      <c r="M2036">
        <v>14</v>
      </c>
      <c r="N2036" t="s">
        <v>47</v>
      </c>
      <c r="O2036">
        <v>0.68</v>
      </c>
      <c r="P2036">
        <v>53430.262000000002</v>
      </c>
      <c r="Q2036" t="s">
        <v>524</v>
      </c>
      <c r="R2036" s="31">
        <v>21.42</v>
      </c>
    </row>
    <row r="2037" spans="1:18" x14ac:dyDescent="0.3">
      <c r="A2037">
        <v>6</v>
      </c>
      <c r="B2037">
        <v>6</v>
      </c>
      <c r="C2037" t="s">
        <v>4</v>
      </c>
      <c r="D2037">
        <v>4.8099999999999996</v>
      </c>
      <c r="E2037">
        <v>147586.625</v>
      </c>
      <c r="F2037" t="s">
        <v>393</v>
      </c>
      <c r="G2037" s="31">
        <v>46.95</v>
      </c>
      <c r="L2037">
        <v>15</v>
      </c>
      <c r="M2037">
        <v>15</v>
      </c>
      <c r="N2037" t="s">
        <v>48</v>
      </c>
      <c r="O2037">
        <v>1.21</v>
      </c>
      <c r="P2037">
        <v>22081.796999999999</v>
      </c>
      <c r="Q2037" t="s">
        <v>525</v>
      </c>
      <c r="R2037" s="31">
        <v>2.5</v>
      </c>
    </row>
    <row r="2038" spans="1:18" x14ac:dyDescent="0.3">
      <c r="A2038">
        <v>7</v>
      </c>
      <c r="B2038">
        <v>7</v>
      </c>
      <c r="C2038" t="s">
        <v>5</v>
      </c>
      <c r="D2038">
        <v>2.71</v>
      </c>
      <c r="E2038">
        <v>2653.085</v>
      </c>
      <c r="F2038" t="s">
        <v>394</v>
      </c>
      <c r="G2038" s="31">
        <v>3.18</v>
      </c>
      <c r="L2038">
        <v>16</v>
      </c>
      <c r="M2038">
        <v>16</v>
      </c>
      <c r="N2038" t="s">
        <v>53</v>
      </c>
      <c r="O2038">
        <v>4.55</v>
      </c>
      <c r="P2038">
        <v>78759.858999999997</v>
      </c>
      <c r="Q2038" t="s">
        <v>526</v>
      </c>
      <c r="R2038" s="31">
        <v>0.89</v>
      </c>
    </row>
    <row r="2039" spans="1:18" x14ac:dyDescent="0.3">
      <c r="A2039">
        <v>8</v>
      </c>
      <c r="B2039">
        <v>8</v>
      </c>
      <c r="C2039" t="s">
        <v>6</v>
      </c>
      <c r="D2039">
        <v>0.66</v>
      </c>
      <c r="E2039">
        <v>2091.5920000000001</v>
      </c>
      <c r="F2039" t="s">
        <v>395</v>
      </c>
      <c r="G2039" s="31">
        <v>192.07</v>
      </c>
      <c r="L2039">
        <v>17</v>
      </c>
      <c r="M2039">
        <v>17</v>
      </c>
      <c r="N2039" t="s">
        <v>54</v>
      </c>
      <c r="O2039">
        <v>5.18</v>
      </c>
      <c r="P2039">
        <v>1894.11</v>
      </c>
      <c r="Q2039" t="s">
        <v>527</v>
      </c>
      <c r="R2039" s="31">
        <v>0.13</v>
      </c>
    </row>
    <row r="2040" spans="1:18" x14ac:dyDescent="0.3">
      <c r="A2040">
        <v>9</v>
      </c>
      <c r="B2040">
        <v>9</v>
      </c>
      <c r="C2040" t="s">
        <v>7</v>
      </c>
      <c r="D2040">
        <v>3.56</v>
      </c>
      <c r="E2040">
        <v>2642.5039999999999</v>
      </c>
      <c r="F2040" t="s">
        <v>396</v>
      </c>
      <c r="G2040" s="31">
        <v>51.14</v>
      </c>
      <c r="L2040">
        <v>18</v>
      </c>
      <c r="M2040">
        <v>18</v>
      </c>
      <c r="N2040" t="s">
        <v>55</v>
      </c>
      <c r="O2040">
        <v>1.32</v>
      </c>
      <c r="P2040">
        <v>6522.25</v>
      </c>
      <c r="Q2040" t="s">
        <v>528</v>
      </c>
      <c r="R2040" s="31">
        <v>0.2</v>
      </c>
    </row>
    <row r="2041" spans="1:18" x14ac:dyDescent="0.3">
      <c r="A2041">
        <v>10</v>
      </c>
      <c r="B2041">
        <v>10</v>
      </c>
      <c r="C2041" t="s">
        <v>51</v>
      </c>
      <c r="D2041">
        <v>4.6100000000000003</v>
      </c>
      <c r="E2041">
        <v>3518.8670000000002</v>
      </c>
      <c r="F2041" t="s">
        <v>397</v>
      </c>
      <c r="G2041" s="31">
        <v>5.23</v>
      </c>
      <c r="L2041">
        <v>19</v>
      </c>
      <c r="M2041">
        <v>19</v>
      </c>
      <c r="N2041" t="s">
        <v>56</v>
      </c>
      <c r="O2041">
        <v>0.87</v>
      </c>
      <c r="P2041">
        <v>99150.531000000003</v>
      </c>
      <c r="Q2041" t="s">
        <v>529</v>
      </c>
      <c r="R2041" s="31">
        <v>5.04</v>
      </c>
    </row>
    <row r="2042" spans="1:18" x14ac:dyDescent="0.3">
      <c r="A2042">
        <v>11</v>
      </c>
      <c r="B2042">
        <v>11</v>
      </c>
      <c r="C2042" t="s">
        <v>8</v>
      </c>
      <c r="D2042">
        <v>2.74</v>
      </c>
      <c r="E2042">
        <v>84150.82</v>
      </c>
      <c r="F2042" t="s">
        <v>398</v>
      </c>
      <c r="G2042" s="31">
        <v>32.299999999999997</v>
      </c>
      <c r="L2042">
        <v>20</v>
      </c>
      <c r="M2042">
        <v>20</v>
      </c>
      <c r="N2042" t="s">
        <v>57</v>
      </c>
      <c r="O2042">
        <v>1.51</v>
      </c>
      <c r="P2042">
        <v>1569.3030000000001</v>
      </c>
      <c r="Q2042" t="s">
        <v>530</v>
      </c>
      <c r="R2042" s="31">
        <v>0.47</v>
      </c>
    </row>
    <row r="2043" spans="1:18" x14ac:dyDescent="0.3">
      <c r="A2043">
        <v>12</v>
      </c>
      <c r="B2043">
        <v>12</v>
      </c>
      <c r="C2043" t="s">
        <v>9</v>
      </c>
      <c r="D2043">
        <v>2.64</v>
      </c>
      <c r="E2043">
        <v>13271.481</v>
      </c>
      <c r="F2043" t="s">
        <v>399</v>
      </c>
      <c r="G2043" s="31">
        <v>32.450000000000003</v>
      </c>
      <c r="L2043">
        <v>21</v>
      </c>
      <c r="M2043">
        <v>21</v>
      </c>
      <c r="N2043" t="s">
        <v>58</v>
      </c>
      <c r="O2043">
        <v>2.56</v>
      </c>
      <c r="P2043">
        <v>276.15300000000002</v>
      </c>
      <c r="Q2043" t="s">
        <v>531</v>
      </c>
      <c r="R2043" s="31">
        <v>0.14000000000000001</v>
      </c>
    </row>
    <row r="2044" spans="1:18" x14ac:dyDescent="0.3">
      <c r="A2044">
        <v>13</v>
      </c>
      <c r="B2044">
        <v>13</v>
      </c>
      <c r="C2044" t="s">
        <v>10</v>
      </c>
      <c r="D2044">
        <v>4.09</v>
      </c>
      <c r="E2044">
        <v>1495022</v>
      </c>
      <c r="F2044" t="s">
        <v>400</v>
      </c>
      <c r="G2044" s="31">
        <v>983.22</v>
      </c>
      <c r="L2044">
        <v>22</v>
      </c>
      <c r="M2044">
        <v>22</v>
      </c>
      <c r="N2044" t="s">
        <v>59</v>
      </c>
      <c r="O2044">
        <v>2.5</v>
      </c>
      <c r="P2044">
        <v>28101.736000000001</v>
      </c>
      <c r="Q2044" t="s">
        <v>532</v>
      </c>
      <c r="R2044" s="31">
        <v>3.03</v>
      </c>
    </row>
    <row r="2045" spans="1:18" x14ac:dyDescent="0.3">
      <c r="A2045">
        <v>14</v>
      </c>
      <c r="B2045">
        <v>14</v>
      </c>
      <c r="C2045" t="s">
        <v>11</v>
      </c>
      <c r="D2045">
        <v>3.52</v>
      </c>
      <c r="E2045">
        <v>146.71</v>
      </c>
      <c r="F2045" t="s">
        <v>401</v>
      </c>
      <c r="G2045" s="31">
        <v>58.36</v>
      </c>
      <c r="L2045">
        <v>23</v>
      </c>
      <c r="M2045">
        <v>23</v>
      </c>
      <c r="N2045" t="s">
        <v>60</v>
      </c>
      <c r="O2045">
        <v>2.59</v>
      </c>
      <c r="P2045">
        <v>36509.487999999998</v>
      </c>
      <c r="Q2045" t="s">
        <v>533</v>
      </c>
      <c r="R2045" s="31">
        <v>1.87</v>
      </c>
    </row>
    <row r="2046" spans="1:18" x14ac:dyDescent="0.3">
      <c r="A2046">
        <v>15</v>
      </c>
      <c r="B2046">
        <v>15</v>
      </c>
      <c r="C2046" t="s">
        <v>12</v>
      </c>
      <c r="D2046">
        <v>3.32</v>
      </c>
      <c r="E2046">
        <v>905.52499999999998</v>
      </c>
      <c r="F2046" t="s">
        <v>402</v>
      </c>
      <c r="G2046" s="31">
        <v>30.11</v>
      </c>
    </row>
    <row r="2047" spans="1:18" x14ac:dyDescent="0.3">
      <c r="A2047">
        <v>16</v>
      </c>
      <c r="B2047">
        <v>16</v>
      </c>
      <c r="C2047" t="s">
        <v>13</v>
      </c>
      <c r="D2047">
        <v>3.24</v>
      </c>
      <c r="E2047">
        <v>23329.388999999999</v>
      </c>
      <c r="F2047" t="s">
        <v>403</v>
      </c>
      <c r="G2047" s="31">
        <v>30.15</v>
      </c>
      <c r="L2047" t="s">
        <v>379</v>
      </c>
    </row>
    <row r="2048" spans="1:18" x14ac:dyDescent="0.3">
      <c r="A2048">
        <v>17</v>
      </c>
      <c r="B2048">
        <v>17</v>
      </c>
      <c r="C2048" t="s">
        <v>14</v>
      </c>
      <c r="D2048">
        <v>2.0299999999999998</v>
      </c>
      <c r="E2048">
        <v>52428.449000000001</v>
      </c>
      <c r="F2048" t="s">
        <v>404</v>
      </c>
      <c r="G2048" s="31">
        <v>60.05</v>
      </c>
    </row>
    <row r="2049" spans="1:18" x14ac:dyDescent="0.3">
      <c r="A2049">
        <v>18</v>
      </c>
      <c r="B2049">
        <v>18</v>
      </c>
      <c r="C2049" t="s">
        <v>15</v>
      </c>
      <c r="D2049">
        <v>2.5099999999999998</v>
      </c>
      <c r="E2049">
        <v>67511.179999999993</v>
      </c>
      <c r="F2049" t="s">
        <v>405</v>
      </c>
      <c r="G2049" s="31">
        <v>231.54</v>
      </c>
      <c r="L2049" t="s">
        <v>557</v>
      </c>
    </row>
    <row r="2050" spans="1:18" x14ac:dyDescent="0.3">
      <c r="A2050">
        <v>19</v>
      </c>
      <c r="B2050">
        <v>19</v>
      </c>
      <c r="C2050" t="s">
        <v>16</v>
      </c>
      <c r="D2050">
        <v>2.72</v>
      </c>
      <c r="E2050">
        <v>20040.107</v>
      </c>
      <c r="F2050" t="s">
        <v>406</v>
      </c>
      <c r="G2050" s="31">
        <v>8.32</v>
      </c>
    </row>
    <row r="2051" spans="1:18" x14ac:dyDescent="0.3">
      <c r="A2051">
        <v>20</v>
      </c>
      <c r="B2051">
        <v>20</v>
      </c>
      <c r="C2051" t="s">
        <v>17</v>
      </c>
      <c r="D2051">
        <v>3.05</v>
      </c>
      <c r="E2051">
        <v>39865.43</v>
      </c>
      <c r="F2051" t="s">
        <v>407</v>
      </c>
      <c r="G2051" s="31">
        <v>58.77</v>
      </c>
      <c r="L2051" t="s">
        <v>600</v>
      </c>
    </row>
    <row r="2052" spans="1:18" x14ac:dyDescent="0.3">
      <c r="A2052">
        <v>21</v>
      </c>
      <c r="B2052">
        <v>21</v>
      </c>
      <c r="C2052" t="s">
        <v>18</v>
      </c>
      <c r="D2052">
        <v>3.68</v>
      </c>
      <c r="E2052">
        <v>35433.828000000001</v>
      </c>
      <c r="F2052" t="s">
        <v>408</v>
      </c>
      <c r="G2052" s="31">
        <v>12.15</v>
      </c>
    </row>
    <row r="2053" spans="1:18" x14ac:dyDescent="0.3">
      <c r="A2053">
        <v>22</v>
      </c>
      <c r="B2053">
        <v>22</v>
      </c>
      <c r="C2053" t="s">
        <v>19</v>
      </c>
      <c r="D2053">
        <v>2.64</v>
      </c>
      <c r="E2053">
        <v>87196.616999999998</v>
      </c>
      <c r="F2053" t="s">
        <v>409</v>
      </c>
      <c r="G2053" s="31">
        <v>64.760000000000005</v>
      </c>
      <c r="M2053" t="s">
        <v>382</v>
      </c>
      <c r="N2053" t="s">
        <v>383</v>
      </c>
      <c r="O2053" t="s">
        <v>384</v>
      </c>
      <c r="P2053" t="s">
        <v>385</v>
      </c>
      <c r="Q2053" t="s">
        <v>386</v>
      </c>
      <c r="R2053" s="31" t="s">
        <v>387</v>
      </c>
    </row>
    <row r="2054" spans="1:18" x14ac:dyDescent="0.3">
      <c r="A2054">
        <v>23</v>
      </c>
      <c r="B2054">
        <v>23</v>
      </c>
      <c r="C2054" t="s">
        <v>20</v>
      </c>
      <c r="D2054">
        <v>2.89</v>
      </c>
      <c r="E2054">
        <v>24149.907999999999</v>
      </c>
      <c r="F2054" t="s">
        <v>410</v>
      </c>
      <c r="G2054" s="31">
        <v>11.3</v>
      </c>
      <c r="L2054">
        <v>1</v>
      </c>
      <c r="M2054">
        <v>1</v>
      </c>
      <c r="N2054" t="s">
        <v>35</v>
      </c>
      <c r="O2054">
        <v>1.45</v>
      </c>
      <c r="P2054">
        <v>1409.181</v>
      </c>
      <c r="Q2054" t="s">
        <v>511</v>
      </c>
      <c r="R2054" s="31">
        <v>7.63</v>
      </c>
    </row>
    <row r="2055" spans="1:18" x14ac:dyDescent="0.3">
      <c r="A2055">
        <v>24</v>
      </c>
      <c r="B2055">
        <v>24</v>
      </c>
      <c r="C2055" t="s">
        <v>21</v>
      </c>
      <c r="D2055">
        <v>4.12</v>
      </c>
      <c r="E2055">
        <v>2079.1610000000001</v>
      </c>
      <c r="F2055" t="s">
        <v>411</v>
      </c>
      <c r="G2055" s="31">
        <v>1.0900000000000001</v>
      </c>
      <c r="L2055">
        <v>2</v>
      </c>
      <c r="M2055">
        <v>2</v>
      </c>
      <c r="N2055" t="s">
        <v>36</v>
      </c>
      <c r="O2055">
        <v>1.67</v>
      </c>
      <c r="P2055">
        <v>980293.75</v>
      </c>
      <c r="Q2055" t="s">
        <v>512</v>
      </c>
      <c r="R2055" s="31">
        <v>133.4</v>
      </c>
    </row>
    <row r="2056" spans="1:18" x14ac:dyDescent="0.3">
      <c r="A2056">
        <v>25</v>
      </c>
      <c r="B2056">
        <v>25</v>
      </c>
      <c r="C2056" t="s">
        <v>22</v>
      </c>
      <c r="D2056">
        <v>3.41</v>
      </c>
      <c r="E2056">
        <v>811.58399999999995</v>
      </c>
      <c r="F2056" t="s">
        <v>412</v>
      </c>
      <c r="G2056" s="31">
        <v>54.02</v>
      </c>
      <c r="L2056">
        <v>3</v>
      </c>
      <c r="M2056">
        <v>3</v>
      </c>
      <c r="N2056" t="s">
        <v>37</v>
      </c>
      <c r="O2056">
        <v>1.81</v>
      </c>
      <c r="P2056">
        <v>347.291</v>
      </c>
      <c r="Q2056" t="s">
        <v>513</v>
      </c>
      <c r="R2056" s="31">
        <v>0.12</v>
      </c>
    </row>
    <row r="2057" spans="1:18" x14ac:dyDescent="0.3">
      <c r="A2057">
        <v>26</v>
      </c>
      <c r="B2057">
        <v>26</v>
      </c>
      <c r="C2057" t="s">
        <v>23</v>
      </c>
      <c r="D2057">
        <v>3.35</v>
      </c>
      <c r="E2057">
        <v>87038.991999999998</v>
      </c>
      <c r="F2057" t="s">
        <v>413</v>
      </c>
      <c r="G2057" s="31">
        <v>61.66</v>
      </c>
      <c r="L2057">
        <v>4</v>
      </c>
      <c r="M2057">
        <v>4</v>
      </c>
      <c r="N2057" t="s">
        <v>38</v>
      </c>
      <c r="O2057">
        <v>1.17</v>
      </c>
      <c r="P2057">
        <v>1136.672</v>
      </c>
      <c r="Q2057" t="s">
        <v>514</v>
      </c>
      <c r="R2057" s="31">
        <v>0.2</v>
      </c>
    </row>
    <row r="2058" spans="1:18" x14ac:dyDescent="0.3">
      <c r="A2058">
        <v>27</v>
      </c>
      <c r="B2058">
        <v>27</v>
      </c>
      <c r="C2058" t="s">
        <v>24</v>
      </c>
      <c r="D2058">
        <v>3.45</v>
      </c>
      <c r="E2058">
        <v>1670.0920000000001</v>
      </c>
      <c r="F2058" t="s">
        <v>414</v>
      </c>
      <c r="G2058" s="31">
        <v>8.8699999999999992</v>
      </c>
      <c r="L2058">
        <v>5</v>
      </c>
      <c r="M2058">
        <v>5</v>
      </c>
      <c r="N2058" t="s">
        <v>39</v>
      </c>
      <c r="O2058">
        <v>1.38</v>
      </c>
      <c r="P2058">
        <v>122213.008</v>
      </c>
      <c r="Q2058" t="s">
        <v>515</v>
      </c>
      <c r="R2058" s="31">
        <v>22.63</v>
      </c>
    </row>
    <row r="2059" spans="1:18" x14ac:dyDescent="0.3">
      <c r="A2059">
        <v>28</v>
      </c>
      <c r="B2059">
        <v>28</v>
      </c>
      <c r="C2059" t="s">
        <v>25</v>
      </c>
      <c r="D2059">
        <v>3.52</v>
      </c>
      <c r="E2059">
        <v>27329.613000000001</v>
      </c>
      <c r="F2059" t="s">
        <v>415</v>
      </c>
      <c r="G2059" s="31">
        <v>30.13</v>
      </c>
      <c r="L2059">
        <v>6</v>
      </c>
      <c r="M2059">
        <v>6</v>
      </c>
      <c r="N2059" t="s">
        <v>40</v>
      </c>
      <c r="O2059">
        <v>1.52</v>
      </c>
      <c r="P2059">
        <v>12102.42</v>
      </c>
      <c r="Q2059" t="s">
        <v>516</v>
      </c>
      <c r="R2059" s="31">
        <v>1.1599999999999999</v>
      </c>
    </row>
    <row r="2060" spans="1:18" x14ac:dyDescent="0.3">
      <c r="A2060">
        <v>29</v>
      </c>
      <c r="B2060">
        <v>29</v>
      </c>
      <c r="C2060" t="s">
        <v>26</v>
      </c>
      <c r="D2060">
        <v>1.05</v>
      </c>
      <c r="E2060">
        <v>3332.846</v>
      </c>
      <c r="F2060" t="s">
        <v>416</v>
      </c>
      <c r="G2060" s="31">
        <v>24.47</v>
      </c>
      <c r="L2060">
        <v>7</v>
      </c>
      <c r="M2060">
        <v>7</v>
      </c>
      <c r="N2060" t="s">
        <v>41</v>
      </c>
      <c r="O2060">
        <v>2.25</v>
      </c>
      <c r="P2060">
        <v>2493.4180000000001</v>
      </c>
      <c r="Q2060" t="s">
        <v>517</v>
      </c>
      <c r="R2060" s="31">
        <v>2.19</v>
      </c>
    </row>
    <row r="2061" spans="1:18" x14ac:dyDescent="0.3">
      <c r="A2061">
        <v>30</v>
      </c>
      <c r="B2061">
        <v>30</v>
      </c>
      <c r="C2061" t="s">
        <v>27</v>
      </c>
      <c r="D2061">
        <v>4.32</v>
      </c>
      <c r="E2061">
        <v>4302.5420000000004</v>
      </c>
      <c r="F2061" t="s">
        <v>417</v>
      </c>
      <c r="G2061" s="31">
        <v>2.4300000000000002</v>
      </c>
      <c r="L2061">
        <v>8</v>
      </c>
      <c r="M2061">
        <v>8</v>
      </c>
      <c r="N2061" t="s">
        <v>42</v>
      </c>
      <c r="O2061">
        <v>0.88</v>
      </c>
      <c r="P2061">
        <v>147296.90599999999</v>
      </c>
      <c r="Q2061" t="s">
        <v>518</v>
      </c>
      <c r="R2061" s="31">
        <v>155.07</v>
      </c>
    </row>
    <row r="2062" spans="1:18" x14ac:dyDescent="0.3">
      <c r="A2062">
        <v>31</v>
      </c>
      <c r="B2062">
        <v>31</v>
      </c>
      <c r="C2062" t="s">
        <v>28</v>
      </c>
      <c r="D2062">
        <v>3</v>
      </c>
      <c r="E2062">
        <v>328669.5</v>
      </c>
      <c r="F2062" t="s">
        <v>418</v>
      </c>
      <c r="G2062" s="31">
        <v>15.43</v>
      </c>
      <c r="L2062">
        <v>9</v>
      </c>
      <c r="M2062">
        <v>9</v>
      </c>
      <c r="N2062" t="s">
        <v>43</v>
      </c>
      <c r="O2062">
        <v>2.54</v>
      </c>
      <c r="P2062">
        <v>9569.3649999999998</v>
      </c>
      <c r="Q2062" t="s">
        <v>519</v>
      </c>
      <c r="R2062" s="31">
        <v>0.14000000000000001</v>
      </c>
    </row>
    <row r="2063" spans="1:18" x14ac:dyDescent="0.3">
      <c r="A2063">
        <v>32</v>
      </c>
      <c r="B2063">
        <v>32</v>
      </c>
      <c r="C2063" t="s">
        <v>29</v>
      </c>
      <c r="D2063">
        <v>3.35</v>
      </c>
      <c r="E2063">
        <v>2606.2829999999999</v>
      </c>
      <c r="F2063" t="s">
        <v>419</v>
      </c>
      <c r="G2063" s="31">
        <v>2.5499999999999998</v>
      </c>
      <c r="L2063">
        <v>10</v>
      </c>
      <c r="M2063">
        <v>10</v>
      </c>
      <c r="N2063" t="s">
        <v>52</v>
      </c>
      <c r="O2063">
        <v>4.12</v>
      </c>
      <c r="P2063">
        <v>8098.7340000000004</v>
      </c>
      <c r="Q2063" t="s">
        <v>520</v>
      </c>
      <c r="R2063" s="31">
        <v>0.23</v>
      </c>
    </row>
    <row r="2064" spans="1:18" x14ac:dyDescent="0.3">
      <c r="A2064">
        <v>33</v>
      </c>
      <c r="B2064">
        <v>33</v>
      </c>
      <c r="C2064" t="s">
        <v>30</v>
      </c>
      <c r="D2064">
        <v>4.67</v>
      </c>
      <c r="E2064">
        <v>142568.90599999999</v>
      </c>
      <c r="F2064" t="s">
        <v>420</v>
      </c>
      <c r="G2064" s="31">
        <v>20.82</v>
      </c>
      <c r="L2064">
        <v>11</v>
      </c>
      <c r="M2064">
        <v>11</v>
      </c>
      <c r="N2064" t="s">
        <v>44</v>
      </c>
      <c r="O2064">
        <v>4.18</v>
      </c>
      <c r="P2064">
        <v>229.61699999999999</v>
      </c>
      <c r="Q2064" t="s">
        <v>521</v>
      </c>
      <c r="R2064" s="31">
        <v>0.12</v>
      </c>
    </row>
    <row r="2065" spans="1:18" x14ac:dyDescent="0.3">
      <c r="A2065">
        <v>34</v>
      </c>
      <c r="B2065">
        <v>34</v>
      </c>
      <c r="C2065" t="s">
        <v>31</v>
      </c>
      <c r="D2065">
        <v>3.51</v>
      </c>
      <c r="E2065">
        <v>3361.143</v>
      </c>
      <c r="F2065" t="s">
        <v>421</v>
      </c>
      <c r="G2065" s="31">
        <v>2.21</v>
      </c>
      <c r="L2065">
        <v>12</v>
      </c>
      <c r="M2065">
        <v>12</v>
      </c>
      <c r="N2065" t="s">
        <v>45</v>
      </c>
      <c r="O2065">
        <v>3.44</v>
      </c>
      <c r="P2065">
        <v>516586.18800000002</v>
      </c>
      <c r="Q2065" t="s">
        <v>522</v>
      </c>
      <c r="R2065" s="31">
        <v>6.65</v>
      </c>
    </row>
    <row r="2066" spans="1:18" x14ac:dyDescent="0.3">
      <c r="A2066">
        <v>35</v>
      </c>
      <c r="B2066">
        <v>35</v>
      </c>
      <c r="C2066" t="s">
        <v>32</v>
      </c>
      <c r="D2066">
        <v>3.06</v>
      </c>
      <c r="E2066">
        <v>1156.576</v>
      </c>
      <c r="F2066" t="s">
        <v>422</v>
      </c>
      <c r="G2066" s="31">
        <v>1.27</v>
      </c>
      <c r="L2066">
        <v>13</v>
      </c>
      <c r="M2066">
        <v>13</v>
      </c>
      <c r="N2066" t="s">
        <v>46</v>
      </c>
      <c r="O2066">
        <v>2.59</v>
      </c>
      <c r="P2066">
        <v>91347.75</v>
      </c>
      <c r="Q2066" t="s">
        <v>523</v>
      </c>
      <c r="R2066" s="31">
        <v>3.58</v>
      </c>
    </row>
    <row r="2067" spans="1:18" x14ac:dyDescent="0.3">
      <c r="A2067">
        <v>36</v>
      </c>
      <c r="B2067">
        <v>36</v>
      </c>
      <c r="C2067" t="s">
        <v>33</v>
      </c>
      <c r="D2067">
        <v>1.9</v>
      </c>
      <c r="E2067">
        <v>2377.5529999999999</v>
      </c>
      <c r="F2067" t="s">
        <v>423</v>
      </c>
      <c r="G2067" s="31">
        <v>12.11</v>
      </c>
      <c r="L2067">
        <v>14</v>
      </c>
      <c r="M2067">
        <v>14</v>
      </c>
      <c r="N2067" t="s">
        <v>47</v>
      </c>
      <c r="O2067">
        <v>0.68</v>
      </c>
      <c r="P2067">
        <v>31403.315999999999</v>
      </c>
      <c r="Q2067" t="s">
        <v>524</v>
      </c>
      <c r="R2067" s="31">
        <v>13.86</v>
      </c>
    </row>
    <row r="2068" spans="1:18" x14ac:dyDescent="0.3">
      <c r="L2068">
        <v>15</v>
      </c>
      <c r="M2068">
        <v>15</v>
      </c>
      <c r="N2068" t="s">
        <v>48</v>
      </c>
      <c r="O2068">
        <v>1.22</v>
      </c>
      <c r="P2068">
        <v>16209.369000000001</v>
      </c>
      <c r="Q2068" t="s">
        <v>525</v>
      </c>
      <c r="R2068" s="31">
        <v>2.04</v>
      </c>
    </row>
    <row r="2069" spans="1:18" x14ac:dyDescent="0.3">
      <c r="A2069" t="s">
        <v>379</v>
      </c>
      <c r="L2069">
        <v>16</v>
      </c>
      <c r="M2069">
        <v>16</v>
      </c>
      <c r="N2069" t="s">
        <v>53</v>
      </c>
      <c r="O2069">
        <v>4.55</v>
      </c>
      <c r="P2069">
        <v>38098.351999999999</v>
      </c>
      <c r="Q2069" t="s">
        <v>526</v>
      </c>
      <c r="R2069" s="31">
        <v>0.48</v>
      </c>
    </row>
    <row r="2070" spans="1:18" x14ac:dyDescent="0.3">
      <c r="L2070">
        <v>17</v>
      </c>
      <c r="M2070">
        <v>17</v>
      </c>
      <c r="N2070" t="s">
        <v>54</v>
      </c>
      <c r="O2070">
        <v>5.2</v>
      </c>
      <c r="P2070">
        <v>13.786</v>
      </c>
      <c r="Q2070" t="s">
        <v>527</v>
      </c>
      <c r="R2070" s="31">
        <v>0.1</v>
      </c>
    </row>
    <row r="2071" spans="1:18" x14ac:dyDescent="0.3">
      <c r="A2071" t="s">
        <v>456</v>
      </c>
      <c r="L2071">
        <v>18</v>
      </c>
      <c r="M2071">
        <v>18</v>
      </c>
      <c r="N2071" t="s">
        <v>55</v>
      </c>
      <c r="O2071">
        <v>1.31</v>
      </c>
      <c r="P2071">
        <v>3097.8890000000001</v>
      </c>
      <c r="Q2071" t="s">
        <v>528</v>
      </c>
      <c r="R2071" s="31">
        <v>0.11</v>
      </c>
    </row>
    <row r="2072" spans="1:18" x14ac:dyDescent="0.3">
      <c r="L2072">
        <v>19</v>
      </c>
      <c r="M2072">
        <v>19</v>
      </c>
      <c r="N2072" t="s">
        <v>56</v>
      </c>
      <c r="O2072">
        <v>0.87</v>
      </c>
      <c r="P2072">
        <v>55853.828000000001</v>
      </c>
      <c r="Q2072" t="s">
        <v>529</v>
      </c>
      <c r="R2072" s="31">
        <v>3.04</v>
      </c>
    </row>
    <row r="2073" spans="1:18" x14ac:dyDescent="0.3">
      <c r="A2073" t="s">
        <v>471</v>
      </c>
      <c r="L2073">
        <v>20</v>
      </c>
      <c r="M2073">
        <v>20</v>
      </c>
      <c r="N2073" t="s">
        <v>57</v>
      </c>
      <c r="O2073">
        <v>1.51</v>
      </c>
      <c r="P2073">
        <v>427.75799999999998</v>
      </c>
      <c r="Q2073" t="s">
        <v>530</v>
      </c>
      <c r="R2073" s="31">
        <v>0.14000000000000001</v>
      </c>
    </row>
    <row r="2074" spans="1:18" x14ac:dyDescent="0.3">
      <c r="L2074">
        <v>21</v>
      </c>
      <c r="M2074">
        <v>21</v>
      </c>
      <c r="N2074" t="s">
        <v>58</v>
      </c>
      <c r="O2074">
        <v>2.3199999999999998</v>
      </c>
      <c r="P2074">
        <v>1101.115</v>
      </c>
      <c r="Q2074" t="s">
        <v>531</v>
      </c>
      <c r="R2074" s="31">
        <v>0.57999999999999996</v>
      </c>
    </row>
    <row r="2075" spans="1:18" x14ac:dyDescent="0.3">
      <c r="B2075" t="s">
        <v>382</v>
      </c>
      <c r="C2075" t="s">
        <v>383</v>
      </c>
      <c r="D2075" t="s">
        <v>384</v>
      </c>
      <c r="E2075" t="s">
        <v>385</v>
      </c>
      <c r="F2075" t="s">
        <v>386</v>
      </c>
      <c r="G2075" s="31" t="s">
        <v>387</v>
      </c>
      <c r="L2075">
        <v>22</v>
      </c>
      <c r="M2075">
        <v>22</v>
      </c>
      <c r="N2075" t="s">
        <v>59</v>
      </c>
      <c r="O2075">
        <v>2.4900000000000002</v>
      </c>
      <c r="P2075">
        <v>23936.648000000001</v>
      </c>
      <c r="Q2075" t="s">
        <v>532</v>
      </c>
      <c r="R2075" s="31">
        <v>2.95</v>
      </c>
    </row>
    <row r="2076" spans="1:18" x14ac:dyDescent="0.3">
      <c r="A2076">
        <v>1</v>
      </c>
      <c r="B2076">
        <v>1</v>
      </c>
      <c r="C2076" t="s">
        <v>0</v>
      </c>
      <c r="D2076">
        <v>0.97</v>
      </c>
      <c r="E2076">
        <v>43.762999999999998</v>
      </c>
      <c r="F2076" t="s">
        <v>388</v>
      </c>
      <c r="G2076" s="31">
        <v>0.1</v>
      </c>
      <c r="L2076">
        <v>23</v>
      </c>
      <c r="M2076">
        <v>23</v>
      </c>
      <c r="N2076" t="s">
        <v>60</v>
      </c>
      <c r="O2076">
        <v>2.64</v>
      </c>
      <c r="P2076">
        <v>13277.5</v>
      </c>
      <c r="Q2076" t="s">
        <v>533</v>
      </c>
      <c r="R2076" s="31">
        <v>0.9</v>
      </c>
    </row>
    <row r="2077" spans="1:18" x14ac:dyDescent="0.3">
      <c r="A2077">
        <v>2</v>
      </c>
      <c r="B2077">
        <v>2</v>
      </c>
      <c r="C2077" t="s">
        <v>1</v>
      </c>
      <c r="D2077">
        <v>1.5</v>
      </c>
      <c r="E2077">
        <v>9.2880000000000003</v>
      </c>
      <c r="F2077" t="s">
        <v>389</v>
      </c>
      <c r="G2077" s="31">
        <v>4.62</v>
      </c>
    </row>
    <row r="2078" spans="1:18" x14ac:dyDescent="0.3">
      <c r="A2078">
        <v>3</v>
      </c>
      <c r="B2078">
        <v>3</v>
      </c>
      <c r="C2078" t="s">
        <v>50</v>
      </c>
      <c r="D2078">
        <v>3.73</v>
      </c>
      <c r="E2078">
        <v>78.213999999999999</v>
      </c>
      <c r="F2078" t="s">
        <v>390</v>
      </c>
      <c r="G2078" s="31">
        <v>0.57999999999999996</v>
      </c>
      <c r="L2078" t="s">
        <v>379</v>
      </c>
    </row>
    <row r="2079" spans="1:18" x14ac:dyDescent="0.3">
      <c r="A2079">
        <v>4</v>
      </c>
      <c r="B2079">
        <v>4</v>
      </c>
      <c r="C2079" t="s">
        <v>2</v>
      </c>
      <c r="D2079">
        <v>3.81</v>
      </c>
      <c r="E2079">
        <v>66.712000000000003</v>
      </c>
      <c r="F2079" t="s">
        <v>391</v>
      </c>
      <c r="G2079" s="31">
        <v>0.77</v>
      </c>
    </row>
    <row r="2080" spans="1:18" x14ac:dyDescent="0.3">
      <c r="A2080">
        <v>5</v>
      </c>
      <c r="B2080">
        <v>5</v>
      </c>
      <c r="C2080" t="s">
        <v>3</v>
      </c>
      <c r="D2080">
        <v>4.49</v>
      </c>
      <c r="E2080">
        <v>110.492</v>
      </c>
      <c r="F2080" t="s">
        <v>392</v>
      </c>
      <c r="G2080" s="31">
        <v>0.1</v>
      </c>
      <c r="L2080" t="s">
        <v>557</v>
      </c>
    </row>
    <row r="2081" spans="1:18" x14ac:dyDescent="0.3">
      <c r="A2081">
        <v>6</v>
      </c>
      <c r="B2081">
        <v>6</v>
      </c>
      <c r="C2081" t="s">
        <v>4</v>
      </c>
      <c r="D2081">
        <v>4.75</v>
      </c>
      <c r="E2081">
        <v>51.366</v>
      </c>
      <c r="F2081" t="s">
        <v>393</v>
      </c>
      <c r="G2081" s="31">
        <v>2.2999999999999998</v>
      </c>
    </row>
    <row r="2082" spans="1:18" x14ac:dyDescent="0.3">
      <c r="A2082">
        <v>7</v>
      </c>
      <c r="B2082">
        <v>7</v>
      </c>
      <c r="C2082" t="s">
        <v>5</v>
      </c>
      <c r="D2082">
        <v>2.74</v>
      </c>
      <c r="E2082">
        <v>6.9109999999999996</v>
      </c>
      <c r="F2082" t="s">
        <v>394</v>
      </c>
      <c r="G2082" s="31">
        <v>7.0000000000000007E-2</v>
      </c>
      <c r="L2082" t="s">
        <v>601</v>
      </c>
    </row>
    <row r="2083" spans="1:18" x14ac:dyDescent="0.3">
      <c r="A2083">
        <v>8</v>
      </c>
      <c r="B2083">
        <v>8</v>
      </c>
      <c r="C2083" t="s">
        <v>6</v>
      </c>
      <c r="F2083" t="s">
        <v>395</v>
      </c>
      <c r="G2083" s="31">
        <v>0.1</v>
      </c>
    </row>
    <row r="2084" spans="1:18" x14ac:dyDescent="0.3">
      <c r="A2084">
        <v>9</v>
      </c>
      <c r="B2084">
        <v>9</v>
      </c>
      <c r="C2084" t="s">
        <v>7</v>
      </c>
      <c r="D2084">
        <v>3.58</v>
      </c>
      <c r="E2084">
        <v>26.260999999999999</v>
      </c>
      <c r="F2084" t="s">
        <v>396</v>
      </c>
      <c r="G2084" s="31">
        <v>1.42</v>
      </c>
      <c r="M2084" t="s">
        <v>382</v>
      </c>
      <c r="N2084" t="s">
        <v>383</v>
      </c>
      <c r="O2084" t="s">
        <v>384</v>
      </c>
      <c r="P2084" t="s">
        <v>385</v>
      </c>
      <c r="Q2084" t="s">
        <v>386</v>
      </c>
      <c r="R2084" s="31" t="s">
        <v>387</v>
      </c>
    </row>
    <row r="2085" spans="1:18" x14ac:dyDescent="0.3">
      <c r="A2085">
        <v>10</v>
      </c>
      <c r="B2085">
        <v>10</v>
      </c>
      <c r="C2085" t="s">
        <v>51</v>
      </c>
      <c r="D2085">
        <v>4.7300000000000004</v>
      </c>
      <c r="E2085">
        <v>1261.681</v>
      </c>
      <c r="F2085" t="s">
        <v>397</v>
      </c>
      <c r="G2085" s="31">
        <v>1.91</v>
      </c>
      <c r="L2085">
        <v>1</v>
      </c>
      <c r="M2085">
        <v>1</v>
      </c>
      <c r="N2085" t="s">
        <v>35</v>
      </c>
      <c r="Q2085" t="s">
        <v>511</v>
      </c>
      <c r="R2085" s="31">
        <v>0.1</v>
      </c>
    </row>
    <row r="2086" spans="1:18" x14ac:dyDescent="0.3">
      <c r="A2086">
        <v>11</v>
      </c>
      <c r="B2086">
        <v>11</v>
      </c>
      <c r="C2086" t="s">
        <v>8</v>
      </c>
      <c r="F2086" t="s">
        <v>398</v>
      </c>
      <c r="G2086" s="31">
        <v>0.1</v>
      </c>
      <c r="L2086">
        <v>2</v>
      </c>
      <c r="M2086">
        <v>2</v>
      </c>
      <c r="N2086" t="s">
        <v>36</v>
      </c>
      <c r="O2086">
        <v>1.66</v>
      </c>
      <c r="P2086">
        <v>197.03800000000001</v>
      </c>
      <c r="Q2086" t="s">
        <v>512</v>
      </c>
      <c r="R2086" s="31">
        <v>427.91</v>
      </c>
    </row>
    <row r="2087" spans="1:18" x14ac:dyDescent="0.3">
      <c r="A2087">
        <v>12</v>
      </c>
      <c r="B2087">
        <v>12</v>
      </c>
      <c r="C2087" t="s">
        <v>9</v>
      </c>
      <c r="D2087">
        <v>2.64</v>
      </c>
      <c r="E2087">
        <v>64</v>
      </c>
      <c r="F2087" t="s">
        <v>399</v>
      </c>
      <c r="G2087" s="31">
        <v>2.82</v>
      </c>
      <c r="L2087">
        <v>3</v>
      </c>
      <c r="M2087">
        <v>3</v>
      </c>
      <c r="N2087" t="s">
        <v>37</v>
      </c>
      <c r="Q2087" t="s">
        <v>513</v>
      </c>
      <c r="R2087" s="31">
        <v>0.1</v>
      </c>
    </row>
    <row r="2088" spans="1:18" x14ac:dyDescent="0.3">
      <c r="A2088">
        <v>13</v>
      </c>
      <c r="B2088">
        <v>13</v>
      </c>
      <c r="C2088" t="s">
        <v>10</v>
      </c>
      <c r="D2088">
        <v>4.08</v>
      </c>
      <c r="E2088">
        <v>337.84399999999999</v>
      </c>
      <c r="F2088" t="s">
        <v>400</v>
      </c>
      <c r="G2088" s="31">
        <v>0.1</v>
      </c>
      <c r="L2088">
        <v>4</v>
      </c>
      <c r="M2088">
        <v>4</v>
      </c>
      <c r="N2088" t="s">
        <v>38</v>
      </c>
      <c r="O2088">
        <v>1.19</v>
      </c>
      <c r="P2088">
        <v>315.536</v>
      </c>
      <c r="Q2088" t="s">
        <v>514</v>
      </c>
      <c r="R2088" s="31">
        <v>1.05</v>
      </c>
    </row>
    <row r="2089" spans="1:18" x14ac:dyDescent="0.3">
      <c r="A2089">
        <v>14</v>
      </c>
      <c r="B2089">
        <v>14</v>
      </c>
      <c r="C2089" t="s">
        <v>11</v>
      </c>
      <c r="F2089" t="s">
        <v>401</v>
      </c>
      <c r="G2089" s="31">
        <v>0.1</v>
      </c>
      <c r="L2089">
        <v>5</v>
      </c>
      <c r="M2089">
        <v>5</v>
      </c>
      <c r="N2089" t="s">
        <v>39</v>
      </c>
      <c r="O2089">
        <v>1.37</v>
      </c>
      <c r="P2089">
        <v>53.081000000000003</v>
      </c>
      <c r="Q2089" t="s">
        <v>515</v>
      </c>
      <c r="R2089" s="31">
        <v>45.89</v>
      </c>
    </row>
    <row r="2090" spans="1:18" x14ac:dyDescent="0.3">
      <c r="A2090">
        <v>15</v>
      </c>
      <c r="B2090">
        <v>15</v>
      </c>
      <c r="C2090" t="s">
        <v>12</v>
      </c>
      <c r="D2090">
        <v>3.35</v>
      </c>
      <c r="E2090">
        <v>5.4089999999999998</v>
      </c>
      <c r="F2090" t="s">
        <v>402</v>
      </c>
      <c r="G2090" s="31">
        <v>0.33</v>
      </c>
      <c r="L2090">
        <v>6</v>
      </c>
      <c r="M2090">
        <v>6</v>
      </c>
      <c r="N2090" t="s">
        <v>40</v>
      </c>
      <c r="Q2090" t="s">
        <v>516</v>
      </c>
      <c r="R2090" s="31">
        <v>0.1</v>
      </c>
    </row>
    <row r="2091" spans="1:18" x14ac:dyDescent="0.3">
      <c r="A2091">
        <v>16</v>
      </c>
      <c r="B2091">
        <v>16</v>
      </c>
      <c r="C2091" t="s">
        <v>13</v>
      </c>
      <c r="F2091" t="s">
        <v>403</v>
      </c>
      <c r="G2091" s="31">
        <v>0.1</v>
      </c>
      <c r="L2091">
        <v>7</v>
      </c>
      <c r="M2091">
        <v>7</v>
      </c>
      <c r="N2091" t="s">
        <v>41</v>
      </c>
      <c r="O2091">
        <v>2.2799999999999998</v>
      </c>
      <c r="P2091">
        <v>2.319</v>
      </c>
      <c r="Q2091" t="s">
        <v>517</v>
      </c>
      <c r="R2091" s="31">
        <v>1.49</v>
      </c>
    </row>
    <row r="2092" spans="1:18" x14ac:dyDescent="0.3">
      <c r="A2092">
        <v>17</v>
      </c>
      <c r="B2092">
        <v>17</v>
      </c>
      <c r="C2092" t="s">
        <v>14</v>
      </c>
      <c r="D2092">
        <v>2.0699999999999998</v>
      </c>
      <c r="E2092">
        <v>18.363</v>
      </c>
      <c r="F2092" t="s">
        <v>404</v>
      </c>
      <c r="G2092" s="31">
        <v>3.21</v>
      </c>
      <c r="L2092">
        <v>8</v>
      </c>
      <c r="M2092">
        <v>8</v>
      </c>
      <c r="N2092" t="s">
        <v>42</v>
      </c>
      <c r="Q2092" t="s">
        <v>518</v>
      </c>
      <c r="R2092" s="31">
        <v>0.1</v>
      </c>
    </row>
    <row r="2093" spans="1:18" x14ac:dyDescent="0.3">
      <c r="A2093">
        <v>18</v>
      </c>
      <c r="B2093">
        <v>18</v>
      </c>
      <c r="C2093" t="s">
        <v>15</v>
      </c>
      <c r="D2093">
        <v>2.48</v>
      </c>
      <c r="E2093">
        <v>127.62</v>
      </c>
      <c r="F2093" t="s">
        <v>405</v>
      </c>
      <c r="G2093" s="31">
        <v>10.66</v>
      </c>
      <c r="L2093">
        <v>9</v>
      </c>
      <c r="M2093">
        <v>9</v>
      </c>
      <c r="N2093" t="s">
        <v>43</v>
      </c>
      <c r="O2093">
        <v>2.64</v>
      </c>
      <c r="P2093">
        <v>55.134</v>
      </c>
      <c r="Q2093" t="s">
        <v>519</v>
      </c>
      <c r="R2093" s="31">
        <v>0.12</v>
      </c>
    </row>
    <row r="2094" spans="1:18" x14ac:dyDescent="0.3">
      <c r="A2094">
        <v>19</v>
      </c>
      <c r="B2094">
        <v>19</v>
      </c>
      <c r="C2094" t="s">
        <v>16</v>
      </c>
      <c r="D2094">
        <v>2.59</v>
      </c>
      <c r="E2094">
        <v>20.273</v>
      </c>
      <c r="F2094" t="s">
        <v>406</v>
      </c>
      <c r="G2094" s="31">
        <v>0.3</v>
      </c>
      <c r="L2094">
        <v>10</v>
      </c>
      <c r="M2094">
        <v>10</v>
      </c>
      <c r="N2094" t="s">
        <v>52</v>
      </c>
      <c r="O2094">
        <v>4.24</v>
      </c>
      <c r="P2094">
        <v>54.057000000000002</v>
      </c>
      <c r="Q2094" t="s">
        <v>520</v>
      </c>
      <c r="R2094" s="31">
        <v>0.1</v>
      </c>
    </row>
    <row r="2095" spans="1:18" x14ac:dyDescent="0.3">
      <c r="A2095">
        <v>20</v>
      </c>
      <c r="B2095">
        <v>20</v>
      </c>
      <c r="C2095" t="s">
        <v>17</v>
      </c>
      <c r="D2095">
        <v>3.11</v>
      </c>
      <c r="E2095">
        <v>344.149</v>
      </c>
      <c r="F2095" t="s">
        <v>407</v>
      </c>
      <c r="G2095" s="31">
        <v>0.11</v>
      </c>
      <c r="L2095">
        <v>11</v>
      </c>
      <c r="M2095">
        <v>11</v>
      </c>
      <c r="N2095" t="s">
        <v>44</v>
      </c>
      <c r="Q2095" t="s">
        <v>521</v>
      </c>
      <c r="R2095" s="31">
        <v>0.1</v>
      </c>
    </row>
    <row r="2096" spans="1:18" x14ac:dyDescent="0.3">
      <c r="A2096">
        <v>21</v>
      </c>
      <c r="B2096">
        <v>21</v>
      </c>
      <c r="C2096" t="s">
        <v>18</v>
      </c>
      <c r="D2096">
        <v>3.68</v>
      </c>
      <c r="E2096">
        <v>185.304</v>
      </c>
      <c r="F2096" t="s">
        <v>408</v>
      </c>
      <c r="G2096" s="31">
        <v>0.12</v>
      </c>
      <c r="L2096">
        <v>12</v>
      </c>
      <c r="M2096">
        <v>12</v>
      </c>
      <c r="N2096" t="s">
        <v>45</v>
      </c>
      <c r="O2096">
        <v>3.5</v>
      </c>
      <c r="P2096">
        <v>2.7759999999999998</v>
      </c>
      <c r="Q2096" t="s">
        <v>522</v>
      </c>
      <c r="R2096" s="31">
        <v>0.1</v>
      </c>
    </row>
    <row r="2097" spans="1:18" x14ac:dyDescent="0.3">
      <c r="A2097">
        <v>22</v>
      </c>
      <c r="B2097">
        <v>22</v>
      </c>
      <c r="C2097" t="s">
        <v>19</v>
      </c>
      <c r="F2097" t="s">
        <v>409</v>
      </c>
      <c r="G2097" s="31">
        <v>0.1</v>
      </c>
      <c r="L2097">
        <v>13</v>
      </c>
      <c r="M2097">
        <v>13</v>
      </c>
      <c r="N2097" t="s">
        <v>46</v>
      </c>
      <c r="O2097">
        <v>2.58</v>
      </c>
      <c r="P2097">
        <v>2168.1210000000001</v>
      </c>
      <c r="Q2097" t="s">
        <v>523</v>
      </c>
      <c r="R2097" s="31">
        <v>0.1</v>
      </c>
    </row>
    <row r="2098" spans="1:18" x14ac:dyDescent="0.3">
      <c r="A2098">
        <v>23</v>
      </c>
      <c r="B2098">
        <v>23</v>
      </c>
      <c r="C2098" t="s">
        <v>20</v>
      </c>
      <c r="D2098">
        <v>2.93</v>
      </c>
      <c r="E2098">
        <v>5.0659999999999998</v>
      </c>
      <c r="F2098" t="s">
        <v>410</v>
      </c>
      <c r="G2098" s="31">
        <v>0.81</v>
      </c>
      <c r="L2098">
        <v>14</v>
      </c>
      <c r="M2098">
        <v>14</v>
      </c>
      <c r="N2098" t="s">
        <v>47</v>
      </c>
      <c r="Q2098" t="s">
        <v>524</v>
      </c>
      <c r="R2098" s="31">
        <v>0.1</v>
      </c>
    </row>
    <row r="2099" spans="1:18" x14ac:dyDescent="0.3">
      <c r="A2099">
        <v>24</v>
      </c>
      <c r="B2099">
        <v>24</v>
      </c>
      <c r="C2099" t="s">
        <v>21</v>
      </c>
      <c r="D2099">
        <v>4.21</v>
      </c>
      <c r="E2099">
        <v>16.739999999999998</v>
      </c>
      <c r="F2099" t="s">
        <v>411</v>
      </c>
      <c r="G2099" s="31">
        <v>0.1</v>
      </c>
      <c r="L2099">
        <v>15</v>
      </c>
      <c r="M2099">
        <v>15</v>
      </c>
      <c r="N2099" t="s">
        <v>48</v>
      </c>
      <c r="O2099">
        <v>1.23</v>
      </c>
      <c r="P2099">
        <v>89.198999999999998</v>
      </c>
      <c r="Q2099" t="s">
        <v>525</v>
      </c>
      <c r="R2099" s="31">
        <v>0.1</v>
      </c>
    </row>
    <row r="2100" spans="1:18" x14ac:dyDescent="0.3">
      <c r="A2100">
        <v>25</v>
      </c>
      <c r="B2100">
        <v>25</v>
      </c>
      <c r="C2100" t="s">
        <v>22</v>
      </c>
      <c r="D2100">
        <v>3.42</v>
      </c>
      <c r="E2100">
        <v>19.241</v>
      </c>
      <c r="F2100" t="s">
        <v>412</v>
      </c>
      <c r="G2100" s="31">
        <v>21.23</v>
      </c>
      <c r="L2100">
        <v>16</v>
      </c>
      <c r="M2100">
        <v>16</v>
      </c>
      <c r="N2100" t="s">
        <v>53</v>
      </c>
      <c r="O2100">
        <v>4.5999999999999996</v>
      </c>
      <c r="P2100">
        <v>148.82599999999999</v>
      </c>
      <c r="Q2100" t="s">
        <v>526</v>
      </c>
      <c r="R2100" s="31">
        <v>0.1</v>
      </c>
    </row>
    <row r="2101" spans="1:18" x14ac:dyDescent="0.3">
      <c r="A2101">
        <v>26</v>
      </c>
      <c r="B2101">
        <v>26</v>
      </c>
      <c r="C2101" t="s">
        <v>23</v>
      </c>
      <c r="D2101">
        <v>3.45</v>
      </c>
      <c r="E2101">
        <v>5.9729999999999999</v>
      </c>
      <c r="F2101" t="s">
        <v>413</v>
      </c>
      <c r="G2101" s="31">
        <v>2.04</v>
      </c>
      <c r="L2101">
        <v>17</v>
      </c>
      <c r="M2101">
        <v>17</v>
      </c>
      <c r="N2101" t="s">
        <v>54</v>
      </c>
      <c r="O2101">
        <v>5.24</v>
      </c>
      <c r="P2101">
        <v>42.350999999999999</v>
      </c>
      <c r="Q2101" t="s">
        <v>527</v>
      </c>
      <c r="R2101" s="31">
        <v>0.1</v>
      </c>
    </row>
    <row r="2102" spans="1:18" x14ac:dyDescent="0.3">
      <c r="A2102">
        <v>27</v>
      </c>
      <c r="B2102">
        <v>27</v>
      </c>
      <c r="C2102" t="s">
        <v>24</v>
      </c>
      <c r="D2102">
        <v>3.4</v>
      </c>
      <c r="E2102">
        <v>31.908999999999999</v>
      </c>
      <c r="F2102" t="s">
        <v>414</v>
      </c>
      <c r="G2102" s="31">
        <v>0.1</v>
      </c>
      <c r="L2102">
        <v>18</v>
      </c>
      <c r="M2102">
        <v>18</v>
      </c>
      <c r="N2102" t="s">
        <v>55</v>
      </c>
      <c r="Q2102" t="s">
        <v>528</v>
      </c>
      <c r="R2102" s="31">
        <v>0.1</v>
      </c>
    </row>
    <row r="2103" spans="1:18" x14ac:dyDescent="0.3">
      <c r="A2103">
        <v>28</v>
      </c>
      <c r="B2103">
        <v>28</v>
      </c>
      <c r="C2103" t="s">
        <v>25</v>
      </c>
      <c r="D2103">
        <v>3.65</v>
      </c>
      <c r="E2103">
        <v>3.3319999999999999</v>
      </c>
      <c r="F2103" t="s">
        <v>415</v>
      </c>
      <c r="G2103" s="31">
        <v>1.8</v>
      </c>
      <c r="L2103">
        <v>19</v>
      </c>
      <c r="M2103">
        <v>19</v>
      </c>
      <c r="N2103" t="s">
        <v>56</v>
      </c>
      <c r="O2103">
        <v>0.92</v>
      </c>
      <c r="P2103">
        <v>15.157999999999999</v>
      </c>
      <c r="Q2103" t="s">
        <v>529</v>
      </c>
      <c r="R2103" s="31">
        <v>0.1</v>
      </c>
    </row>
    <row r="2104" spans="1:18" x14ac:dyDescent="0.3">
      <c r="A2104">
        <v>29</v>
      </c>
      <c r="B2104">
        <v>29</v>
      </c>
      <c r="C2104" t="s">
        <v>26</v>
      </c>
      <c r="F2104" t="s">
        <v>416</v>
      </c>
      <c r="G2104" s="31">
        <v>0.1</v>
      </c>
      <c r="L2104">
        <v>20</v>
      </c>
      <c r="M2104">
        <v>20</v>
      </c>
      <c r="N2104" t="s">
        <v>57</v>
      </c>
      <c r="Q2104" t="s">
        <v>530</v>
      </c>
      <c r="R2104" s="31">
        <v>0.1</v>
      </c>
    </row>
    <row r="2105" spans="1:18" x14ac:dyDescent="0.3">
      <c r="A2105">
        <v>30</v>
      </c>
      <c r="B2105">
        <v>30</v>
      </c>
      <c r="C2105" t="s">
        <v>27</v>
      </c>
      <c r="D2105">
        <v>4.32</v>
      </c>
      <c r="E2105">
        <v>69.838999999999999</v>
      </c>
      <c r="F2105" t="s">
        <v>417</v>
      </c>
      <c r="G2105" s="31">
        <v>0.15</v>
      </c>
      <c r="L2105">
        <v>21</v>
      </c>
      <c r="M2105">
        <v>21</v>
      </c>
      <c r="N2105" t="s">
        <v>58</v>
      </c>
      <c r="Q2105" t="s">
        <v>531</v>
      </c>
      <c r="R2105" s="31">
        <v>0.1</v>
      </c>
    </row>
    <row r="2106" spans="1:18" x14ac:dyDescent="0.3">
      <c r="A2106">
        <v>31</v>
      </c>
      <c r="B2106">
        <v>31</v>
      </c>
      <c r="C2106" t="s">
        <v>28</v>
      </c>
      <c r="D2106">
        <v>3.11</v>
      </c>
      <c r="E2106">
        <v>24.736000000000001</v>
      </c>
      <c r="F2106" t="s">
        <v>418</v>
      </c>
      <c r="G2106" s="31">
        <v>0.1</v>
      </c>
      <c r="L2106">
        <v>22</v>
      </c>
      <c r="M2106">
        <v>22</v>
      </c>
      <c r="N2106" t="s">
        <v>59</v>
      </c>
      <c r="Q2106" t="s">
        <v>532</v>
      </c>
      <c r="R2106" s="31">
        <v>0.1</v>
      </c>
    </row>
    <row r="2107" spans="1:18" x14ac:dyDescent="0.3">
      <c r="A2107">
        <v>32</v>
      </c>
      <c r="B2107">
        <v>32</v>
      </c>
      <c r="C2107" t="s">
        <v>29</v>
      </c>
      <c r="F2107" t="s">
        <v>419</v>
      </c>
      <c r="G2107" s="31">
        <v>0.1</v>
      </c>
      <c r="L2107">
        <v>23</v>
      </c>
      <c r="M2107">
        <v>23</v>
      </c>
      <c r="N2107" t="s">
        <v>60</v>
      </c>
      <c r="O2107">
        <v>2.65</v>
      </c>
      <c r="P2107">
        <v>53.249000000000002</v>
      </c>
      <c r="Q2107" t="s">
        <v>533</v>
      </c>
      <c r="R2107" s="31">
        <v>2.02</v>
      </c>
    </row>
    <row r="2108" spans="1:18" x14ac:dyDescent="0.3">
      <c r="A2108">
        <v>33</v>
      </c>
      <c r="B2108">
        <v>33</v>
      </c>
      <c r="C2108" t="s">
        <v>30</v>
      </c>
      <c r="D2108">
        <v>4.8499999999999996</v>
      </c>
      <c r="E2108">
        <v>33.487000000000002</v>
      </c>
      <c r="F2108" t="s">
        <v>420</v>
      </c>
      <c r="G2108" s="31">
        <v>3.35</v>
      </c>
    </row>
    <row r="2109" spans="1:18" x14ac:dyDescent="0.3">
      <c r="A2109">
        <v>34</v>
      </c>
      <c r="B2109">
        <v>34</v>
      </c>
      <c r="C2109" t="s">
        <v>31</v>
      </c>
      <c r="D2109">
        <v>3.61</v>
      </c>
      <c r="E2109">
        <v>7.1660000000000004</v>
      </c>
      <c r="F2109" t="s">
        <v>421</v>
      </c>
      <c r="G2109" s="31">
        <v>0.11</v>
      </c>
      <c r="L2109" t="s">
        <v>379</v>
      </c>
    </row>
    <row r="2110" spans="1:18" x14ac:dyDescent="0.3">
      <c r="A2110">
        <v>35</v>
      </c>
      <c r="B2110">
        <v>35</v>
      </c>
      <c r="C2110" t="s">
        <v>32</v>
      </c>
      <c r="D2110">
        <v>3.06</v>
      </c>
      <c r="E2110">
        <v>42.389000000000003</v>
      </c>
      <c r="F2110" t="s">
        <v>422</v>
      </c>
      <c r="G2110" s="31">
        <v>0.1</v>
      </c>
    </row>
    <row r="2111" spans="1:18" x14ac:dyDescent="0.3">
      <c r="A2111">
        <v>36</v>
      </c>
      <c r="B2111">
        <v>36</v>
      </c>
      <c r="C2111" t="s">
        <v>33</v>
      </c>
      <c r="D2111">
        <v>1.91</v>
      </c>
      <c r="E2111">
        <v>2.718</v>
      </c>
      <c r="F2111" t="s">
        <v>423</v>
      </c>
      <c r="G2111" s="31">
        <v>0.14000000000000001</v>
      </c>
      <c r="L2111" t="s">
        <v>557</v>
      </c>
    </row>
    <row r="2113" spans="1:18" x14ac:dyDescent="0.3">
      <c r="A2113" t="s">
        <v>379</v>
      </c>
      <c r="L2113" t="s">
        <v>602</v>
      </c>
    </row>
    <row r="2115" spans="1:18" x14ac:dyDescent="0.3">
      <c r="A2115" t="s">
        <v>456</v>
      </c>
      <c r="M2115" t="s">
        <v>382</v>
      </c>
      <c r="N2115" t="s">
        <v>383</v>
      </c>
      <c r="O2115" t="s">
        <v>384</v>
      </c>
      <c r="P2115" t="s">
        <v>385</v>
      </c>
      <c r="Q2115" t="s">
        <v>386</v>
      </c>
      <c r="R2115" s="31" t="s">
        <v>387</v>
      </c>
    </row>
    <row r="2116" spans="1:18" x14ac:dyDescent="0.3">
      <c r="L2116">
        <v>1</v>
      </c>
      <c r="M2116">
        <v>1</v>
      </c>
      <c r="N2116" t="s">
        <v>35</v>
      </c>
      <c r="O2116">
        <v>1.44</v>
      </c>
      <c r="P2116">
        <v>6160.8969999999999</v>
      </c>
      <c r="Q2116" t="s">
        <v>511</v>
      </c>
      <c r="R2116" s="31">
        <v>14.64</v>
      </c>
    </row>
    <row r="2117" spans="1:18" x14ac:dyDescent="0.3">
      <c r="A2117" t="s">
        <v>472</v>
      </c>
      <c r="L2117">
        <v>2</v>
      </c>
      <c r="M2117">
        <v>2</v>
      </c>
      <c r="N2117" t="s">
        <v>36</v>
      </c>
      <c r="O2117">
        <v>1.67</v>
      </c>
      <c r="P2117">
        <v>1768553.625</v>
      </c>
      <c r="Q2117" t="s">
        <v>512</v>
      </c>
      <c r="R2117" s="31">
        <v>371.51</v>
      </c>
    </row>
    <row r="2118" spans="1:18" x14ac:dyDescent="0.3">
      <c r="L2118">
        <v>3</v>
      </c>
      <c r="M2118">
        <v>3</v>
      </c>
      <c r="N2118" t="s">
        <v>37</v>
      </c>
      <c r="O2118">
        <v>1.8</v>
      </c>
      <c r="P2118">
        <v>443.524</v>
      </c>
      <c r="Q2118" t="s">
        <v>513</v>
      </c>
      <c r="R2118" s="31">
        <v>0.23</v>
      </c>
    </row>
    <row r="2119" spans="1:18" x14ac:dyDescent="0.3">
      <c r="B2119" t="s">
        <v>382</v>
      </c>
      <c r="C2119" t="s">
        <v>383</v>
      </c>
      <c r="D2119" t="s">
        <v>384</v>
      </c>
      <c r="E2119" t="s">
        <v>385</v>
      </c>
      <c r="F2119" t="s">
        <v>386</v>
      </c>
      <c r="G2119" s="31" t="s">
        <v>387</v>
      </c>
      <c r="L2119">
        <v>4</v>
      </c>
      <c r="M2119">
        <v>4</v>
      </c>
      <c r="N2119" t="s">
        <v>38</v>
      </c>
      <c r="O2119">
        <v>1.19</v>
      </c>
      <c r="P2119">
        <v>2802.9140000000002</v>
      </c>
      <c r="Q2119" t="s">
        <v>514</v>
      </c>
      <c r="R2119" s="31">
        <v>0.75</v>
      </c>
    </row>
    <row r="2120" spans="1:18" x14ac:dyDescent="0.3">
      <c r="A2120">
        <v>1</v>
      </c>
      <c r="B2120">
        <v>1</v>
      </c>
      <c r="C2120" t="s">
        <v>0</v>
      </c>
      <c r="D2120">
        <v>1.01</v>
      </c>
      <c r="E2120">
        <v>7460.7830000000004</v>
      </c>
      <c r="F2120" t="s">
        <v>388</v>
      </c>
      <c r="G2120" s="31">
        <v>42.56</v>
      </c>
      <c r="L2120">
        <v>5</v>
      </c>
      <c r="M2120">
        <v>5</v>
      </c>
      <c r="N2120" t="s">
        <v>39</v>
      </c>
      <c r="O2120">
        <v>1.38</v>
      </c>
      <c r="P2120">
        <v>98498.414000000004</v>
      </c>
      <c r="Q2120" t="s">
        <v>515</v>
      </c>
      <c r="R2120" s="31">
        <v>33.79</v>
      </c>
    </row>
    <row r="2121" spans="1:18" x14ac:dyDescent="0.3">
      <c r="A2121">
        <v>2</v>
      </c>
      <c r="B2121">
        <v>2</v>
      </c>
      <c r="C2121" t="s">
        <v>1</v>
      </c>
      <c r="D2121">
        <v>1.45</v>
      </c>
      <c r="E2121">
        <v>4655.6940000000004</v>
      </c>
      <c r="F2121" t="s">
        <v>389</v>
      </c>
      <c r="G2121" s="31">
        <v>4.9800000000000004</v>
      </c>
      <c r="L2121">
        <v>6</v>
      </c>
      <c r="M2121">
        <v>6</v>
      </c>
      <c r="N2121" t="s">
        <v>40</v>
      </c>
      <c r="O2121">
        <v>1.53</v>
      </c>
      <c r="P2121">
        <v>8445.5280000000002</v>
      </c>
      <c r="Q2121" t="s">
        <v>516</v>
      </c>
      <c r="R2121" s="31">
        <v>1.45</v>
      </c>
    </row>
    <row r="2122" spans="1:18" x14ac:dyDescent="0.3">
      <c r="A2122">
        <v>3</v>
      </c>
      <c r="B2122">
        <v>3</v>
      </c>
      <c r="C2122" t="s">
        <v>50</v>
      </c>
      <c r="D2122">
        <v>3.55</v>
      </c>
      <c r="E2122">
        <v>65.957999999999998</v>
      </c>
      <c r="F2122" t="s">
        <v>390</v>
      </c>
      <c r="G2122" s="31">
        <v>0.05</v>
      </c>
      <c r="L2122">
        <v>7</v>
      </c>
      <c r="M2122">
        <v>7</v>
      </c>
      <c r="N2122" t="s">
        <v>41</v>
      </c>
      <c r="O2122">
        <v>2.2799999999999998</v>
      </c>
      <c r="P2122">
        <v>1253.7</v>
      </c>
      <c r="Q2122" t="s">
        <v>517</v>
      </c>
      <c r="R2122" s="31">
        <v>2.0699999999999998</v>
      </c>
    </row>
    <row r="2123" spans="1:18" x14ac:dyDescent="0.3">
      <c r="A2123">
        <v>4</v>
      </c>
      <c r="B2123">
        <v>4</v>
      </c>
      <c r="C2123" t="s">
        <v>2</v>
      </c>
      <c r="D2123">
        <v>3.69</v>
      </c>
      <c r="E2123">
        <v>35555.184000000001</v>
      </c>
      <c r="F2123" t="s">
        <v>391</v>
      </c>
      <c r="G2123" s="31">
        <v>1.54</v>
      </c>
      <c r="L2123">
        <v>8</v>
      </c>
      <c r="M2123">
        <v>8</v>
      </c>
      <c r="N2123" t="s">
        <v>42</v>
      </c>
      <c r="O2123">
        <v>0.88</v>
      </c>
      <c r="P2123">
        <v>14303.683000000001</v>
      </c>
      <c r="Q2123" t="s">
        <v>518</v>
      </c>
      <c r="R2123" s="31">
        <v>53.11</v>
      </c>
    </row>
    <row r="2124" spans="1:18" x14ac:dyDescent="0.3">
      <c r="A2124">
        <v>5</v>
      </c>
      <c r="B2124">
        <v>5</v>
      </c>
      <c r="C2124" t="s">
        <v>3</v>
      </c>
      <c r="D2124">
        <v>4.46</v>
      </c>
      <c r="E2124">
        <v>216.56299999999999</v>
      </c>
      <c r="F2124" t="s">
        <v>392</v>
      </c>
      <c r="G2124" s="31">
        <v>0.14000000000000001</v>
      </c>
      <c r="L2124">
        <v>9</v>
      </c>
      <c r="M2124">
        <v>9</v>
      </c>
      <c r="N2124" t="s">
        <v>43</v>
      </c>
      <c r="O2124">
        <v>2.54</v>
      </c>
      <c r="P2124">
        <v>2640.527</v>
      </c>
      <c r="Q2124" t="s">
        <v>519</v>
      </c>
      <c r="R2124" s="31">
        <v>7.0000000000000007E-2</v>
      </c>
    </row>
    <row r="2125" spans="1:18" x14ac:dyDescent="0.3">
      <c r="A2125">
        <v>6</v>
      </c>
      <c r="B2125">
        <v>6</v>
      </c>
      <c r="C2125" t="s">
        <v>4</v>
      </c>
      <c r="D2125">
        <v>4.8</v>
      </c>
      <c r="E2125">
        <v>70526.539000000004</v>
      </c>
      <c r="F2125" t="s">
        <v>393</v>
      </c>
      <c r="G2125" s="31">
        <v>2.21</v>
      </c>
      <c r="L2125">
        <v>10</v>
      </c>
      <c r="M2125">
        <v>10</v>
      </c>
      <c r="N2125" t="s">
        <v>52</v>
      </c>
      <c r="O2125">
        <v>4.13</v>
      </c>
      <c r="P2125">
        <v>8336.8080000000009</v>
      </c>
      <c r="Q2125" t="s">
        <v>520</v>
      </c>
      <c r="R2125" s="31">
        <v>0.44</v>
      </c>
    </row>
    <row r="2126" spans="1:18" x14ac:dyDescent="0.3">
      <c r="A2126">
        <v>7</v>
      </c>
      <c r="B2126">
        <v>7</v>
      </c>
      <c r="C2126" t="s">
        <v>5</v>
      </c>
      <c r="D2126">
        <v>2.71</v>
      </c>
      <c r="E2126">
        <v>4861.241</v>
      </c>
      <c r="F2126" t="s">
        <v>394</v>
      </c>
      <c r="G2126" s="31">
        <v>0.54</v>
      </c>
      <c r="L2126">
        <v>11</v>
      </c>
      <c r="M2126">
        <v>11</v>
      </c>
      <c r="N2126" t="s">
        <v>44</v>
      </c>
      <c r="O2126">
        <v>4.2</v>
      </c>
      <c r="P2126">
        <v>1320.741</v>
      </c>
      <c r="Q2126" t="s">
        <v>521</v>
      </c>
      <c r="R2126" s="31">
        <v>0.4</v>
      </c>
    </row>
    <row r="2127" spans="1:18" x14ac:dyDescent="0.3">
      <c r="A2127">
        <v>8</v>
      </c>
      <c r="B2127">
        <v>8</v>
      </c>
      <c r="C2127" t="s">
        <v>6</v>
      </c>
      <c r="D2127">
        <v>0.67</v>
      </c>
      <c r="E2127">
        <v>3137.1179999999999</v>
      </c>
      <c r="F2127" t="s">
        <v>395</v>
      </c>
      <c r="G2127" s="31">
        <v>26.29</v>
      </c>
      <c r="L2127">
        <v>12</v>
      </c>
      <c r="M2127">
        <v>12</v>
      </c>
      <c r="N2127" t="s">
        <v>45</v>
      </c>
      <c r="O2127">
        <v>3.44</v>
      </c>
      <c r="P2127">
        <v>574258.43799999997</v>
      </c>
      <c r="Q2127" t="s">
        <v>522</v>
      </c>
      <c r="R2127" s="31">
        <v>14.37</v>
      </c>
    </row>
    <row r="2128" spans="1:18" x14ac:dyDescent="0.3">
      <c r="A2128">
        <v>9</v>
      </c>
      <c r="B2128">
        <v>9</v>
      </c>
      <c r="C2128" t="s">
        <v>7</v>
      </c>
      <c r="D2128">
        <v>3.55</v>
      </c>
      <c r="E2128">
        <v>576.23500000000001</v>
      </c>
      <c r="F2128" t="s">
        <v>396</v>
      </c>
      <c r="G2128" s="31">
        <v>1.1100000000000001</v>
      </c>
      <c r="L2128">
        <v>13</v>
      </c>
      <c r="M2128">
        <v>13</v>
      </c>
      <c r="N2128" t="s">
        <v>46</v>
      </c>
      <c r="O2128">
        <v>2.59</v>
      </c>
      <c r="P2128">
        <v>119837.266</v>
      </c>
      <c r="Q2128" t="s">
        <v>523</v>
      </c>
      <c r="R2128" s="31">
        <v>8.89</v>
      </c>
    </row>
    <row r="2129" spans="1:18" x14ac:dyDescent="0.3">
      <c r="A2129">
        <v>10</v>
      </c>
      <c r="B2129">
        <v>10</v>
      </c>
      <c r="C2129" t="s">
        <v>51</v>
      </c>
      <c r="D2129">
        <v>4.75</v>
      </c>
      <c r="E2129">
        <v>1546.0229999999999</v>
      </c>
      <c r="F2129" t="s">
        <v>397</v>
      </c>
      <c r="G2129" s="31">
        <v>0.22</v>
      </c>
      <c r="L2129">
        <v>14</v>
      </c>
      <c r="M2129">
        <v>14</v>
      </c>
      <c r="N2129" t="s">
        <v>47</v>
      </c>
      <c r="O2129">
        <v>0.68</v>
      </c>
      <c r="P2129">
        <v>15931.88</v>
      </c>
      <c r="Q2129" t="s">
        <v>524</v>
      </c>
      <c r="R2129" s="31">
        <v>11.04</v>
      </c>
    </row>
    <row r="2130" spans="1:18" x14ac:dyDescent="0.3">
      <c r="A2130">
        <v>11</v>
      </c>
      <c r="B2130">
        <v>11</v>
      </c>
      <c r="C2130" t="s">
        <v>8</v>
      </c>
      <c r="D2130">
        <v>2.74</v>
      </c>
      <c r="E2130">
        <v>138523.45300000001</v>
      </c>
      <c r="F2130" t="s">
        <v>398</v>
      </c>
      <c r="G2130" s="31">
        <v>4.87</v>
      </c>
      <c r="L2130">
        <v>15</v>
      </c>
      <c r="M2130">
        <v>15</v>
      </c>
      <c r="N2130" t="s">
        <v>48</v>
      </c>
      <c r="O2130">
        <v>1.22</v>
      </c>
      <c r="P2130">
        <v>12486.177</v>
      </c>
      <c r="Q2130" t="s">
        <v>525</v>
      </c>
      <c r="R2130" s="31">
        <v>2.67</v>
      </c>
    </row>
    <row r="2131" spans="1:18" x14ac:dyDescent="0.3">
      <c r="A2131">
        <v>12</v>
      </c>
      <c r="B2131">
        <v>12</v>
      </c>
      <c r="C2131" t="s">
        <v>9</v>
      </c>
      <c r="D2131">
        <v>2.62</v>
      </c>
      <c r="E2131">
        <v>14533.32</v>
      </c>
      <c r="F2131" t="s">
        <v>399</v>
      </c>
      <c r="G2131" s="31">
        <v>3.3</v>
      </c>
      <c r="L2131">
        <v>16</v>
      </c>
      <c r="M2131">
        <v>16</v>
      </c>
      <c r="N2131" t="s">
        <v>53</v>
      </c>
      <c r="O2131">
        <v>4.55</v>
      </c>
      <c r="P2131">
        <v>15947.718999999999</v>
      </c>
      <c r="Q2131" t="s">
        <v>526</v>
      </c>
      <c r="R2131" s="31">
        <v>0.31</v>
      </c>
    </row>
    <row r="2132" spans="1:18" x14ac:dyDescent="0.3">
      <c r="A2132">
        <v>13</v>
      </c>
      <c r="B2132">
        <v>13</v>
      </c>
      <c r="C2132" t="s">
        <v>10</v>
      </c>
      <c r="D2132">
        <v>4.09</v>
      </c>
      <c r="E2132">
        <v>677674.31299999997</v>
      </c>
      <c r="F2132" t="s">
        <v>400</v>
      </c>
      <c r="G2132" s="31">
        <v>36.79</v>
      </c>
      <c r="L2132">
        <v>17</v>
      </c>
      <c r="M2132">
        <v>17</v>
      </c>
      <c r="N2132" t="s">
        <v>54</v>
      </c>
      <c r="O2132">
        <v>5.17</v>
      </c>
      <c r="P2132">
        <v>2710.7910000000002</v>
      </c>
      <c r="Q2132" t="s">
        <v>527</v>
      </c>
      <c r="R2132" s="31">
        <v>0.08</v>
      </c>
    </row>
    <row r="2133" spans="1:18" x14ac:dyDescent="0.3">
      <c r="A2133">
        <v>14</v>
      </c>
      <c r="B2133">
        <v>14</v>
      </c>
      <c r="C2133" t="s">
        <v>11</v>
      </c>
      <c r="D2133">
        <v>3.53</v>
      </c>
      <c r="E2133">
        <v>41.286000000000001</v>
      </c>
      <c r="F2133" t="s">
        <v>401</v>
      </c>
      <c r="G2133" s="31">
        <v>2.09</v>
      </c>
      <c r="L2133">
        <v>18</v>
      </c>
      <c r="M2133">
        <v>18</v>
      </c>
      <c r="N2133" t="s">
        <v>55</v>
      </c>
      <c r="O2133">
        <v>1.31</v>
      </c>
      <c r="P2133">
        <v>826.024</v>
      </c>
      <c r="Q2133" t="s">
        <v>528</v>
      </c>
      <c r="R2133" s="31">
        <v>0.05</v>
      </c>
    </row>
    <row r="2134" spans="1:18" x14ac:dyDescent="0.3">
      <c r="A2134">
        <v>15</v>
      </c>
      <c r="B2134">
        <v>15</v>
      </c>
      <c r="C2134" t="s">
        <v>12</v>
      </c>
      <c r="D2134">
        <v>3.32</v>
      </c>
      <c r="E2134">
        <v>742.88099999999997</v>
      </c>
      <c r="F2134" t="s">
        <v>402</v>
      </c>
      <c r="G2134" s="31">
        <v>2.31</v>
      </c>
      <c r="L2134">
        <v>19</v>
      </c>
      <c r="M2134">
        <v>19</v>
      </c>
      <c r="N2134" t="s">
        <v>56</v>
      </c>
      <c r="O2134">
        <v>0.88</v>
      </c>
      <c r="P2134">
        <v>10182.045</v>
      </c>
      <c r="Q2134" t="s">
        <v>529</v>
      </c>
      <c r="R2134" s="31">
        <v>0.19</v>
      </c>
    </row>
    <row r="2135" spans="1:18" x14ac:dyDescent="0.3">
      <c r="A2135">
        <v>16</v>
      </c>
      <c r="B2135">
        <v>16</v>
      </c>
      <c r="C2135" t="s">
        <v>13</v>
      </c>
      <c r="D2135">
        <v>3.23</v>
      </c>
      <c r="E2135">
        <v>20531.115000000002</v>
      </c>
      <c r="F2135" t="s">
        <v>403</v>
      </c>
      <c r="G2135" s="31">
        <v>2.5</v>
      </c>
      <c r="L2135">
        <v>20</v>
      </c>
      <c r="M2135">
        <v>20</v>
      </c>
      <c r="N2135" t="s">
        <v>57</v>
      </c>
      <c r="O2135">
        <v>1.5</v>
      </c>
      <c r="P2135">
        <v>200.685</v>
      </c>
      <c r="Q2135" t="s">
        <v>530</v>
      </c>
      <c r="R2135" s="31">
        <v>0.11</v>
      </c>
    </row>
    <row r="2136" spans="1:18" x14ac:dyDescent="0.3">
      <c r="A2136">
        <v>17</v>
      </c>
      <c r="B2136">
        <v>17</v>
      </c>
      <c r="C2136" t="s">
        <v>14</v>
      </c>
      <c r="D2136">
        <v>2.02</v>
      </c>
      <c r="E2136">
        <v>108075.414</v>
      </c>
      <c r="F2136" t="s">
        <v>404</v>
      </c>
      <c r="G2136" s="31">
        <v>11.25</v>
      </c>
      <c r="L2136">
        <v>21</v>
      </c>
      <c r="M2136">
        <v>21</v>
      </c>
      <c r="N2136" t="s">
        <v>58</v>
      </c>
      <c r="O2136">
        <v>2.3199999999999998</v>
      </c>
      <c r="P2136">
        <v>410.79700000000003</v>
      </c>
      <c r="Q2136" t="s">
        <v>531</v>
      </c>
      <c r="R2136" s="31">
        <v>0.41</v>
      </c>
    </row>
    <row r="2137" spans="1:18" x14ac:dyDescent="0.3">
      <c r="A2137">
        <v>18</v>
      </c>
      <c r="B2137">
        <v>18</v>
      </c>
      <c r="C2137" t="s">
        <v>15</v>
      </c>
      <c r="D2137">
        <v>2.5</v>
      </c>
      <c r="E2137">
        <v>48786.063000000002</v>
      </c>
      <c r="F2137" t="s">
        <v>405</v>
      </c>
      <c r="G2137" s="31">
        <v>15.9</v>
      </c>
      <c r="L2137">
        <v>22</v>
      </c>
      <c r="M2137">
        <v>22</v>
      </c>
      <c r="N2137" t="s">
        <v>59</v>
      </c>
      <c r="O2137">
        <v>2.4900000000000002</v>
      </c>
      <c r="P2137">
        <v>13447.625</v>
      </c>
      <c r="Q2137" t="s">
        <v>532</v>
      </c>
      <c r="R2137" s="31">
        <v>2.8</v>
      </c>
    </row>
    <row r="2138" spans="1:18" x14ac:dyDescent="0.3">
      <c r="A2138">
        <v>19</v>
      </c>
      <c r="B2138">
        <v>19</v>
      </c>
      <c r="C2138" t="s">
        <v>16</v>
      </c>
      <c r="D2138">
        <v>2.71</v>
      </c>
      <c r="E2138">
        <v>5545.5330000000004</v>
      </c>
      <c r="F2138" t="s">
        <v>406</v>
      </c>
      <c r="G2138" s="31">
        <v>0.24</v>
      </c>
      <c r="L2138">
        <v>23</v>
      </c>
      <c r="M2138">
        <v>23</v>
      </c>
      <c r="N2138" t="s">
        <v>60</v>
      </c>
      <c r="O2138">
        <v>2.58</v>
      </c>
      <c r="P2138">
        <v>13313.32</v>
      </c>
      <c r="Q2138" t="s">
        <v>533</v>
      </c>
      <c r="R2138" s="31">
        <v>1.6</v>
      </c>
    </row>
    <row r="2139" spans="1:18" x14ac:dyDescent="0.3">
      <c r="A2139">
        <v>20</v>
      </c>
      <c r="B2139">
        <v>20</v>
      </c>
      <c r="C2139" t="s">
        <v>17</v>
      </c>
      <c r="D2139">
        <v>3.05</v>
      </c>
      <c r="E2139">
        <v>26963.088</v>
      </c>
      <c r="F2139" t="s">
        <v>407</v>
      </c>
      <c r="G2139" s="31">
        <v>3.7</v>
      </c>
    </row>
    <row r="2140" spans="1:18" x14ac:dyDescent="0.3">
      <c r="A2140">
        <v>21</v>
      </c>
      <c r="B2140">
        <v>21</v>
      </c>
      <c r="C2140" t="s">
        <v>18</v>
      </c>
      <c r="D2140">
        <v>3.68</v>
      </c>
      <c r="E2140">
        <v>52530.667999999998</v>
      </c>
      <c r="F2140" t="s">
        <v>408</v>
      </c>
      <c r="G2140" s="31">
        <v>1.69</v>
      </c>
      <c r="L2140" t="s">
        <v>379</v>
      </c>
    </row>
    <row r="2141" spans="1:18" x14ac:dyDescent="0.3">
      <c r="A2141">
        <v>22</v>
      </c>
      <c r="B2141">
        <v>22</v>
      </c>
      <c r="C2141" t="s">
        <v>19</v>
      </c>
      <c r="D2141">
        <v>2.63</v>
      </c>
      <c r="E2141">
        <v>101720.32000000001</v>
      </c>
      <c r="F2141" t="s">
        <v>409</v>
      </c>
      <c r="G2141" s="31">
        <v>6.97</v>
      </c>
    </row>
    <row r="2142" spans="1:18" x14ac:dyDescent="0.3">
      <c r="A2142">
        <v>23</v>
      </c>
      <c r="B2142">
        <v>23</v>
      </c>
      <c r="C2142" t="s">
        <v>20</v>
      </c>
      <c r="D2142">
        <v>2.88</v>
      </c>
      <c r="E2142">
        <v>21956.219000000001</v>
      </c>
      <c r="F2142" t="s">
        <v>410</v>
      </c>
      <c r="G2142" s="31">
        <v>0.97</v>
      </c>
      <c r="L2142" t="s">
        <v>557</v>
      </c>
    </row>
    <row r="2143" spans="1:18" x14ac:dyDescent="0.3">
      <c r="A2143">
        <v>24</v>
      </c>
      <c r="B2143">
        <v>24</v>
      </c>
      <c r="C2143" t="s">
        <v>21</v>
      </c>
      <c r="D2143">
        <v>4.18</v>
      </c>
      <c r="E2143">
        <v>56.511000000000003</v>
      </c>
      <c r="F2143" t="s">
        <v>411</v>
      </c>
      <c r="G2143" s="31">
        <v>0.1</v>
      </c>
    </row>
    <row r="2144" spans="1:18" x14ac:dyDescent="0.3">
      <c r="A2144">
        <v>25</v>
      </c>
      <c r="B2144">
        <v>25</v>
      </c>
      <c r="C2144" t="s">
        <v>22</v>
      </c>
      <c r="D2144">
        <v>3.41</v>
      </c>
      <c r="E2144">
        <v>527.37599999999998</v>
      </c>
      <c r="F2144" t="s">
        <v>412</v>
      </c>
      <c r="G2144" s="31">
        <v>3.95</v>
      </c>
      <c r="L2144" t="s">
        <v>603</v>
      </c>
    </row>
    <row r="2145" spans="1:18" x14ac:dyDescent="0.3">
      <c r="A2145">
        <v>26</v>
      </c>
      <c r="B2145">
        <v>26</v>
      </c>
      <c r="C2145" t="s">
        <v>23</v>
      </c>
      <c r="D2145">
        <v>3.35</v>
      </c>
      <c r="E2145">
        <v>93530.843999999997</v>
      </c>
      <c r="F2145" t="s">
        <v>413</v>
      </c>
      <c r="G2145" s="31">
        <v>6.18</v>
      </c>
    </row>
    <row r="2146" spans="1:18" x14ac:dyDescent="0.3">
      <c r="A2146">
        <v>27</v>
      </c>
      <c r="B2146">
        <v>27</v>
      </c>
      <c r="C2146" t="s">
        <v>24</v>
      </c>
      <c r="D2146">
        <v>3.44</v>
      </c>
      <c r="E2146">
        <v>807.63400000000001</v>
      </c>
      <c r="F2146" t="s">
        <v>414</v>
      </c>
      <c r="G2146" s="31">
        <v>0.33</v>
      </c>
      <c r="M2146" t="s">
        <v>382</v>
      </c>
      <c r="N2146" t="s">
        <v>383</v>
      </c>
      <c r="O2146" t="s">
        <v>384</v>
      </c>
      <c r="P2146" t="s">
        <v>385</v>
      </c>
      <c r="Q2146" t="s">
        <v>386</v>
      </c>
      <c r="R2146" s="31" t="s">
        <v>387</v>
      </c>
    </row>
    <row r="2147" spans="1:18" x14ac:dyDescent="0.3">
      <c r="A2147">
        <v>28</v>
      </c>
      <c r="B2147">
        <v>28</v>
      </c>
      <c r="C2147" t="s">
        <v>25</v>
      </c>
      <c r="D2147">
        <v>3.51</v>
      </c>
      <c r="E2147">
        <v>3787.7069999999999</v>
      </c>
      <c r="F2147" t="s">
        <v>415</v>
      </c>
      <c r="G2147" s="31">
        <v>0.54</v>
      </c>
      <c r="L2147">
        <v>1</v>
      </c>
      <c r="M2147">
        <v>1</v>
      </c>
      <c r="N2147" t="s">
        <v>35</v>
      </c>
      <c r="O2147">
        <v>1.45</v>
      </c>
      <c r="P2147">
        <v>11958.609</v>
      </c>
      <c r="Q2147" t="s">
        <v>511</v>
      </c>
      <c r="R2147" s="31">
        <v>12.54</v>
      </c>
    </row>
    <row r="2148" spans="1:18" x14ac:dyDescent="0.3">
      <c r="A2148">
        <v>29</v>
      </c>
      <c r="B2148">
        <v>29</v>
      </c>
      <c r="C2148" t="s">
        <v>26</v>
      </c>
      <c r="D2148">
        <v>1.04</v>
      </c>
      <c r="E2148">
        <v>1823.76</v>
      </c>
      <c r="F2148" t="s">
        <v>416</v>
      </c>
      <c r="G2148" s="31">
        <v>1.38</v>
      </c>
      <c r="L2148">
        <v>2</v>
      </c>
      <c r="M2148">
        <v>2</v>
      </c>
      <c r="N2148" t="s">
        <v>36</v>
      </c>
      <c r="O2148">
        <v>1.67</v>
      </c>
      <c r="P2148">
        <v>1422606.875</v>
      </c>
      <c r="Q2148" t="s">
        <v>512</v>
      </c>
      <c r="R2148" s="31">
        <v>245.12</v>
      </c>
    </row>
    <row r="2149" spans="1:18" x14ac:dyDescent="0.3">
      <c r="A2149">
        <v>30</v>
      </c>
      <c r="B2149">
        <v>30</v>
      </c>
      <c r="C2149" t="s">
        <v>27</v>
      </c>
      <c r="D2149">
        <v>4.32</v>
      </c>
      <c r="E2149">
        <v>2008.5840000000001</v>
      </c>
      <c r="F2149" t="s">
        <v>417</v>
      </c>
      <c r="G2149" s="31">
        <v>0.11</v>
      </c>
      <c r="L2149">
        <v>3</v>
      </c>
      <c r="M2149">
        <v>3</v>
      </c>
      <c r="N2149" t="s">
        <v>37</v>
      </c>
      <c r="O2149">
        <v>1.81</v>
      </c>
      <c r="P2149">
        <v>269.56099999999998</v>
      </c>
      <c r="Q2149" t="s">
        <v>513</v>
      </c>
      <c r="R2149" s="31">
        <v>0.14000000000000001</v>
      </c>
    </row>
    <row r="2150" spans="1:18" x14ac:dyDescent="0.3">
      <c r="A2150">
        <v>31</v>
      </c>
      <c r="B2150">
        <v>31</v>
      </c>
      <c r="C2150" t="s">
        <v>28</v>
      </c>
      <c r="D2150">
        <v>2.99</v>
      </c>
      <c r="E2150">
        <v>123823.82</v>
      </c>
      <c r="F2150" t="s">
        <v>418</v>
      </c>
      <c r="G2150" s="31">
        <v>0.47</v>
      </c>
      <c r="L2150">
        <v>4</v>
      </c>
      <c r="M2150">
        <v>4</v>
      </c>
      <c r="N2150" t="s">
        <v>38</v>
      </c>
      <c r="O2150">
        <v>1.19</v>
      </c>
      <c r="P2150">
        <v>1962.2829999999999</v>
      </c>
      <c r="Q2150" t="s">
        <v>514</v>
      </c>
      <c r="R2150" s="31">
        <v>0.43</v>
      </c>
    </row>
    <row r="2151" spans="1:18" x14ac:dyDescent="0.3">
      <c r="A2151">
        <v>32</v>
      </c>
      <c r="B2151">
        <v>32</v>
      </c>
      <c r="C2151" t="s">
        <v>29</v>
      </c>
      <c r="D2151">
        <v>3.35</v>
      </c>
      <c r="E2151">
        <v>974.16300000000001</v>
      </c>
      <c r="F2151" t="s">
        <v>419</v>
      </c>
      <c r="G2151" s="31">
        <v>0.11</v>
      </c>
      <c r="L2151">
        <v>5</v>
      </c>
      <c r="M2151">
        <v>5</v>
      </c>
      <c r="N2151" t="s">
        <v>39</v>
      </c>
      <c r="O2151">
        <v>1.38</v>
      </c>
      <c r="P2151">
        <v>120170.008</v>
      </c>
      <c r="Q2151" t="s">
        <v>515</v>
      </c>
      <c r="R2151" s="31">
        <v>31.08</v>
      </c>
    </row>
    <row r="2152" spans="1:18" x14ac:dyDescent="0.3">
      <c r="A2152">
        <v>33</v>
      </c>
      <c r="B2152">
        <v>33</v>
      </c>
      <c r="C2152" t="s">
        <v>30</v>
      </c>
      <c r="D2152">
        <v>4.67</v>
      </c>
      <c r="E2152">
        <v>177592.15599999999</v>
      </c>
      <c r="F2152" t="s">
        <v>420</v>
      </c>
      <c r="G2152" s="31">
        <v>2.35</v>
      </c>
      <c r="L2152">
        <v>6</v>
      </c>
      <c r="M2152">
        <v>6</v>
      </c>
      <c r="N2152" t="s">
        <v>40</v>
      </c>
      <c r="O2152">
        <v>1.53</v>
      </c>
      <c r="P2152">
        <v>10092.888000000001</v>
      </c>
      <c r="Q2152" t="s">
        <v>516</v>
      </c>
      <c r="R2152" s="31">
        <v>1.35</v>
      </c>
    </row>
    <row r="2153" spans="1:18" x14ac:dyDescent="0.3">
      <c r="A2153">
        <v>34</v>
      </c>
      <c r="B2153">
        <v>34</v>
      </c>
      <c r="C2153" t="s">
        <v>31</v>
      </c>
      <c r="D2153">
        <v>3.26</v>
      </c>
      <c r="E2153">
        <v>5595.4579999999996</v>
      </c>
      <c r="F2153" t="s">
        <v>421</v>
      </c>
      <c r="G2153" s="31">
        <v>0.34</v>
      </c>
      <c r="L2153">
        <v>7</v>
      </c>
      <c r="M2153">
        <v>7</v>
      </c>
      <c r="N2153" t="s">
        <v>41</v>
      </c>
      <c r="O2153">
        <v>2.27</v>
      </c>
      <c r="P2153">
        <v>2000.99</v>
      </c>
      <c r="Q2153" t="s">
        <v>517</v>
      </c>
      <c r="R2153" s="31">
        <v>2.4900000000000002</v>
      </c>
    </row>
    <row r="2154" spans="1:18" x14ac:dyDescent="0.3">
      <c r="A2154">
        <v>35</v>
      </c>
      <c r="B2154">
        <v>35</v>
      </c>
      <c r="C2154" t="s">
        <v>32</v>
      </c>
      <c r="D2154">
        <v>3.08</v>
      </c>
      <c r="E2154">
        <v>116.69799999999999</v>
      </c>
      <c r="F2154" t="s">
        <v>422</v>
      </c>
      <c r="G2154" s="31">
        <v>0.1</v>
      </c>
      <c r="L2154">
        <v>8</v>
      </c>
      <c r="M2154">
        <v>8</v>
      </c>
      <c r="N2154" t="s">
        <v>42</v>
      </c>
      <c r="O2154">
        <v>0.89</v>
      </c>
      <c r="P2154">
        <v>77.341999999999999</v>
      </c>
      <c r="Q2154" t="s">
        <v>518</v>
      </c>
      <c r="R2154" s="31">
        <v>23.04</v>
      </c>
    </row>
    <row r="2155" spans="1:18" x14ac:dyDescent="0.3">
      <c r="A2155">
        <v>36</v>
      </c>
      <c r="B2155">
        <v>36</v>
      </c>
      <c r="C2155" t="s">
        <v>33</v>
      </c>
      <c r="D2155">
        <v>1.9</v>
      </c>
      <c r="E2155">
        <v>1380.4269999999999</v>
      </c>
      <c r="F2155" t="s">
        <v>423</v>
      </c>
      <c r="G2155" s="31">
        <v>0.66</v>
      </c>
      <c r="L2155">
        <v>9</v>
      </c>
      <c r="M2155">
        <v>9</v>
      </c>
      <c r="N2155" t="s">
        <v>43</v>
      </c>
      <c r="O2155">
        <v>2.54</v>
      </c>
      <c r="P2155">
        <v>4061.48</v>
      </c>
      <c r="Q2155" t="s">
        <v>519</v>
      </c>
      <c r="R2155" s="31">
        <v>0.08</v>
      </c>
    </row>
    <row r="2156" spans="1:18" x14ac:dyDescent="0.3">
      <c r="G2156" s="31">
        <f>G2133/G2135</f>
        <v>0.83599999999999997</v>
      </c>
      <c r="L2156">
        <v>10</v>
      </c>
      <c r="M2156">
        <v>10</v>
      </c>
      <c r="N2156" t="s">
        <v>52</v>
      </c>
      <c r="O2156">
        <v>4.1399999999999997</v>
      </c>
      <c r="P2156">
        <v>2101.4389999999999</v>
      </c>
      <c r="Q2156" t="s">
        <v>520</v>
      </c>
      <c r="R2156" s="31">
        <v>0.1</v>
      </c>
    </row>
    <row r="2157" spans="1:18" x14ac:dyDescent="0.3">
      <c r="A2157" t="s">
        <v>379</v>
      </c>
      <c r="L2157">
        <v>11</v>
      </c>
      <c r="M2157">
        <v>11</v>
      </c>
      <c r="N2157" t="s">
        <v>44</v>
      </c>
      <c r="O2157">
        <v>4.2</v>
      </c>
      <c r="P2157">
        <v>88.353999999999999</v>
      </c>
      <c r="Q2157" t="s">
        <v>521</v>
      </c>
      <c r="R2157" s="31">
        <v>0.14000000000000001</v>
      </c>
    </row>
    <row r="2158" spans="1:18" x14ac:dyDescent="0.3">
      <c r="L2158">
        <v>12</v>
      </c>
      <c r="M2158">
        <v>12</v>
      </c>
      <c r="N2158" t="s">
        <v>45</v>
      </c>
      <c r="O2158">
        <v>3.44</v>
      </c>
      <c r="P2158">
        <v>600373.56299999997</v>
      </c>
      <c r="Q2158" t="s">
        <v>522</v>
      </c>
      <c r="R2158" s="31">
        <v>12.19</v>
      </c>
    </row>
    <row r="2159" spans="1:18" x14ac:dyDescent="0.3">
      <c r="A2159" t="s">
        <v>456</v>
      </c>
      <c r="L2159">
        <v>13</v>
      </c>
      <c r="M2159">
        <v>13</v>
      </c>
      <c r="N2159" t="s">
        <v>46</v>
      </c>
      <c r="O2159">
        <v>2.6</v>
      </c>
      <c r="P2159">
        <v>238864.984</v>
      </c>
      <c r="Q2159" t="s">
        <v>523</v>
      </c>
      <c r="R2159" s="31">
        <v>15.29</v>
      </c>
    </row>
    <row r="2160" spans="1:18" x14ac:dyDescent="0.3">
      <c r="L2160">
        <v>14</v>
      </c>
      <c r="M2160">
        <v>14</v>
      </c>
      <c r="N2160" t="s">
        <v>47</v>
      </c>
      <c r="O2160">
        <v>0.68</v>
      </c>
      <c r="P2160">
        <v>28431.037</v>
      </c>
      <c r="Q2160" t="s">
        <v>524</v>
      </c>
      <c r="R2160" s="31">
        <v>17.25</v>
      </c>
    </row>
    <row r="2161" spans="1:18" x14ac:dyDescent="0.3">
      <c r="A2161" t="s">
        <v>473</v>
      </c>
      <c r="L2161">
        <v>15</v>
      </c>
      <c r="M2161">
        <v>15</v>
      </c>
      <c r="N2161" t="s">
        <v>48</v>
      </c>
      <c r="O2161">
        <v>1.22</v>
      </c>
      <c r="P2161">
        <v>18542.348000000002</v>
      </c>
      <c r="Q2161" t="s">
        <v>525</v>
      </c>
      <c r="R2161" s="31">
        <v>3.32</v>
      </c>
    </row>
    <row r="2162" spans="1:18" x14ac:dyDescent="0.3">
      <c r="L2162">
        <v>16</v>
      </c>
      <c r="M2162">
        <v>16</v>
      </c>
      <c r="N2162" t="s">
        <v>53</v>
      </c>
      <c r="O2162">
        <v>4.5599999999999996</v>
      </c>
      <c r="P2162">
        <v>21030.021000000001</v>
      </c>
      <c r="Q2162" t="s">
        <v>526</v>
      </c>
      <c r="R2162" s="31">
        <v>0.34</v>
      </c>
    </row>
    <row r="2163" spans="1:18" x14ac:dyDescent="0.3">
      <c r="B2163" t="s">
        <v>382</v>
      </c>
      <c r="C2163" t="s">
        <v>383</v>
      </c>
      <c r="D2163" t="s">
        <v>384</v>
      </c>
      <c r="E2163" t="s">
        <v>385</v>
      </c>
      <c r="F2163" t="s">
        <v>386</v>
      </c>
      <c r="G2163" s="31" t="s">
        <v>387</v>
      </c>
      <c r="L2163">
        <v>17</v>
      </c>
      <c r="M2163">
        <v>17</v>
      </c>
      <c r="N2163" t="s">
        <v>54</v>
      </c>
      <c r="O2163">
        <v>5.25</v>
      </c>
      <c r="P2163">
        <v>95.168999999999997</v>
      </c>
      <c r="Q2163" t="s">
        <v>527</v>
      </c>
      <c r="R2163" s="31">
        <v>0.1</v>
      </c>
    </row>
    <row r="2164" spans="1:18" x14ac:dyDescent="0.3">
      <c r="A2164">
        <v>1</v>
      </c>
      <c r="B2164">
        <v>1</v>
      </c>
      <c r="C2164" t="s">
        <v>0</v>
      </c>
      <c r="D2164">
        <v>1.02</v>
      </c>
      <c r="E2164">
        <v>1744.16</v>
      </c>
      <c r="F2164" t="s">
        <v>388</v>
      </c>
      <c r="G2164" s="31">
        <v>7.75</v>
      </c>
      <c r="L2164">
        <v>18</v>
      </c>
      <c r="M2164">
        <v>18</v>
      </c>
      <c r="N2164" t="s">
        <v>55</v>
      </c>
      <c r="O2164">
        <v>1.32</v>
      </c>
      <c r="P2164">
        <v>1743.9079999999999</v>
      </c>
      <c r="Q2164" t="s">
        <v>528</v>
      </c>
      <c r="R2164" s="31">
        <v>0.08</v>
      </c>
    </row>
    <row r="2165" spans="1:18" x14ac:dyDescent="0.3">
      <c r="A2165">
        <v>2</v>
      </c>
      <c r="B2165">
        <v>2</v>
      </c>
      <c r="C2165" t="s">
        <v>1</v>
      </c>
      <c r="D2165">
        <v>1.46</v>
      </c>
      <c r="E2165">
        <v>5273.2879999999996</v>
      </c>
      <c r="F2165" t="s">
        <v>389</v>
      </c>
      <c r="G2165" s="31">
        <v>4.46</v>
      </c>
      <c r="L2165">
        <v>19</v>
      </c>
      <c r="M2165">
        <v>19</v>
      </c>
      <c r="N2165" t="s">
        <v>56</v>
      </c>
      <c r="O2165">
        <v>0.88</v>
      </c>
      <c r="P2165">
        <v>34268.555</v>
      </c>
      <c r="Q2165" t="s">
        <v>529</v>
      </c>
      <c r="R2165" s="31">
        <v>2.2999999999999998</v>
      </c>
    </row>
    <row r="2166" spans="1:18" x14ac:dyDescent="0.3">
      <c r="A2166">
        <v>3</v>
      </c>
      <c r="B2166">
        <v>3</v>
      </c>
      <c r="C2166" t="s">
        <v>50</v>
      </c>
      <c r="D2166">
        <v>3.8</v>
      </c>
      <c r="E2166">
        <v>144.291</v>
      </c>
      <c r="F2166" t="s">
        <v>390</v>
      </c>
      <c r="G2166" s="31">
        <v>7.0000000000000007E-2</v>
      </c>
      <c r="L2166">
        <v>20</v>
      </c>
      <c r="M2166">
        <v>20</v>
      </c>
      <c r="N2166" t="s">
        <v>57</v>
      </c>
      <c r="O2166">
        <v>1.52</v>
      </c>
      <c r="P2166">
        <v>199.232</v>
      </c>
      <c r="Q2166" t="s">
        <v>530</v>
      </c>
      <c r="R2166" s="31">
        <v>0.09</v>
      </c>
    </row>
    <row r="2167" spans="1:18" x14ac:dyDescent="0.3">
      <c r="A2167">
        <v>4</v>
      </c>
      <c r="B2167">
        <v>4</v>
      </c>
      <c r="C2167" t="s">
        <v>2</v>
      </c>
      <c r="D2167">
        <v>3.68</v>
      </c>
      <c r="E2167">
        <v>45684.711000000003</v>
      </c>
      <c r="F2167" t="s">
        <v>391</v>
      </c>
      <c r="G2167" s="31">
        <v>1.56</v>
      </c>
      <c r="L2167">
        <v>21</v>
      </c>
      <c r="M2167">
        <v>21</v>
      </c>
      <c r="N2167" t="s">
        <v>58</v>
      </c>
      <c r="O2167">
        <v>2.3199999999999998</v>
      </c>
      <c r="P2167">
        <v>527.13499999999999</v>
      </c>
      <c r="Q2167" t="s">
        <v>531</v>
      </c>
      <c r="R2167" s="31">
        <v>0.4</v>
      </c>
    </row>
    <row r="2168" spans="1:18" x14ac:dyDescent="0.3">
      <c r="A2168">
        <v>5</v>
      </c>
      <c r="B2168">
        <v>5</v>
      </c>
      <c r="C2168" t="s">
        <v>3</v>
      </c>
      <c r="D2168">
        <v>4.47</v>
      </c>
      <c r="E2168">
        <v>155.626</v>
      </c>
      <c r="F2168" t="s">
        <v>392</v>
      </c>
      <c r="G2168" s="31">
        <v>0.1</v>
      </c>
      <c r="L2168">
        <v>22</v>
      </c>
      <c r="M2168">
        <v>22</v>
      </c>
      <c r="N2168" t="s">
        <v>59</v>
      </c>
      <c r="O2168">
        <v>2.4900000000000002</v>
      </c>
      <c r="P2168">
        <v>17980.328000000001</v>
      </c>
      <c r="Q2168" t="s">
        <v>532</v>
      </c>
      <c r="R2168" s="31">
        <v>3.02</v>
      </c>
    </row>
    <row r="2169" spans="1:18" x14ac:dyDescent="0.3">
      <c r="A2169">
        <v>6</v>
      </c>
      <c r="B2169">
        <v>6</v>
      </c>
      <c r="C2169" t="s">
        <v>4</v>
      </c>
      <c r="D2169">
        <v>4.8</v>
      </c>
      <c r="E2169">
        <v>83527.023000000001</v>
      </c>
      <c r="F2169" t="s">
        <v>393</v>
      </c>
      <c r="G2169" s="31">
        <v>2.06</v>
      </c>
      <c r="L2169">
        <v>23</v>
      </c>
      <c r="M2169">
        <v>23</v>
      </c>
      <c r="N2169" t="s">
        <v>60</v>
      </c>
      <c r="O2169">
        <v>2.59</v>
      </c>
      <c r="P2169">
        <v>17001.516</v>
      </c>
      <c r="Q2169" t="s">
        <v>533</v>
      </c>
      <c r="R2169" s="31">
        <v>1.53</v>
      </c>
    </row>
    <row r="2170" spans="1:18" x14ac:dyDescent="0.3">
      <c r="A2170">
        <v>7</v>
      </c>
      <c r="B2170">
        <v>7</v>
      </c>
      <c r="C2170" t="s">
        <v>5</v>
      </c>
      <c r="D2170">
        <v>2.71</v>
      </c>
      <c r="E2170">
        <v>3700.9389999999999</v>
      </c>
      <c r="F2170" t="s">
        <v>394</v>
      </c>
      <c r="G2170" s="31">
        <v>0.33</v>
      </c>
    </row>
    <row r="2171" spans="1:18" x14ac:dyDescent="0.3">
      <c r="A2171">
        <v>8</v>
      </c>
      <c r="B2171">
        <v>8</v>
      </c>
      <c r="C2171" t="s">
        <v>6</v>
      </c>
      <c r="D2171">
        <v>0.67</v>
      </c>
      <c r="E2171">
        <v>5752.6559999999999</v>
      </c>
      <c r="F2171" t="s">
        <v>395</v>
      </c>
      <c r="G2171" s="31">
        <v>37.65</v>
      </c>
      <c r="L2171" t="s">
        <v>379</v>
      </c>
    </row>
    <row r="2172" spans="1:18" x14ac:dyDescent="0.3">
      <c r="A2172">
        <v>9</v>
      </c>
      <c r="B2172">
        <v>9</v>
      </c>
      <c r="C2172" t="s">
        <v>7</v>
      </c>
      <c r="D2172">
        <v>3.56</v>
      </c>
      <c r="E2172">
        <v>2534.1309999999999</v>
      </c>
      <c r="F2172" t="s">
        <v>396</v>
      </c>
      <c r="G2172" s="31">
        <v>3.66</v>
      </c>
    </row>
    <row r="2173" spans="1:18" x14ac:dyDescent="0.3">
      <c r="A2173">
        <v>10</v>
      </c>
      <c r="B2173">
        <v>10</v>
      </c>
      <c r="C2173" t="s">
        <v>51</v>
      </c>
      <c r="D2173">
        <v>4.62</v>
      </c>
      <c r="E2173">
        <v>1195.6010000000001</v>
      </c>
      <c r="F2173" t="s">
        <v>397</v>
      </c>
      <c r="G2173" s="31">
        <v>0.13</v>
      </c>
      <c r="L2173" t="s">
        <v>604</v>
      </c>
    </row>
    <row r="2174" spans="1:18" x14ac:dyDescent="0.3">
      <c r="A2174">
        <v>11</v>
      </c>
      <c r="B2174">
        <v>11</v>
      </c>
      <c r="C2174" t="s">
        <v>8</v>
      </c>
      <c r="D2174">
        <v>2.74</v>
      </c>
      <c r="E2174">
        <v>93473.351999999999</v>
      </c>
      <c r="F2174" t="s">
        <v>398</v>
      </c>
      <c r="G2174" s="31">
        <v>2.66</v>
      </c>
    </row>
    <row r="2175" spans="1:18" x14ac:dyDescent="0.3">
      <c r="A2175">
        <v>12</v>
      </c>
      <c r="B2175">
        <v>12</v>
      </c>
      <c r="C2175" t="s">
        <v>9</v>
      </c>
      <c r="D2175">
        <v>2.63</v>
      </c>
      <c r="E2175">
        <v>13180.675999999999</v>
      </c>
      <c r="F2175" t="s">
        <v>399</v>
      </c>
      <c r="G2175" s="31">
        <v>2.41</v>
      </c>
      <c r="L2175" t="s">
        <v>605</v>
      </c>
    </row>
    <row r="2176" spans="1:18" x14ac:dyDescent="0.3">
      <c r="A2176">
        <v>13</v>
      </c>
      <c r="B2176">
        <v>13</v>
      </c>
      <c r="C2176" t="s">
        <v>10</v>
      </c>
      <c r="D2176">
        <v>4.07</v>
      </c>
      <c r="E2176">
        <v>4151558.5</v>
      </c>
      <c r="F2176" t="s">
        <v>400</v>
      </c>
      <c r="G2176" s="31">
        <v>216.37</v>
      </c>
    </row>
    <row r="2177" spans="1:18" x14ac:dyDescent="0.3">
      <c r="A2177">
        <v>14</v>
      </c>
      <c r="B2177">
        <v>14</v>
      </c>
      <c r="C2177" t="s">
        <v>11</v>
      </c>
      <c r="D2177">
        <v>3.51</v>
      </c>
      <c r="E2177">
        <v>63.652000000000001</v>
      </c>
      <c r="F2177" t="s">
        <v>401</v>
      </c>
      <c r="G2177" s="31">
        <v>2.2400000000000002</v>
      </c>
      <c r="M2177" t="s">
        <v>382</v>
      </c>
      <c r="N2177" t="s">
        <v>383</v>
      </c>
      <c r="O2177" t="s">
        <v>384</v>
      </c>
      <c r="P2177" t="s">
        <v>385</v>
      </c>
      <c r="Q2177" t="s">
        <v>386</v>
      </c>
      <c r="R2177" s="31" t="s">
        <v>387</v>
      </c>
    </row>
    <row r="2178" spans="1:18" x14ac:dyDescent="0.3">
      <c r="A2178">
        <v>15</v>
      </c>
      <c r="B2178">
        <v>15</v>
      </c>
      <c r="C2178" t="s">
        <v>12</v>
      </c>
      <c r="D2178">
        <v>3.33</v>
      </c>
      <c r="E2178">
        <v>711.30100000000004</v>
      </c>
      <c r="F2178" t="s">
        <v>402</v>
      </c>
      <c r="G2178" s="31">
        <v>1.77</v>
      </c>
      <c r="L2178">
        <v>1</v>
      </c>
      <c r="M2178">
        <v>1</v>
      </c>
      <c r="N2178" t="s">
        <v>35</v>
      </c>
      <c r="O2178">
        <v>1.46</v>
      </c>
      <c r="P2178">
        <v>2144.2559999999999</v>
      </c>
      <c r="Q2178" t="s">
        <v>511</v>
      </c>
      <c r="R2178" s="31">
        <v>17.350000000000001</v>
      </c>
    </row>
    <row r="2179" spans="1:18" x14ac:dyDescent="0.3">
      <c r="A2179">
        <v>16</v>
      </c>
      <c r="B2179">
        <v>16</v>
      </c>
      <c r="C2179" t="s">
        <v>13</v>
      </c>
      <c r="D2179">
        <v>3.23</v>
      </c>
      <c r="E2179">
        <v>17023.393</v>
      </c>
      <c r="F2179" t="s">
        <v>403</v>
      </c>
      <c r="G2179" s="31">
        <v>1.68</v>
      </c>
      <c r="L2179">
        <v>2</v>
      </c>
      <c r="M2179">
        <v>2</v>
      </c>
      <c r="N2179" t="s">
        <v>36</v>
      </c>
      <c r="O2179">
        <v>1.67</v>
      </c>
      <c r="P2179">
        <v>2009587.5</v>
      </c>
      <c r="Q2179" t="s">
        <v>512</v>
      </c>
      <c r="R2179" s="31">
        <v>522.25</v>
      </c>
    </row>
    <row r="2180" spans="1:18" x14ac:dyDescent="0.3">
      <c r="A2180">
        <v>17</v>
      </c>
      <c r="B2180">
        <v>17</v>
      </c>
      <c r="C2180" t="s">
        <v>14</v>
      </c>
      <c r="D2180">
        <v>2.0299999999999998</v>
      </c>
      <c r="E2180">
        <v>199371.93799999999</v>
      </c>
      <c r="F2180" t="s">
        <v>404</v>
      </c>
      <c r="G2180" s="31">
        <v>16.37</v>
      </c>
      <c r="L2180">
        <v>3</v>
      </c>
      <c r="M2180">
        <v>3</v>
      </c>
      <c r="N2180" t="s">
        <v>37</v>
      </c>
      <c r="O2180">
        <v>1.81</v>
      </c>
      <c r="P2180">
        <v>354.29500000000002</v>
      </c>
      <c r="Q2180" t="s">
        <v>513</v>
      </c>
      <c r="R2180" s="31">
        <v>0.26</v>
      </c>
    </row>
    <row r="2181" spans="1:18" x14ac:dyDescent="0.3">
      <c r="A2181">
        <v>18</v>
      </c>
      <c r="B2181">
        <v>18</v>
      </c>
      <c r="C2181" t="s">
        <v>15</v>
      </c>
      <c r="D2181">
        <v>2.5</v>
      </c>
      <c r="E2181">
        <v>44031.25</v>
      </c>
      <c r="F2181" t="s">
        <v>405</v>
      </c>
      <c r="G2181" s="31">
        <v>11.54</v>
      </c>
      <c r="L2181">
        <v>4</v>
      </c>
      <c r="M2181">
        <v>4</v>
      </c>
      <c r="N2181" t="s">
        <v>38</v>
      </c>
      <c r="O2181">
        <v>1.18</v>
      </c>
      <c r="P2181">
        <v>2987.6759999999999</v>
      </c>
      <c r="Q2181" t="s">
        <v>514</v>
      </c>
      <c r="R2181" s="31">
        <v>1</v>
      </c>
    </row>
    <row r="2182" spans="1:18" x14ac:dyDescent="0.3">
      <c r="A2182">
        <v>19</v>
      </c>
      <c r="B2182">
        <v>19</v>
      </c>
      <c r="C2182" t="s">
        <v>16</v>
      </c>
      <c r="D2182">
        <v>2.71</v>
      </c>
      <c r="E2182">
        <v>19093.775000000001</v>
      </c>
      <c r="F2182" t="s">
        <v>406</v>
      </c>
      <c r="G2182" s="31">
        <v>0.59</v>
      </c>
      <c r="L2182">
        <v>5</v>
      </c>
      <c r="M2182">
        <v>5</v>
      </c>
      <c r="N2182" t="s">
        <v>39</v>
      </c>
      <c r="O2182">
        <v>1.38</v>
      </c>
      <c r="P2182">
        <v>111943.79700000001</v>
      </c>
      <c r="Q2182" t="s">
        <v>515</v>
      </c>
      <c r="R2182" s="31">
        <v>47.31</v>
      </c>
    </row>
    <row r="2183" spans="1:18" x14ac:dyDescent="0.3">
      <c r="A2183">
        <v>20</v>
      </c>
      <c r="B2183">
        <v>20</v>
      </c>
      <c r="C2183" t="s">
        <v>17</v>
      </c>
      <c r="D2183">
        <v>3.13</v>
      </c>
      <c r="E2183">
        <v>23741.217000000001</v>
      </c>
      <c r="F2183" t="s">
        <v>407</v>
      </c>
      <c r="G2183" s="31">
        <v>2.6</v>
      </c>
      <c r="L2183">
        <v>6</v>
      </c>
      <c r="M2183">
        <v>6</v>
      </c>
      <c r="N2183" t="s">
        <v>40</v>
      </c>
      <c r="O2183">
        <v>1.54</v>
      </c>
      <c r="P2183">
        <v>7071.8509999999997</v>
      </c>
      <c r="Q2183" t="s">
        <v>516</v>
      </c>
      <c r="R2183" s="31">
        <v>1.54</v>
      </c>
    </row>
    <row r="2184" spans="1:18" x14ac:dyDescent="0.3">
      <c r="A2184">
        <v>21</v>
      </c>
      <c r="B2184">
        <v>21</v>
      </c>
      <c r="C2184" t="s">
        <v>18</v>
      </c>
      <c r="D2184">
        <v>3.68</v>
      </c>
      <c r="E2184">
        <v>29240.955000000002</v>
      </c>
      <c r="F2184" t="s">
        <v>408</v>
      </c>
      <c r="G2184" s="31">
        <v>0.75</v>
      </c>
      <c r="L2184">
        <v>7</v>
      </c>
      <c r="M2184">
        <v>7</v>
      </c>
      <c r="N2184" t="s">
        <v>41</v>
      </c>
      <c r="O2184">
        <v>2.34</v>
      </c>
      <c r="P2184">
        <v>912.11699999999996</v>
      </c>
      <c r="Q2184" t="s">
        <v>517</v>
      </c>
      <c r="R2184" s="31">
        <v>1.99</v>
      </c>
    </row>
    <row r="2185" spans="1:18" x14ac:dyDescent="0.3">
      <c r="A2185">
        <v>22</v>
      </c>
      <c r="B2185">
        <v>22</v>
      </c>
      <c r="C2185" t="s">
        <v>19</v>
      </c>
      <c r="D2185">
        <v>2.63</v>
      </c>
      <c r="E2185">
        <v>81442.414000000004</v>
      </c>
      <c r="F2185" t="s">
        <v>409</v>
      </c>
      <c r="G2185" s="31">
        <v>4.54</v>
      </c>
      <c r="L2185">
        <v>8</v>
      </c>
      <c r="M2185">
        <v>8</v>
      </c>
      <c r="N2185" t="s">
        <v>42</v>
      </c>
      <c r="O2185">
        <v>0.89</v>
      </c>
      <c r="P2185">
        <v>14138.716</v>
      </c>
      <c r="Q2185" t="s">
        <v>518</v>
      </c>
      <c r="R2185" s="31">
        <v>66.849999999999994</v>
      </c>
    </row>
    <row r="2186" spans="1:18" x14ac:dyDescent="0.3">
      <c r="A2186">
        <v>23</v>
      </c>
      <c r="B2186">
        <v>23</v>
      </c>
      <c r="C2186" t="s">
        <v>20</v>
      </c>
      <c r="D2186">
        <v>2.89</v>
      </c>
      <c r="E2186">
        <v>71684.023000000001</v>
      </c>
      <c r="F2186" t="s">
        <v>410</v>
      </c>
      <c r="G2186" s="31">
        <v>2.38</v>
      </c>
      <c r="L2186">
        <v>9</v>
      </c>
      <c r="M2186">
        <v>9</v>
      </c>
      <c r="N2186" t="s">
        <v>43</v>
      </c>
      <c r="O2186">
        <v>2.5499999999999998</v>
      </c>
      <c r="P2186">
        <v>4799.0379999999996</v>
      </c>
      <c r="Q2186" t="s">
        <v>519</v>
      </c>
      <c r="R2186" s="31">
        <v>0.16</v>
      </c>
    </row>
    <row r="2187" spans="1:18" x14ac:dyDescent="0.3">
      <c r="A2187">
        <v>24</v>
      </c>
      <c r="B2187">
        <v>24</v>
      </c>
      <c r="C2187" t="s">
        <v>21</v>
      </c>
      <c r="D2187">
        <v>4.12</v>
      </c>
      <c r="E2187">
        <v>347.65100000000001</v>
      </c>
      <c r="F2187" t="s">
        <v>411</v>
      </c>
      <c r="G2187" s="31">
        <v>0.11</v>
      </c>
      <c r="L2187">
        <v>10</v>
      </c>
      <c r="M2187">
        <v>10</v>
      </c>
      <c r="N2187" t="s">
        <v>52</v>
      </c>
      <c r="O2187">
        <v>4.13</v>
      </c>
      <c r="P2187">
        <v>16445.41</v>
      </c>
      <c r="Q2187" t="s">
        <v>520</v>
      </c>
      <c r="R2187" s="31">
        <v>1.69</v>
      </c>
    </row>
    <row r="2188" spans="1:18" x14ac:dyDescent="0.3">
      <c r="A2188">
        <v>25</v>
      </c>
      <c r="B2188">
        <v>25</v>
      </c>
      <c r="C2188" t="s">
        <v>22</v>
      </c>
      <c r="D2188">
        <v>3.41</v>
      </c>
      <c r="E2188">
        <v>567.85400000000004</v>
      </c>
      <c r="F2188" t="s">
        <v>412</v>
      </c>
      <c r="G2188" s="31">
        <v>3.28</v>
      </c>
      <c r="L2188">
        <v>11</v>
      </c>
      <c r="M2188">
        <v>11</v>
      </c>
      <c r="N2188" t="s">
        <v>44</v>
      </c>
      <c r="O2188">
        <v>4.2</v>
      </c>
      <c r="P2188">
        <v>931.09</v>
      </c>
      <c r="Q2188" t="s">
        <v>521</v>
      </c>
      <c r="R2188" s="31">
        <v>0.42</v>
      </c>
    </row>
    <row r="2189" spans="1:18" x14ac:dyDescent="0.3">
      <c r="A2189">
        <v>26</v>
      </c>
      <c r="B2189">
        <v>26</v>
      </c>
      <c r="C2189" t="s">
        <v>23</v>
      </c>
      <c r="D2189">
        <v>3.35</v>
      </c>
      <c r="E2189">
        <v>81310.164000000004</v>
      </c>
      <c r="F2189" t="s">
        <v>413</v>
      </c>
      <c r="G2189" s="31">
        <v>4.3099999999999996</v>
      </c>
      <c r="L2189">
        <v>12</v>
      </c>
      <c r="M2189">
        <v>12</v>
      </c>
      <c r="N2189" t="s">
        <v>45</v>
      </c>
      <c r="O2189">
        <v>3.45</v>
      </c>
      <c r="P2189">
        <v>455047.5</v>
      </c>
      <c r="Q2189" t="s">
        <v>522</v>
      </c>
      <c r="R2189" s="31">
        <v>11.45</v>
      </c>
    </row>
    <row r="2190" spans="1:18" x14ac:dyDescent="0.3">
      <c r="A2190">
        <v>27</v>
      </c>
      <c r="B2190">
        <v>27</v>
      </c>
      <c r="C2190" t="s">
        <v>24</v>
      </c>
      <c r="D2190">
        <v>3.45</v>
      </c>
      <c r="E2190">
        <v>180.774</v>
      </c>
      <c r="F2190" t="s">
        <v>414</v>
      </c>
      <c r="G2190" s="31">
        <v>0.1</v>
      </c>
      <c r="L2190">
        <v>13</v>
      </c>
      <c r="M2190">
        <v>13</v>
      </c>
      <c r="N2190" t="s">
        <v>46</v>
      </c>
      <c r="O2190">
        <v>2.6</v>
      </c>
      <c r="P2190">
        <v>141708.5</v>
      </c>
      <c r="Q2190" t="s">
        <v>523</v>
      </c>
      <c r="R2190" s="31">
        <v>13.71</v>
      </c>
    </row>
    <row r="2191" spans="1:18" x14ac:dyDescent="0.3">
      <c r="A2191">
        <v>28</v>
      </c>
      <c r="B2191">
        <v>28</v>
      </c>
      <c r="C2191" t="s">
        <v>25</v>
      </c>
      <c r="D2191">
        <v>3.51</v>
      </c>
      <c r="E2191">
        <v>4174.2359999999999</v>
      </c>
      <c r="F2191" t="s">
        <v>415</v>
      </c>
      <c r="G2191" s="31">
        <v>0.46</v>
      </c>
      <c r="L2191">
        <v>14</v>
      </c>
      <c r="M2191">
        <v>14</v>
      </c>
      <c r="N2191" t="s">
        <v>47</v>
      </c>
      <c r="O2191">
        <v>0.68</v>
      </c>
      <c r="P2191">
        <v>25427.838</v>
      </c>
      <c r="Q2191" t="s">
        <v>524</v>
      </c>
      <c r="R2191" s="31">
        <v>24.49</v>
      </c>
    </row>
    <row r="2192" spans="1:18" x14ac:dyDescent="0.3">
      <c r="A2192">
        <v>29</v>
      </c>
      <c r="B2192">
        <v>29</v>
      </c>
      <c r="C2192" t="s">
        <v>26</v>
      </c>
      <c r="D2192">
        <v>1.05</v>
      </c>
      <c r="E2192">
        <v>1472.422</v>
      </c>
      <c r="F2192" t="s">
        <v>416</v>
      </c>
      <c r="G2192" s="31">
        <v>0.93</v>
      </c>
      <c r="L2192">
        <v>15</v>
      </c>
      <c r="M2192">
        <v>15</v>
      </c>
      <c r="N2192" t="s">
        <v>48</v>
      </c>
      <c r="O2192">
        <v>1.22</v>
      </c>
      <c r="P2192">
        <v>15675.214</v>
      </c>
      <c r="Q2192" t="s">
        <v>525</v>
      </c>
      <c r="R2192" s="31">
        <v>4.42</v>
      </c>
    </row>
    <row r="2193" spans="1:18" x14ac:dyDescent="0.3">
      <c r="A2193">
        <v>30</v>
      </c>
      <c r="B2193">
        <v>30</v>
      </c>
      <c r="C2193" t="s">
        <v>27</v>
      </c>
      <c r="D2193">
        <v>4.32</v>
      </c>
      <c r="E2193">
        <v>2188.9209999999998</v>
      </c>
      <c r="F2193" t="s">
        <v>417</v>
      </c>
      <c r="G2193" s="31">
        <v>0.1</v>
      </c>
      <c r="L2193">
        <v>16</v>
      </c>
      <c r="M2193">
        <v>16</v>
      </c>
      <c r="N2193" t="s">
        <v>53</v>
      </c>
      <c r="O2193">
        <v>4.5599999999999996</v>
      </c>
      <c r="P2193">
        <v>17931.811000000002</v>
      </c>
      <c r="Q2193" t="s">
        <v>526</v>
      </c>
      <c r="R2193" s="31">
        <v>0.45</v>
      </c>
    </row>
    <row r="2194" spans="1:18" x14ac:dyDescent="0.3">
      <c r="A2194">
        <v>31</v>
      </c>
      <c r="B2194">
        <v>31</v>
      </c>
      <c r="C2194" t="s">
        <v>28</v>
      </c>
      <c r="D2194">
        <v>3</v>
      </c>
      <c r="E2194">
        <v>301660.53100000002</v>
      </c>
      <c r="F2194" t="s">
        <v>418</v>
      </c>
      <c r="G2194" s="31">
        <v>1.05</v>
      </c>
      <c r="L2194">
        <v>17</v>
      </c>
      <c r="M2194">
        <v>17</v>
      </c>
      <c r="N2194" t="s">
        <v>54</v>
      </c>
      <c r="O2194">
        <v>5.26</v>
      </c>
      <c r="P2194">
        <v>42.887</v>
      </c>
      <c r="Q2194" t="s">
        <v>527</v>
      </c>
      <c r="R2194" s="31">
        <v>0.1</v>
      </c>
    </row>
    <row r="2195" spans="1:18" x14ac:dyDescent="0.3">
      <c r="A2195">
        <v>32</v>
      </c>
      <c r="B2195">
        <v>32</v>
      </c>
      <c r="C2195" t="s">
        <v>29</v>
      </c>
      <c r="D2195">
        <v>3.35</v>
      </c>
      <c r="E2195">
        <v>592.91700000000003</v>
      </c>
      <c r="F2195" t="s">
        <v>419</v>
      </c>
      <c r="G2195" s="31">
        <v>0.06</v>
      </c>
      <c r="L2195">
        <v>18</v>
      </c>
      <c r="M2195">
        <v>18</v>
      </c>
      <c r="N2195" t="s">
        <v>55</v>
      </c>
      <c r="O2195">
        <v>1.32</v>
      </c>
      <c r="P2195">
        <v>1389.5930000000001</v>
      </c>
      <c r="Q2195" t="s">
        <v>528</v>
      </c>
      <c r="R2195" s="31">
        <v>0.1</v>
      </c>
    </row>
    <row r="2196" spans="1:18" x14ac:dyDescent="0.3">
      <c r="A2196">
        <v>33</v>
      </c>
      <c r="B2196">
        <v>33</v>
      </c>
      <c r="C2196" t="s">
        <v>30</v>
      </c>
      <c r="D2196">
        <v>4.67</v>
      </c>
      <c r="E2196">
        <v>323841.15600000002</v>
      </c>
      <c r="F2196" t="s">
        <v>420</v>
      </c>
      <c r="G2196" s="31">
        <v>3.21</v>
      </c>
      <c r="L2196">
        <v>19</v>
      </c>
      <c r="M2196">
        <v>19</v>
      </c>
      <c r="N2196" t="s">
        <v>56</v>
      </c>
      <c r="O2196">
        <v>0.88</v>
      </c>
      <c r="P2196">
        <v>29261.23</v>
      </c>
      <c r="Q2196" t="s">
        <v>529</v>
      </c>
      <c r="R2196" s="31">
        <v>2.99</v>
      </c>
    </row>
    <row r="2197" spans="1:18" x14ac:dyDescent="0.3">
      <c r="A2197">
        <v>34</v>
      </c>
      <c r="B2197">
        <v>34</v>
      </c>
      <c r="C2197" t="s">
        <v>31</v>
      </c>
      <c r="D2197">
        <v>3.26</v>
      </c>
      <c r="E2197">
        <v>5391.308</v>
      </c>
      <c r="F2197" t="s">
        <v>421</v>
      </c>
      <c r="G2197" s="31">
        <v>0.26</v>
      </c>
      <c r="L2197">
        <v>20</v>
      </c>
      <c r="M2197">
        <v>20</v>
      </c>
      <c r="N2197" t="s">
        <v>57</v>
      </c>
      <c r="O2197">
        <v>1.52</v>
      </c>
      <c r="P2197">
        <v>505.87900000000002</v>
      </c>
      <c r="Q2197" t="s">
        <v>530</v>
      </c>
      <c r="R2197" s="31">
        <v>0.38</v>
      </c>
    </row>
    <row r="2198" spans="1:18" x14ac:dyDescent="0.3">
      <c r="A2198">
        <v>35</v>
      </c>
      <c r="B2198">
        <v>35</v>
      </c>
      <c r="C2198" t="s">
        <v>32</v>
      </c>
      <c r="D2198">
        <v>3.06</v>
      </c>
      <c r="E2198">
        <v>211.25800000000001</v>
      </c>
      <c r="F2198" t="s">
        <v>422</v>
      </c>
      <c r="G2198" s="31">
        <v>0.11</v>
      </c>
      <c r="L2198">
        <v>21</v>
      </c>
      <c r="M2198">
        <v>21</v>
      </c>
      <c r="N2198" t="s">
        <v>58</v>
      </c>
      <c r="O2198">
        <v>2.34</v>
      </c>
      <c r="P2198">
        <v>491.762</v>
      </c>
      <c r="Q2198" t="s">
        <v>531</v>
      </c>
      <c r="R2198" s="31">
        <v>0.61</v>
      </c>
    </row>
    <row r="2199" spans="1:18" x14ac:dyDescent="0.3">
      <c r="A2199">
        <v>36</v>
      </c>
      <c r="B2199">
        <v>36</v>
      </c>
      <c r="C2199" t="s">
        <v>33</v>
      </c>
      <c r="D2199">
        <v>1.9</v>
      </c>
      <c r="E2199">
        <v>174960.641</v>
      </c>
      <c r="F2199" t="s">
        <v>423</v>
      </c>
      <c r="G2199" s="31">
        <v>66.33</v>
      </c>
      <c r="L2199">
        <v>22</v>
      </c>
      <c r="M2199">
        <v>22</v>
      </c>
      <c r="N2199" t="s">
        <v>59</v>
      </c>
      <c r="O2199">
        <v>2.5099999999999998</v>
      </c>
      <c r="P2199">
        <v>82807.75</v>
      </c>
      <c r="Q2199" t="s">
        <v>532</v>
      </c>
      <c r="R2199" s="31">
        <v>23.96</v>
      </c>
    </row>
    <row r="2200" spans="1:18" x14ac:dyDescent="0.3">
      <c r="G2200" s="31">
        <f>G2177/G2179</f>
        <v>1.3333333333333335</v>
      </c>
      <c r="L2200">
        <v>23</v>
      </c>
      <c r="M2200">
        <v>23</v>
      </c>
      <c r="N2200" t="s">
        <v>60</v>
      </c>
      <c r="O2200">
        <v>2.87</v>
      </c>
      <c r="P2200">
        <v>15506.004999999999</v>
      </c>
      <c r="Q2200" t="s">
        <v>533</v>
      </c>
      <c r="R2200" s="31">
        <v>2.29</v>
      </c>
    </row>
    <row r="2201" spans="1:18" x14ac:dyDescent="0.3">
      <c r="A2201" t="s">
        <v>379</v>
      </c>
    </row>
    <row r="2202" spans="1:18" x14ac:dyDescent="0.3">
      <c r="L2202" t="s">
        <v>379</v>
      </c>
    </row>
    <row r="2203" spans="1:18" x14ac:dyDescent="0.3">
      <c r="A2203" t="s">
        <v>456</v>
      </c>
    </row>
    <row r="2204" spans="1:18" x14ac:dyDescent="0.3">
      <c r="L2204" t="s">
        <v>604</v>
      </c>
    </row>
    <row r="2205" spans="1:18" x14ac:dyDescent="0.3">
      <c r="A2205" t="s">
        <v>474</v>
      </c>
    </row>
    <row r="2206" spans="1:18" x14ac:dyDescent="0.3">
      <c r="L2206" t="s">
        <v>606</v>
      </c>
    </row>
    <row r="2207" spans="1:18" x14ac:dyDescent="0.3">
      <c r="B2207" t="s">
        <v>382</v>
      </c>
      <c r="C2207" t="s">
        <v>383</v>
      </c>
      <c r="D2207" t="s">
        <v>384</v>
      </c>
      <c r="E2207" t="s">
        <v>385</v>
      </c>
      <c r="F2207" t="s">
        <v>386</v>
      </c>
      <c r="G2207" s="31" t="s">
        <v>387</v>
      </c>
    </row>
    <row r="2208" spans="1:18" x14ac:dyDescent="0.3">
      <c r="A2208">
        <v>1</v>
      </c>
      <c r="B2208">
        <v>1</v>
      </c>
      <c r="C2208" t="s">
        <v>0</v>
      </c>
      <c r="D2208">
        <v>1.01</v>
      </c>
      <c r="E2208">
        <v>5090.8040000000001</v>
      </c>
      <c r="F2208" t="s">
        <v>388</v>
      </c>
      <c r="G2208" s="31">
        <v>32.26</v>
      </c>
      <c r="M2208" t="s">
        <v>382</v>
      </c>
      <c r="N2208" t="s">
        <v>383</v>
      </c>
      <c r="O2208" t="s">
        <v>384</v>
      </c>
      <c r="P2208" t="s">
        <v>385</v>
      </c>
      <c r="Q2208" t="s">
        <v>386</v>
      </c>
      <c r="R2208" s="31" t="s">
        <v>387</v>
      </c>
    </row>
    <row r="2209" spans="1:18" x14ac:dyDescent="0.3">
      <c r="A2209">
        <v>2</v>
      </c>
      <c r="B2209">
        <v>2</v>
      </c>
      <c r="C2209" t="s">
        <v>1</v>
      </c>
      <c r="D2209">
        <v>1.44</v>
      </c>
      <c r="E2209">
        <v>17999.817999999999</v>
      </c>
      <c r="F2209" t="s">
        <v>389</v>
      </c>
      <c r="G2209" s="31">
        <v>20.12</v>
      </c>
      <c r="L2209">
        <v>1</v>
      </c>
      <c r="M2209">
        <v>1</v>
      </c>
      <c r="N2209" t="s">
        <v>35</v>
      </c>
      <c r="O2209">
        <v>1.45</v>
      </c>
      <c r="P2209">
        <v>4888.3059999999996</v>
      </c>
      <c r="Q2209" t="s">
        <v>511</v>
      </c>
      <c r="R2209" s="31">
        <v>19.34</v>
      </c>
    </row>
    <row r="2210" spans="1:18" x14ac:dyDescent="0.3">
      <c r="A2210">
        <v>3</v>
      </c>
      <c r="B2210">
        <v>3</v>
      </c>
      <c r="C2210" t="s">
        <v>50</v>
      </c>
      <c r="D2210">
        <v>3.57</v>
      </c>
      <c r="E2210">
        <v>434.66699999999997</v>
      </c>
      <c r="F2210" t="s">
        <v>390</v>
      </c>
      <c r="G2210" s="31">
        <v>0.24</v>
      </c>
      <c r="L2210">
        <v>2</v>
      </c>
      <c r="M2210">
        <v>2</v>
      </c>
      <c r="N2210" t="s">
        <v>36</v>
      </c>
      <c r="O2210">
        <v>1.67</v>
      </c>
      <c r="P2210">
        <v>3071714.25</v>
      </c>
      <c r="Q2210" t="s">
        <v>512</v>
      </c>
      <c r="R2210" s="31">
        <v>801.19</v>
      </c>
    </row>
    <row r="2211" spans="1:18" x14ac:dyDescent="0.3">
      <c r="A2211">
        <v>4</v>
      </c>
      <c r="B2211">
        <v>4</v>
      </c>
      <c r="C2211" t="s">
        <v>2</v>
      </c>
      <c r="D2211">
        <v>3.68</v>
      </c>
      <c r="E2211">
        <v>29921.076000000001</v>
      </c>
      <c r="F2211" t="s">
        <v>391</v>
      </c>
      <c r="G2211" s="31">
        <v>1.45</v>
      </c>
      <c r="L2211">
        <v>3</v>
      </c>
      <c r="M2211">
        <v>3</v>
      </c>
      <c r="N2211" t="s">
        <v>37</v>
      </c>
      <c r="O2211">
        <v>1.81</v>
      </c>
      <c r="P2211">
        <v>472.21699999999998</v>
      </c>
      <c r="Q2211" t="s">
        <v>513</v>
      </c>
      <c r="R2211" s="31">
        <v>0.33</v>
      </c>
    </row>
    <row r="2212" spans="1:18" x14ac:dyDescent="0.3">
      <c r="A2212">
        <v>5</v>
      </c>
      <c r="B2212">
        <v>5</v>
      </c>
      <c r="C2212" t="s">
        <v>3</v>
      </c>
      <c r="D2212">
        <v>4.47</v>
      </c>
      <c r="E2212">
        <v>356.12</v>
      </c>
      <c r="F2212" t="s">
        <v>392</v>
      </c>
      <c r="G2212" s="31">
        <v>0.3</v>
      </c>
      <c r="L2212">
        <v>4</v>
      </c>
      <c r="M2212">
        <v>4</v>
      </c>
      <c r="N2212" t="s">
        <v>38</v>
      </c>
      <c r="O2212">
        <v>1.18</v>
      </c>
      <c r="P2212">
        <v>4642.8410000000003</v>
      </c>
      <c r="Q2212" t="s">
        <v>514</v>
      </c>
      <c r="R2212" s="31">
        <v>1.59</v>
      </c>
    </row>
    <row r="2213" spans="1:18" x14ac:dyDescent="0.3">
      <c r="A2213">
        <v>6</v>
      </c>
      <c r="B2213">
        <v>6</v>
      </c>
      <c r="C2213" t="s">
        <v>4</v>
      </c>
      <c r="D2213">
        <v>4.79</v>
      </c>
      <c r="E2213">
        <v>89205.968999999997</v>
      </c>
      <c r="F2213" t="s">
        <v>393</v>
      </c>
      <c r="G2213" s="31">
        <v>3.05</v>
      </c>
      <c r="L2213">
        <v>5</v>
      </c>
      <c r="M2213">
        <v>5</v>
      </c>
      <c r="N2213" t="s">
        <v>39</v>
      </c>
      <c r="O2213">
        <v>1.38</v>
      </c>
      <c r="P2213">
        <v>170869.84400000001</v>
      </c>
      <c r="Q2213" t="s">
        <v>515</v>
      </c>
      <c r="R2213" s="31">
        <v>71.69</v>
      </c>
    </row>
    <row r="2214" spans="1:18" x14ac:dyDescent="0.3">
      <c r="A2214">
        <v>7</v>
      </c>
      <c r="B2214">
        <v>7</v>
      </c>
      <c r="C2214" t="s">
        <v>5</v>
      </c>
      <c r="D2214">
        <v>2.71</v>
      </c>
      <c r="E2214">
        <v>1840.7190000000001</v>
      </c>
      <c r="F2214" t="s">
        <v>394</v>
      </c>
      <c r="G2214" s="31">
        <v>0.23</v>
      </c>
      <c r="L2214">
        <v>6</v>
      </c>
      <c r="M2214">
        <v>6</v>
      </c>
      <c r="N2214" t="s">
        <v>40</v>
      </c>
      <c r="O2214">
        <v>1.53</v>
      </c>
      <c r="P2214">
        <v>17037.258000000002</v>
      </c>
      <c r="Q2214" t="s">
        <v>516</v>
      </c>
      <c r="R2214" s="31">
        <v>3.86</v>
      </c>
    </row>
    <row r="2215" spans="1:18" x14ac:dyDescent="0.3">
      <c r="A2215">
        <v>8</v>
      </c>
      <c r="B2215">
        <v>8</v>
      </c>
      <c r="C2215" t="s">
        <v>6</v>
      </c>
      <c r="D2215">
        <v>0.66</v>
      </c>
      <c r="E2215">
        <v>5986.4549999999999</v>
      </c>
      <c r="F2215" t="s">
        <v>395</v>
      </c>
      <c r="G2215" s="31">
        <v>54.62</v>
      </c>
      <c r="L2215">
        <v>7</v>
      </c>
      <c r="M2215">
        <v>7</v>
      </c>
      <c r="N2215" t="s">
        <v>41</v>
      </c>
      <c r="O2215">
        <v>2.29</v>
      </c>
      <c r="P2215">
        <v>2256.5279999999998</v>
      </c>
      <c r="Q2215" t="s">
        <v>517</v>
      </c>
      <c r="R2215" s="31">
        <v>4.78</v>
      </c>
    </row>
    <row r="2216" spans="1:18" x14ac:dyDescent="0.3">
      <c r="A2216">
        <v>9</v>
      </c>
      <c r="B2216">
        <v>9</v>
      </c>
      <c r="C2216" t="s">
        <v>7</v>
      </c>
      <c r="D2216">
        <v>3.56</v>
      </c>
      <c r="E2216">
        <v>1115.4760000000001</v>
      </c>
      <c r="F2216" t="s">
        <v>396</v>
      </c>
      <c r="G2216" s="31">
        <v>2.2999999999999998</v>
      </c>
      <c r="L2216">
        <v>8</v>
      </c>
      <c r="M2216">
        <v>8</v>
      </c>
      <c r="N2216" t="s">
        <v>42</v>
      </c>
      <c r="O2216">
        <v>0.89</v>
      </c>
      <c r="P2216">
        <v>1270.242</v>
      </c>
      <c r="Q2216" t="s">
        <v>518</v>
      </c>
      <c r="R2216" s="31">
        <v>42.26</v>
      </c>
    </row>
    <row r="2217" spans="1:18" x14ac:dyDescent="0.3">
      <c r="A2217">
        <v>10</v>
      </c>
      <c r="B2217">
        <v>10</v>
      </c>
      <c r="C2217" t="s">
        <v>51</v>
      </c>
      <c r="D2217">
        <v>4.6100000000000003</v>
      </c>
      <c r="E2217">
        <v>1824.3910000000001</v>
      </c>
      <c r="F2217" t="s">
        <v>397</v>
      </c>
      <c r="G2217" s="31">
        <v>0.28000000000000003</v>
      </c>
      <c r="L2217">
        <v>9</v>
      </c>
      <c r="M2217">
        <v>9</v>
      </c>
      <c r="N2217" t="s">
        <v>43</v>
      </c>
      <c r="O2217">
        <v>2.5499999999999998</v>
      </c>
      <c r="P2217">
        <v>4999.7470000000003</v>
      </c>
      <c r="Q2217" t="s">
        <v>519</v>
      </c>
      <c r="R2217" s="31">
        <v>0.18</v>
      </c>
    </row>
    <row r="2218" spans="1:18" x14ac:dyDescent="0.3">
      <c r="A2218">
        <v>11</v>
      </c>
      <c r="B2218">
        <v>11</v>
      </c>
      <c r="C2218" t="s">
        <v>8</v>
      </c>
      <c r="D2218">
        <v>2.73</v>
      </c>
      <c r="E2218">
        <v>126286.914</v>
      </c>
      <c r="F2218" t="s">
        <v>398</v>
      </c>
      <c r="G2218" s="31">
        <v>4.97</v>
      </c>
      <c r="L2218">
        <v>10</v>
      </c>
      <c r="M2218">
        <v>10</v>
      </c>
      <c r="N2218" t="s">
        <v>52</v>
      </c>
      <c r="O2218">
        <v>4.1500000000000004</v>
      </c>
      <c r="P2218">
        <v>1861.9469999999999</v>
      </c>
      <c r="Q2218" t="s">
        <v>520</v>
      </c>
      <c r="R2218" s="31">
        <v>0.1</v>
      </c>
    </row>
    <row r="2219" spans="1:18" x14ac:dyDescent="0.3">
      <c r="A2219">
        <v>12</v>
      </c>
      <c r="B2219">
        <v>12</v>
      </c>
      <c r="C2219" t="s">
        <v>9</v>
      </c>
      <c r="D2219">
        <v>2.58</v>
      </c>
      <c r="E2219">
        <v>7297.5460000000003</v>
      </c>
      <c r="F2219" t="s">
        <v>399</v>
      </c>
      <c r="G2219" s="31">
        <v>1.98</v>
      </c>
      <c r="L2219">
        <v>11</v>
      </c>
      <c r="M2219">
        <v>11</v>
      </c>
      <c r="N2219" t="s">
        <v>44</v>
      </c>
      <c r="O2219">
        <v>4.18</v>
      </c>
      <c r="P2219">
        <v>542.053</v>
      </c>
      <c r="Q2219" t="s">
        <v>521</v>
      </c>
      <c r="R2219" s="31">
        <v>0.36</v>
      </c>
    </row>
    <row r="2220" spans="1:18" x14ac:dyDescent="0.3">
      <c r="A2220">
        <v>13</v>
      </c>
      <c r="B2220">
        <v>13</v>
      </c>
      <c r="C2220" t="s">
        <v>10</v>
      </c>
      <c r="D2220">
        <v>4.08</v>
      </c>
      <c r="E2220">
        <v>1859397.375</v>
      </c>
      <c r="F2220" t="s">
        <v>400</v>
      </c>
      <c r="G2220" s="31">
        <v>129.80000000000001</v>
      </c>
      <c r="L2220">
        <v>12</v>
      </c>
      <c r="M2220">
        <v>12</v>
      </c>
      <c r="N2220" t="s">
        <v>45</v>
      </c>
      <c r="O2220">
        <v>3.45</v>
      </c>
      <c r="P2220">
        <v>881622.93799999997</v>
      </c>
      <c r="Q2220" t="s">
        <v>522</v>
      </c>
      <c r="R2220" s="31">
        <v>37.85</v>
      </c>
    </row>
    <row r="2221" spans="1:18" x14ac:dyDescent="0.3">
      <c r="A2221">
        <v>14</v>
      </c>
      <c r="B2221">
        <v>14</v>
      </c>
      <c r="C2221" t="s">
        <v>11</v>
      </c>
      <c r="D2221">
        <v>3.52</v>
      </c>
      <c r="E2221">
        <v>22.437000000000001</v>
      </c>
      <c r="F2221" t="s">
        <v>401</v>
      </c>
      <c r="G2221" s="31">
        <v>1.66</v>
      </c>
      <c r="L2221">
        <v>13</v>
      </c>
      <c r="M2221">
        <v>13</v>
      </c>
      <c r="N2221" t="s">
        <v>46</v>
      </c>
      <c r="O2221">
        <v>2.6</v>
      </c>
      <c r="P2221">
        <v>166808.625</v>
      </c>
      <c r="Q2221" t="s">
        <v>523</v>
      </c>
      <c r="R2221" s="31">
        <v>17.62</v>
      </c>
    </row>
    <row r="2222" spans="1:18" x14ac:dyDescent="0.3">
      <c r="A2222">
        <v>15</v>
      </c>
      <c r="B2222">
        <v>15</v>
      </c>
      <c r="C2222" t="s">
        <v>12</v>
      </c>
      <c r="D2222">
        <v>3.33</v>
      </c>
      <c r="E2222">
        <v>365.63200000000001</v>
      </c>
      <c r="F2222" t="s">
        <v>402</v>
      </c>
      <c r="G2222" s="31">
        <v>1.28</v>
      </c>
      <c r="L2222">
        <v>14</v>
      </c>
      <c r="M2222">
        <v>14</v>
      </c>
      <c r="N2222" t="s">
        <v>47</v>
      </c>
      <c r="O2222">
        <v>0.68</v>
      </c>
      <c r="P2222">
        <v>26100.030999999999</v>
      </c>
      <c r="Q2222" t="s">
        <v>524</v>
      </c>
      <c r="R2222" s="31">
        <v>26.88</v>
      </c>
    </row>
    <row r="2223" spans="1:18" x14ac:dyDescent="0.3">
      <c r="A2223">
        <v>16</v>
      </c>
      <c r="B2223">
        <v>16</v>
      </c>
      <c r="C2223" t="s">
        <v>13</v>
      </c>
      <c r="D2223">
        <v>3.22</v>
      </c>
      <c r="E2223">
        <v>9472.9359999999997</v>
      </c>
      <c r="F2223" t="s">
        <v>403</v>
      </c>
      <c r="G2223" s="31">
        <v>1.4</v>
      </c>
      <c r="L2223">
        <v>15</v>
      </c>
      <c r="M2223">
        <v>15</v>
      </c>
      <c r="N2223" t="s">
        <v>48</v>
      </c>
      <c r="O2223">
        <v>1.22</v>
      </c>
      <c r="P2223">
        <v>20252.574000000001</v>
      </c>
      <c r="Q2223" t="s">
        <v>525</v>
      </c>
      <c r="R2223" s="31">
        <v>6.28</v>
      </c>
    </row>
    <row r="2224" spans="1:18" x14ac:dyDescent="0.3">
      <c r="A2224">
        <v>17</v>
      </c>
      <c r="B2224">
        <v>17</v>
      </c>
      <c r="C2224" t="s">
        <v>14</v>
      </c>
      <c r="D2224">
        <v>2</v>
      </c>
      <c r="E2224">
        <v>25075.66</v>
      </c>
      <c r="F2224" t="s">
        <v>404</v>
      </c>
      <c r="G2224" s="31">
        <v>3.17</v>
      </c>
      <c r="L2224">
        <v>16</v>
      </c>
      <c r="M2224">
        <v>16</v>
      </c>
      <c r="N2224" t="s">
        <v>53</v>
      </c>
      <c r="O2224">
        <v>4.57</v>
      </c>
      <c r="P2224">
        <v>25635.348000000002</v>
      </c>
      <c r="Q2224" t="s">
        <v>526</v>
      </c>
      <c r="R2224" s="31">
        <v>0.73</v>
      </c>
    </row>
    <row r="2225" spans="1:18" x14ac:dyDescent="0.3">
      <c r="A2225">
        <v>18</v>
      </c>
      <c r="B2225">
        <v>18</v>
      </c>
      <c r="C2225" t="s">
        <v>15</v>
      </c>
      <c r="D2225">
        <v>2.4500000000000002</v>
      </c>
      <c r="E2225">
        <v>38379.605000000003</v>
      </c>
      <c r="F2225" t="s">
        <v>405</v>
      </c>
      <c r="G2225" s="31">
        <v>14.17</v>
      </c>
      <c r="L2225">
        <v>17</v>
      </c>
      <c r="M2225">
        <v>17</v>
      </c>
      <c r="N2225" t="s">
        <v>54</v>
      </c>
      <c r="O2225">
        <v>5.26</v>
      </c>
      <c r="P2225">
        <v>62.448</v>
      </c>
      <c r="Q2225" t="s">
        <v>527</v>
      </c>
      <c r="R2225" s="31">
        <v>0.1</v>
      </c>
    </row>
    <row r="2226" spans="1:18" x14ac:dyDescent="0.3">
      <c r="A2226">
        <v>19</v>
      </c>
      <c r="B2226">
        <v>19</v>
      </c>
      <c r="C2226" t="s">
        <v>16</v>
      </c>
      <c r="D2226">
        <v>2.69</v>
      </c>
      <c r="E2226">
        <v>6760.0969999999998</v>
      </c>
      <c r="F2226" t="s">
        <v>406</v>
      </c>
      <c r="G2226" s="31">
        <v>0.31</v>
      </c>
      <c r="L2226">
        <v>18</v>
      </c>
      <c r="M2226">
        <v>18</v>
      </c>
      <c r="N2226" t="s">
        <v>55</v>
      </c>
      <c r="O2226">
        <v>1.32</v>
      </c>
      <c r="P2226">
        <v>2828.5079999999998</v>
      </c>
      <c r="Q2226" t="s">
        <v>528</v>
      </c>
      <c r="R2226" s="31">
        <v>0.24</v>
      </c>
    </row>
    <row r="2227" spans="1:18" x14ac:dyDescent="0.3">
      <c r="A2227">
        <v>20</v>
      </c>
      <c r="B2227">
        <v>20</v>
      </c>
      <c r="C2227" t="s">
        <v>17</v>
      </c>
      <c r="D2227">
        <v>3.13</v>
      </c>
      <c r="E2227">
        <v>14272.451999999999</v>
      </c>
      <c r="F2227" t="s">
        <v>407</v>
      </c>
      <c r="G2227" s="31">
        <v>2.16</v>
      </c>
      <c r="L2227">
        <v>19</v>
      </c>
      <c r="M2227">
        <v>19</v>
      </c>
      <c r="N2227" t="s">
        <v>56</v>
      </c>
      <c r="O2227">
        <v>0.87</v>
      </c>
      <c r="P2227">
        <v>45170.972999999998</v>
      </c>
      <c r="Q2227" t="s">
        <v>529</v>
      </c>
      <c r="R2227" s="31">
        <v>5.63</v>
      </c>
    </row>
    <row r="2228" spans="1:18" x14ac:dyDescent="0.3">
      <c r="A2228">
        <v>21</v>
      </c>
      <c r="B2228">
        <v>21</v>
      </c>
      <c r="C2228" t="s">
        <v>18</v>
      </c>
      <c r="D2228">
        <v>3.68</v>
      </c>
      <c r="E2228">
        <v>33623.805</v>
      </c>
      <c r="F2228" t="s">
        <v>408</v>
      </c>
      <c r="G2228" s="31">
        <v>1.2</v>
      </c>
      <c r="L2228">
        <v>20</v>
      </c>
      <c r="M2228">
        <v>20</v>
      </c>
      <c r="N2228" t="s">
        <v>57</v>
      </c>
      <c r="O2228">
        <v>1.51</v>
      </c>
      <c r="P2228">
        <v>242.70699999999999</v>
      </c>
      <c r="Q2228" t="s">
        <v>530</v>
      </c>
      <c r="R2228" s="31">
        <v>0.19</v>
      </c>
    </row>
    <row r="2229" spans="1:18" x14ac:dyDescent="0.3">
      <c r="A2229">
        <v>22</v>
      </c>
      <c r="B2229">
        <v>22</v>
      </c>
      <c r="C2229" t="s">
        <v>19</v>
      </c>
      <c r="D2229">
        <v>2.59</v>
      </c>
      <c r="E2229">
        <v>54378.824000000001</v>
      </c>
      <c r="F2229" t="s">
        <v>409</v>
      </c>
      <c r="G2229" s="31">
        <v>4.4400000000000004</v>
      </c>
      <c r="L2229">
        <v>21</v>
      </c>
      <c r="M2229">
        <v>21</v>
      </c>
      <c r="N2229" t="s">
        <v>58</v>
      </c>
      <c r="O2229">
        <v>2.44</v>
      </c>
      <c r="P2229">
        <v>86.031999999999996</v>
      </c>
      <c r="Q2229" t="s">
        <v>531</v>
      </c>
      <c r="R2229" s="31">
        <v>0.16</v>
      </c>
    </row>
    <row r="2230" spans="1:18" x14ac:dyDescent="0.3">
      <c r="A2230">
        <v>23</v>
      </c>
      <c r="B2230">
        <v>23</v>
      </c>
      <c r="C2230" t="s">
        <v>20</v>
      </c>
      <c r="D2230">
        <v>2.88</v>
      </c>
      <c r="E2230">
        <v>27811.525000000001</v>
      </c>
      <c r="F2230" t="s">
        <v>410</v>
      </c>
      <c r="G2230" s="31">
        <v>1.34</v>
      </c>
      <c r="L2230">
        <v>22</v>
      </c>
      <c r="M2230">
        <v>22</v>
      </c>
      <c r="N2230" t="s">
        <v>59</v>
      </c>
      <c r="O2230">
        <v>2.5</v>
      </c>
      <c r="P2230">
        <v>12131.876</v>
      </c>
      <c r="Q2230" t="s">
        <v>532</v>
      </c>
      <c r="R2230" s="31">
        <v>3.35</v>
      </c>
    </row>
    <row r="2231" spans="1:18" x14ac:dyDescent="0.3">
      <c r="A2231">
        <v>24</v>
      </c>
      <c r="B2231">
        <v>24</v>
      </c>
      <c r="C2231" t="s">
        <v>21</v>
      </c>
      <c r="D2231">
        <v>4.13</v>
      </c>
      <c r="E2231">
        <v>494.255</v>
      </c>
      <c r="F2231" t="s">
        <v>411</v>
      </c>
      <c r="G2231" s="31">
        <v>0.12</v>
      </c>
      <c r="L2231">
        <v>23</v>
      </c>
      <c r="M2231">
        <v>23</v>
      </c>
      <c r="N2231" t="s">
        <v>60</v>
      </c>
      <c r="O2231">
        <v>2.58</v>
      </c>
      <c r="P2231">
        <v>16966.400000000001</v>
      </c>
      <c r="Q2231" t="s">
        <v>533</v>
      </c>
      <c r="R2231" s="31">
        <v>2.63</v>
      </c>
    </row>
    <row r="2232" spans="1:18" x14ac:dyDescent="0.3">
      <c r="A2232">
        <v>25</v>
      </c>
      <c r="B2232">
        <v>25</v>
      </c>
      <c r="C2232" t="s">
        <v>22</v>
      </c>
      <c r="D2232">
        <v>3.41</v>
      </c>
      <c r="E2232">
        <v>395.01600000000002</v>
      </c>
      <c r="F2232" t="s">
        <v>412</v>
      </c>
      <c r="G2232" s="31">
        <v>3.83</v>
      </c>
    </row>
    <row r="2233" spans="1:18" x14ac:dyDescent="0.3">
      <c r="A2233">
        <v>26</v>
      </c>
      <c r="B2233">
        <v>26</v>
      </c>
      <c r="C2233" t="s">
        <v>23</v>
      </c>
      <c r="D2233">
        <v>3.35</v>
      </c>
      <c r="E2233">
        <v>205776.25</v>
      </c>
      <c r="F2233" t="s">
        <v>413</v>
      </c>
      <c r="G2233" s="31">
        <v>14.9</v>
      </c>
      <c r="L2233" t="s">
        <v>379</v>
      </c>
    </row>
    <row r="2234" spans="1:18" x14ac:dyDescent="0.3">
      <c r="A2234">
        <v>27</v>
      </c>
      <c r="B2234">
        <v>27</v>
      </c>
      <c r="C2234" t="s">
        <v>24</v>
      </c>
      <c r="D2234">
        <v>3.43</v>
      </c>
      <c r="E2234">
        <v>9833.7790000000005</v>
      </c>
      <c r="F2234" t="s">
        <v>414</v>
      </c>
      <c r="G2234" s="31">
        <v>6.14</v>
      </c>
    </row>
    <row r="2235" spans="1:18" x14ac:dyDescent="0.3">
      <c r="A2235">
        <v>28</v>
      </c>
      <c r="B2235">
        <v>28</v>
      </c>
      <c r="C2235" t="s">
        <v>25</v>
      </c>
      <c r="D2235">
        <v>3.51</v>
      </c>
      <c r="E2235">
        <v>42886.366999999998</v>
      </c>
      <c r="F2235" t="s">
        <v>415</v>
      </c>
      <c r="G2235" s="31">
        <v>4.82</v>
      </c>
      <c r="L2235" t="s">
        <v>604</v>
      </c>
    </row>
    <row r="2236" spans="1:18" x14ac:dyDescent="0.3">
      <c r="A2236">
        <v>29</v>
      </c>
      <c r="B2236">
        <v>29</v>
      </c>
      <c r="C2236" t="s">
        <v>26</v>
      </c>
      <c r="D2236">
        <v>1.03</v>
      </c>
      <c r="E2236">
        <v>5606.7610000000004</v>
      </c>
      <c r="F2236" t="s">
        <v>416</v>
      </c>
      <c r="G2236" s="31">
        <v>4.07</v>
      </c>
    </row>
    <row r="2237" spans="1:18" x14ac:dyDescent="0.3">
      <c r="A2237">
        <v>30</v>
      </c>
      <c r="B2237">
        <v>30</v>
      </c>
      <c r="C2237" t="s">
        <v>27</v>
      </c>
      <c r="D2237">
        <v>4.33</v>
      </c>
      <c r="E2237">
        <v>1896.42</v>
      </c>
      <c r="F2237" t="s">
        <v>417</v>
      </c>
      <c r="G2237" s="31">
        <v>0.12</v>
      </c>
      <c r="L2237" t="s">
        <v>607</v>
      </c>
    </row>
    <row r="2238" spans="1:18" x14ac:dyDescent="0.3">
      <c r="A2238">
        <v>31</v>
      </c>
      <c r="B2238">
        <v>31</v>
      </c>
      <c r="C2238" t="s">
        <v>28</v>
      </c>
      <c r="D2238">
        <v>3</v>
      </c>
      <c r="E2238">
        <v>69583.460999999996</v>
      </c>
      <c r="F2238" t="s">
        <v>418</v>
      </c>
      <c r="G2238" s="31">
        <v>0.24</v>
      </c>
    </row>
    <row r="2239" spans="1:18" x14ac:dyDescent="0.3">
      <c r="A2239">
        <v>32</v>
      </c>
      <c r="B2239">
        <v>32</v>
      </c>
      <c r="C2239" t="s">
        <v>29</v>
      </c>
      <c r="D2239">
        <v>3.34</v>
      </c>
      <c r="E2239">
        <v>932.62699999999995</v>
      </c>
      <c r="F2239" t="s">
        <v>419</v>
      </c>
      <c r="G2239" s="31">
        <v>0.12</v>
      </c>
      <c r="M2239" t="s">
        <v>382</v>
      </c>
      <c r="N2239" t="s">
        <v>383</v>
      </c>
      <c r="O2239" t="s">
        <v>384</v>
      </c>
      <c r="P2239" t="s">
        <v>385</v>
      </c>
      <c r="Q2239" t="s">
        <v>386</v>
      </c>
      <c r="R2239" s="31" t="s">
        <v>387</v>
      </c>
    </row>
    <row r="2240" spans="1:18" x14ac:dyDescent="0.3">
      <c r="A2240">
        <v>33</v>
      </c>
      <c r="B2240">
        <v>33</v>
      </c>
      <c r="C2240" t="s">
        <v>30</v>
      </c>
      <c r="D2240">
        <v>4.67</v>
      </c>
      <c r="E2240">
        <v>105923.898</v>
      </c>
      <c r="F2240" t="s">
        <v>420</v>
      </c>
      <c r="G2240" s="31">
        <v>1.7</v>
      </c>
      <c r="L2240">
        <v>1</v>
      </c>
      <c r="M2240">
        <v>1</v>
      </c>
      <c r="N2240" t="s">
        <v>35</v>
      </c>
      <c r="O2240">
        <v>1.35</v>
      </c>
      <c r="P2240">
        <v>6.3609999999999998</v>
      </c>
      <c r="Q2240" t="s">
        <v>511</v>
      </c>
      <c r="R2240" s="31">
        <v>81.93</v>
      </c>
    </row>
    <row r="2241" spans="1:18" x14ac:dyDescent="0.3">
      <c r="A2241">
        <v>34</v>
      </c>
      <c r="B2241">
        <v>34</v>
      </c>
      <c r="C2241" t="s">
        <v>31</v>
      </c>
      <c r="D2241">
        <v>3.49</v>
      </c>
      <c r="E2241">
        <v>2423.366</v>
      </c>
      <c r="F2241" t="s">
        <v>421</v>
      </c>
      <c r="G2241" s="31">
        <v>0.17</v>
      </c>
      <c r="L2241">
        <v>2</v>
      </c>
      <c r="M2241">
        <v>2</v>
      </c>
      <c r="N2241" t="s">
        <v>36</v>
      </c>
      <c r="O2241">
        <v>1.72</v>
      </c>
      <c r="P2241">
        <v>154.434</v>
      </c>
      <c r="Q2241" t="s">
        <v>512</v>
      </c>
      <c r="R2241" s="31">
        <v>427.87</v>
      </c>
    </row>
    <row r="2242" spans="1:18" x14ac:dyDescent="0.3">
      <c r="A2242">
        <v>35</v>
      </c>
      <c r="B2242">
        <v>35</v>
      </c>
      <c r="C2242" t="s">
        <v>32</v>
      </c>
      <c r="D2242">
        <v>3.06</v>
      </c>
      <c r="E2242">
        <v>669.28200000000004</v>
      </c>
      <c r="F2242" t="s">
        <v>422</v>
      </c>
      <c r="G2242" s="31">
        <v>7.0000000000000007E-2</v>
      </c>
      <c r="L2242">
        <v>3</v>
      </c>
      <c r="M2242">
        <v>3</v>
      </c>
      <c r="N2242" t="s">
        <v>37</v>
      </c>
      <c r="Q2242" t="s">
        <v>513</v>
      </c>
      <c r="R2242" s="31">
        <v>0.1</v>
      </c>
    </row>
    <row r="2243" spans="1:18" x14ac:dyDescent="0.3">
      <c r="A2243">
        <v>36</v>
      </c>
      <c r="B2243">
        <v>36</v>
      </c>
      <c r="C2243" t="s">
        <v>33</v>
      </c>
      <c r="D2243">
        <v>1.87</v>
      </c>
      <c r="E2243">
        <v>3913.2840000000001</v>
      </c>
      <c r="F2243" t="s">
        <v>423</v>
      </c>
      <c r="G2243" s="31">
        <v>2.0699999999999998</v>
      </c>
      <c r="L2243">
        <v>4</v>
      </c>
      <c r="M2243">
        <v>4</v>
      </c>
      <c r="N2243" t="s">
        <v>38</v>
      </c>
      <c r="O2243">
        <v>1.17</v>
      </c>
      <c r="P2243">
        <v>192.77600000000001</v>
      </c>
      <c r="Q2243" t="s">
        <v>514</v>
      </c>
      <c r="R2243" s="31">
        <v>0.87</v>
      </c>
    </row>
    <row r="2244" spans="1:18" x14ac:dyDescent="0.3">
      <c r="G2244" s="31">
        <f>G2221/G2223</f>
        <v>1.1857142857142857</v>
      </c>
      <c r="L2244">
        <v>5</v>
      </c>
      <c r="M2244">
        <v>5</v>
      </c>
      <c r="N2244" t="s">
        <v>39</v>
      </c>
      <c r="O2244">
        <v>1.38</v>
      </c>
      <c r="P2244">
        <v>15.926</v>
      </c>
      <c r="Q2244" t="s">
        <v>515</v>
      </c>
      <c r="R2244" s="31">
        <v>45.82</v>
      </c>
    </row>
    <row r="2245" spans="1:18" x14ac:dyDescent="0.3">
      <c r="A2245" t="s">
        <v>379</v>
      </c>
      <c r="L2245">
        <v>6</v>
      </c>
      <c r="M2245">
        <v>6</v>
      </c>
      <c r="N2245" t="s">
        <v>40</v>
      </c>
      <c r="Q2245" t="s">
        <v>516</v>
      </c>
      <c r="R2245" s="31">
        <v>0.1</v>
      </c>
    </row>
    <row r="2246" spans="1:18" x14ac:dyDescent="0.3">
      <c r="L2246">
        <v>7</v>
      </c>
      <c r="M2246">
        <v>7</v>
      </c>
      <c r="N2246" t="s">
        <v>41</v>
      </c>
      <c r="Q2246" t="s">
        <v>517</v>
      </c>
      <c r="R2246" s="31">
        <v>0.1</v>
      </c>
    </row>
    <row r="2247" spans="1:18" x14ac:dyDescent="0.3">
      <c r="A2247" t="s">
        <v>456</v>
      </c>
      <c r="L2247">
        <v>8</v>
      </c>
      <c r="M2247">
        <v>8</v>
      </c>
      <c r="N2247" t="s">
        <v>42</v>
      </c>
      <c r="Q2247" t="s">
        <v>518</v>
      </c>
      <c r="R2247" s="31">
        <v>0.1</v>
      </c>
    </row>
    <row r="2248" spans="1:18" x14ac:dyDescent="0.3">
      <c r="L2248">
        <v>9</v>
      </c>
      <c r="M2248">
        <v>9</v>
      </c>
      <c r="N2248" t="s">
        <v>43</v>
      </c>
      <c r="O2248">
        <v>2.46</v>
      </c>
      <c r="P2248">
        <v>53.987000000000002</v>
      </c>
      <c r="Q2248" t="s">
        <v>519</v>
      </c>
      <c r="R2248" s="31">
        <v>0.12</v>
      </c>
    </row>
    <row r="2249" spans="1:18" x14ac:dyDescent="0.3">
      <c r="A2249" t="s">
        <v>475</v>
      </c>
      <c r="L2249">
        <v>10</v>
      </c>
      <c r="M2249">
        <v>10</v>
      </c>
      <c r="N2249" t="s">
        <v>52</v>
      </c>
      <c r="O2249">
        <v>4.1500000000000004</v>
      </c>
      <c r="P2249">
        <v>42.51</v>
      </c>
      <c r="Q2249" t="s">
        <v>520</v>
      </c>
      <c r="R2249" s="31">
        <v>0.1</v>
      </c>
    </row>
    <row r="2250" spans="1:18" x14ac:dyDescent="0.3">
      <c r="L2250">
        <v>11</v>
      </c>
      <c r="M2250">
        <v>11</v>
      </c>
      <c r="N2250" t="s">
        <v>44</v>
      </c>
      <c r="Q2250" t="s">
        <v>521</v>
      </c>
      <c r="R2250" s="31">
        <v>0.1</v>
      </c>
    </row>
    <row r="2251" spans="1:18" x14ac:dyDescent="0.3">
      <c r="B2251" t="s">
        <v>382</v>
      </c>
      <c r="C2251" t="s">
        <v>383</v>
      </c>
      <c r="D2251" t="s">
        <v>384</v>
      </c>
      <c r="E2251" t="s">
        <v>385</v>
      </c>
      <c r="F2251" t="s">
        <v>386</v>
      </c>
      <c r="G2251" s="31" t="s">
        <v>387</v>
      </c>
      <c r="L2251">
        <v>12</v>
      </c>
      <c r="M2251">
        <v>12</v>
      </c>
      <c r="N2251" t="s">
        <v>45</v>
      </c>
      <c r="O2251">
        <v>3.53</v>
      </c>
      <c r="P2251">
        <v>29.934999999999999</v>
      </c>
      <c r="Q2251" t="s">
        <v>522</v>
      </c>
      <c r="R2251" s="31">
        <v>0.1</v>
      </c>
    </row>
    <row r="2252" spans="1:18" x14ac:dyDescent="0.3">
      <c r="A2252">
        <v>1</v>
      </c>
      <c r="B2252">
        <v>1</v>
      </c>
      <c r="C2252" t="s">
        <v>0</v>
      </c>
      <c r="D2252">
        <v>1.02</v>
      </c>
      <c r="E2252">
        <v>1879.3979999999999</v>
      </c>
      <c r="F2252" t="s">
        <v>388</v>
      </c>
      <c r="G2252" s="31">
        <v>7.23</v>
      </c>
      <c r="L2252">
        <v>13</v>
      </c>
      <c r="M2252">
        <v>13</v>
      </c>
      <c r="N2252" t="s">
        <v>46</v>
      </c>
      <c r="O2252">
        <v>2.56</v>
      </c>
      <c r="P2252">
        <v>549.42399999999998</v>
      </c>
      <c r="Q2252" t="s">
        <v>523</v>
      </c>
      <c r="R2252" s="31">
        <v>0.1</v>
      </c>
    </row>
    <row r="2253" spans="1:18" x14ac:dyDescent="0.3">
      <c r="A2253">
        <v>2</v>
      </c>
      <c r="B2253">
        <v>2</v>
      </c>
      <c r="C2253" t="s">
        <v>1</v>
      </c>
      <c r="D2253">
        <v>1.46</v>
      </c>
      <c r="E2253">
        <v>4468.6419999999998</v>
      </c>
      <c r="F2253" t="s">
        <v>389</v>
      </c>
      <c r="G2253" s="31">
        <v>3.31</v>
      </c>
      <c r="L2253">
        <v>14</v>
      </c>
      <c r="M2253">
        <v>14</v>
      </c>
      <c r="N2253" t="s">
        <v>47</v>
      </c>
      <c r="Q2253" t="s">
        <v>524</v>
      </c>
      <c r="R2253" s="31">
        <v>0.1</v>
      </c>
    </row>
    <row r="2254" spans="1:18" x14ac:dyDescent="0.3">
      <c r="A2254">
        <v>3</v>
      </c>
      <c r="B2254">
        <v>3</v>
      </c>
      <c r="C2254" t="s">
        <v>50</v>
      </c>
      <c r="D2254">
        <v>3.71</v>
      </c>
      <c r="E2254">
        <v>46.091000000000001</v>
      </c>
      <c r="F2254" t="s">
        <v>390</v>
      </c>
      <c r="G2254" s="31">
        <v>0.13</v>
      </c>
      <c r="L2254">
        <v>15</v>
      </c>
      <c r="M2254">
        <v>15</v>
      </c>
      <c r="N2254" t="s">
        <v>48</v>
      </c>
      <c r="O2254">
        <v>1.23</v>
      </c>
      <c r="P2254">
        <v>136.53399999999999</v>
      </c>
      <c r="Q2254" t="s">
        <v>525</v>
      </c>
      <c r="R2254" s="31">
        <v>0.1</v>
      </c>
    </row>
    <row r="2255" spans="1:18" x14ac:dyDescent="0.3">
      <c r="A2255">
        <v>4</v>
      </c>
      <c r="B2255">
        <v>4</v>
      </c>
      <c r="C2255" t="s">
        <v>2</v>
      </c>
      <c r="D2255">
        <v>3.69</v>
      </c>
      <c r="E2255">
        <v>24453.388999999999</v>
      </c>
      <c r="F2255" t="s">
        <v>391</v>
      </c>
      <c r="G2255" s="31">
        <v>0.74</v>
      </c>
      <c r="L2255">
        <v>16</v>
      </c>
      <c r="M2255">
        <v>16</v>
      </c>
      <c r="N2255" t="s">
        <v>53</v>
      </c>
      <c r="O2255">
        <v>4.5999999999999996</v>
      </c>
      <c r="P2255">
        <v>263.71699999999998</v>
      </c>
      <c r="Q2255" t="s">
        <v>526</v>
      </c>
      <c r="R2255" s="31">
        <v>0.1</v>
      </c>
    </row>
    <row r="2256" spans="1:18" x14ac:dyDescent="0.3">
      <c r="A2256">
        <v>5</v>
      </c>
      <c r="B2256">
        <v>5</v>
      </c>
      <c r="C2256" t="s">
        <v>3</v>
      </c>
      <c r="D2256">
        <v>4.49</v>
      </c>
      <c r="E2256">
        <v>265.315</v>
      </c>
      <c r="F2256" t="s">
        <v>392</v>
      </c>
      <c r="G2256" s="31">
        <v>0.09</v>
      </c>
      <c r="L2256">
        <v>17</v>
      </c>
      <c r="M2256">
        <v>17</v>
      </c>
      <c r="N2256" t="s">
        <v>54</v>
      </c>
      <c r="O2256">
        <v>5.24</v>
      </c>
      <c r="P2256">
        <v>120.94199999999999</v>
      </c>
      <c r="Q2256" t="s">
        <v>527</v>
      </c>
      <c r="R2256" s="31">
        <v>0.1</v>
      </c>
    </row>
    <row r="2257" spans="1:18" x14ac:dyDescent="0.3">
      <c r="A2257">
        <v>6</v>
      </c>
      <c r="B2257">
        <v>6</v>
      </c>
      <c r="C2257" t="s">
        <v>4</v>
      </c>
      <c r="D2257">
        <v>4.79</v>
      </c>
      <c r="E2257">
        <v>67091.358999999997</v>
      </c>
      <c r="F2257" t="s">
        <v>393</v>
      </c>
      <c r="G2257" s="31">
        <v>1.46</v>
      </c>
      <c r="L2257">
        <v>18</v>
      </c>
      <c r="M2257">
        <v>18</v>
      </c>
      <c r="N2257" t="s">
        <v>55</v>
      </c>
      <c r="Q2257" t="s">
        <v>528</v>
      </c>
      <c r="R2257" s="31">
        <v>0.1</v>
      </c>
    </row>
    <row r="2258" spans="1:18" x14ac:dyDescent="0.3">
      <c r="A2258">
        <v>7</v>
      </c>
      <c r="B2258">
        <v>7</v>
      </c>
      <c r="C2258" t="s">
        <v>5</v>
      </c>
      <c r="D2258">
        <v>2.71</v>
      </c>
      <c r="E2258">
        <v>676.75099999999998</v>
      </c>
      <c r="F2258" t="s">
        <v>394</v>
      </c>
      <c r="G2258" s="31">
        <v>0.06</v>
      </c>
      <c r="L2258">
        <v>19</v>
      </c>
      <c r="M2258">
        <v>19</v>
      </c>
      <c r="N2258" t="s">
        <v>56</v>
      </c>
      <c r="O2258">
        <v>0.92</v>
      </c>
      <c r="P2258">
        <v>91.001999999999995</v>
      </c>
      <c r="Q2258" t="s">
        <v>529</v>
      </c>
      <c r="R2258" s="31">
        <v>0.1</v>
      </c>
    </row>
    <row r="2259" spans="1:18" x14ac:dyDescent="0.3">
      <c r="A2259">
        <v>8</v>
      </c>
      <c r="B2259">
        <v>8</v>
      </c>
      <c r="C2259" t="s">
        <v>6</v>
      </c>
      <c r="D2259">
        <v>0.67</v>
      </c>
      <c r="E2259">
        <v>5079.1679999999997</v>
      </c>
      <c r="F2259" t="s">
        <v>395</v>
      </c>
      <c r="G2259" s="31">
        <v>28.84</v>
      </c>
      <c r="L2259">
        <v>20</v>
      </c>
      <c r="M2259">
        <v>20</v>
      </c>
      <c r="N2259" t="s">
        <v>57</v>
      </c>
      <c r="Q2259" t="s">
        <v>530</v>
      </c>
      <c r="R2259" s="31">
        <v>0.1</v>
      </c>
    </row>
    <row r="2260" spans="1:18" x14ac:dyDescent="0.3">
      <c r="A2260">
        <v>9</v>
      </c>
      <c r="B2260">
        <v>9</v>
      </c>
      <c r="C2260" t="s">
        <v>7</v>
      </c>
      <c r="D2260">
        <v>3.56</v>
      </c>
      <c r="E2260">
        <v>865.58799999999997</v>
      </c>
      <c r="F2260" t="s">
        <v>396</v>
      </c>
      <c r="G2260" s="31">
        <v>1.1200000000000001</v>
      </c>
      <c r="L2260">
        <v>21</v>
      </c>
      <c r="M2260">
        <v>21</v>
      </c>
      <c r="N2260" t="s">
        <v>58</v>
      </c>
      <c r="Q2260" t="s">
        <v>531</v>
      </c>
      <c r="R2260" s="31">
        <v>0.1</v>
      </c>
    </row>
    <row r="2261" spans="1:18" x14ac:dyDescent="0.3">
      <c r="A2261">
        <v>10</v>
      </c>
      <c r="B2261">
        <v>10</v>
      </c>
      <c r="C2261" t="s">
        <v>51</v>
      </c>
      <c r="D2261">
        <v>4.5999999999999996</v>
      </c>
      <c r="E2261">
        <v>1028.21</v>
      </c>
      <c r="F2261" t="s">
        <v>397</v>
      </c>
      <c r="G2261" s="31">
        <v>0.1</v>
      </c>
      <c r="L2261">
        <v>22</v>
      </c>
      <c r="M2261">
        <v>22</v>
      </c>
      <c r="N2261" t="s">
        <v>59</v>
      </c>
      <c r="Q2261" t="s">
        <v>532</v>
      </c>
      <c r="R2261" s="31">
        <v>0.1</v>
      </c>
    </row>
    <row r="2262" spans="1:18" x14ac:dyDescent="0.3">
      <c r="A2262">
        <v>11</v>
      </c>
      <c r="B2262">
        <v>11</v>
      </c>
      <c r="C2262" t="s">
        <v>8</v>
      </c>
      <c r="D2262">
        <v>2.74</v>
      </c>
      <c r="E2262">
        <v>82787.75</v>
      </c>
      <c r="F2262" t="s">
        <v>398</v>
      </c>
      <c r="G2262" s="31">
        <v>2.0499999999999998</v>
      </c>
      <c r="L2262">
        <v>23</v>
      </c>
      <c r="M2262">
        <v>23</v>
      </c>
      <c r="N2262" t="s">
        <v>60</v>
      </c>
      <c r="O2262">
        <v>2.63</v>
      </c>
      <c r="P2262">
        <v>103.996</v>
      </c>
      <c r="Q2262" t="s">
        <v>533</v>
      </c>
      <c r="R2262" s="31">
        <v>2.0499999999999998</v>
      </c>
    </row>
    <row r="2263" spans="1:18" x14ac:dyDescent="0.3">
      <c r="A2263">
        <v>12</v>
      </c>
      <c r="B2263">
        <v>12</v>
      </c>
      <c r="C2263" t="s">
        <v>9</v>
      </c>
      <c r="D2263">
        <v>2.62</v>
      </c>
      <c r="E2263">
        <v>5363.1629999999996</v>
      </c>
      <c r="F2263" t="s">
        <v>399</v>
      </c>
      <c r="G2263" s="31">
        <v>0.95</v>
      </c>
    </row>
    <row r="2264" spans="1:18" x14ac:dyDescent="0.3">
      <c r="A2264">
        <v>13</v>
      </c>
      <c r="B2264">
        <v>13</v>
      </c>
      <c r="C2264" t="s">
        <v>10</v>
      </c>
      <c r="D2264">
        <v>4.07</v>
      </c>
      <c r="E2264">
        <v>3287860.25</v>
      </c>
      <c r="F2264" t="s">
        <v>400</v>
      </c>
      <c r="G2264" s="31">
        <v>146.86000000000001</v>
      </c>
      <c r="L2264" t="s">
        <v>379</v>
      </c>
    </row>
    <row r="2265" spans="1:18" x14ac:dyDescent="0.3">
      <c r="A2265">
        <v>14</v>
      </c>
      <c r="B2265">
        <v>14</v>
      </c>
      <c r="C2265" t="s">
        <v>11</v>
      </c>
      <c r="D2265">
        <v>3.52</v>
      </c>
      <c r="E2265">
        <v>57.994999999999997</v>
      </c>
      <c r="F2265" t="s">
        <v>401</v>
      </c>
      <c r="G2265" s="31">
        <v>1.81</v>
      </c>
    </row>
    <row r="2266" spans="1:18" x14ac:dyDescent="0.3">
      <c r="A2266">
        <v>15</v>
      </c>
      <c r="B2266">
        <v>15</v>
      </c>
      <c r="C2266" t="s">
        <v>12</v>
      </c>
      <c r="D2266">
        <v>3.32</v>
      </c>
      <c r="E2266">
        <v>1622.646</v>
      </c>
      <c r="F2266" t="s">
        <v>402</v>
      </c>
      <c r="G2266" s="31">
        <v>3.47</v>
      </c>
      <c r="L2266" t="s">
        <v>604</v>
      </c>
    </row>
    <row r="2267" spans="1:18" x14ac:dyDescent="0.3">
      <c r="A2267">
        <v>16</v>
      </c>
      <c r="B2267">
        <v>16</v>
      </c>
      <c r="C2267" t="s">
        <v>13</v>
      </c>
      <c r="D2267">
        <v>3.22</v>
      </c>
      <c r="E2267">
        <v>17267.998</v>
      </c>
      <c r="F2267" t="s">
        <v>403</v>
      </c>
      <c r="G2267" s="31">
        <v>1.47</v>
      </c>
    </row>
    <row r="2268" spans="1:18" x14ac:dyDescent="0.3">
      <c r="A2268">
        <v>17</v>
      </c>
      <c r="B2268">
        <v>17</v>
      </c>
      <c r="C2268" t="s">
        <v>14</v>
      </c>
      <c r="D2268">
        <v>2.0299999999999998</v>
      </c>
      <c r="E2268">
        <v>20027.421999999999</v>
      </c>
      <c r="F2268" t="s">
        <v>404</v>
      </c>
      <c r="G2268" s="31">
        <v>1.61</v>
      </c>
      <c r="L2268" t="s">
        <v>608</v>
      </c>
    </row>
    <row r="2269" spans="1:18" x14ac:dyDescent="0.3">
      <c r="A2269">
        <v>18</v>
      </c>
      <c r="B2269">
        <v>18</v>
      </c>
      <c r="C2269" t="s">
        <v>15</v>
      </c>
      <c r="D2269">
        <v>2.5</v>
      </c>
      <c r="E2269">
        <v>44359.086000000003</v>
      </c>
      <c r="F2269" t="s">
        <v>405</v>
      </c>
      <c r="G2269" s="31">
        <v>10.039999999999999</v>
      </c>
    </row>
    <row r="2270" spans="1:18" x14ac:dyDescent="0.3">
      <c r="A2270">
        <v>19</v>
      </c>
      <c r="B2270">
        <v>19</v>
      </c>
      <c r="C2270" t="s">
        <v>16</v>
      </c>
      <c r="D2270">
        <v>2.71</v>
      </c>
      <c r="E2270">
        <v>4866.8010000000004</v>
      </c>
      <c r="F2270" t="s">
        <v>406</v>
      </c>
      <c r="G2270" s="31">
        <v>0.14000000000000001</v>
      </c>
      <c r="M2270" t="s">
        <v>382</v>
      </c>
      <c r="N2270" t="s">
        <v>383</v>
      </c>
      <c r="O2270" t="s">
        <v>384</v>
      </c>
      <c r="P2270" t="s">
        <v>385</v>
      </c>
      <c r="Q2270" t="s">
        <v>386</v>
      </c>
      <c r="R2270" s="31" t="s">
        <v>387</v>
      </c>
    </row>
    <row r="2271" spans="1:18" x14ac:dyDescent="0.3">
      <c r="A2271">
        <v>20</v>
      </c>
      <c r="B2271">
        <v>20</v>
      </c>
      <c r="C2271" t="s">
        <v>17</v>
      </c>
      <c r="D2271">
        <v>3.13</v>
      </c>
      <c r="E2271">
        <v>19168.636999999999</v>
      </c>
      <c r="F2271" t="s">
        <v>407</v>
      </c>
      <c r="G2271" s="31">
        <v>1.81</v>
      </c>
      <c r="L2271">
        <v>1</v>
      </c>
      <c r="M2271">
        <v>1</v>
      </c>
      <c r="N2271" t="s">
        <v>35</v>
      </c>
      <c r="O2271">
        <v>1.45</v>
      </c>
      <c r="P2271">
        <v>5411.9229999999998</v>
      </c>
      <c r="Q2271" t="s">
        <v>511</v>
      </c>
      <c r="R2271" s="31">
        <v>17.25</v>
      </c>
    </row>
    <row r="2272" spans="1:18" x14ac:dyDescent="0.3">
      <c r="A2272">
        <v>21</v>
      </c>
      <c r="B2272">
        <v>21</v>
      </c>
      <c r="C2272" t="s">
        <v>18</v>
      </c>
      <c r="D2272">
        <v>3.68</v>
      </c>
      <c r="E2272">
        <v>25481.271000000001</v>
      </c>
      <c r="F2272" t="s">
        <v>408</v>
      </c>
      <c r="G2272" s="31">
        <v>0.56000000000000005</v>
      </c>
      <c r="L2272">
        <v>2</v>
      </c>
      <c r="M2272">
        <v>2</v>
      </c>
      <c r="N2272" t="s">
        <v>36</v>
      </c>
      <c r="O2272">
        <v>1.66</v>
      </c>
      <c r="P2272">
        <v>1787229.625</v>
      </c>
      <c r="Q2272" t="s">
        <v>512</v>
      </c>
      <c r="R2272" s="31">
        <v>446.77</v>
      </c>
    </row>
    <row r="2273" spans="1:18" x14ac:dyDescent="0.3">
      <c r="A2273">
        <v>22</v>
      </c>
      <c r="B2273">
        <v>22</v>
      </c>
      <c r="C2273" t="s">
        <v>19</v>
      </c>
      <c r="D2273">
        <v>2.63</v>
      </c>
      <c r="E2273">
        <v>37954.93</v>
      </c>
      <c r="F2273" t="s">
        <v>409</v>
      </c>
      <c r="G2273" s="31">
        <v>2.0299999999999998</v>
      </c>
      <c r="L2273">
        <v>3</v>
      </c>
      <c r="M2273">
        <v>3</v>
      </c>
      <c r="N2273" t="s">
        <v>37</v>
      </c>
      <c r="O2273">
        <v>1.81</v>
      </c>
      <c r="P2273">
        <v>653.69100000000003</v>
      </c>
      <c r="Q2273" t="s">
        <v>513</v>
      </c>
      <c r="R2273" s="31">
        <v>0.35</v>
      </c>
    </row>
    <row r="2274" spans="1:18" x14ac:dyDescent="0.3">
      <c r="A2274">
        <v>23</v>
      </c>
      <c r="B2274">
        <v>23</v>
      </c>
      <c r="C2274" t="s">
        <v>20</v>
      </c>
      <c r="D2274">
        <v>2.89</v>
      </c>
      <c r="E2274">
        <v>36420.324000000001</v>
      </c>
      <c r="F2274" t="s">
        <v>410</v>
      </c>
      <c r="G2274" s="31">
        <v>1.07</v>
      </c>
      <c r="L2274">
        <v>4</v>
      </c>
      <c r="M2274">
        <v>4</v>
      </c>
      <c r="N2274" t="s">
        <v>38</v>
      </c>
      <c r="O2274">
        <v>1.18</v>
      </c>
      <c r="P2274">
        <v>2788.288</v>
      </c>
      <c r="Q2274" t="s">
        <v>514</v>
      </c>
      <c r="R2274" s="31">
        <v>0.89</v>
      </c>
    </row>
    <row r="2275" spans="1:18" x14ac:dyDescent="0.3">
      <c r="A2275">
        <v>24</v>
      </c>
      <c r="B2275">
        <v>24</v>
      </c>
      <c r="C2275" t="s">
        <v>21</v>
      </c>
      <c r="D2275">
        <v>4.17</v>
      </c>
      <c r="E2275">
        <v>59.462000000000003</v>
      </c>
      <c r="F2275" t="s">
        <v>411</v>
      </c>
      <c r="G2275" s="31">
        <v>0.1</v>
      </c>
      <c r="L2275">
        <v>5</v>
      </c>
      <c r="M2275">
        <v>5</v>
      </c>
      <c r="N2275" t="s">
        <v>39</v>
      </c>
      <c r="O2275">
        <v>1.38</v>
      </c>
      <c r="P2275">
        <v>101085.68799999999</v>
      </c>
      <c r="Q2275" t="s">
        <v>515</v>
      </c>
      <c r="R2275" s="31">
        <v>41.11</v>
      </c>
    </row>
    <row r="2276" spans="1:18" x14ac:dyDescent="0.3">
      <c r="A2276">
        <v>25</v>
      </c>
      <c r="B2276">
        <v>25</v>
      </c>
      <c r="C2276" t="s">
        <v>22</v>
      </c>
      <c r="D2276">
        <v>3.41</v>
      </c>
      <c r="E2276">
        <v>741.81899999999996</v>
      </c>
      <c r="F2276" t="s">
        <v>412</v>
      </c>
      <c r="G2276" s="31">
        <v>3.3</v>
      </c>
      <c r="L2276">
        <v>6</v>
      </c>
      <c r="M2276">
        <v>6</v>
      </c>
      <c r="N2276" t="s">
        <v>40</v>
      </c>
      <c r="O2276">
        <v>1.53</v>
      </c>
      <c r="P2276">
        <v>9491.6720000000005</v>
      </c>
      <c r="Q2276" t="s">
        <v>516</v>
      </c>
      <c r="R2276" s="31">
        <v>1.93</v>
      </c>
    </row>
    <row r="2277" spans="1:18" x14ac:dyDescent="0.3">
      <c r="A2277">
        <v>26</v>
      </c>
      <c r="B2277">
        <v>26</v>
      </c>
      <c r="C2277" t="s">
        <v>23</v>
      </c>
      <c r="D2277">
        <v>3.35</v>
      </c>
      <c r="E2277">
        <v>169537.43799999999</v>
      </c>
      <c r="F2277" t="s">
        <v>413</v>
      </c>
      <c r="G2277" s="31">
        <v>7.62</v>
      </c>
      <c r="L2277">
        <v>7</v>
      </c>
      <c r="M2277">
        <v>7</v>
      </c>
      <c r="N2277" t="s">
        <v>41</v>
      </c>
      <c r="O2277">
        <v>2.2799999999999998</v>
      </c>
      <c r="P2277">
        <v>1715.248</v>
      </c>
      <c r="Q2277" t="s">
        <v>517</v>
      </c>
      <c r="R2277" s="31">
        <v>3.28</v>
      </c>
    </row>
    <row r="2278" spans="1:18" x14ac:dyDescent="0.3">
      <c r="A2278">
        <v>27</v>
      </c>
      <c r="B2278">
        <v>27</v>
      </c>
      <c r="C2278" t="s">
        <v>24</v>
      </c>
      <c r="D2278">
        <v>3.43</v>
      </c>
      <c r="E2278">
        <v>939.84199999999998</v>
      </c>
      <c r="F2278" t="s">
        <v>414</v>
      </c>
      <c r="G2278" s="31">
        <v>0.28000000000000003</v>
      </c>
      <c r="L2278">
        <v>8</v>
      </c>
      <c r="M2278">
        <v>8</v>
      </c>
      <c r="N2278" t="s">
        <v>42</v>
      </c>
      <c r="O2278">
        <v>0.88</v>
      </c>
      <c r="P2278">
        <v>34.378999999999998</v>
      </c>
      <c r="Q2278" t="s">
        <v>518</v>
      </c>
      <c r="R2278" s="31">
        <v>34.92</v>
      </c>
    </row>
    <row r="2279" spans="1:18" x14ac:dyDescent="0.3">
      <c r="A2279">
        <v>28</v>
      </c>
      <c r="B2279">
        <v>28</v>
      </c>
      <c r="C2279" t="s">
        <v>25</v>
      </c>
      <c r="D2279">
        <v>3.51</v>
      </c>
      <c r="E2279">
        <v>3935.9520000000002</v>
      </c>
      <c r="F2279" t="s">
        <v>415</v>
      </c>
      <c r="G2279" s="31">
        <v>0.38</v>
      </c>
      <c r="L2279">
        <v>9</v>
      </c>
      <c r="M2279">
        <v>9</v>
      </c>
      <c r="N2279" t="s">
        <v>43</v>
      </c>
      <c r="O2279">
        <v>2.5499999999999998</v>
      </c>
      <c r="P2279">
        <v>6477.4470000000001</v>
      </c>
      <c r="Q2279" t="s">
        <v>519</v>
      </c>
      <c r="R2279" s="31">
        <v>0.2</v>
      </c>
    </row>
    <row r="2280" spans="1:18" x14ac:dyDescent="0.3">
      <c r="A2280">
        <v>29</v>
      </c>
      <c r="B2280">
        <v>29</v>
      </c>
      <c r="C2280" t="s">
        <v>26</v>
      </c>
      <c r="D2280">
        <v>1.06</v>
      </c>
      <c r="E2280">
        <v>845.37400000000002</v>
      </c>
      <c r="F2280" t="s">
        <v>416</v>
      </c>
      <c r="G2280" s="31">
        <v>0.55000000000000004</v>
      </c>
      <c r="L2280">
        <v>10</v>
      </c>
      <c r="M2280">
        <v>10</v>
      </c>
      <c r="N2280" t="s">
        <v>52</v>
      </c>
      <c r="O2280">
        <v>4.1500000000000004</v>
      </c>
      <c r="P2280">
        <v>4009.5160000000001</v>
      </c>
      <c r="Q2280" t="s">
        <v>520</v>
      </c>
      <c r="R2280" s="31">
        <v>0.1</v>
      </c>
    </row>
    <row r="2281" spans="1:18" x14ac:dyDescent="0.3">
      <c r="A2281">
        <v>30</v>
      </c>
      <c r="B2281">
        <v>30</v>
      </c>
      <c r="C2281" t="s">
        <v>27</v>
      </c>
      <c r="D2281">
        <v>4.26</v>
      </c>
      <c r="E2281">
        <v>3081.2649999999999</v>
      </c>
      <c r="F2281" t="s">
        <v>417</v>
      </c>
      <c r="G2281" s="31">
        <v>0.11</v>
      </c>
      <c r="L2281">
        <v>11</v>
      </c>
      <c r="M2281">
        <v>11</v>
      </c>
      <c r="N2281" t="s">
        <v>44</v>
      </c>
      <c r="O2281">
        <v>4.2300000000000004</v>
      </c>
      <c r="P2281">
        <v>837.50699999999995</v>
      </c>
      <c r="Q2281" t="s">
        <v>521</v>
      </c>
      <c r="R2281" s="31">
        <v>0.38</v>
      </c>
    </row>
    <row r="2282" spans="1:18" x14ac:dyDescent="0.3">
      <c r="A2282">
        <v>31</v>
      </c>
      <c r="B2282">
        <v>31</v>
      </c>
      <c r="C2282" t="s">
        <v>28</v>
      </c>
      <c r="D2282">
        <v>3</v>
      </c>
      <c r="E2282">
        <v>155199.46900000001</v>
      </c>
      <c r="F2282" t="s">
        <v>418</v>
      </c>
      <c r="G2282" s="31">
        <v>0.43</v>
      </c>
      <c r="L2282">
        <v>12</v>
      </c>
      <c r="M2282">
        <v>12</v>
      </c>
      <c r="N2282" t="s">
        <v>45</v>
      </c>
      <c r="O2282">
        <v>3.45</v>
      </c>
      <c r="P2282">
        <v>489187.65600000002</v>
      </c>
      <c r="Q2282" t="s">
        <v>522</v>
      </c>
      <c r="R2282" s="31">
        <v>12.61</v>
      </c>
    </row>
    <row r="2283" spans="1:18" x14ac:dyDescent="0.3">
      <c r="A2283">
        <v>32</v>
      </c>
      <c r="B2283">
        <v>32</v>
      </c>
      <c r="C2283" t="s">
        <v>29</v>
      </c>
      <c r="D2283">
        <v>3.35</v>
      </c>
      <c r="E2283">
        <v>850.68299999999999</v>
      </c>
      <c r="F2283" t="s">
        <v>419</v>
      </c>
      <c r="G2283" s="31">
        <v>7.0000000000000007E-2</v>
      </c>
      <c r="L2283">
        <v>13</v>
      </c>
      <c r="M2283">
        <v>13</v>
      </c>
      <c r="N2283" t="s">
        <v>46</v>
      </c>
      <c r="O2283">
        <v>2.6</v>
      </c>
      <c r="P2283">
        <v>162642.42199999999</v>
      </c>
      <c r="Q2283" t="s">
        <v>523</v>
      </c>
      <c r="R2283" s="31">
        <v>15.14</v>
      </c>
    </row>
    <row r="2284" spans="1:18" x14ac:dyDescent="0.3">
      <c r="A2284">
        <v>33</v>
      </c>
      <c r="B2284">
        <v>33</v>
      </c>
      <c r="C2284" t="s">
        <v>30</v>
      </c>
      <c r="D2284">
        <v>4.67</v>
      </c>
      <c r="E2284">
        <v>164278.21900000001</v>
      </c>
      <c r="F2284" t="s">
        <v>420</v>
      </c>
      <c r="G2284" s="31">
        <v>1.52</v>
      </c>
      <c r="L2284">
        <v>14</v>
      </c>
      <c r="M2284">
        <v>14</v>
      </c>
      <c r="N2284" t="s">
        <v>47</v>
      </c>
      <c r="O2284">
        <v>0.68</v>
      </c>
      <c r="P2284">
        <v>23673.469000000001</v>
      </c>
      <c r="Q2284" t="s">
        <v>524</v>
      </c>
      <c r="R2284" s="31">
        <v>21.25</v>
      </c>
    </row>
    <row r="2285" spans="1:18" x14ac:dyDescent="0.3">
      <c r="A2285">
        <v>34</v>
      </c>
      <c r="B2285">
        <v>34</v>
      </c>
      <c r="C2285" t="s">
        <v>31</v>
      </c>
      <c r="D2285">
        <v>3.25</v>
      </c>
      <c r="E2285">
        <v>7118.9269999999997</v>
      </c>
      <c r="F2285" t="s">
        <v>421</v>
      </c>
      <c r="G2285" s="31">
        <v>0.28999999999999998</v>
      </c>
      <c r="L2285">
        <v>15</v>
      </c>
      <c r="M2285">
        <v>15</v>
      </c>
      <c r="N2285" t="s">
        <v>48</v>
      </c>
      <c r="O2285">
        <v>1.22</v>
      </c>
      <c r="P2285">
        <v>10172.803</v>
      </c>
      <c r="Q2285" t="s">
        <v>525</v>
      </c>
      <c r="R2285" s="31">
        <v>2.48</v>
      </c>
    </row>
    <row r="2286" spans="1:18" x14ac:dyDescent="0.3">
      <c r="A2286">
        <v>35</v>
      </c>
      <c r="B2286">
        <v>35</v>
      </c>
      <c r="C2286" t="s">
        <v>32</v>
      </c>
      <c r="D2286">
        <v>3.06</v>
      </c>
      <c r="E2286">
        <v>348.322</v>
      </c>
      <c r="F2286" t="s">
        <v>422</v>
      </c>
      <c r="G2286" s="31">
        <v>0.12</v>
      </c>
      <c r="L2286">
        <v>16</v>
      </c>
      <c r="M2286">
        <v>16</v>
      </c>
      <c r="N2286" t="s">
        <v>53</v>
      </c>
      <c r="O2286">
        <v>4.57</v>
      </c>
      <c r="P2286">
        <v>35826.938000000002</v>
      </c>
      <c r="Q2286" t="s">
        <v>526</v>
      </c>
      <c r="R2286" s="31">
        <v>0.94</v>
      </c>
    </row>
    <row r="2287" spans="1:18" x14ac:dyDescent="0.3">
      <c r="A2287">
        <v>36</v>
      </c>
      <c r="B2287">
        <v>36</v>
      </c>
      <c r="C2287" t="s">
        <v>33</v>
      </c>
      <c r="D2287">
        <v>1.92</v>
      </c>
      <c r="E2287">
        <v>4446.6890000000003</v>
      </c>
      <c r="F2287" t="s">
        <v>423</v>
      </c>
      <c r="G2287" s="31">
        <v>1.46</v>
      </c>
      <c r="L2287">
        <v>17</v>
      </c>
      <c r="M2287">
        <v>17</v>
      </c>
      <c r="N2287" t="s">
        <v>54</v>
      </c>
      <c r="O2287">
        <v>5.18</v>
      </c>
      <c r="P2287">
        <v>3104.5619999999999</v>
      </c>
      <c r="Q2287" t="s">
        <v>527</v>
      </c>
      <c r="R2287" s="31">
        <v>0.12</v>
      </c>
    </row>
    <row r="2288" spans="1:18" x14ac:dyDescent="0.3">
      <c r="G2288" s="31">
        <f>G2265/G2267</f>
        <v>1.2312925170068028</v>
      </c>
      <c r="L2288">
        <v>18</v>
      </c>
      <c r="M2288">
        <v>18</v>
      </c>
      <c r="N2288" t="s">
        <v>55</v>
      </c>
      <c r="O2288">
        <v>1.32</v>
      </c>
      <c r="P2288">
        <v>2656.6439999999998</v>
      </c>
      <c r="Q2288" t="s">
        <v>528</v>
      </c>
      <c r="R2288" s="31">
        <v>0.2</v>
      </c>
    </row>
    <row r="2289" spans="1:18" x14ac:dyDescent="0.3">
      <c r="A2289" t="s">
        <v>379</v>
      </c>
      <c r="L2289">
        <v>19</v>
      </c>
      <c r="M2289">
        <v>19</v>
      </c>
      <c r="N2289" t="s">
        <v>56</v>
      </c>
      <c r="O2289">
        <v>0.87</v>
      </c>
      <c r="P2289">
        <v>43637.703000000001</v>
      </c>
      <c r="Q2289" t="s">
        <v>529</v>
      </c>
      <c r="R2289" s="31">
        <v>4.7699999999999996</v>
      </c>
    </row>
    <row r="2290" spans="1:18" x14ac:dyDescent="0.3">
      <c r="L2290">
        <v>20</v>
      </c>
      <c r="M2290">
        <v>20</v>
      </c>
      <c r="N2290" t="s">
        <v>57</v>
      </c>
      <c r="O2290">
        <v>1.51</v>
      </c>
      <c r="P2290">
        <v>341.71899999999999</v>
      </c>
      <c r="Q2290" t="s">
        <v>530</v>
      </c>
      <c r="R2290" s="31">
        <v>0.24</v>
      </c>
    </row>
    <row r="2291" spans="1:18" x14ac:dyDescent="0.3">
      <c r="A2291" t="s">
        <v>456</v>
      </c>
      <c r="L2291">
        <v>21</v>
      </c>
      <c r="M2291">
        <v>21</v>
      </c>
      <c r="N2291" t="s">
        <v>58</v>
      </c>
      <c r="O2291">
        <v>2.54</v>
      </c>
      <c r="P2291">
        <v>14.461</v>
      </c>
      <c r="Q2291" t="s">
        <v>531</v>
      </c>
      <c r="R2291" s="31">
        <v>0.06</v>
      </c>
    </row>
    <row r="2292" spans="1:18" x14ac:dyDescent="0.3">
      <c r="L2292">
        <v>22</v>
      </c>
      <c r="M2292">
        <v>22</v>
      </c>
      <c r="N2292" t="s">
        <v>59</v>
      </c>
      <c r="O2292">
        <v>2.5099999999999998</v>
      </c>
      <c r="P2292">
        <v>10682.057000000001</v>
      </c>
      <c r="Q2292" t="s">
        <v>532</v>
      </c>
      <c r="R2292" s="31">
        <v>2.57</v>
      </c>
    </row>
    <row r="2293" spans="1:18" x14ac:dyDescent="0.3">
      <c r="A2293" t="s">
        <v>476</v>
      </c>
      <c r="L2293">
        <v>23</v>
      </c>
      <c r="M2293">
        <v>23</v>
      </c>
      <c r="N2293" t="s">
        <v>60</v>
      </c>
      <c r="O2293">
        <v>2.58</v>
      </c>
      <c r="P2293">
        <v>17195.947</v>
      </c>
      <c r="Q2293" t="s">
        <v>533</v>
      </c>
      <c r="R2293" s="31">
        <v>2.35</v>
      </c>
    </row>
    <row r="2295" spans="1:18" x14ac:dyDescent="0.3">
      <c r="B2295" t="s">
        <v>382</v>
      </c>
      <c r="C2295" t="s">
        <v>383</v>
      </c>
      <c r="D2295" t="s">
        <v>384</v>
      </c>
      <c r="E2295" t="s">
        <v>385</v>
      </c>
      <c r="F2295" t="s">
        <v>386</v>
      </c>
      <c r="G2295" s="31" t="s">
        <v>387</v>
      </c>
      <c r="L2295" t="s">
        <v>379</v>
      </c>
    </row>
    <row r="2296" spans="1:18" x14ac:dyDescent="0.3">
      <c r="A2296">
        <v>1</v>
      </c>
      <c r="B2296">
        <v>1</v>
      </c>
      <c r="C2296" t="s">
        <v>0</v>
      </c>
      <c r="D2296">
        <v>0.97</v>
      </c>
      <c r="E2296">
        <v>52.43</v>
      </c>
      <c r="F2296" t="s">
        <v>388</v>
      </c>
      <c r="G2296" s="31">
        <v>0.1</v>
      </c>
    </row>
    <row r="2297" spans="1:18" x14ac:dyDescent="0.3">
      <c r="A2297">
        <v>2</v>
      </c>
      <c r="B2297">
        <v>2</v>
      </c>
      <c r="C2297" t="s">
        <v>1</v>
      </c>
      <c r="D2297">
        <v>1.46</v>
      </c>
      <c r="E2297">
        <v>156.143</v>
      </c>
      <c r="F2297" t="s">
        <v>389</v>
      </c>
      <c r="G2297" s="31">
        <v>6.16</v>
      </c>
      <c r="L2297" t="s">
        <v>604</v>
      </c>
    </row>
    <row r="2298" spans="1:18" x14ac:dyDescent="0.3">
      <c r="A2298">
        <v>3</v>
      </c>
      <c r="B2298">
        <v>3</v>
      </c>
      <c r="C2298" t="s">
        <v>50</v>
      </c>
      <c r="D2298">
        <v>3.73</v>
      </c>
      <c r="E2298">
        <v>174.22300000000001</v>
      </c>
      <c r="F2298" t="s">
        <v>390</v>
      </c>
      <c r="G2298" s="31">
        <v>1.04</v>
      </c>
    </row>
    <row r="2299" spans="1:18" x14ac:dyDescent="0.3">
      <c r="A2299">
        <v>4</v>
      </c>
      <c r="B2299">
        <v>4</v>
      </c>
      <c r="C2299" t="s">
        <v>2</v>
      </c>
      <c r="D2299">
        <v>3.89</v>
      </c>
      <c r="E2299">
        <v>198.24700000000001</v>
      </c>
      <c r="F2299" t="s">
        <v>391</v>
      </c>
      <c r="G2299" s="31">
        <v>0.83</v>
      </c>
      <c r="L2299" t="s">
        <v>609</v>
      </c>
    </row>
    <row r="2300" spans="1:18" x14ac:dyDescent="0.3">
      <c r="A2300">
        <v>5</v>
      </c>
      <c r="B2300">
        <v>5</v>
      </c>
      <c r="C2300" t="s">
        <v>3</v>
      </c>
      <c r="D2300">
        <v>4.49</v>
      </c>
      <c r="E2300">
        <v>77.58</v>
      </c>
      <c r="F2300" t="s">
        <v>392</v>
      </c>
      <c r="G2300" s="31">
        <v>0.1</v>
      </c>
    </row>
    <row r="2301" spans="1:18" x14ac:dyDescent="0.3">
      <c r="A2301">
        <v>6</v>
      </c>
      <c r="B2301">
        <v>6</v>
      </c>
      <c r="C2301" t="s">
        <v>4</v>
      </c>
      <c r="D2301">
        <v>4.9000000000000004</v>
      </c>
      <c r="E2301">
        <v>29.338999999999999</v>
      </c>
      <c r="F2301" t="s">
        <v>393</v>
      </c>
      <c r="G2301" s="31">
        <v>2.29</v>
      </c>
      <c r="M2301" t="s">
        <v>382</v>
      </c>
      <c r="N2301" t="s">
        <v>383</v>
      </c>
      <c r="O2301" t="s">
        <v>384</v>
      </c>
      <c r="P2301" t="s">
        <v>385</v>
      </c>
      <c r="Q2301" t="s">
        <v>386</v>
      </c>
      <c r="R2301" s="31" t="s">
        <v>387</v>
      </c>
    </row>
    <row r="2302" spans="1:18" x14ac:dyDescent="0.3">
      <c r="A2302">
        <v>7</v>
      </c>
      <c r="B2302">
        <v>7</v>
      </c>
      <c r="C2302" t="s">
        <v>5</v>
      </c>
      <c r="D2302">
        <v>2.77</v>
      </c>
      <c r="E2302">
        <v>7.6059999999999999</v>
      </c>
      <c r="F2302" t="s">
        <v>394</v>
      </c>
      <c r="G2302" s="31">
        <v>7.0000000000000007E-2</v>
      </c>
      <c r="L2302">
        <v>1</v>
      </c>
      <c r="M2302">
        <v>1</v>
      </c>
      <c r="N2302" t="s">
        <v>35</v>
      </c>
      <c r="O2302">
        <v>1.43</v>
      </c>
      <c r="P2302">
        <v>159550.18799999999</v>
      </c>
      <c r="Q2302" t="s">
        <v>511</v>
      </c>
      <c r="R2302" s="31">
        <v>27.29</v>
      </c>
    </row>
    <row r="2303" spans="1:18" x14ac:dyDescent="0.3">
      <c r="A2303">
        <v>8</v>
      </c>
      <c r="B2303">
        <v>8</v>
      </c>
      <c r="C2303" t="s">
        <v>6</v>
      </c>
      <c r="F2303" t="s">
        <v>395</v>
      </c>
      <c r="G2303" s="31">
        <v>0.1</v>
      </c>
      <c r="L2303">
        <v>2</v>
      </c>
      <c r="M2303">
        <v>2</v>
      </c>
      <c r="N2303" t="s">
        <v>36</v>
      </c>
      <c r="O2303">
        <v>1.66</v>
      </c>
      <c r="P2303">
        <v>2999639.5</v>
      </c>
      <c r="Q2303" t="s">
        <v>512</v>
      </c>
      <c r="R2303" s="31">
        <v>316.58</v>
      </c>
    </row>
    <row r="2304" spans="1:18" x14ac:dyDescent="0.3">
      <c r="A2304">
        <v>9</v>
      </c>
      <c r="B2304">
        <v>9</v>
      </c>
      <c r="C2304" t="s">
        <v>7</v>
      </c>
      <c r="D2304">
        <v>3.59</v>
      </c>
      <c r="E2304">
        <v>73.069999999999993</v>
      </c>
      <c r="F2304" t="s">
        <v>396</v>
      </c>
      <c r="G2304" s="31">
        <v>2.31</v>
      </c>
      <c r="L2304">
        <v>3</v>
      </c>
      <c r="M2304">
        <v>3</v>
      </c>
      <c r="N2304" t="s">
        <v>37</v>
      </c>
      <c r="O2304">
        <v>1.79</v>
      </c>
      <c r="P2304">
        <v>1459.904</v>
      </c>
      <c r="Q2304" t="s">
        <v>513</v>
      </c>
      <c r="R2304" s="31">
        <v>0.28999999999999998</v>
      </c>
    </row>
    <row r="2305" spans="1:18" x14ac:dyDescent="0.3">
      <c r="A2305">
        <v>10</v>
      </c>
      <c r="B2305">
        <v>10</v>
      </c>
      <c r="C2305" t="s">
        <v>51</v>
      </c>
      <c r="D2305">
        <v>4.71</v>
      </c>
      <c r="E2305">
        <v>170.93</v>
      </c>
      <c r="F2305" t="s">
        <v>397</v>
      </c>
      <c r="G2305" s="31">
        <v>0.3</v>
      </c>
      <c r="L2305">
        <v>4</v>
      </c>
      <c r="M2305">
        <v>4</v>
      </c>
      <c r="N2305" t="s">
        <v>38</v>
      </c>
      <c r="O2305">
        <v>1.17</v>
      </c>
      <c r="P2305">
        <v>7716.9470000000001</v>
      </c>
      <c r="Q2305" t="s">
        <v>514</v>
      </c>
      <c r="R2305" s="31">
        <v>1.03</v>
      </c>
    </row>
    <row r="2306" spans="1:18" x14ac:dyDescent="0.3">
      <c r="A2306">
        <v>11</v>
      </c>
      <c r="B2306">
        <v>11</v>
      </c>
      <c r="C2306" t="s">
        <v>8</v>
      </c>
      <c r="D2306">
        <v>2.88</v>
      </c>
      <c r="E2306">
        <v>8.92</v>
      </c>
      <c r="F2306" t="s">
        <v>398</v>
      </c>
      <c r="G2306" s="31">
        <v>1.63</v>
      </c>
      <c r="L2306">
        <v>5</v>
      </c>
      <c r="M2306">
        <v>5</v>
      </c>
      <c r="N2306" t="s">
        <v>39</v>
      </c>
      <c r="O2306">
        <v>1.37</v>
      </c>
      <c r="P2306">
        <v>634699.375</v>
      </c>
      <c r="Q2306" t="s">
        <v>515</v>
      </c>
      <c r="R2306" s="31">
        <v>96.54</v>
      </c>
    </row>
    <row r="2307" spans="1:18" x14ac:dyDescent="0.3">
      <c r="A2307">
        <v>12</v>
      </c>
      <c r="B2307">
        <v>12</v>
      </c>
      <c r="C2307" t="s">
        <v>9</v>
      </c>
      <c r="D2307">
        <v>2.61</v>
      </c>
      <c r="E2307">
        <v>54.63</v>
      </c>
      <c r="F2307" t="s">
        <v>399</v>
      </c>
      <c r="G2307" s="31">
        <v>2.8</v>
      </c>
      <c r="L2307">
        <v>6</v>
      </c>
      <c r="M2307">
        <v>6</v>
      </c>
      <c r="N2307" t="s">
        <v>40</v>
      </c>
      <c r="O2307">
        <v>1.52</v>
      </c>
      <c r="P2307">
        <v>26984.756000000001</v>
      </c>
      <c r="Q2307" t="s">
        <v>516</v>
      </c>
      <c r="R2307" s="31">
        <v>2.4500000000000002</v>
      </c>
    </row>
    <row r="2308" spans="1:18" x14ac:dyDescent="0.3">
      <c r="A2308">
        <v>13</v>
      </c>
      <c r="B2308">
        <v>13</v>
      </c>
      <c r="C2308" t="s">
        <v>10</v>
      </c>
      <c r="D2308">
        <v>4.09</v>
      </c>
      <c r="E2308">
        <v>1131.396</v>
      </c>
      <c r="F2308" t="s">
        <v>400</v>
      </c>
      <c r="G2308" s="31">
        <v>0.1</v>
      </c>
      <c r="L2308">
        <v>7</v>
      </c>
      <c r="M2308">
        <v>7</v>
      </c>
      <c r="N2308" t="s">
        <v>41</v>
      </c>
      <c r="O2308">
        <v>2.27</v>
      </c>
      <c r="P2308">
        <v>6091.3770000000004</v>
      </c>
      <c r="Q2308" t="s">
        <v>517</v>
      </c>
      <c r="R2308" s="31">
        <v>4.9800000000000004</v>
      </c>
    </row>
    <row r="2309" spans="1:18" x14ac:dyDescent="0.3">
      <c r="A2309">
        <v>14</v>
      </c>
      <c r="B2309">
        <v>14</v>
      </c>
      <c r="C2309" t="s">
        <v>11</v>
      </c>
      <c r="D2309">
        <v>3.38</v>
      </c>
      <c r="E2309">
        <v>4.1050000000000004</v>
      </c>
      <c r="F2309" t="s">
        <v>401</v>
      </c>
      <c r="G2309" s="31">
        <v>9.6999999999999993</v>
      </c>
      <c r="L2309">
        <v>8</v>
      </c>
      <c r="M2309">
        <v>8</v>
      </c>
      <c r="N2309" t="s">
        <v>42</v>
      </c>
      <c r="O2309">
        <v>0.88</v>
      </c>
      <c r="P2309">
        <v>325.11700000000002</v>
      </c>
      <c r="Q2309" t="s">
        <v>518</v>
      </c>
      <c r="R2309" s="31">
        <v>16.190000000000001</v>
      </c>
    </row>
    <row r="2310" spans="1:18" x14ac:dyDescent="0.3">
      <c r="A2310">
        <v>15</v>
      </c>
      <c r="B2310">
        <v>15</v>
      </c>
      <c r="C2310" t="s">
        <v>12</v>
      </c>
      <c r="D2310">
        <v>3.33</v>
      </c>
      <c r="E2310">
        <v>18.523</v>
      </c>
      <c r="F2310" t="s">
        <v>402</v>
      </c>
      <c r="G2310" s="31">
        <v>0.76</v>
      </c>
      <c r="L2310">
        <v>9</v>
      </c>
      <c r="M2310">
        <v>9</v>
      </c>
      <c r="N2310" t="s">
        <v>43</v>
      </c>
      <c r="O2310">
        <v>2.54</v>
      </c>
      <c r="P2310">
        <v>10015.496999999999</v>
      </c>
      <c r="Q2310" t="s">
        <v>519</v>
      </c>
      <c r="R2310" s="31">
        <v>0.14000000000000001</v>
      </c>
    </row>
    <row r="2311" spans="1:18" x14ac:dyDescent="0.3">
      <c r="A2311">
        <v>16</v>
      </c>
      <c r="B2311">
        <v>16</v>
      </c>
      <c r="C2311" t="s">
        <v>13</v>
      </c>
      <c r="F2311" t="s">
        <v>403</v>
      </c>
      <c r="G2311" s="31">
        <v>0.1</v>
      </c>
      <c r="L2311">
        <v>10</v>
      </c>
      <c r="M2311">
        <v>10</v>
      </c>
      <c r="N2311" t="s">
        <v>52</v>
      </c>
      <c r="O2311">
        <v>4.0999999999999996</v>
      </c>
      <c r="P2311">
        <v>54781.949000000001</v>
      </c>
      <c r="Q2311" t="s">
        <v>520</v>
      </c>
      <c r="R2311" s="31">
        <v>3.03</v>
      </c>
    </row>
    <row r="2312" spans="1:18" x14ac:dyDescent="0.3">
      <c r="A2312">
        <v>17</v>
      </c>
      <c r="B2312">
        <v>17</v>
      </c>
      <c r="C2312" t="s">
        <v>14</v>
      </c>
      <c r="D2312">
        <v>2.0499999999999998</v>
      </c>
      <c r="E2312">
        <v>14.621</v>
      </c>
      <c r="F2312" t="s">
        <v>404</v>
      </c>
      <c r="G2312" s="31">
        <v>3.21</v>
      </c>
      <c r="L2312">
        <v>11</v>
      </c>
      <c r="M2312">
        <v>11</v>
      </c>
      <c r="N2312" t="s">
        <v>44</v>
      </c>
      <c r="O2312">
        <v>4.18</v>
      </c>
      <c r="P2312">
        <v>6391.8</v>
      </c>
      <c r="Q2312" t="s">
        <v>521</v>
      </c>
      <c r="R2312" s="31">
        <v>0.71</v>
      </c>
    </row>
    <row r="2313" spans="1:18" x14ac:dyDescent="0.3">
      <c r="A2313">
        <v>18</v>
      </c>
      <c r="B2313">
        <v>18</v>
      </c>
      <c r="C2313" t="s">
        <v>15</v>
      </c>
      <c r="D2313">
        <v>2.46</v>
      </c>
      <c r="E2313">
        <v>69.697000000000003</v>
      </c>
      <c r="F2313" t="s">
        <v>405</v>
      </c>
      <c r="G2313" s="31">
        <v>10.47</v>
      </c>
      <c r="L2313">
        <v>12</v>
      </c>
      <c r="M2313">
        <v>12</v>
      </c>
      <c r="N2313" t="s">
        <v>45</v>
      </c>
      <c r="O2313">
        <v>3.44</v>
      </c>
      <c r="P2313">
        <v>2153464</v>
      </c>
      <c r="Q2313" t="s">
        <v>522</v>
      </c>
      <c r="R2313" s="31">
        <v>46.13</v>
      </c>
    </row>
    <row r="2314" spans="1:18" x14ac:dyDescent="0.3">
      <c r="A2314">
        <v>19</v>
      </c>
      <c r="B2314">
        <v>19</v>
      </c>
      <c r="C2314" t="s">
        <v>16</v>
      </c>
      <c r="D2314">
        <v>2.8</v>
      </c>
      <c r="E2314">
        <v>6.1120000000000001</v>
      </c>
      <c r="F2314" t="s">
        <v>406</v>
      </c>
      <c r="G2314" s="31">
        <v>0.3</v>
      </c>
      <c r="L2314">
        <v>13</v>
      </c>
      <c r="M2314">
        <v>13</v>
      </c>
      <c r="N2314" t="s">
        <v>46</v>
      </c>
      <c r="O2314">
        <v>2.59</v>
      </c>
      <c r="P2314">
        <v>244754.891</v>
      </c>
      <c r="Q2314" t="s">
        <v>523</v>
      </c>
      <c r="R2314" s="31">
        <v>10.88</v>
      </c>
    </row>
    <row r="2315" spans="1:18" x14ac:dyDescent="0.3">
      <c r="A2315">
        <v>20</v>
      </c>
      <c r="B2315">
        <v>20</v>
      </c>
      <c r="C2315" t="s">
        <v>17</v>
      </c>
      <c r="D2315">
        <v>3.09</v>
      </c>
      <c r="E2315">
        <v>273.42500000000001</v>
      </c>
      <c r="F2315" t="s">
        <v>407</v>
      </c>
      <c r="G2315" s="31">
        <v>0.1</v>
      </c>
      <c r="L2315">
        <v>14</v>
      </c>
      <c r="M2315">
        <v>14</v>
      </c>
      <c r="N2315" t="s">
        <v>47</v>
      </c>
      <c r="O2315">
        <v>0.68</v>
      </c>
      <c r="P2315">
        <v>39007.574000000001</v>
      </c>
      <c r="Q2315" t="s">
        <v>524</v>
      </c>
      <c r="R2315" s="31">
        <v>16.989999999999998</v>
      </c>
    </row>
    <row r="2316" spans="1:18" x14ac:dyDescent="0.3">
      <c r="A2316">
        <v>21</v>
      </c>
      <c r="B2316">
        <v>21</v>
      </c>
      <c r="C2316" t="s">
        <v>18</v>
      </c>
      <c r="D2316">
        <v>3.68</v>
      </c>
      <c r="E2316">
        <v>490.28399999999999</v>
      </c>
      <c r="F2316" t="s">
        <v>408</v>
      </c>
      <c r="G2316" s="31">
        <v>0.13</v>
      </c>
      <c r="L2316">
        <v>15</v>
      </c>
      <c r="M2316">
        <v>15</v>
      </c>
      <c r="N2316" t="s">
        <v>48</v>
      </c>
      <c r="O2316">
        <v>1.21</v>
      </c>
      <c r="P2316">
        <v>34887.866999999998</v>
      </c>
      <c r="Q2316" t="s">
        <v>525</v>
      </c>
      <c r="R2316" s="31">
        <v>4.57</v>
      </c>
    </row>
    <row r="2317" spans="1:18" x14ac:dyDescent="0.3">
      <c r="A2317">
        <v>22</v>
      </c>
      <c r="B2317">
        <v>22</v>
      </c>
      <c r="C2317" t="s">
        <v>19</v>
      </c>
      <c r="F2317" t="s">
        <v>409</v>
      </c>
      <c r="G2317" s="31">
        <v>0.1</v>
      </c>
      <c r="L2317">
        <v>16</v>
      </c>
      <c r="M2317">
        <v>16</v>
      </c>
      <c r="N2317" t="s">
        <v>53</v>
      </c>
      <c r="O2317">
        <v>4.55</v>
      </c>
      <c r="P2317">
        <v>77929.266000000003</v>
      </c>
      <c r="Q2317" t="s">
        <v>526</v>
      </c>
      <c r="R2317" s="31">
        <v>0.98</v>
      </c>
    </row>
    <row r="2318" spans="1:18" x14ac:dyDescent="0.3">
      <c r="A2318">
        <v>23</v>
      </c>
      <c r="B2318">
        <v>23</v>
      </c>
      <c r="C2318" t="s">
        <v>20</v>
      </c>
      <c r="F2318" t="s">
        <v>410</v>
      </c>
      <c r="G2318" s="31">
        <v>0.1</v>
      </c>
      <c r="L2318">
        <v>17</v>
      </c>
      <c r="M2318">
        <v>17</v>
      </c>
      <c r="N2318" t="s">
        <v>54</v>
      </c>
      <c r="O2318">
        <v>5.27</v>
      </c>
      <c r="P2318">
        <v>50.417999999999999</v>
      </c>
      <c r="Q2318" t="s">
        <v>527</v>
      </c>
      <c r="R2318" s="31">
        <v>0.1</v>
      </c>
    </row>
    <row r="2319" spans="1:18" x14ac:dyDescent="0.3">
      <c r="A2319">
        <v>24</v>
      </c>
      <c r="B2319">
        <v>24</v>
      </c>
      <c r="C2319" t="s">
        <v>21</v>
      </c>
      <c r="D2319">
        <v>4.13</v>
      </c>
      <c r="E2319">
        <v>14.411</v>
      </c>
      <c r="F2319" t="s">
        <v>411</v>
      </c>
      <c r="G2319" s="31">
        <v>0.1</v>
      </c>
      <c r="L2319">
        <v>18</v>
      </c>
      <c r="M2319">
        <v>18</v>
      </c>
      <c r="N2319" t="s">
        <v>55</v>
      </c>
      <c r="O2319">
        <v>1.32</v>
      </c>
      <c r="P2319">
        <v>3238.3969999999999</v>
      </c>
      <c r="Q2319" t="s">
        <v>528</v>
      </c>
      <c r="R2319" s="31">
        <v>0.11</v>
      </c>
    </row>
    <row r="2320" spans="1:18" x14ac:dyDescent="0.3">
      <c r="A2320">
        <v>25</v>
      </c>
      <c r="B2320">
        <v>25</v>
      </c>
      <c r="C2320" t="s">
        <v>22</v>
      </c>
      <c r="D2320">
        <v>3.42</v>
      </c>
      <c r="E2320">
        <v>57.859000000000002</v>
      </c>
      <c r="F2320" t="s">
        <v>412</v>
      </c>
      <c r="G2320" s="31">
        <v>22.83</v>
      </c>
      <c r="L2320">
        <v>19</v>
      </c>
      <c r="M2320">
        <v>19</v>
      </c>
      <c r="N2320" t="s">
        <v>56</v>
      </c>
      <c r="O2320">
        <v>0.87</v>
      </c>
      <c r="P2320">
        <v>26362.282999999999</v>
      </c>
      <c r="Q2320" t="s">
        <v>529</v>
      </c>
      <c r="R2320" s="31">
        <v>1.1100000000000001</v>
      </c>
    </row>
    <row r="2321" spans="1:18" x14ac:dyDescent="0.3">
      <c r="A2321">
        <v>26</v>
      </c>
      <c r="B2321">
        <v>26</v>
      </c>
      <c r="C2321" t="s">
        <v>23</v>
      </c>
      <c r="D2321">
        <v>3.3</v>
      </c>
      <c r="E2321">
        <v>4.1399999999999997</v>
      </c>
      <c r="F2321" t="s">
        <v>413</v>
      </c>
      <c r="G2321" s="31">
        <v>2.04</v>
      </c>
      <c r="L2321">
        <v>20</v>
      </c>
      <c r="M2321">
        <v>20</v>
      </c>
      <c r="N2321" t="s">
        <v>57</v>
      </c>
      <c r="O2321">
        <v>1.5</v>
      </c>
      <c r="P2321">
        <v>617.89300000000003</v>
      </c>
      <c r="Q2321" t="s">
        <v>530</v>
      </c>
      <c r="R2321" s="31">
        <v>0.2</v>
      </c>
    </row>
    <row r="2322" spans="1:18" x14ac:dyDescent="0.3">
      <c r="A2322">
        <v>27</v>
      </c>
      <c r="B2322">
        <v>27</v>
      </c>
      <c r="C2322" t="s">
        <v>24</v>
      </c>
      <c r="D2322">
        <v>3.5</v>
      </c>
      <c r="E2322">
        <v>40.103999999999999</v>
      </c>
      <c r="F2322" t="s">
        <v>414</v>
      </c>
      <c r="G2322" s="31">
        <v>0.1</v>
      </c>
      <c r="L2322">
        <v>21</v>
      </c>
      <c r="M2322">
        <v>21</v>
      </c>
      <c r="N2322" t="s">
        <v>58</v>
      </c>
      <c r="O2322">
        <v>2.56</v>
      </c>
      <c r="P2322">
        <v>146.261</v>
      </c>
      <c r="Q2322" t="s">
        <v>531</v>
      </c>
      <c r="R2322" s="31">
        <v>0.09</v>
      </c>
    </row>
    <row r="2323" spans="1:18" x14ac:dyDescent="0.3">
      <c r="A2323">
        <v>28</v>
      </c>
      <c r="B2323">
        <v>28</v>
      </c>
      <c r="C2323" t="s">
        <v>25</v>
      </c>
      <c r="D2323">
        <v>3.84</v>
      </c>
      <c r="E2323">
        <v>20.975999999999999</v>
      </c>
      <c r="F2323" t="s">
        <v>415</v>
      </c>
      <c r="G2323" s="31">
        <v>1.82</v>
      </c>
      <c r="L2323">
        <v>22</v>
      </c>
      <c r="M2323">
        <v>22</v>
      </c>
      <c r="N2323" t="s">
        <v>59</v>
      </c>
      <c r="O2323">
        <v>2.5099999999999998</v>
      </c>
      <c r="P2323">
        <v>46999.995999999999</v>
      </c>
      <c r="Q2323" t="s">
        <v>532</v>
      </c>
      <c r="R2323" s="31">
        <v>5.77</v>
      </c>
    </row>
    <row r="2324" spans="1:18" x14ac:dyDescent="0.3">
      <c r="A2324">
        <v>29</v>
      </c>
      <c r="B2324">
        <v>29</v>
      </c>
      <c r="C2324" t="s">
        <v>26</v>
      </c>
      <c r="D2324">
        <v>1.6</v>
      </c>
      <c r="E2324">
        <v>4.6989999999999998</v>
      </c>
      <c r="F2324" t="s">
        <v>416</v>
      </c>
      <c r="G2324" s="31">
        <v>3.11</v>
      </c>
      <c r="L2324">
        <v>23</v>
      </c>
      <c r="M2324">
        <v>23</v>
      </c>
      <c r="N2324" t="s">
        <v>60</v>
      </c>
      <c r="O2324">
        <v>2.42</v>
      </c>
      <c r="P2324">
        <v>35997.637000000002</v>
      </c>
      <c r="Q2324" t="s">
        <v>533</v>
      </c>
      <c r="R2324" s="31">
        <v>2.0499999999999998</v>
      </c>
    </row>
    <row r="2325" spans="1:18" x14ac:dyDescent="0.3">
      <c r="A2325">
        <v>30</v>
      </c>
      <c r="B2325">
        <v>30</v>
      </c>
      <c r="C2325" t="s">
        <v>27</v>
      </c>
      <c r="D2325">
        <v>4.3899999999999997</v>
      </c>
      <c r="E2325">
        <v>11.093999999999999</v>
      </c>
      <c r="F2325" t="s">
        <v>417</v>
      </c>
      <c r="G2325" s="31">
        <v>0.12</v>
      </c>
    </row>
    <row r="2326" spans="1:18" x14ac:dyDescent="0.3">
      <c r="A2326">
        <v>31</v>
      </c>
      <c r="B2326">
        <v>31</v>
      </c>
      <c r="C2326" t="s">
        <v>28</v>
      </c>
      <c r="D2326">
        <v>3.09</v>
      </c>
      <c r="E2326">
        <v>25.707999999999998</v>
      </c>
      <c r="F2326" t="s">
        <v>418</v>
      </c>
      <c r="G2326" s="31">
        <v>0.1</v>
      </c>
      <c r="L2326" t="s">
        <v>379</v>
      </c>
    </row>
    <row r="2327" spans="1:18" x14ac:dyDescent="0.3">
      <c r="A2327">
        <v>32</v>
      </c>
      <c r="B2327">
        <v>32</v>
      </c>
      <c r="C2327" t="s">
        <v>29</v>
      </c>
      <c r="F2327" t="s">
        <v>419</v>
      </c>
      <c r="G2327" s="31">
        <v>0.1</v>
      </c>
    </row>
    <row r="2328" spans="1:18" x14ac:dyDescent="0.3">
      <c r="A2328">
        <v>33</v>
      </c>
      <c r="B2328">
        <v>33</v>
      </c>
      <c r="C2328" t="s">
        <v>30</v>
      </c>
      <c r="D2328">
        <v>4.66</v>
      </c>
      <c r="E2328">
        <v>14.465999999999999</v>
      </c>
      <c r="F2328" t="s">
        <v>420</v>
      </c>
      <c r="G2328" s="31">
        <v>3.35</v>
      </c>
      <c r="L2328" t="s">
        <v>604</v>
      </c>
    </row>
    <row r="2329" spans="1:18" x14ac:dyDescent="0.3">
      <c r="A2329">
        <v>34</v>
      </c>
      <c r="B2329">
        <v>34</v>
      </c>
      <c r="C2329" t="s">
        <v>31</v>
      </c>
      <c r="D2329">
        <v>3.63</v>
      </c>
      <c r="E2329">
        <v>27.859000000000002</v>
      </c>
      <c r="F2329" t="s">
        <v>421</v>
      </c>
      <c r="G2329" s="31">
        <v>0.13</v>
      </c>
    </row>
    <row r="2330" spans="1:18" x14ac:dyDescent="0.3">
      <c r="A2330">
        <v>35</v>
      </c>
      <c r="B2330">
        <v>35</v>
      </c>
      <c r="C2330" t="s">
        <v>32</v>
      </c>
      <c r="D2330">
        <v>3.14</v>
      </c>
      <c r="E2330">
        <v>42.816000000000003</v>
      </c>
      <c r="F2330" t="s">
        <v>422</v>
      </c>
      <c r="G2330" s="31">
        <v>0.1</v>
      </c>
      <c r="L2330" t="s">
        <v>610</v>
      </c>
    </row>
    <row r="2331" spans="1:18" x14ac:dyDescent="0.3">
      <c r="A2331">
        <v>36</v>
      </c>
      <c r="B2331">
        <v>36</v>
      </c>
      <c r="C2331" t="s">
        <v>33</v>
      </c>
      <c r="D2331">
        <v>1.83</v>
      </c>
      <c r="E2331">
        <v>33.868000000000002</v>
      </c>
      <c r="F2331" t="s">
        <v>423</v>
      </c>
      <c r="G2331" s="31">
        <v>0.2</v>
      </c>
    </row>
    <row r="2332" spans="1:18" x14ac:dyDescent="0.3">
      <c r="M2332" t="s">
        <v>382</v>
      </c>
      <c r="N2332" t="s">
        <v>383</v>
      </c>
      <c r="O2332" t="s">
        <v>384</v>
      </c>
      <c r="P2332" t="s">
        <v>385</v>
      </c>
      <c r="Q2332" t="s">
        <v>386</v>
      </c>
      <c r="R2332" s="31" t="s">
        <v>387</v>
      </c>
    </row>
    <row r="2333" spans="1:18" x14ac:dyDescent="0.3">
      <c r="A2333" t="s">
        <v>379</v>
      </c>
      <c r="L2333">
        <v>1</v>
      </c>
      <c r="M2333">
        <v>1</v>
      </c>
      <c r="N2333" t="s">
        <v>35</v>
      </c>
      <c r="O2333">
        <v>1.43</v>
      </c>
      <c r="P2333">
        <v>3763.0540000000001</v>
      </c>
      <c r="Q2333" t="s">
        <v>511</v>
      </c>
      <c r="R2333" s="31">
        <v>6.11</v>
      </c>
    </row>
    <row r="2334" spans="1:18" x14ac:dyDescent="0.3">
      <c r="L2334">
        <v>2</v>
      </c>
      <c r="M2334">
        <v>2</v>
      </c>
      <c r="N2334" t="s">
        <v>36</v>
      </c>
      <c r="O2334">
        <v>1.66</v>
      </c>
      <c r="P2334">
        <v>2437771.25</v>
      </c>
      <c r="Q2334" t="s">
        <v>512</v>
      </c>
      <c r="R2334" s="31">
        <v>210.71</v>
      </c>
    </row>
    <row r="2335" spans="1:18" x14ac:dyDescent="0.3">
      <c r="A2335" t="s">
        <v>456</v>
      </c>
      <c r="L2335">
        <v>3</v>
      </c>
      <c r="M2335">
        <v>3</v>
      </c>
      <c r="N2335" t="s">
        <v>37</v>
      </c>
      <c r="O2335">
        <v>1.79</v>
      </c>
      <c r="P2335">
        <v>7911.1469999999999</v>
      </c>
      <c r="Q2335" t="s">
        <v>513</v>
      </c>
      <c r="R2335" s="31">
        <v>1.04</v>
      </c>
    </row>
    <row r="2336" spans="1:18" x14ac:dyDescent="0.3">
      <c r="L2336">
        <v>4</v>
      </c>
      <c r="M2336">
        <v>4</v>
      </c>
      <c r="N2336" t="s">
        <v>38</v>
      </c>
      <c r="O2336">
        <v>1.17</v>
      </c>
      <c r="P2336">
        <v>5537.5959999999995</v>
      </c>
      <c r="Q2336" t="s">
        <v>514</v>
      </c>
      <c r="R2336" s="31">
        <v>0.6</v>
      </c>
    </row>
    <row r="2337" spans="1:18" x14ac:dyDescent="0.3">
      <c r="A2337" t="s">
        <v>477</v>
      </c>
      <c r="L2337">
        <v>5</v>
      </c>
      <c r="M2337">
        <v>5</v>
      </c>
      <c r="N2337" t="s">
        <v>39</v>
      </c>
      <c r="O2337">
        <v>1.37</v>
      </c>
      <c r="P2337">
        <v>342739.875</v>
      </c>
      <c r="Q2337" t="s">
        <v>515</v>
      </c>
      <c r="R2337" s="31">
        <v>43.03</v>
      </c>
    </row>
    <row r="2338" spans="1:18" x14ac:dyDescent="0.3">
      <c r="L2338">
        <v>6</v>
      </c>
      <c r="M2338">
        <v>6</v>
      </c>
      <c r="N2338" t="s">
        <v>40</v>
      </c>
      <c r="O2338">
        <v>1.52</v>
      </c>
      <c r="P2338">
        <v>24243.428</v>
      </c>
      <c r="Q2338" t="s">
        <v>516</v>
      </c>
      <c r="R2338" s="31">
        <v>1.76</v>
      </c>
    </row>
    <row r="2339" spans="1:18" x14ac:dyDescent="0.3">
      <c r="B2339" t="s">
        <v>382</v>
      </c>
      <c r="C2339" t="s">
        <v>383</v>
      </c>
      <c r="D2339" t="s">
        <v>384</v>
      </c>
      <c r="E2339" t="s">
        <v>385</v>
      </c>
      <c r="F2339" t="s">
        <v>386</v>
      </c>
      <c r="G2339" s="31" t="s">
        <v>387</v>
      </c>
      <c r="L2339">
        <v>7</v>
      </c>
      <c r="M2339">
        <v>7</v>
      </c>
      <c r="N2339" t="s">
        <v>41</v>
      </c>
      <c r="O2339">
        <v>2.2599999999999998</v>
      </c>
      <c r="P2339">
        <v>1768.7059999999999</v>
      </c>
      <c r="Q2339" t="s">
        <v>517</v>
      </c>
      <c r="R2339" s="31">
        <v>1.23</v>
      </c>
    </row>
    <row r="2340" spans="1:18" x14ac:dyDescent="0.3">
      <c r="A2340">
        <v>1</v>
      </c>
      <c r="B2340">
        <v>1</v>
      </c>
      <c r="C2340" t="s">
        <v>0</v>
      </c>
      <c r="D2340">
        <v>1.02</v>
      </c>
      <c r="E2340">
        <v>859.11300000000006</v>
      </c>
      <c r="F2340" t="s">
        <v>388</v>
      </c>
      <c r="G2340" s="31">
        <v>9.32</v>
      </c>
      <c r="L2340">
        <v>8</v>
      </c>
      <c r="M2340">
        <v>8</v>
      </c>
      <c r="N2340" t="s">
        <v>42</v>
      </c>
      <c r="O2340">
        <v>0.89</v>
      </c>
      <c r="P2340">
        <v>2370375.75</v>
      </c>
      <c r="Q2340" t="s">
        <v>518</v>
      </c>
      <c r="R2340" s="31">
        <v>1728.36</v>
      </c>
    </row>
    <row r="2341" spans="1:18" x14ac:dyDescent="0.3">
      <c r="A2341">
        <v>2</v>
      </c>
      <c r="B2341">
        <v>2</v>
      </c>
      <c r="C2341" t="s">
        <v>1</v>
      </c>
      <c r="D2341">
        <v>1.46</v>
      </c>
      <c r="E2341">
        <v>1630.191</v>
      </c>
      <c r="F2341" t="s">
        <v>389</v>
      </c>
      <c r="G2341" s="31">
        <v>4.08</v>
      </c>
      <c r="L2341">
        <v>9</v>
      </c>
      <c r="M2341">
        <v>9</v>
      </c>
      <c r="N2341" t="s">
        <v>43</v>
      </c>
      <c r="O2341">
        <v>2.54</v>
      </c>
      <c r="P2341">
        <v>16881.300999999999</v>
      </c>
      <c r="Q2341" t="s">
        <v>519</v>
      </c>
      <c r="R2341" s="31">
        <v>0.19</v>
      </c>
    </row>
    <row r="2342" spans="1:18" x14ac:dyDescent="0.3">
      <c r="A2342">
        <v>3</v>
      </c>
      <c r="B2342">
        <v>3</v>
      </c>
      <c r="C2342" t="s">
        <v>50</v>
      </c>
      <c r="D2342">
        <v>3.62</v>
      </c>
      <c r="E2342">
        <v>248.65799999999999</v>
      </c>
      <c r="F2342" t="s">
        <v>390</v>
      </c>
      <c r="G2342" s="31">
        <v>0.26</v>
      </c>
      <c r="L2342">
        <v>10</v>
      </c>
      <c r="M2342">
        <v>10</v>
      </c>
      <c r="N2342" t="s">
        <v>52</v>
      </c>
      <c r="O2342">
        <v>4.1100000000000003</v>
      </c>
      <c r="P2342">
        <v>42468.112999999998</v>
      </c>
      <c r="Q2342" t="s">
        <v>520</v>
      </c>
      <c r="R2342" s="31">
        <v>1.83</v>
      </c>
    </row>
    <row r="2343" spans="1:18" x14ac:dyDescent="0.3">
      <c r="A2343">
        <v>4</v>
      </c>
      <c r="B2343">
        <v>4</v>
      </c>
      <c r="C2343" t="s">
        <v>2</v>
      </c>
      <c r="D2343">
        <v>3.69</v>
      </c>
      <c r="E2343">
        <v>17153.891</v>
      </c>
      <c r="F2343" t="s">
        <v>391</v>
      </c>
      <c r="G2343" s="31">
        <v>1.57</v>
      </c>
      <c r="L2343">
        <v>11</v>
      </c>
      <c r="M2343">
        <v>11</v>
      </c>
      <c r="N2343" t="s">
        <v>44</v>
      </c>
      <c r="O2343">
        <v>4.17</v>
      </c>
      <c r="P2343">
        <v>916.63199999999995</v>
      </c>
      <c r="Q2343" t="s">
        <v>521</v>
      </c>
      <c r="R2343" s="31">
        <v>0.14000000000000001</v>
      </c>
    </row>
    <row r="2344" spans="1:18" x14ac:dyDescent="0.3">
      <c r="A2344">
        <v>5</v>
      </c>
      <c r="B2344">
        <v>5</v>
      </c>
      <c r="C2344" t="s">
        <v>3</v>
      </c>
      <c r="D2344">
        <v>4.5</v>
      </c>
      <c r="E2344">
        <v>52.302</v>
      </c>
      <c r="F2344" t="s">
        <v>392</v>
      </c>
      <c r="G2344" s="31">
        <v>0.1</v>
      </c>
      <c r="L2344">
        <v>12</v>
      </c>
      <c r="M2344">
        <v>12</v>
      </c>
      <c r="N2344" t="s">
        <v>45</v>
      </c>
      <c r="O2344">
        <v>3.44</v>
      </c>
      <c r="P2344">
        <v>1325357.125</v>
      </c>
      <c r="Q2344" t="s">
        <v>522</v>
      </c>
      <c r="R2344" s="31">
        <v>20.76</v>
      </c>
    </row>
    <row r="2345" spans="1:18" x14ac:dyDescent="0.3">
      <c r="A2345">
        <v>6</v>
      </c>
      <c r="B2345">
        <v>6</v>
      </c>
      <c r="C2345" t="s">
        <v>4</v>
      </c>
      <c r="D2345">
        <v>4.8</v>
      </c>
      <c r="E2345">
        <v>22680.686000000002</v>
      </c>
      <c r="F2345" t="s">
        <v>393</v>
      </c>
      <c r="G2345" s="31">
        <v>1.73</v>
      </c>
      <c r="L2345">
        <v>13</v>
      </c>
      <c r="M2345">
        <v>13</v>
      </c>
      <c r="N2345" t="s">
        <v>46</v>
      </c>
      <c r="O2345">
        <v>2.58</v>
      </c>
      <c r="P2345">
        <v>190508.109</v>
      </c>
      <c r="Q2345" t="s">
        <v>523</v>
      </c>
      <c r="R2345" s="31">
        <v>6.58</v>
      </c>
    </row>
    <row r="2346" spans="1:18" x14ac:dyDescent="0.3">
      <c r="A2346">
        <v>7</v>
      </c>
      <c r="B2346">
        <v>7</v>
      </c>
      <c r="C2346" t="s">
        <v>5</v>
      </c>
      <c r="D2346">
        <v>2.71</v>
      </c>
      <c r="E2346">
        <v>670.745</v>
      </c>
      <c r="F2346" t="s">
        <v>394</v>
      </c>
      <c r="G2346" s="31">
        <v>0.16</v>
      </c>
      <c r="L2346">
        <v>14</v>
      </c>
      <c r="M2346">
        <v>14</v>
      </c>
      <c r="N2346" t="s">
        <v>47</v>
      </c>
      <c r="O2346">
        <v>0.69</v>
      </c>
      <c r="P2346">
        <v>17125.418000000001</v>
      </c>
      <c r="Q2346" t="s">
        <v>524</v>
      </c>
      <c r="R2346" s="31">
        <v>5.24</v>
      </c>
    </row>
    <row r="2347" spans="1:18" x14ac:dyDescent="0.3">
      <c r="A2347">
        <v>8</v>
      </c>
      <c r="B2347">
        <v>8</v>
      </c>
      <c r="C2347" t="s">
        <v>6</v>
      </c>
      <c r="D2347">
        <v>0.67</v>
      </c>
      <c r="E2347">
        <v>2429.1060000000002</v>
      </c>
      <c r="F2347" t="s">
        <v>395</v>
      </c>
      <c r="G2347" s="31">
        <v>41.67</v>
      </c>
      <c r="L2347">
        <v>15</v>
      </c>
      <c r="M2347">
        <v>15</v>
      </c>
      <c r="N2347" t="s">
        <v>48</v>
      </c>
      <c r="O2347">
        <v>1.21</v>
      </c>
      <c r="P2347">
        <v>21996.504000000001</v>
      </c>
      <c r="Q2347" t="s">
        <v>525</v>
      </c>
      <c r="R2347" s="31">
        <v>2.21</v>
      </c>
    </row>
    <row r="2348" spans="1:18" x14ac:dyDescent="0.3">
      <c r="A2348">
        <v>9</v>
      </c>
      <c r="B2348">
        <v>9</v>
      </c>
      <c r="C2348" t="s">
        <v>7</v>
      </c>
      <c r="D2348">
        <v>3.56</v>
      </c>
      <c r="E2348">
        <v>482.858</v>
      </c>
      <c r="F2348" t="s">
        <v>396</v>
      </c>
      <c r="G2348" s="31">
        <v>1.91</v>
      </c>
      <c r="L2348">
        <v>16</v>
      </c>
      <c r="M2348">
        <v>16</v>
      </c>
      <c r="N2348" t="s">
        <v>53</v>
      </c>
      <c r="O2348">
        <v>4.55</v>
      </c>
      <c r="P2348">
        <v>67424.468999999997</v>
      </c>
      <c r="Q2348" t="s">
        <v>526</v>
      </c>
      <c r="R2348" s="31">
        <v>0.67</v>
      </c>
    </row>
    <row r="2349" spans="1:18" x14ac:dyDescent="0.3">
      <c r="A2349">
        <v>10</v>
      </c>
      <c r="B2349">
        <v>10</v>
      </c>
      <c r="C2349" t="s">
        <v>51</v>
      </c>
      <c r="D2349">
        <v>4.7</v>
      </c>
      <c r="E2349">
        <v>424.80900000000003</v>
      </c>
      <c r="F2349" t="s">
        <v>397</v>
      </c>
      <c r="G2349" s="31">
        <v>0.13</v>
      </c>
      <c r="L2349">
        <v>17</v>
      </c>
      <c r="M2349">
        <v>17</v>
      </c>
      <c r="N2349" t="s">
        <v>54</v>
      </c>
      <c r="O2349">
        <v>5.25</v>
      </c>
      <c r="P2349">
        <v>20.317</v>
      </c>
      <c r="Q2349" t="s">
        <v>527</v>
      </c>
      <c r="R2349" s="31">
        <v>0.1</v>
      </c>
    </row>
    <row r="2350" spans="1:18" x14ac:dyDescent="0.3">
      <c r="A2350">
        <v>11</v>
      </c>
      <c r="B2350">
        <v>11</v>
      </c>
      <c r="C2350" t="s">
        <v>8</v>
      </c>
      <c r="D2350">
        <v>2.74</v>
      </c>
      <c r="E2350">
        <v>23353.955000000002</v>
      </c>
      <c r="F2350" t="s">
        <v>398</v>
      </c>
      <c r="G2350" s="31">
        <v>1.91</v>
      </c>
      <c r="L2350">
        <v>18</v>
      </c>
      <c r="M2350">
        <v>18</v>
      </c>
      <c r="N2350" t="s">
        <v>55</v>
      </c>
      <c r="O2350">
        <v>1.32</v>
      </c>
      <c r="P2350">
        <v>5348.36</v>
      </c>
      <c r="Q2350" t="s">
        <v>528</v>
      </c>
      <c r="R2350" s="31">
        <v>0.15</v>
      </c>
    </row>
    <row r="2351" spans="1:18" x14ac:dyDescent="0.3">
      <c r="A2351">
        <v>12</v>
      </c>
      <c r="B2351">
        <v>12</v>
      </c>
      <c r="C2351" t="s">
        <v>9</v>
      </c>
      <c r="D2351">
        <v>2.63</v>
      </c>
      <c r="E2351">
        <v>2075.3829999999998</v>
      </c>
      <c r="F2351" t="s">
        <v>399</v>
      </c>
      <c r="G2351" s="31">
        <v>1.38</v>
      </c>
      <c r="L2351">
        <v>19</v>
      </c>
      <c r="M2351">
        <v>19</v>
      </c>
      <c r="N2351" t="s">
        <v>56</v>
      </c>
      <c r="O2351">
        <v>0.87</v>
      </c>
      <c r="P2351">
        <v>17410.650000000001</v>
      </c>
      <c r="Q2351" t="s">
        <v>529</v>
      </c>
      <c r="R2351" s="31">
        <v>0.44</v>
      </c>
    </row>
    <row r="2352" spans="1:18" x14ac:dyDescent="0.3">
      <c r="A2352">
        <v>13</v>
      </c>
      <c r="B2352">
        <v>13</v>
      </c>
      <c r="C2352" t="s">
        <v>10</v>
      </c>
      <c r="D2352">
        <v>4.08</v>
      </c>
      <c r="E2352">
        <v>1119148.625</v>
      </c>
      <c r="F2352" t="s">
        <v>400</v>
      </c>
      <c r="G2352" s="31">
        <v>134.36000000000001</v>
      </c>
      <c r="L2352">
        <v>20</v>
      </c>
      <c r="M2352">
        <v>20</v>
      </c>
      <c r="N2352" t="s">
        <v>57</v>
      </c>
      <c r="O2352">
        <v>1.51</v>
      </c>
      <c r="P2352">
        <v>1873.0319999999999</v>
      </c>
      <c r="Q2352" t="s">
        <v>530</v>
      </c>
      <c r="R2352" s="31">
        <v>0.5</v>
      </c>
    </row>
    <row r="2353" spans="1:18" x14ac:dyDescent="0.3">
      <c r="A2353">
        <v>14</v>
      </c>
      <c r="B2353">
        <v>14</v>
      </c>
      <c r="C2353" t="s">
        <v>11</v>
      </c>
      <c r="D2353">
        <v>3.53</v>
      </c>
      <c r="E2353">
        <v>2.0350000000000001</v>
      </c>
      <c r="F2353" t="s">
        <v>401</v>
      </c>
      <c r="G2353" s="31">
        <v>1.7</v>
      </c>
      <c r="L2353">
        <v>21</v>
      </c>
      <c r="M2353">
        <v>21</v>
      </c>
      <c r="N2353" t="s">
        <v>58</v>
      </c>
      <c r="O2353">
        <v>2.4300000000000002</v>
      </c>
      <c r="P2353">
        <v>110.61199999999999</v>
      </c>
      <c r="Q2353" t="s">
        <v>531</v>
      </c>
      <c r="R2353" s="31">
        <v>0.06</v>
      </c>
    </row>
    <row r="2354" spans="1:18" x14ac:dyDescent="0.3">
      <c r="A2354">
        <v>15</v>
      </c>
      <c r="B2354">
        <v>15</v>
      </c>
      <c r="C2354" t="s">
        <v>12</v>
      </c>
      <c r="D2354">
        <v>3.34</v>
      </c>
      <c r="E2354">
        <v>223.732</v>
      </c>
      <c r="F2354" t="s">
        <v>402</v>
      </c>
      <c r="G2354" s="31">
        <v>1.43</v>
      </c>
      <c r="L2354">
        <v>22</v>
      </c>
      <c r="M2354">
        <v>22</v>
      </c>
      <c r="N2354" t="s">
        <v>59</v>
      </c>
      <c r="O2354">
        <v>2.5099999999999998</v>
      </c>
      <c r="P2354">
        <v>45878.663999999997</v>
      </c>
      <c r="Q2354" t="s">
        <v>532</v>
      </c>
      <c r="R2354" s="31">
        <v>4.4800000000000004</v>
      </c>
    </row>
    <row r="2355" spans="1:18" x14ac:dyDescent="0.3">
      <c r="A2355">
        <v>16</v>
      </c>
      <c r="B2355">
        <v>16</v>
      </c>
      <c r="C2355" t="s">
        <v>13</v>
      </c>
      <c r="D2355">
        <v>3.23</v>
      </c>
      <c r="E2355">
        <v>3688.7350000000001</v>
      </c>
      <c r="F2355" t="s">
        <v>403</v>
      </c>
      <c r="G2355" s="31">
        <v>1.22</v>
      </c>
      <c r="L2355">
        <v>23</v>
      </c>
      <c r="M2355">
        <v>23</v>
      </c>
      <c r="N2355" t="s">
        <v>60</v>
      </c>
      <c r="O2355">
        <v>2.59</v>
      </c>
      <c r="P2355">
        <v>28016.668000000001</v>
      </c>
      <c r="Q2355" t="s">
        <v>533</v>
      </c>
      <c r="R2355" s="31">
        <v>1.3</v>
      </c>
    </row>
    <row r="2356" spans="1:18" x14ac:dyDescent="0.3">
      <c r="A2356">
        <v>17</v>
      </c>
      <c r="B2356">
        <v>17</v>
      </c>
      <c r="C2356" t="s">
        <v>14</v>
      </c>
      <c r="D2356">
        <v>2.02</v>
      </c>
      <c r="E2356">
        <v>4487.6980000000003</v>
      </c>
      <c r="F2356" t="s">
        <v>404</v>
      </c>
      <c r="G2356" s="31">
        <v>1.52</v>
      </c>
    </row>
    <row r="2357" spans="1:18" x14ac:dyDescent="0.3">
      <c r="A2357">
        <v>18</v>
      </c>
      <c r="B2357">
        <v>18</v>
      </c>
      <c r="C2357" t="s">
        <v>15</v>
      </c>
      <c r="D2357">
        <v>2.5099999999999998</v>
      </c>
      <c r="E2357">
        <v>31340.164000000001</v>
      </c>
      <c r="F2357" t="s">
        <v>405</v>
      </c>
      <c r="G2357" s="31">
        <v>21.32</v>
      </c>
      <c r="L2357" t="s">
        <v>379</v>
      </c>
    </row>
    <row r="2358" spans="1:18" x14ac:dyDescent="0.3">
      <c r="A2358">
        <v>19</v>
      </c>
      <c r="B2358">
        <v>19</v>
      </c>
      <c r="C2358" t="s">
        <v>16</v>
      </c>
      <c r="D2358">
        <v>2.71</v>
      </c>
      <c r="E2358">
        <v>2308.8389999999999</v>
      </c>
      <c r="F2358" t="s">
        <v>406</v>
      </c>
      <c r="G2358" s="31">
        <v>0.23</v>
      </c>
    </row>
    <row r="2359" spans="1:18" x14ac:dyDescent="0.3">
      <c r="A2359">
        <v>20</v>
      </c>
      <c r="B2359">
        <v>20</v>
      </c>
      <c r="C2359" t="s">
        <v>17</v>
      </c>
      <c r="D2359">
        <v>3.13</v>
      </c>
      <c r="E2359">
        <v>10687.022000000001</v>
      </c>
      <c r="F2359" t="s">
        <v>407</v>
      </c>
      <c r="G2359" s="31">
        <v>2.9</v>
      </c>
      <c r="L2359" t="s">
        <v>604</v>
      </c>
    </row>
    <row r="2360" spans="1:18" x14ac:dyDescent="0.3">
      <c r="A2360">
        <v>21</v>
      </c>
      <c r="B2360">
        <v>21</v>
      </c>
      <c r="C2360" t="s">
        <v>18</v>
      </c>
      <c r="D2360">
        <v>3.68</v>
      </c>
      <c r="E2360">
        <v>12376.087</v>
      </c>
      <c r="F2360" t="s">
        <v>408</v>
      </c>
      <c r="G2360" s="31">
        <v>0.8</v>
      </c>
    </row>
    <row r="2361" spans="1:18" x14ac:dyDescent="0.3">
      <c r="A2361">
        <v>22</v>
      </c>
      <c r="B2361">
        <v>22</v>
      </c>
      <c r="C2361" t="s">
        <v>19</v>
      </c>
      <c r="D2361">
        <v>2.64</v>
      </c>
      <c r="E2361">
        <v>14342.536</v>
      </c>
      <c r="F2361" t="s">
        <v>409</v>
      </c>
      <c r="G2361" s="31">
        <v>2.93</v>
      </c>
      <c r="L2361" t="s">
        <v>611</v>
      </c>
    </row>
    <row r="2362" spans="1:18" x14ac:dyDescent="0.3">
      <c r="A2362">
        <v>23</v>
      </c>
      <c r="B2362">
        <v>23</v>
      </c>
      <c r="C2362" t="s">
        <v>20</v>
      </c>
      <c r="D2362">
        <v>2.89</v>
      </c>
      <c r="E2362">
        <v>25500.865000000002</v>
      </c>
      <c r="F2362" t="s">
        <v>410</v>
      </c>
      <c r="G2362" s="31">
        <v>2.2400000000000002</v>
      </c>
    </row>
    <row r="2363" spans="1:18" x14ac:dyDescent="0.3">
      <c r="A2363">
        <v>24</v>
      </c>
      <c r="B2363">
        <v>24</v>
      </c>
      <c r="C2363" t="s">
        <v>21</v>
      </c>
      <c r="D2363">
        <v>4.2</v>
      </c>
      <c r="E2363">
        <v>30.509</v>
      </c>
      <c r="F2363" t="s">
        <v>411</v>
      </c>
      <c r="G2363" s="31">
        <v>0.1</v>
      </c>
      <c r="M2363" t="s">
        <v>382</v>
      </c>
      <c r="N2363" t="s">
        <v>383</v>
      </c>
      <c r="O2363" t="s">
        <v>384</v>
      </c>
      <c r="P2363" t="s">
        <v>385</v>
      </c>
      <c r="Q2363" t="s">
        <v>386</v>
      </c>
      <c r="R2363" s="31" t="s">
        <v>387</v>
      </c>
    </row>
    <row r="2364" spans="1:18" x14ac:dyDescent="0.3">
      <c r="A2364">
        <v>25</v>
      </c>
      <c r="B2364">
        <v>25</v>
      </c>
      <c r="C2364" t="s">
        <v>22</v>
      </c>
      <c r="D2364">
        <v>3.42</v>
      </c>
      <c r="E2364">
        <v>148.273</v>
      </c>
      <c r="F2364" t="s">
        <v>412</v>
      </c>
      <c r="G2364" s="31">
        <v>5.01</v>
      </c>
      <c r="L2364">
        <v>1</v>
      </c>
      <c r="M2364">
        <v>1</v>
      </c>
      <c r="N2364" t="s">
        <v>35</v>
      </c>
      <c r="O2364">
        <v>1.43</v>
      </c>
      <c r="P2364">
        <v>339928.59399999998</v>
      </c>
      <c r="Q2364" t="s">
        <v>511</v>
      </c>
      <c r="R2364" s="31">
        <v>38.53</v>
      </c>
    </row>
    <row r="2365" spans="1:18" x14ac:dyDescent="0.3">
      <c r="A2365">
        <v>26</v>
      </c>
      <c r="B2365">
        <v>26</v>
      </c>
      <c r="C2365" t="s">
        <v>23</v>
      </c>
      <c r="D2365">
        <v>3.35</v>
      </c>
      <c r="E2365">
        <v>19565.859</v>
      </c>
      <c r="F2365" t="s">
        <v>413</v>
      </c>
      <c r="G2365" s="31">
        <v>2.91</v>
      </c>
      <c r="L2365">
        <v>2</v>
      </c>
      <c r="M2365">
        <v>2</v>
      </c>
      <c r="N2365" t="s">
        <v>36</v>
      </c>
      <c r="O2365">
        <v>1.65</v>
      </c>
      <c r="P2365">
        <v>4169428.75</v>
      </c>
      <c r="Q2365" t="s">
        <v>512</v>
      </c>
      <c r="R2365" s="31">
        <v>327.68</v>
      </c>
    </row>
    <row r="2366" spans="1:18" x14ac:dyDescent="0.3">
      <c r="A2366">
        <v>27</v>
      </c>
      <c r="B2366">
        <v>27</v>
      </c>
      <c r="C2366" t="s">
        <v>24</v>
      </c>
      <c r="D2366">
        <v>3.45</v>
      </c>
      <c r="E2366">
        <v>843.09199999999998</v>
      </c>
      <c r="F2366" t="s">
        <v>414</v>
      </c>
      <c r="G2366" s="31">
        <v>0.72</v>
      </c>
      <c r="L2366">
        <v>3</v>
      </c>
      <c r="M2366">
        <v>3</v>
      </c>
      <c r="N2366" t="s">
        <v>37</v>
      </c>
      <c r="O2366">
        <v>1.79</v>
      </c>
      <c r="P2366">
        <v>3026.7049999999999</v>
      </c>
      <c r="Q2366" t="s">
        <v>513</v>
      </c>
      <c r="R2366" s="31">
        <v>0.41</v>
      </c>
    </row>
    <row r="2367" spans="1:18" x14ac:dyDescent="0.3">
      <c r="A2367">
        <v>28</v>
      </c>
      <c r="B2367">
        <v>28</v>
      </c>
      <c r="C2367" t="s">
        <v>25</v>
      </c>
      <c r="D2367">
        <v>3.52</v>
      </c>
      <c r="E2367">
        <v>3969.4859999999999</v>
      </c>
      <c r="F2367" t="s">
        <v>415</v>
      </c>
      <c r="G2367" s="31">
        <v>1.1200000000000001</v>
      </c>
      <c r="L2367">
        <v>4</v>
      </c>
      <c r="M2367">
        <v>4</v>
      </c>
      <c r="N2367" t="s">
        <v>38</v>
      </c>
      <c r="O2367">
        <v>1.17</v>
      </c>
      <c r="P2367">
        <v>7575.1440000000002</v>
      </c>
      <c r="Q2367" t="s">
        <v>514</v>
      </c>
      <c r="R2367" s="31">
        <v>0.78</v>
      </c>
    </row>
    <row r="2368" spans="1:18" x14ac:dyDescent="0.3">
      <c r="A2368">
        <v>29</v>
      </c>
      <c r="B2368">
        <v>29</v>
      </c>
      <c r="C2368" t="s">
        <v>26</v>
      </c>
      <c r="D2368">
        <v>1.05</v>
      </c>
      <c r="E2368">
        <v>476.26900000000001</v>
      </c>
      <c r="F2368" t="s">
        <v>416</v>
      </c>
      <c r="G2368" s="31">
        <v>1.1599999999999999</v>
      </c>
      <c r="L2368">
        <v>5</v>
      </c>
      <c r="M2368">
        <v>5</v>
      </c>
      <c r="N2368" t="s">
        <v>39</v>
      </c>
      <c r="O2368">
        <v>1.37</v>
      </c>
      <c r="P2368">
        <v>528476.75</v>
      </c>
      <c r="Q2368" t="s">
        <v>515</v>
      </c>
      <c r="R2368" s="31">
        <v>62.44</v>
      </c>
    </row>
    <row r="2369" spans="1:18" x14ac:dyDescent="0.3">
      <c r="A2369">
        <v>30</v>
      </c>
      <c r="B2369">
        <v>30</v>
      </c>
      <c r="C2369" t="s">
        <v>27</v>
      </c>
      <c r="D2369">
        <v>4.33</v>
      </c>
      <c r="E2369">
        <v>172.625</v>
      </c>
      <c r="F2369" t="s">
        <v>417</v>
      </c>
      <c r="G2369" s="31">
        <v>0.14000000000000001</v>
      </c>
      <c r="L2369">
        <v>6</v>
      </c>
      <c r="M2369">
        <v>6</v>
      </c>
      <c r="N2369" t="s">
        <v>40</v>
      </c>
      <c r="O2369">
        <v>1.52</v>
      </c>
      <c r="P2369">
        <v>48796.093999999997</v>
      </c>
      <c r="Q2369" t="s">
        <v>516</v>
      </c>
      <c r="R2369" s="31">
        <v>3.4</v>
      </c>
    </row>
    <row r="2370" spans="1:18" x14ac:dyDescent="0.3">
      <c r="A2370">
        <v>31</v>
      </c>
      <c r="B2370">
        <v>31</v>
      </c>
      <c r="C2370" t="s">
        <v>28</v>
      </c>
      <c r="D2370">
        <v>3</v>
      </c>
      <c r="E2370">
        <v>64004.781000000003</v>
      </c>
      <c r="F2370" t="s">
        <v>418</v>
      </c>
      <c r="G2370" s="31">
        <v>0.38</v>
      </c>
      <c r="L2370">
        <v>7</v>
      </c>
      <c r="M2370">
        <v>7</v>
      </c>
      <c r="N2370" t="s">
        <v>41</v>
      </c>
      <c r="O2370">
        <v>2.2999999999999998</v>
      </c>
      <c r="P2370">
        <v>1597.327</v>
      </c>
      <c r="Q2370" t="s">
        <v>517</v>
      </c>
      <c r="R2370" s="31">
        <v>1.08</v>
      </c>
    </row>
    <row r="2371" spans="1:18" x14ac:dyDescent="0.3">
      <c r="A2371">
        <v>32</v>
      </c>
      <c r="B2371">
        <v>32</v>
      </c>
      <c r="C2371" t="s">
        <v>29</v>
      </c>
      <c r="D2371">
        <v>3.35</v>
      </c>
      <c r="E2371">
        <v>317</v>
      </c>
      <c r="F2371" t="s">
        <v>419</v>
      </c>
      <c r="G2371" s="31">
        <v>0.12</v>
      </c>
      <c r="L2371">
        <v>8</v>
      </c>
      <c r="M2371">
        <v>8</v>
      </c>
      <c r="N2371" t="s">
        <v>42</v>
      </c>
      <c r="O2371">
        <v>0.88</v>
      </c>
      <c r="P2371">
        <v>5808.884</v>
      </c>
      <c r="Q2371" t="s">
        <v>518</v>
      </c>
      <c r="R2371" s="31">
        <v>16.309999999999999</v>
      </c>
    </row>
    <row r="2372" spans="1:18" x14ac:dyDescent="0.3">
      <c r="A2372">
        <v>33</v>
      </c>
      <c r="B2372">
        <v>33</v>
      </c>
      <c r="C2372" t="s">
        <v>30</v>
      </c>
      <c r="D2372">
        <v>4.67</v>
      </c>
      <c r="E2372">
        <v>31769.982</v>
      </c>
      <c r="F2372" t="s">
        <v>420</v>
      </c>
      <c r="G2372" s="31">
        <v>1.37</v>
      </c>
      <c r="L2372">
        <v>9</v>
      </c>
      <c r="M2372">
        <v>9</v>
      </c>
      <c r="N2372" t="s">
        <v>43</v>
      </c>
      <c r="O2372">
        <v>2.54</v>
      </c>
      <c r="P2372">
        <v>12371.619000000001</v>
      </c>
      <c r="Q2372" t="s">
        <v>519</v>
      </c>
      <c r="R2372" s="31">
        <v>0.13</v>
      </c>
    </row>
    <row r="2373" spans="1:18" x14ac:dyDescent="0.3">
      <c r="A2373">
        <v>34</v>
      </c>
      <c r="B2373">
        <v>34</v>
      </c>
      <c r="C2373" t="s">
        <v>31</v>
      </c>
      <c r="D2373">
        <v>3.5</v>
      </c>
      <c r="E2373">
        <v>337.666</v>
      </c>
      <c r="F2373" t="s">
        <v>421</v>
      </c>
      <c r="G2373" s="31">
        <v>0.06</v>
      </c>
      <c r="L2373">
        <v>10</v>
      </c>
      <c r="M2373">
        <v>10</v>
      </c>
      <c r="N2373" t="s">
        <v>52</v>
      </c>
      <c r="O2373">
        <v>4.1100000000000003</v>
      </c>
      <c r="P2373">
        <v>45354.546999999999</v>
      </c>
      <c r="Q2373" t="s">
        <v>520</v>
      </c>
      <c r="R2373" s="31">
        <v>1.9</v>
      </c>
    </row>
    <row r="2374" spans="1:18" x14ac:dyDescent="0.3">
      <c r="A2374">
        <v>35</v>
      </c>
      <c r="B2374">
        <v>35</v>
      </c>
      <c r="C2374" t="s">
        <v>32</v>
      </c>
      <c r="D2374">
        <v>3.06</v>
      </c>
      <c r="E2374">
        <v>262.55</v>
      </c>
      <c r="F2374" t="s">
        <v>422</v>
      </c>
      <c r="G2374" s="31">
        <v>0.14000000000000001</v>
      </c>
      <c r="L2374">
        <v>11</v>
      </c>
      <c r="M2374">
        <v>11</v>
      </c>
      <c r="N2374" t="s">
        <v>44</v>
      </c>
      <c r="O2374">
        <v>4.1900000000000004</v>
      </c>
      <c r="P2374">
        <v>3345.7220000000002</v>
      </c>
      <c r="Q2374" t="s">
        <v>521</v>
      </c>
      <c r="R2374" s="31">
        <v>0.32</v>
      </c>
    </row>
    <row r="2375" spans="1:18" x14ac:dyDescent="0.3">
      <c r="A2375">
        <v>36</v>
      </c>
      <c r="B2375">
        <v>36</v>
      </c>
      <c r="C2375" t="s">
        <v>33</v>
      </c>
      <c r="D2375">
        <v>1.9</v>
      </c>
      <c r="E2375">
        <v>1107.7560000000001</v>
      </c>
      <c r="F2375" t="s">
        <v>423</v>
      </c>
      <c r="G2375" s="31">
        <v>1.07</v>
      </c>
      <c r="L2375">
        <v>12</v>
      </c>
      <c r="M2375">
        <v>12</v>
      </c>
      <c r="N2375" t="s">
        <v>45</v>
      </c>
      <c r="O2375">
        <v>3.44</v>
      </c>
      <c r="P2375">
        <v>2113226</v>
      </c>
      <c r="Q2375" t="s">
        <v>522</v>
      </c>
      <c r="R2375" s="31">
        <v>34.78</v>
      </c>
    </row>
    <row r="2376" spans="1:18" x14ac:dyDescent="0.3">
      <c r="G2376" s="31">
        <f>G2353/G2355</f>
        <v>1.3934426229508197</v>
      </c>
      <c r="L2376">
        <v>13</v>
      </c>
      <c r="M2376">
        <v>13</v>
      </c>
      <c r="N2376" t="s">
        <v>46</v>
      </c>
      <c r="O2376">
        <v>2.58</v>
      </c>
      <c r="P2376">
        <v>228508.516</v>
      </c>
      <c r="Q2376" t="s">
        <v>523</v>
      </c>
      <c r="R2376" s="31">
        <v>7.78</v>
      </c>
    </row>
    <row r="2377" spans="1:18" x14ac:dyDescent="0.3">
      <c r="A2377" t="s">
        <v>379</v>
      </c>
      <c r="L2377">
        <v>14</v>
      </c>
      <c r="M2377">
        <v>14</v>
      </c>
      <c r="N2377" t="s">
        <v>47</v>
      </c>
      <c r="O2377">
        <v>0.68</v>
      </c>
      <c r="P2377">
        <v>56570.504000000001</v>
      </c>
      <c r="Q2377" t="s">
        <v>524</v>
      </c>
      <c r="R2377" s="31">
        <v>19.53</v>
      </c>
    </row>
    <row r="2378" spans="1:18" x14ac:dyDescent="0.3">
      <c r="L2378">
        <v>15</v>
      </c>
      <c r="M2378">
        <v>15</v>
      </c>
      <c r="N2378" t="s">
        <v>48</v>
      </c>
      <c r="O2378">
        <v>1.21</v>
      </c>
      <c r="P2378">
        <v>41141.425999999999</v>
      </c>
      <c r="Q2378" t="s">
        <v>525</v>
      </c>
      <c r="R2378" s="31">
        <v>4.1900000000000004</v>
      </c>
    </row>
    <row r="2379" spans="1:18" x14ac:dyDescent="0.3">
      <c r="A2379" t="s">
        <v>456</v>
      </c>
      <c r="L2379">
        <v>16</v>
      </c>
      <c r="M2379">
        <v>16</v>
      </c>
      <c r="N2379" t="s">
        <v>53</v>
      </c>
      <c r="O2379">
        <v>4.55</v>
      </c>
      <c r="P2379">
        <v>72149.804999999993</v>
      </c>
      <c r="Q2379" t="s">
        <v>526</v>
      </c>
      <c r="R2379" s="31">
        <v>0.7</v>
      </c>
    </row>
    <row r="2380" spans="1:18" x14ac:dyDescent="0.3">
      <c r="L2380">
        <v>17</v>
      </c>
      <c r="M2380">
        <v>17</v>
      </c>
      <c r="N2380" t="s">
        <v>54</v>
      </c>
      <c r="O2380">
        <v>5.22</v>
      </c>
      <c r="P2380">
        <v>69.792000000000002</v>
      </c>
      <c r="Q2380" t="s">
        <v>527</v>
      </c>
      <c r="R2380" s="31">
        <v>0.1</v>
      </c>
    </row>
    <row r="2381" spans="1:18" x14ac:dyDescent="0.3">
      <c r="A2381" t="s">
        <v>478</v>
      </c>
      <c r="L2381">
        <v>18</v>
      </c>
      <c r="M2381">
        <v>18</v>
      </c>
      <c r="N2381" t="s">
        <v>55</v>
      </c>
      <c r="O2381">
        <v>1.32</v>
      </c>
      <c r="P2381">
        <v>3548.4110000000001</v>
      </c>
      <c r="Q2381" t="s">
        <v>528</v>
      </c>
      <c r="R2381" s="31">
        <v>0.09</v>
      </c>
    </row>
    <row r="2382" spans="1:18" x14ac:dyDescent="0.3">
      <c r="L2382">
        <v>19</v>
      </c>
      <c r="M2382">
        <v>19</v>
      </c>
      <c r="N2382" t="s">
        <v>56</v>
      </c>
      <c r="O2382">
        <v>0.87</v>
      </c>
      <c r="P2382">
        <v>28237.111000000001</v>
      </c>
      <c r="Q2382" t="s">
        <v>529</v>
      </c>
      <c r="R2382" s="31">
        <v>0.94</v>
      </c>
    </row>
    <row r="2383" spans="1:18" x14ac:dyDescent="0.3">
      <c r="B2383" t="s">
        <v>382</v>
      </c>
      <c r="C2383" t="s">
        <v>383</v>
      </c>
      <c r="D2383" t="s">
        <v>384</v>
      </c>
      <c r="E2383" t="s">
        <v>385</v>
      </c>
      <c r="F2383" t="s">
        <v>386</v>
      </c>
      <c r="G2383" s="31" t="s">
        <v>387</v>
      </c>
      <c r="L2383">
        <v>20</v>
      </c>
      <c r="M2383">
        <v>20</v>
      </c>
      <c r="N2383" t="s">
        <v>57</v>
      </c>
      <c r="O2383">
        <v>1.51</v>
      </c>
      <c r="P2383">
        <v>1043.251</v>
      </c>
      <c r="Q2383" t="s">
        <v>530</v>
      </c>
      <c r="R2383" s="31">
        <v>0.27</v>
      </c>
    </row>
    <row r="2384" spans="1:18" x14ac:dyDescent="0.3">
      <c r="A2384">
        <v>1</v>
      </c>
      <c r="B2384">
        <v>1</v>
      </c>
      <c r="C2384" t="s">
        <v>0</v>
      </c>
      <c r="D2384">
        <v>1.02</v>
      </c>
      <c r="E2384">
        <v>459.17599999999999</v>
      </c>
      <c r="F2384" t="s">
        <v>388</v>
      </c>
      <c r="G2384" s="31">
        <v>5.16</v>
      </c>
      <c r="L2384">
        <v>21</v>
      </c>
      <c r="M2384">
        <v>21</v>
      </c>
      <c r="N2384" t="s">
        <v>58</v>
      </c>
      <c r="O2384">
        <v>2.5499999999999998</v>
      </c>
      <c r="P2384">
        <v>312.471</v>
      </c>
      <c r="Q2384" t="s">
        <v>531</v>
      </c>
      <c r="R2384" s="31">
        <v>0.13</v>
      </c>
    </row>
    <row r="2385" spans="1:18" x14ac:dyDescent="0.3">
      <c r="A2385">
        <v>2</v>
      </c>
      <c r="B2385">
        <v>2</v>
      </c>
      <c r="C2385" t="s">
        <v>1</v>
      </c>
      <c r="D2385">
        <v>1.45</v>
      </c>
      <c r="E2385">
        <v>13995.94</v>
      </c>
      <c r="F2385" t="s">
        <v>389</v>
      </c>
      <c r="G2385" s="31">
        <v>31.5</v>
      </c>
      <c r="L2385">
        <v>22</v>
      </c>
      <c r="M2385">
        <v>22</v>
      </c>
      <c r="N2385" t="s">
        <v>59</v>
      </c>
      <c r="O2385">
        <v>2.5099999999999998</v>
      </c>
      <c r="P2385">
        <v>78495.391000000003</v>
      </c>
      <c r="Q2385" t="s">
        <v>532</v>
      </c>
      <c r="R2385" s="31">
        <v>7.51</v>
      </c>
    </row>
    <row r="2386" spans="1:18" x14ac:dyDescent="0.3">
      <c r="A2386">
        <v>3</v>
      </c>
      <c r="B2386">
        <v>3</v>
      </c>
      <c r="C2386" t="s">
        <v>50</v>
      </c>
      <c r="D2386">
        <v>3.55</v>
      </c>
      <c r="E2386">
        <v>765.202</v>
      </c>
      <c r="F2386" t="s">
        <v>390</v>
      </c>
      <c r="G2386" s="31">
        <v>0.8</v>
      </c>
      <c r="L2386">
        <v>23</v>
      </c>
      <c r="M2386">
        <v>23</v>
      </c>
      <c r="N2386" t="s">
        <v>60</v>
      </c>
      <c r="O2386">
        <v>2.56</v>
      </c>
      <c r="P2386">
        <v>33279.940999999999</v>
      </c>
      <c r="Q2386" t="s">
        <v>533</v>
      </c>
      <c r="R2386" s="31">
        <v>1.47</v>
      </c>
    </row>
    <row r="2387" spans="1:18" x14ac:dyDescent="0.3">
      <c r="A2387">
        <v>4</v>
      </c>
      <c r="B2387">
        <v>4</v>
      </c>
      <c r="C2387" t="s">
        <v>2</v>
      </c>
      <c r="D2387">
        <v>3.69</v>
      </c>
      <c r="E2387">
        <v>6854.5079999999998</v>
      </c>
      <c r="F2387" t="s">
        <v>391</v>
      </c>
      <c r="G2387" s="31">
        <v>0.78</v>
      </c>
    </row>
    <row r="2388" spans="1:18" x14ac:dyDescent="0.3">
      <c r="A2388">
        <v>5</v>
      </c>
      <c r="B2388">
        <v>5</v>
      </c>
      <c r="C2388" t="s">
        <v>3</v>
      </c>
      <c r="D2388">
        <v>4.4800000000000004</v>
      </c>
      <c r="E2388">
        <v>1039.204</v>
      </c>
      <c r="F2388" t="s">
        <v>392</v>
      </c>
      <c r="G2388" s="31">
        <v>3.11</v>
      </c>
      <c r="L2388" t="s">
        <v>379</v>
      </c>
    </row>
    <row r="2389" spans="1:18" x14ac:dyDescent="0.3">
      <c r="A2389">
        <v>6</v>
      </c>
      <c r="B2389">
        <v>6</v>
      </c>
      <c r="C2389" t="s">
        <v>4</v>
      </c>
      <c r="D2389">
        <v>4.8</v>
      </c>
      <c r="E2389">
        <v>22806.673999999999</v>
      </c>
      <c r="F2389" t="s">
        <v>393</v>
      </c>
      <c r="G2389" s="31">
        <v>1.91</v>
      </c>
    </row>
    <row r="2390" spans="1:18" x14ac:dyDescent="0.3">
      <c r="A2390">
        <v>7</v>
      </c>
      <c r="B2390">
        <v>7</v>
      </c>
      <c r="C2390" t="s">
        <v>5</v>
      </c>
      <c r="D2390">
        <v>2.7</v>
      </c>
      <c r="E2390">
        <v>140.19200000000001</v>
      </c>
      <c r="F2390" t="s">
        <v>394</v>
      </c>
      <c r="G2390" s="31">
        <v>0.05</v>
      </c>
      <c r="L2390" t="s">
        <v>604</v>
      </c>
    </row>
    <row r="2391" spans="1:18" x14ac:dyDescent="0.3">
      <c r="A2391">
        <v>8</v>
      </c>
      <c r="B2391">
        <v>8</v>
      </c>
      <c r="C2391" t="s">
        <v>6</v>
      </c>
      <c r="D2391">
        <v>0.66</v>
      </c>
      <c r="E2391">
        <v>1165.886</v>
      </c>
      <c r="F2391" t="s">
        <v>395</v>
      </c>
      <c r="G2391" s="31">
        <v>23.56</v>
      </c>
    </row>
    <row r="2392" spans="1:18" x14ac:dyDescent="0.3">
      <c r="A2392">
        <v>9</v>
      </c>
      <c r="B2392">
        <v>9</v>
      </c>
      <c r="C2392" t="s">
        <v>7</v>
      </c>
      <c r="D2392">
        <v>3.56</v>
      </c>
      <c r="E2392">
        <v>505.93</v>
      </c>
      <c r="F2392" t="s">
        <v>396</v>
      </c>
      <c r="G2392" s="31">
        <v>2.2000000000000002</v>
      </c>
      <c r="L2392" t="s">
        <v>612</v>
      </c>
    </row>
    <row r="2393" spans="1:18" x14ac:dyDescent="0.3">
      <c r="A2393">
        <v>10</v>
      </c>
      <c r="B2393">
        <v>10</v>
      </c>
      <c r="C2393" t="s">
        <v>51</v>
      </c>
      <c r="D2393">
        <v>4.7699999999999996</v>
      </c>
      <c r="E2393">
        <v>351.483</v>
      </c>
      <c r="F2393" t="s">
        <v>397</v>
      </c>
      <c r="G2393" s="31">
        <v>0.12</v>
      </c>
    </row>
    <row r="2394" spans="1:18" x14ac:dyDescent="0.3">
      <c r="A2394">
        <v>11</v>
      </c>
      <c r="B2394">
        <v>11</v>
      </c>
      <c r="C2394" t="s">
        <v>8</v>
      </c>
      <c r="D2394">
        <v>2.74</v>
      </c>
      <c r="E2394">
        <v>27464.641</v>
      </c>
      <c r="F2394" t="s">
        <v>398</v>
      </c>
      <c r="G2394" s="31">
        <v>2.42</v>
      </c>
      <c r="M2394" t="s">
        <v>382</v>
      </c>
      <c r="N2394" t="s">
        <v>383</v>
      </c>
      <c r="O2394" t="s">
        <v>384</v>
      </c>
      <c r="P2394" t="s">
        <v>385</v>
      </c>
      <c r="Q2394" t="s">
        <v>386</v>
      </c>
      <c r="R2394" s="31" t="s">
        <v>387</v>
      </c>
    </row>
    <row r="2395" spans="1:18" x14ac:dyDescent="0.3">
      <c r="A2395">
        <v>12</v>
      </c>
      <c r="B2395">
        <v>12</v>
      </c>
      <c r="C2395" t="s">
        <v>9</v>
      </c>
      <c r="D2395">
        <v>2.62</v>
      </c>
      <c r="E2395">
        <v>1281.396</v>
      </c>
      <c r="F2395" t="s">
        <v>399</v>
      </c>
      <c r="G2395" s="31">
        <v>1.1599999999999999</v>
      </c>
      <c r="L2395">
        <v>1</v>
      </c>
      <c r="M2395">
        <v>1</v>
      </c>
      <c r="N2395" t="s">
        <v>35</v>
      </c>
      <c r="O2395">
        <v>1.47</v>
      </c>
      <c r="P2395">
        <v>2.165</v>
      </c>
      <c r="Q2395" t="s">
        <v>511</v>
      </c>
      <c r="R2395" s="31">
        <v>81.93</v>
      </c>
    </row>
    <row r="2396" spans="1:18" x14ac:dyDescent="0.3">
      <c r="A2396">
        <v>13</v>
      </c>
      <c r="B2396">
        <v>13</v>
      </c>
      <c r="C2396" t="s">
        <v>10</v>
      </c>
      <c r="D2396">
        <v>4.09</v>
      </c>
      <c r="E2396">
        <v>603500.06299999997</v>
      </c>
      <c r="F2396" t="s">
        <v>400</v>
      </c>
      <c r="G2396" s="31">
        <v>70.87</v>
      </c>
      <c r="L2396">
        <v>2</v>
      </c>
      <c r="M2396">
        <v>2</v>
      </c>
      <c r="N2396" t="s">
        <v>36</v>
      </c>
      <c r="O2396">
        <v>1.68</v>
      </c>
      <c r="P2396">
        <v>273.95499999999998</v>
      </c>
      <c r="Q2396" t="s">
        <v>512</v>
      </c>
      <c r="R2396" s="31">
        <v>427.99</v>
      </c>
    </row>
    <row r="2397" spans="1:18" x14ac:dyDescent="0.3">
      <c r="A2397">
        <v>14</v>
      </c>
      <c r="B2397">
        <v>14</v>
      </c>
      <c r="C2397" t="s">
        <v>11</v>
      </c>
      <c r="D2397">
        <v>3.53</v>
      </c>
      <c r="E2397">
        <v>25.905999999999999</v>
      </c>
      <c r="F2397" t="s">
        <v>401</v>
      </c>
      <c r="G2397" s="31">
        <v>3.57</v>
      </c>
      <c r="L2397">
        <v>3</v>
      </c>
      <c r="M2397">
        <v>3</v>
      </c>
      <c r="N2397" t="s">
        <v>37</v>
      </c>
      <c r="Q2397" t="s">
        <v>513</v>
      </c>
      <c r="R2397" s="31">
        <v>0.1</v>
      </c>
    </row>
    <row r="2398" spans="1:18" x14ac:dyDescent="0.3">
      <c r="A2398">
        <v>15</v>
      </c>
      <c r="B2398">
        <v>15</v>
      </c>
      <c r="C2398" t="s">
        <v>12</v>
      </c>
      <c r="D2398">
        <v>3.33</v>
      </c>
      <c r="E2398">
        <v>163.99700000000001</v>
      </c>
      <c r="F2398" t="s">
        <v>402</v>
      </c>
      <c r="G2398" s="31">
        <v>1.1599999999999999</v>
      </c>
      <c r="L2398">
        <v>4</v>
      </c>
      <c r="M2398">
        <v>4</v>
      </c>
      <c r="N2398" t="s">
        <v>38</v>
      </c>
      <c r="O2398">
        <v>1.19</v>
      </c>
      <c r="P2398">
        <v>32.996000000000002</v>
      </c>
      <c r="Q2398" t="s">
        <v>514</v>
      </c>
      <c r="R2398" s="31">
        <v>0.64</v>
      </c>
    </row>
    <row r="2399" spans="1:18" x14ac:dyDescent="0.3">
      <c r="A2399">
        <v>16</v>
      </c>
      <c r="B2399">
        <v>16</v>
      </c>
      <c r="C2399" t="s">
        <v>13</v>
      </c>
      <c r="D2399">
        <v>3.23</v>
      </c>
      <c r="E2399">
        <v>4384.0969999999998</v>
      </c>
      <c r="F2399" t="s">
        <v>403</v>
      </c>
      <c r="G2399" s="31">
        <v>1.52</v>
      </c>
      <c r="L2399">
        <v>5</v>
      </c>
      <c r="M2399">
        <v>5</v>
      </c>
      <c r="N2399" t="s">
        <v>39</v>
      </c>
      <c r="O2399">
        <v>1.39</v>
      </c>
      <c r="P2399">
        <v>15.992000000000001</v>
      </c>
      <c r="Q2399" t="s">
        <v>515</v>
      </c>
      <c r="R2399" s="31">
        <v>45.82</v>
      </c>
    </row>
    <row r="2400" spans="1:18" x14ac:dyDescent="0.3">
      <c r="A2400">
        <v>17</v>
      </c>
      <c r="B2400">
        <v>17</v>
      </c>
      <c r="C2400" t="s">
        <v>14</v>
      </c>
      <c r="D2400">
        <v>2.0099999999999998</v>
      </c>
      <c r="E2400">
        <v>2499.328</v>
      </c>
      <c r="F2400" t="s">
        <v>404</v>
      </c>
      <c r="G2400" s="31">
        <v>1.23</v>
      </c>
      <c r="L2400">
        <v>6</v>
      </c>
      <c r="M2400">
        <v>6</v>
      </c>
      <c r="N2400" t="s">
        <v>40</v>
      </c>
      <c r="Q2400" t="s">
        <v>516</v>
      </c>
      <c r="R2400" s="31">
        <v>0.1</v>
      </c>
    </row>
    <row r="2401" spans="1:18" x14ac:dyDescent="0.3">
      <c r="A2401">
        <v>18</v>
      </c>
      <c r="B2401">
        <v>18</v>
      </c>
      <c r="C2401" t="s">
        <v>15</v>
      </c>
      <c r="D2401">
        <v>2.5</v>
      </c>
      <c r="E2401">
        <v>13481.786</v>
      </c>
      <c r="F2401" t="s">
        <v>405</v>
      </c>
      <c r="G2401" s="31">
        <v>11.34</v>
      </c>
      <c r="L2401">
        <v>7</v>
      </c>
      <c r="M2401">
        <v>7</v>
      </c>
      <c r="N2401" t="s">
        <v>41</v>
      </c>
      <c r="O2401">
        <v>2.1</v>
      </c>
      <c r="P2401">
        <v>9.2569999999999997</v>
      </c>
      <c r="Q2401" t="s">
        <v>517</v>
      </c>
      <c r="R2401" s="31">
        <v>1.55</v>
      </c>
    </row>
    <row r="2402" spans="1:18" x14ac:dyDescent="0.3">
      <c r="A2402">
        <v>19</v>
      </c>
      <c r="B2402">
        <v>19</v>
      </c>
      <c r="C2402" t="s">
        <v>16</v>
      </c>
      <c r="D2402">
        <v>2.71</v>
      </c>
      <c r="E2402">
        <v>1698.75</v>
      </c>
      <c r="F2402" t="s">
        <v>406</v>
      </c>
      <c r="G2402" s="31">
        <v>0.2</v>
      </c>
      <c r="L2402">
        <v>8</v>
      </c>
      <c r="M2402">
        <v>8</v>
      </c>
      <c r="N2402" t="s">
        <v>42</v>
      </c>
      <c r="Q2402" t="s">
        <v>518</v>
      </c>
      <c r="R2402" s="31">
        <v>0.1</v>
      </c>
    </row>
    <row r="2403" spans="1:18" x14ac:dyDescent="0.3">
      <c r="A2403">
        <v>20</v>
      </c>
      <c r="B2403">
        <v>20</v>
      </c>
      <c r="C2403" t="s">
        <v>17</v>
      </c>
      <c r="D2403">
        <v>3.13</v>
      </c>
      <c r="E2403">
        <v>5928.6</v>
      </c>
      <c r="F2403" t="s">
        <v>407</v>
      </c>
      <c r="G2403" s="31">
        <v>1.73</v>
      </c>
      <c r="L2403">
        <v>9</v>
      </c>
      <c r="M2403">
        <v>9</v>
      </c>
      <c r="N2403" t="s">
        <v>43</v>
      </c>
      <c r="O2403">
        <v>2.44</v>
      </c>
      <c r="P2403">
        <v>46.723999999999997</v>
      </c>
      <c r="Q2403" t="s">
        <v>519</v>
      </c>
      <c r="R2403" s="31">
        <v>0.12</v>
      </c>
    </row>
    <row r="2404" spans="1:18" x14ac:dyDescent="0.3">
      <c r="A2404">
        <v>21</v>
      </c>
      <c r="B2404">
        <v>21</v>
      </c>
      <c r="C2404" t="s">
        <v>18</v>
      </c>
      <c r="D2404">
        <v>3.68</v>
      </c>
      <c r="E2404">
        <v>6756.1419999999998</v>
      </c>
      <c r="F2404" t="s">
        <v>408</v>
      </c>
      <c r="G2404" s="31">
        <v>0.48</v>
      </c>
      <c r="L2404">
        <v>10</v>
      </c>
      <c r="M2404">
        <v>10</v>
      </c>
      <c r="N2404" t="s">
        <v>52</v>
      </c>
      <c r="O2404">
        <v>4.13</v>
      </c>
      <c r="P2404">
        <v>134.12299999999999</v>
      </c>
      <c r="Q2404" t="s">
        <v>520</v>
      </c>
      <c r="R2404" s="31">
        <v>0.1</v>
      </c>
    </row>
    <row r="2405" spans="1:18" x14ac:dyDescent="0.3">
      <c r="A2405">
        <v>22</v>
      </c>
      <c r="B2405">
        <v>22</v>
      </c>
      <c r="C2405" t="s">
        <v>19</v>
      </c>
      <c r="D2405">
        <v>2.64</v>
      </c>
      <c r="E2405">
        <v>7398.0810000000001</v>
      </c>
      <c r="F2405" t="s">
        <v>409</v>
      </c>
      <c r="G2405" s="31">
        <v>2.2599999999999998</v>
      </c>
      <c r="L2405">
        <v>11</v>
      </c>
      <c r="M2405">
        <v>11</v>
      </c>
      <c r="N2405" t="s">
        <v>44</v>
      </c>
      <c r="Q2405" t="s">
        <v>521</v>
      </c>
      <c r="R2405" s="31">
        <v>0.1</v>
      </c>
    </row>
    <row r="2406" spans="1:18" x14ac:dyDescent="0.3">
      <c r="A2406">
        <v>23</v>
      </c>
      <c r="B2406">
        <v>23</v>
      </c>
      <c r="C2406" t="s">
        <v>20</v>
      </c>
      <c r="D2406">
        <v>2.89</v>
      </c>
      <c r="E2406">
        <v>18130.386999999999</v>
      </c>
      <c r="F2406" t="s">
        <v>410</v>
      </c>
      <c r="G2406" s="31">
        <v>1.81</v>
      </c>
      <c r="L2406">
        <v>12</v>
      </c>
      <c r="M2406">
        <v>12</v>
      </c>
      <c r="N2406" t="s">
        <v>45</v>
      </c>
      <c r="O2406">
        <v>3.36</v>
      </c>
      <c r="P2406">
        <v>60.405000000000001</v>
      </c>
      <c r="Q2406" t="s">
        <v>522</v>
      </c>
      <c r="R2406" s="31">
        <v>0.1</v>
      </c>
    </row>
    <row r="2407" spans="1:18" x14ac:dyDescent="0.3">
      <c r="A2407">
        <v>24</v>
      </c>
      <c r="B2407">
        <v>24</v>
      </c>
      <c r="C2407" t="s">
        <v>21</v>
      </c>
      <c r="D2407">
        <v>4.1100000000000003</v>
      </c>
      <c r="E2407">
        <v>489.50599999999997</v>
      </c>
      <c r="F2407" t="s">
        <v>411</v>
      </c>
      <c r="G2407" s="31">
        <v>0.14000000000000001</v>
      </c>
      <c r="L2407">
        <v>13</v>
      </c>
      <c r="M2407">
        <v>13</v>
      </c>
      <c r="N2407" t="s">
        <v>46</v>
      </c>
      <c r="O2407">
        <v>2.57</v>
      </c>
      <c r="P2407">
        <v>1635.172</v>
      </c>
      <c r="Q2407" t="s">
        <v>523</v>
      </c>
      <c r="R2407" s="31">
        <v>0.1</v>
      </c>
    </row>
    <row r="2408" spans="1:18" x14ac:dyDescent="0.3">
      <c r="A2408">
        <v>25</v>
      </c>
      <c r="B2408">
        <v>25</v>
      </c>
      <c r="C2408" t="s">
        <v>22</v>
      </c>
      <c r="D2408">
        <v>3.41</v>
      </c>
      <c r="E2408">
        <v>276.7</v>
      </c>
      <c r="F2408" t="s">
        <v>412</v>
      </c>
      <c r="G2408" s="31">
        <v>6.64</v>
      </c>
      <c r="L2408">
        <v>14</v>
      </c>
      <c r="M2408">
        <v>14</v>
      </c>
      <c r="N2408" t="s">
        <v>47</v>
      </c>
      <c r="Q2408" t="s">
        <v>524</v>
      </c>
      <c r="R2408" s="31">
        <v>0.1</v>
      </c>
    </row>
    <row r="2409" spans="1:18" x14ac:dyDescent="0.3">
      <c r="A2409">
        <v>26</v>
      </c>
      <c r="B2409">
        <v>26</v>
      </c>
      <c r="C2409" t="s">
        <v>23</v>
      </c>
      <c r="D2409">
        <v>3.35</v>
      </c>
      <c r="E2409">
        <v>125388.844</v>
      </c>
      <c r="F2409" t="s">
        <v>413</v>
      </c>
      <c r="G2409" s="31">
        <v>18.32</v>
      </c>
      <c r="L2409">
        <v>15</v>
      </c>
      <c r="M2409">
        <v>15</v>
      </c>
      <c r="N2409" t="s">
        <v>48</v>
      </c>
      <c r="O2409">
        <v>1.22</v>
      </c>
      <c r="P2409">
        <v>63.706000000000003</v>
      </c>
      <c r="Q2409" t="s">
        <v>525</v>
      </c>
      <c r="R2409" s="31">
        <v>0.1</v>
      </c>
    </row>
    <row r="2410" spans="1:18" x14ac:dyDescent="0.3">
      <c r="A2410">
        <v>27</v>
      </c>
      <c r="B2410">
        <v>27</v>
      </c>
      <c r="C2410" t="s">
        <v>24</v>
      </c>
      <c r="D2410">
        <v>3.44</v>
      </c>
      <c r="E2410">
        <v>635.72299999999996</v>
      </c>
      <c r="F2410" t="s">
        <v>414</v>
      </c>
      <c r="G2410" s="31">
        <v>0.53</v>
      </c>
      <c r="L2410">
        <v>16</v>
      </c>
      <c r="M2410">
        <v>16</v>
      </c>
      <c r="N2410" t="s">
        <v>53</v>
      </c>
      <c r="O2410">
        <v>4.6100000000000003</v>
      </c>
      <c r="P2410">
        <v>152.37299999999999</v>
      </c>
      <c r="Q2410" t="s">
        <v>526</v>
      </c>
      <c r="R2410" s="31">
        <v>0.1</v>
      </c>
    </row>
    <row r="2411" spans="1:18" x14ac:dyDescent="0.3">
      <c r="A2411">
        <v>28</v>
      </c>
      <c r="B2411">
        <v>28</v>
      </c>
      <c r="C2411" t="s">
        <v>25</v>
      </c>
      <c r="D2411">
        <v>3.52</v>
      </c>
      <c r="E2411">
        <v>12356.861999999999</v>
      </c>
      <c r="F2411" t="s">
        <v>415</v>
      </c>
      <c r="G2411" s="31">
        <v>3.04</v>
      </c>
      <c r="L2411">
        <v>17</v>
      </c>
      <c r="M2411">
        <v>17</v>
      </c>
      <c r="N2411" t="s">
        <v>54</v>
      </c>
      <c r="O2411">
        <v>5.22</v>
      </c>
      <c r="P2411">
        <v>14.694000000000001</v>
      </c>
      <c r="Q2411" t="s">
        <v>527</v>
      </c>
      <c r="R2411" s="31">
        <v>0.1</v>
      </c>
    </row>
    <row r="2412" spans="1:18" x14ac:dyDescent="0.3">
      <c r="A2412">
        <v>29</v>
      </c>
      <c r="B2412">
        <v>29</v>
      </c>
      <c r="C2412" t="s">
        <v>26</v>
      </c>
      <c r="D2412">
        <v>1.06</v>
      </c>
      <c r="E2412">
        <v>176.45099999999999</v>
      </c>
      <c r="F2412" t="s">
        <v>416</v>
      </c>
      <c r="G2412" s="31">
        <v>0.88</v>
      </c>
      <c r="L2412">
        <v>18</v>
      </c>
      <c r="M2412">
        <v>18</v>
      </c>
      <c r="N2412" t="s">
        <v>55</v>
      </c>
      <c r="Q2412" t="s">
        <v>528</v>
      </c>
      <c r="R2412" s="31">
        <v>0.1</v>
      </c>
    </row>
    <row r="2413" spans="1:18" x14ac:dyDescent="0.3">
      <c r="A2413">
        <v>30</v>
      </c>
      <c r="B2413">
        <v>30</v>
      </c>
      <c r="C2413" t="s">
        <v>27</v>
      </c>
      <c r="D2413">
        <v>4.2699999999999996</v>
      </c>
      <c r="E2413">
        <v>1800.412</v>
      </c>
      <c r="F2413" t="s">
        <v>417</v>
      </c>
      <c r="G2413" s="31">
        <v>0.23</v>
      </c>
      <c r="L2413">
        <v>19</v>
      </c>
      <c r="M2413">
        <v>19</v>
      </c>
      <c r="N2413" t="s">
        <v>56</v>
      </c>
      <c r="O2413">
        <v>0.9</v>
      </c>
      <c r="P2413">
        <v>15.646000000000001</v>
      </c>
      <c r="Q2413" t="s">
        <v>529</v>
      </c>
      <c r="R2413" s="31">
        <v>0.1</v>
      </c>
    </row>
    <row r="2414" spans="1:18" x14ac:dyDescent="0.3">
      <c r="A2414">
        <v>31</v>
      </c>
      <c r="B2414">
        <v>31</v>
      </c>
      <c r="C2414" t="s">
        <v>28</v>
      </c>
      <c r="D2414">
        <v>3</v>
      </c>
      <c r="E2414">
        <v>213385.25</v>
      </c>
      <c r="F2414" t="s">
        <v>418</v>
      </c>
      <c r="G2414" s="31">
        <v>2</v>
      </c>
      <c r="L2414">
        <v>20</v>
      </c>
      <c r="M2414">
        <v>20</v>
      </c>
      <c r="N2414" t="s">
        <v>57</v>
      </c>
      <c r="Q2414" t="s">
        <v>530</v>
      </c>
      <c r="R2414" s="31">
        <v>0.1</v>
      </c>
    </row>
    <row r="2415" spans="1:18" x14ac:dyDescent="0.3">
      <c r="A2415">
        <v>32</v>
      </c>
      <c r="B2415">
        <v>32</v>
      </c>
      <c r="C2415" t="s">
        <v>29</v>
      </c>
      <c r="D2415">
        <v>3.34</v>
      </c>
      <c r="E2415">
        <v>491.20400000000001</v>
      </c>
      <c r="F2415" t="s">
        <v>419</v>
      </c>
      <c r="G2415" s="31">
        <v>0.16</v>
      </c>
      <c r="L2415">
        <v>21</v>
      </c>
      <c r="M2415">
        <v>21</v>
      </c>
      <c r="N2415" t="s">
        <v>58</v>
      </c>
      <c r="Q2415" t="s">
        <v>531</v>
      </c>
      <c r="R2415" s="31">
        <v>0.1</v>
      </c>
    </row>
    <row r="2416" spans="1:18" x14ac:dyDescent="0.3">
      <c r="A2416">
        <v>33</v>
      </c>
      <c r="B2416">
        <v>33</v>
      </c>
      <c r="C2416" t="s">
        <v>30</v>
      </c>
      <c r="D2416">
        <v>4.67</v>
      </c>
      <c r="E2416">
        <v>76542.008000000002</v>
      </c>
      <c r="F2416" t="s">
        <v>420</v>
      </c>
      <c r="G2416" s="31">
        <v>2.65</v>
      </c>
      <c r="L2416">
        <v>22</v>
      </c>
      <c r="M2416">
        <v>22</v>
      </c>
      <c r="N2416" t="s">
        <v>59</v>
      </c>
      <c r="Q2416" t="s">
        <v>532</v>
      </c>
      <c r="R2416" s="31">
        <v>0.1</v>
      </c>
    </row>
    <row r="2417" spans="1:18" x14ac:dyDescent="0.3">
      <c r="A2417">
        <v>34</v>
      </c>
      <c r="B2417">
        <v>34</v>
      </c>
      <c r="C2417" t="s">
        <v>31</v>
      </c>
      <c r="D2417">
        <v>3.25</v>
      </c>
      <c r="E2417">
        <v>1771.3920000000001</v>
      </c>
      <c r="F2417" t="s">
        <v>421</v>
      </c>
      <c r="G2417" s="31">
        <v>0.25</v>
      </c>
      <c r="L2417">
        <v>23</v>
      </c>
      <c r="M2417">
        <v>23</v>
      </c>
      <c r="N2417" t="s">
        <v>60</v>
      </c>
      <c r="O2417">
        <v>2.58</v>
      </c>
      <c r="P2417">
        <v>47.527000000000001</v>
      </c>
      <c r="Q2417" t="s">
        <v>533</v>
      </c>
      <c r="R2417" s="31">
        <v>2.02</v>
      </c>
    </row>
    <row r="2418" spans="1:18" x14ac:dyDescent="0.3">
      <c r="A2418">
        <v>35</v>
      </c>
      <c r="B2418">
        <v>35</v>
      </c>
      <c r="C2418" t="s">
        <v>32</v>
      </c>
      <c r="D2418">
        <v>3.06</v>
      </c>
      <c r="E2418">
        <v>52.765999999999998</v>
      </c>
      <c r="F2418" t="s">
        <v>422</v>
      </c>
      <c r="G2418" s="31">
        <v>0.1</v>
      </c>
    </row>
    <row r="2419" spans="1:18" x14ac:dyDescent="0.3">
      <c r="A2419">
        <v>36</v>
      </c>
      <c r="B2419">
        <v>36</v>
      </c>
      <c r="C2419" t="s">
        <v>33</v>
      </c>
      <c r="D2419">
        <v>1.87</v>
      </c>
      <c r="E2419">
        <v>118.089</v>
      </c>
      <c r="F2419" t="s">
        <v>423</v>
      </c>
      <c r="G2419" s="31">
        <v>0.13</v>
      </c>
      <c r="L2419" t="s">
        <v>379</v>
      </c>
    </row>
    <row r="2420" spans="1:18" x14ac:dyDescent="0.3">
      <c r="G2420" s="31">
        <f>G2397/G2399</f>
        <v>2.3486842105263155</v>
      </c>
    </row>
    <row r="2421" spans="1:18" x14ac:dyDescent="0.3">
      <c r="A2421" t="s">
        <v>379</v>
      </c>
      <c r="L2421" t="s">
        <v>604</v>
      </c>
    </row>
    <row r="2423" spans="1:18" x14ac:dyDescent="0.3">
      <c r="A2423" t="s">
        <v>456</v>
      </c>
      <c r="L2423" t="s">
        <v>613</v>
      </c>
    </row>
    <row r="2425" spans="1:18" x14ac:dyDescent="0.3">
      <c r="A2425" t="s">
        <v>479</v>
      </c>
      <c r="M2425" t="s">
        <v>382</v>
      </c>
      <c r="N2425" t="s">
        <v>383</v>
      </c>
      <c r="O2425" t="s">
        <v>384</v>
      </c>
      <c r="P2425" t="s">
        <v>385</v>
      </c>
      <c r="Q2425" t="s">
        <v>386</v>
      </c>
      <c r="R2425" s="31" t="s">
        <v>387</v>
      </c>
    </row>
    <row r="2426" spans="1:18" x14ac:dyDescent="0.3">
      <c r="L2426">
        <v>1</v>
      </c>
      <c r="M2426">
        <v>1</v>
      </c>
      <c r="N2426" t="s">
        <v>35</v>
      </c>
      <c r="O2426">
        <v>1.44</v>
      </c>
      <c r="P2426">
        <v>1073.56</v>
      </c>
      <c r="Q2426" t="s">
        <v>511</v>
      </c>
      <c r="R2426" s="31">
        <v>3.73</v>
      </c>
    </row>
    <row r="2427" spans="1:18" x14ac:dyDescent="0.3">
      <c r="B2427" t="s">
        <v>382</v>
      </c>
      <c r="C2427" t="s">
        <v>383</v>
      </c>
      <c r="D2427" t="s">
        <v>384</v>
      </c>
      <c r="E2427" t="s">
        <v>385</v>
      </c>
      <c r="F2427" t="s">
        <v>386</v>
      </c>
      <c r="G2427" s="31" t="s">
        <v>387</v>
      </c>
      <c r="L2427">
        <v>2</v>
      </c>
      <c r="M2427">
        <v>2</v>
      </c>
      <c r="N2427" t="s">
        <v>36</v>
      </c>
      <c r="O2427">
        <v>1.66</v>
      </c>
      <c r="P2427">
        <v>968934.68799999997</v>
      </c>
      <c r="Q2427" t="s">
        <v>512</v>
      </c>
      <c r="R2427" s="31">
        <v>64.97</v>
      </c>
    </row>
    <row r="2428" spans="1:18" x14ac:dyDescent="0.3">
      <c r="A2428">
        <v>1</v>
      </c>
      <c r="B2428">
        <v>1</v>
      </c>
      <c r="C2428" t="s">
        <v>0</v>
      </c>
      <c r="D2428">
        <v>1.03</v>
      </c>
      <c r="E2428">
        <v>1906.9449999999999</v>
      </c>
      <c r="F2428" t="s">
        <v>388</v>
      </c>
      <c r="G2428" s="31">
        <v>12.24</v>
      </c>
      <c r="L2428">
        <v>3</v>
      </c>
      <c r="M2428">
        <v>3</v>
      </c>
      <c r="N2428" t="s">
        <v>37</v>
      </c>
      <c r="O2428">
        <v>1.79</v>
      </c>
      <c r="P2428">
        <v>1120.828</v>
      </c>
      <c r="Q2428" t="s">
        <v>513</v>
      </c>
      <c r="R2428" s="31">
        <v>0.12</v>
      </c>
    </row>
    <row r="2429" spans="1:18" x14ac:dyDescent="0.3">
      <c r="A2429">
        <v>2</v>
      </c>
      <c r="B2429">
        <v>2</v>
      </c>
      <c r="C2429" t="s">
        <v>1</v>
      </c>
      <c r="D2429">
        <v>1.47</v>
      </c>
      <c r="E2429">
        <v>1461.4190000000001</v>
      </c>
      <c r="F2429" t="s">
        <v>389</v>
      </c>
      <c r="G2429" s="31">
        <v>2.13</v>
      </c>
      <c r="L2429">
        <v>4</v>
      </c>
      <c r="M2429">
        <v>4</v>
      </c>
      <c r="N2429" t="s">
        <v>38</v>
      </c>
      <c r="O2429">
        <v>1.17</v>
      </c>
      <c r="P2429">
        <v>5672.6769999999997</v>
      </c>
      <c r="Q2429" t="s">
        <v>514</v>
      </c>
      <c r="R2429" s="31">
        <v>0.39</v>
      </c>
    </row>
    <row r="2430" spans="1:18" x14ac:dyDescent="0.3">
      <c r="A2430">
        <v>3</v>
      </c>
      <c r="B2430">
        <v>3</v>
      </c>
      <c r="C2430" t="s">
        <v>50</v>
      </c>
      <c r="D2430">
        <v>3.58</v>
      </c>
      <c r="E2430">
        <v>153.76300000000001</v>
      </c>
      <c r="F2430" t="s">
        <v>390</v>
      </c>
      <c r="G2430" s="31">
        <v>0.1</v>
      </c>
      <c r="L2430">
        <v>5</v>
      </c>
      <c r="M2430">
        <v>5</v>
      </c>
      <c r="N2430" t="s">
        <v>39</v>
      </c>
      <c r="O2430">
        <v>1.37</v>
      </c>
      <c r="P2430">
        <v>539661</v>
      </c>
      <c r="Q2430" t="s">
        <v>515</v>
      </c>
      <c r="R2430" s="31">
        <v>42.08</v>
      </c>
    </row>
    <row r="2431" spans="1:18" x14ac:dyDescent="0.3">
      <c r="A2431">
        <v>4</v>
      </c>
      <c r="B2431">
        <v>4</v>
      </c>
      <c r="C2431" t="s">
        <v>2</v>
      </c>
      <c r="D2431">
        <v>3.7</v>
      </c>
      <c r="E2431">
        <v>19324.328000000001</v>
      </c>
      <c r="F2431" t="s">
        <v>391</v>
      </c>
      <c r="G2431" s="31">
        <v>1</v>
      </c>
      <c r="L2431">
        <v>6</v>
      </c>
      <c r="M2431">
        <v>6</v>
      </c>
      <c r="N2431" t="s">
        <v>40</v>
      </c>
      <c r="O2431">
        <v>1.52</v>
      </c>
      <c r="P2431">
        <v>25964.469000000001</v>
      </c>
      <c r="Q2431" t="s">
        <v>516</v>
      </c>
      <c r="R2431" s="31">
        <v>1.2</v>
      </c>
    </row>
    <row r="2432" spans="1:18" x14ac:dyDescent="0.3">
      <c r="A2432">
        <v>5</v>
      </c>
      <c r="B2432">
        <v>5</v>
      </c>
      <c r="C2432" t="s">
        <v>3</v>
      </c>
      <c r="D2432">
        <v>4.5599999999999996</v>
      </c>
      <c r="E2432">
        <v>223.268</v>
      </c>
      <c r="F2432" t="s">
        <v>392</v>
      </c>
      <c r="G2432" s="31">
        <v>0.06</v>
      </c>
      <c r="L2432">
        <v>7</v>
      </c>
      <c r="M2432">
        <v>7</v>
      </c>
      <c r="N2432" t="s">
        <v>41</v>
      </c>
      <c r="O2432">
        <v>2.27</v>
      </c>
      <c r="P2432">
        <v>9996.5010000000002</v>
      </c>
      <c r="Q2432" t="s">
        <v>517</v>
      </c>
      <c r="R2432" s="31">
        <v>4.12</v>
      </c>
    </row>
    <row r="2433" spans="1:18" x14ac:dyDescent="0.3">
      <c r="A2433">
        <v>6</v>
      </c>
      <c r="B2433">
        <v>6</v>
      </c>
      <c r="C2433" t="s">
        <v>4</v>
      </c>
      <c r="D2433">
        <v>4.8</v>
      </c>
      <c r="E2433">
        <v>24283.756000000001</v>
      </c>
      <c r="F2433" t="s">
        <v>393</v>
      </c>
      <c r="G2433" s="31">
        <v>1.04</v>
      </c>
      <c r="L2433">
        <v>8</v>
      </c>
      <c r="M2433">
        <v>8</v>
      </c>
      <c r="N2433" t="s">
        <v>42</v>
      </c>
      <c r="O2433">
        <v>0.85</v>
      </c>
      <c r="P2433">
        <v>12.964</v>
      </c>
      <c r="Q2433" t="s">
        <v>518</v>
      </c>
      <c r="R2433" s="31">
        <v>8.1</v>
      </c>
    </row>
    <row r="2434" spans="1:18" x14ac:dyDescent="0.3">
      <c r="A2434">
        <v>7</v>
      </c>
      <c r="B2434">
        <v>7</v>
      </c>
      <c r="C2434" t="s">
        <v>5</v>
      </c>
      <c r="D2434">
        <v>2.72</v>
      </c>
      <c r="E2434">
        <v>629.66600000000005</v>
      </c>
      <c r="F2434" t="s">
        <v>394</v>
      </c>
      <c r="G2434" s="31">
        <v>0.09</v>
      </c>
      <c r="L2434">
        <v>9</v>
      </c>
      <c r="M2434">
        <v>9</v>
      </c>
      <c r="N2434" t="s">
        <v>43</v>
      </c>
      <c r="O2434">
        <v>2.54</v>
      </c>
      <c r="P2434">
        <v>14705.744000000001</v>
      </c>
      <c r="Q2434" t="s">
        <v>519</v>
      </c>
      <c r="R2434" s="31">
        <v>0.1</v>
      </c>
    </row>
    <row r="2435" spans="1:18" x14ac:dyDescent="0.3">
      <c r="A2435">
        <v>8</v>
      </c>
      <c r="B2435">
        <v>8</v>
      </c>
      <c r="C2435" t="s">
        <v>6</v>
      </c>
      <c r="D2435">
        <v>0.67</v>
      </c>
      <c r="E2435">
        <v>2350.3510000000001</v>
      </c>
      <c r="F2435" t="s">
        <v>395</v>
      </c>
      <c r="G2435" s="31">
        <v>23.03</v>
      </c>
      <c r="L2435">
        <v>10</v>
      </c>
      <c r="M2435">
        <v>10</v>
      </c>
      <c r="N2435" t="s">
        <v>52</v>
      </c>
      <c r="O2435">
        <v>4.0999999999999996</v>
      </c>
      <c r="P2435">
        <v>40929.152000000002</v>
      </c>
      <c r="Q2435" t="s">
        <v>520</v>
      </c>
      <c r="R2435" s="31">
        <v>1.1200000000000001</v>
      </c>
    </row>
    <row r="2436" spans="1:18" x14ac:dyDescent="0.3">
      <c r="A2436">
        <v>9</v>
      </c>
      <c r="B2436">
        <v>9</v>
      </c>
      <c r="C2436" t="s">
        <v>7</v>
      </c>
      <c r="D2436">
        <v>3.56</v>
      </c>
      <c r="E2436">
        <v>4647.8500000000004</v>
      </c>
      <c r="F2436" t="s">
        <v>396</v>
      </c>
      <c r="G2436" s="31">
        <v>9.6</v>
      </c>
      <c r="L2436">
        <v>11</v>
      </c>
      <c r="M2436">
        <v>11</v>
      </c>
      <c r="N2436" t="s">
        <v>44</v>
      </c>
      <c r="O2436">
        <v>4.16</v>
      </c>
      <c r="P2436">
        <v>3753.181</v>
      </c>
      <c r="Q2436" t="s">
        <v>521</v>
      </c>
      <c r="R2436" s="31">
        <v>0.23</v>
      </c>
    </row>
    <row r="2437" spans="1:18" x14ac:dyDescent="0.3">
      <c r="A2437">
        <v>10</v>
      </c>
      <c r="B2437">
        <v>10</v>
      </c>
      <c r="C2437" t="s">
        <v>51</v>
      </c>
      <c r="D2437">
        <v>4.63</v>
      </c>
      <c r="E2437">
        <v>939.52800000000002</v>
      </c>
      <c r="F2437" t="s">
        <v>397</v>
      </c>
      <c r="G2437" s="31">
        <v>0.15</v>
      </c>
      <c r="L2437">
        <v>12</v>
      </c>
      <c r="M2437">
        <v>12</v>
      </c>
      <c r="N2437" t="s">
        <v>45</v>
      </c>
      <c r="O2437">
        <v>3.44</v>
      </c>
      <c r="P2437">
        <v>1939503.625</v>
      </c>
      <c r="Q2437" t="s">
        <v>522</v>
      </c>
      <c r="R2437" s="31">
        <v>20.83</v>
      </c>
    </row>
    <row r="2438" spans="1:18" x14ac:dyDescent="0.3">
      <c r="A2438">
        <v>11</v>
      </c>
      <c r="B2438">
        <v>11</v>
      </c>
      <c r="C2438" t="s">
        <v>8</v>
      </c>
      <c r="D2438">
        <v>2.74</v>
      </c>
      <c r="E2438">
        <v>51360.175999999999</v>
      </c>
      <c r="F2438" t="s">
        <v>398</v>
      </c>
      <c r="G2438" s="31">
        <v>2.19</v>
      </c>
      <c r="L2438">
        <v>13</v>
      </c>
      <c r="M2438">
        <v>13</v>
      </c>
      <c r="N2438" t="s">
        <v>46</v>
      </c>
      <c r="O2438">
        <v>2.58</v>
      </c>
      <c r="P2438">
        <v>223422.43799999999</v>
      </c>
      <c r="Q2438" t="s">
        <v>523</v>
      </c>
      <c r="R2438" s="31">
        <v>5.01</v>
      </c>
    </row>
    <row r="2439" spans="1:18" x14ac:dyDescent="0.3">
      <c r="A2439">
        <v>12</v>
      </c>
      <c r="B2439">
        <v>12</v>
      </c>
      <c r="C2439" t="s">
        <v>9</v>
      </c>
      <c r="D2439">
        <v>2.63</v>
      </c>
      <c r="E2439">
        <v>3987.8420000000001</v>
      </c>
      <c r="F2439" t="s">
        <v>399</v>
      </c>
      <c r="G2439" s="31">
        <v>1.25</v>
      </c>
      <c r="L2439">
        <v>14</v>
      </c>
      <c r="M2439">
        <v>14</v>
      </c>
      <c r="N2439" t="s">
        <v>47</v>
      </c>
      <c r="O2439">
        <v>0.69</v>
      </c>
      <c r="P2439">
        <v>31849.42</v>
      </c>
      <c r="Q2439" t="s">
        <v>524</v>
      </c>
      <c r="R2439" s="31">
        <v>6.91</v>
      </c>
    </row>
    <row r="2440" spans="1:18" x14ac:dyDescent="0.3">
      <c r="A2440">
        <v>13</v>
      </c>
      <c r="B2440">
        <v>13</v>
      </c>
      <c r="C2440" t="s">
        <v>10</v>
      </c>
      <c r="D2440">
        <v>4.08</v>
      </c>
      <c r="E2440">
        <v>1724765.25</v>
      </c>
      <c r="F2440" t="s">
        <v>400</v>
      </c>
      <c r="G2440" s="31">
        <v>123.54</v>
      </c>
      <c r="L2440">
        <v>15</v>
      </c>
      <c r="M2440">
        <v>15</v>
      </c>
      <c r="N2440" t="s">
        <v>48</v>
      </c>
      <c r="O2440">
        <v>1.21</v>
      </c>
      <c r="P2440">
        <v>27923.713</v>
      </c>
      <c r="Q2440" t="s">
        <v>525</v>
      </c>
      <c r="R2440" s="31">
        <v>1.83</v>
      </c>
    </row>
    <row r="2441" spans="1:18" x14ac:dyDescent="0.3">
      <c r="A2441">
        <v>14</v>
      </c>
      <c r="B2441">
        <v>14</v>
      </c>
      <c r="C2441" t="s">
        <v>11</v>
      </c>
      <c r="D2441">
        <v>3.53</v>
      </c>
      <c r="E2441">
        <v>2.871</v>
      </c>
      <c r="F2441" t="s">
        <v>401</v>
      </c>
      <c r="G2441" s="31">
        <v>1</v>
      </c>
      <c r="L2441">
        <v>16</v>
      </c>
      <c r="M2441">
        <v>16</v>
      </c>
      <c r="N2441" t="s">
        <v>53</v>
      </c>
      <c r="O2441">
        <v>4.55</v>
      </c>
      <c r="P2441">
        <v>110760.17200000001</v>
      </c>
      <c r="Q2441" t="s">
        <v>526</v>
      </c>
      <c r="R2441" s="31">
        <v>0.72</v>
      </c>
    </row>
    <row r="2442" spans="1:18" x14ac:dyDescent="0.3">
      <c r="A2442">
        <v>15</v>
      </c>
      <c r="B2442">
        <v>15</v>
      </c>
      <c r="C2442" t="s">
        <v>12</v>
      </c>
      <c r="D2442">
        <v>3.32</v>
      </c>
      <c r="E2442">
        <v>555.81500000000005</v>
      </c>
      <c r="F2442" t="s">
        <v>402</v>
      </c>
      <c r="G2442" s="31">
        <v>1.99</v>
      </c>
      <c r="L2442">
        <v>17</v>
      </c>
      <c r="M2442">
        <v>17</v>
      </c>
      <c r="N2442" t="s">
        <v>54</v>
      </c>
      <c r="O2442">
        <v>5.18</v>
      </c>
      <c r="P2442">
        <v>2145.808</v>
      </c>
      <c r="Q2442" t="s">
        <v>527</v>
      </c>
      <c r="R2442" s="31">
        <v>0.12</v>
      </c>
    </row>
    <row r="2443" spans="1:18" x14ac:dyDescent="0.3">
      <c r="A2443">
        <v>16</v>
      </c>
      <c r="B2443">
        <v>16</v>
      </c>
      <c r="C2443" t="s">
        <v>13</v>
      </c>
      <c r="D2443">
        <v>3.23</v>
      </c>
      <c r="E2443">
        <v>9810.8860000000004</v>
      </c>
      <c r="F2443" t="s">
        <v>403</v>
      </c>
      <c r="G2443" s="31">
        <v>1.49</v>
      </c>
      <c r="L2443">
        <v>18</v>
      </c>
      <c r="M2443">
        <v>18</v>
      </c>
      <c r="N2443" t="s">
        <v>55</v>
      </c>
      <c r="O2443">
        <v>1.32</v>
      </c>
      <c r="P2443">
        <v>5876.7219999999998</v>
      </c>
      <c r="Q2443" t="s">
        <v>528</v>
      </c>
      <c r="R2443" s="31">
        <v>0.1</v>
      </c>
    </row>
    <row r="2444" spans="1:18" x14ac:dyDescent="0.3">
      <c r="A2444">
        <v>17</v>
      </c>
      <c r="B2444">
        <v>17</v>
      </c>
      <c r="C2444" t="s">
        <v>14</v>
      </c>
      <c r="D2444">
        <v>2.06</v>
      </c>
      <c r="E2444">
        <v>17719.82</v>
      </c>
      <c r="F2444" t="s">
        <v>404</v>
      </c>
      <c r="G2444" s="31">
        <v>2.41</v>
      </c>
      <c r="L2444">
        <v>19</v>
      </c>
      <c r="M2444">
        <v>19</v>
      </c>
      <c r="N2444" t="s">
        <v>56</v>
      </c>
      <c r="O2444">
        <v>0.87</v>
      </c>
      <c r="P2444">
        <v>28923.811000000002</v>
      </c>
      <c r="Q2444" t="s">
        <v>529</v>
      </c>
      <c r="R2444" s="31">
        <v>0.64</v>
      </c>
    </row>
    <row r="2445" spans="1:18" x14ac:dyDescent="0.3">
      <c r="A2445">
        <v>18</v>
      </c>
      <c r="B2445">
        <v>18</v>
      </c>
      <c r="C2445" t="s">
        <v>15</v>
      </c>
      <c r="D2445">
        <v>2.52</v>
      </c>
      <c r="E2445">
        <v>28148.414000000001</v>
      </c>
      <c r="F2445" t="s">
        <v>405</v>
      </c>
      <c r="G2445" s="31">
        <v>11.02</v>
      </c>
      <c r="L2445">
        <v>20</v>
      </c>
      <c r="M2445">
        <v>20</v>
      </c>
      <c r="N2445" t="s">
        <v>57</v>
      </c>
      <c r="O2445">
        <v>1.5</v>
      </c>
      <c r="P2445">
        <v>544.95000000000005</v>
      </c>
      <c r="Q2445" t="s">
        <v>530</v>
      </c>
      <c r="R2445" s="31">
        <v>0.09</v>
      </c>
    </row>
    <row r="2446" spans="1:18" x14ac:dyDescent="0.3">
      <c r="A2446">
        <v>19</v>
      </c>
      <c r="B2446">
        <v>19</v>
      </c>
      <c r="C2446" t="s">
        <v>16</v>
      </c>
      <c r="D2446">
        <v>2.72</v>
      </c>
      <c r="E2446">
        <v>4005.5309999999999</v>
      </c>
      <c r="F2446" t="s">
        <v>406</v>
      </c>
      <c r="G2446" s="31">
        <v>0.2</v>
      </c>
      <c r="L2446">
        <v>21</v>
      </c>
      <c r="M2446">
        <v>21</v>
      </c>
      <c r="N2446" t="s">
        <v>58</v>
      </c>
      <c r="O2446">
        <v>2.5499999999999998</v>
      </c>
      <c r="P2446">
        <v>38.685000000000002</v>
      </c>
      <c r="Q2446" t="s">
        <v>531</v>
      </c>
      <c r="R2446" s="31">
        <v>0.12</v>
      </c>
    </row>
    <row r="2447" spans="1:18" x14ac:dyDescent="0.3">
      <c r="A2447">
        <v>20</v>
      </c>
      <c r="B2447">
        <v>20</v>
      </c>
      <c r="C2447" t="s">
        <v>17</v>
      </c>
      <c r="D2447">
        <v>3.13</v>
      </c>
      <c r="E2447">
        <v>12929.611999999999</v>
      </c>
      <c r="F2447" t="s">
        <v>407</v>
      </c>
      <c r="G2447" s="31">
        <v>2.0099999999999998</v>
      </c>
      <c r="L2447">
        <v>22</v>
      </c>
      <c r="M2447">
        <v>22</v>
      </c>
      <c r="N2447" t="s">
        <v>59</v>
      </c>
      <c r="O2447">
        <v>2.5099999999999998</v>
      </c>
      <c r="P2447">
        <v>126194.711</v>
      </c>
      <c r="Q2447" t="s">
        <v>532</v>
      </c>
      <c r="R2447" s="31">
        <v>8.0399999999999991</v>
      </c>
    </row>
    <row r="2448" spans="1:18" x14ac:dyDescent="0.3">
      <c r="A2448">
        <v>21</v>
      </c>
      <c r="B2448">
        <v>21</v>
      </c>
      <c r="C2448" t="s">
        <v>18</v>
      </c>
      <c r="D2448">
        <v>3.68</v>
      </c>
      <c r="E2448">
        <v>12731.183999999999</v>
      </c>
      <c r="F2448" t="s">
        <v>408</v>
      </c>
      <c r="G2448" s="31">
        <v>0.47</v>
      </c>
      <c r="L2448">
        <v>23</v>
      </c>
      <c r="M2448">
        <v>23</v>
      </c>
      <c r="N2448" t="s">
        <v>60</v>
      </c>
      <c r="O2448">
        <v>2.5499999999999998</v>
      </c>
      <c r="P2448">
        <v>37847.578000000001</v>
      </c>
      <c r="Q2448" t="s">
        <v>533</v>
      </c>
      <c r="R2448" s="31">
        <v>1.0900000000000001</v>
      </c>
    </row>
    <row r="2449" spans="1:18" x14ac:dyDescent="0.3">
      <c r="A2449">
        <v>22</v>
      </c>
      <c r="B2449">
        <v>22</v>
      </c>
      <c r="C2449" t="s">
        <v>19</v>
      </c>
      <c r="D2449">
        <v>2.65</v>
      </c>
      <c r="E2449">
        <v>27572.973000000002</v>
      </c>
      <c r="F2449" t="s">
        <v>409</v>
      </c>
      <c r="G2449" s="31">
        <v>2.63</v>
      </c>
    </row>
    <row r="2450" spans="1:18" x14ac:dyDescent="0.3">
      <c r="A2450">
        <v>23</v>
      </c>
      <c r="B2450">
        <v>23</v>
      </c>
      <c r="C2450" t="s">
        <v>20</v>
      </c>
      <c r="D2450">
        <v>2.89</v>
      </c>
      <c r="E2450">
        <v>14256.18</v>
      </c>
      <c r="F2450" t="s">
        <v>410</v>
      </c>
      <c r="G2450" s="31">
        <v>0.75</v>
      </c>
      <c r="L2450" t="s">
        <v>379</v>
      </c>
    </row>
    <row r="2451" spans="1:18" x14ac:dyDescent="0.3">
      <c r="A2451">
        <v>24</v>
      </c>
      <c r="B2451">
        <v>24</v>
      </c>
      <c r="C2451" t="s">
        <v>21</v>
      </c>
      <c r="D2451">
        <v>4.1399999999999997</v>
      </c>
      <c r="E2451">
        <v>196.13</v>
      </c>
      <c r="F2451" t="s">
        <v>411</v>
      </c>
      <c r="G2451" s="31">
        <v>0.1</v>
      </c>
    </row>
    <row r="2452" spans="1:18" x14ac:dyDescent="0.3">
      <c r="A2452">
        <v>25</v>
      </c>
      <c r="B2452">
        <v>25</v>
      </c>
      <c r="C2452" t="s">
        <v>22</v>
      </c>
      <c r="D2452">
        <v>3.42</v>
      </c>
      <c r="E2452">
        <v>161.43199999999999</v>
      </c>
      <c r="F2452" t="s">
        <v>412</v>
      </c>
      <c r="G2452" s="31">
        <v>2.92</v>
      </c>
      <c r="L2452" t="s">
        <v>604</v>
      </c>
    </row>
    <row r="2453" spans="1:18" x14ac:dyDescent="0.3">
      <c r="A2453">
        <v>26</v>
      </c>
      <c r="B2453">
        <v>26</v>
      </c>
      <c r="C2453" t="s">
        <v>23</v>
      </c>
      <c r="D2453">
        <v>3.35</v>
      </c>
      <c r="E2453">
        <v>86667.608999999997</v>
      </c>
      <c r="F2453" t="s">
        <v>413</v>
      </c>
      <c r="G2453" s="31">
        <v>6.6</v>
      </c>
    </row>
    <row r="2454" spans="1:18" x14ac:dyDescent="0.3">
      <c r="A2454">
        <v>27</v>
      </c>
      <c r="B2454">
        <v>27</v>
      </c>
      <c r="C2454" t="s">
        <v>24</v>
      </c>
      <c r="D2454">
        <v>3.44</v>
      </c>
      <c r="E2454">
        <v>240.26300000000001</v>
      </c>
      <c r="F2454" t="s">
        <v>414</v>
      </c>
      <c r="G2454" s="31">
        <v>0.11</v>
      </c>
      <c r="L2454" t="s">
        <v>614</v>
      </c>
    </row>
    <row r="2455" spans="1:18" x14ac:dyDescent="0.3">
      <c r="A2455">
        <v>28</v>
      </c>
      <c r="B2455">
        <v>28</v>
      </c>
      <c r="C2455" t="s">
        <v>25</v>
      </c>
      <c r="D2455">
        <v>3.52</v>
      </c>
      <c r="E2455">
        <v>3331.7950000000001</v>
      </c>
      <c r="F2455" t="s">
        <v>415</v>
      </c>
      <c r="G2455" s="31">
        <v>0.56000000000000005</v>
      </c>
    </row>
    <row r="2456" spans="1:18" x14ac:dyDescent="0.3">
      <c r="A2456">
        <v>29</v>
      </c>
      <c r="B2456">
        <v>29</v>
      </c>
      <c r="C2456" t="s">
        <v>26</v>
      </c>
      <c r="D2456">
        <v>1.05</v>
      </c>
      <c r="E2456">
        <v>674.279</v>
      </c>
      <c r="F2456" t="s">
        <v>416</v>
      </c>
      <c r="G2456" s="31">
        <v>0.8</v>
      </c>
      <c r="M2456" t="s">
        <v>382</v>
      </c>
      <c r="N2456" t="s">
        <v>383</v>
      </c>
      <c r="O2456" t="s">
        <v>384</v>
      </c>
      <c r="P2456" t="s">
        <v>385</v>
      </c>
      <c r="Q2456" t="s">
        <v>386</v>
      </c>
      <c r="R2456" s="31" t="s">
        <v>387</v>
      </c>
    </row>
    <row r="2457" spans="1:18" x14ac:dyDescent="0.3">
      <c r="A2457">
        <v>30</v>
      </c>
      <c r="B2457">
        <v>30</v>
      </c>
      <c r="C2457" t="s">
        <v>27</v>
      </c>
      <c r="D2457">
        <v>4.26</v>
      </c>
      <c r="E2457">
        <v>5231.9070000000002</v>
      </c>
      <c r="F2457" t="s">
        <v>417</v>
      </c>
      <c r="G2457" s="31">
        <v>0.32</v>
      </c>
      <c r="L2457">
        <v>1</v>
      </c>
      <c r="M2457">
        <v>1</v>
      </c>
      <c r="N2457" t="s">
        <v>35</v>
      </c>
      <c r="O2457">
        <v>1.45</v>
      </c>
      <c r="P2457">
        <v>3712.9679999999998</v>
      </c>
      <c r="Q2457" t="s">
        <v>511</v>
      </c>
      <c r="R2457" s="31">
        <v>14.79</v>
      </c>
    </row>
    <row r="2458" spans="1:18" x14ac:dyDescent="0.3">
      <c r="A2458">
        <v>31</v>
      </c>
      <c r="B2458">
        <v>31</v>
      </c>
      <c r="C2458" t="s">
        <v>28</v>
      </c>
      <c r="D2458">
        <v>3</v>
      </c>
      <c r="E2458">
        <v>172037.46900000001</v>
      </c>
      <c r="F2458" t="s">
        <v>418</v>
      </c>
      <c r="G2458" s="31">
        <v>0.81</v>
      </c>
      <c r="L2458">
        <v>2</v>
      </c>
      <c r="M2458">
        <v>2</v>
      </c>
      <c r="N2458" t="s">
        <v>36</v>
      </c>
      <c r="O2458">
        <v>1.67</v>
      </c>
      <c r="P2458">
        <v>627471.68799999997</v>
      </c>
      <c r="Q2458" t="s">
        <v>512</v>
      </c>
      <c r="R2458" s="31">
        <v>185.29</v>
      </c>
    </row>
    <row r="2459" spans="1:18" x14ac:dyDescent="0.3">
      <c r="A2459">
        <v>32</v>
      </c>
      <c r="B2459">
        <v>32</v>
      </c>
      <c r="C2459" t="s">
        <v>29</v>
      </c>
      <c r="D2459">
        <v>3.35</v>
      </c>
      <c r="E2459">
        <v>521.24300000000005</v>
      </c>
      <c r="F2459" t="s">
        <v>419</v>
      </c>
      <c r="G2459" s="31">
        <v>0.08</v>
      </c>
      <c r="L2459">
        <v>3</v>
      </c>
      <c r="M2459">
        <v>3</v>
      </c>
      <c r="N2459" t="s">
        <v>37</v>
      </c>
      <c r="O2459">
        <v>1.8</v>
      </c>
      <c r="P2459">
        <v>253.03800000000001</v>
      </c>
      <c r="Q2459" t="s">
        <v>513</v>
      </c>
      <c r="R2459" s="31">
        <v>0.19</v>
      </c>
    </row>
    <row r="2460" spans="1:18" x14ac:dyDescent="0.3">
      <c r="A2460">
        <v>33</v>
      </c>
      <c r="B2460">
        <v>33</v>
      </c>
      <c r="C2460" t="s">
        <v>30</v>
      </c>
      <c r="D2460">
        <v>4.67</v>
      </c>
      <c r="E2460">
        <v>48977.413999999997</v>
      </c>
      <c r="F2460" t="s">
        <v>420</v>
      </c>
      <c r="G2460" s="31">
        <v>1.01</v>
      </c>
      <c r="L2460">
        <v>4</v>
      </c>
      <c r="M2460">
        <v>4</v>
      </c>
      <c r="N2460" t="s">
        <v>38</v>
      </c>
      <c r="O2460">
        <v>1.18</v>
      </c>
      <c r="P2460">
        <v>1319.6320000000001</v>
      </c>
      <c r="Q2460" t="s">
        <v>514</v>
      </c>
      <c r="R2460" s="31">
        <v>0.42</v>
      </c>
    </row>
    <row r="2461" spans="1:18" x14ac:dyDescent="0.3">
      <c r="A2461">
        <v>34</v>
      </c>
      <c r="B2461">
        <v>34</v>
      </c>
      <c r="C2461" t="s">
        <v>31</v>
      </c>
      <c r="D2461">
        <v>3.5</v>
      </c>
      <c r="E2461">
        <v>1297.7940000000001</v>
      </c>
      <c r="F2461" t="s">
        <v>421</v>
      </c>
      <c r="G2461" s="31">
        <v>0.1</v>
      </c>
      <c r="L2461">
        <v>5</v>
      </c>
      <c r="M2461">
        <v>5</v>
      </c>
      <c r="N2461" t="s">
        <v>39</v>
      </c>
      <c r="O2461">
        <v>1.38</v>
      </c>
      <c r="P2461">
        <v>67276.5</v>
      </c>
      <c r="Q2461" t="s">
        <v>515</v>
      </c>
      <c r="R2461" s="31">
        <v>26.71</v>
      </c>
    </row>
    <row r="2462" spans="1:18" x14ac:dyDescent="0.3">
      <c r="A2462">
        <v>35</v>
      </c>
      <c r="B2462">
        <v>35</v>
      </c>
      <c r="C2462" t="s">
        <v>32</v>
      </c>
      <c r="D2462">
        <v>3.06</v>
      </c>
      <c r="E2462">
        <v>202.12100000000001</v>
      </c>
      <c r="F2462" t="s">
        <v>422</v>
      </c>
      <c r="G2462" s="31">
        <v>0.12</v>
      </c>
      <c r="L2462">
        <v>6</v>
      </c>
      <c r="M2462">
        <v>6</v>
      </c>
      <c r="N2462" t="s">
        <v>40</v>
      </c>
      <c r="O2462">
        <v>1.53</v>
      </c>
      <c r="P2462">
        <v>5082.835</v>
      </c>
      <c r="Q2462" t="s">
        <v>516</v>
      </c>
      <c r="R2462" s="31">
        <v>0.94</v>
      </c>
    </row>
    <row r="2463" spans="1:18" x14ac:dyDescent="0.3">
      <c r="A2463">
        <v>36</v>
      </c>
      <c r="B2463">
        <v>36</v>
      </c>
      <c r="C2463" t="s">
        <v>33</v>
      </c>
      <c r="D2463">
        <v>1.94</v>
      </c>
      <c r="E2463">
        <v>1511.01</v>
      </c>
      <c r="F2463" t="s">
        <v>423</v>
      </c>
      <c r="G2463" s="31">
        <v>0.83</v>
      </c>
      <c r="L2463">
        <v>7</v>
      </c>
      <c r="M2463">
        <v>7</v>
      </c>
      <c r="N2463" t="s">
        <v>41</v>
      </c>
      <c r="O2463">
        <v>2.3199999999999998</v>
      </c>
      <c r="P2463">
        <v>1176.021</v>
      </c>
      <c r="Q2463" t="s">
        <v>517</v>
      </c>
      <c r="R2463" s="31">
        <v>2.06</v>
      </c>
    </row>
    <row r="2464" spans="1:18" x14ac:dyDescent="0.3">
      <c r="G2464" s="31">
        <f>G2441/G2443</f>
        <v>0.67114093959731547</v>
      </c>
      <c r="L2464">
        <v>8</v>
      </c>
      <c r="M2464">
        <v>8</v>
      </c>
      <c r="N2464" t="s">
        <v>42</v>
      </c>
      <c r="O2464">
        <v>0.87</v>
      </c>
      <c r="P2464">
        <v>8.9529999999999994</v>
      </c>
      <c r="Q2464" t="s">
        <v>518</v>
      </c>
      <c r="R2464" s="31">
        <v>30.73</v>
      </c>
    </row>
    <row r="2465" spans="1:18" x14ac:dyDescent="0.3">
      <c r="A2465" t="s">
        <v>379</v>
      </c>
      <c r="L2465">
        <v>9</v>
      </c>
      <c r="M2465">
        <v>9</v>
      </c>
      <c r="N2465" t="s">
        <v>43</v>
      </c>
      <c r="O2465">
        <v>2.54</v>
      </c>
      <c r="P2465">
        <v>2189.681</v>
      </c>
      <c r="Q2465" t="s">
        <v>519</v>
      </c>
      <c r="R2465" s="31">
        <v>0.06</v>
      </c>
    </row>
    <row r="2466" spans="1:18" x14ac:dyDescent="0.3">
      <c r="L2466">
        <v>10</v>
      </c>
      <c r="M2466">
        <v>10</v>
      </c>
      <c r="N2466" t="s">
        <v>52</v>
      </c>
      <c r="O2466">
        <v>4.1399999999999997</v>
      </c>
      <c r="P2466">
        <v>6638.3019999999997</v>
      </c>
      <c r="Q2466" t="s">
        <v>520</v>
      </c>
      <c r="R2466" s="31">
        <v>0.27</v>
      </c>
    </row>
    <row r="2467" spans="1:18" x14ac:dyDescent="0.3">
      <c r="A2467" t="s">
        <v>456</v>
      </c>
      <c r="L2467">
        <v>11</v>
      </c>
      <c r="M2467">
        <v>11</v>
      </c>
      <c r="N2467" t="s">
        <v>44</v>
      </c>
      <c r="O2467">
        <v>4.1900000000000004</v>
      </c>
      <c r="P2467">
        <v>366.274</v>
      </c>
      <c r="Q2467" t="s">
        <v>521</v>
      </c>
      <c r="R2467" s="31">
        <v>0.24</v>
      </c>
    </row>
    <row r="2468" spans="1:18" x14ac:dyDescent="0.3">
      <c r="L2468">
        <v>12</v>
      </c>
      <c r="M2468">
        <v>12</v>
      </c>
      <c r="N2468" t="s">
        <v>45</v>
      </c>
      <c r="O2468">
        <v>3.46</v>
      </c>
      <c r="P2468">
        <v>432905.65600000002</v>
      </c>
      <c r="Q2468" t="s">
        <v>522</v>
      </c>
      <c r="R2468" s="31">
        <v>8.48</v>
      </c>
    </row>
    <row r="2469" spans="1:18" x14ac:dyDescent="0.3">
      <c r="A2469" t="s">
        <v>480</v>
      </c>
      <c r="L2469">
        <v>13</v>
      </c>
      <c r="M2469">
        <v>13</v>
      </c>
      <c r="N2469" t="s">
        <v>46</v>
      </c>
      <c r="O2469">
        <v>2.6</v>
      </c>
      <c r="P2469">
        <v>95871.976999999999</v>
      </c>
      <c r="Q2469" t="s">
        <v>523</v>
      </c>
      <c r="R2469" s="31">
        <v>7.1</v>
      </c>
    </row>
    <row r="2470" spans="1:18" x14ac:dyDescent="0.3">
      <c r="L2470">
        <v>14</v>
      </c>
      <c r="M2470">
        <v>14</v>
      </c>
      <c r="N2470" t="s">
        <v>47</v>
      </c>
      <c r="O2470">
        <v>0.67</v>
      </c>
      <c r="P2470">
        <v>14460.026</v>
      </c>
      <c r="Q2470" t="s">
        <v>524</v>
      </c>
      <c r="R2470" s="31">
        <v>10.25</v>
      </c>
    </row>
    <row r="2471" spans="1:18" x14ac:dyDescent="0.3">
      <c r="B2471" t="s">
        <v>382</v>
      </c>
      <c r="C2471" t="s">
        <v>383</v>
      </c>
      <c r="D2471" t="s">
        <v>384</v>
      </c>
      <c r="E2471" t="s">
        <v>385</v>
      </c>
      <c r="F2471" t="s">
        <v>386</v>
      </c>
      <c r="G2471" s="31" t="s">
        <v>387</v>
      </c>
      <c r="L2471">
        <v>15</v>
      </c>
      <c r="M2471">
        <v>15</v>
      </c>
      <c r="N2471" t="s">
        <v>48</v>
      </c>
      <c r="O2471">
        <v>1.21</v>
      </c>
      <c r="P2471">
        <v>5873.2719999999999</v>
      </c>
      <c r="Q2471" t="s">
        <v>525</v>
      </c>
      <c r="R2471" s="31">
        <v>1.03</v>
      </c>
    </row>
    <row r="2472" spans="1:18" x14ac:dyDescent="0.3">
      <c r="A2472">
        <v>1</v>
      </c>
      <c r="B2472">
        <v>1</v>
      </c>
      <c r="C2472" t="s">
        <v>0</v>
      </c>
      <c r="D2472">
        <v>1.03</v>
      </c>
      <c r="E2472">
        <v>418.16800000000001</v>
      </c>
      <c r="F2472" t="s">
        <v>388</v>
      </c>
      <c r="G2472" s="31">
        <v>5.18</v>
      </c>
      <c r="L2472">
        <v>16</v>
      </c>
      <c r="M2472">
        <v>16</v>
      </c>
      <c r="N2472" t="s">
        <v>53</v>
      </c>
      <c r="O2472">
        <v>4.57</v>
      </c>
      <c r="P2472">
        <v>14149.315000000001</v>
      </c>
      <c r="Q2472" t="s">
        <v>526</v>
      </c>
      <c r="R2472" s="31">
        <v>0.28000000000000003</v>
      </c>
    </row>
    <row r="2473" spans="1:18" x14ac:dyDescent="0.3">
      <c r="A2473">
        <v>2</v>
      </c>
      <c r="B2473">
        <v>2</v>
      </c>
      <c r="C2473" t="s">
        <v>1</v>
      </c>
      <c r="D2473">
        <v>1.48</v>
      </c>
      <c r="E2473">
        <v>2553.3960000000002</v>
      </c>
      <c r="F2473" t="s">
        <v>389</v>
      </c>
      <c r="G2473" s="31">
        <v>7.28</v>
      </c>
      <c r="L2473">
        <v>17</v>
      </c>
      <c r="M2473">
        <v>17</v>
      </c>
      <c r="N2473" t="s">
        <v>54</v>
      </c>
      <c r="O2473">
        <v>5.25</v>
      </c>
      <c r="P2473">
        <v>11.59</v>
      </c>
      <c r="Q2473" t="s">
        <v>527</v>
      </c>
      <c r="R2473" s="31">
        <v>0.1</v>
      </c>
    </row>
    <row r="2474" spans="1:18" x14ac:dyDescent="0.3">
      <c r="A2474">
        <v>3</v>
      </c>
      <c r="B2474">
        <v>3</v>
      </c>
      <c r="C2474" t="s">
        <v>50</v>
      </c>
      <c r="D2474">
        <v>3.71</v>
      </c>
      <c r="E2474">
        <v>29.411999999999999</v>
      </c>
      <c r="F2474" t="s">
        <v>390</v>
      </c>
      <c r="G2474" s="31">
        <v>0.08</v>
      </c>
      <c r="L2474">
        <v>18</v>
      </c>
      <c r="M2474">
        <v>18</v>
      </c>
      <c r="N2474" t="s">
        <v>55</v>
      </c>
      <c r="O2474">
        <v>1.32</v>
      </c>
      <c r="P2474">
        <v>796.12199999999996</v>
      </c>
      <c r="Q2474" t="s">
        <v>528</v>
      </c>
      <c r="R2474" s="31">
        <v>0.05</v>
      </c>
    </row>
    <row r="2475" spans="1:18" x14ac:dyDescent="0.3">
      <c r="A2475">
        <v>4</v>
      </c>
      <c r="B2475">
        <v>4</v>
      </c>
      <c r="C2475" t="s">
        <v>2</v>
      </c>
      <c r="D2475">
        <v>3.7</v>
      </c>
      <c r="E2475">
        <v>8624.0650000000005</v>
      </c>
      <c r="F2475" t="s">
        <v>391</v>
      </c>
      <c r="G2475" s="31">
        <v>1.06</v>
      </c>
      <c r="L2475">
        <v>19</v>
      </c>
      <c r="M2475">
        <v>19</v>
      </c>
      <c r="N2475" t="s">
        <v>56</v>
      </c>
      <c r="O2475">
        <v>0.87</v>
      </c>
      <c r="P2475">
        <v>13122.663</v>
      </c>
      <c r="Q2475" t="s">
        <v>529</v>
      </c>
      <c r="R2475" s="31">
        <v>0.55000000000000004</v>
      </c>
    </row>
    <row r="2476" spans="1:18" x14ac:dyDescent="0.3">
      <c r="A2476">
        <v>5</v>
      </c>
      <c r="B2476">
        <v>5</v>
      </c>
      <c r="C2476" t="s">
        <v>3</v>
      </c>
      <c r="D2476">
        <v>4.51</v>
      </c>
      <c r="E2476">
        <v>149.18</v>
      </c>
      <c r="F2476" t="s">
        <v>392</v>
      </c>
      <c r="G2476" s="31">
        <v>0.1</v>
      </c>
      <c r="L2476">
        <v>20</v>
      </c>
      <c r="M2476">
        <v>20</v>
      </c>
      <c r="N2476" t="s">
        <v>57</v>
      </c>
      <c r="O2476">
        <v>1.51</v>
      </c>
      <c r="P2476">
        <v>314.33199999999999</v>
      </c>
      <c r="Q2476" t="s">
        <v>530</v>
      </c>
      <c r="R2476" s="31">
        <v>0.19</v>
      </c>
    </row>
    <row r="2477" spans="1:18" x14ac:dyDescent="0.3">
      <c r="A2477">
        <v>6</v>
      </c>
      <c r="B2477">
        <v>6</v>
      </c>
      <c r="C2477" t="s">
        <v>4</v>
      </c>
      <c r="D2477">
        <v>4.8099999999999996</v>
      </c>
      <c r="E2477">
        <v>5214.3119999999999</v>
      </c>
      <c r="F2477" t="s">
        <v>393</v>
      </c>
      <c r="G2477" s="31">
        <v>0.9</v>
      </c>
      <c r="L2477">
        <v>21</v>
      </c>
      <c r="M2477">
        <v>21</v>
      </c>
      <c r="N2477" t="s">
        <v>58</v>
      </c>
      <c r="O2477">
        <v>2.5</v>
      </c>
      <c r="P2477">
        <v>10.577</v>
      </c>
      <c r="Q2477" t="s">
        <v>531</v>
      </c>
      <c r="R2477" s="31">
        <v>0.05</v>
      </c>
    </row>
    <row r="2478" spans="1:18" x14ac:dyDescent="0.3">
      <c r="A2478">
        <v>7</v>
      </c>
      <c r="B2478">
        <v>7</v>
      </c>
      <c r="C2478" t="s">
        <v>5</v>
      </c>
      <c r="D2478">
        <v>2.72</v>
      </c>
      <c r="E2478">
        <v>164.74100000000001</v>
      </c>
      <c r="F2478" t="s">
        <v>394</v>
      </c>
      <c r="G2478" s="31">
        <v>0.06</v>
      </c>
      <c r="L2478">
        <v>22</v>
      </c>
      <c r="M2478">
        <v>22</v>
      </c>
      <c r="N2478" t="s">
        <v>59</v>
      </c>
      <c r="O2478">
        <v>2.5099999999999998</v>
      </c>
      <c r="P2478">
        <v>12407.768</v>
      </c>
      <c r="Q2478" t="s">
        <v>532</v>
      </c>
      <c r="R2478" s="31">
        <v>2.68</v>
      </c>
    </row>
    <row r="2479" spans="1:18" x14ac:dyDescent="0.3">
      <c r="A2479">
        <v>8</v>
      </c>
      <c r="B2479">
        <v>8</v>
      </c>
      <c r="C2479" t="s">
        <v>6</v>
      </c>
      <c r="D2479">
        <v>0.67</v>
      </c>
      <c r="E2479">
        <v>716.90800000000002</v>
      </c>
      <c r="F2479" t="s">
        <v>395</v>
      </c>
      <c r="G2479" s="31">
        <v>17.39</v>
      </c>
      <c r="L2479">
        <v>23</v>
      </c>
      <c r="M2479">
        <v>23</v>
      </c>
      <c r="N2479" t="s">
        <v>60</v>
      </c>
      <c r="O2479">
        <v>2.48</v>
      </c>
      <c r="P2479">
        <v>13050.790999999999</v>
      </c>
      <c r="Q2479" t="s">
        <v>533</v>
      </c>
      <c r="R2479" s="31">
        <v>1.65</v>
      </c>
    </row>
    <row r="2480" spans="1:18" x14ac:dyDescent="0.3">
      <c r="A2480">
        <v>9</v>
      </c>
      <c r="B2480">
        <v>9</v>
      </c>
      <c r="C2480" t="s">
        <v>7</v>
      </c>
      <c r="D2480">
        <v>3.56</v>
      </c>
      <c r="E2480">
        <v>303.91800000000001</v>
      </c>
      <c r="F2480" t="s">
        <v>396</v>
      </c>
      <c r="G2480" s="31">
        <v>1.56</v>
      </c>
    </row>
    <row r="2481" spans="1:18" x14ac:dyDescent="0.3">
      <c r="A2481">
        <v>10</v>
      </c>
      <c r="B2481">
        <v>10</v>
      </c>
      <c r="C2481" t="s">
        <v>51</v>
      </c>
      <c r="D2481">
        <v>4.75</v>
      </c>
      <c r="E2481">
        <v>253.81100000000001</v>
      </c>
      <c r="F2481" t="s">
        <v>397</v>
      </c>
      <c r="G2481" s="31">
        <v>0.1</v>
      </c>
      <c r="L2481" t="s">
        <v>379</v>
      </c>
    </row>
    <row r="2482" spans="1:18" x14ac:dyDescent="0.3">
      <c r="A2482">
        <v>11</v>
      </c>
      <c r="B2482">
        <v>11</v>
      </c>
      <c r="C2482" t="s">
        <v>8</v>
      </c>
      <c r="D2482">
        <v>2.75</v>
      </c>
      <c r="E2482">
        <v>13026.471</v>
      </c>
      <c r="F2482" t="s">
        <v>398</v>
      </c>
      <c r="G2482" s="31">
        <v>1.48</v>
      </c>
    </row>
    <row r="2483" spans="1:18" x14ac:dyDescent="0.3">
      <c r="A2483">
        <v>12</v>
      </c>
      <c r="B2483">
        <v>12</v>
      </c>
      <c r="C2483" t="s">
        <v>9</v>
      </c>
      <c r="D2483">
        <v>2.65</v>
      </c>
      <c r="E2483">
        <v>1861.222</v>
      </c>
      <c r="F2483" t="s">
        <v>399</v>
      </c>
      <c r="G2483" s="31">
        <v>1.59</v>
      </c>
      <c r="L2483" t="s">
        <v>604</v>
      </c>
    </row>
    <row r="2484" spans="1:18" x14ac:dyDescent="0.3">
      <c r="A2484">
        <v>13</v>
      </c>
      <c r="B2484">
        <v>13</v>
      </c>
      <c r="C2484" t="s">
        <v>10</v>
      </c>
      <c r="D2484">
        <v>4.09</v>
      </c>
      <c r="E2484">
        <v>897339.68799999997</v>
      </c>
      <c r="F2484" t="s">
        <v>400</v>
      </c>
      <c r="G2484" s="31">
        <v>128.4</v>
      </c>
    </row>
    <row r="2485" spans="1:18" x14ac:dyDescent="0.3">
      <c r="A2485">
        <v>14</v>
      </c>
      <c r="B2485">
        <v>14</v>
      </c>
      <c r="C2485" t="s">
        <v>11</v>
      </c>
      <c r="D2485">
        <v>3.52</v>
      </c>
      <c r="E2485">
        <v>15.454000000000001</v>
      </c>
      <c r="F2485" t="s">
        <v>401</v>
      </c>
      <c r="G2485" s="31">
        <v>3.16</v>
      </c>
      <c r="L2485" t="s">
        <v>615</v>
      </c>
    </row>
    <row r="2486" spans="1:18" x14ac:dyDescent="0.3">
      <c r="A2486">
        <v>15</v>
      </c>
      <c r="B2486">
        <v>15</v>
      </c>
      <c r="C2486" t="s">
        <v>12</v>
      </c>
      <c r="D2486">
        <v>3.33</v>
      </c>
      <c r="E2486">
        <v>88.326999999999998</v>
      </c>
      <c r="F2486" t="s">
        <v>402</v>
      </c>
      <c r="G2486" s="31">
        <v>0.71</v>
      </c>
    </row>
    <row r="2487" spans="1:18" x14ac:dyDescent="0.3">
      <c r="A2487">
        <v>16</v>
      </c>
      <c r="B2487">
        <v>16</v>
      </c>
      <c r="C2487" t="s">
        <v>13</v>
      </c>
      <c r="D2487">
        <v>3.24</v>
      </c>
      <c r="E2487">
        <v>1391.02</v>
      </c>
      <c r="F2487" t="s">
        <v>403</v>
      </c>
      <c r="G2487" s="31">
        <v>0.86</v>
      </c>
      <c r="M2487" t="s">
        <v>382</v>
      </c>
      <c r="N2487" t="s">
        <v>383</v>
      </c>
      <c r="O2487" t="s">
        <v>384</v>
      </c>
      <c r="P2487" t="s">
        <v>385</v>
      </c>
      <c r="Q2487" t="s">
        <v>386</v>
      </c>
      <c r="R2487" s="31" t="s">
        <v>387</v>
      </c>
    </row>
    <row r="2488" spans="1:18" x14ac:dyDescent="0.3">
      <c r="A2488">
        <v>17</v>
      </c>
      <c r="B2488">
        <v>17</v>
      </c>
      <c r="C2488" t="s">
        <v>14</v>
      </c>
      <c r="D2488">
        <v>2.0699999999999998</v>
      </c>
      <c r="E2488">
        <v>3695.5419999999999</v>
      </c>
      <c r="F2488" t="s">
        <v>404</v>
      </c>
      <c r="G2488" s="31">
        <v>1.67</v>
      </c>
      <c r="L2488">
        <v>1</v>
      </c>
      <c r="M2488">
        <v>1</v>
      </c>
      <c r="N2488" t="s">
        <v>35</v>
      </c>
      <c r="O2488">
        <v>1.42</v>
      </c>
      <c r="P2488">
        <v>487.86500000000001</v>
      </c>
      <c r="Q2488" t="s">
        <v>511</v>
      </c>
      <c r="R2488" s="31">
        <v>9.39</v>
      </c>
    </row>
    <row r="2489" spans="1:18" x14ac:dyDescent="0.3">
      <c r="A2489">
        <v>18</v>
      </c>
      <c r="B2489">
        <v>18</v>
      </c>
      <c r="C2489" t="s">
        <v>15</v>
      </c>
      <c r="D2489">
        <v>2.5299999999999998</v>
      </c>
      <c r="E2489">
        <v>7353.9870000000001</v>
      </c>
      <c r="F2489" t="s">
        <v>405</v>
      </c>
      <c r="G2489" s="31">
        <v>7.99</v>
      </c>
      <c r="L2489">
        <v>2</v>
      </c>
      <c r="M2489">
        <v>2</v>
      </c>
      <c r="N2489" t="s">
        <v>36</v>
      </c>
      <c r="O2489">
        <v>1.63</v>
      </c>
      <c r="P2489">
        <v>4920075</v>
      </c>
      <c r="Q2489" t="s">
        <v>512</v>
      </c>
      <c r="R2489" s="31">
        <v>641.57000000000005</v>
      </c>
    </row>
    <row r="2490" spans="1:18" x14ac:dyDescent="0.3">
      <c r="A2490">
        <v>19</v>
      </c>
      <c r="B2490">
        <v>19</v>
      </c>
      <c r="C2490" t="s">
        <v>16</v>
      </c>
      <c r="D2490">
        <v>2.72</v>
      </c>
      <c r="E2490">
        <v>3276.0949999999998</v>
      </c>
      <c r="F2490" t="s">
        <v>406</v>
      </c>
      <c r="G2490" s="31">
        <v>0.37</v>
      </c>
      <c r="L2490">
        <v>3</v>
      </c>
      <c r="M2490">
        <v>3</v>
      </c>
      <c r="N2490" t="s">
        <v>37</v>
      </c>
      <c r="O2490">
        <v>1.78</v>
      </c>
      <c r="P2490">
        <v>2082.9899999999998</v>
      </c>
      <c r="Q2490" t="s">
        <v>513</v>
      </c>
      <c r="R2490" s="31">
        <v>0.5</v>
      </c>
    </row>
    <row r="2491" spans="1:18" x14ac:dyDescent="0.3">
      <c r="A2491">
        <v>20</v>
      </c>
      <c r="B2491">
        <v>20</v>
      </c>
      <c r="C2491" t="s">
        <v>17</v>
      </c>
      <c r="D2491">
        <v>3.13</v>
      </c>
      <c r="E2491">
        <v>5653.38</v>
      </c>
      <c r="F2491" t="s">
        <v>407</v>
      </c>
      <c r="G2491" s="31">
        <v>1.84</v>
      </c>
      <c r="L2491">
        <v>4</v>
      </c>
      <c r="M2491">
        <v>4</v>
      </c>
      <c r="N2491" t="s">
        <v>38</v>
      </c>
      <c r="O2491">
        <v>1.17</v>
      </c>
      <c r="P2491">
        <v>13099.094999999999</v>
      </c>
      <c r="Q2491" t="s">
        <v>514</v>
      </c>
      <c r="R2491" s="31">
        <v>2.2200000000000002</v>
      </c>
    </row>
    <row r="2492" spans="1:18" x14ac:dyDescent="0.3">
      <c r="A2492">
        <v>21</v>
      </c>
      <c r="B2492">
        <v>21</v>
      </c>
      <c r="C2492" t="s">
        <v>18</v>
      </c>
      <c r="D2492">
        <v>3.68</v>
      </c>
      <c r="E2492">
        <v>2723.5010000000002</v>
      </c>
      <c r="F2492" t="s">
        <v>408</v>
      </c>
      <c r="G2492" s="31">
        <v>0.21</v>
      </c>
      <c r="L2492">
        <v>5</v>
      </c>
      <c r="M2492">
        <v>5</v>
      </c>
      <c r="N2492" t="s">
        <v>39</v>
      </c>
      <c r="O2492">
        <v>1.37</v>
      </c>
      <c r="P2492">
        <v>518924.03100000002</v>
      </c>
      <c r="Q2492" t="s">
        <v>515</v>
      </c>
      <c r="R2492" s="31">
        <v>103.2</v>
      </c>
    </row>
    <row r="2493" spans="1:18" x14ac:dyDescent="0.3">
      <c r="A2493">
        <v>22</v>
      </c>
      <c r="B2493">
        <v>22</v>
      </c>
      <c r="C2493" t="s">
        <v>19</v>
      </c>
      <c r="D2493">
        <v>2.65</v>
      </c>
      <c r="E2493">
        <v>11421.344999999999</v>
      </c>
      <c r="F2493" t="s">
        <v>409</v>
      </c>
      <c r="G2493" s="31">
        <v>3.15</v>
      </c>
      <c r="L2493">
        <v>6</v>
      </c>
      <c r="M2493">
        <v>6</v>
      </c>
      <c r="N2493" t="s">
        <v>40</v>
      </c>
      <c r="O2493">
        <v>1.51</v>
      </c>
      <c r="P2493">
        <v>22591.532999999999</v>
      </c>
      <c r="Q2493" t="s">
        <v>516</v>
      </c>
      <c r="R2493" s="31">
        <v>2.66</v>
      </c>
    </row>
    <row r="2494" spans="1:18" x14ac:dyDescent="0.3">
      <c r="A2494">
        <v>23</v>
      </c>
      <c r="B2494">
        <v>23</v>
      </c>
      <c r="C2494" t="s">
        <v>20</v>
      </c>
      <c r="D2494">
        <v>2.89</v>
      </c>
      <c r="E2494">
        <v>3965.598</v>
      </c>
      <c r="F2494" t="s">
        <v>410</v>
      </c>
      <c r="G2494" s="31">
        <v>0.59</v>
      </c>
      <c r="L2494">
        <v>7</v>
      </c>
      <c r="M2494">
        <v>7</v>
      </c>
      <c r="N2494" t="s">
        <v>41</v>
      </c>
      <c r="O2494">
        <v>2.29</v>
      </c>
      <c r="P2494">
        <v>4366.1760000000004</v>
      </c>
      <c r="Q2494" t="s">
        <v>517</v>
      </c>
      <c r="R2494" s="31">
        <v>4.67</v>
      </c>
    </row>
    <row r="2495" spans="1:18" x14ac:dyDescent="0.3">
      <c r="A2495">
        <v>24</v>
      </c>
      <c r="B2495">
        <v>24</v>
      </c>
      <c r="C2495" t="s">
        <v>21</v>
      </c>
      <c r="D2495">
        <v>4.1399999999999997</v>
      </c>
      <c r="E2495">
        <v>43.402999999999999</v>
      </c>
      <c r="F2495" t="s">
        <v>411</v>
      </c>
      <c r="G2495" s="31">
        <v>0.1</v>
      </c>
      <c r="L2495">
        <v>8</v>
      </c>
      <c r="M2495">
        <v>8</v>
      </c>
      <c r="N2495" t="s">
        <v>42</v>
      </c>
      <c r="O2495">
        <v>0.88</v>
      </c>
      <c r="P2495">
        <v>17.504000000000001</v>
      </c>
      <c r="Q2495" t="s">
        <v>518</v>
      </c>
      <c r="R2495" s="31">
        <v>20.61</v>
      </c>
    </row>
    <row r="2496" spans="1:18" x14ac:dyDescent="0.3">
      <c r="A2496">
        <v>25</v>
      </c>
      <c r="B2496">
        <v>25</v>
      </c>
      <c r="C2496" t="s">
        <v>22</v>
      </c>
      <c r="D2496">
        <v>3.42</v>
      </c>
      <c r="E2496">
        <v>47.237000000000002</v>
      </c>
      <c r="F2496" t="s">
        <v>412</v>
      </c>
      <c r="G2496" s="31">
        <v>5.21</v>
      </c>
      <c r="L2496">
        <v>9</v>
      </c>
      <c r="M2496">
        <v>9</v>
      </c>
      <c r="N2496" t="s">
        <v>43</v>
      </c>
      <c r="O2496">
        <v>2.54</v>
      </c>
      <c r="P2496">
        <v>35151.862999999998</v>
      </c>
      <c r="Q2496" t="s">
        <v>519</v>
      </c>
      <c r="R2496" s="31">
        <v>0.64</v>
      </c>
    </row>
    <row r="2497" spans="1:18" x14ac:dyDescent="0.3">
      <c r="A2497">
        <v>26</v>
      </c>
      <c r="B2497">
        <v>26</v>
      </c>
      <c r="C2497" t="s">
        <v>23</v>
      </c>
      <c r="D2497">
        <v>3.35</v>
      </c>
      <c r="E2497">
        <v>5527.79</v>
      </c>
      <c r="F2497" t="s">
        <v>413</v>
      </c>
      <c r="G2497" s="31">
        <v>1.35</v>
      </c>
      <c r="L2497">
        <v>10</v>
      </c>
      <c r="M2497">
        <v>10</v>
      </c>
      <c r="N2497" t="s">
        <v>52</v>
      </c>
      <c r="O2497">
        <v>4.1100000000000003</v>
      </c>
      <c r="P2497">
        <v>55315.074000000001</v>
      </c>
      <c r="Q2497" t="s">
        <v>520</v>
      </c>
      <c r="R2497" s="31">
        <v>3.97</v>
      </c>
    </row>
    <row r="2498" spans="1:18" x14ac:dyDescent="0.3">
      <c r="A2498">
        <v>27</v>
      </c>
      <c r="B2498">
        <v>27</v>
      </c>
      <c r="C2498" t="s">
        <v>24</v>
      </c>
      <c r="D2498">
        <v>3.43</v>
      </c>
      <c r="E2498">
        <v>56.448</v>
      </c>
      <c r="F2498" t="s">
        <v>414</v>
      </c>
      <c r="G2498" s="31">
        <v>0.1</v>
      </c>
      <c r="L2498">
        <v>11</v>
      </c>
      <c r="M2498">
        <v>11</v>
      </c>
      <c r="N2498" t="s">
        <v>44</v>
      </c>
      <c r="O2498">
        <v>4.18</v>
      </c>
      <c r="P2498">
        <v>3099.1909999999998</v>
      </c>
      <c r="Q2498" t="s">
        <v>521</v>
      </c>
      <c r="R2498" s="31">
        <v>0.51</v>
      </c>
    </row>
    <row r="2499" spans="1:18" x14ac:dyDescent="0.3">
      <c r="A2499">
        <v>28</v>
      </c>
      <c r="B2499">
        <v>28</v>
      </c>
      <c r="C2499" t="s">
        <v>25</v>
      </c>
      <c r="D2499">
        <v>3.52</v>
      </c>
      <c r="E2499">
        <v>870.26800000000003</v>
      </c>
      <c r="F2499" t="s">
        <v>415</v>
      </c>
      <c r="G2499" s="31">
        <v>0.63</v>
      </c>
      <c r="L2499">
        <v>12</v>
      </c>
      <c r="M2499">
        <v>12</v>
      </c>
      <c r="N2499" t="s">
        <v>45</v>
      </c>
      <c r="O2499">
        <v>3.44</v>
      </c>
      <c r="P2499">
        <v>1901211</v>
      </c>
      <c r="Q2499" t="s">
        <v>522</v>
      </c>
      <c r="R2499" s="31">
        <v>51.83</v>
      </c>
    </row>
    <row r="2500" spans="1:18" x14ac:dyDescent="0.3">
      <c r="A2500">
        <v>29</v>
      </c>
      <c r="B2500">
        <v>29</v>
      </c>
      <c r="C2500" t="s">
        <v>26</v>
      </c>
      <c r="D2500">
        <v>1.06</v>
      </c>
      <c r="E2500">
        <v>206.726</v>
      </c>
      <c r="F2500" t="s">
        <v>416</v>
      </c>
      <c r="G2500" s="31">
        <v>1.02</v>
      </c>
      <c r="L2500">
        <v>13</v>
      </c>
      <c r="M2500">
        <v>13</v>
      </c>
      <c r="N2500" t="s">
        <v>46</v>
      </c>
      <c r="O2500">
        <v>2.58</v>
      </c>
      <c r="P2500">
        <v>584031.875</v>
      </c>
      <c r="Q2500" t="s">
        <v>523</v>
      </c>
      <c r="R2500" s="31">
        <v>35.380000000000003</v>
      </c>
    </row>
    <row r="2501" spans="1:18" x14ac:dyDescent="0.3">
      <c r="A2501">
        <v>30</v>
      </c>
      <c r="B2501">
        <v>30</v>
      </c>
      <c r="C2501" t="s">
        <v>27</v>
      </c>
      <c r="D2501">
        <v>4.33</v>
      </c>
      <c r="E2501">
        <v>336.452</v>
      </c>
      <c r="F2501" t="s">
        <v>417</v>
      </c>
      <c r="G2501" s="31">
        <v>7.0000000000000007E-2</v>
      </c>
      <c r="L2501">
        <v>14</v>
      </c>
      <c r="M2501">
        <v>14</v>
      </c>
      <c r="N2501" t="s">
        <v>47</v>
      </c>
      <c r="O2501">
        <v>0.68</v>
      </c>
      <c r="P2501">
        <v>31547.692999999999</v>
      </c>
      <c r="Q2501" t="s">
        <v>524</v>
      </c>
      <c r="R2501" s="31">
        <v>17.41</v>
      </c>
    </row>
    <row r="2502" spans="1:18" x14ac:dyDescent="0.3">
      <c r="A2502">
        <v>31</v>
      </c>
      <c r="B2502">
        <v>31</v>
      </c>
      <c r="C2502" t="s">
        <v>28</v>
      </c>
      <c r="D2502">
        <v>3</v>
      </c>
      <c r="E2502">
        <v>25409.84</v>
      </c>
      <c r="F2502" t="s">
        <v>418</v>
      </c>
      <c r="G2502" s="31">
        <v>0.12</v>
      </c>
      <c r="L2502">
        <v>15</v>
      </c>
      <c r="M2502">
        <v>15</v>
      </c>
      <c r="N2502" t="s">
        <v>48</v>
      </c>
      <c r="O2502">
        <v>1.21</v>
      </c>
      <c r="P2502">
        <v>70110.101999999999</v>
      </c>
      <c r="Q2502" t="s">
        <v>525</v>
      </c>
      <c r="R2502" s="31">
        <v>12.27</v>
      </c>
    </row>
    <row r="2503" spans="1:18" x14ac:dyDescent="0.3">
      <c r="A2503">
        <v>32</v>
      </c>
      <c r="B2503">
        <v>32</v>
      </c>
      <c r="C2503" t="s">
        <v>29</v>
      </c>
      <c r="D2503">
        <v>3.35</v>
      </c>
      <c r="E2503">
        <v>187.99600000000001</v>
      </c>
      <c r="F2503" t="s">
        <v>419</v>
      </c>
      <c r="G2503" s="31">
        <v>0.12</v>
      </c>
      <c r="L2503">
        <v>16</v>
      </c>
      <c r="M2503">
        <v>16</v>
      </c>
      <c r="N2503" t="s">
        <v>53</v>
      </c>
      <c r="O2503">
        <v>4.55</v>
      </c>
      <c r="P2503">
        <v>88838.866999999998</v>
      </c>
      <c r="Q2503" t="s">
        <v>526</v>
      </c>
      <c r="R2503" s="31">
        <v>1.45</v>
      </c>
    </row>
    <row r="2504" spans="1:18" x14ac:dyDescent="0.3">
      <c r="A2504">
        <v>33</v>
      </c>
      <c r="B2504">
        <v>33</v>
      </c>
      <c r="C2504" t="s">
        <v>30</v>
      </c>
      <c r="D2504">
        <v>4.67</v>
      </c>
      <c r="E2504">
        <v>5352.0290000000005</v>
      </c>
      <c r="F2504" t="s">
        <v>420</v>
      </c>
      <c r="G2504" s="31">
        <v>0.93</v>
      </c>
      <c r="L2504">
        <v>17</v>
      </c>
      <c r="M2504">
        <v>17</v>
      </c>
      <c r="N2504" t="s">
        <v>54</v>
      </c>
      <c r="O2504">
        <v>5.24</v>
      </c>
      <c r="P2504">
        <v>20.172000000000001</v>
      </c>
      <c r="Q2504" t="s">
        <v>527</v>
      </c>
      <c r="R2504" s="31">
        <v>0.1</v>
      </c>
    </row>
    <row r="2505" spans="1:18" x14ac:dyDescent="0.3">
      <c r="A2505">
        <v>34</v>
      </c>
      <c r="B2505">
        <v>34</v>
      </c>
      <c r="C2505" t="s">
        <v>31</v>
      </c>
      <c r="D2505">
        <v>3.26</v>
      </c>
      <c r="E2505">
        <v>938.12800000000004</v>
      </c>
      <c r="F2505" t="s">
        <v>421</v>
      </c>
      <c r="G2505" s="31">
        <v>0.16</v>
      </c>
      <c r="L2505">
        <v>18</v>
      </c>
      <c r="M2505">
        <v>18</v>
      </c>
      <c r="N2505" t="s">
        <v>55</v>
      </c>
      <c r="O2505">
        <v>1.32</v>
      </c>
      <c r="P2505">
        <v>6141.7939999999999</v>
      </c>
      <c r="Q2505" t="s">
        <v>528</v>
      </c>
      <c r="R2505" s="31">
        <v>0.28000000000000003</v>
      </c>
    </row>
    <row r="2506" spans="1:18" x14ac:dyDescent="0.3">
      <c r="A2506">
        <v>35</v>
      </c>
      <c r="B2506">
        <v>35</v>
      </c>
      <c r="C2506" t="s">
        <v>32</v>
      </c>
      <c r="D2506">
        <v>3.06</v>
      </c>
      <c r="E2506">
        <v>49.369</v>
      </c>
      <c r="F2506" t="s">
        <v>422</v>
      </c>
      <c r="G2506" s="31">
        <v>0.1</v>
      </c>
      <c r="L2506">
        <v>19</v>
      </c>
      <c r="M2506">
        <v>19</v>
      </c>
      <c r="N2506" t="s">
        <v>56</v>
      </c>
      <c r="O2506">
        <v>0.87</v>
      </c>
      <c r="P2506">
        <v>23297.800999999999</v>
      </c>
      <c r="Q2506" t="s">
        <v>529</v>
      </c>
      <c r="R2506" s="31">
        <v>1.19</v>
      </c>
    </row>
    <row r="2507" spans="1:18" x14ac:dyDescent="0.3">
      <c r="A2507">
        <v>36</v>
      </c>
      <c r="B2507">
        <v>36</v>
      </c>
      <c r="C2507" t="s">
        <v>33</v>
      </c>
      <c r="D2507">
        <v>1.96</v>
      </c>
      <c r="E2507">
        <v>340.822</v>
      </c>
      <c r="F2507" t="s">
        <v>423</v>
      </c>
      <c r="G2507" s="31">
        <v>0.41</v>
      </c>
      <c r="L2507">
        <v>20</v>
      </c>
      <c r="M2507">
        <v>20</v>
      </c>
      <c r="N2507" t="s">
        <v>57</v>
      </c>
      <c r="O2507">
        <v>1.5</v>
      </c>
      <c r="P2507">
        <v>481.86900000000003</v>
      </c>
      <c r="Q2507" t="s">
        <v>530</v>
      </c>
      <c r="R2507" s="31">
        <v>0.2</v>
      </c>
    </row>
    <row r="2508" spans="1:18" x14ac:dyDescent="0.3">
      <c r="G2508" s="31">
        <f>G2485/G2487</f>
        <v>3.6744186046511631</v>
      </c>
      <c r="L2508">
        <v>21</v>
      </c>
      <c r="M2508">
        <v>21</v>
      </c>
      <c r="N2508" t="s">
        <v>58</v>
      </c>
      <c r="O2508">
        <v>2.56</v>
      </c>
      <c r="P2508">
        <v>94.89</v>
      </c>
      <c r="Q2508" t="s">
        <v>531</v>
      </c>
      <c r="R2508" s="31">
        <v>0.09</v>
      </c>
    </row>
    <row r="2509" spans="1:18" x14ac:dyDescent="0.3">
      <c r="A2509" t="s">
        <v>379</v>
      </c>
      <c r="L2509">
        <v>22</v>
      </c>
      <c r="M2509">
        <v>22</v>
      </c>
      <c r="N2509" t="s">
        <v>59</v>
      </c>
      <c r="O2509">
        <v>2.5099999999999998</v>
      </c>
      <c r="P2509">
        <v>5016.1490000000003</v>
      </c>
      <c r="Q2509" t="s">
        <v>532</v>
      </c>
      <c r="R2509" s="31">
        <v>0.59</v>
      </c>
    </row>
    <row r="2510" spans="1:18" x14ac:dyDescent="0.3">
      <c r="L2510">
        <v>23</v>
      </c>
      <c r="M2510">
        <v>23</v>
      </c>
      <c r="N2510" t="s">
        <v>60</v>
      </c>
      <c r="O2510">
        <v>2.58</v>
      </c>
      <c r="P2510">
        <v>38084.129000000001</v>
      </c>
      <c r="Q2510" t="s">
        <v>533</v>
      </c>
      <c r="R2510" s="31">
        <v>2.8</v>
      </c>
    </row>
    <row r="2511" spans="1:18" x14ac:dyDescent="0.3">
      <c r="A2511" t="s">
        <v>456</v>
      </c>
    </row>
    <row r="2512" spans="1:18" x14ac:dyDescent="0.3">
      <c r="L2512" t="s">
        <v>379</v>
      </c>
    </row>
    <row r="2513" spans="1:18" x14ac:dyDescent="0.3">
      <c r="A2513" t="s">
        <v>481</v>
      </c>
    </row>
    <row r="2514" spans="1:18" x14ac:dyDescent="0.3">
      <c r="L2514" t="s">
        <v>604</v>
      </c>
    </row>
    <row r="2515" spans="1:18" x14ac:dyDescent="0.3">
      <c r="B2515" t="s">
        <v>382</v>
      </c>
      <c r="C2515" t="s">
        <v>383</v>
      </c>
      <c r="D2515" t="s">
        <v>384</v>
      </c>
      <c r="E2515" t="s">
        <v>385</v>
      </c>
      <c r="F2515" t="s">
        <v>386</v>
      </c>
      <c r="G2515" s="31" t="s">
        <v>387</v>
      </c>
    </row>
    <row r="2516" spans="1:18" x14ac:dyDescent="0.3">
      <c r="A2516">
        <v>1</v>
      </c>
      <c r="B2516">
        <v>1</v>
      </c>
      <c r="C2516" t="s">
        <v>0</v>
      </c>
      <c r="D2516">
        <v>0.97</v>
      </c>
      <c r="E2516">
        <v>10.093</v>
      </c>
      <c r="F2516" t="s">
        <v>388</v>
      </c>
      <c r="G2516" s="31">
        <v>0.1</v>
      </c>
      <c r="L2516" t="s">
        <v>616</v>
      </c>
    </row>
    <row r="2517" spans="1:18" x14ac:dyDescent="0.3">
      <c r="A2517">
        <v>2</v>
      </c>
      <c r="B2517">
        <v>2</v>
      </c>
      <c r="C2517" t="s">
        <v>1</v>
      </c>
      <c r="D2517">
        <v>1.52</v>
      </c>
      <c r="E2517">
        <v>61.38</v>
      </c>
      <c r="F2517" t="s">
        <v>389</v>
      </c>
      <c r="G2517" s="31">
        <v>5.17</v>
      </c>
    </row>
    <row r="2518" spans="1:18" x14ac:dyDescent="0.3">
      <c r="A2518">
        <v>3</v>
      </c>
      <c r="B2518">
        <v>3</v>
      </c>
      <c r="C2518" t="s">
        <v>50</v>
      </c>
      <c r="D2518">
        <v>3.76</v>
      </c>
      <c r="E2518">
        <v>34.045999999999999</v>
      </c>
      <c r="F2518" t="s">
        <v>390</v>
      </c>
      <c r="G2518" s="31">
        <v>0.37</v>
      </c>
      <c r="M2518" t="s">
        <v>382</v>
      </c>
      <c r="N2518" t="s">
        <v>383</v>
      </c>
      <c r="O2518" t="s">
        <v>384</v>
      </c>
      <c r="P2518" t="s">
        <v>385</v>
      </c>
      <c r="Q2518" t="s">
        <v>386</v>
      </c>
      <c r="R2518" s="31" t="s">
        <v>387</v>
      </c>
    </row>
    <row r="2519" spans="1:18" x14ac:dyDescent="0.3">
      <c r="A2519">
        <v>4</v>
      </c>
      <c r="B2519">
        <v>4</v>
      </c>
      <c r="C2519" t="s">
        <v>2</v>
      </c>
      <c r="D2519">
        <v>3.69</v>
      </c>
      <c r="E2519">
        <v>219.762</v>
      </c>
      <c r="F2519" t="s">
        <v>391</v>
      </c>
      <c r="G2519" s="31">
        <v>0.84</v>
      </c>
      <c r="L2519">
        <v>1</v>
      </c>
      <c r="M2519">
        <v>1</v>
      </c>
      <c r="N2519" t="s">
        <v>35</v>
      </c>
      <c r="O2519">
        <v>1.43</v>
      </c>
      <c r="P2519">
        <v>1655.2260000000001</v>
      </c>
      <c r="Q2519" t="s">
        <v>511</v>
      </c>
      <c r="R2519" s="31">
        <v>11.71</v>
      </c>
    </row>
    <row r="2520" spans="1:18" x14ac:dyDescent="0.3">
      <c r="A2520">
        <v>5</v>
      </c>
      <c r="B2520">
        <v>5</v>
      </c>
      <c r="C2520" t="s">
        <v>3</v>
      </c>
      <c r="D2520">
        <v>4.57</v>
      </c>
      <c r="E2520">
        <v>33.159999999999997</v>
      </c>
      <c r="F2520" t="s">
        <v>392</v>
      </c>
      <c r="G2520" s="31">
        <v>0.1</v>
      </c>
      <c r="L2520">
        <v>2</v>
      </c>
      <c r="M2520">
        <v>2</v>
      </c>
      <c r="N2520" t="s">
        <v>36</v>
      </c>
      <c r="O2520">
        <v>1.65</v>
      </c>
      <c r="P2520">
        <v>1196401.25</v>
      </c>
      <c r="Q2520" t="s">
        <v>512</v>
      </c>
      <c r="R2520" s="31">
        <v>235.64</v>
      </c>
    </row>
    <row r="2521" spans="1:18" x14ac:dyDescent="0.3">
      <c r="A2521">
        <v>6</v>
      </c>
      <c r="B2521">
        <v>6</v>
      </c>
      <c r="C2521" t="s">
        <v>4</v>
      </c>
      <c r="D2521">
        <v>4.88</v>
      </c>
      <c r="E2521">
        <v>59.866</v>
      </c>
      <c r="F2521" t="s">
        <v>393</v>
      </c>
      <c r="G2521" s="31">
        <v>2.2999999999999998</v>
      </c>
      <c r="L2521">
        <v>3</v>
      </c>
      <c r="M2521">
        <v>3</v>
      </c>
      <c r="N2521" t="s">
        <v>37</v>
      </c>
      <c r="O2521">
        <v>1.79</v>
      </c>
      <c r="P2521">
        <v>2447.6550000000002</v>
      </c>
      <c r="Q2521" t="s">
        <v>513</v>
      </c>
      <c r="R2521" s="31">
        <v>0.7</v>
      </c>
    </row>
    <row r="2522" spans="1:18" x14ac:dyDescent="0.3">
      <c r="A2522">
        <v>7</v>
      </c>
      <c r="B2522">
        <v>7</v>
      </c>
      <c r="C2522" t="s">
        <v>5</v>
      </c>
      <c r="D2522">
        <v>2.71</v>
      </c>
      <c r="E2522">
        <v>16.713999999999999</v>
      </c>
      <c r="F2522" t="s">
        <v>394</v>
      </c>
      <c r="G2522" s="31">
        <v>0.08</v>
      </c>
      <c r="L2522">
        <v>4</v>
      </c>
      <c r="M2522">
        <v>4</v>
      </c>
      <c r="N2522" t="s">
        <v>38</v>
      </c>
      <c r="O2522">
        <v>1.17</v>
      </c>
      <c r="P2522">
        <v>6100.5190000000002</v>
      </c>
      <c r="Q2522" t="s">
        <v>514</v>
      </c>
      <c r="R2522" s="31">
        <v>1.31</v>
      </c>
    </row>
    <row r="2523" spans="1:18" x14ac:dyDescent="0.3">
      <c r="A2523">
        <v>8</v>
      </c>
      <c r="B2523">
        <v>8</v>
      </c>
      <c r="C2523" t="s">
        <v>6</v>
      </c>
      <c r="F2523" t="s">
        <v>395</v>
      </c>
      <c r="G2523" s="31">
        <v>0.1</v>
      </c>
      <c r="L2523">
        <v>5</v>
      </c>
      <c r="M2523">
        <v>5</v>
      </c>
      <c r="N2523" t="s">
        <v>39</v>
      </c>
      <c r="O2523">
        <v>1.36</v>
      </c>
      <c r="P2523">
        <v>602004.68799999997</v>
      </c>
      <c r="Q2523" t="s">
        <v>515</v>
      </c>
      <c r="R2523" s="31">
        <v>145.31</v>
      </c>
    </row>
    <row r="2524" spans="1:18" x14ac:dyDescent="0.3">
      <c r="A2524">
        <v>9</v>
      </c>
      <c r="B2524">
        <v>9</v>
      </c>
      <c r="C2524" t="s">
        <v>7</v>
      </c>
      <c r="D2524">
        <v>3.6</v>
      </c>
      <c r="E2524">
        <v>73.721999999999994</v>
      </c>
      <c r="F2524" t="s">
        <v>396</v>
      </c>
      <c r="G2524" s="31">
        <v>2.33</v>
      </c>
      <c r="L2524">
        <v>6</v>
      </c>
      <c r="M2524">
        <v>6</v>
      </c>
      <c r="N2524" t="s">
        <v>40</v>
      </c>
      <c r="O2524">
        <v>1.51</v>
      </c>
      <c r="P2524">
        <v>42502.379000000001</v>
      </c>
      <c r="Q2524" t="s">
        <v>516</v>
      </c>
      <c r="R2524" s="31">
        <v>6.09</v>
      </c>
    </row>
    <row r="2525" spans="1:18" x14ac:dyDescent="0.3">
      <c r="A2525">
        <v>10</v>
      </c>
      <c r="B2525">
        <v>10</v>
      </c>
      <c r="C2525" t="s">
        <v>51</v>
      </c>
      <c r="D2525">
        <v>4.67</v>
      </c>
      <c r="E2525">
        <v>651.31100000000004</v>
      </c>
      <c r="F2525" t="s">
        <v>397</v>
      </c>
      <c r="G2525" s="31">
        <v>1.01</v>
      </c>
      <c r="L2525">
        <v>7</v>
      </c>
      <c r="M2525">
        <v>7</v>
      </c>
      <c r="N2525" t="s">
        <v>41</v>
      </c>
      <c r="O2525">
        <v>2.2999999999999998</v>
      </c>
      <c r="P2525">
        <v>3248.3719999999998</v>
      </c>
      <c r="Q2525" t="s">
        <v>517</v>
      </c>
      <c r="R2525" s="31">
        <v>4.3</v>
      </c>
    </row>
    <row r="2526" spans="1:18" x14ac:dyDescent="0.3">
      <c r="A2526">
        <v>11</v>
      </c>
      <c r="B2526">
        <v>11</v>
      </c>
      <c r="C2526" t="s">
        <v>8</v>
      </c>
      <c r="F2526" t="s">
        <v>398</v>
      </c>
      <c r="G2526" s="31">
        <v>0.1</v>
      </c>
      <c r="L2526">
        <v>8</v>
      </c>
      <c r="M2526">
        <v>8</v>
      </c>
      <c r="N2526" t="s">
        <v>42</v>
      </c>
      <c r="O2526">
        <v>0.88</v>
      </c>
      <c r="P2526">
        <v>36744.012000000002</v>
      </c>
      <c r="Q2526" t="s">
        <v>518</v>
      </c>
      <c r="R2526" s="31">
        <v>77.989999999999995</v>
      </c>
    </row>
    <row r="2527" spans="1:18" x14ac:dyDescent="0.3">
      <c r="A2527">
        <v>12</v>
      </c>
      <c r="B2527">
        <v>12</v>
      </c>
      <c r="C2527" t="s">
        <v>9</v>
      </c>
      <c r="D2527">
        <v>2.74</v>
      </c>
      <c r="E2527">
        <v>34.292999999999999</v>
      </c>
      <c r="F2527" t="s">
        <v>399</v>
      </c>
      <c r="G2527" s="31">
        <v>2.76</v>
      </c>
      <c r="L2527">
        <v>9</v>
      </c>
      <c r="M2527">
        <v>9</v>
      </c>
      <c r="N2527" t="s">
        <v>43</v>
      </c>
      <c r="O2527">
        <v>2.54</v>
      </c>
      <c r="P2527">
        <v>12189.052</v>
      </c>
      <c r="Q2527" t="s">
        <v>519</v>
      </c>
      <c r="R2527" s="31">
        <v>0.27</v>
      </c>
    </row>
    <row r="2528" spans="1:18" x14ac:dyDescent="0.3">
      <c r="A2528">
        <v>13</v>
      </c>
      <c r="B2528">
        <v>13</v>
      </c>
      <c r="C2528" t="s">
        <v>10</v>
      </c>
      <c r="D2528">
        <v>4.22</v>
      </c>
      <c r="E2528">
        <v>108.598</v>
      </c>
      <c r="F2528" t="s">
        <v>400</v>
      </c>
      <c r="G2528" s="31">
        <v>0.1</v>
      </c>
      <c r="L2528">
        <v>10</v>
      </c>
      <c r="M2528">
        <v>10</v>
      </c>
      <c r="N2528" t="s">
        <v>52</v>
      </c>
      <c r="O2528">
        <v>4.13</v>
      </c>
      <c r="P2528">
        <v>2660.88</v>
      </c>
      <c r="Q2528" t="s">
        <v>520</v>
      </c>
      <c r="R2528" s="31">
        <v>0.1</v>
      </c>
    </row>
    <row r="2529" spans="1:18" x14ac:dyDescent="0.3">
      <c r="A2529">
        <v>14</v>
      </c>
      <c r="B2529">
        <v>14</v>
      </c>
      <c r="C2529" t="s">
        <v>11</v>
      </c>
      <c r="F2529" t="s">
        <v>401</v>
      </c>
      <c r="G2529" s="31">
        <v>0.1</v>
      </c>
      <c r="L2529">
        <v>11</v>
      </c>
      <c r="M2529">
        <v>11</v>
      </c>
      <c r="N2529" t="s">
        <v>44</v>
      </c>
      <c r="O2529">
        <v>4.18</v>
      </c>
      <c r="P2529">
        <v>2543.7420000000002</v>
      </c>
      <c r="Q2529" t="s">
        <v>521</v>
      </c>
      <c r="R2529" s="31">
        <v>0.53</v>
      </c>
    </row>
    <row r="2530" spans="1:18" x14ac:dyDescent="0.3">
      <c r="A2530">
        <v>15</v>
      </c>
      <c r="B2530">
        <v>15</v>
      </c>
      <c r="C2530" t="s">
        <v>12</v>
      </c>
      <c r="F2530" t="s">
        <v>402</v>
      </c>
      <c r="G2530" s="31">
        <v>0.1</v>
      </c>
      <c r="L2530">
        <v>12</v>
      </c>
      <c r="M2530">
        <v>12</v>
      </c>
      <c r="N2530" t="s">
        <v>45</v>
      </c>
      <c r="O2530">
        <v>3.44</v>
      </c>
      <c r="P2530">
        <v>2003909</v>
      </c>
      <c r="Q2530" t="s">
        <v>522</v>
      </c>
      <c r="R2530" s="31">
        <v>67.290000000000006</v>
      </c>
    </row>
    <row r="2531" spans="1:18" x14ac:dyDescent="0.3">
      <c r="A2531">
        <v>16</v>
      </c>
      <c r="B2531">
        <v>16</v>
      </c>
      <c r="C2531" t="s">
        <v>13</v>
      </c>
      <c r="F2531" t="s">
        <v>403</v>
      </c>
      <c r="G2531" s="31">
        <v>0.1</v>
      </c>
      <c r="L2531">
        <v>13</v>
      </c>
      <c r="M2531">
        <v>13</v>
      </c>
      <c r="N2531" t="s">
        <v>46</v>
      </c>
      <c r="O2531">
        <v>2.58</v>
      </c>
      <c r="P2531">
        <v>471149.375</v>
      </c>
      <c r="Q2531" t="s">
        <v>523</v>
      </c>
      <c r="R2531" s="31">
        <v>34.58</v>
      </c>
    </row>
    <row r="2532" spans="1:18" x14ac:dyDescent="0.3">
      <c r="A2532">
        <v>17</v>
      </c>
      <c r="B2532">
        <v>17</v>
      </c>
      <c r="C2532" t="s">
        <v>14</v>
      </c>
      <c r="D2532">
        <v>2.0499999999999998</v>
      </c>
      <c r="E2532">
        <v>41.164999999999999</v>
      </c>
      <c r="F2532" t="s">
        <v>404</v>
      </c>
      <c r="G2532" s="31">
        <v>3.24</v>
      </c>
      <c r="L2532">
        <v>14</v>
      </c>
      <c r="M2532">
        <v>14</v>
      </c>
      <c r="N2532" t="s">
        <v>47</v>
      </c>
      <c r="O2532">
        <v>0.68</v>
      </c>
      <c r="P2532">
        <v>38479.480000000003</v>
      </c>
      <c r="Q2532" t="s">
        <v>524</v>
      </c>
      <c r="R2532" s="31">
        <v>26.51</v>
      </c>
    </row>
    <row r="2533" spans="1:18" x14ac:dyDescent="0.3">
      <c r="A2533">
        <v>18</v>
      </c>
      <c r="B2533">
        <v>18</v>
      </c>
      <c r="C2533" t="s">
        <v>15</v>
      </c>
      <c r="D2533">
        <v>2.58</v>
      </c>
      <c r="E2533">
        <v>25.068000000000001</v>
      </c>
      <c r="F2533" t="s">
        <v>405</v>
      </c>
      <c r="G2533" s="31">
        <v>10.32</v>
      </c>
      <c r="L2533">
        <v>15</v>
      </c>
      <c r="M2533">
        <v>15</v>
      </c>
      <c r="N2533" t="s">
        <v>48</v>
      </c>
      <c r="O2533">
        <v>1.21</v>
      </c>
      <c r="P2533">
        <v>55211.440999999999</v>
      </c>
      <c r="Q2533" t="s">
        <v>525</v>
      </c>
      <c r="R2533" s="31">
        <v>11.72</v>
      </c>
    </row>
    <row r="2534" spans="1:18" x14ac:dyDescent="0.3">
      <c r="A2534">
        <v>19</v>
      </c>
      <c r="B2534">
        <v>19</v>
      </c>
      <c r="C2534" t="s">
        <v>16</v>
      </c>
      <c r="D2534">
        <v>2.77</v>
      </c>
      <c r="E2534">
        <v>8.0690000000000008</v>
      </c>
      <c r="F2534" t="s">
        <v>406</v>
      </c>
      <c r="G2534" s="31">
        <v>0.3</v>
      </c>
      <c r="L2534">
        <v>16</v>
      </c>
      <c r="M2534">
        <v>16</v>
      </c>
      <c r="N2534" t="s">
        <v>53</v>
      </c>
      <c r="O2534">
        <v>4.55</v>
      </c>
      <c r="P2534">
        <v>94036.960999999996</v>
      </c>
      <c r="Q2534" t="s">
        <v>526</v>
      </c>
      <c r="R2534" s="31">
        <v>1.88</v>
      </c>
    </row>
    <row r="2535" spans="1:18" x14ac:dyDescent="0.3">
      <c r="A2535">
        <v>20</v>
      </c>
      <c r="B2535">
        <v>20</v>
      </c>
      <c r="C2535" t="s">
        <v>17</v>
      </c>
      <c r="D2535">
        <v>3.15</v>
      </c>
      <c r="E2535">
        <v>1098.5709999999999</v>
      </c>
      <c r="F2535" t="s">
        <v>407</v>
      </c>
      <c r="G2535" s="31">
        <v>1.1299999999999999</v>
      </c>
      <c r="L2535">
        <v>17</v>
      </c>
      <c r="M2535">
        <v>17</v>
      </c>
      <c r="N2535" t="s">
        <v>54</v>
      </c>
      <c r="O2535">
        <v>5.17</v>
      </c>
      <c r="P2535">
        <v>1385.3589999999999</v>
      </c>
      <c r="Q2535" t="s">
        <v>527</v>
      </c>
      <c r="R2535" s="31">
        <v>0.13</v>
      </c>
    </row>
    <row r="2536" spans="1:18" x14ac:dyDescent="0.3">
      <c r="A2536">
        <v>21</v>
      </c>
      <c r="B2536">
        <v>21</v>
      </c>
      <c r="C2536" t="s">
        <v>18</v>
      </c>
      <c r="D2536">
        <v>3.68</v>
      </c>
      <c r="E2536">
        <v>327.01900000000001</v>
      </c>
      <c r="F2536" t="s">
        <v>408</v>
      </c>
      <c r="G2536" s="31">
        <v>7.0000000000000007E-2</v>
      </c>
      <c r="L2536">
        <v>18</v>
      </c>
      <c r="M2536">
        <v>18</v>
      </c>
      <c r="N2536" t="s">
        <v>55</v>
      </c>
      <c r="O2536">
        <v>1.31</v>
      </c>
      <c r="P2536">
        <v>7287.8270000000002</v>
      </c>
      <c r="Q2536" t="s">
        <v>528</v>
      </c>
      <c r="R2536" s="31">
        <v>0.4</v>
      </c>
    </row>
    <row r="2537" spans="1:18" x14ac:dyDescent="0.3">
      <c r="A2537">
        <v>22</v>
      </c>
      <c r="B2537">
        <v>22</v>
      </c>
      <c r="C2537" t="s">
        <v>19</v>
      </c>
      <c r="D2537">
        <v>2.89</v>
      </c>
      <c r="E2537">
        <v>3.1110000000000002</v>
      </c>
      <c r="F2537" t="s">
        <v>409</v>
      </c>
      <c r="G2537" s="31">
        <v>5.83</v>
      </c>
      <c r="L2537">
        <v>19</v>
      </c>
      <c r="M2537">
        <v>19</v>
      </c>
      <c r="N2537" t="s">
        <v>56</v>
      </c>
      <c r="O2537">
        <v>0.87</v>
      </c>
      <c r="P2537">
        <v>82430.531000000003</v>
      </c>
      <c r="Q2537" t="s">
        <v>529</v>
      </c>
      <c r="R2537" s="31">
        <v>7.25</v>
      </c>
    </row>
    <row r="2538" spans="1:18" x14ac:dyDescent="0.3">
      <c r="A2538">
        <v>23</v>
      </c>
      <c r="B2538">
        <v>23</v>
      </c>
      <c r="C2538" t="s">
        <v>20</v>
      </c>
      <c r="D2538">
        <v>2.9</v>
      </c>
      <c r="E2538">
        <v>10.012</v>
      </c>
      <c r="F2538" t="s">
        <v>410</v>
      </c>
      <c r="G2538" s="31">
        <v>0.81</v>
      </c>
      <c r="L2538">
        <v>20</v>
      </c>
      <c r="M2538">
        <v>20</v>
      </c>
      <c r="N2538" t="s">
        <v>57</v>
      </c>
      <c r="O2538">
        <v>1.5</v>
      </c>
      <c r="P2538">
        <v>1587.731</v>
      </c>
      <c r="Q2538" t="s">
        <v>530</v>
      </c>
      <c r="R2538" s="31">
        <v>0.84</v>
      </c>
    </row>
    <row r="2539" spans="1:18" x14ac:dyDescent="0.3">
      <c r="A2539">
        <v>24</v>
      </c>
      <c r="B2539">
        <v>24</v>
      </c>
      <c r="C2539" t="s">
        <v>21</v>
      </c>
      <c r="D2539">
        <v>4.17</v>
      </c>
      <c r="E2539">
        <v>22.652999999999999</v>
      </c>
      <c r="F2539" t="s">
        <v>411</v>
      </c>
      <c r="G2539" s="31">
        <v>0.1</v>
      </c>
      <c r="L2539">
        <v>21</v>
      </c>
      <c r="M2539">
        <v>21</v>
      </c>
      <c r="N2539" t="s">
        <v>58</v>
      </c>
      <c r="O2539">
        <v>2.59</v>
      </c>
      <c r="P2539">
        <v>125.206</v>
      </c>
      <c r="Q2539" t="s">
        <v>531</v>
      </c>
      <c r="R2539" s="31">
        <v>0.13</v>
      </c>
    </row>
    <row r="2540" spans="1:18" x14ac:dyDescent="0.3">
      <c r="A2540">
        <v>25</v>
      </c>
      <c r="B2540">
        <v>25</v>
      </c>
      <c r="C2540" t="s">
        <v>22</v>
      </c>
      <c r="D2540">
        <v>3.82</v>
      </c>
      <c r="E2540">
        <v>79.117999999999995</v>
      </c>
      <c r="F2540" t="s">
        <v>412</v>
      </c>
      <c r="G2540" s="31">
        <v>23.71</v>
      </c>
      <c r="L2540">
        <v>22</v>
      </c>
      <c r="M2540">
        <v>22</v>
      </c>
      <c r="N2540" t="s">
        <v>59</v>
      </c>
      <c r="O2540">
        <v>2.5099999999999998</v>
      </c>
      <c r="P2540">
        <v>79177.843999999997</v>
      </c>
      <c r="Q2540" t="s">
        <v>532</v>
      </c>
      <c r="R2540" s="31">
        <v>15.58</v>
      </c>
    </row>
    <row r="2541" spans="1:18" x14ac:dyDescent="0.3">
      <c r="A2541">
        <v>26</v>
      </c>
      <c r="B2541">
        <v>26</v>
      </c>
      <c r="C2541" t="s">
        <v>23</v>
      </c>
      <c r="F2541" t="s">
        <v>413</v>
      </c>
      <c r="G2541" s="31">
        <v>0.1</v>
      </c>
      <c r="L2541">
        <v>23</v>
      </c>
      <c r="M2541">
        <v>23</v>
      </c>
      <c r="N2541" t="s">
        <v>60</v>
      </c>
      <c r="O2541">
        <v>2.58</v>
      </c>
      <c r="P2541">
        <v>45428.788999999997</v>
      </c>
      <c r="Q2541" t="s">
        <v>533</v>
      </c>
      <c r="R2541" s="31">
        <v>4.03</v>
      </c>
    </row>
    <row r="2542" spans="1:18" x14ac:dyDescent="0.3">
      <c r="A2542">
        <v>27</v>
      </c>
      <c r="B2542">
        <v>27</v>
      </c>
      <c r="C2542" t="s">
        <v>24</v>
      </c>
      <c r="D2542">
        <v>3.46</v>
      </c>
      <c r="E2542">
        <v>49.838000000000001</v>
      </c>
      <c r="F2542" t="s">
        <v>414</v>
      </c>
      <c r="G2542" s="31">
        <v>0.1</v>
      </c>
    </row>
    <row r="2543" spans="1:18" x14ac:dyDescent="0.3">
      <c r="A2543">
        <v>28</v>
      </c>
      <c r="B2543">
        <v>28</v>
      </c>
      <c r="C2543" t="s">
        <v>25</v>
      </c>
      <c r="F2543" t="s">
        <v>415</v>
      </c>
      <c r="G2543" s="31">
        <v>0.1</v>
      </c>
      <c r="L2543" t="s">
        <v>379</v>
      </c>
    </row>
    <row r="2544" spans="1:18" x14ac:dyDescent="0.3">
      <c r="A2544">
        <v>29</v>
      </c>
      <c r="B2544">
        <v>29</v>
      </c>
      <c r="C2544" t="s">
        <v>26</v>
      </c>
      <c r="F2544" t="s">
        <v>416</v>
      </c>
      <c r="G2544" s="31">
        <v>0.1</v>
      </c>
    </row>
    <row r="2545" spans="1:18" x14ac:dyDescent="0.3">
      <c r="A2545">
        <v>30</v>
      </c>
      <c r="B2545">
        <v>30</v>
      </c>
      <c r="C2545" t="s">
        <v>27</v>
      </c>
      <c r="D2545">
        <v>4.33</v>
      </c>
      <c r="E2545">
        <v>62.795000000000002</v>
      </c>
      <c r="F2545" t="s">
        <v>417</v>
      </c>
      <c r="G2545" s="31">
        <v>0.15</v>
      </c>
      <c r="L2545" t="s">
        <v>604</v>
      </c>
    </row>
    <row r="2546" spans="1:18" x14ac:dyDescent="0.3">
      <c r="A2546">
        <v>31</v>
      </c>
      <c r="B2546">
        <v>31</v>
      </c>
      <c r="C2546" t="s">
        <v>28</v>
      </c>
      <c r="D2546">
        <v>3.16</v>
      </c>
      <c r="E2546">
        <v>11.326000000000001</v>
      </c>
      <c r="F2546" t="s">
        <v>418</v>
      </c>
      <c r="G2546" s="31">
        <v>0.1</v>
      </c>
    </row>
    <row r="2547" spans="1:18" x14ac:dyDescent="0.3">
      <c r="A2547">
        <v>32</v>
      </c>
      <c r="B2547">
        <v>32</v>
      </c>
      <c r="C2547" t="s">
        <v>29</v>
      </c>
      <c r="F2547" t="s">
        <v>419</v>
      </c>
      <c r="G2547" s="31">
        <v>0.1</v>
      </c>
      <c r="L2547" t="s">
        <v>617</v>
      </c>
    </row>
    <row r="2548" spans="1:18" x14ac:dyDescent="0.3">
      <c r="A2548">
        <v>33</v>
      </c>
      <c r="B2548">
        <v>33</v>
      </c>
      <c r="C2548" t="s">
        <v>30</v>
      </c>
      <c r="D2548">
        <v>4.7</v>
      </c>
      <c r="E2548">
        <v>86.382999999999996</v>
      </c>
      <c r="F2548" t="s">
        <v>420</v>
      </c>
      <c r="G2548" s="31">
        <v>3.36</v>
      </c>
    </row>
    <row r="2549" spans="1:18" x14ac:dyDescent="0.3">
      <c r="A2549">
        <v>34</v>
      </c>
      <c r="B2549">
        <v>34</v>
      </c>
      <c r="C2549" t="s">
        <v>31</v>
      </c>
      <c r="D2549">
        <v>3.54</v>
      </c>
      <c r="E2549">
        <v>11.935</v>
      </c>
      <c r="F2549" t="s">
        <v>421</v>
      </c>
      <c r="G2549" s="31">
        <v>0.12</v>
      </c>
      <c r="M2549" t="s">
        <v>382</v>
      </c>
      <c r="N2549" t="s">
        <v>383</v>
      </c>
      <c r="O2549" t="s">
        <v>384</v>
      </c>
      <c r="P2549" t="s">
        <v>385</v>
      </c>
      <c r="Q2549" t="s">
        <v>386</v>
      </c>
      <c r="R2549" s="31" t="s">
        <v>387</v>
      </c>
    </row>
    <row r="2550" spans="1:18" x14ac:dyDescent="0.3">
      <c r="A2550">
        <v>35</v>
      </c>
      <c r="B2550">
        <v>35</v>
      </c>
      <c r="C2550" t="s">
        <v>32</v>
      </c>
      <c r="D2550">
        <v>3.17</v>
      </c>
      <c r="E2550">
        <v>13.387</v>
      </c>
      <c r="F2550" t="s">
        <v>422</v>
      </c>
      <c r="G2550" s="31">
        <v>0.1</v>
      </c>
      <c r="L2550">
        <v>1</v>
      </c>
      <c r="M2550">
        <v>1</v>
      </c>
      <c r="N2550" t="s">
        <v>35</v>
      </c>
      <c r="O2550">
        <v>1.41</v>
      </c>
      <c r="P2550">
        <v>52.08</v>
      </c>
      <c r="Q2550" t="s">
        <v>511</v>
      </c>
      <c r="R2550" s="31">
        <v>82</v>
      </c>
    </row>
    <row r="2551" spans="1:18" x14ac:dyDescent="0.3">
      <c r="A2551">
        <v>36</v>
      </c>
      <c r="B2551">
        <v>36</v>
      </c>
      <c r="C2551" t="s">
        <v>33</v>
      </c>
      <c r="D2551">
        <v>1.92</v>
      </c>
      <c r="E2551">
        <v>8.0410000000000004</v>
      </c>
      <c r="F2551" t="s">
        <v>423</v>
      </c>
      <c r="G2551" s="31">
        <v>7.0000000000000007E-2</v>
      </c>
      <c r="L2551">
        <v>2</v>
      </c>
      <c r="M2551">
        <v>2</v>
      </c>
      <c r="N2551" t="s">
        <v>36</v>
      </c>
      <c r="O2551">
        <v>1.71</v>
      </c>
      <c r="P2551">
        <v>53.018999999999998</v>
      </c>
      <c r="Q2551" t="s">
        <v>512</v>
      </c>
      <c r="R2551" s="31">
        <v>427.76</v>
      </c>
    </row>
    <row r="2552" spans="1:18" x14ac:dyDescent="0.3">
      <c r="L2552">
        <v>3</v>
      </c>
      <c r="M2552">
        <v>3</v>
      </c>
      <c r="N2552" t="s">
        <v>37</v>
      </c>
      <c r="Q2552" t="s">
        <v>513</v>
      </c>
      <c r="R2552" s="31">
        <v>0.1</v>
      </c>
    </row>
    <row r="2553" spans="1:18" x14ac:dyDescent="0.3">
      <c r="A2553" t="s">
        <v>379</v>
      </c>
      <c r="L2553">
        <v>4</v>
      </c>
      <c r="M2553">
        <v>4</v>
      </c>
      <c r="N2553" t="s">
        <v>38</v>
      </c>
      <c r="O2553">
        <v>1.1399999999999999</v>
      </c>
      <c r="P2553">
        <v>235.631</v>
      </c>
      <c r="Q2553" t="s">
        <v>514</v>
      </c>
      <c r="R2553" s="31">
        <v>0.93</v>
      </c>
    </row>
    <row r="2554" spans="1:18" x14ac:dyDescent="0.3">
      <c r="L2554">
        <v>5</v>
      </c>
      <c r="M2554">
        <v>5</v>
      </c>
      <c r="N2554" t="s">
        <v>39</v>
      </c>
      <c r="O2554">
        <v>1.39</v>
      </c>
      <c r="P2554">
        <v>195.44300000000001</v>
      </c>
      <c r="Q2554" t="s">
        <v>515</v>
      </c>
      <c r="R2554" s="31">
        <v>46.12</v>
      </c>
    </row>
    <row r="2555" spans="1:18" x14ac:dyDescent="0.3">
      <c r="A2555" t="s">
        <v>456</v>
      </c>
      <c r="L2555">
        <v>6</v>
      </c>
      <c r="M2555">
        <v>6</v>
      </c>
      <c r="N2555" t="s">
        <v>40</v>
      </c>
      <c r="Q2555" t="s">
        <v>516</v>
      </c>
      <c r="R2555" s="31">
        <v>0.1</v>
      </c>
    </row>
    <row r="2556" spans="1:18" x14ac:dyDescent="0.3">
      <c r="L2556">
        <v>7</v>
      </c>
      <c r="M2556">
        <v>7</v>
      </c>
      <c r="N2556" t="s">
        <v>41</v>
      </c>
      <c r="Q2556" t="s">
        <v>517</v>
      </c>
      <c r="R2556" s="31">
        <v>0.1</v>
      </c>
    </row>
    <row r="2557" spans="1:18" x14ac:dyDescent="0.3">
      <c r="A2557" t="s">
        <v>482</v>
      </c>
      <c r="L2557">
        <v>8</v>
      </c>
      <c r="M2557">
        <v>8</v>
      </c>
      <c r="N2557" t="s">
        <v>42</v>
      </c>
      <c r="Q2557" t="s">
        <v>518</v>
      </c>
      <c r="R2557" s="31">
        <v>0.1</v>
      </c>
    </row>
    <row r="2558" spans="1:18" x14ac:dyDescent="0.3">
      <c r="L2558">
        <v>9</v>
      </c>
      <c r="M2558">
        <v>9</v>
      </c>
      <c r="N2558" t="s">
        <v>43</v>
      </c>
      <c r="O2558">
        <v>2.65</v>
      </c>
      <c r="P2558">
        <v>2.5179999999999998</v>
      </c>
      <c r="Q2558" t="s">
        <v>519</v>
      </c>
      <c r="R2558" s="31">
        <v>0.11</v>
      </c>
    </row>
    <row r="2559" spans="1:18" x14ac:dyDescent="0.3">
      <c r="B2559" t="s">
        <v>382</v>
      </c>
      <c r="C2559" t="s">
        <v>383</v>
      </c>
      <c r="D2559" t="s">
        <v>384</v>
      </c>
      <c r="E2559" t="s">
        <v>385</v>
      </c>
      <c r="F2559" t="s">
        <v>386</v>
      </c>
      <c r="G2559" s="31" t="s">
        <v>387</v>
      </c>
      <c r="L2559">
        <v>10</v>
      </c>
      <c r="M2559">
        <v>10</v>
      </c>
      <c r="N2559" t="s">
        <v>52</v>
      </c>
      <c r="O2559">
        <v>4.18</v>
      </c>
      <c r="P2559">
        <v>29.254000000000001</v>
      </c>
      <c r="Q2559" t="s">
        <v>520</v>
      </c>
      <c r="R2559" s="31">
        <v>0.1</v>
      </c>
    </row>
    <row r="2560" spans="1:18" x14ac:dyDescent="0.3">
      <c r="A2560">
        <v>1</v>
      </c>
      <c r="B2560">
        <v>1</v>
      </c>
      <c r="C2560" t="s">
        <v>0</v>
      </c>
      <c r="D2560">
        <v>1.01</v>
      </c>
      <c r="E2560">
        <v>6777.402</v>
      </c>
      <c r="F2560" t="s">
        <v>388</v>
      </c>
      <c r="G2560" s="31">
        <v>27.2</v>
      </c>
      <c r="L2560">
        <v>11</v>
      </c>
      <c r="M2560">
        <v>11</v>
      </c>
      <c r="N2560" t="s">
        <v>44</v>
      </c>
      <c r="Q2560" t="s">
        <v>521</v>
      </c>
      <c r="R2560" s="31">
        <v>0.1</v>
      </c>
    </row>
    <row r="2561" spans="1:18" x14ac:dyDescent="0.3">
      <c r="A2561">
        <v>2</v>
      </c>
      <c r="B2561">
        <v>2</v>
      </c>
      <c r="C2561" t="s">
        <v>1</v>
      </c>
      <c r="D2561">
        <v>1.45</v>
      </c>
      <c r="E2561">
        <v>17014.053</v>
      </c>
      <c r="F2561" t="s">
        <v>389</v>
      </c>
      <c r="G2561" s="31">
        <v>12.03</v>
      </c>
      <c r="L2561">
        <v>12</v>
      </c>
      <c r="M2561">
        <v>12</v>
      </c>
      <c r="N2561" t="s">
        <v>45</v>
      </c>
      <c r="O2561">
        <v>3.56</v>
      </c>
      <c r="P2561">
        <v>5.8250000000000002</v>
      </c>
      <c r="Q2561" t="s">
        <v>522</v>
      </c>
      <c r="R2561" s="31">
        <v>0.1</v>
      </c>
    </row>
    <row r="2562" spans="1:18" x14ac:dyDescent="0.3">
      <c r="A2562">
        <v>3</v>
      </c>
      <c r="B2562">
        <v>3</v>
      </c>
      <c r="C2562" t="s">
        <v>50</v>
      </c>
      <c r="D2562">
        <v>3.57</v>
      </c>
      <c r="E2562">
        <v>407.649</v>
      </c>
      <c r="F2562" t="s">
        <v>390</v>
      </c>
      <c r="G2562" s="31">
        <v>0.14000000000000001</v>
      </c>
      <c r="L2562">
        <v>13</v>
      </c>
      <c r="M2562">
        <v>13</v>
      </c>
      <c r="N2562" t="s">
        <v>46</v>
      </c>
      <c r="O2562">
        <v>2.58</v>
      </c>
      <c r="P2562">
        <v>5674.2479999999996</v>
      </c>
      <c r="Q2562" t="s">
        <v>523</v>
      </c>
      <c r="R2562" s="31">
        <v>0.1</v>
      </c>
    </row>
    <row r="2563" spans="1:18" x14ac:dyDescent="0.3">
      <c r="A2563">
        <v>4</v>
      </c>
      <c r="B2563">
        <v>4</v>
      </c>
      <c r="C2563" t="s">
        <v>2</v>
      </c>
      <c r="D2563">
        <v>3.68</v>
      </c>
      <c r="E2563">
        <v>46635.449000000001</v>
      </c>
      <c r="F2563" t="s">
        <v>391</v>
      </c>
      <c r="G2563" s="31">
        <v>1.4</v>
      </c>
      <c r="L2563">
        <v>14</v>
      </c>
      <c r="M2563">
        <v>14</v>
      </c>
      <c r="N2563" t="s">
        <v>47</v>
      </c>
      <c r="Q2563" t="s">
        <v>524</v>
      </c>
      <c r="R2563" s="31">
        <v>0.1</v>
      </c>
    </row>
    <row r="2564" spans="1:18" x14ac:dyDescent="0.3">
      <c r="A2564">
        <v>5</v>
      </c>
      <c r="B2564">
        <v>5</v>
      </c>
      <c r="C2564" t="s">
        <v>3</v>
      </c>
      <c r="D2564">
        <v>4.4800000000000004</v>
      </c>
      <c r="E2564">
        <v>237.55699999999999</v>
      </c>
      <c r="F2564" t="s">
        <v>392</v>
      </c>
      <c r="G2564" s="31">
        <v>0.06</v>
      </c>
      <c r="L2564">
        <v>15</v>
      </c>
      <c r="M2564">
        <v>15</v>
      </c>
      <c r="N2564" t="s">
        <v>48</v>
      </c>
      <c r="O2564">
        <v>1.22</v>
      </c>
      <c r="P2564">
        <v>13.596</v>
      </c>
      <c r="Q2564" t="s">
        <v>525</v>
      </c>
      <c r="R2564" s="31">
        <v>0.1</v>
      </c>
    </row>
    <row r="2565" spans="1:18" x14ac:dyDescent="0.3">
      <c r="A2565">
        <v>6</v>
      </c>
      <c r="B2565">
        <v>6</v>
      </c>
      <c r="C2565" t="s">
        <v>4</v>
      </c>
      <c r="D2565">
        <v>4.8</v>
      </c>
      <c r="E2565">
        <v>224385.82800000001</v>
      </c>
      <c r="F2565" t="s">
        <v>393</v>
      </c>
      <c r="G2565" s="31">
        <v>4.62</v>
      </c>
      <c r="L2565">
        <v>16</v>
      </c>
      <c r="M2565">
        <v>16</v>
      </c>
      <c r="N2565" t="s">
        <v>53</v>
      </c>
      <c r="O2565">
        <v>4.63</v>
      </c>
      <c r="P2565">
        <v>177.768</v>
      </c>
      <c r="Q2565" t="s">
        <v>526</v>
      </c>
      <c r="R2565" s="31">
        <v>0.1</v>
      </c>
    </row>
    <row r="2566" spans="1:18" x14ac:dyDescent="0.3">
      <c r="A2566">
        <v>7</v>
      </c>
      <c r="B2566">
        <v>7</v>
      </c>
      <c r="C2566" t="s">
        <v>5</v>
      </c>
      <c r="D2566">
        <v>2.71</v>
      </c>
      <c r="E2566">
        <v>2231.36</v>
      </c>
      <c r="F2566" t="s">
        <v>394</v>
      </c>
      <c r="G2566" s="31">
        <v>0.18</v>
      </c>
      <c r="L2566">
        <v>17</v>
      </c>
      <c r="M2566">
        <v>17</v>
      </c>
      <c r="N2566" t="s">
        <v>54</v>
      </c>
      <c r="O2566">
        <v>5.23</v>
      </c>
      <c r="P2566">
        <v>59.058999999999997</v>
      </c>
      <c r="Q2566" t="s">
        <v>527</v>
      </c>
      <c r="R2566" s="31">
        <v>0.1</v>
      </c>
    </row>
    <row r="2567" spans="1:18" x14ac:dyDescent="0.3">
      <c r="A2567">
        <v>8</v>
      </c>
      <c r="B2567">
        <v>8</v>
      </c>
      <c r="C2567" t="s">
        <v>6</v>
      </c>
      <c r="D2567">
        <v>0.67</v>
      </c>
      <c r="E2567">
        <v>4008.06</v>
      </c>
      <c r="F2567" t="s">
        <v>395</v>
      </c>
      <c r="G2567" s="31">
        <v>23.39</v>
      </c>
      <c r="L2567">
        <v>18</v>
      </c>
      <c r="M2567">
        <v>18</v>
      </c>
      <c r="N2567" t="s">
        <v>55</v>
      </c>
      <c r="Q2567" t="s">
        <v>528</v>
      </c>
      <c r="R2567" s="31">
        <v>0.1</v>
      </c>
    </row>
    <row r="2568" spans="1:18" x14ac:dyDescent="0.3">
      <c r="A2568">
        <v>9</v>
      </c>
      <c r="B2568">
        <v>9</v>
      </c>
      <c r="C2568" t="s">
        <v>7</v>
      </c>
      <c r="D2568">
        <v>3.57</v>
      </c>
      <c r="E2568">
        <v>339.86500000000001</v>
      </c>
      <c r="F2568" t="s">
        <v>396</v>
      </c>
      <c r="G2568" s="31">
        <v>0.49</v>
      </c>
      <c r="L2568">
        <v>19</v>
      </c>
      <c r="M2568">
        <v>19</v>
      </c>
      <c r="N2568" t="s">
        <v>56</v>
      </c>
      <c r="O2568">
        <v>0.89</v>
      </c>
      <c r="P2568">
        <v>10.071</v>
      </c>
      <c r="Q2568" t="s">
        <v>529</v>
      </c>
      <c r="R2568" s="31">
        <v>0.1</v>
      </c>
    </row>
    <row r="2569" spans="1:18" x14ac:dyDescent="0.3">
      <c r="A2569">
        <v>10</v>
      </c>
      <c r="B2569">
        <v>10</v>
      </c>
      <c r="C2569" t="s">
        <v>51</v>
      </c>
      <c r="D2569">
        <v>4.62</v>
      </c>
      <c r="E2569">
        <v>914.65899999999999</v>
      </c>
      <c r="F2569" t="s">
        <v>397</v>
      </c>
      <c r="G2569" s="31">
        <v>0.09</v>
      </c>
      <c r="L2569">
        <v>20</v>
      </c>
      <c r="M2569">
        <v>20</v>
      </c>
      <c r="N2569" t="s">
        <v>57</v>
      </c>
      <c r="Q2569" t="s">
        <v>530</v>
      </c>
      <c r="R2569" s="31">
        <v>0.1</v>
      </c>
    </row>
    <row r="2570" spans="1:18" x14ac:dyDescent="0.3">
      <c r="A2570">
        <v>11</v>
      </c>
      <c r="B2570">
        <v>11</v>
      </c>
      <c r="C2570" t="s">
        <v>8</v>
      </c>
      <c r="D2570">
        <v>2.74</v>
      </c>
      <c r="E2570">
        <v>94158.562999999995</v>
      </c>
      <c r="F2570" t="s">
        <v>398</v>
      </c>
      <c r="G2570" s="31">
        <v>2.37</v>
      </c>
      <c r="L2570">
        <v>21</v>
      </c>
      <c r="M2570">
        <v>21</v>
      </c>
      <c r="N2570" t="s">
        <v>58</v>
      </c>
      <c r="Q2570" t="s">
        <v>531</v>
      </c>
      <c r="R2570" s="31">
        <v>0.1</v>
      </c>
    </row>
    <row r="2571" spans="1:18" x14ac:dyDescent="0.3">
      <c r="A2571">
        <v>12</v>
      </c>
      <c r="B2571">
        <v>12</v>
      </c>
      <c r="C2571" t="s">
        <v>9</v>
      </c>
      <c r="D2571">
        <v>2.61</v>
      </c>
      <c r="E2571">
        <v>10774.862999999999</v>
      </c>
      <c r="F2571" t="s">
        <v>399</v>
      </c>
      <c r="G2571" s="31">
        <v>1.77</v>
      </c>
      <c r="L2571">
        <v>22</v>
      </c>
      <c r="M2571">
        <v>22</v>
      </c>
      <c r="N2571" t="s">
        <v>59</v>
      </c>
      <c r="Q2571" t="s">
        <v>532</v>
      </c>
      <c r="R2571" s="31">
        <v>0.1</v>
      </c>
    </row>
    <row r="2572" spans="1:18" x14ac:dyDescent="0.3">
      <c r="A2572">
        <v>13</v>
      </c>
      <c r="B2572">
        <v>13</v>
      </c>
      <c r="C2572" t="s">
        <v>10</v>
      </c>
      <c r="D2572">
        <v>4.09</v>
      </c>
      <c r="E2572">
        <v>237077.95300000001</v>
      </c>
      <c r="F2572" t="s">
        <v>400</v>
      </c>
      <c r="G2572" s="31">
        <v>4.99</v>
      </c>
      <c r="L2572">
        <v>23</v>
      </c>
      <c r="M2572">
        <v>23</v>
      </c>
      <c r="N2572" t="s">
        <v>60</v>
      </c>
      <c r="O2572">
        <v>2.63</v>
      </c>
      <c r="P2572">
        <v>212.90100000000001</v>
      </c>
      <c r="Q2572" t="s">
        <v>533</v>
      </c>
      <c r="R2572" s="31">
        <v>2.12</v>
      </c>
    </row>
    <row r="2573" spans="1:18" x14ac:dyDescent="0.3">
      <c r="A2573">
        <v>14</v>
      </c>
      <c r="B2573">
        <v>14</v>
      </c>
      <c r="C2573" t="s">
        <v>11</v>
      </c>
      <c r="D2573">
        <v>3.52</v>
      </c>
      <c r="E2573">
        <v>33.848999999999997</v>
      </c>
      <c r="F2573" t="s">
        <v>401</v>
      </c>
      <c r="G2573" s="31">
        <v>1.31</v>
      </c>
    </row>
    <row r="2574" spans="1:18" x14ac:dyDescent="0.3">
      <c r="A2574">
        <v>15</v>
      </c>
      <c r="B2574">
        <v>15</v>
      </c>
      <c r="C2574" t="s">
        <v>12</v>
      </c>
      <c r="D2574">
        <v>3.32</v>
      </c>
      <c r="E2574">
        <v>837.06299999999999</v>
      </c>
      <c r="F2574" t="s">
        <v>402</v>
      </c>
      <c r="G2574" s="31">
        <v>1.83</v>
      </c>
      <c r="L2574" t="s">
        <v>379</v>
      </c>
    </row>
    <row r="2575" spans="1:18" x14ac:dyDescent="0.3">
      <c r="A2575">
        <v>16</v>
      </c>
      <c r="B2575">
        <v>16</v>
      </c>
      <c r="C2575" t="s">
        <v>13</v>
      </c>
      <c r="D2575">
        <v>3.23</v>
      </c>
      <c r="E2575">
        <v>27636.348000000002</v>
      </c>
      <c r="F2575" t="s">
        <v>403</v>
      </c>
      <c r="G2575" s="31">
        <v>2.3199999999999998</v>
      </c>
    </row>
    <row r="2576" spans="1:18" x14ac:dyDescent="0.3">
      <c r="A2576">
        <v>17</v>
      </c>
      <c r="B2576">
        <v>17</v>
      </c>
      <c r="C2576" t="s">
        <v>14</v>
      </c>
      <c r="D2576">
        <v>2.02</v>
      </c>
      <c r="E2576">
        <v>32356.011999999999</v>
      </c>
      <c r="F2576" t="s">
        <v>404</v>
      </c>
      <c r="G2576" s="31">
        <v>2.52</v>
      </c>
      <c r="L2576" t="s">
        <v>604</v>
      </c>
    </row>
    <row r="2577" spans="1:18" x14ac:dyDescent="0.3">
      <c r="A2577">
        <v>18</v>
      </c>
      <c r="B2577">
        <v>18</v>
      </c>
      <c r="C2577" t="s">
        <v>15</v>
      </c>
      <c r="D2577">
        <v>2.4900000000000002</v>
      </c>
      <c r="E2577">
        <v>62961.105000000003</v>
      </c>
      <c r="F2577" t="s">
        <v>405</v>
      </c>
      <c r="G2577" s="31">
        <v>14.25</v>
      </c>
    </row>
    <row r="2578" spans="1:18" x14ac:dyDescent="0.3">
      <c r="A2578">
        <v>19</v>
      </c>
      <c r="B2578">
        <v>19</v>
      </c>
      <c r="C2578" t="s">
        <v>16</v>
      </c>
      <c r="D2578">
        <v>2.71</v>
      </c>
      <c r="E2578">
        <v>1449.079</v>
      </c>
      <c r="F2578" t="s">
        <v>406</v>
      </c>
      <c r="G2578" s="31">
        <v>0.06</v>
      </c>
      <c r="L2578" t="s">
        <v>618</v>
      </c>
    </row>
    <row r="2579" spans="1:18" x14ac:dyDescent="0.3">
      <c r="A2579">
        <v>20</v>
      </c>
      <c r="B2579">
        <v>20</v>
      </c>
      <c r="C2579" t="s">
        <v>17</v>
      </c>
      <c r="D2579">
        <v>3.13</v>
      </c>
      <c r="E2579">
        <v>80581.468999999997</v>
      </c>
      <c r="F2579" t="s">
        <v>407</v>
      </c>
      <c r="G2579" s="31">
        <v>7.85</v>
      </c>
    </row>
    <row r="2580" spans="1:18" x14ac:dyDescent="0.3">
      <c r="A2580">
        <v>21</v>
      </c>
      <c r="B2580">
        <v>21</v>
      </c>
      <c r="C2580" t="s">
        <v>18</v>
      </c>
      <c r="D2580">
        <v>3.68</v>
      </c>
      <c r="E2580">
        <v>32833.190999999999</v>
      </c>
      <c r="F2580" t="s">
        <v>408</v>
      </c>
      <c r="G2580" s="31">
        <v>0.74</v>
      </c>
      <c r="M2580" t="s">
        <v>382</v>
      </c>
      <c r="N2580" t="s">
        <v>383</v>
      </c>
      <c r="O2580" t="s">
        <v>384</v>
      </c>
      <c r="P2580" t="s">
        <v>385</v>
      </c>
      <c r="Q2580" t="s">
        <v>386</v>
      </c>
      <c r="R2580" s="31" t="s">
        <v>387</v>
      </c>
    </row>
    <row r="2581" spans="1:18" x14ac:dyDescent="0.3">
      <c r="A2581">
        <v>22</v>
      </c>
      <c r="B2581">
        <v>22</v>
      </c>
      <c r="C2581" t="s">
        <v>19</v>
      </c>
      <c r="D2581">
        <v>2.62</v>
      </c>
      <c r="E2581">
        <v>81393.023000000001</v>
      </c>
      <c r="F2581" t="s">
        <v>409</v>
      </c>
      <c r="G2581" s="31">
        <v>4</v>
      </c>
      <c r="L2581">
        <v>1</v>
      </c>
      <c r="M2581">
        <v>1</v>
      </c>
      <c r="N2581" t="s">
        <v>35</v>
      </c>
      <c r="O2581">
        <v>1.44</v>
      </c>
      <c r="P2581">
        <v>368291.21899999998</v>
      </c>
      <c r="Q2581" t="s">
        <v>511</v>
      </c>
      <c r="R2581" s="31">
        <v>611.07000000000005</v>
      </c>
    </row>
    <row r="2582" spans="1:18" x14ac:dyDescent="0.3">
      <c r="A2582">
        <v>23</v>
      </c>
      <c r="B2582">
        <v>23</v>
      </c>
      <c r="C2582" t="s">
        <v>20</v>
      </c>
      <c r="D2582">
        <v>2.89</v>
      </c>
      <c r="E2582">
        <v>47628.175999999999</v>
      </c>
      <c r="F2582" t="s">
        <v>410</v>
      </c>
      <c r="G2582" s="31">
        <v>1.41</v>
      </c>
      <c r="L2582">
        <v>2</v>
      </c>
      <c r="M2582">
        <v>2</v>
      </c>
      <c r="N2582" t="s">
        <v>36</v>
      </c>
      <c r="O2582">
        <v>1.67</v>
      </c>
      <c r="P2582">
        <v>2892199.75</v>
      </c>
      <c r="Q2582" t="s">
        <v>512</v>
      </c>
      <c r="R2582" s="31">
        <v>3495.1</v>
      </c>
    </row>
    <row r="2583" spans="1:18" x14ac:dyDescent="0.3">
      <c r="A2583">
        <v>24</v>
      </c>
      <c r="B2583">
        <v>24</v>
      </c>
      <c r="C2583" t="s">
        <v>21</v>
      </c>
      <c r="D2583">
        <v>4.12</v>
      </c>
      <c r="E2583">
        <v>776.226</v>
      </c>
      <c r="F2583" t="s">
        <v>411</v>
      </c>
      <c r="G2583" s="31">
        <v>0.12</v>
      </c>
      <c r="L2583">
        <v>3</v>
      </c>
      <c r="M2583">
        <v>3</v>
      </c>
      <c r="N2583" t="s">
        <v>37</v>
      </c>
      <c r="O2583">
        <v>1.82</v>
      </c>
      <c r="P2583">
        <v>6797.0889999999999</v>
      </c>
      <c r="Q2583" t="s">
        <v>513</v>
      </c>
      <c r="R2583" s="31">
        <v>12.91</v>
      </c>
    </row>
    <row r="2584" spans="1:18" x14ac:dyDescent="0.3">
      <c r="A2584">
        <v>25</v>
      </c>
      <c r="B2584">
        <v>25</v>
      </c>
      <c r="C2584" t="s">
        <v>22</v>
      </c>
      <c r="D2584">
        <v>3.41</v>
      </c>
      <c r="E2584">
        <v>429.71</v>
      </c>
      <c r="F2584" t="s">
        <v>412</v>
      </c>
      <c r="G2584" s="31">
        <v>2.5099999999999998</v>
      </c>
      <c r="L2584">
        <v>4</v>
      </c>
      <c r="M2584">
        <v>4</v>
      </c>
      <c r="N2584" t="s">
        <v>38</v>
      </c>
      <c r="O2584">
        <v>1.18</v>
      </c>
      <c r="P2584">
        <v>8968.6080000000002</v>
      </c>
      <c r="Q2584" t="s">
        <v>514</v>
      </c>
      <c r="R2584" s="31">
        <v>13.54</v>
      </c>
    </row>
    <row r="2585" spans="1:18" x14ac:dyDescent="0.3">
      <c r="A2585">
        <v>26</v>
      </c>
      <c r="B2585">
        <v>26</v>
      </c>
      <c r="C2585" t="s">
        <v>23</v>
      </c>
      <c r="D2585">
        <v>3.35</v>
      </c>
      <c r="E2585">
        <v>473528.15600000002</v>
      </c>
      <c r="F2585" t="s">
        <v>413</v>
      </c>
      <c r="G2585" s="31">
        <v>21.48</v>
      </c>
      <c r="L2585">
        <v>5</v>
      </c>
      <c r="M2585">
        <v>5</v>
      </c>
      <c r="N2585" t="s">
        <v>39</v>
      </c>
      <c r="O2585">
        <v>1.38</v>
      </c>
      <c r="P2585">
        <v>242732.07800000001</v>
      </c>
      <c r="Q2585" t="s">
        <v>515</v>
      </c>
      <c r="R2585" s="31">
        <v>449.19</v>
      </c>
    </row>
    <row r="2586" spans="1:18" x14ac:dyDescent="0.3">
      <c r="A2586">
        <v>27</v>
      </c>
      <c r="B2586">
        <v>27</v>
      </c>
      <c r="C2586" t="s">
        <v>24</v>
      </c>
      <c r="D2586">
        <v>3.44</v>
      </c>
      <c r="E2586">
        <v>964.89200000000005</v>
      </c>
      <c r="F2586" t="s">
        <v>414</v>
      </c>
      <c r="G2586" s="31">
        <v>0.3</v>
      </c>
      <c r="L2586">
        <v>6</v>
      </c>
      <c r="M2586">
        <v>6</v>
      </c>
      <c r="N2586" t="s">
        <v>40</v>
      </c>
      <c r="O2586">
        <v>1.53</v>
      </c>
      <c r="P2586">
        <v>28135.134999999998</v>
      </c>
      <c r="Q2586" t="s">
        <v>516</v>
      </c>
      <c r="R2586" s="31">
        <v>29.12</v>
      </c>
    </row>
    <row r="2587" spans="1:18" x14ac:dyDescent="0.3">
      <c r="A2587">
        <v>28</v>
      </c>
      <c r="B2587">
        <v>28</v>
      </c>
      <c r="C2587" t="s">
        <v>25</v>
      </c>
      <c r="D2587">
        <v>3.52</v>
      </c>
      <c r="E2587">
        <v>19311.23</v>
      </c>
      <c r="F2587" t="s">
        <v>415</v>
      </c>
      <c r="G2587" s="31">
        <v>1.44</v>
      </c>
      <c r="L2587">
        <v>7</v>
      </c>
      <c r="M2587">
        <v>7</v>
      </c>
      <c r="N2587" t="s">
        <v>41</v>
      </c>
      <c r="O2587">
        <v>2.2799999999999998</v>
      </c>
      <c r="P2587">
        <v>6116.5050000000001</v>
      </c>
      <c r="Q2587" t="s">
        <v>517</v>
      </c>
      <c r="R2587" s="31">
        <v>57.04</v>
      </c>
    </row>
    <row r="2588" spans="1:18" x14ac:dyDescent="0.3">
      <c r="A2588">
        <v>29</v>
      </c>
      <c r="B2588">
        <v>29</v>
      </c>
      <c r="C2588" t="s">
        <v>26</v>
      </c>
      <c r="D2588">
        <v>1.03</v>
      </c>
      <c r="E2588">
        <v>5237.5200000000004</v>
      </c>
      <c r="F2588" t="s">
        <v>416</v>
      </c>
      <c r="G2588" s="31">
        <v>2.41</v>
      </c>
      <c r="L2588">
        <v>8</v>
      </c>
      <c r="M2588">
        <v>8</v>
      </c>
      <c r="N2588" t="s">
        <v>42</v>
      </c>
      <c r="O2588">
        <v>0.89</v>
      </c>
      <c r="P2588">
        <v>43748.866999999998</v>
      </c>
      <c r="Q2588" t="s">
        <v>518</v>
      </c>
      <c r="R2588" s="31">
        <v>634.04999999999995</v>
      </c>
    </row>
    <row r="2589" spans="1:18" x14ac:dyDescent="0.3">
      <c r="A2589">
        <v>30</v>
      </c>
      <c r="B2589">
        <v>30</v>
      </c>
      <c r="C2589" t="s">
        <v>27</v>
      </c>
      <c r="D2589">
        <v>4.26</v>
      </c>
      <c r="E2589">
        <v>7667.2539999999999</v>
      </c>
      <c r="F2589" t="s">
        <v>417</v>
      </c>
      <c r="G2589" s="31">
        <v>0.28000000000000003</v>
      </c>
      <c r="L2589">
        <v>9</v>
      </c>
      <c r="M2589">
        <v>9</v>
      </c>
      <c r="N2589" t="s">
        <v>43</v>
      </c>
      <c r="O2589">
        <v>2.5499999999999998</v>
      </c>
      <c r="P2589">
        <v>34246.281000000003</v>
      </c>
      <c r="Q2589" t="s">
        <v>519</v>
      </c>
      <c r="R2589" s="31">
        <v>5.46</v>
      </c>
    </row>
    <row r="2590" spans="1:18" x14ac:dyDescent="0.3">
      <c r="A2590">
        <v>31</v>
      </c>
      <c r="B2590">
        <v>31</v>
      </c>
      <c r="C2590" t="s">
        <v>28</v>
      </c>
      <c r="D2590">
        <v>3</v>
      </c>
      <c r="E2590">
        <v>175328.15599999999</v>
      </c>
      <c r="F2590" t="s">
        <v>418</v>
      </c>
      <c r="G2590" s="31">
        <v>0.5</v>
      </c>
      <c r="L2590">
        <v>10</v>
      </c>
      <c r="M2590">
        <v>10</v>
      </c>
      <c r="N2590" t="s">
        <v>52</v>
      </c>
      <c r="O2590">
        <v>4.13</v>
      </c>
      <c r="P2590">
        <v>110484.55499999999</v>
      </c>
      <c r="Q2590" t="s">
        <v>520</v>
      </c>
      <c r="R2590" s="31">
        <v>72.739999999999995</v>
      </c>
    </row>
    <row r="2591" spans="1:18" x14ac:dyDescent="0.3">
      <c r="A2591">
        <v>32</v>
      </c>
      <c r="B2591">
        <v>32</v>
      </c>
      <c r="C2591" t="s">
        <v>29</v>
      </c>
      <c r="D2591">
        <v>3.35</v>
      </c>
      <c r="E2591">
        <v>1493.1479999999999</v>
      </c>
      <c r="F2591" t="s">
        <v>419</v>
      </c>
      <c r="G2591" s="31">
        <v>0.11</v>
      </c>
      <c r="L2591">
        <v>11</v>
      </c>
      <c r="M2591">
        <v>11</v>
      </c>
      <c r="N2591" t="s">
        <v>44</v>
      </c>
      <c r="O2591">
        <v>4.25</v>
      </c>
      <c r="P2591">
        <v>4292.7389999999996</v>
      </c>
      <c r="Q2591" t="s">
        <v>521</v>
      </c>
      <c r="R2591" s="31">
        <v>5.78</v>
      </c>
    </row>
    <row r="2592" spans="1:18" x14ac:dyDescent="0.3">
      <c r="A2592">
        <v>33</v>
      </c>
      <c r="B2592">
        <v>33</v>
      </c>
      <c r="C2592" t="s">
        <v>30</v>
      </c>
      <c r="D2592">
        <v>4.67</v>
      </c>
      <c r="E2592">
        <v>31429.440999999999</v>
      </c>
      <c r="F2592" t="s">
        <v>420</v>
      </c>
      <c r="G2592" s="31">
        <v>0.47</v>
      </c>
      <c r="L2592">
        <v>12</v>
      </c>
      <c r="M2592">
        <v>12</v>
      </c>
      <c r="N2592" t="s">
        <v>45</v>
      </c>
      <c r="O2592">
        <v>3.45</v>
      </c>
      <c r="P2592">
        <v>3755512.75</v>
      </c>
      <c r="Q2592" t="s">
        <v>522</v>
      </c>
      <c r="R2592" s="31">
        <v>968.91</v>
      </c>
    </row>
    <row r="2593" spans="1:18" x14ac:dyDescent="0.3">
      <c r="A2593">
        <v>34</v>
      </c>
      <c r="B2593">
        <v>34</v>
      </c>
      <c r="C2593" t="s">
        <v>31</v>
      </c>
      <c r="D2593">
        <v>3.26</v>
      </c>
      <c r="E2593">
        <v>7031.5630000000001</v>
      </c>
      <c r="F2593" t="s">
        <v>421</v>
      </c>
      <c r="G2593" s="31">
        <v>0.3</v>
      </c>
      <c r="L2593">
        <v>13</v>
      </c>
      <c r="M2593">
        <v>13</v>
      </c>
      <c r="N2593" t="s">
        <v>46</v>
      </c>
      <c r="O2593">
        <v>2.59</v>
      </c>
      <c r="P2593">
        <v>417980.875</v>
      </c>
      <c r="Q2593" t="s">
        <v>523</v>
      </c>
      <c r="R2593" s="31">
        <v>219.66</v>
      </c>
    </row>
    <row r="2594" spans="1:18" x14ac:dyDescent="0.3">
      <c r="A2594">
        <v>35</v>
      </c>
      <c r="B2594">
        <v>35</v>
      </c>
      <c r="C2594" t="s">
        <v>32</v>
      </c>
      <c r="D2594">
        <v>3.06</v>
      </c>
      <c r="E2594">
        <v>305.95100000000002</v>
      </c>
      <c r="F2594" t="s">
        <v>422</v>
      </c>
      <c r="G2594" s="31">
        <v>0.12</v>
      </c>
      <c r="L2594">
        <v>14</v>
      </c>
      <c r="M2594">
        <v>14</v>
      </c>
      <c r="N2594" t="s">
        <v>47</v>
      </c>
      <c r="O2594">
        <v>0.67</v>
      </c>
      <c r="P2594">
        <v>58691.75</v>
      </c>
      <c r="Q2594" t="s">
        <v>524</v>
      </c>
      <c r="R2594" s="31">
        <v>300.56</v>
      </c>
    </row>
    <row r="2595" spans="1:18" x14ac:dyDescent="0.3">
      <c r="A2595">
        <v>36</v>
      </c>
      <c r="B2595">
        <v>36</v>
      </c>
      <c r="C2595" t="s">
        <v>33</v>
      </c>
      <c r="D2595">
        <v>1.9</v>
      </c>
      <c r="E2595">
        <v>5419.2780000000002</v>
      </c>
      <c r="F2595" t="s">
        <v>423</v>
      </c>
      <c r="G2595" s="31">
        <v>1.81</v>
      </c>
      <c r="L2595">
        <v>15</v>
      </c>
      <c r="M2595">
        <v>15</v>
      </c>
      <c r="N2595" t="s">
        <v>48</v>
      </c>
      <c r="O2595">
        <v>1.22</v>
      </c>
      <c r="P2595">
        <v>94891.733999999997</v>
      </c>
      <c r="Q2595" t="s">
        <v>525</v>
      </c>
      <c r="R2595" s="31">
        <v>147.34</v>
      </c>
    </row>
    <row r="2596" spans="1:18" x14ac:dyDescent="0.3">
      <c r="G2596" s="31">
        <f>G2573/G2575</f>
        <v>0.56465517241379315</v>
      </c>
      <c r="L2596">
        <v>16</v>
      </c>
      <c r="M2596">
        <v>16</v>
      </c>
      <c r="N2596" t="s">
        <v>53</v>
      </c>
      <c r="O2596">
        <v>4.57</v>
      </c>
      <c r="P2596">
        <v>158396.71900000001</v>
      </c>
      <c r="Q2596" t="s">
        <v>526</v>
      </c>
      <c r="R2596" s="31">
        <v>23.15</v>
      </c>
    </row>
    <row r="2597" spans="1:18" x14ac:dyDescent="0.3">
      <c r="A2597" t="s">
        <v>379</v>
      </c>
      <c r="L2597">
        <v>17</v>
      </c>
      <c r="M2597">
        <v>17</v>
      </c>
      <c r="N2597" t="s">
        <v>54</v>
      </c>
      <c r="O2597">
        <v>5.18</v>
      </c>
      <c r="P2597">
        <v>2256.558</v>
      </c>
      <c r="Q2597" t="s">
        <v>527</v>
      </c>
      <c r="R2597" s="31">
        <v>0.43</v>
      </c>
    </row>
    <row r="2598" spans="1:18" x14ac:dyDescent="0.3">
      <c r="L2598">
        <v>18</v>
      </c>
      <c r="M2598">
        <v>18</v>
      </c>
      <c r="N2598" t="s">
        <v>55</v>
      </c>
      <c r="O2598">
        <v>1.32</v>
      </c>
      <c r="P2598">
        <v>2195.558</v>
      </c>
      <c r="Q2598" t="s">
        <v>528</v>
      </c>
      <c r="R2598" s="31">
        <v>0.84</v>
      </c>
    </row>
    <row r="2599" spans="1:18" x14ac:dyDescent="0.3">
      <c r="A2599" t="s">
        <v>456</v>
      </c>
      <c r="L2599">
        <v>19</v>
      </c>
      <c r="M2599">
        <v>19</v>
      </c>
      <c r="N2599" t="s">
        <v>56</v>
      </c>
      <c r="O2599">
        <v>0.87</v>
      </c>
      <c r="P2599">
        <v>205167.891</v>
      </c>
      <c r="Q2599" t="s">
        <v>529</v>
      </c>
      <c r="R2599" s="31">
        <v>138.94999999999999</v>
      </c>
    </row>
    <row r="2600" spans="1:18" x14ac:dyDescent="0.3">
      <c r="L2600">
        <v>20</v>
      </c>
      <c r="M2600">
        <v>20</v>
      </c>
      <c r="N2600" t="s">
        <v>57</v>
      </c>
      <c r="O2600">
        <v>1.51</v>
      </c>
      <c r="P2600">
        <v>1466.0239999999999</v>
      </c>
      <c r="Q2600" t="s">
        <v>530</v>
      </c>
      <c r="R2600" s="31">
        <v>5.56</v>
      </c>
    </row>
    <row r="2601" spans="1:18" x14ac:dyDescent="0.3">
      <c r="A2601" t="s">
        <v>483</v>
      </c>
      <c r="L2601">
        <v>21</v>
      </c>
      <c r="M2601">
        <v>21</v>
      </c>
      <c r="N2601" t="s">
        <v>58</v>
      </c>
      <c r="O2601">
        <v>2.46</v>
      </c>
      <c r="P2601">
        <v>138.11600000000001</v>
      </c>
      <c r="Q2601" t="s">
        <v>531</v>
      </c>
      <c r="R2601" s="31">
        <v>1.02</v>
      </c>
    </row>
    <row r="2602" spans="1:18" x14ac:dyDescent="0.3">
      <c r="L2602">
        <v>22</v>
      </c>
      <c r="M2602">
        <v>22</v>
      </c>
      <c r="N2602" t="s">
        <v>59</v>
      </c>
      <c r="O2602">
        <v>2.5099999999999998</v>
      </c>
      <c r="P2602">
        <v>48983.300999999999</v>
      </c>
      <c r="Q2602" t="s">
        <v>532</v>
      </c>
      <c r="R2602" s="31">
        <v>68.61</v>
      </c>
    </row>
    <row r="2603" spans="1:18" x14ac:dyDescent="0.3">
      <c r="B2603" t="s">
        <v>382</v>
      </c>
      <c r="C2603" t="s">
        <v>383</v>
      </c>
      <c r="D2603" t="s">
        <v>384</v>
      </c>
      <c r="E2603" t="s">
        <v>385</v>
      </c>
      <c r="F2603" t="s">
        <v>386</v>
      </c>
      <c r="G2603" s="31" t="s">
        <v>387</v>
      </c>
      <c r="L2603">
        <v>23</v>
      </c>
      <c r="M2603">
        <v>23</v>
      </c>
      <c r="N2603" t="s">
        <v>60</v>
      </c>
      <c r="O2603">
        <v>2.44</v>
      </c>
      <c r="P2603">
        <v>85248.710999999996</v>
      </c>
      <c r="Q2603" t="s">
        <v>533</v>
      </c>
      <c r="R2603" s="31">
        <v>52.67</v>
      </c>
    </row>
    <row r="2604" spans="1:18" x14ac:dyDescent="0.3">
      <c r="A2604">
        <v>1</v>
      </c>
      <c r="B2604">
        <v>1</v>
      </c>
      <c r="C2604" t="s">
        <v>0</v>
      </c>
      <c r="D2604">
        <v>1.01</v>
      </c>
      <c r="E2604">
        <v>7268.4570000000003</v>
      </c>
      <c r="F2604" t="s">
        <v>388</v>
      </c>
      <c r="G2604" s="31">
        <v>60.77</v>
      </c>
    </row>
    <row r="2605" spans="1:18" x14ac:dyDescent="0.3">
      <c r="A2605">
        <v>2</v>
      </c>
      <c r="B2605">
        <v>2</v>
      </c>
      <c r="C2605" t="s">
        <v>1</v>
      </c>
      <c r="D2605">
        <v>1.45</v>
      </c>
      <c r="E2605">
        <v>3426.7350000000001</v>
      </c>
      <c r="F2605" t="s">
        <v>389</v>
      </c>
      <c r="G2605" s="31">
        <v>5.54</v>
      </c>
    </row>
    <row r="2606" spans="1:18" x14ac:dyDescent="0.3">
      <c r="A2606">
        <v>3</v>
      </c>
      <c r="B2606">
        <v>3</v>
      </c>
      <c r="C2606" t="s">
        <v>50</v>
      </c>
      <c r="D2606">
        <v>3.57</v>
      </c>
      <c r="E2606">
        <v>714.95100000000002</v>
      </c>
      <c r="F2606" t="s">
        <v>390</v>
      </c>
      <c r="G2606" s="31">
        <v>0.49</v>
      </c>
    </row>
    <row r="2607" spans="1:18" x14ac:dyDescent="0.3">
      <c r="A2607">
        <v>4</v>
      </c>
      <c r="B2607">
        <v>4</v>
      </c>
      <c r="C2607" t="s">
        <v>2</v>
      </c>
      <c r="D2607">
        <v>3.69</v>
      </c>
      <c r="E2607">
        <v>14173.429</v>
      </c>
      <c r="F2607" t="s">
        <v>391</v>
      </c>
      <c r="G2607" s="31">
        <v>0.96</v>
      </c>
    </row>
    <row r="2608" spans="1:18" x14ac:dyDescent="0.3">
      <c r="A2608">
        <v>5</v>
      </c>
      <c r="B2608">
        <v>5</v>
      </c>
      <c r="C2608" t="s">
        <v>3</v>
      </c>
      <c r="D2608">
        <v>4.49</v>
      </c>
      <c r="E2608">
        <v>166.887</v>
      </c>
      <c r="F2608" t="s">
        <v>392</v>
      </c>
      <c r="G2608" s="31">
        <v>0.1</v>
      </c>
    </row>
    <row r="2609" spans="1:7" x14ac:dyDescent="0.3">
      <c r="A2609">
        <v>6</v>
      </c>
      <c r="B2609">
        <v>6</v>
      </c>
      <c r="C2609" t="s">
        <v>4</v>
      </c>
      <c r="D2609">
        <v>4.79</v>
      </c>
      <c r="E2609">
        <v>48697.828000000001</v>
      </c>
      <c r="F2609" t="s">
        <v>393</v>
      </c>
      <c r="G2609" s="31">
        <v>2.33</v>
      </c>
    </row>
    <row r="2610" spans="1:7" x14ac:dyDescent="0.3">
      <c r="A2610">
        <v>7</v>
      </c>
      <c r="B2610">
        <v>7</v>
      </c>
      <c r="C2610" t="s">
        <v>5</v>
      </c>
      <c r="D2610">
        <v>2.71</v>
      </c>
      <c r="E2610">
        <v>3057.4479999999999</v>
      </c>
      <c r="F2610" t="s">
        <v>394</v>
      </c>
      <c r="G2610" s="31">
        <v>0.5</v>
      </c>
    </row>
    <row r="2611" spans="1:7" x14ac:dyDescent="0.3">
      <c r="A2611">
        <v>8</v>
      </c>
      <c r="B2611">
        <v>8</v>
      </c>
      <c r="C2611" t="s">
        <v>6</v>
      </c>
      <c r="D2611">
        <v>0.67</v>
      </c>
      <c r="E2611">
        <v>3008.703</v>
      </c>
      <c r="F2611" t="s">
        <v>395</v>
      </c>
      <c r="G2611" s="31">
        <v>37.03</v>
      </c>
    </row>
    <row r="2612" spans="1:7" x14ac:dyDescent="0.3">
      <c r="A2612">
        <v>9</v>
      </c>
      <c r="B2612">
        <v>9</v>
      </c>
      <c r="C2612" t="s">
        <v>7</v>
      </c>
      <c r="D2612">
        <v>3.56</v>
      </c>
      <c r="E2612">
        <v>328.93200000000002</v>
      </c>
      <c r="F2612" t="s">
        <v>396</v>
      </c>
      <c r="G2612" s="31">
        <v>0.98</v>
      </c>
    </row>
    <row r="2613" spans="1:7" x14ac:dyDescent="0.3">
      <c r="A2613">
        <v>10</v>
      </c>
      <c r="B2613">
        <v>10</v>
      </c>
      <c r="C2613" t="s">
        <v>51</v>
      </c>
      <c r="D2613">
        <v>4.5999999999999996</v>
      </c>
      <c r="E2613">
        <v>444.58199999999999</v>
      </c>
      <c r="F2613" t="s">
        <v>397</v>
      </c>
      <c r="G2613" s="31">
        <v>0.1</v>
      </c>
    </row>
    <row r="2614" spans="1:7" x14ac:dyDescent="0.3">
      <c r="A2614">
        <v>11</v>
      </c>
      <c r="B2614">
        <v>11</v>
      </c>
      <c r="C2614" t="s">
        <v>8</v>
      </c>
      <c r="D2614">
        <v>2.74</v>
      </c>
      <c r="E2614">
        <v>56942.288999999997</v>
      </c>
      <c r="F2614" t="s">
        <v>398</v>
      </c>
      <c r="G2614" s="31">
        <v>3.07</v>
      </c>
    </row>
    <row r="2615" spans="1:7" x14ac:dyDescent="0.3">
      <c r="A2615">
        <v>12</v>
      </c>
      <c r="B2615">
        <v>12</v>
      </c>
      <c r="C2615" t="s">
        <v>9</v>
      </c>
      <c r="D2615">
        <v>2.62</v>
      </c>
      <c r="E2615">
        <v>7791.027</v>
      </c>
      <c r="F2615" t="s">
        <v>399</v>
      </c>
      <c r="G2615" s="31">
        <v>2.76</v>
      </c>
    </row>
    <row r="2616" spans="1:7" x14ac:dyDescent="0.3">
      <c r="A2616">
        <v>13</v>
      </c>
      <c r="B2616">
        <v>13</v>
      </c>
      <c r="C2616" t="s">
        <v>10</v>
      </c>
      <c r="D2616">
        <v>4.09</v>
      </c>
      <c r="E2616">
        <v>198379.42199999999</v>
      </c>
      <c r="F2616" t="s">
        <v>400</v>
      </c>
      <c r="G2616" s="31">
        <v>6.57</v>
      </c>
    </row>
    <row r="2617" spans="1:7" x14ac:dyDescent="0.3">
      <c r="A2617">
        <v>14</v>
      </c>
      <c r="B2617">
        <v>14</v>
      </c>
      <c r="C2617" t="s">
        <v>11</v>
      </c>
      <c r="D2617">
        <v>3.53</v>
      </c>
      <c r="E2617">
        <v>25.86</v>
      </c>
      <c r="F2617" t="s">
        <v>401</v>
      </c>
      <c r="G2617" s="31">
        <v>2.35</v>
      </c>
    </row>
    <row r="2618" spans="1:7" x14ac:dyDescent="0.3">
      <c r="A2618">
        <v>15</v>
      </c>
      <c r="B2618">
        <v>15</v>
      </c>
      <c r="C2618" t="s">
        <v>12</v>
      </c>
      <c r="D2618">
        <v>3.33</v>
      </c>
      <c r="E2618">
        <v>465.94400000000002</v>
      </c>
      <c r="F2618" t="s">
        <v>402</v>
      </c>
      <c r="G2618" s="31">
        <v>2.13</v>
      </c>
    </row>
    <row r="2619" spans="1:7" x14ac:dyDescent="0.3">
      <c r="A2619">
        <v>16</v>
      </c>
      <c r="B2619">
        <v>16</v>
      </c>
      <c r="C2619" t="s">
        <v>13</v>
      </c>
      <c r="D2619">
        <v>3.23</v>
      </c>
      <c r="E2619">
        <v>7794.3739999999998</v>
      </c>
      <c r="F2619" t="s">
        <v>403</v>
      </c>
      <c r="G2619" s="31">
        <v>1.57</v>
      </c>
    </row>
    <row r="2620" spans="1:7" x14ac:dyDescent="0.3">
      <c r="A2620">
        <v>17</v>
      </c>
      <c r="B2620">
        <v>17</v>
      </c>
      <c r="C2620" t="s">
        <v>14</v>
      </c>
      <c r="D2620">
        <v>2.02</v>
      </c>
      <c r="E2620">
        <v>27634.932000000001</v>
      </c>
      <c r="F2620" t="s">
        <v>404</v>
      </c>
      <c r="G2620" s="31">
        <v>4.54</v>
      </c>
    </row>
    <row r="2621" spans="1:7" x14ac:dyDescent="0.3">
      <c r="A2621">
        <v>18</v>
      </c>
      <c r="B2621">
        <v>18</v>
      </c>
      <c r="C2621" t="s">
        <v>15</v>
      </c>
      <c r="D2621">
        <v>2.5</v>
      </c>
      <c r="E2621">
        <v>32938.824000000001</v>
      </c>
      <c r="F2621" t="s">
        <v>405</v>
      </c>
      <c r="G2621" s="31">
        <v>16.190000000000001</v>
      </c>
    </row>
    <row r="2622" spans="1:7" x14ac:dyDescent="0.3">
      <c r="A2622">
        <v>19</v>
      </c>
      <c r="B2622">
        <v>19</v>
      </c>
      <c r="C2622" t="s">
        <v>16</v>
      </c>
      <c r="D2622">
        <v>2.71</v>
      </c>
      <c r="E2622">
        <v>1736.229</v>
      </c>
      <c r="F2622" t="s">
        <v>406</v>
      </c>
      <c r="G2622" s="31">
        <v>0.14000000000000001</v>
      </c>
    </row>
    <row r="2623" spans="1:7" x14ac:dyDescent="0.3">
      <c r="A2623">
        <v>20</v>
      </c>
      <c r="B2623">
        <v>20</v>
      </c>
      <c r="C2623" t="s">
        <v>17</v>
      </c>
      <c r="D2623">
        <v>3.05</v>
      </c>
      <c r="E2623">
        <v>12935.689</v>
      </c>
      <c r="F2623" t="s">
        <v>407</v>
      </c>
      <c r="G2623" s="31">
        <v>2.57</v>
      </c>
    </row>
    <row r="2624" spans="1:7" x14ac:dyDescent="0.3">
      <c r="A2624">
        <v>21</v>
      </c>
      <c r="B2624">
        <v>21</v>
      </c>
      <c r="C2624" t="s">
        <v>18</v>
      </c>
      <c r="D2624">
        <v>3.68</v>
      </c>
      <c r="E2624">
        <v>10760.096</v>
      </c>
      <c r="F2624" t="s">
        <v>408</v>
      </c>
      <c r="G2624" s="31">
        <v>0.5</v>
      </c>
    </row>
    <row r="2625" spans="1:7" x14ac:dyDescent="0.3">
      <c r="A2625">
        <v>22</v>
      </c>
      <c r="B2625">
        <v>22</v>
      </c>
      <c r="C2625" t="s">
        <v>19</v>
      </c>
      <c r="D2625">
        <v>2.63</v>
      </c>
      <c r="E2625">
        <v>57131.453000000001</v>
      </c>
      <c r="F2625" t="s">
        <v>409</v>
      </c>
      <c r="G2625" s="31">
        <v>6.09</v>
      </c>
    </row>
    <row r="2626" spans="1:7" x14ac:dyDescent="0.3">
      <c r="A2626">
        <v>23</v>
      </c>
      <c r="B2626">
        <v>23</v>
      </c>
      <c r="C2626" t="s">
        <v>20</v>
      </c>
      <c r="D2626">
        <v>2.89</v>
      </c>
      <c r="E2626">
        <v>23864.201000000001</v>
      </c>
      <c r="F2626" t="s">
        <v>410</v>
      </c>
      <c r="G2626" s="31">
        <v>1.53</v>
      </c>
    </row>
    <row r="2627" spans="1:7" x14ac:dyDescent="0.3">
      <c r="A2627">
        <v>24</v>
      </c>
      <c r="B2627">
        <v>24</v>
      </c>
      <c r="C2627" t="s">
        <v>21</v>
      </c>
      <c r="D2627">
        <v>4.16</v>
      </c>
      <c r="E2627">
        <v>58.296999999999997</v>
      </c>
      <c r="F2627" t="s">
        <v>411</v>
      </c>
      <c r="G2627" s="31">
        <v>0.1</v>
      </c>
    </row>
    <row r="2628" spans="1:7" x14ac:dyDescent="0.3">
      <c r="A2628">
        <v>25</v>
      </c>
      <c r="B2628">
        <v>25</v>
      </c>
      <c r="C2628" t="s">
        <v>22</v>
      </c>
      <c r="D2628">
        <v>3.42</v>
      </c>
      <c r="E2628">
        <v>270.81799999999998</v>
      </c>
      <c r="F2628" t="s">
        <v>412</v>
      </c>
      <c r="G2628" s="31">
        <v>4.33</v>
      </c>
    </row>
    <row r="2629" spans="1:7" x14ac:dyDescent="0.3">
      <c r="A2629">
        <v>26</v>
      </c>
      <c r="B2629">
        <v>26</v>
      </c>
      <c r="C2629" t="s">
        <v>23</v>
      </c>
      <c r="D2629">
        <v>3.35</v>
      </c>
      <c r="E2629">
        <v>58020.675999999999</v>
      </c>
      <c r="F2629" t="s">
        <v>413</v>
      </c>
      <c r="G2629" s="31">
        <v>5.72</v>
      </c>
    </row>
    <row r="2630" spans="1:7" x14ac:dyDescent="0.3">
      <c r="A2630">
        <v>27</v>
      </c>
      <c r="B2630">
        <v>27</v>
      </c>
      <c r="C2630" t="s">
        <v>24</v>
      </c>
      <c r="D2630">
        <v>3.44</v>
      </c>
      <c r="E2630">
        <v>89.722999999999999</v>
      </c>
      <c r="F2630" t="s">
        <v>414</v>
      </c>
      <c r="G2630" s="31">
        <v>0.1</v>
      </c>
    </row>
    <row r="2631" spans="1:7" x14ac:dyDescent="0.3">
      <c r="A2631">
        <v>28</v>
      </c>
      <c r="B2631">
        <v>28</v>
      </c>
      <c r="C2631" t="s">
        <v>25</v>
      </c>
      <c r="D2631">
        <v>3.52</v>
      </c>
      <c r="E2631">
        <v>242.786</v>
      </c>
      <c r="F2631" t="s">
        <v>415</v>
      </c>
      <c r="G2631" s="31">
        <v>0.28000000000000003</v>
      </c>
    </row>
    <row r="2632" spans="1:7" x14ac:dyDescent="0.3">
      <c r="A2632">
        <v>29</v>
      </c>
      <c r="B2632">
        <v>29</v>
      </c>
      <c r="C2632" t="s">
        <v>26</v>
      </c>
      <c r="D2632">
        <v>1.03</v>
      </c>
      <c r="E2632">
        <v>1668.72</v>
      </c>
      <c r="F2632" t="s">
        <v>416</v>
      </c>
      <c r="G2632" s="31">
        <v>1.89</v>
      </c>
    </row>
    <row r="2633" spans="1:7" x14ac:dyDescent="0.3">
      <c r="A2633">
        <v>30</v>
      </c>
      <c r="B2633">
        <v>30</v>
      </c>
      <c r="C2633" t="s">
        <v>27</v>
      </c>
      <c r="D2633">
        <v>4.33</v>
      </c>
      <c r="E2633">
        <v>555.37099999999998</v>
      </c>
      <c r="F2633" t="s">
        <v>417</v>
      </c>
      <c r="G2633" s="31">
        <v>0.06</v>
      </c>
    </row>
    <row r="2634" spans="1:7" x14ac:dyDescent="0.3">
      <c r="A2634">
        <v>31</v>
      </c>
      <c r="B2634">
        <v>31</v>
      </c>
      <c r="C2634" t="s">
        <v>28</v>
      </c>
      <c r="D2634">
        <v>3</v>
      </c>
      <c r="E2634">
        <v>97113.710999999996</v>
      </c>
      <c r="F2634" t="s">
        <v>418</v>
      </c>
      <c r="G2634" s="31">
        <v>0.51</v>
      </c>
    </row>
    <row r="2635" spans="1:7" x14ac:dyDescent="0.3">
      <c r="A2635">
        <v>32</v>
      </c>
      <c r="B2635">
        <v>32</v>
      </c>
      <c r="C2635" t="s">
        <v>29</v>
      </c>
      <c r="D2635">
        <v>3.35</v>
      </c>
      <c r="E2635">
        <v>499.75</v>
      </c>
      <c r="F2635" t="s">
        <v>419</v>
      </c>
      <c r="G2635" s="31">
        <v>0.1</v>
      </c>
    </row>
    <row r="2636" spans="1:7" x14ac:dyDescent="0.3">
      <c r="A2636">
        <v>33</v>
      </c>
      <c r="B2636">
        <v>33</v>
      </c>
      <c r="C2636" t="s">
        <v>30</v>
      </c>
      <c r="D2636">
        <v>4.67</v>
      </c>
      <c r="E2636">
        <v>24819.710999999999</v>
      </c>
      <c r="F2636" t="s">
        <v>420</v>
      </c>
      <c r="G2636" s="31">
        <v>0.88</v>
      </c>
    </row>
    <row r="2637" spans="1:7" x14ac:dyDescent="0.3">
      <c r="A2637">
        <v>34</v>
      </c>
      <c r="B2637">
        <v>34</v>
      </c>
      <c r="C2637" t="s">
        <v>31</v>
      </c>
      <c r="D2637">
        <v>3.51</v>
      </c>
      <c r="E2637">
        <v>856.44600000000003</v>
      </c>
      <c r="F2637" t="s">
        <v>421</v>
      </c>
      <c r="G2637" s="31">
        <v>0.09</v>
      </c>
    </row>
    <row r="2638" spans="1:7" x14ac:dyDescent="0.3">
      <c r="A2638">
        <v>35</v>
      </c>
      <c r="B2638">
        <v>35</v>
      </c>
      <c r="C2638" t="s">
        <v>32</v>
      </c>
      <c r="D2638">
        <v>3.06</v>
      </c>
      <c r="E2638">
        <v>237.56399999999999</v>
      </c>
      <c r="F2638" t="s">
        <v>422</v>
      </c>
      <c r="G2638" s="31">
        <v>0.13</v>
      </c>
    </row>
    <row r="2639" spans="1:7" x14ac:dyDescent="0.3">
      <c r="A2639">
        <v>36</v>
      </c>
      <c r="B2639">
        <v>36</v>
      </c>
      <c r="C2639" t="s">
        <v>33</v>
      </c>
      <c r="D2639">
        <v>1.9</v>
      </c>
      <c r="E2639">
        <v>2946.087</v>
      </c>
      <c r="F2639" t="s">
        <v>423</v>
      </c>
      <c r="G2639" s="31">
        <v>2.0499999999999998</v>
      </c>
    </row>
    <row r="2640" spans="1:7" x14ac:dyDescent="0.3">
      <c r="G2640" s="31">
        <f>G2617/G2619</f>
        <v>1.4968152866242037</v>
      </c>
    </row>
    <row r="2641" spans="1:7" x14ac:dyDescent="0.3">
      <c r="A2641" t="s">
        <v>379</v>
      </c>
    </row>
    <row r="2643" spans="1:7" x14ac:dyDescent="0.3">
      <c r="A2643" t="s">
        <v>456</v>
      </c>
    </row>
    <row r="2645" spans="1:7" x14ac:dyDescent="0.3">
      <c r="A2645" t="s">
        <v>484</v>
      </c>
    </row>
    <row r="2647" spans="1:7" x14ac:dyDescent="0.3">
      <c r="B2647" t="s">
        <v>382</v>
      </c>
      <c r="C2647" t="s">
        <v>383</v>
      </c>
      <c r="D2647" t="s">
        <v>384</v>
      </c>
      <c r="E2647" t="s">
        <v>385</v>
      </c>
      <c r="F2647" t="s">
        <v>386</v>
      </c>
      <c r="G2647" s="31" t="s">
        <v>387</v>
      </c>
    </row>
    <row r="2648" spans="1:7" x14ac:dyDescent="0.3">
      <c r="A2648">
        <v>1</v>
      </c>
      <c r="B2648">
        <v>1</v>
      </c>
      <c r="C2648" t="s">
        <v>0</v>
      </c>
      <c r="D2648">
        <v>1.01</v>
      </c>
      <c r="E2648">
        <v>2984.0929999999998</v>
      </c>
      <c r="F2648" t="s">
        <v>388</v>
      </c>
      <c r="G2648" s="31">
        <v>12.42</v>
      </c>
    </row>
    <row r="2649" spans="1:7" x14ac:dyDescent="0.3">
      <c r="A2649">
        <v>2</v>
      </c>
      <c r="B2649">
        <v>2</v>
      </c>
      <c r="C2649" t="s">
        <v>1</v>
      </c>
      <c r="D2649">
        <v>1.46</v>
      </c>
      <c r="E2649">
        <v>2494.5149999999999</v>
      </c>
      <c r="F2649" t="s">
        <v>389</v>
      </c>
      <c r="G2649" s="31">
        <v>2.12</v>
      </c>
    </row>
    <row r="2650" spans="1:7" x14ac:dyDescent="0.3">
      <c r="A2650">
        <v>3</v>
      </c>
      <c r="B2650">
        <v>3</v>
      </c>
      <c r="C2650" t="s">
        <v>50</v>
      </c>
      <c r="D2650">
        <v>3.62</v>
      </c>
      <c r="E2650">
        <v>77.484999999999999</v>
      </c>
      <c r="F2650" t="s">
        <v>390</v>
      </c>
      <c r="G2650" s="31">
        <v>0.14000000000000001</v>
      </c>
    </row>
    <row r="2651" spans="1:7" x14ac:dyDescent="0.3">
      <c r="A2651">
        <v>4</v>
      </c>
      <c r="B2651">
        <v>4</v>
      </c>
      <c r="C2651" t="s">
        <v>2</v>
      </c>
      <c r="D2651">
        <v>3.68</v>
      </c>
      <c r="E2651">
        <v>13341.271000000001</v>
      </c>
      <c r="F2651" t="s">
        <v>391</v>
      </c>
      <c r="G2651" s="31">
        <v>0.46</v>
      </c>
    </row>
    <row r="2652" spans="1:7" x14ac:dyDescent="0.3">
      <c r="A2652">
        <v>5</v>
      </c>
      <c r="B2652">
        <v>5</v>
      </c>
      <c r="C2652" t="s">
        <v>3</v>
      </c>
      <c r="D2652">
        <v>4.51</v>
      </c>
      <c r="E2652">
        <v>284.95400000000001</v>
      </c>
      <c r="F2652" t="s">
        <v>392</v>
      </c>
      <c r="G2652" s="31">
        <v>0.12</v>
      </c>
    </row>
    <row r="2653" spans="1:7" x14ac:dyDescent="0.3">
      <c r="A2653">
        <v>6</v>
      </c>
      <c r="B2653">
        <v>6</v>
      </c>
      <c r="C2653" t="s">
        <v>4</v>
      </c>
      <c r="D2653">
        <v>4.79</v>
      </c>
      <c r="E2653">
        <v>39047.391000000003</v>
      </c>
      <c r="F2653" t="s">
        <v>393</v>
      </c>
      <c r="G2653" s="31">
        <v>0.97</v>
      </c>
    </row>
    <row r="2654" spans="1:7" x14ac:dyDescent="0.3">
      <c r="A2654">
        <v>7</v>
      </c>
      <c r="B2654">
        <v>7</v>
      </c>
      <c r="C2654" t="s">
        <v>5</v>
      </c>
      <c r="D2654">
        <v>2.7</v>
      </c>
      <c r="E2654">
        <v>690.71299999999997</v>
      </c>
      <c r="F2654" t="s">
        <v>394</v>
      </c>
      <c r="G2654" s="31">
        <v>0.06</v>
      </c>
    </row>
    <row r="2655" spans="1:7" x14ac:dyDescent="0.3">
      <c r="A2655">
        <v>8</v>
      </c>
      <c r="B2655">
        <v>8</v>
      </c>
      <c r="C2655" t="s">
        <v>6</v>
      </c>
      <c r="D2655">
        <v>0.66</v>
      </c>
      <c r="E2655">
        <v>2501.3960000000002</v>
      </c>
      <c r="F2655" t="s">
        <v>395</v>
      </c>
      <c r="G2655" s="31">
        <v>15.66</v>
      </c>
    </row>
    <row r="2656" spans="1:7" x14ac:dyDescent="0.3">
      <c r="A2656">
        <v>9</v>
      </c>
      <c r="B2656">
        <v>9</v>
      </c>
      <c r="C2656" t="s">
        <v>7</v>
      </c>
      <c r="D2656">
        <v>3.57</v>
      </c>
      <c r="E2656">
        <v>491.43700000000001</v>
      </c>
      <c r="F2656" t="s">
        <v>396</v>
      </c>
      <c r="G2656" s="31">
        <v>0.71</v>
      </c>
    </row>
    <row r="2657" spans="1:7" x14ac:dyDescent="0.3">
      <c r="A2657">
        <v>10</v>
      </c>
      <c r="B2657">
        <v>10</v>
      </c>
      <c r="C2657" t="s">
        <v>51</v>
      </c>
      <c r="D2657">
        <v>4.5999999999999996</v>
      </c>
      <c r="E2657">
        <v>1639.01</v>
      </c>
      <c r="F2657" t="s">
        <v>397</v>
      </c>
      <c r="G2657" s="31">
        <v>0.17</v>
      </c>
    </row>
    <row r="2658" spans="1:7" x14ac:dyDescent="0.3">
      <c r="A2658">
        <v>11</v>
      </c>
      <c r="B2658">
        <v>11</v>
      </c>
      <c r="C2658" t="s">
        <v>8</v>
      </c>
      <c r="D2658">
        <v>2.74</v>
      </c>
      <c r="E2658">
        <v>62244.358999999997</v>
      </c>
      <c r="F2658" t="s">
        <v>398</v>
      </c>
      <c r="G2658" s="31">
        <v>1.68</v>
      </c>
    </row>
    <row r="2659" spans="1:7" x14ac:dyDescent="0.3">
      <c r="A2659">
        <v>12</v>
      </c>
      <c r="B2659">
        <v>12</v>
      </c>
      <c r="C2659" t="s">
        <v>9</v>
      </c>
      <c r="D2659">
        <v>2.62</v>
      </c>
      <c r="E2659">
        <v>8195.3629999999994</v>
      </c>
      <c r="F2659" t="s">
        <v>399</v>
      </c>
      <c r="G2659" s="31">
        <v>1.45</v>
      </c>
    </row>
    <row r="2660" spans="1:7" x14ac:dyDescent="0.3">
      <c r="A2660">
        <v>13</v>
      </c>
      <c r="B2660">
        <v>13</v>
      </c>
      <c r="C2660" t="s">
        <v>10</v>
      </c>
      <c r="D2660">
        <v>4.07</v>
      </c>
      <c r="E2660">
        <v>3650538.25</v>
      </c>
      <c r="F2660" t="s">
        <v>400</v>
      </c>
      <c r="G2660" s="31">
        <v>175.03</v>
      </c>
    </row>
    <row r="2661" spans="1:7" x14ac:dyDescent="0.3">
      <c r="A2661">
        <v>14</v>
      </c>
      <c r="B2661">
        <v>14</v>
      </c>
      <c r="C2661" t="s">
        <v>11</v>
      </c>
      <c r="D2661">
        <v>3.53</v>
      </c>
      <c r="E2661">
        <v>24.780999999999999</v>
      </c>
      <c r="F2661" t="s">
        <v>401</v>
      </c>
      <c r="G2661" s="31">
        <v>1.1599999999999999</v>
      </c>
    </row>
    <row r="2662" spans="1:7" x14ac:dyDescent="0.3">
      <c r="A2662">
        <v>15</v>
      </c>
      <c r="B2662">
        <v>15</v>
      </c>
      <c r="C2662" t="s">
        <v>12</v>
      </c>
      <c r="D2662">
        <v>3.33</v>
      </c>
      <c r="E2662">
        <v>482.76100000000002</v>
      </c>
      <c r="F2662" t="s">
        <v>402</v>
      </c>
      <c r="G2662" s="31">
        <v>1.1100000000000001</v>
      </c>
    </row>
    <row r="2663" spans="1:7" x14ac:dyDescent="0.3">
      <c r="A2663">
        <v>16</v>
      </c>
      <c r="B2663">
        <v>16</v>
      </c>
      <c r="C2663" t="s">
        <v>13</v>
      </c>
      <c r="D2663">
        <v>3.23</v>
      </c>
      <c r="E2663">
        <v>9287.3109999999997</v>
      </c>
      <c r="F2663" t="s">
        <v>403</v>
      </c>
      <c r="G2663" s="31">
        <v>0.91</v>
      </c>
    </row>
    <row r="2664" spans="1:7" x14ac:dyDescent="0.3">
      <c r="A2664">
        <v>17</v>
      </c>
      <c r="B2664">
        <v>17</v>
      </c>
      <c r="C2664" t="s">
        <v>14</v>
      </c>
      <c r="D2664">
        <v>2.02</v>
      </c>
      <c r="E2664">
        <v>3885.5459999999998</v>
      </c>
      <c r="F2664" t="s">
        <v>404</v>
      </c>
      <c r="G2664" s="31">
        <v>0.51</v>
      </c>
    </row>
    <row r="2665" spans="1:7" x14ac:dyDescent="0.3">
      <c r="A2665">
        <v>18</v>
      </c>
      <c r="B2665">
        <v>18</v>
      </c>
      <c r="C2665" t="s">
        <v>15</v>
      </c>
      <c r="D2665">
        <v>2.5</v>
      </c>
      <c r="E2665">
        <v>46729.413999999997</v>
      </c>
      <c r="F2665" t="s">
        <v>405</v>
      </c>
      <c r="G2665" s="31">
        <v>11.27</v>
      </c>
    </row>
    <row r="2666" spans="1:7" x14ac:dyDescent="0.3">
      <c r="A2666">
        <v>19</v>
      </c>
      <c r="B2666">
        <v>19</v>
      </c>
      <c r="C2666" t="s">
        <v>16</v>
      </c>
      <c r="D2666">
        <v>2.71</v>
      </c>
      <c r="E2666">
        <v>6643.7690000000002</v>
      </c>
      <c r="F2666" t="s">
        <v>406</v>
      </c>
      <c r="G2666" s="31">
        <v>0.2</v>
      </c>
    </row>
    <row r="2667" spans="1:7" x14ac:dyDescent="0.3">
      <c r="A2667">
        <v>20</v>
      </c>
      <c r="B2667">
        <v>20</v>
      </c>
      <c r="C2667" t="s">
        <v>17</v>
      </c>
      <c r="D2667">
        <v>3.13</v>
      </c>
      <c r="E2667">
        <v>10061.489</v>
      </c>
      <c r="F2667" t="s">
        <v>407</v>
      </c>
      <c r="G2667" s="31">
        <v>1</v>
      </c>
    </row>
    <row r="2668" spans="1:7" x14ac:dyDescent="0.3">
      <c r="A2668">
        <v>21</v>
      </c>
      <c r="B2668">
        <v>21</v>
      </c>
      <c r="C2668" t="s">
        <v>18</v>
      </c>
      <c r="D2668">
        <v>3.68</v>
      </c>
      <c r="E2668">
        <v>12660.805</v>
      </c>
      <c r="F2668" t="s">
        <v>408</v>
      </c>
      <c r="G2668" s="31">
        <v>0.3</v>
      </c>
    </row>
    <row r="2669" spans="1:7" x14ac:dyDescent="0.3">
      <c r="A2669">
        <v>22</v>
      </c>
      <c r="B2669">
        <v>22</v>
      </c>
      <c r="C2669" t="s">
        <v>19</v>
      </c>
      <c r="D2669">
        <v>2.64</v>
      </c>
      <c r="E2669">
        <v>49695.421999999999</v>
      </c>
      <c r="F2669" t="s">
        <v>409</v>
      </c>
      <c r="G2669" s="31">
        <v>2.72</v>
      </c>
    </row>
    <row r="2670" spans="1:7" x14ac:dyDescent="0.3">
      <c r="A2670">
        <v>23</v>
      </c>
      <c r="B2670">
        <v>23</v>
      </c>
      <c r="C2670" t="s">
        <v>20</v>
      </c>
      <c r="D2670">
        <v>2.89</v>
      </c>
      <c r="E2670">
        <v>15516.044</v>
      </c>
      <c r="F2670" t="s">
        <v>410</v>
      </c>
      <c r="G2670" s="31">
        <v>0.52</v>
      </c>
    </row>
    <row r="2671" spans="1:7" x14ac:dyDescent="0.3">
      <c r="A2671">
        <v>24</v>
      </c>
      <c r="B2671">
        <v>24</v>
      </c>
      <c r="C2671" t="s">
        <v>21</v>
      </c>
      <c r="D2671">
        <v>4.1500000000000004</v>
      </c>
      <c r="E2671">
        <v>63.445</v>
      </c>
      <c r="F2671" t="s">
        <v>411</v>
      </c>
      <c r="G2671" s="31">
        <v>0.1</v>
      </c>
    </row>
    <row r="2672" spans="1:7" x14ac:dyDescent="0.3">
      <c r="A2672">
        <v>25</v>
      </c>
      <c r="B2672">
        <v>25</v>
      </c>
      <c r="C2672" t="s">
        <v>22</v>
      </c>
      <c r="D2672">
        <v>3.42</v>
      </c>
      <c r="E2672">
        <v>643.80700000000002</v>
      </c>
      <c r="F2672" t="s">
        <v>412</v>
      </c>
      <c r="G2672" s="31">
        <v>3.25</v>
      </c>
    </row>
    <row r="2673" spans="1:7" x14ac:dyDescent="0.3">
      <c r="A2673">
        <v>26</v>
      </c>
      <c r="B2673">
        <v>26</v>
      </c>
      <c r="C2673" t="s">
        <v>23</v>
      </c>
      <c r="D2673">
        <v>3.35</v>
      </c>
      <c r="E2673">
        <v>161247.234</v>
      </c>
      <c r="F2673" t="s">
        <v>413</v>
      </c>
      <c r="G2673" s="31">
        <v>7.76</v>
      </c>
    </row>
    <row r="2674" spans="1:7" x14ac:dyDescent="0.3">
      <c r="A2674">
        <v>27</v>
      </c>
      <c r="B2674">
        <v>27</v>
      </c>
      <c r="C2674" t="s">
        <v>24</v>
      </c>
      <c r="D2674">
        <v>3.43</v>
      </c>
      <c r="E2674">
        <v>1987.6030000000001</v>
      </c>
      <c r="F2674" t="s">
        <v>414</v>
      </c>
      <c r="G2674" s="31">
        <v>0.75</v>
      </c>
    </row>
    <row r="2675" spans="1:7" x14ac:dyDescent="0.3">
      <c r="A2675">
        <v>28</v>
      </c>
      <c r="B2675">
        <v>28</v>
      </c>
      <c r="C2675" t="s">
        <v>25</v>
      </c>
      <c r="D2675">
        <v>3.51</v>
      </c>
      <c r="E2675">
        <v>6868.7529999999997</v>
      </c>
      <c r="F2675" t="s">
        <v>415</v>
      </c>
      <c r="G2675" s="31">
        <v>0.62</v>
      </c>
    </row>
    <row r="2676" spans="1:7" x14ac:dyDescent="0.3">
      <c r="A2676">
        <v>29</v>
      </c>
      <c r="B2676">
        <v>29</v>
      </c>
      <c r="C2676" t="s">
        <v>26</v>
      </c>
      <c r="D2676">
        <v>1.03</v>
      </c>
      <c r="E2676">
        <v>841.69799999999998</v>
      </c>
      <c r="F2676" t="s">
        <v>416</v>
      </c>
      <c r="G2676" s="31">
        <v>0.57999999999999996</v>
      </c>
    </row>
    <row r="2677" spans="1:7" x14ac:dyDescent="0.3">
      <c r="A2677">
        <v>30</v>
      </c>
      <c r="B2677">
        <v>30</v>
      </c>
      <c r="C2677" t="s">
        <v>27</v>
      </c>
      <c r="D2677">
        <v>4.2699999999999996</v>
      </c>
      <c r="E2677">
        <v>2083.3000000000002</v>
      </c>
      <c r="F2677" t="s">
        <v>417</v>
      </c>
      <c r="G2677" s="31">
        <v>0.09</v>
      </c>
    </row>
    <row r="2678" spans="1:7" x14ac:dyDescent="0.3">
      <c r="A2678">
        <v>31</v>
      </c>
      <c r="B2678">
        <v>31</v>
      </c>
      <c r="C2678" t="s">
        <v>28</v>
      </c>
      <c r="D2678">
        <v>3</v>
      </c>
      <c r="E2678">
        <v>215888.125</v>
      </c>
      <c r="F2678" t="s">
        <v>418</v>
      </c>
      <c r="G2678" s="31">
        <v>0.67</v>
      </c>
    </row>
    <row r="2679" spans="1:7" x14ac:dyDescent="0.3">
      <c r="A2679">
        <v>32</v>
      </c>
      <c r="B2679">
        <v>32</v>
      </c>
      <c r="C2679" t="s">
        <v>29</v>
      </c>
      <c r="D2679">
        <v>3.35</v>
      </c>
      <c r="E2679">
        <v>856.83100000000002</v>
      </c>
      <c r="F2679" t="s">
        <v>419</v>
      </c>
      <c r="G2679" s="31">
        <v>7.0000000000000007E-2</v>
      </c>
    </row>
    <row r="2680" spans="1:7" x14ac:dyDescent="0.3">
      <c r="A2680">
        <v>33</v>
      </c>
      <c r="B2680">
        <v>33</v>
      </c>
      <c r="C2680" t="s">
        <v>30</v>
      </c>
      <c r="D2680">
        <v>4.67</v>
      </c>
      <c r="E2680">
        <v>32894.976999999999</v>
      </c>
      <c r="F2680" t="s">
        <v>420</v>
      </c>
      <c r="G2680" s="31">
        <v>0.51</v>
      </c>
    </row>
    <row r="2681" spans="1:7" x14ac:dyDescent="0.3">
      <c r="A2681">
        <v>34</v>
      </c>
      <c r="B2681">
        <v>34</v>
      </c>
      <c r="C2681" t="s">
        <v>31</v>
      </c>
      <c r="D2681">
        <v>3.26</v>
      </c>
      <c r="E2681">
        <v>7640.09</v>
      </c>
      <c r="F2681" t="s">
        <v>421</v>
      </c>
      <c r="G2681" s="31">
        <v>0.34</v>
      </c>
    </row>
    <row r="2682" spans="1:7" x14ac:dyDescent="0.3">
      <c r="A2682">
        <v>35</v>
      </c>
      <c r="B2682">
        <v>35</v>
      </c>
      <c r="C2682" t="s">
        <v>32</v>
      </c>
      <c r="D2682">
        <v>3.06</v>
      </c>
      <c r="E2682">
        <v>138.53</v>
      </c>
      <c r="F2682" t="s">
        <v>422</v>
      </c>
      <c r="G2682" s="31">
        <v>0.11</v>
      </c>
    </row>
    <row r="2683" spans="1:7" x14ac:dyDescent="0.3">
      <c r="A2683">
        <v>36</v>
      </c>
      <c r="B2683">
        <v>36</v>
      </c>
      <c r="C2683" t="s">
        <v>33</v>
      </c>
      <c r="D2683">
        <v>1.9</v>
      </c>
      <c r="E2683">
        <v>348.09800000000001</v>
      </c>
      <c r="F2683" t="s">
        <v>423</v>
      </c>
      <c r="G2683" s="31">
        <v>0.12</v>
      </c>
    </row>
    <row r="2684" spans="1:7" x14ac:dyDescent="0.3">
      <c r="G2684" s="31">
        <f>G2661/G2663</f>
        <v>1.2747252747252746</v>
      </c>
    </row>
    <row r="2685" spans="1:7" x14ac:dyDescent="0.3">
      <c r="A2685" t="s">
        <v>379</v>
      </c>
    </row>
    <row r="2687" spans="1:7" x14ac:dyDescent="0.3">
      <c r="A2687" t="s">
        <v>456</v>
      </c>
    </row>
    <row r="2689" spans="1:7" x14ac:dyDescent="0.3">
      <c r="A2689" t="s">
        <v>485</v>
      </c>
    </row>
    <row r="2691" spans="1:7" x14ac:dyDescent="0.3">
      <c r="B2691" t="s">
        <v>382</v>
      </c>
      <c r="C2691" t="s">
        <v>383</v>
      </c>
      <c r="D2691" t="s">
        <v>384</v>
      </c>
      <c r="E2691" t="s">
        <v>385</v>
      </c>
      <c r="F2691" t="s">
        <v>386</v>
      </c>
      <c r="G2691" s="31" t="s">
        <v>387</v>
      </c>
    </row>
    <row r="2692" spans="1:7" x14ac:dyDescent="0.3">
      <c r="A2692">
        <v>1</v>
      </c>
      <c r="B2692">
        <v>1</v>
      </c>
      <c r="C2692" t="s">
        <v>0</v>
      </c>
      <c r="D2692">
        <v>1.01</v>
      </c>
      <c r="E2692">
        <v>3671.7510000000002</v>
      </c>
      <c r="F2692" t="s">
        <v>388</v>
      </c>
      <c r="G2692" s="31">
        <v>27.12</v>
      </c>
    </row>
    <row r="2693" spans="1:7" x14ac:dyDescent="0.3">
      <c r="A2693">
        <v>2</v>
      </c>
      <c r="B2693">
        <v>2</v>
      </c>
      <c r="C2693" t="s">
        <v>1</v>
      </c>
      <c r="D2693">
        <v>1.45</v>
      </c>
      <c r="E2693">
        <v>12693.065000000001</v>
      </c>
      <c r="F2693" t="s">
        <v>389</v>
      </c>
      <c r="G2693" s="31">
        <v>16.78</v>
      </c>
    </row>
    <row r="2694" spans="1:7" x14ac:dyDescent="0.3">
      <c r="A2694">
        <v>3</v>
      </c>
      <c r="B2694">
        <v>3</v>
      </c>
      <c r="C2694" t="s">
        <v>50</v>
      </c>
      <c r="D2694">
        <v>3.79</v>
      </c>
      <c r="E2694">
        <v>146.327</v>
      </c>
      <c r="F2694" t="s">
        <v>390</v>
      </c>
      <c r="G2694" s="31">
        <v>0.11</v>
      </c>
    </row>
    <row r="2695" spans="1:7" x14ac:dyDescent="0.3">
      <c r="A2695">
        <v>4</v>
      </c>
      <c r="B2695">
        <v>4</v>
      </c>
      <c r="C2695" t="s">
        <v>2</v>
      </c>
      <c r="D2695">
        <v>3.68</v>
      </c>
      <c r="E2695">
        <v>31983.576000000001</v>
      </c>
      <c r="F2695" t="s">
        <v>391</v>
      </c>
      <c r="G2695" s="31">
        <v>1.81</v>
      </c>
    </row>
    <row r="2696" spans="1:7" x14ac:dyDescent="0.3">
      <c r="A2696">
        <v>5</v>
      </c>
      <c r="B2696">
        <v>5</v>
      </c>
      <c r="C2696" t="s">
        <v>3</v>
      </c>
      <c r="D2696">
        <v>4.5599999999999996</v>
      </c>
      <c r="E2696">
        <v>108.26900000000001</v>
      </c>
      <c r="F2696" t="s">
        <v>392</v>
      </c>
      <c r="G2696" s="31">
        <v>0.1</v>
      </c>
    </row>
    <row r="2697" spans="1:7" x14ac:dyDescent="0.3">
      <c r="A2697">
        <v>6</v>
      </c>
      <c r="B2697">
        <v>6</v>
      </c>
      <c r="C2697" t="s">
        <v>4</v>
      </c>
      <c r="D2697">
        <v>4.79</v>
      </c>
      <c r="E2697">
        <v>54210.144999999997</v>
      </c>
      <c r="F2697" t="s">
        <v>393</v>
      </c>
      <c r="G2697" s="31">
        <v>2.2799999999999998</v>
      </c>
    </row>
    <row r="2698" spans="1:7" x14ac:dyDescent="0.3">
      <c r="A2698">
        <v>7</v>
      </c>
      <c r="B2698">
        <v>7</v>
      </c>
      <c r="C2698" t="s">
        <v>5</v>
      </c>
      <c r="D2698">
        <v>2.71</v>
      </c>
      <c r="E2698">
        <v>3014.2719999999999</v>
      </c>
      <c r="F2698" t="s">
        <v>394</v>
      </c>
      <c r="G2698" s="31">
        <v>0.44</v>
      </c>
    </row>
    <row r="2699" spans="1:7" x14ac:dyDescent="0.3">
      <c r="A2699">
        <v>8</v>
      </c>
      <c r="B2699">
        <v>8</v>
      </c>
      <c r="C2699" t="s">
        <v>6</v>
      </c>
      <c r="D2699">
        <v>0.67</v>
      </c>
      <c r="E2699">
        <v>3894.7139999999999</v>
      </c>
      <c r="F2699" t="s">
        <v>395</v>
      </c>
      <c r="G2699" s="31">
        <v>42.19</v>
      </c>
    </row>
    <row r="2700" spans="1:7" x14ac:dyDescent="0.3">
      <c r="A2700">
        <v>9</v>
      </c>
      <c r="B2700">
        <v>9</v>
      </c>
      <c r="C2700" t="s">
        <v>7</v>
      </c>
      <c r="D2700">
        <v>3.56</v>
      </c>
      <c r="E2700">
        <v>714.17</v>
      </c>
      <c r="F2700" t="s">
        <v>396</v>
      </c>
      <c r="G2700" s="31">
        <v>1.77</v>
      </c>
    </row>
    <row r="2701" spans="1:7" x14ac:dyDescent="0.3">
      <c r="A2701">
        <v>10</v>
      </c>
      <c r="B2701">
        <v>10</v>
      </c>
      <c r="C2701" t="s">
        <v>51</v>
      </c>
      <c r="D2701">
        <v>4.62</v>
      </c>
      <c r="E2701">
        <v>2000.4490000000001</v>
      </c>
      <c r="F2701" t="s">
        <v>397</v>
      </c>
      <c r="G2701" s="31">
        <v>0.36</v>
      </c>
    </row>
    <row r="2702" spans="1:7" x14ac:dyDescent="0.3">
      <c r="A2702">
        <v>11</v>
      </c>
      <c r="B2702">
        <v>11</v>
      </c>
      <c r="C2702" t="s">
        <v>8</v>
      </c>
      <c r="D2702">
        <v>2.73</v>
      </c>
      <c r="E2702">
        <v>74998.116999999998</v>
      </c>
      <c r="F2702" t="s">
        <v>398</v>
      </c>
      <c r="G2702" s="31">
        <v>3.53</v>
      </c>
    </row>
    <row r="2703" spans="1:7" x14ac:dyDescent="0.3">
      <c r="A2703">
        <v>12</v>
      </c>
      <c r="B2703">
        <v>12</v>
      </c>
      <c r="C2703" t="s">
        <v>9</v>
      </c>
      <c r="D2703">
        <v>2.61</v>
      </c>
      <c r="E2703">
        <v>5842.2089999999998</v>
      </c>
      <c r="F2703" t="s">
        <v>399</v>
      </c>
      <c r="G2703" s="31">
        <v>1.93</v>
      </c>
    </row>
    <row r="2704" spans="1:7" x14ac:dyDescent="0.3">
      <c r="A2704">
        <v>13</v>
      </c>
      <c r="B2704">
        <v>13</v>
      </c>
      <c r="C2704" t="s">
        <v>10</v>
      </c>
      <c r="D2704">
        <v>4.08</v>
      </c>
      <c r="E2704">
        <v>1088198</v>
      </c>
      <c r="F2704" t="s">
        <v>400</v>
      </c>
      <c r="G2704" s="31">
        <v>84.12</v>
      </c>
    </row>
    <row r="2705" spans="1:7" x14ac:dyDescent="0.3">
      <c r="A2705">
        <v>14</v>
      </c>
      <c r="B2705">
        <v>14</v>
      </c>
      <c r="C2705" t="s">
        <v>11</v>
      </c>
      <c r="D2705">
        <v>3.52</v>
      </c>
      <c r="E2705">
        <v>31.972999999999999</v>
      </c>
      <c r="F2705" t="s">
        <v>401</v>
      </c>
      <c r="G2705" s="31">
        <v>2.34</v>
      </c>
    </row>
    <row r="2706" spans="1:7" x14ac:dyDescent="0.3">
      <c r="A2706">
        <v>15</v>
      </c>
      <c r="B2706">
        <v>15</v>
      </c>
      <c r="C2706" t="s">
        <v>12</v>
      </c>
      <c r="D2706">
        <v>3.32</v>
      </c>
      <c r="E2706">
        <v>515.10400000000004</v>
      </c>
      <c r="F2706" t="s">
        <v>402</v>
      </c>
      <c r="G2706" s="31">
        <v>2.1</v>
      </c>
    </row>
    <row r="2707" spans="1:7" x14ac:dyDescent="0.3">
      <c r="A2707">
        <v>16</v>
      </c>
      <c r="B2707">
        <v>16</v>
      </c>
      <c r="C2707" t="s">
        <v>13</v>
      </c>
      <c r="D2707">
        <v>3.23</v>
      </c>
      <c r="E2707">
        <v>17265.583999999999</v>
      </c>
      <c r="F2707" t="s">
        <v>403</v>
      </c>
      <c r="G2707" s="31">
        <v>2.79</v>
      </c>
    </row>
    <row r="2708" spans="1:7" x14ac:dyDescent="0.3">
      <c r="A2708">
        <v>17</v>
      </c>
      <c r="B2708">
        <v>17</v>
      </c>
      <c r="C2708" t="s">
        <v>14</v>
      </c>
      <c r="D2708">
        <v>2.02</v>
      </c>
      <c r="E2708">
        <v>15646.236000000001</v>
      </c>
      <c r="F2708" t="s">
        <v>404</v>
      </c>
      <c r="G2708" s="31">
        <v>2.46</v>
      </c>
    </row>
    <row r="2709" spans="1:7" x14ac:dyDescent="0.3">
      <c r="A2709">
        <v>18</v>
      </c>
      <c r="B2709">
        <v>18</v>
      </c>
      <c r="C2709" t="s">
        <v>15</v>
      </c>
      <c r="D2709">
        <v>2.48</v>
      </c>
      <c r="E2709">
        <v>50393.059000000001</v>
      </c>
      <c r="F2709" t="s">
        <v>405</v>
      </c>
      <c r="G2709" s="31">
        <v>21.39</v>
      </c>
    </row>
    <row r="2710" spans="1:7" x14ac:dyDescent="0.3">
      <c r="A2710">
        <v>19</v>
      </c>
      <c r="B2710">
        <v>19</v>
      </c>
      <c r="C2710" t="s">
        <v>16</v>
      </c>
      <c r="D2710">
        <v>2.7</v>
      </c>
      <c r="E2710">
        <v>5681.6480000000001</v>
      </c>
      <c r="F2710" t="s">
        <v>406</v>
      </c>
      <c r="G2710" s="31">
        <v>0.31</v>
      </c>
    </row>
    <row r="2711" spans="1:7" x14ac:dyDescent="0.3">
      <c r="A2711">
        <v>20</v>
      </c>
      <c r="B2711">
        <v>20</v>
      </c>
      <c r="C2711" t="s">
        <v>17</v>
      </c>
      <c r="D2711">
        <v>3.13</v>
      </c>
      <c r="E2711">
        <v>14355.451999999999</v>
      </c>
      <c r="F2711" t="s">
        <v>407</v>
      </c>
      <c r="G2711" s="31">
        <v>2.54</v>
      </c>
    </row>
    <row r="2712" spans="1:7" x14ac:dyDescent="0.3">
      <c r="A2712">
        <v>21</v>
      </c>
      <c r="B2712">
        <v>21</v>
      </c>
      <c r="C2712" t="s">
        <v>18</v>
      </c>
      <c r="D2712">
        <v>3.68</v>
      </c>
      <c r="E2712">
        <v>16702.791000000001</v>
      </c>
      <c r="F2712" t="s">
        <v>408</v>
      </c>
      <c r="G2712" s="31">
        <v>0.7</v>
      </c>
    </row>
    <row r="2713" spans="1:7" x14ac:dyDescent="0.3">
      <c r="A2713">
        <v>22</v>
      </c>
      <c r="B2713">
        <v>22</v>
      </c>
      <c r="C2713" t="s">
        <v>19</v>
      </c>
      <c r="D2713">
        <v>2.61</v>
      </c>
      <c r="E2713">
        <v>53947.891000000003</v>
      </c>
      <c r="F2713" t="s">
        <v>409</v>
      </c>
      <c r="G2713" s="31">
        <v>5.16</v>
      </c>
    </row>
    <row r="2714" spans="1:7" x14ac:dyDescent="0.3">
      <c r="A2714">
        <v>23</v>
      </c>
      <c r="B2714">
        <v>23</v>
      </c>
      <c r="C2714" t="s">
        <v>20</v>
      </c>
      <c r="D2714">
        <v>2.89</v>
      </c>
      <c r="E2714">
        <v>28140.344000000001</v>
      </c>
      <c r="F2714" t="s">
        <v>410</v>
      </c>
      <c r="G2714" s="31">
        <v>1.59</v>
      </c>
    </row>
    <row r="2715" spans="1:7" x14ac:dyDescent="0.3">
      <c r="A2715">
        <v>24</v>
      </c>
      <c r="B2715">
        <v>24</v>
      </c>
      <c r="C2715" t="s">
        <v>21</v>
      </c>
      <c r="D2715">
        <v>4.1100000000000003</v>
      </c>
      <c r="E2715">
        <v>367.96899999999999</v>
      </c>
      <c r="F2715" t="s">
        <v>411</v>
      </c>
      <c r="G2715" s="31">
        <v>0.11</v>
      </c>
    </row>
    <row r="2716" spans="1:7" x14ac:dyDescent="0.3">
      <c r="A2716">
        <v>25</v>
      </c>
      <c r="B2716">
        <v>25</v>
      </c>
      <c r="C2716" t="s">
        <v>22</v>
      </c>
      <c r="D2716">
        <v>3.43</v>
      </c>
      <c r="E2716">
        <v>525.39300000000003</v>
      </c>
      <c r="F2716" t="s">
        <v>412</v>
      </c>
      <c r="G2716" s="31">
        <v>5.14</v>
      </c>
    </row>
    <row r="2717" spans="1:7" x14ac:dyDescent="0.3">
      <c r="A2717">
        <v>26</v>
      </c>
      <c r="B2717">
        <v>26</v>
      </c>
      <c r="C2717" t="s">
        <v>23</v>
      </c>
      <c r="D2717">
        <v>3.35</v>
      </c>
      <c r="E2717">
        <v>162596.81299999999</v>
      </c>
      <c r="F2717" t="s">
        <v>413</v>
      </c>
      <c r="G2717" s="31">
        <v>13.83</v>
      </c>
    </row>
    <row r="2718" spans="1:7" x14ac:dyDescent="0.3">
      <c r="A2718">
        <v>27</v>
      </c>
      <c r="B2718">
        <v>27</v>
      </c>
      <c r="C2718" t="s">
        <v>24</v>
      </c>
      <c r="D2718">
        <v>3.43</v>
      </c>
      <c r="E2718">
        <v>3943.6750000000002</v>
      </c>
      <c r="F2718" t="s">
        <v>414</v>
      </c>
      <c r="G2718" s="31">
        <v>2.78</v>
      </c>
    </row>
    <row r="2719" spans="1:7" x14ac:dyDescent="0.3">
      <c r="A2719">
        <v>28</v>
      </c>
      <c r="B2719">
        <v>28</v>
      </c>
      <c r="C2719" t="s">
        <v>25</v>
      </c>
      <c r="D2719">
        <v>3.51</v>
      </c>
      <c r="E2719">
        <v>9342.2350000000006</v>
      </c>
      <c r="F2719" t="s">
        <v>415</v>
      </c>
      <c r="G2719" s="31">
        <v>1.4</v>
      </c>
    </row>
    <row r="2720" spans="1:7" x14ac:dyDescent="0.3">
      <c r="A2720">
        <v>29</v>
      </c>
      <c r="B2720">
        <v>29</v>
      </c>
      <c r="C2720" t="s">
        <v>26</v>
      </c>
      <c r="D2720">
        <v>1.04</v>
      </c>
      <c r="E2720">
        <v>1825.5909999999999</v>
      </c>
      <c r="F2720" t="s">
        <v>416</v>
      </c>
      <c r="G2720" s="31">
        <v>1.8</v>
      </c>
    </row>
    <row r="2721" spans="1:7" x14ac:dyDescent="0.3">
      <c r="A2721">
        <v>30</v>
      </c>
      <c r="B2721">
        <v>30</v>
      </c>
      <c r="C2721" t="s">
        <v>27</v>
      </c>
      <c r="D2721">
        <v>4.2699999999999996</v>
      </c>
      <c r="E2721">
        <v>3116.6480000000001</v>
      </c>
      <c r="F2721" t="s">
        <v>417</v>
      </c>
      <c r="G2721" s="31">
        <v>0.22</v>
      </c>
    </row>
    <row r="2722" spans="1:7" x14ac:dyDescent="0.3">
      <c r="A2722">
        <v>31</v>
      </c>
      <c r="B2722">
        <v>31</v>
      </c>
      <c r="C2722" t="s">
        <v>28</v>
      </c>
      <c r="D2722">
        <v>3</v>
      </c>
      <c r="E2722">
        <v>75198.733999999997</v>
      </c>
      <c r="F2722" t="s">
        <v>418</v>
      </c>
      <c r="G2722" s="31">
        <v>0.32</v>
      </c>
    </row>
    <row r="2723" spans="1:7" x14ac:dyDescent="0.3">
      <c r="A2723">
        <v>32</v>
      </c>
      <c r="B2723">
        <v>32</v>
      </c>
      <c r="C2723" t="s">
        <v>29</v>
      </c>
      <c r="D2723">
        <v>3.35</v>
      </c>
      <c r="E2723">
        <v>848.21699999999998</v>
      </c>
      <c r="F2723" t="s">
        <v>419</v>
      </c>
      <c r="G2723" s="31">
        <v>0.13</v>
      </c>
    </row>
    <row r="2724" spans="1:7" x14ac:dyDescent="0.3">
      <c r="A2724">
        <v>33</v>
      </c>
      <c r="B2724">
        <v>33</v>
      </c>
      <c r="C2724" t="s">
        <v>30</v>
      </c>
      <c r="D2724">
        <v>4.67</v>
      </c>
      <c r="E2724">
        <v>171115.25</v>
      </c>
      <c r="F2724" t="s">
        <v>420</v>
      </c>
      <c r="G2724" s="31">
        <v>2.97</v>
      </c>
    </row>
    <row r="2725" spans="1:7" x14ac:dyDescent="0.3">
      <c r="A2725">
        <v>34</v>
      </c>
      <c r="B2725">
        <v>34</v>
      </c>
      <c r="C2725" t="s">
        <v>31</v>
      </c>
      <c r="D2725">
        <v>3.5</v>
      </c>
      <c r="E2725">
        <v>1337.539</v>
      </c>
      <c r="F2725" t="s">
        <v>421</v>
      </c>
      <c r="G2725" s="31">
        <v>0.12</v>
      </c>
    </row>
    <row r="2726" spans="1:7" x14ac:dyDescent="0.3">
      <c r="A2726">
        <v>35</v>
      </c>
      <c r="B2726">
        <v>35</v>
      </c>
      <c r="C2726" t="s">
        <v>32</v>
      </c>
      <c r="D2726">
        <v>3.12</v>
      </c>
      <c r="E2726">
        <v>331.24400000000003</v>
      </c>
      <c r="F2726" t="s">
        <v>422</v>
      </c>
      <c r="G2726" s="31">
        <v>0.14000000000000001</v>
      </c>
    </row>
    <row r="2727" spans="1:7" x14ac:dyDescent="0.3">
      <c r="A2727">
        <v>36</v>
      </c>
      <c r="B2727">
        <v>36</v>
      </c>
      <c r="C2727" t="s">
        <v>33</v>
      </c>
      <c r="D2727">
        <v>1.89</v>
      </c>
      <c r="E2727">
        <v>689.86199999999997</v>
      </c>
      <c r="F2727" t="s">
        <v>423</v>
      </c>
      <c r="G2727" s="31">
        <v>0.43</v>
      </c>
    </row>
    <row r="2728" spans="1:7" x14ac:dyDescent="0.3">
      <c r="G2728" s="31">
        <f>G2705/G2707</f>
        <v>0.83870967741935476</v>
      </c>
    </row>
    <row r="2729" spans="1:7" x14ac:dyDescent="0.3">
      <c r="A2729" t="s">
        <v>379</v>
      </c>
    </row>
    <row r="2731" spans="1:7" x14ac:dyDescent="0.3">
      <c r="A2731" t="s">
        <v>456</v>
      </c>
    </row>
    <row r="2733" spans="1:7" x14ac:dyDescent="0.3">
      <c r="A2733" t="s">
        <v>486</v>
      </c>
    </row>
    <row r="2735" spans="1:7" x14ac:dyDescent="0.3">
      <c r="B2735" t="s">
        <v>382</v>
      </c>
      <c r="C2735" t="s">
        <v>383</v>
      </c>
      <c r="D2735" t="s">
        <v>384</v>
      </c>
      <c r="E2735" t="s">
        <v>385</v>
      </c>
      <c r="F2735" t="s">
        <v>386</v>
      </c>
      <c r="G2735" s="31" t="s">
        <v>387</v>
      </c>
    </row>
    <row r="2736" spans="1:7" x14ac:dyDescent="0.3">
      <c r="A2736">
        <v>1</v>
      </c>
      <c r="B2736">
        <v>1</v>
      </c>
      <c r="C2736" t="s">
        <v>0</v>
      </c>
      <c r="D2736">
        <v>1.1200000000000001</v>
      </c>
      <c r="E2736">
        <v>45.136000000000003</v>
      </c>
      <c r="F2736" t="s">
        <v>388</v>
      </c>
      <c r="G2736" s="31">
        <v>0.1</v>
      </c>
    </row>
    <row r="2737" spans="1:7" x14ac:dyDescent="0.3">
      <c r="A2737">
        <v>2</v>
      </c>
      <c r="B2737">
        <v>2</v>
      </c>
      <c r="C2737" t="s">
        <v>1</v>
      </c>
      <c r="D2737">
        <v>1.43</v>
      </c>
      <c r="E2737">
        <v>339.96100000000001</v>
      </c>
      <c r="F2737" t="s">
        <v>389</v>
      </c>
      <c r="G2737" s="31">
        <v>8.09</v>
      </c>
    </row>
    <row r="2738" spans="1:7" x14ac:dyDescent="0.3">
      <c r="A2738">
        <v>3</v>
      </c>
      <c r="B2738">
        <v>3</v>
      </c>
      <c r="C2738" t="s">
        <v>50</v>
      </c>
      <c r="D2738">
        <v>3.8</v>
      </c>
      <c r="E2738">
        <v>275.40300000000002</v>
      </c>
      <c r="F2738" t="s">
        <v>390</v>
      </c>
      <c r="G2738" s="31">
        <v>1.52</v>
      </c>
    </row>
    <row r="2739" spans="1:7" x14ac:dyDescent="0.3">
      <c r="A2739">
        <v>4</v>
      </c>
      <c r="B2739">
        <v>4</v>
      </c>
      <c r="C2739" t="s">
        <v>2</v>
      </c>
      <c r="D2739">
        <v>3.81</v>
      </c>
      <c r="E2739">
        <v>200.85300000000001</v>
      </c>
      <c r="F2739" t="s">
        <v>391</v>
      </c>
      <c r="G2739" s="31">
        <v>0.83</v>
      </c>
    </row>
    <row r="2740" spans="1:7" x14ac:dyDescent="0.3">
      <c r="A2740">
        <v>5</v>
      </c>
      <c r="B2740">
        <v>5</v>
      </c>
      <c r="C2740" t="s">
        <v>3</v>
      </c>
      <c r="D2740">
        <v>4.54</v>
      </c>
      <c r="E2740">
        <v>157.67699999999999</v>
      </c>
      <c r="F2740" t="s">
        <v>392</v>
      </c>
      <c r="G2740" s="31">
        <v>0.1</v>
      </c>
    </row>
    <row r="2741" spans="1:7" x14ac:dyDescent="0.3">
      <c r="A2741">
        <v>6</v>
      </c>
      <c r="B2741">
        <v>6</v>
      </c>
      <c r="C2741" t="s">
        <v>4</v>
      </c>
      <c r="D2741">
        <v>4.8499999999999996</v>
      </c>
      <c r="E2741">
        <v>9.35</v>
      </c>
      <c r="F2741" t="s">
        <v>393</v>
      </c>
      <c r="G2741" s="31">
        <v>2.29</v>
      </c>
    </row>
    <row r="2742" spans="1:7" x14ac:dyDescent="0.3">
      <c r="A2742">
        <v>7</v>
      </c>
      <c r="B2742">
        <v>7</v>
      </c>
      <c r="C2742" t="s">
        <v>5</v>
      </c>
      <c r="D2742">
        <v>2.68</v>
      </c>
      <c r="E2742">
        <v>10.398</v>
      </c>
      <c r="F2742" t="s">
        <v>394</v>
      </c>
      <c r="G2742" s="31">
        <v>7.0000000000000007E-2</v>
      </c>
    </row>
    <row r="2743" spans="1:7" x14ac:dyDescent="0.3">
      <c r="A2743">
        <v>8</v>
      </c>
      <c r="B2743">
        <v>8</v>
      </c>
      <c r="C2743" t="s">
        <v>6</v>
      </c>
      <c r="F2743" t="s">
        <v>395</v>
      </c>
      <c r="G2743" s="31">
        <v>0.1</v>
      </c>
    </row>
    <row r="2744" spans="1:7" x14ac:dyDescent="0.3">
      <c r="A2744">
        <v>9</v>
      </c>
      <c r="B2744">
        <v>9</v>
      </c>
      <c r="C2744" t="s">
        <v>7</v>
      </c>
      <c r="D2744">
        <v>3.59</v>
      </c>
      <c r="E2744">
        <v>21.917999999999999</v>
      </c>
      <c r="F2744" t="s">
        <v>396</v>
      </c>
      <c r="G2744" s="31">
        <v>1.34</v>
      </c>
    </row>
    <row r="2745" spans="1:7" x14ac:dyDescent="0.3">
      <c r="A2745">
        <v>10</v>
      </c>
      <c r="B2745">
        <v>10</v>
      </c>
      <c r="C2745" t="s">
        <v>51</v>
      </c>
      <c r="D2745">
        <v>4.75</v>
      </c>
      <c r="E2745">
        <v>638.11300000000006</v>
      </c>
      <c r="F2745" t="s">
        <v>397</v>
      </c>
      <c r="G2745" s="31">
        <v>0.99</v>
      </c>
    </row>
    <row r="2746" spans="1:7" x14ac:dyDescent="0.3">
      <c r="A2746">
        <v>11</v>
      </c>
      <c r="B2746">
        <v>11</v>
      </c>
      <c r="C2746" t="s">
        <v>8</v>
      </c>
      <c r="F2746" t="s">
        <v>398</v>
      </c>
      <c r="G2746" s="31">
        <v>0.1</v>
      </c>
    </row>
    <row r="2747" spans="1:7" x14ac:dyDescent="0.3">
      <c r="A2747">
        <v>12</v>
      </c>
      <c r="B2747">
        <v>12</v>
      </c>
      <c r="C2747" t="s">
        <v>9</v>
      </c>
      <c r="D2747">
        <v>2.79</v>
      </c>
      <c r="E2747">
        <v>62.335999999999999</v>
      </c>
      <c r="F2747" t="s">
        <v>399</v>
      </c>
      <c r="G2747" s="31">
        <v>2.82</v>
      </c>
    </row>
    <row r="2748" spans="1:7" x14ac:dyDescent="0.3">
      <c r="A2748">
        <v>13</v>
      </c>
      <c r="B2748">
        <v>13</v>
      </c>
      <c r="C2748" t="s">
        <v>10</v>
      </c>
      <c r="D2748">
        <v>4.08</v>
      </c>
      <c r="E2748">
        <v>947.12800000000004</v>
      </c>
      <c r="F2748" t="s">
        <v>400</v>
      </c>
      <c r="G2748" s="31">
        <v>0.1</v>
      </c>
    </row>
    <row r="2749" spans="1:7" x14ac:dyDescent="0.3">
      <c r="A2749">
        <v>14</v>
      </c>
      <c r="B2749">
        <v>14</v>
      </c>
      <c r="C2749" t="s">
        <v>11</v>
      </c>
      <c r="F2749" t="s">
        <v>401</v>
      </c>
      <c r="G2749" s="31">
        <v>0.1</v>
      </c>
    </row>
    <row r="2750" spans="1:7" x14ac:dyDescent="0.3">
      <c r="A2750">
        <v>15</v>
      </c>
      <c r="B2750">
        <v>15</v>
      </c>
      <c r="C2750" t="s">
        <v>12</v>
      </c>
      <c r="D2750">
        <v>3.39</v>
      </c>
      <c r="E2750">
        <v>21.106000000000002</v>
      </c>
      <c r="F2750" t="s">
        <v>402</v>
      </c>
      <c r="G2750" s="31">
        <v>0.85</v>
      </c>
    </row>
    <row r="2751" spans="1:7" x14ac:dyDescent="0.3">
      <c r="A2751">
        <v>16</v>
      </c>
      <c r="B2751">
        <v>16</v>
      </c>
      <c r="C2751" t="s">
        <v>13</v>
      </c>
      <c r="D2751">
        <v>3.24</v>
      </c>
      <c r="E2751">
        <v>1.004</v>
      </c>
      <c r="F2751" t="s">
        <v>403</v>
      </c>
      <c r="G2751" s="31">
        <v>2.04</v>
      </c>
    </row>
    <row r="2752" spans="1:7" x14ac:dyDescent="0.3">
      <c r="A2752">
        <v>17</v>
      </c>
      <c r="B2752">
        <v>17</v>
      </c>
      <c r="C2752" t="s">
        <v>14</v>
      </c>
      <c r="D2752">
        <v>2.0699999999999998</v>
      </c>
      <c r="E2752">
        <v>48.941000000000003</v>
      </c>
      <c r="F2752" t="s">
        <v>404</v>
      </c>
      <c r="G2752" s="31">
        <v>3.25</v>
      </c>
    </row>
    <row r="2753" spans="1:7" x14ac:dyDescent="0.3">
      <c r="A2753">
        <v>18</v>
      </c>
      <c r="B2753">
        <v>18</v>
      </c>
      <c r="C2753" t="s">
        <v>15</v>
      </c>
      <c r="D2753">
        <v>2.58</v>
      </c>
      <c r="E2753">
        <v>57.561</v>
      </c>
      <c r="F2753" t="s">
        <v>405</v>
      </c>
      <c r="G2753" s="31">
        <v>10.43</v>
      </c>
    </row>
    <row r="2754" spans="1:7" x14ac:dyDescent="0.3">
      <c r="A2754">
        <v>19</v>
      </c>
      <c r="B2754">
        <v>19</v>
      </c>
      <c r="C2754" t="s">
        <v>16</v>
      </c>
      <c r="D2754">
        <v>2.63</v>
      </c>
      <c r="E2754">
        <v>6.5650000000000004</v>
      </c>
      <c r="F2754" t="s">
        <v>406</v>
      </c>
      <c r="G2754" s="31">
        <v>0.3</v>
      </c>
    </row>
    <row r="2755" spans="1:7" x14ac:dyDescent="0.3">
      <c r="A2755">
        <v>20</v>
      </c>
      <c r="B2755">
        <v>20</v>
      </c>
      <c r="C2755" t="s">
        <v>17</v>
      </c>
      <c r="D2755">
        <v>2.71</v>
      </c>
      <c r="E2755">
        <v>173.25700000000001</v>
      </c>
      <c r="F2755" t="s">
        <v>407</v>
      </c>
      <c r="G2755" s="31">
        <v>0.1</v>
      </c>
    </row>
    <row r="2756" spans="1:7" x14ac:dyDescent="0.3">
      <c r="A2756">
        <v>21</v>
      </c>
      <c r="B2756">
        <v>21</v>
      </c>
      <c r="C2756" t="s">
        <v>18</v>
      </c>
      <c r="D2756">
        <v>3.75</v>
      </c>
      <c r="E2756">
        <v>660.99</v>
      </c>
      <c r="F2756" t="s">
        <v>408</v>
      </c>
      <c r="G2756" s="31">
        <v>0.19</v>
      </c>
    </row>
    <row r="2757" spans="1:7" x14ac:dyDescent="0.3">
      <c r="A2757">
        <v>22</v>
      </c>
      <c r="B2757">
        <v>22</v>
      </c>
      <c r="C2757" t="s">
        <v>19</v>
      </c>
      <c r="F2757" t="s">
        <v>409</v>
      </c>
      <c r="G2757" s="31">
        <v>0.1</v>
      </c>
    </row>
    <row r="2758" spans="1:7" x14ac:dyDescent="0.3">
      <c r="A2758">
        <v>23</v>
      </c>
      <c r="B2758">
        <v>23</v>
      </c>
      <c r="C2758" t="s">
        <v>20</v>
      </c>
      <c r="F2758" t="s">
        <v>410</v>
      </c>
      <c r="G2758" s="31">
        <v>0.1</v>
      </c>
    </row>
    <row r="2759" spans="1:7" x14ac:dyDescent="0.3">
      <c r="A2759">
        <v>24</v>
      </c>
      <c r="B2759">
        <v>24</v>
      </c>
      <c r="C2759" t="s">
        <v>21</v>
      </c>
      <c r="D2759">
        <v>4.16</v>
      </c>
      <c r="E2759">
        <v>10.586</v>
      </c>
      <c r="F2759" t="s">
        <v>411</v>
      </c>
      <c r="G2759" s="31">
        <v>0.1</v>
      </c>
    </row>
    <row r="2760" spans="1:7" x14ac:dyDescent="0.3">
      <c r="A2760">
        <v>25</v>
      </c>
      <c r="B2760">
        <v>25</v>
      </c>
      <c r="C2760" t="s">
        <v>22</v>
      </c>
      <c r="D2760">
        <v>3.48</v>
      </c>
      <c r="E2760">
        <v>108.048</v>
      </c>
      <c r="F2760" t="s">
        <v>412</v>
      </c>
      <c r="G2760" s="31">
        <v>24.91</v>
      </c>
    </row>
    <row r="2761" spans="1:7" x14ac:dyDescent="0.3">
      <c r="A2761">
        <v>26</v>
      </c>
      <c r="B2761">
        <v>26</v>
      </c>
      <c r="C2761" t="s">
        <v>23</v>
      </c>
      <c r="F2761" t="s">
        <v>413</v>
      </c>
      <c r="G2761" s="31">
        <v>0.1</v>
      </c>
    </row>
    <row r="2762" spans="1:7" x14ac:dyDescent="0.3">
      <c r="A2762">
        <v>27</v>
      </c>
      <c r="B2762">
        <v>27</v>
      </c>
      <c r="C2762" t="s">
        <v>24</v>
      </c>
      <c r="D2762">
        <v>3.55</v>
      </c>
      <c r="E2762">
        <v>16.846</v>
      </c>
      <c r="F2762" t="s">
        <v>414</v>
      </c>
      <c r="G2762" s="31">
        <v>0.1</v>
      </c>
    </row>
    <row r="2763" spans="1:7" x14ac:dyDescent="0.3">
      <c r="A2763">
        <v>28</v>
      </c>
      <c r="B2763">
        <v>28</v>
      </c>
      <c r="C2763" t="s">
        <v>25</v>
      </c>
      <c r="D2763">
        <v>3.48</v>
      </c>
      <c r="E2763">
        <v>2.2930000000000001</v>
      </c>
      <c r="F2763" t="s">
        <v>415</v>
      </c>
      <c r="G2763" s="31">
        <v>1.8</v>
      </c>
    </row>
    <row r="2764" spans="1:7" x14ac:dyDescent="0.3">
      <c r="A2764">
        <v>29</v>
      </c>
      <c r="B2764">
        <v>29</v>
      </c>
      <c r="C2764" t="s">
        <v>26</v>
      </c>
      <c r="F2764" t="s">
        <v>416</v>
      </c>
      <c r="G2764" s="31">
        <v>0.1</v>
      </c>
    </row>
    <row r="2765" spans="1:7" x14ac:dyDescent="0.3">
      <c r="A2765">
        <v>30</v>
      </c>
      <c r="B2765">
        <v>30</v>
      </c>
      <c r="C2765" t="s">
        <v>27</v>
      </c>
      <c r="D2765">
        <v>4.33</v>
      </c>
      <c r="E2765">
        <v>38.834000000000003</v>
      </c>
      <c r="F2765" t="s">
        <v>417</v>
      </c>
      <c r="G2765" s="31">
        <v>0.13</v>
      </c>
    </row>
    <row r="2766" spans="1:7" x14ac:dyDescent="0.3">
      <c r="A2766">
        <v>31</v>
      </c>
      <c r="B2766">
        <v>31</v>
      </c>
      <c r="C2766" t="s">
        <v>28</v>
      </c>
      <c r="D2766">
        <v>3.11</v>
      </c>
      <c r="E2766">
        <v>6.8529999999999998</v>
      </c>
      <c r="F2766" t="s">
        <v>418</v>
      </c>
      <c r="G2766" s="31">
        <v>0.1</v>
      </c>
    </row>
    <row r="2767" spans="1:7" x14ac:dyDescent="0.3">
      <c r="A2767">
        <v>32</v>
      </c>
      <c r="B2767">
        <v>32</v>
      </c>
      <c r="C2767" t="s">
        <v>29</v>
      </c>
      <c r="F2767" t="s">
        <v>419</v>
      </c>
      <c r="G2767" s="31">
        <v>0.1</v>
      </c>
    </row>
    <row r="2768" spans="1:7" x14ac:dyDescent="0.3">
      <c r="A2768">
        <v>33</v>
      </c>
      <c r="B2768">
        <v>33</v>
      </c>
      <c r="C2768" t="s">
        <v>30</v>
      </c>
      <c r="D2768">
        <v>4.6500000000000004</v>
      </c>
      <c r="E2768">
        <v>39.226999999999997</v>
      </c>
      <c r="F2768" t="s">
        <v>420</v>
      </c>
      <c r="G2768" s="31">
        <v>3.35</v>
      </c>
    </row>
    <row r="2769" spans="1:7" x14ac:dyDescent="0.3">
      <c r="A2769">
        <v>34</v>
      </c>
      <c r="B2769">
        <v>34</v>
      </c>
      <c r="C2769" t="s">
        <v>31</v>
      </c>
      <c r="D2769">
        <v>3.68</v>
      </c>
      <c r="E2769">
        <v>25.446000000000002</v>
      </c>
      <c r="F2769" t="s">
        <v>421</v>
      </c>
      <c r="G2769" s="31">
        <v>0.12</v>
      </c>
    </row>
    <row r="2770" spans="1:7" x14ac:dyDescent="0.3">
      <c r="A2770">
        <v>35</v>
      </c>
      <c r="B2770">
        <v>35</v>
      </c>
      <c r="C2770" t="s">
        <v>32</v>
      </c>
      <c r="D2770">
        <v>3.07</v>
      </c>
      <c r="E2770">
        <v>21.527000000000001</v>
      </c>
      <c r="F2770" t="s">
        <v>422</v>
      </c>
      <c r="G2770" s="31">
        <v>0.1</v>
      </c>
    </row>
    <row r="2771" spans="1:7" x14ac:dyDescent="0.3">
      <c r="A2771">
        <v>36</v>
      </c>
      <c r="B2771">
        <v>36</v>
      </c>
      <c r="C2771" t="s">
        <v>33</v>
      </c>
      <c r="D2771">
        <v>1.88</v>
      </c>
      <c r="E2771">
        <v>20.939</v>
      </c>
      <c r="F2771" t="s">
        <v>423</v>
      </c>
      <c r="G2771" s="31">
        <v>0.13</v>
      </c>
    </row>
    <row r="2773" spans="1:7" x14ac:dyDescent="0.3">
      <c r="A2773" t="s">
        <v>379</v>
      </c>
    </row>
    <row r="2775" spans="1:7" x14ac:dyDescent="0.3">
      <c r="A2775" t="s">
        <v>456</v>
      </c>
    </row>
    <row r="2777" spans="1:7" x14ac:dyDescent="0.3">
      <c r="A2777" t="s">
        <v>487</v>
      </c>
    </row>
    <row r="2779" spans="1:7" x14ac:dyDescent="0.3">
      <c r="B2779" t="s">
        <v>382</v>
      </c>
      <c r="C2779" t="s">
        <v>383</v>
      </c>
      <c r="D2779" t="s">
        <v>384</v>
      </c>
      <c r="E2779" t="s">
        <v>385</v>
      </c>
      <c r="F2779" t="s">
        <v>386</v>
      </c>
      <c r="G2779" s="31" t="s">
        <v>387</v>
      </c>
    </row>
    <row r="2780" spans="1:7" x14ac:dyDescent="0.3">
      <c r="A2780">
        <v>1</v>
      </c>
      <c r="B2780">
        <v>1</v>
      </c>
      <c r="C2780" t="s">
        <v>0</v>
      </c>
      <c r="D2780">
        <v>1.02</v>
      </c>
      <c r="E2780">
        <v>5211.9579999999996</v>
      </c>
      <c r="F2780" t="s">
        <v>388</v>
      </c>
      <c r="G2780" s="31">
        <v>21.72</v>
      </c>
    </row>
    <row r="2781" spans="1:7" x14ac:dyDescent="0.3">
      <c r="A2781">
        <v>2</v>
      </c>
      <c r="B2781">
        <v>2</v>
      </c>
      <c r="C2781" t="s">
        <v>1</v>
      </c>
      <c r="D2781">
        <v>1.46</v>
      </c>
      <c r="E2781">
        <v>4269.6109999999999</v>
      </c>
      <c r="F2781" t="s">
        <v>389</v>
      </c>
      <c r="G2781" s="31">
        <v>3.37</v>
      </c>
    </row>
    <row r="2782" spans="1:7" x14ac:dyDescent="0.3">
      <c r="A2782">
        <v>3</v>
      </c>
      <c r="B2782">
        <v>3</v>
      </c>
      <c r="C2782" t="s">
        <v>50</v>
      </c>
      <c r="D2782">
        <v>3.56</v>
      </c>
      <c r="E2782">
        <v>189.15</v>
      </c>
      <c r="F2782" t="s">
        <v>390</v>
      </c>
      <c r="G2782" s="31">
        <v>0.08</v>
      </c>
    </row>
    <row r="2783" spans="1:7" x14ac:dyDescent="0.3">
      <c r="A2783">
        <v>4</v>
      </c>
      <c r="B2783">
        <v>4</v>
      </c>
      <c r="C2783" t="s">
        <v>2</v>
      </c>
      <c r="D2783">
        <v>3.69</v>
      </c>
      <c r="E2783">
        <v>35618.684000000001</v>
      </c>
      <c r="F2783" t="s">
        <v>391</v>
      </c>
      <c r="G2783" s="31">
        <v>1.1299999999999999</v>
      </c>
    </row>
    <row r="2784" spans="1:7" x14ac:dyDescent="0.3">
      <c r="A2784">
        <v>5</v>
      </c>
      <c r="B2784">
        <v>5</v>
      </c>
      <c r="C2784" t="s">
        <v>3</v>
      </c>
      <c r="D2784">
        <v>4.49</v>
      </c>
      <c r="E2784">
        <v>82.433000000000007</v>
      </c>
      <c r="F2784" t="s">
        <v>392</v>
      </c>
      <c r="G2784" s="31">
        <v>0.1</v>
      </c>
    </row>
    <row r="2785" spans="1:7" x14ac:dyDescent="0.3">
      <c r="A2785">
        <v>6</v>
      </c>
      <c r="B2785">
        <v>6</v>
      </c>
      <c r="C2785" t="s">
        <v>4</v>
      </c>
      <c r="D2785">
        <v>4.8</v>
      </c>
      <c r="E2785">
        <v>70663.366999999998</v>
      </c>
      <c r="F2785" t="s">
        <v>393</v>
      </c>
      <c r="G2785" s="31">
        <v>1.62</v>
      </c>
    </row>
    <row r="2786" spans="1:7" x14ac:dyDescent="0.3">
      <c r="A2786">
        <v>7</v>
      </c>
      <c r="B2786">
        <v>7</v>
      </c>
      <c r="C2786" t="s">
        <v>5</v>
      </c>
      <c r="D2786">
        <v>2.71</v>
      </c>
      <c r="E2786">
        <v>555.05600000000004</v>
      </c>
      <c r="F2786" t="s">
        <v>394</v>
      </c>
      <c r="G2786" s="31">
        <v>0.05</v>
      </c>
    </row>
    <row r="2787" spans="1:7" x14ac:dyDescent="0.3">
      <c r="A2787">
        <v>8</v>
      </c>
      <c r="B2787">
        <v>8</v>
      </c>
      <c r="C2787" t="s">
        <v>6</v>
      </c>
      <c r="D2787">
        <v>0.66</v>
      </c>
      <c r="E2787">
        <v>2827.3820000000001</v>
      </c>
      <c r="F2787" t="s">
        <v>395</v>
      </c>
      <c r="G2787" s="31">
        <v>17.46</v>
      </c>
    </row>
    <row r="2788" spans="1:7" x14ac:dyDescent="0.3">
      <c r="A2788">
        <v>9</v>
      </c>
      <c r="B2788">
        <v>9</v>
      </c>
      <c r="C2788" t="s">
        <v>7</v>
      </c>
      <c r="D2788">
        <v>3.56</v>
      </c>
      <c r="E2788">
        <v>1840.675</v>
      </c>
      <c r="F2788" t="s">
        <v>396</v>
      </c>
      <c r="G2788" s="31">
        <v>2.46</v>
      </c>
    </row>
    <row r="2789" spans="1:7" x14ac:dyDescent="0.3">
      <c r="A2789">
        <v>10</v>
      </c>
      <c r="B2789">
        <v>10</v>
      </c>
      <c r="C2789" t="s">
        <v>51</v>
      </c>
      <c r="D2789">
        <v>4.5999999999999996</v>
      </c>
      <c r="E2789">
        <v>907.77099999999996</v>
      </c>
      <c r="F2789" t="s">
        <v>397</v>
      </c>
      <c r="G2789" s="31">
        <v>0.09</v>
      </c>
    </row>
    <row r="2790" spans="1:7" x14ac:dyDescent="0.3">
      <c r="A2790">
        <v>11</v>
      </c>
      <c r="B2790">
        <v>11</v>
      </c>
      <c r="C2790" t="s">
        <v>8</v>
      </c>
      <c r="D2790">
        <v>2.74</v>
      </c>
      <c r="E2790">
        <v>114354.977</v>
      </c>
      <c r="F2790" t="s">
        <v>398</v>
      </c>
      <c r="G2790" s="31">
        <v>2.97</v>
      </c>
    </row>
    <row r="2791" spans="1:7" x14ac:dyDescent="0.3">
      <c r="A2791">
        <v>12</v>
      </c>
      <c r="B2791">
        <v>12</v>
      </c>
      <c r="C2791" t="s">
        <v>9</v>
      </c>
      <c r="D2791">
        <v>2.64</v>
      </c>
      <c r="E2791">
        <v>5878.97</v>
      </c>
      <c r="F2791" t="s">
        <v>399</v>
      </c>
      <c r="G2791" s="31">
        <v>1.0900000000000001</v>
      </c>
    </row>
    <row r="2792" spans="1:7" x14ac:dyDescent="0.3">
      <c r="A2792">
        <v>13</v>
      </c>
      <c r="B2792">
        <v>13</v>
      </c>
      <c r="C2792" t="s">
        <v>10</v>
      </c>
      <c r="D2792">
        <v>4.09</v>
      </c>
      <c r="E2792">
        <v>772462.56299999997</v>
      </c>
      <c r="F2792" t="s">
        <v>400</v>
      </c>
      <c r="G2792" s="31">
        <v>31.65</v>
      </c>
    </row>
    <row r="2793" spans="1:7" x14ac:dyDescent="0.3">
      <c r="A2793">
        <v>14</v>
      </c>
      <c r="B2793">
        <v>14</v>
      </c>
      <c r="C2793" t="s">
        <v>11</v>
      </c>
      <c r="D2793">
        <v>3.52</v>
      </c>
      <c r="E2793">
        <v>27.047999999999998</v>
      </c>
      <c r="F2793" t="s">
        <v>401</v>
      </c>
      <c r="G2793" s="31">
        <v>1.2</v>
      </c>
    </row>
    <row r="2794" spans="1:7" x14ac:dyDescent="0.3">
      <c r="A2794">
        <v>15</v>
      </c>
      <c r="B2794">
        <v>15</v>
      </c>
      <c r="C2794" t="s">
        <v>12</v>
      </c>
      <c r="D2794">
        <v>3.33</v>
      </c>
      <c r="E2794">
        <v>1461.5640000000001</v>
      </c>
      <c r="F2794" t="s">
        <v>402</v>
      </c>
      <c r="G2794" s="31">
        <v>3.32</v>
      </c>
    </row>
    <row r="2795" spans="1:7" x14ac:dyDescent="0.3">
      <c r="A2795">
        <v>16</v>
      </c>
      <c r="B2795">
        <v>16</v>
      </c>
      <c r="C2795" t="s">
        <v>13</v>
      </c>
      <c r="D2795">
        <v>3.23</v>
      </c>
      <c r="E2795">
        <v>10761.181</v>
      </c>
      <c r="F2795" t="s">
        <v>403</v>
      </c>
      <c r="G2795" s="31">
        <v>1.03</v>
      </c>
    </row>
    <row r="2796" spans="1:7" x14ac:dyDescent="0.3">
      <c r="A2796">
        <v>17</v>
      </c>
      <c r="B2796">
        <v>17</v>
      </c>
      <c r="C2796" t="s">
        <v>14</v>
      </c>
      <c r="D2796">
        <v>2.0299999999999998</v>
      </c>
      <c r="E2796">
        <v>19979.326000000001</v>
      </c>
      <c r="F2796" t="s">
        <v>404</v>
      </c>
      <c r="G2796" s="31">
        <v>1.7</v>
      </c>
    </row>
    <row r="2797" spans="1:7" x14ac:dyDescent="0.3">
      <c r="A2797">
        <v>18</v>
      </c>
      <c r="B2797">
        <v>18</v>
      </c>
      <c r="C2797" t="s">
        <v>15</v>
      </c>
      <c r="D2797">
        <v>2.5099999999999998</v>
      </c>
      <c r="E2797">
        <v>45177.402000000002</v>
      </c>
      <c r="F2797" t="s">
        <v>405</v>
      </c>
      <c r="G2797" s="31">
        <v>10.84</v>
      </c>
    </row>
    <row r="2798" spans="1:7" x14ac:dyDescent="0.3">
      <c r="A2798">
        <v>19</v>
      </c>
      <c r="B2798">
        <v>19</v>
      </c>
      <c r="C2798" t="s">
        <v>16</v>
      </c>
      <c r="D2798">
        <v>2.71</v>
      </c>
      <c r="E2798">
        <v>4526.66</v>
      </c>
      <c r="F2798" t="s">
        <v>406</v>
      </c>
      <c r="G2798" s="31">
        <v>0.14000000000000001</v>
      </c>
    </row>
    <row r="2799" spans="1:7" x14ac:dyDescent="0.3">
      <c r="A2799">
        <v>20</v>
      </c>
      <c r="B2799">
        <v>20</v>
      </c>
      <c r="C2799" t="s">
        <v>17</v>
      </c>
      <c r="D2799">
        <v>3.13</v>
      </c>
      <c r="E2799">
        <v>11317.683000000001</v>
      </c>
      <c r="F2799" t="s">
        <v>407</v>
      </c>
      <c r="G2799" s="31">
        <v>1.1200000000000001</v>
      </c>
    </row>
    <row r="2800" spans="1:7" x14ac:dyDescent="0.3">
      <c r="A2800">
        <v>21</v>
      </c>
      <c r="B2800">
        <v>21</v>
      </c>
      <c r="C2800" t="s">
        <v>18</v>
      </c>
      <c r="D2800">
        <v>3.68</v>
      </c>
      <c r="E2800">
        <v>18674.081999999999</v>
      </c>
      <c r="F2800" t="s">
        <v>408</v>
      </c>
      <c r="G2800" s="31">
        <v>0.44</v>
      </c>
    </row>
    <row r="2801" spans="1:7" x14ac:dyDescent="0.3">
      <c r="A2801">
        <v>22</v>
      </c>
      <c r="B2801">
        <v>22</v>
      </c>
      <c r="C2801" t="s">
        <v>19</v>
      </c>
      <c r="D2801">
        <v>2.65</v>
      </c>
      <c r="E2801">
        <v>39116.012000000002</v>
      </c>
      <c r="F2801" t="s">
        <v>409</v>
      </c>
      <c r="G2801" s="31">
        <v>2.21</v>
      </c>
    </row>
    <row r="2802" spans="1:7" x14ac:dyDescent="0.3">
      <c r="A2802">
        <v>23</v>
      </c>
      <c r="B2802">
        <v>23</v>
      </c>
      <c r="C2802" t="s">
        <v>20</v>
      </c>
      <c r="D2802">
        <v>2.89</v>
      </c>
      <c r="E2802">
        <v>10200.348</v>
      </c>
      <c r="F2802" t="s">
        <v>410</v>
      </c>
      <c r="G2802" s="31">
        <v>0.36</v>
      </c>
    </row>
    <row r="2803" spans="1:7" x14ac:dyDescent="0.3">
      <c r="A2803">
        <v>24</v>
      </c>
      <c r="B2803">
        <v>24</v>
      </c>
      <c r="C2803" t="s">
        <v>21</v>
      </c>
      <c r="D2803">
        <v>4.13</v>
      </c>
      <c r="E2803">
        <v>267.70800000000003</v>
      </c>
      <c r="F2803" t="s">
        <v>411</v>
      </c>
      <c r="G2803" s="31">
        <v>0.1</v>
      </c>
    </row>
    <row r="2804" spans="1:7" x14ac:dyDescent="0.3">
      <c r="A2804">
        <v>25</v>
      </c>
      <c r="B2804">
        <v>25</v>
      </c>
      <c r="C2804" t="s">
        <v>22</v>
      </c>
      <c r="D2804">
        <v>3.42</v>
      </c>
      <c r="E2804">
        <v>258.78300000000002</v>
      </c>
      <c r="F2804" t="s">
        <v>412</v>
      </c>
      <c r="G2804" s="31">
        <v>2.13</v>
      </c>
    </row>
    <row r="2805" spans="1:7" x14ac:dyDescent="0.3">
      <c r="A2805">
        <v>26</v>
      </c>
      <c r="B2805">
        <v>26</v>
      </c>
      <c r="C2805" t="s">
        <v>23</v>
      </c>
      <c r="D2805">
        <v>3.35</v>
      </c>
      <c r="E2805">
        <v>40248.815999999999</v>
      </c>
      <c r="F2805" t="s">
        <v>413</v>
      </c>
      <c r="G2805" s="31">
        <v>2.0299999999999998</v>
      </c>
    </row>
    <row r="2806" spans="1:7" x14ac:dyDescent="0.3">
      <c r="A2806">
        <v>27</v>
      </c>
      <c r="B2806">
        <v>27</v>
      </c>
      <c r="C2806" t="s">
        <v>24</v>
      </c>
      <c r="D2806">
        <v>3.45</v>
      </c>
      <c r="E2806">
        <v>896.39099999999996</v>
      </c>
      <c r="F2806" t="s">
        <v>414</v>
      </c>
      <c r="G2806" s="31">
        <v>0.28000000000000003</v>
      </c>
    </row>
    <row r="2807" spans="1:7" x14ac:dyDescent="0.3">
      <c r="A2807">
        <v>28</v>
      </c>
      <c r="B2807">
        <v>28</v>
      </c>
      <c r="C2807" t="s">
        <v>25</v>
      </c>
      <c r="D2807">
        <v>3.52</v>
      </c>
      <c r="E2807">
        <v>9072.5589999999993</v>
      </c>
      <c r="F2807" t="s">
        <v>415</v>
      </c>
      <c r="G2807" s="31">
        <v>0.77</v>
      </c>
    </row>
    <row r="2808" spans="1:7" x14ac:dyDescent="0.3">
      <c r="A2808">
        <v>29</v>
      </c>
      <c r="B2808">
        <v>29</v>
      </c>
      <c r="C2808" t="s">
        <v>26</v>
      </c>
      <c r="D2808">
        <v>1.04</v>
      </c>
      <c r="E2808">
        <v>1153.921</v>
      </c>
      <c r="F2808" t="s">
        <v>416</v>
      </c>
      <c r="G2808" s="31">
        <v>0.72</v>
      </c>
    </row>
    <row r="2809" spans="1:7" x14ac:dyDescent="0.3">
      <c r="A2809">
        <v>30</v>
      </c>
      <c r="B2809">
        <v>30</v>
      </c>
      <c r="C2809" t="s">
        <v>27</v>
      </c>
      <c r="D2809">
        <v>4.26</v>
      </c>
      <c r="E2809">
        <v>1259.9449999999999</v>
      </c>
      <c r="F2809" t="s">
        <v>417</v>
      </c>
      <c r="G2809" s="31">
        <v>0.05</v>
      </c>
    </row>
    <row r="2810" spans="1:7" x14ac:dyDescent="0.3">
      <c r="A2810">
        <v>31</v>
      </c>
      <c r="B2810">
        <v>31</v>
      </c>
      <c r="C2810" t="s">
        <v>28</v>
      </c>
      <c r="D2810">
        <v>3</v>
      </c>
      <c r="E2810">
        <v>284349.125</v>
      </c>
      <c r="F2810" t="s">
        <v>418</v>
      </c>
      <c r="G2810" s="31">
        <v>0.9</v>
      </c>
    </row>
    <row r="2811" spans="1:7" x14ac:dyDescent="0.3">
      <c r="A2811">
        <v>32</v>
      </c>
      <c r="B2811">
        <v>32</v>
      </c>
      <c r="C2811" t="s">
        <v>29</v>
      </c>
      <c r="D2811">
        <v>3.35</v>
      </c>
      <c r="E2811">
        <v>1404.77</v>
      </c>
      <c r="F2811" t="s">
        <v>419</v>
      </c>
      <c r="G2811" s="31">
        <v>0.1</v>
      </c>
    </row>
    <row r="2812" spans="1:7" x14ac:dyDescent="0.3">
      <c r="A2812">
        <v>33</v>
      </c>
      <c r="B2812">
        <v>33</v>
      </c>
      <c r="C2812" t="s">
        <v>30</v>
      </c>
      <c r="D2812">
        <v>4.67</v>
      </c>
      <c r="E2812">
        <v>16546.928</v>
      </c>
      <c r="F2812" t="s">
        <v>420</v>
      </c>
      <c r="G2812" s="31">
        <v>0.37</v>
      </c>
    </row>
    <row r="2813" spans="1:7" x14ac:dyDescent="0.3">
      <c r="A2813">
        <v>34</v>
      </c>
      <c r="B2813">
        <v>34</v>
      </c>
      <c r="C2813" t="s">
        <v>31</v>
      </c>
      <c r="D2813">
        <v>3.25</v>
      </c>
      <c r="E2813">
        <v>5839.7690000000002</v>
      </c>
      <c r="F2813" t="s">
        <v>421</v>
      </c>
      <c r="G2813" s="31">
        <v>0.26</v>
      </c>
    </row>
    <row r="2814" spans="1:7" x14ac:dyDescent="0.3">
      <c r="A2814">
        <v>35</v>
      </c>
      <c r="B2814">
        <v>35</v>
      </c>
      <c r="C2814" t="s">
        <v>32</v>
      </c>
      <c r="D2814">
        <v>3.06</v>
      </c>
      <c r="E2814">
        <v>64.863</v>
      </c>
      <c r="F2814" t="s">
        <v>422</v>
      </c>
      <c r="G2814" s="31">
        <v>0.1</v>
      </c>
    </row>
    <row r="2815" spans="1:7" x14ac:dyDescent="0.3">
      <c r="A2815">
        <v>36</v>
      </c>
      <c r="B2815">
        <v>36</v>
      </c>
      <c r="C2815" t="s">
        <v>33</v>
      </c>
      <c r="D2815">
        <v>1.91</v>
      </c>
      <c r="E2815">
        <v>570.21199999999999</v>
      </c>
      <c r="F2815" t="s">
        <v>423</v>
      </c>
      <c r="G2815" s="31">
        <v>0.2</v>
      </c>
    </row>
    <row r="2816" spans="1:7" x14ac:dyDescent="0.3">
      <c r="G2816" s="31">
        <f>G2793/G2795</f>
        <v>1.1650485436893203</v>
      </c>
    </row>
    <row r="2817" spans="1:7" x14ac:dyDescent="0.3">
      <c r="A2817" t="s">
        <v>379</v>
      </c>
    </row>
    <row r="2819" spans="1:7" x14ac:dyDescent="0.3">
      <c r="A2819" t="s">
        <v>456</v>
      </c>
    </row>
    <row r="2821" spans="1:7" x14ac:dyDescent="0.3">
      <c r="A2821" t="s">
        <v>488</v>
      </c>
    </row>
    <row r="2823" spans="1:7" x14ac:dyDescent="0.3">
      <c r="B2823" t="s">
        <v>382</v>
      </c>
      <c r="C2823" t="s">
        <v>383</v>
      </c>
      <c r="D2823" t="s">
        <v>384</v>
      </c>
      <c r="E2823" t="s">
        <v>385</v>
      </c>
      <c r="F2823" t="s">
        <v>386</v>
      </c>
      <c r="G2823" s="31" t="s">
        <v>387</v>
      </c>
    </row>
    <row r="2824" spans="1:7" x14ac:dyDescent="0.3">
      <c r="A2824">
        <v>1</v>
      </c>
      <c r="B2824">
        <v>1</v>
      </c>
      <c r="C2824" t="s">
        <v>0</v>
      </c>
      <c r="D2824">
        <v>1.01</v>
      </c>
      <c r="E2824">
        <v>930.08500000000004</v>
      </c>
      <c r="F2824" t="s">
        <v>388</v>
      </c>
      <c r="G2824" s="31">
        <v>11.2</v>
      </c>
    </row>
    <row r="2825" spans="1:7" x14ac:dyDescent="0.3">
      <c r="A2825">
        <v>2</v>
      </c>
      <c r="B2825">
        <v>2</v>
      </c>
      <c r="C2825" t="s">
        <v>1</v>
      </c>
      <c r="D2825">
        <v>1.46</v>
      </c>
      <c r="E2825">
        <v>7742.01</v>
      </c>
      <c r="F2825" t="s">
        <v>389</v>
      </c>
      <c r="G2825" s="31">
        <v>17.850000000000001</v>
      </c>
    </row>
    <row r="2826" spans="1:7" x14ac:dyDescent="0.3">
      <c r="A2826">
        <v>3</v>
      </c>
      <c r="B2826">
        <v>3</v>
      </c>
      <c r="C2826" t="s">
        <v>50</v>
      </c>
      <c r="D2826">
        <v>3.55</v>
      </c>
      <c r="E2826">
        <v>114.41800000000001</v>
      </c>
      <c r="F2826" t="s">
        <v>390</v>
      </c>
      <c r="G2826" s="31">
        <v>0.16</v>
      </c>
    </row>
    <row r="2827" spans="1:7" x14ac:dyDescent="0.3">
      <c r="A2827">
        <v>4</v>
      </c>
      <c r="B2827">
        <v>4</v>
      </c>
      <c r="C2827" t="s">
        <v>2</v>
      </c>
      <c r="D2827">
        <v>3.69</v>
      </c>
      <c r="E2827">
        <v>45556.171999999999</v>
      </c>
      <c r="F2827" t="s">
        <v>391</v>
      </c>
      <c r="G2827" s="31">
        <v>4.3499999999999996</v>
      </c>
    </row>
    <row r="2828" spans="1:7" x14ac:dyDescent="0.3">
      <c r="A2828">
        <v>5</v>
      </c>
      <c r="B2828">
        <v>5</v>
      </c>
      <c r="C2828" t="s">
        <v>3</v>
      </c>
      <c r="D2828">
        <v>4.4800000000000004</v>
      </c>
      <c r="E2828">
        <v>143.57900000000001</v>
      </c>
      <c r="F2828" t="s">
        <v>392</v>
      </c>
      <c r="G2828" s="31">
        <v>0.1</v>
      </c>
    </row>
    <row r="2829" spans="1:7" x14ac:dyDescent="0.3">
      <c r="A2829">
        <v>6</v>
      </c>
      <c r="B2829">
        <v>6</v>
      </c>
      <c r="C2829" t="s">
        <v>4</v>
      </c>
      <c r="D2829">
        <v>4.8099999999999996</v>
      </c>
      <c r="E2829">
        <v>19674.482</v>
      </c>
      <c r="F2829" t="s">
        <v>393</v>
      </c>
      <c r="G2829" s="31">
        <v>1.72</v>
      </c>
    </row>
    <row r="2830" spans="1:7" x14ac:dyDescent="0.3">
      <c r="A2830">
        <v>7</v>
      </c>
      <c r="B2830">
        <v>7</v>
      </c>
      <c r="C2830" t="s">
        <v>5</v>
      </c>
      <c r="D2830">
        <v>2.71</v>
      </c>
      <c r="E2830">
        <v>351.18700000000001</v>
      </c>
      <c r="F2830" t="s">
        <v>394</v>
      </c>
      <c r="G2830" s="31">
        <v>0.1</v>
      </c>
    </row>
    <row r="2831" spans="1:7" x14ac:dyDescent="0.3">
      <c r="A2831">
        <v>8</v>
      </c>
      <c r="B2831">
        <v>8</v>
      </c>
      <c r="C2831" t="s">
        <v>6</v>
      </c>
      <c r="D2831">
        <v>0.67</v>
      </c>
      <c r="E2831">
        <v>1631.624</v>
      </c>
      <c r="F2831" t="s">
        <v>395</v>
      </c>
      <c r="G2831" s="31">
        <v>31.84</v>
      </c>
    </row>
    <row r="2832" spans="1:7" x14ac:dyDescent="0.3">
      <c r="A2832">
        <v>9</v>
      </c>
      <c r="B2832">
        <v>9</v>
      </c>
      <c r="C2832" t="s">
        <v>7</v>
      </c>
      <c r="D2832">
        <v>3.56</v>
      </c>
      <c r="E2832">
        <v>418.34699999999998</v>
      </c>
      <c r="F2832" t="s">
        <v>396</v>
      </c>
      <c r="G2832" s="31">
        <v>1.85</v>
      </c>
    </row>
    <row r="2833" spans="1:7" x14ac:dyDescent="0.3">
      <c r="A2833">
        <v>10</v>
      </c>
      <c r="B2833">
        <v>10</v>
      </c>
      <c r="C2833" t="s">
        <v>51</v>
      </c>
      <c r="D2833">
        <v>4.67</v>
      </c>
      <c r="E2833">
        <v>1078.596</v>
      </c>
      <c r="F2833" t="s">
        <v>397</v>
      </c>
      <c r="G2833" s="31">
        <v>0.34</v>
      </c>
    </row>
    <row r="2834" spans="1:7" x14ac:dyDescent="0.3">
      <c r="A2834">
        <v>11</v>
      </c>
      <c r="B2834">
        <v>11</v>
      </c>
      <c r="C2834" t="s">
        <v>8</v>
      </c>
      <c r="D2834">
        <v>2.74</v>
      </c>
      <c r="E2834">
        <v>7994.0159999999996</v>
      </c>
      <c r="F2834" t="s">
        <v>398</v>
      </c>
      <c r="G2834" s="31">
        <v>0.95</v>
      </c>
    </row>
    <row r="2835" spans="1:7" x14ac:dyDescent="0.3">
      <c r="A2835">
        <v>12</v>
      </c>
      <c r="B2835">
        <v>12</v>
      </c>
      <c r="C2835" t="s">
        <v>9</v>
      </c>
      <c r="D2835">
        <v>2.62</v>
      </c>
      <c r="E2835">
        <v>737.37800000000004</v>
      </c>
      <c r="F2835" t="s">
        <v>399</v>
      </c>
      <c r="G2835" s="31">
        <v>0.9</v>
      </c>
    </row>
    <row r="2836" spans="1:7" x14ac:dyDescent="0.3">
      <c r="A2836">
        <v>13</v>
      </c>
      <c r="B2836">
        <v>13</v>
      </c>
      <c r="C2836" t="s">
        <v>10</v>
      </c>
      <c r="D2836">
        <v>4.09</v>
      </c>
      <c r="E2836">
        <v>613808.25</v>
      </c>
      <c r="F2836" t="s">
        <v>400</v>
      </c>
      <c r="G2836" s="31">
        <v>72.42</v>
      </c>
    </row>
    <row r="2837" spans="1:7" x14ac:dyDescent="0.3">
      <c r="A2837">
        <v>14</v>
      </c>
      <c r="B2837">
        <v>14</v>
      </c>
      <c r="C2837" t="s">
        <v>11</v>
      </c>
      <c r="F2837" t="s">
        <v>401</v>
      </c>
      <c r="G2837" s="31">
        <v>0.1</v>
      </c>
    </row>
    <row r="2838" spans="1:7" x14ac:dyDescent="0.3">
      <c r="A2838">
        <v>15</v>
      </c>
      <c r="B2838">
        <v>15</v>
      </c>
      <c r="C2838" t="s">
        <v>12</v>
      </c>
      <c r="D2838">
        <v>3.26</v>
      </c>
      <c r="E2838">
        <v>80.542000000000002</v>
      </c>
      <c r="F2838" t="s">
        <v>402</v>
      </c>
      <c r="G2838" s="31">
        <v>0.59</v>
      </c>
    </row>
    <row r="2839" spans="1:7" x14ac:dyDescent="0.3">
      <c r="A2839">
        <v>16</v>
      </c>
      <c r="B2839">
        <v>16</v>
      </c>
      <c r="C2839" t="s">
        <v>13</v>
      </c>
      <c r="D2839">
        <v>3.23</v>
      </c>
      <c r="E2839">
        <v>1022.645</v>
      </c>
      <c r="F2839" t="s">
        <v>403</v>
      </c>
      <c r="G2839" s="31">
        <v>0.68</v>
      </c>
    </row>
    <row r="2840" spans="1:7" x14ac:dyDescent="0.3">
      <c r="A2840">
        <v>17</v>
      </c>
      <c r="B2840">
        <v>17</v>
      </c>
      <c r="C2840" t="s">
        <v>14</v>
      </c>
      <c r="D2840">
        <v>2.02</v>
      </c>
      <c r="E2840">
        <v>28046.83</v>
      </c>
      <c r="F2840" t="s">
        <v>404</v>
      </c>
      <c r="G2840" s="31">
        <v>7</v>
      </c>
    </row>
    <row r="2841" spans="1:7" x14ac:dyDescent="0.3">
      <c r="A2841">
        <v>18</v>
      </c>
      <c r="B2841">
        <v>18</v>
      </c>
      <c r="C2841" t="s">
        <v>15</v>
      </c>
      <c r="D2841">
        <v>2.5</v>
      </c>
      <c r="E2841">
        <v>12209.133</v>
      </c>
      <c r="F2841" t="s">
        <v>405</v>
      </c>
      <c r="G2841" s="31">
        <v>10.47</v>
      </c>
    </row>
    <row r="2842" spans="1:7" x14ac:dyDescent="0.3">
      <c r="A2842">
        <v>19</v>
      </c>
      <c r="B2842">
        <v>19</v>
      </c>
      <c r="C2842" t="s">
        <v>16</v>
      </c>
      <c r="D2842">
        <v>2.71</v>
      </c>
      <c r="E2842">
        <v>2400.596</v>
      </c>
      <c r="F2842" t="s">
        <v>406</v>
      </c>
      <c r="G2842" s="31">
        <v>0.26</v>
      </c>
    </row>
    <row r="2843" spans="1:7" x14ac:dyDescent="0.3">
      <c r="A2843">
        <v>20</v>
      </c>
      <c r="B2843">
        <v>20</v>
      </c>
      <c r="C2843" t="s">
        <v>17</v>
      </c>
      <c r="D2843">
        <v>3.05</v>
      </c>
      <c r="E2843">
        <v>7049.4</v>
      </c>
      <c r="F2843" t="s">
        <v>407</v>
      </c>
      <c r="G2843" s="31">
        <v>2.08</v>
      </c>
    </row>
    <row r="2844" spans="1:7" x14ac:dyDescent="0.3">
      <c r="A2844">
        <v>21</v>
      </c>
      <c r="B2844">
        <v>21</v>
      </c>
      <c r="C2844" t="s">
        <v>18</v>
      </c>
      <c r="D2844">
        <v>3.68</v>
      </c>
      <c r="E2844">
        <v>20017.669999999998</v>
      </c>
      <c r="F2844" t="s">
        <v>408</v>
      </c>
      <c r="G2844" s="31">
        <v>1.43</v>
      </c>
    </row>
    <row r="2845" spans="1:7" x14ac:dyDescent="0.3">
      <c r="A2845">
        <v>22</v>
      </c>
      <c r="B2845">
        <v>22</v>
      </c>
      <c r="C2845" t="s">
        <v>19</v>
      </c>
      <c r="D2845">
        <v>2.63</v>
      </c>
      <c r="E2845">
        <v>5979.692</v>
      </c>
      <c r="F2845" t="s">
        <v>409</v>
      </c>
      <c r="G2845" s="31">
        <v>2.06</v>
      </c>
    </row>
    <row r="2846" spans="1:7" x14ac:dyDescent="0.3">
      <c r="A2846">
        <v>23</v>
      </c>
      <c r="B2846">
        <v>23</v>
      </c>
      <c r="C2846" t="s">
        <v>20</v>
      </c>
      <c r="D2846">
        <v>2.89</v>
      </c>
      <c r="E2846">
        <v>2288.5680000000002</v>
      </c>
      <c r="F2846" t="s">
        <v>410</v>
      </c>
      <c r="G2846" s="31">
        <v>0.38</v>
      </c>
    </row>
    <row r="2847" spans="1:7" x14ac:dyDescent="0.3">
      <c r="A2847">
        <v>24</v>
      </c>
      <c r="B2847">
        <v>24</v>
      </c>
      <c r="C2847" t="s">
        <v>21</v>
      </c>
      <c r="D2847">
        <v>4.13</v>
      </c>
      <c r="E2847">
        <v>514.94000000000005</v>
      </c>
      <c r="F2847" t="s">
        <v>411</v>
      </c>
      <c r="G2847" s="31">
        <v>0.14000000000000001</v>
      </c>
    </row>
    <row r="2848" spans="1:7" x14ac:dyDescent="0.3">
      <c r="A2848">
        <v>25</v>
      </c>
      <c r="B2848">
        <v>25</v>
      </c>
      <c r="C2848" t="s">
        <v>22</v>
      </c>
      <c r="D2848">
        <v>3.43</v>
      </c>
      <c r="E2848">
        <v>144.054</v>
      </c>
      <c r="F2848" t="s">
        <v>412</v>
      </c>
      <c r="G2848" s="31">
        <v>5.5</v>
      </c>
    </row>
    <row r="2849" spans="1:7" x14ac:dyDescent="0.3">
      <c r="A2849">
        <v>26</v>
      </c>
      <c r="B2849">
        <v>26</v>
      </c>
      <c r="C2849" t="s">
        <v>23</v>
      </c>
      <c r="D2849">
        <v>3.35</v>
      </c>
      <c r="E2849">
        <v>14883.347</v>
      </c>
      <c r="F2849" t="s">
        <v>413</v>
      </c>
      <c r="G2849" s="31">
        <v>2.5499999999999998</v>
      </c>
    </row>
    <row r="2850" spans="1:7" x14ac:dyDescent="0.3">
      <c r="A2850">
        <v>27</v>
      </c>
      <c r="B2850">
        <v>27</v>
      </c>
      <c r="C2850" t="s">
        <v>24</v>
      </c>
      <c r="D2850">
        <v>3.44</v>
      </c>
      <c r="E2850">
        <v>2937.308</v>
      </c>
      <c r="F2850" t="s">
        <v>414</v>
      </c>
      <c r="G2850" s="31">
        <v>3.47</v>
      </c>
    </row>
    <row r="2851" spans="1:7" x14ac:dyDescent="0.3">
      <c r="A2851">
        <v>28</v>
      </c>
      <c r="B2851">
        <v>28</v>
      </c>
      <c r="C2851" t="s">
        <v>25</v>
      </c>
      <c r="D2851">
        <v>3.52</v>
      </c>
      <c r="E2851">
        <v>11545.878000000001</v>
      </c>
      <c r="F2851" t="s">
        <v>415</v>
      </c>
      <c r="G2851" s="31">
        <v>2.87</v>
      </c>
    </row>
    <row r="2852" spans="1:7" x14ac:dyDescent="0.3">
      <c r="A2852">
        <v>29</v>
      </c>
      <c r="B2852">
        <v>29</v>
      </c>
      <c r="C2852" t="s">
        <v>26</v>
      </c>
      <c r="D2852">
        <v>1.05</v>
      </c>
      <c r="E2852">
        <v>358.31099999999998</v>
      </c>
      <c r="F2852" t="s">
        <v>416</v>
      </c>
      <c r="G2852" s="31">
        <v>1.1200000000000001</v>
      </c>
    </row>
    <row r="2853" spans="1:7" x14ac:dyDescent="0.3">
      <c r="A2853">
        <v>30</v>
      </c>
      <c r="B2853">
        <v>30</v>
      </c>
      <c r="C2853" t="s">
        <v>27</v>
      </c>
      <c r="D2853">
        <v>4.33</v>
      </c>
      <c r="E2853">
        <v>1679.451</v>
      </c>
      <c r="F2853" t="s">
        <v>417</v>
      </c>
      <c r="G2853" s="31">
        <v>0.21</v>
      </c>
    </row>
    <row r="2854" spans="1:7" x14ac:dyDescent="0.3">
      <c r="A2854">
        <v>31</v>
      </c>
      <c r="B2854">
        <v>31</v>
      </c>
      <c r="C2854" t="s">
        <v>28</v>
      </c>
      <c r="D2854">
        <v>3</v>
      </c>
      <c r="E2854">
        <v>19112.857</v>
      </c>
      <c r="F2854" t="s">
        <v>418</v>
      </c>
      <c r="G2854" s="31">
        <v>0.1</v>
      </c>
    </row>
    <row r="2855" spans="1:7" x14ac:dyDescent="0.3">
      <c r="A2855">
        <v>32</v>
      </c>
      <c r="B2855">
        <v>32</v>
      </c>
      <c r="C2855" t="s">
        <v>29</v>
      </c>
      <c r="D2855">
        <v>3.35</v>
      </c>
      <c r="E2855">
        <v>89.866</v>
      </c>
      <c r="F2855" t="s">
        <v>419</v>
      </c>
      <c r="G2855" s="31">
        <v>0.09</v>
      </c>
    </row>
    <row r="2856" spans="1:7" x14ac:dyDescent="0.3">
      <c r="A2856">
        <v>33</v>
      </c>
      <c r="B2856">
        <v>33</v>
      </c>
      <c r="C2856" t="s">
        <v>30</v>
      </c>
      <c r="D2856">
        <v>4.67</v>
      </c>
      <c r="E2856">
        <v>13617.852999999999</v>
      </c>
      <c r="F2856" t="s">
        <v>420</v>
      </c>
      <c r="G2856" s="31">
        <v>1.04</v>
      </c>
    </row>
    <row r="2857" spans="1:7" x14ac:dyDescent="0.3">
      <c r="A2857">
        <v>34</v>
      </c>
      <c r="B2857">
        <v>34</v>
      </c>
      <c r="C2857" t="s">
        <v>31</v>
      </c>
      <c r="D2857">
        <v>3.5</v>
      </c>
      <c r="E2857">
        <v>656.75</v>
      </c>
      <c r="F2857" t="s">
        <v>421</v>
      </c>
      <c r="G2857" s="31">
        <v>0.11</v>
      </c>
    </row>
    <row r="2858" spans="1:7" x14ac:dyDescent="0.3">
      <c r="A2858">
        <v>35</v>
      </c>
      <c r="B2858">
        <v>35</v>
      </c>
      <c r="C2858" t="s">
        <v>32</v>
      </c>
      <c r="D2858">
        <v>3.07</v>
      </c>
      <c r="E2858">
        <v>48.691000000000003</v>
      </c>
      <c r="F2858" t="s">
        <v>422</v>
      </c>
      <c r="G2858" s="31">
        <v>0.1</v>
      </c>
    </row>
    <row r="2859" spans="1:7" x14ac:dyDescent="0.3">
      <c r="A2859">
        <v>36</v>
      </c>
      <c r="B2859">
        <v>36</v>
      </c>
      <c r="C2859" t="s">
        <v>33</v>
      </c>
      <c r="D2859">
        <v>1.9</v>
      </c>
      <c r="E2859">
        <v>633.17499999999995</v>
      </c>
      <c r="F2859" t="s">
        <v>423</v>
      </c>
      <c r="G2859" s="31">
        <v>0.68</v>
      </c>
    </row>
    <row r="2860" spans="1:7" x14ac:dyDescent="0.3">
      <c r="G2860" s="31">
        <f>G2837/G2839</f>
        <v>0.14705882352941177</v>
      </c>
    </row>
    <row r="2861" spans="1:7" x14ac:dyDescent="0.3">
      <c r="A2861" t="s">
        <v>379</v>
      </c>
    </row>
    <row r="2863" spans="1:7" x14ac:dyDescent="0.3">
      <c r="A2863" t="s">
        <v>456</v>
      </c>
    </row>
    <row r="2865" spans="1:7" x14ac:dyDescent="0.3">
      <c r="A2865" t="s">
        <v>489</v>
      </c>
    </row>
    <row r="2867" spans="1:7" x14ac:dyDescent="0.3">
      <c r="B2867" t="s">
        <v>382</v>
      </c>
      <c r="C2867" t="s">
        <v>383</v>
      </c>
      <c r="D2867" t="s">
        <v>384</v>
      </c>
      <c r="E2867" t="s">
        <v>385</v>
      </c>
      <c r="F2867" t="s">
        <v>386</v>
      </c>
      <c r="G2867" s="31" t="s">
        <v>387</v>
      </c>
    </row>
    <row r="2868" spans="1:7" x14ac:dyDescent="0.3">
      <c r="A2868">
        <v>1</v>
      </c>
      <c r="B2868">
        <v>1</v>
      </c>
      <c r="C2868" t="s">
        <v>0</v>
      </c>
      <c r="D2868">
        <v>1.02</v>
      </c>
      <c r="E2868">
        <v>10077.723</v>
      </c>
      <c r="F2868" t="s">
        <v>388</v>
      </c>
      <c r="G2868" s="31">
        <v>48.53</v>
      </c>
    </row>
    <row r="2869" spans="1:7" x14ac:dyDescent="0.3">
      <c r="A2869">
        <v>2</v>
      </c>
      <c r="B2869">
        <v>2</v>
      </c>
      <c r="C2869" t="s">
        <v>1</v>
      </c>
      <c r="D2869">
        <v>1.45</v>
      </c>
      <c r="E2869">
        <v>12813.59</v>
      </c>
      <c r="F2869" t="s">
        <v>389</v>
      </c>
      <c r="G2869" s="31">
        <v>10.93</v>
      </c>
    </row>
    <row r="2870" spans="1:7" x14ac:dyDescent="0.3">
      <c r="A2870">
        <v>3</v>
      </c>
      <c r="B2870">
        <v>3</v>
      </c>
      <c r="C2870" t="s">
        <v>50</v>
      </c>
      <c r="D2870">
        <v>3.57</v>
      </c>
      <c r="E2870">
        <v>493.01400000000001</v>
      </c>
      <c r="F2870" t="s">
        <v>390</v>
      </c>
      <c r="G2870" s="31">
        <v>0.2</v>
      </c>
    </row>
    <row r="2871" spans="1:7" x14ac:dyDescent="0.3">
      <c r="A2871">
        <v>4</v>
      </c>
      <c r="B2871">
        <v>4</v>
      </c>
      <c r="C2871" t="s">
        <v>2</v>
      </c>
      <c r="D2871">
        <v>3.69</v>
      </c>
      <c r="E2871">
        <v>50773.207000000002</v>
      </c>
      <c r="F2871" t="s">
        <v>391</v>
      </c>
      <c r="G2871" s="31">
        <v>1.82</v>
      </c>
    </row>
    <row r="2872" spans="1:7" x14ac:dyDescent="0.3">
      <c r="A2872">
        <v>5</v>
      </c>
      <c r="B2872">
        <v>5</v>
      </c>
      <c r="C2872" t="s">
        <v>3</v>
      </c>
      <c r="D2872">
        <v>4.4800000000000004</v>
      </c>
      <c r="E2872">
        <v>1404.413</v>
      </c>
      <c r="F2872" t="s">
        <v>392</v>
      </c>
      <c r="G2872" s="31">
        <v>1.68</v>
      </c>
    </row>
    <row r="2873" spans="1:7" x14ac:dyDescent="0.3">
      <c r="A2873">
        <v>6</v>
      </c>
      <c r="B2873">
        <v>6</v>
      </c>
      <c r="C2873" t="s">
        <v>4</v>
      </c>
      <c r="D2873">
        <v>4.8</v>
      </c>
      <c r="E2873">
        <v>115780.883</v>
      </c>
      <c r="F2873" t="s">
        <v>393</v>
      </c>
      <c r="G2873" s="31">
        <v>2.94</v>
      </c>
    </row>
    <row r="2874" spans="1:7" x14ac:dyDescent="0.3">
      <c r="A2874">
        <v>7</v>
      </c>
      <c r="B2874">
        <v>7</v>
      </c>
      <c r="C2874" t="s">
        <v>5</v>
      </c>
      <c r="D2874">
        <v>2.71</v>
      </c>
      <c r="E2874">
        <v>884.85900000000004</v>
      </c>
      <c r="F2874" t="s">
        <v>394</v>
      </c>
      <c r="G2874" s="31">
        <v>0.09</v>
      </c>
    </row>
    <row r="2875" spans="1:7" x14ac:dyDescent="0.3">
      <c r="A2875">
        <v>8</v>
      </c>
      <c r="B2875">
        <v>8</v>
      </c>
      <c r="C2875" t="s">
        <v>6</v>
      </c>
      <c r="D2875">
        <v>0.67</v>
      </c>
      <c r="E2875">
        <v>4163.9539999999997</v>
      </c>
      <c r="F2875" t="s">
        <v>395</v>
      </c>
      <c r="G2875" s="31">
        <v>29.05</v>
      </c>
    </row>
    <row r="2876" spans="1:7" x14ac:dyDescent="0.3">
      <c r="A2876">
        <v>9</v>
      </c>
      <c r="B2876">
        <v>9</v>
      </c>
      <c r="C2876" t="s">
        <v>7</v>
      </c>
      <c r="D2876">
        <v>3.56</v>
      </c>
      <c r="E2876">
        <v>597.75199999999995</v>
      </c>
      <c r="F2876" t="s">
        <v>396</v>
      </c>
      <c r="G2876" s="31">
        <v>0.97</v>
      </c>
    </row>
    <row r="2877" spans="1:7" x14ac:dyDescent="0.3">
      <c r="A2877">
        <v>10</v>
      </c>
      <c r="B2877">
        <v>10</v>
      </c>
      <c r="C2877" t="s">
        <v>51</v>
      </c>
      <c r="D2877">
        <v>4.6100000000000003</v>
      </c>
      <c r="E2877">
        <v>1332.5260000000001</v>
      </c>
      <c r="F2877" t="s">
        <v>397</v>
      </c>
      <c r="G2877" s="31">
        <v>0.16</v>
      </c>
    </row>
    <row r="2878" spans="1:7" x14ac:dyDescent="0.3">
      <c r="A2878">
        <v>11</v>
      </c>
      <c r="B2878">
        <v>11</v>
      </c>
      <c r="C2878" t="s">
        <v>8</v>
      </c>
      <c r="D2878">
        <v>2.74</v>
      </c>
      <c r="E2878">
        <v>79591.633000000002</v>
      </c>
      <c r="F2878" t="s">
        <v>398</v>
      </c>
      <c r="G2878" s="31">
        <v>2.41</v>
      </c>
    </row>
    <row r="2879" spans="1:7" x14ac:dyDescent="0.3">
      <c r="A2879">
        <v>12</v>
      </c>
      <c r="B2879">
        <v>12</v>
      </c>
      <c r="C2879" t="s">
        <v>9</v>
      </c>
      <c r="D2879">
        <v>2.63</v>
      </c>
      <c r="E2879">
        <v>9450.6190000000006</v>
      </c>
      <c r="F2879" t="s">
        <v>399</v>
      </c>
      <c r="G2879" s="31">
        <v>1.88</v>
      </c>
    </row>
    <row r="2880" spans="1:7" x14ac:dyDescent="0.3">
      <c r="A2880">
        <v>13</v>
      </c>
      <c r="B2880">
        <v>13</v>
      </c>
      <c r="C2880" t="s">
        <v>10</v>
      </c>
      <c r="D2880">
        <v>4.09</v>
      </c>
      <c r="E2880">
        <v>1057998.375</v>
      </c>
      <c r="F2880" t="s">
        <v>400</v>
      </c>
      <c r="G2880" s="31">
        <v>52.6</v>
      </c>
    </row>
    <row r="2881" spans="1:7" x14ac:dyDescent="0.3">
      <c r="A2881">
        <v>14</v>
      </c>
      <c r="B2881">
        <v>14</v>
      </c>
      <c r="C2881" t="s">
        <v>11</v>
      </c>
      <c r="D2881">
        <v>3.51</v>
      </c>
      <c r="E2881">
        <v>54.908000000000001</v>
      </c>
      <c r="F2881" t="s">
        <v>401</v>
      </c>
      <c r="G2881" s="31">
        <v>2.13</v>
      </c>
    </row>
    <row r="2882" spans="1:7" x14ac:dyDescent="0.3">
      <c r="A2882">
        <v>15</v>
      </c>
      <c r="B2882">
        <v>15</v>
      </c>
      <c r="C2882" t="s">
        <v>12</v>
      </c>
      <c r="D2882">
        <v>3.33</v>
      </c>
      <c r="E2882">
        <v>467.33699999999999</v>
      </c>
      <c r="F2882" t="s">
        <v>402</v>
      </c>
      <c r="G2882" s="31">
        <v>1.23</v>
      </c>
    </row>
    <row r="2883" spans="1:7" x14ac:dyDescent="0.3">
      <c r="A2883">
        <v>16</v>
      </c>
      <c r="B2883">
        <v>16</v>
      </c>
      <c r="C2883" t="s">
        <v>13</v>
      </c>
      <c r="D2883">
        <v>3.23</v>
      </c>
      <c r="E2883">
        <v>12043.583000000001</v>
      </c>
      <c r="F2883" t="s">
        <v>403</v>
      </c>
      <c r="G2883" s="31">
        <v>1.3</v>
      </c>
    </row>
    <row r="2884" spans="1:7" x14ac:dyDescent="0.3">
      <c r="A2884">
        <v>17</v>
      </c>
      <c r="B2884">
        <v>17</v>
      </c>
      <c r="C2884" t="s">
        <v>14</v>
      </c>
      <c r="D2884">
        <v>2.02</v>
      </c>
      <c r="E2884">
        <v>22401.322</v>
      </c>
      <c r="F2884" t="s">
        <v>404</v>
      </c>
      <c r="G2884" s="31">
        <v>2.16</v>
      </c>
    </row>
    <row r="2885" spans="1:7" x14ac:dyDescent="0.3">
      <c r="A2885">
        <v>18</v>
      </c>
      <c r="B2885">
        <v>18</v>
      </c>
      <c r="C2885" t="s">
        <v>15</v>
      </c>
      <c r="D2885">
        <v>2.5099999999999998</v>
      </c>
      <c r="E2885">
        <v>55703.792999999998</v>
      </c>
      <c r="F2885" t="s">
        <v>405</v>
      </c>
      <c r="G2885" s="31">
        <v>15.18</v>
      </c>
    </row>
    <row r="2886" spans="1:7" x14ac:dyDescent="0.3">
      <c r="A2886">
        <v>19</v>
      </c>
      <c r="B2886">
        <v>19</v>
      </c>
      <c r="C2886" t="s">
        <v>16</v>
      </c>
      <c r="D2886">
        <v>2.71</v>
      </c>
      <c r="E2886">
        <v>2858.8620000000001</v>
      </c>
      <c r="F2886" t="s">
        <v>406</v>
      </c>
      <c r="G2886" s="31">
        <v>0.11</v>
      </c>
    </row>
    <row r="2887" spans="1:7" x14ac:dyDescent="0.3">
      <c r="A2887">
        <v>20</v>
      </c>
      <c r="B2887">
        <v>20</v>
      </c>
      <c r="C2887" t="s">
        <v>17</v>
      </c>
      <c r="D2887">
        <v>3.13</v>
      </c>
      <c r="E2887">
        <v>22809.684000000001</v>
      </c>
      <c r="F2887" t="s">
        <v>407</v>
      </c>
      <c r="G2887" s="31">
        <v>2.63</v>
      </c>
    </row>
    <row r="2888" spans="1:7" x14ac:dyDescent="0.3">
      <c r="A2888">
        <v>21</v>
      </c>
      <c r="B2888">
        <v>21</v>
      </c>
      <c r="C2888" t="s">
        <v>18</v>
      </c>
      <c r="D2888">
        <v>3.68</v>
      </c>
      <c r="E2888">
        <v>13291.044</v>
      </c>
      <c r="F2888" t="s">
        <v>408</v>
      </c>
      <c r="G2888" s="31">
        <v>0.36</v>
      </c>
    </row>
    <row r="2889" spans="1:7" x14ac:dyDescent="0.3">
      <c r="A2889">
        <v>22</v>
      </c>
      <c r="B2889">
        <v>22</v>
      </c>
      <c r="C2889" t="s">
        <v>19</v>
      </c>
      <c r="D2889">
        <v>2.64</v>
      </c>
      <c r="E2889">
        <v>57452.241999999998</v>
      </c>
      <c r="F2889" t="s">
        <v>409</v>
      </c>
      <c r="G2889" s="31">
        <v>3.52</v>
      </c>
    </row>
    <row r="2890" spans="1:7" x14ac:dyDescent="0.3">
      <c r="A2890">
        <v>23</v>
      </c>
      <c r="B2890">
        <v>23</v>
      </c>
      <c r="C2890" t="s">
        <v>20</v>
      </c>
      <c r="D2890">
        <v>2.89</v>
      </c>
      <c r="E2890">
        <v>33469.862999999998</v>
      </c>
      <c r="F2890" t="s">
        <v>410</v>
      </c>
      <c r="G2890" s="31">
        <v>1.21</v>
      </c>
    </row>
    <row r="2891" spans="1:7" x14ac:dyDescent="0.3">
      <c r="A2891">
        <v>24</v>
      </c>
      <c r="B2891">
        <v>24</v>
      </c>
      <c r="C2891" t="s">
        <v>21</v>
      </c>
      <c r="D2891">
        <v>4.1500000000000004</v>
      </c>
      <c r="E2891">
        <v>205.321</v>
      </c>
      <c r="F2891" t="s">
        <v>411</v>
      </c>
      <c r="G2891" s="31">
        <v>0.1</v>
      </c>
    </row>
    <row r="2892" spans="1:7" x14ac:dyDescent="0.3">
      <c r="A2892">
        <v>25</v>
      </c>
      <c r="B2892">
        <v>25</v>
      </c>
      <c r="C2892" t="s">
        <v>22</v>
      </c>
      <c r="D2892">
        <v>3.41</v>
      </c>
      <c r="E2892">
        <v>312.09899999999999</v>
      </c>
      <c r="F2892" t="s">
        <v>412</v>
      </c>
      <c r="G2892" s="31">
        <v>2.63</v>
      </c>
    </row>
    <row r="2893" spans="1:7" x14ac:dyDescent="0.3">
      <c r="A2893">
        <v>26</v>
      </c>
      <c r="B2893">
        <v>26</v>
      </c>
      <c r="C2893" t="s">
        <v>23</v>
      </c>
      <c r="D2893">
        <v>3.35</v>
      </c>
      <c r="E2893">
        <v>30753.504000000001</v>
      </c>
      <c r="F2893" t="s">
        <v>413</v>
      </c>
      <c r="G2893" s="31">
        <v>1.82</v>
      </c>
    </row>
    <row r="2894" spans="1:7" x14ac:dyDescent="0.3">
      <c r="A2894">
        <v>27</v>
      </c>
      <c r="B2894">
        <v>27</v>
      </c>
      <c r="C2894" t="s">
        <v>24</v>
      </c>
      <c r="D2894">
        <v>3.43</v>
      </c>
      <c r="E2894">
        <v>341.36500000000001</v>
      </c>
      <c r="F2894" t="s">
        <v>414</v>
      </c>
      <c r="G2894" s="31">
        <v>0.06</v>
      </c>
    </row>
    <row r="2895" spans="1:7" x14ac:dyDescent="0.3">
      <c r="A2895">
        <v>28</v>
      </c>
      <c r="B2895">
        <v>28</v>
      </c>
      <c r="C2895" t="s">
        <v>25</v>
      </c>
      <c r="D2895">
        <v>3.52</v>
      </c>
      <c r="E2895">
        <v>3652.0360000000001</v>
      </c>
      <c r="F2895" t="s">
        <v>415</v>
      </c>
      <c r="G2895" s="31">
        <v>0.44</v>
      </c>
    </row>
    <row r="2896" spans="1:7" x14ac:dyDescent="0.3">
      <c r="A2896">
        <v>29</v>
      </c>
      <c r="B2896">
        <v>29</v>
      </c>
      <c r="C2896" t="s">
        <v>26</v>
      </c>
      <c r="D2896">
        <v>1.03</v>
      </c>
      <c r="E2896">
        <v>1659.61</v>
      </c>
      <c r="F2896" t="s">
        <v>416</v>
      </c>
      <c r="G2896" s="31">
        <v>1.08</v>
      </c>
    </row>
    <row r="2897" spans="1:7" x14ac:dyDescent="0.3">
      <c r="A2897">
        <v>30</v>
      </c>
      <c r="B2897">
        <v>30</v>
      </c>
      <c r="C2897" t="s">
        <v>27</v>
      </c>
      <c r="D2897">
        <v>4.26</v>
      </c>
      <c r="E2897">
        <v>3813.4290000000001</v>
      </c>
      <c r="F2897" t="s">
        <v>417</v>
      </c>
      <c r="G2897" s="31">
        <v>0.17</v>
      </c>
    </row>
    <row r="2898" spans="1:7" x14ac:dyDescent="0.3">
      <c r="A2898">
        <v>31</v>
      </c>
      <c r="B2898">
        <v>31</v>
      </c>
      <c r="C2898" t="s">
        <v>28</v>
      </c>
      <c r="D2898">
        <v>3</v>
      </c>
      <c r="E2898">
        <v>71253.202999999994</v>
      </c>
      <c r="F2898" t="s">
        <v>418</v>
      </c>
      <c r="G2898" s="31">
        <v>0.19</v>
      </c>
    </row>
    <row r="2899" spans="1:7" x14ac:dyDescent="0.3">
      <c r="A2899">
        <v>32</v>
      </c>
      <c r="B2899">
        <v>32</v>
      </c>
      <c r="C2899" t="s">
        <v>29</v>
      </c>
      <c r="D2899">
        <v>3.35</v>
      </c>
      <c r="E2899">
        <v>1304.7529999999999</v>
      </c>
      <c r="F2899" t="s">
        <v>419</v>
      </c>
      <c r="G2899" s="31">
        <v>0.11</v>
      </c>
    </row>
    <row r="2900" spans="1:7" x14ac:dyDescent="0.3">
      <c r="A2900">
        <v>33</v>
      </c>
      <c r="B2900">
        <v>33</v>
      </c>
      <c r="C2900" t="s">
        <v>30</v>
      </c>
      <c r="D2900">
        <v>4.67</v>
      </c>
      <c r="E2900">
        <v>32165.478999999999</v>
      </c>
      <c r="F2900" t="s">
        <v>420</v>
      </c>
      <c r="G2900" s="31">
        <v>0.56999999999999995</v>
      </c>
    </row>
    <row r="2901" spans="1:7" x14ac:dyDescent="0.3">
      <c r="A2901">
        <v>34</v>
      </c>
      <c r="B2901">
        <v>34</v>
      </c>
      <c r="C2901" t="s">
        <v>31</v>
      </c>
      <c r="D2901">
        <v>3.5</v>
      </c>
      <c r="E2901">
        <v>1584.7270000000001</v>
      </c>
      <c r="F2901" t="s">
        <v>421</v>
      </c>
      <c r="G2901" s="31">
        <v>0.09</v>
      </c>
    </row>
    <row r="2902" spans="1:7" x14ac:dyDescent="0.3">
      <c r="A2902">
        <v>35</v>
      </c>
      <c r="B2902">
        <v>35</v>
      </c>
      <c r="C2902" t="s">
        <v>32</v>
      </c>
      <c r="D2902">
        <v>3.07</v>
      </c>
      <c r="E2902">
        <v>90.091999999999999</v>
      </c>
      <c r="F2902" t="s">
        <v>422</v>
      </c>
      <c r="G2902" s="31">
        <v>0.1</v>
      </c>
    </row>
    <row r="2903" spans="1:7" x14ac:dyDescent="0.3">
      <c r="A2903">
        <v>36</v>
      </c>
      <c r="B2903">
        <v>36</v>
      </c>
      <c r="C2903" t="s">
        <v>33</v>
      </c>
      <c r="D2903">
        <v>1.89</v>
      </c>
      <c r="E2903">
        <v>806.22699999999998</v>
      </c>
      <c r="F2903" t="s">
        <v>423</v>
      </c>
      <c r="G2903" s="31">
        <v>0.32</v>
      </c>
    </row>
    <row r="2904" spans="1:7" x14ac:dyDescent="0.3">
      <c r="G2904" s="31">
        <f>G2881/G2883</f>
        <v>1.6384615384615384</v>
      </c>
    </row>
    <row r="2905" spans="1:7" x14ac:dyDescent="0.3">
      <c r="A2905" t="s">
        <v>379</v>
      </c>
    </row>
    <row r="2907" spans="1:7" x14ac:dyDescent="0.3">
      <c r="A2907" t="s">
        <v>456</v>
      </c>
    </row>
    <row r="2909" spans="1:7" x14ac:dyDescent="0.3">
      <c r="A2909" t="s">
        <v>490</v>
      </c>
    </row>
    <row r="2911" spans="1:7" x14ac:dyDescent="0.3">
      <c r="B2911" t="s">
        <v>382</v>
      </c>
      <c r="C2911" t="s">
        <v>383</v>
      </c>
      <c r="D2911" t="s">
        <v>384</v>
      </c>
      <c r="E2911" t="s">
        <v>385</v>
      </c>
      <c r="F2911" t="s">
        <v>386</v>
      </c>
      <c r="G2911" s="31" t="s">
        <v>387</v>
      </c>
    </row>
    <row r="2912" spans="1:7" x14ac:dyDescent="0.3">
      <c r="A2912">
        <v>1</v>
      </c>
      <c r="B2912">
        <v>1</v>
      </c>
      <c r="C2912" t="s">
        <v>0</v>
      </c>
      <c r="D2912">
        <v>1.01</v>
      </c>
      <c r="E2912">
        <v>1534.9690000000001</v>
      </c>
      <c r="F2912" t="s">
        <v>388</v>
      </c>
      <c r="G2912" s="31">
        <v>8.27</v>
      </c>
    </row>
    <row r="2913" spans="1:7" x14ac:dyDescent="0.3">
      <c r="A2913">
        <v>2</v>
      </c>
      <c r="B2913">
        <v>2</v>
      </c>
      <c r="C2913" t="s">
        <v>1</v>
      </c>
      <c r="D2913">
        <v>1.45</v>
      </c>
      <c r="E2913">
        <v>2379.5070000000001</v>
      </c>
      <c r="F2913" t="s">
        <v>389</v>
      </c>
      <c r="G2913" s="31">
        <v>2.68</v>
      </c>
    </row>
    <row r="2914" spans="1:7" x14ac:dyDescent="0.3">
      <c r="A2914">
        <v>3</v>
      </c>
      <c r="B2914">
        <v>3</v>
      </c>
      <c r="C2914" t="s">
        <v>50</v>
      </c>
      <c r="D2914">
        <v>3.69</v>
      </c>
      <c r="E2914">
        <v>71.599999999999994</v>
      </c>
      <c r="F2914" t="s">
        <v>390</v>
      </c>
      <c r="G2914" s="31">
        <v>0.05</v>
      </c>
    </row>
    <row r="2915" spans="1:7" x14ac:dyDescent="0.3">
      <c r="A2915">
        <v>4</v>
      </c>
      <c r="B2915">
        <v>4</v>
      </c>
      <c r="C2915" t="s">
        <v>2</v>
      </c>
      <c r="D2915">
        <v>3.7</v>
      </c>
      <c r="E2915">
        <v>16933.298999999999</v>
      </c>
      <c r="F2915" t="s">
        <v>391</v>
      </c>
      <c r="G2915" s="31">
        <v>0.75</v>
      </c>
    </row>
    <row r="2916" spans="1:7" x14ac:dyDescent="0.3">
      <c r="A2916">
        <v>5</v>
      </c>
      <c r="B2916">
        <v>5</v>
      </c>
      <c r="C2916" t="s">
        <v>3</v>
      </c>
      <c r="D2916">
        <v>4.49</v>
      </c>
      <c r="E2916">
        <v>100.3</v>
      </c>
      <c r="F2916" t="s">
        <v>392</v>
      </c>
      <c r="G2916" s="31">
        <v>0.1</v>
      </c>
    </row>
    <row r="2917" spans="1:7" x14ac:dyDescent="0.3">
      <c r="A2917">
        <v>6</v>
      </c>
      <c r="B2917">
        <v>6</v>
      </c>
      <c r="C2917" t="s">
        <v>4</v>
      </c>
      <c r="D2917">
        <v>4.8099999999999996</v>
      </c>
      <c r="E2917">
        <v>37882.370999999999</v>
      </c>
      <c r="F2917" t="s">
        <v>393</v>
      </c>
      <c r="G2917" s="31">
        <v>1.25</v>
      </c>
    </row>
    <row r="2918" spans="1:7" x14ac:dyDescent="0.3">
      <c r="A2918">
        <v>7</v>
      </c>
      <c r="B2918">
        <v>7</v>
      </c>
      <c r="C2918" t="s">
        <v>5</v>
      </c>
      <c r="D2918">
        <v>2.71</v>
      </c>
      <c r="E2918">
        <v>2348.6930000000002</v>
      </c>
      <c r="F2918" t="s">
        <v>394</v>
      </c>
      <c r="G2918" s="31">
        <v>0.26</v>
      </c>
    </row>
    <row r="2919" spans="1:7" x14ac:dyDescent="0.3">
      <c r="A2919">
        <v>8</v>
      </c>
      <c r="B2919">
        <v>8</v>
      </c>
      <c r="C2919" t="s">
        <v>6</v>
      </c>
      <c r="D2919">
        <v>0.67</v>
      </c>
      <c r="E2919">
        <v>2730.835</v>
      </c>
      <c r="F2919" t="s">
        <v>395</v>
      </c>
      <c r="G2919" s="31">
        <v>22.42</v>
      </c>
    </row>
    <row r="2920" spans="1:7" x14ac:dyDescent="0.3">
      <c r="A2920">
        <v>9</v>
      </c>
      <c r="B2920">
        <v>9</v>
      </c>
      <c r="C2920" t="s">
        <v>7</v>
      </c>
      <c r="D2920">
        <v>3.56</v>
      </c>
      <c r="E2920">
        <v>430.81</v>
      </c>
      <c r="F2920" t="s">
        <v>396</v>
      </c>
      <c r="G2920" s="31">
        <v>0.83</v>
      </c>
    </row>
    <row r="2921" spans="1:7" x14ac:dyDescent="0.3">
      <c r="A2921">
        <v>10</v>
      </c>
      <c r="B2921">
        <v>10</v>
      </c>
      <c r="C2921" t="s">
        <v>51</v>
      </c>
      <c r="D2921">
        <v>4.6100000000000003</v>
      </c>
      <c r="E2921">
        <v>650.92499999999995</v>
      </c>
      <c r="F2921" t="s">
        <v>397</v>
      </c>
      <c r="G2921" s="31">
        <v>0.09</v>
      </c>
    </row>
    <row r="2922" spans="1:7" x14ac:dyDescent="0.3">
      <c r="A2922">
        <v>11</v>
      </c>
      <c r="B2922">
        <v>11</v>
      </c>
      <c r="C2922" t="s">
        <v>8</v>
      </c>
      <c r="D2922">
        <v>2.74</v>
      </c>
      <c r="E2922">
        <v>40323.269999999997</v>
      </c>
      <c r="F2922" t="s">
        <v>398</v>
      </c>
      <c r="G2922" s="31">
        <v>1.48</v>
      </c>
    </row>
    <row r="2923" spans="1:7" x14ac:dyDescent="0.3">
      <c r="A2923">
        <v>12</v>
      </c>
      <c r="B2923">
        <v>12</v>
      </c>
      <c r="C2923" t="s">
        <v>9</v>
      </c>
      <c r="D2923">
        <v>2.63</v>
      </c>
      <c r="E2923">
        <v>4337.6009999999997</v>
      </c>
      <c r="F2923" t="s">
        <v>399</v>
      </c>
      <c r="G2923" s="31">
        <v>1.1299999999999999</v>
      </c>
    </row>
    <row r="2924" spans="1:7" x14ac:dyDescent="0.3">
      <c r="A2924">
        <v>13</v>
      </c>
      <c r="B2924">
        <v>13</v>
      </c>
      <c r="C2924" t="s">
        <v>10</v>
      </c>
      <c r="D2924">
        <v>4.09</v>
      </c>
      <c r="E2924">
        <v>893038.31299999997</v>
      </c>
      <c r="F2924" t="s">
        <v>400</v>
      </c>
      <c r="G2924" s="31">
        <v>49.91</v>
      </c>
    </row>
    <row r="2925" spans="1:7" x14ac:dyDescent="0.3">
      <c r="A2925">
        <v>14</v>
      </c>
      <c r="B2925">
        <v>14</v>
      </c>
      <c r="C2925" t="s">
        <v>11</v>
      </c>
      <c r="D2925">
        <v>3.33</v>
      </c>
      <c r="E2925">
        <v>8.2460000000000004</v>
      </c>
      <c r="F2925" t="s">
        <v>401</v>
      </c>
      <c r="G2925" s="31">
        <v>1.01</v>
      </c>
    </row>
    <row r="2926" spans="1:7" x14ac:dyDescent="0.3">
      <c r="A2926">
        <v>15</v>
      </c>
      <c r="B2926">
        <v>15</v>
      </c>
      <c r="C2926" t="s">
        <v>12</v>
      </c>
      <c r="D2926">
        <v>3.32</v>
      </c>
      <c r="E2926">
        <v>232.37100000000001</v>
      </c>
      <c r="F2926" t="s">
        <v>402</v>
      </c>
      <c r="G2926" s="31">
        <v>0.71</v>
      </c>
    </row>
    <row r="2927" spans="1:7" x14ac:dyDescent="0.3">
      <c r="A2927">
        <v>16</v>
      </c>
      <c r="B2927">
        <v>16</v>
      </c>
      <c r="C2927" t="s">
        <v>13</v>
      </c>
      <c r="D2927">
        <v>3.23</v>
      </c>
      <c r="E2927">
        <v>4367.4229999999998</v>
      </c>
      <c r="F2927" t="s">
        <v>403</v>
      </c>
      <c r="G2927" s="31">
        <v>0.66</v>
      </c>
    </row>
    <row r="2928" spans="1:7" x14ac:dyDescent="0.3">
      <c r="A2928">
        <v>17</v>
      </c>
      <c r="B2928">
        <v>17</v>
      </c>
      <c r="C2928" t="s">
        <v>14</v>
      </c>
      <c r="D2928">
        <v>2.02</v>
      </c>
      <c r="E2928">
        <v>18674.898000000001</v>
      </c>
      <c r="F2928" t="s">
        <v>404</v>
      </c>
      <c r="G2928" s="31">
        <v>2.13</v>
      </c>
    </row>
    <row r="2929" spans="1:7" x14ac:dyDescent="0.3">
      <c r="A2929">
        <v>18</v>
      </c>
      <c r="B2929">
        <v>18</v>
      </c>
      <c r="C2929" t="s">
        <v>15</v>
      </c>
      <c r="D2929">
        <v>2.5099999999999998</v>
      </c>
      <c r="E2929">
        <v>21611.721000000001</v>
      </c>
      <c r="F2929" t="s">
        <v>405</v>
      </c>
      <c r="G2929" s="31">
        <v>7.37</v>
      </c>
    </row>
    <row r="2930" spans="1:7" x14ac:dyDescent="0.3">
      <c r="A2930">
        <v>19</v>
      </c>
      <c r="B2930">
        <v>19</v>
      </c>
      <c r="C2930" t="s">
        <v>16</v>
      </c>
      <c r="D2930">
        <v>2.71</v>
      </c>
      <c r="E2930">
        <v>1744.36</v>
      </c>
      <c r="F2930" t="s">
        <v>406</v>
      </c>
      <c r="G2930" s="31">
        <v>0.09</v>
      </c>
    </row>
    <row r="2931" spans="1:7" x14ac:dyDescent="0.3">
      <c r="A2931">
        <v>20</v>
      </c>
      <c r="B2931">
        <v>20</v>
      </c>
      <c r="C2931" t="s">
        <v>17</v>
      </c>
      <c r="D2931">
        <v>3.13</v>
      </c>
      <c r="E2931">
        <v>9373.3970000000008</v>
      </c>
      <c r="F2931" t="s">
        <v>407</v>
      </c>
      <c r="G2931" s="31">
        <v>1.22</v>
      </c>
    </row>
    <row r="2932" spans="1:7" x14ac:dyDescent="0.3">
      <c r="A2932">
        <v>21</v>
      </c>
      <c r="B2932">
        <v>21</v>
      </c>
      <c r="C2932" t="s">
        <v>18</v>
      </c>
      <c r="D2932">
        <v>3.68</v>
      </c>
      <c r="E2932">
        <v>7453.3829999999998</v>
      </c>
      <c r="F2932" t="s">
        <v>408</v>
      </c>
      <c r="G2932" s="31">
        <v>0.23</v>
      </c>
    </row>
    <row r="2933" spans="1:7" x14ac:dyDescent="0.3">
      <c r="A2933">
        <v>22</v>
      </c>
      <c r="B2933">
        <v>22</v>
      </c>
      <c r="C2933" t="s">
        <v>19</v>
      </c>
      <c r="D2933">
        <v>2.64</v>
      </c>
      <c r="E2933">
        <v>33087.324000000001</v>
      </c>
      <c r="F2933" t="s">
        <v>409</v>
      </c>
      <c r="G2933" s="31">
        <v>2.56</v>
      </c>
    </row>
    <row r="2934" spans="1:7" x14ac:dyDescent="0.3">
      <c r="A2934">
        <v>23</v>
      </c>
      <c r="B2934">
        <v>23</v>
      </c>
      <c r="C2934" t="s">
        <v>20</v>
      </c>
      <c r="D2934">
        <v>2.89</v>
      </c>
      <c r="E2934">
        <v>17229.044999999998</v>
      </c>
      <c r="F2934" t="s">
        <v>410</v>
      </c>
      <c r="G2934" s="31">
        <v>0.75</v>
      </c>
    </row>
    <row r="2935" spans="1:7" x14ac:dyDescent="0.3">
      <c r="A2935">
        <v>24</v>
      </c>
      <c r="B2935">
        <v>24</v>
      </c>
      <c r="C2935" t="s">
        <v>21</v>
      </c>
      <c r="D2935">
        <v>4.1500000000000004</v>
      </c>
      <c r="E2935">
        <v>22.826000000000001</v>
      </c>
      <c r="F2935" t="s">
        <v>411</v>
      </c>
      <c r="G2935" s="31">
        <v>0.1</v>
      </c>
    </row>
    <row r="2936" spans="1:7" x14ac:dyDescent="0.3">
      <c r="A2936">
        <v>25</v>
      </c>
      <c r="B2936">
        <v>25</v>
      </c>
      <c r="C2936" t="s">
        <v>22</v>
      </c>
      <c r="D2936">
        <v>3.41</v>
      </c>
      <c r="E2936">
        <v>283.65499999999997</v>
      </c>
      <c r="F2936" t="s">
        <v>412</v>
      </c>
      <c r="G2936" s="31">
        <v>2.92</v>
      </c>
    </row>
    <row r="2937" spans="1:7" x14ac:dyDescent="0.3">
      <c r="A2937">
        <v>26</v>
      </c>
      <c r="B2937">
        <v>26</v>
      </c>
      <c r="C2937" t="s">
        <v>23</v>
      </c>
      <c r="D2937">
        <v>3.35</v>
      </c>
      <c r="E2937">
        <v>55294.726999999999</v>
      </c>
      <c r="F2937" t="s">
        <v>413</v>
      </c>
      <c r="G2937" s="31">
        <v>3.63</v>
      </c>
    </row>
    <row r="2938" spans="1:7" x14ac:dyDescent="0.3">
      <c r="A2938">
        <v>27</v>
      </c>
      <c r="B2938">
        <v>27</v>
      </c>
      <c r="C2938" t="s">
        <v>24</v>
      </c>
      <c r="D2938">
        <v>3.45</v>
      </c>
      <c r="E2938">
        <v>206.77799999999999</v>
      </c>
      <c r="F2938" t="s">
        <v>414</v>
      </c>
      <c r="G2938" s="31">
        <v>0.1</v>
      </c>
    </row>
    <row r="2939" spans="1:7" x14ac:dyDescent="0.3">
      <c r="A2939">
        <v>28</v>
      </c>
      <c r="B2939">
        <v>28</v>
      </c>
      <c r="C2939" t="s">
        <v>25</v>
      </c>
      <c r="D2939">
        <v>3.52</v>
      </c>
      <c r="E2939">
        <v>1653.9949999999999</v>
      </c>
      <c r="F2939" t="s">
        <v>415</v>
      </c>
      <c r="G2939" s="31">
        <v>0.32</v>
      </c>
    </row>
    <row r="2940" spans="1:7" x14ac:dyDescent="0.3">
      <c r="A2940">
        <v>29</v>
      </c>
      <c r="B2940">
        <v>29</v>
      </c>
      <c r="C2940" t="s">
        <v>26</v>
      </c>
      <c r="D2940">
        <v>1.03</v>
      </c>
      <c r="E2940">
        <v>462.81599999999997</v>
      </c>
      <c r="F2940" t="s">
        <v>416</v>
      </c>
      <c r="G2940" s="31">
        <v>0.55000000000000004</v>
      </c>
    </row>
    <row r="2941" spans="1:7" x14ac:dyDescent="0.3">
      <c r="A2941">
        <v>30</v>
      </c>
      <c r="B2941">
        <v>30</v>
      </c>
      <c r="C2941" t="s">
        <v>27</v>
      </c>
      <c r="D2941">
        <v>4.26</v>
      </c>
      <c r="E2941">
        <v>1173.925</v>
      </c>
      <c r="F2941" t="s">
        <v>417</v>
      </c>
      <c r="G2941" s="31">
        <v>7.0000000000000007E-2</v>
      </c>
    </row>
    <row r="2942" spans="1:7" x14ac:dyDescent="0.3">
      <c r="A2942">
        <v>31</v>
      </c>
      <c r="B2942">
        <v>31</v>
      </c>
      <c r="C2942" t="s">
        <v>28</v>
      </c>
      <c r="D2942">
        <v>3</v>
      </c>
      <c r="E2942">
        <v>79983.858999999997</v>
      </c>
      <c r="F2942" t="s">
        <v>418</v>
      </c>
      <c r="G2942" s="31">
        <v>0.26</v>
      </c>
    </row>
    <row r="2943" spans="1:7" x14ac:dyDescent="0.3">
      <c r="A2943">
        <v>32</v>
      </c>
      <c r="B2943">
        <v>32</v>
      </c>
      <c r="C2943" t="s">
        <v>29</v>
      </c>
      <c r="D2943">
        <v>3.35</v>
      </c>
      <c r="E2943">
        <v>407.137</v>
      </c>
      <c r="F2943" t="s">
        <v>419</v>
      </c>
      <c r="G2943" s="31">
        <v>0.06</v>
      </c>
    </row>
    <row r="2944" spans="1:7" x14ac:dyDescent="0.3">
      <c r="A2944">
        <v>33</v>
      </c>
      <c r="B2944">
        <v>33</v>
      </c>
      <c r="C2944" t="s">
        <v>30</v>
      </c>
      <c r="D2944">
        <v>4.67</v>
      </c>
      <c r="E2944">
        <v>57531.023000000001</v>
      </c>
      <c r="F2944" t="s">
        <v>420</v>
      </c>
      <c r="G2944" s="31">
        <v>0.95</v>
      </c>
    </row>
    <row r="2945" spans="1:7" x14ac:dyDescent="0.3">
      <c r="A2945">
        <v>34</v>
      </c>
      <c r="B2945">
        <v>34</v>
      </c>
      <c r="C2945" t="s">
        <v>31</v>
      </c>
      <c r="D2945">
        <v>3.26</v>
      </c>
      <c r="E2945">
        <v>2505.4499999999998</v>
      </c>
      <c r="F2945" t="s">
        <v>421</v>
      </c>
      <c r="G2945" s="31">
        <v>0.15</v>
      </c>
    </row>
    <row r="2946" spans="1:7" x14ac:dyDescent="0.3">
      <c r="A2946">
        <v>35</v>
      </c>
      <c r="B2946">
        <v>35</v>
      </c>
      <c r="C2946" t="s">
        <v>32</v>
      </c>
      <c r="D2946">
        <v>3.06</v>
      </c>
      <c r="E2946">
        <v>95.653999999999996</v>
      </c>
      <c r="F2946" t="s">
        <v>422</v>
      </c>
      <c r="G2946" s="31">
        <v>0.1</v>
      </c>
    </row>
    <row r="2947" spans="1:7" x14ac:dyDescent="0.3">
      <c r="A2947">
        <v>36</v>
      </c>
      <c r="B2947">
        <v>36</v>
      </c>
      <c r="C2947" t="s">
        <v>33</v>
      </c>
      <c r="D2947">
        <v>1.91</v>
      </c>
      <c r="E2947">
        <v>234.137</v>
      </c>
      <c r="F2947" t="s">
        <v>423</v>
      </c>
      <c r="G2947" s="31">
        <v>0.11</v>
      </c>
    </row>
    <row r="2948" spans="1:7" x14ac:dyDescent="0.3">
      <c r="G2948" s="31">
        <f>G2925/G2927</f>
        <v>1.5303030303030303</v>
      </c>
    </row>
    <row r="2949" spans="1:7" x14ac:dyDescent="0.3">
      <c r="A2949" t="s">
        <v>379</v>
      </c>
    </row>
    <row r="2951" spans="1:7" x14ac:dyDescent="0.3">
      <c r="A2951" t="s">
        <v>491</v>
      </c>
    </row>
    <row r="2953" spans="1:7" x14ac:dyDescent="0.3">
      <c r="A2953" t="s">
        <v>492</v>
      </c>
    </row>
    <row r="2955" spans="1:7" x14ac:dyDescent="0.3">
      <c r="B2955" t="s">
        <v>382</v>
      </c>
      <c r="C2955" t="s">
        <v>383</v>
      </c>
      <c r="D2955" t="s">
        <v>384</v>
      </c>
      <c r="E2955" t="s">
        <v>385</v>
      </c>
      <c r="F2955" t="s">
        <v>386</v>
      </c>
      <c r="G2955" s="31" t="s">
        <v>387</v>
      </c>
    </row>
    <row r="2956" spans="1:7" x14ac:dyDescent="0.3">
      <c r="A2956">
        <v>1</v>
      </c>
      <c r="B2956">
        <v>1</v>
      </c>
      <c r="C2956" t="s">
        <v>0</v>
      </c>
      <c r="D2956">
        <v>0.89</v>
      </c>
      <c r="E2956">
        <v>45.226999999999997</v>
      </c>
      <c r="F2956" t="s">
        <v>388</v>
      </c>
      <c r="G2956" s="31">
        <v>0.1</v>
      </c>
    </row>
    <row r="2957" spans="1:7" x14ac:dyDescent="0.3">
      <c r="A2957">
        <v>2</v>
      </c>
      <c r="B2957">
        <v>2</v>
      </c>
      <c r="C2957" t="s">
        <v>1</v>
      </c>
      <c r="D2957">
        <v>1.45</v>
      </c>
      <c r="E2957">
        <v>91.489000000000004</v>
      </c>
      <c r="F2957" t="s">
        <v>389</v>
      </c>
      <c r="G2957" s="31">
        <v>5.48</v>
      </c>
    </row>
    <row r="2958" spans="1:7" x14ac:dyDescent="0.3">
      <c r="A2958">
        <v>3</v>
      </c>
      <c r="B2958">
        <v>3</v>
      </c>
      <c r="C2958" t="s">
        <v>50</v>
      </c>
      <c r="D2958">
        <v>3.67</v>
      </c>
      <c r="E2958">
        <v>80.02</v>
      </c>
      <c r="F2958" t="s">
        <v>390</v>
      </c>
      <c r="G2958" s="31">
        <v>0.59</v>
      </c>
    </row>
    <row r="2959" spans="1:7" x14ac:dyDescent="0.3">
      <c r="A2959">
        <v>4</v>
      </c>
      <c r="B2959">
        <v>4</v>
      </c>
      <c r="C2959" t="s">
        <v>2</v>
      </c>
      <c r="D2959">
        <v>3.7</v>
      </c>
      <c r="E2959">
        <v>194.40199999999999</v>
      </c>
      <c r="F2959" t="s">
        <v>391</v>
      </c>
      <c r="G2959" s="31">
        <v>0.82</v>
      </c>
    </row>
    <row r="2960" spans="1:7" x14ac:dyDescent="0.3">
      <c r="A2960">
        <v>5</v>
      </c>
      <c r="B2960">
        <v>5</v>
      </c>
      <c r="C2960" t="s">
        <v>3</v>
      </c>
      <c r="D2960">
        <v>4.5</v>
      </c>
      <c r="E2960">
        <v>194.047</v>
      </c>
      <c r="F2960" t="s">
        <v>392</v>
      </c>
      <c r="G2960" s="31">
        <v>0.08</v>
      </c>
    </row>
    <row r="2961" spans="1:7" x14ac:dyDescent="0.3">
      <c r="A2961">
        <v>6</v>
      </c>
      <c r="B2961">
        <v>6</v>
      </c>
      <c r="C2961" t="s">
        <v>4</v>
      </c>
      <c r="D2961">
        <v>4.8600000000000003</v>
      </c>
      <c r="E2961">
        <v>51.237000000000002</v>
      </c>
      <c r="F2961" t="s">
        <v>393</v>
      </c>
      <c r="G2961" s="31">
        <v>2.2999999999999998</v>
      </c>
    </row>
    <row r="2962" spans="1:7" x14ac:dyDescent="0.3">
      <c r="A2962">
        <v>7</v>
      </c>
      <c r="B2962">
        <v>7</v>
      </c>
      <c r="C2962" t="s">
        <v>5</v>
      </c>
      <c r="D2962">
        <v>2.77</v>
      </c>
      <c r="E2962">
        <v>29.219000000000001</v>
      </c>
      <c r="F2962" t="s">
        <v>394</v>
      </c>
      <c r="G2962" s="31">
        <v>0.09</v>
      </c>
    </row>
    <row r="2963" spans="1:7" x14ac:dyDescent="0.3">
      <c r="A2963">
        <v>8</v>
      </c>
      <c r="B2963">
        <v>8</v>
      </c>
      <c r="C2963" t="s">
        <v>6</v>
      </c>
      <c r="F2963" t="s">
        <v>395</v>
      </c>
      <c r="G2963" s="31">
        <v>0.1</v>
      </c>
    </row>
    <row r="2964" spans="1:7" x14ac:dyDescent="0.3">
      <c r="A2964">
        <v>9</v>
      </c>
      <c r="B2964">
        <v>9</v>
      </c>
      <c r="C2964" t="s">
        <v>7</v>
      </c>
      <c r="D2964">
        <v>3.6</v>
      </c>
      <c r="E2964">
        <v>69.534000000000006</v>
      </c>
      <c r="F2964" t="s">
        <v>396</v>
      </c>
      <c r="G2964" s="31">
        <v>2.25</v>
      </c>
    </row>
    <row r="2965" spans="1:7" x14ac:dyDescent="0.3">
      <c r="A2965">
        <v>10</v>
      </c>
      <c r="B2965">
        <v>10</v>
      </c>
      <c r="C2965" t="s">
        <v>51</v>
      </c>
      <c r="D2965">
        <v>4.7300000000000004</v>
      </c>
      <c r="E2965">
        <v>281.87400000000002</v>
      </c>
      <c r="F2965" t="s">
        <v>397</v>
      </c>
      <c r="G2965" s="31">
        <v>0.46</v>
      </c>
    </row>
    <row r="2966" spans="1:7" x14ac:dyDescent="0.3">
      <c r="A2966">
        <v>11</v>
      </c>
      <c r="B2966">
        <v>11</v>
      </c>
      <c r="C2966" t="s">
        <v>8</v>
      </c>
      <c r="F2966" t="s">
        <v>398</v>
      </c>
      <c r="G2966" s="31">
        <v>0.1</v>
      </c>
    </row>
    <row r="2967" spans="1:7" x14ac:dyDescent="0.3">
      <c r="A2967">
        <v>12</v>
      </c>
      <c r="B2967">
        <v>12</v>
      </c>
      <c r="C2967" t="s">
        <v>9</v>
      </c>
      <c r="D2967">
        <v>2.66</v>
      </c>
      <c r="E2967">
        <v>77.260999999999996</v>
      </c>
      <c r="F2967" t="s">
        <v>399</v>
      </c>
      <c r="G2967" s="31">
        <v>2.85</v>
      </c>
    </row>
    <row r="2968" spans="1:7" x14ac:dyDescent="0.3">
      <c r="A2968">
        <v>13</v>
      </c>
      <c r="B2968">
        <v>13</v>
      </c>
      <c r="C2968" t="s">
        <v>10</v>
      </c>
      <c r="D2968">
        <v>4.13</v>
      </c>
      <c r="E2968">
        <v>101.90900000000001</v>
      </c>
      <c r="F2968" t="s">
        <v>400</v>
      </c>
      <c r="G2968" s="31">
        <v>0.1</v>
      </c>
    </row>
    <row r="2969" spans="1:7" x14ac:dyDescent="0.3">
      <c r="A2969">
        <v>14</v>
      </c>
      <c r="B2969">
        <v>14</v>
      </c>
      <c r="C2969" t="s">
        <v>11</v>
      </c>
      <c r="D2969">
        <v>3.81</v>
      </c>
      <c r="E2969">
        <v>7.5469999999999997</v>
      </c>
      <c r="F2969" t="s">
        <v>401</v>
      </c>
      <c r="G2969" s="31">
        <v>10.88</v>
      </c>
    </row>
    <row r="2970" spans="1:7" x14ac:dyDescent="0.3">
      <c r="A2970">
        <v>15</v>
      </c>
      <c r="B2970">
        <v>15</v>
      </c>
      <c r="C2970" t="s">
        <v>12</v>
      </c>
      <c r="D2970">
        <v>3.47</v>
      </c>
      <c r="E2970">
        <v>19.239999999999998</v>
      </c>
      <c r="F2970" t="s">
        <v>402</v>
      </c>
      <c r="G2970" s="31">
        <v>0.79</v>
      </c>
    </row>
    <row r="2971" spans="1:7" x14ac:dyDescent="0.3">
      <c r="A2971">
        <v>16</v>
      </c>
      <c r="B2971">
        <v>16</v>
      </c>
      <c r="C2971" t="s">
        <v>13</v>
      </c>
      <c r="D2971">
        <v>3.19</v>
      </c>
      <c r="E2971">
        <v>5.3840000000000003</v>
      </c>
      <c r="F2971" t="s">
        <v>403</v>
      </c>
      <c r="G2971" s="31">
        <v>2.04</v>
      </c>
    </row>
    <row r="2972" spans="1:7" x14ac:dyDescent="0.3">
      <c r="A2972">
        <v>17</v>
      </c>
      <c r="B2972">
        <v>17</v>
      </c>
      <c r="C2972" t="s">
        <v>14</v>
      </c>
      <c r="D2972">
        <v>2.08</v>
      </c>
      <c r="E2972">
        <v>9.8279999999999994</v>
      </c>
      <c r="F2972" t="s">
        <v>404</v>
      </c>
      <c r="G2972" s="31">
        <v>3.2</v>
      </c>
    </row>
    <row r="2973" spans="1:7" x14ac:dyDescent="0.3">
      <c r="A2973">
        <v>18</v>
      </c>
      <c r="B2973">
        <v>18</v>
      </c>
      <c r="C2973" t="s">
        <v>15</v>
      </c>
      <c r="D2973">
        <v>2.5299999999999998</v>
      </c>
      <c r="E2973">
        <v>28.745999999999999</v>
      </c>
      <c r="F2973" t="s">
        <v>405</v>
      </c>
      <c r="G2973" s="31">
        <v>10.33</v>
      </c>
    </row>
    <row r="2974" spans="1:7" x14ac:dyDescent="0.3">
      <c r="A2974">
        <v>19</v>
      </c>
      <c r="B2974">
        <v>19</v>
      </c>
      <c r="C2974" t="s">
        <v>16</v>
      </c>
      <c r="D2974">
        <v>2.87</v>
      </c>
      <c r="E2974">
        <v>12.206</v>
      </c>
      <c r="F2974" t="s">
        <v>406</v>
      </c>
      <c r="G2974" s="31">
        <v>0.3</v>
      </c>
    </row>
    <row r="2975" spans="1:7" x14ac:dyDescent="0.3">
      <c r="A2975">
        <v>20</v>
      </c>
      <c r="B2975">
        <v>20</v>
      </c>
      <c r="C2975" t="s">
        <v>17</v>
      </c>
      <c r="D2975">
        <v>3.08</v>
      </c>
      <c r="E2975">
        <v>401.988</v>
      </c>
      <c r="F2975" t="s">
        <v>407</v>
      </c>
      <c r="G2975" s="31">
        <v>0.1</v>
      </c>
    </row>
    <row r="2976" spans="1:7" x14ac:dyDescent="0.3">
      <c r="A2976">
        <v>21</v>
      </c>
      <c r="B2976">
        <v>21</v>
      </c>
      <c r="C2976" t="s">
        <v>18</v>
      </c>
      <c r="D2976">
        <v>3.68</v>
      </c>
      <c r="E2976">
        <v>435.53300000000002</v>
      </c>
      <c r="F2976" t="s">
        <v>408</v>
      </c>
      <c r="G2976" s="31">
        <v>0.11</v>
      </c>
    </row>
    <row r="2977" spans="1:7" x14ac:dyDescent="0.3">
      <c r="A2977">
        <v>22</v>
      </c>
      <c r="B2977">
        <v>22</v>
      </c>
      <c r="C2977" t="s">
        <v>19</v>
      </c>
      <c r="F2977" t="s">
        <v>409</v>
      </c>
      <c r="G2977" s="31">
        <v>0.1</v>
      </c>
    </row>
    <row r="2978" spans="1:7" x14ac:dyDescent="0.3">
      <c r="A2978">
        <v>23</v>
      </c>
      <c r="B2978">
        <v>23</v>
      </c>
      <c r="C2978" t="s">
        <v>20</v>
      </c>
      <c r="F2978" t="s">
        <v>410</v>
      </c>
      <c r="G2978" s="31">
        <v>0.1</v>
      </c>
    </row>
    <row r="2979" spans="1:7" x14ac:dyDescent="0.3">
      <c r="A2979">
        <v>24</v>
      </c>
      <c r="B2979">
        <v>24</v>
      </c>
      <c r="C2979" t="s">
        <v>21</v>
      </c>
      <c r="D2979">
        <v>4.1500000000000004</v>
      </c>
      <c r="E2979">
        <v>10.496</v>
      </c>
      <c r="F2979" t="s">
        <v>411</v>
      </c>
      <c r="G2979" s="31">
        <v>0.1</v>
      </c>
    </row>
    <row r="2980" spans="1:7" x14ac:dyDescent="0.3">
      <c r="A2980">
        <v>25</v>
      </c>
      <c r="B2980">
        <v>25</v>
      </c>
      <c r="C2980" t="s">
        <v>22</v>
      </c>
      <c r="D2980">
        <v>3.48</v>
      </c>
      <c r="E2980">
        <v>112.203</v>
      </c>
      <c r="F2980" t="s">
        <v>412</v>
      </c>
      <c r="G2980" s="31">
        <v>25.08</v>
      </c>
    </row>
    <row r="2981" spans="1:7" x14ac:dyDescent="0.3">
      <c r="A2981">
        <v>26</v>
      </c>
      <c r="B2981">
        <v>26</v>
      </c>
      <c r="C2981" t="s">
        <v>23</v>
      </c>
      <c r="D2981">
        <v>3.74</v>
      </c>
      <c r="E2981">
        <v>15.255000000000001</v>
      </c>
      <c r="F2981" t="s">
        <v>413</v>
      </c>
      <c r="G2981" s="31">
        <v>2.04</v>
      </c>
    </row>
    <row r="2982" spans="1:7" x14ac:dyDescent="0.3">
      <c r="A2982">
        <v>27</v>
      </c>
      <c r="B2982">
        <v>27</v>
      </c>
      <c r="C2982" t="s">
        <v>24</v>
      </c>
      <c r="D2982">
        <v>3.44</v>
      </c>
      <c r="E2982">
        <v>56.081000000000003</v>
      </c>
      <c r="F2982" t="s">
        <v>414</v>
      </c>
      <c r="G2982" s="31">
        <v>0.1</v>
      </c>
    </row>
    <row r="2983" spans="1:7" x14ac:dyDescent="0.3">
      <c r="A2983">
        <v>28</v>
      </c>
      <c r="B2983">
        <v>28</v>
      </c>
      <c r="C2983" t="s">
        <v>25</v>
      </c>
      <c r="D2983">
        <v>3.6</v>
      </c>
      <c r="E2983">
        <v>1.8129999999999999</v>
      </c>
      <c r="F2983" t="s">
        <v>415</v>
      </c>
      <c r="G2983" s="31">
        <v>1.8</v>
      </c>
    </row>
    <row r="2984" spans="1:7" x14ac:dyDescent="0.3">
      <c r="A2984">
        <v>29</v>
      </c>
      <c r="B2984">
        <v>29</v>
      </c>
      <c r="C2984" t="s">
        <v>26</v>
      </c>
      <c r="D2984">
        <v>1.63</v>
      </c>
      <c r="E2984">
        <v>8.3780000000000001</v>
      </c>
      <c r="F2984" t="s">
        <v>416</v>
      </c>
      <c r="G2984" s="31">
        <v>3.13</v>
      </c>
    </row>
    <row r="2985" spans="1:7" x14ac:dyDescent="0.3">
      <c r="A2985">
        <v>30</v>
      </c>
      <c r="B2985">
        <v>30</v>
      </c>
      <c r="C2985" t="s">
        <v>27</v>
      </c>
      <c r="D2985">
        <v>4.32</v>
      </c>
      <c r="E2985">
        <v>42.941000000000003</v>
      </c>
      <c r="F2985" t="s">
        <v>417</v>
      </c>
      <c r="G2985" s="31">
        <v>0.14000000000000001</v>
      </c>
    </row>
    <row r="2986" spans="1:7" x14ac:dyDescent="0.3">
      <c r="A2986">
        <v>31</v>
      </c>
      <c r="B2986">
        <v>31</v>
      </c>
      <c r="C2986" t="s">
        <v>28</v>
      </c>
      <c r="D2986">
        <v>3.11</v>
      </c>
      <c r="E2986">
        <v>4.6710000000000003</v>
      </c>
      <c r="F2986" t="s">
        <v>418</v>
      </c>
      <c r="G2986" s="31">
        <v>0.1</v>
      </c>
    </row>
    <row r="2987" spans="1:7" x14ac:dyDescent="0.3">
      <c r="A2987">
        <v>32</v>
      </c>
      <c r="B2987">
        <v>32</v>
      </c>
      <c r="C2987" t="s">
        <v>29</v>
      </c>
      <c r="F2987" t="s">
        <v>419</v>
      </c>
      <c r="G2987" s="31">
        <v>0.1</v>
      </c>
    </row>
    <row r="2988" spans="1:7" x14ac:dyDescent="0.3">
      <c r="A2988">
        <v>33</v>
      </c>
      <c r="B2988">
        <v>33</v>
      </c>
      <c r="C2988" t="s">
        <v>30</v>
      </c>
      <c r="D2988">
        <v>4.7</v>
      </c>
      <c r="E2988">
        <v>3.9729999999999999</v>
      </c>
      <c r="F2988" t="s">
        <v>420</v>
      </c>
      <c r="G2988" s="31">
        <v>3.35</v>
      </c>
    </row>
    <row r="2989" spans="1:7" x14ac:dyDescent="0.3">
      <c r="A2989">
        <v>34</v>
      </c>
      <c r="B2989">
        <v>34</v>
      </c>
      <c r="C2989" t="s">
        <v>31</v>
      </c>
      <c r="D2989">
        <v>3.62</v>
      </c>
      <c r="E2989">
        <v>6.274</v>
      </c>
      <c r="F2989" t="s">
        <v>421</v>
      </c>
      <c r="G2989" s="31">
        <v>0.11</v>
      </c>
    </row>
    <row r="2990" spans="1:7" x14ac:dyDescent="0.3">
      <c r="A2990">
        <v>35</v>
      </c>
      <c r="B2990">
        <v>35</v>
      </c>
      <c r="C2990" t="s">
        <v>32</v>
      </c>
      <c r="D2990">
        <v>3.04</v>
      </c>
      <c r="E2990">
        <v>29.998999999999999</v>
      </c>
      <c r="F2990" t="s">
        <v>422</v>
      </c>
      <c r="G2990" s="31">
        <v>0.1</v>
      </c>
    </row>
    <row r="2991" spans="1:7" x14ac:dyDescent="0.3">
      <c r="A2991">
        <v>36</v>
      </c>
      <c r="B2991">
        <v>36</v>
      </c>
      <c r="C2991" t="s">
        <v>33</v>
      </c>
      <c r="D2991">
        <v>1.82</v>
      </c>
      <c r="E2991">
        <v>28.24</v>
      </c>
      <c r="F2991" t="s">
        <v>423</v>
      </c>
      <c r="G2991" s="31">
        <v>0.17</v>
      </c>
    </row>
    <row r="2993" spans="1:7" x14ac:dyDescent="0.3">
      <c r="A2993" t="s">
        <v>379</v>
      </c>
    </row>
    <row r="2995" spans="1:7" x14ac:dyDescent="0.3">
      <c r="A2995" t="s">
        <v>491</v>
      </c>
    </row>
    <row r="2997" spans="1:7" x14ac:dyDescent="0.3">
      <c r="A2997" t="s">
        <v>493</v>
      </c>
    </row>
    <row r="2999" spans="1:7" x14ac:dyDescent="0.3">
      <c r="B2999" t="s">
        <v>382</v>
      </c>
      <c r="C2999" t="s">
        <v>383</v>
      </c>
      <c r="D2999" t="s">
        <v>384</v>
      </c>
      <c r="E2999" t="s">
        <v>385</v>
      </c>
      <c r="F2999" t="s">
        <v>386</v>
      </c>
      <c r="G2999" s="31" t="s">
        <v>387</v>
      </c>
    </row>
    <row r="3000" spans="1:7" x14ac:dyDescent="0.3">
      <c r="A3000">
        <v>1</v>
      </c>
      <c r="B3000">
        <v>1</v>
      </c>
      <c r="C3000" t="s">
        <v>0</v>
      </c>
      <c r="D3000">
        <v>1.02</v>
      </c>
      <c r="E3000">
        <v>934.62699999999995</v>
      </c>
      <c r="F3000" t="s">
        <v>388</v>
      </c>
      <c r="G3000" s="31">
        <v>8.7100000000000009</v>
      </c>
    </row>
    <row r="3001" spans="1:7" x14ac:dyDescent="0.3">
      <c r="A3001">
        <v>2</v>
      </c>
      <c r="B3001">
        <v>2</v>
      </c>
      <c r="C3001" t="s">
        <v>1</v>
      </c>
      <c r="D3001">
        <v>1.45</v>
      </c>
      <c r="E3001">
        <v>1379.75</v>
      </c>
      <c r="F3001" t="s">
        <v>389</v>
      </c>
      <c r="G3001" s="31">
        <v>3.06</v>
      </c>
    </row>
    <row r="3002" spans="1:7" x14ac:dyDescent="0.3">
      <c r="A3002">
        <v>3</v>
      </c>
      <c r="B3002">
        <v>3</v>
      </c>
      <c r="C3002" t="s">
        <v>50</v>
      </c>
      <c r="D3002">
        <v>3.58</v>
      </c>
      <c r="E3002">
        <v>349.28699999999998</v>
      </c>
      <c r="F3002" t="s">
        <v>390</v>
      </c>
      <c r="G3002" s="31">
        <v>0.3</v>
      </c>
    </row>
    <row r="3003" spans="1:7" x14ac:dyDescent="0.3">
      <c r="A3003">
        <v>4</v>
      </c>
      <c r="B3003">
        <v>4</v>
      </c>
      <c r="C3003" t="s">
        <v>2</v>
      </c>
      <c r="D3003">
        <v>3.7</v>
      </c>
      <c r="E3003">
        <v>13742.236000000001</v>
      </c>
      <c r="F3003" t="s">
        <v>391</v>
      </c>
      <c r="G3003" s="31">
        <v>1.1000000000000001</v>
      </c>
    </row>
    <row r="3004" spans="1:7" x14ac:dyDescent="0.3">
      <c r="A3004">
        <v>5</v>
      </c>
      <c r="B3004">
        <v>5</v>
      </c>
      <c r="C3004" t="s">
        <v>3</v>
      </c>
      <c r="D3004">
        <v>4.49</v>
      </c>
      <c r="E3004">
        <v>87.26</v>
      </c>
      <c r="F3004" t="s">
        <v>392</v>
      </c>
      <c r="G3004" s="31">
        <v>0.1</v>
      </c>
    </row>
    <row r="3005" spans="1:7" x14ac:dyDescent="0.3">
      <c r="A3005">
        <v>6</v>
      </c>
      <c r="B3005">
        <v>6</v>
      </c>
      <c r="C3005" t="s">
        <v>4</v>
      </c>
      <c r="D3005">
        <v>4.8099999999999996</v>
      </c>
      <c r="E3005">
        <v>32666.067999999999</v>
      </c>
      <c r="F3005" t="s">
        <v>393</v>
      </c>
      <c r="G3005" s="31">
        <v>1.96</v>
      </c>
    </row>
    <row r="3006" spans="1:7" x14ac:dyDescent="0.3">
      <c r="A3006">
        <v>7</v>
      </c>
      <c r="B3006">
        <v>7</v>
      </c>
      <c r="C3006" t="s">
        <v>5</v>
      </c>
      <c r="D3006">
        <v>2.71</v>
      </c>
      <c r="E3006">
        <v>611.19500000000005</v>
      </c>
      <c r="F3006" t="s">
        <v>394</v>
      </c>
      <c r="G3006" s="31">
        <v>0.13</v>
      </c>
    </row>
    <row r="3007" spans="1:7" x14ac:dyDescent="0.3">
      <c r="A3007">
        <v>8</v>
      </c>
      <c r="B3007">
        <v>8</v>
      </c>
      <c r="C3007" t="s">
        <v>6</v>
      </c>
      <c r="D3007">
        <v>0.67</v>
      </c>
      <c r="E3007">
        <v>1937.953</v>
      </c>
      <c r="F3007" t="s">
        <v>395</v>
      </c>
      <c r="G3007" s="31">
        <v>28.87</v>
      </c>
    </row>
    <row r="3008" spans="1:7" x14ac:dyDescent="0.3">
      <c r="A3008">
        <v>9</v>
      </c>
      <c r="B3008">
        <v>9</v>
      </c>
      <c r="C3008" t="s">
        <v>7</v>
      </c>
      <c r="D3008">
        <v>3.56</v>
      </c>
      <c r="E3008">
        <v>948.78700000000003</v>
      </c>
      <c r="F3008" t="s">
        <v>396</v>
      </c>
      <c r="G3008" s="31">
        <v>3.06</v>
      </c>
    </row>
    <row r="3009" spans="1:7" x14ac:dyDescent="0.3">
      <c r="A3009">
        <v>10</v>
      </c>
      <c r="B3009">
        <v>10</v>
      </c>
      <c r="C3009" t="s">
        <v>51</v>
      </c>
      <c r="D3009">
        <v>4.78</v>
      </c>
      <c r="E3009">
        <v>659.70299999999997</v>
      </c>
      <c r="F3009" t="s">
        <v>397</v>
      </c>
      <c r="G3009" s="31">
        <v>0.16</v>
      </c>
    </row>
    <row r="3010" spans="1:7" x14ac:dyDescent="0.3">
      <c r="A3010">
        <v>11</v>
      </c>
      <c r="B3010">
        <v>11</v>
      </c>
      <c r="C3010" t="s">
        <v>8</v>
      </c>
      <c r="D3010">
        <v>2.74</v>
      </c>
      <c r="E3010">
        <v>17619.099999999999</v>
      </c>
      <c r="F3010" t="s">
        <v>398</v>
      </c>
      <c r="G3010" s="31">
        <v>1.3</v>
      </c>
    </row>
    <row r="3011" spans="1:7" x14ac:dyDescent="0.3">
      <c r="A3011">
        <v>12</v>
      </c>
      <c r="B3011">
        <v>12</v>
      </c>
      <c r="C3011" t="s">
        <v>9</v>
      </c>
      <c r="D3011">
        <v>2.64</v>
      </c>
      <c r="E3011">
        <v>2837.5050000000001</v>
      </c>
      <c r="F3011" t="s">
        <v>399</v>
      </c>
      <c r="G3011" s="31">
        <v>1.46</v>
      </c>
    </row>
    <row r="3012" spans="1:7" x14ac:dyDescent="0.3">
      <c r="A3012">
        <v>13</v>
      </c>
      <c r="B3012">
        <v>13</v>
      </c>
      <c r="C3012" t="s">
        <v>10</v>
      </c>
      <c r="D3012">
        <v>4.08</v>
      </c>
      <c r="E3012">
        <v>2150473.25</v>
      </c>
      <c r="F3012" t="s">
        <v>400</v>
      </c>
      <c r="G3012" s="31">
        <v>234.84</v>
      </c>
    </row>
    <row r="3013" spans="1:7" x14ac:dyDescent="0.3">
      <c r="A3013">
        <v>14</v>
      </c>
      <c r="B3013">
        <v>14</v>
      </c>
      <c r="C3013" t="s">
        <v>11</v>
      </c>
      <c r="D3013">
        <v>3.52</v>
      </c>
      <c r="E3013">
        <v>4.45</v>
      </c>
      <c r="F3013" t="s">
        <v>401</v>
      </c>
      <c r="G3013" s="31">
        <v>1.58</v>
      </c>
    </row>
    <row r="3014" spans="1:7" x14ac:dyDescent="0.3">
      <c r="A3014">
        <v>15</v>
      </c>
      <c r="B3014">
        <v>15</v>
      </c>
      <c r="C3014" t="s">
        <v>12</v>
      </c>
      <c r="D3014">
        <v>3.32</v>
      </c>
      <c r="E3014">
        <v>289.04000000000002</v>
      </c>
      <c r="F3014" t="s">
        <v>402</v>
      </c>
      <c r="G3014" s="31">
        <v>1.57</v>
      </c>
    </row>
    <row r="3015" spans="1:7" x14ac:dyDescent="0.3">
      <c r="A3015">
        <v>16</v>
      </c>
      <c r="B3015">
        <v>16</v>
      </c>
      <c r="C3015" t="s">
        <v>13</v>
      </c>
      <c r="D3015">
        <v>3.23</v>
      </c>
      <c r="E3015">
        <v>3306.047</v>
      </c>
      <c r="F3015" t="s">
        <v>403</v>
      </c>
      <c r="G3015" s="31">
        <v>0.97</v>
      </c>
    </row>
    <row r="3016" spans="1:7" x14ac:dyDescent="0.3">
      <c r="A3016">
        <v>17</v>
      </c>
      <c r="B3016">
        <v>17</v>
      </c>
      <c r="C3016" t="s">
        <v>14</v>
      </c>
      <c r="D3016">
        <v>2.02</v>
      </c>
      <c r="E3016">
        <v>23886.812999999998</v>
      </c>
      <c r="F3016" t="s">
        <v>404</v>
      </c>
      <c r="G3016" s="31">
        <v>4.6900000000000004</v>
      </c>
    </row>
    <row r="3017" spans="1:7" x14ac:dyDescent="0.3">
      <c r="A3017">
        <v>18</v>
      </c>
      <c r="B3017">
        <v>18</v>
      </c>
      <c r="C3017" t="s">
        <v>15</v>
      </c>
      <c r="D3017">
        <v>2.5099999999999998</v>
      </c>
      <c r="E3017">
        <v>10704.615</v>
      </c>
      <c r="F3017" t="s">
        <v>405</v>
      </c>
      <c r="G3017" s="31">
        <v>7.31</v>
      </c>
    </row>
    <row r="3018" spans="1:7" x14ac:dyDescent="0.3">
      <c r="A3018">
        <v>19</v>
      </c>
      <c r="B3018">
        <v>19</v>
      </c>
      <c r="C3018" t="s">
        <v>16</v>
      </c>
      <c r="D3018">
        <v>2.71</v>
      </c>
      <c r="E3018">
        <v>3233.8090000000002</v>
      </c>
      <c r="F3018" t="s">
        <v>406</v>
      </c>
      <c r="G3018" s="31">
        <v>0.26</v>
      </c>
    </row>
    <row r="3019" spans="1:7" x14ac:dyDescent="0.3">
      <c r="A3019">
        <v>20</v>
      </c>
      <c r="B3019">
        <v>20</v>
      </c>
      <c r="C3019" t="s">
        <v>17</v>
      </c>
      <c r="D3019">
        <v>3.13</v>
      </c>
      <c r="E3019">
        <v>7536.22</v>
      </c>
      <c r="F3019" t="s">
        <v>407</v>
      </c>
      <c r="G3019" s="31">
        <v>1.73</v>
      </c>
    </row>
    <row r="3020" spans="1:7" x14ac:dyDescent="0.3">
      <c r="A3020">
        <v>21</v>
      </c>
      <c r="B3020">
        <v>21</v>
      </c>
      <c r="C3020" t="s">
        <v>18</v>
      </c>
      <c r="D3020">
        <v>3.68</v>
      </c>
      <c r="E3020">
        <v>14984.967000000001</v>
      </c>
      <c r="F3020" t="s">
        <v>408</v>
      </c>
      <c r="G3020" s="31">
        <v>0.82</v>
      </c>
    </row>
    <row r="3021" spans="1:7" x14ac:dyDescent="0.3">
      <c r="A3021">
        <v>22</v>
      </c>
      <c r="B3021">
        <v>22</v>
      </c>
      <c r="C3021" t="s">
        <v>19</v>
      </c>
      <c r="D3021">
        <v>2.64</v>
      </c>
      <c r="E3021">
        <v>19060.028999999999</v>
      </c>
      <c r="F3021" t="s">
        <v>409</v>
      </c>
      <c r="G3021" s="31">
        <v>3.02</v>
      </c>
    </row>
    <row r="3022" spans="1:7" x14ac:dyDescent="0.3">
      <c r="A3022">
        <v>23</v>
      </c>
      <c r="B3022">
        <v>23</v>
      </c>
      <c r="C3022" t="s">
        <v>20</v>
      </c>
      <c r="D3022">
        <v>2.89</v>
      </c>
      <c r="E3022">
        <v>5389.6809999999996</v>
      </c>
      <c r="F3022" t="s">
        <v>410</v>
      </c>
      <c r="G3022" s="31">
        <v>0.51</v>
      </c>
    </row>
    <row r="3023" spans="1:7" x14ac:dyDescent="0.3">
      <c r="A3023">
        <v>24</v>
      </c>
      <c r="B3023">
        <v>24</v>
      </c>
      <c r="C3023" t="s">
        <v>21</v>
      </c>
      <c r="D3023">
        <v>4.1900000000000004</v>
      </c>
      <c r="E3023">
        <v>10.726000000000001</v>
      </c>
      <c r="F3023" t="s">
        <v>411</v>
      </c>
      <c r="G3023" s="31">
        <v>0.1</v>
      </c>
    </row>
    <row r="3024" spans="1:7" x14ac:dyDescent="0.3">
      <c r="A3024">
        <v>25</v>
      </c>
      <c r="B3024">
        <v>25</v>
      </c>
      <c r="C3024" t="s">
        <v>22</v>
      </c>
      <c r="D3024">
        <v>3.41</v>
      </c>
      <c r="E3024">
        <v>170.179</v>
      </c>
      <c r="F3024" t="s">
        <v>412</v>
      </c>
      <c r="G3024" s="31">
        <v>4.43</v>
      </c>
    </row>
    <row r="3025" spans="1:7" x14ac:dyDescent="0.3">
      <c r="A3025">
        <v>26</v>
      </c>
      <c r="B3025">
        <v>26</v>
      </c>
      <c r="C3025" t="s">
        <v>23</v>
      </c>
      <c r="D3025">
        <v>3.36</v>
      </c>
      <c r="E3025">
        <v>33975.656000000003</v>
      </c>
      <c r="F3025" t="s">
        <v>413</v>
      </c>
      <c r="G3025" s="31">
        <v>4.08</v>
      </c>
    </row>
    <row r="3026" spans="1:7" x14ac:dyDescent="0.3">
      <c r="A3026">
        <v>27</v>
      </c>
      <c r="B3026">
        <v>27</v>
      </c>
      <c r="C3026" t="s">
        <v>24</v>
      </c>
      <c r="D3026">
        <v>3.44</v>
      </c>
      <c r="E3026">
        <v>467.00099999999998</v>
      </c>
      <c r="F3026" t="s">
        <v>414</v>
      </c>
      <c r="G3026" s="31">
        <v>0.24</v>
      </c>
    </row>
    <row r="3027" spans="1:7" x14ac:dyDescent="0.3">
      <c r="A3027">
        <v>28</v>
      </c>
      <c r="B3027">
        <v>28</v>
      </c>
      <c r="C3027" t="s">
        <v>25</v>
      </c>
      <c r="D3027">
        <v>3.52</v>
      </c>
      <c r="E3027">
        <v>1246.5619999999999</v>
      </c>
      <c r="F3027" t="s">
        <v>415</v>
      </c>
      <c r="G3027" s="31">
        <v>0.5</v>
      </c>
    </row>
    <row r="3028" spans="1:7" x14ac:dyDescent="0.3">
      <c r="A3028">
        <v>29</v>
      </c>
      <c r="B3028">
        <v>29</v>
      </c>
      <c r="C3028" t="s">
        <v>26</v>
      </c>
      <c r="D3028">
        <v>1.04</v>
      </c>
      <c r="E3028">
        <v>923.90200000000004</v>
      </c>
      <c r="F3028" t="s">
        <v>416</v>
      </c>
      <c r="G3028" s="31">
        <v>1.45</v>
      </c>
    </row>
    <row r="3029" spans="1:7" x14ac:dyDescent="0.3">
      <c r="A3029">
        <v>30</v>
      </c>
      <c r="B3029">
        <v>30</v>
      </c>
      <c r="C3029" t="s">
        <v>27</v>
      </c>
      <c r="D3029">
        <v>4.26</v>
      </c>
      <c r="E3029">
        <v>1561.8019999999999</v>
      </c>
      <c r="F3029" t="s">
        <v>417</v>
      </c>
      <c r="G3029" s="31">
        <v>0.15</v>
      </c>
    </row>
    <row r="3030" spans="1:7" x14ac:dyDescent="0.3">
      <c r="A3030">
        <v>31</v>
      </c>
      <c r="B3030">
        <v>31</v>
      </c>
      <c r="C3030" t="s">
        <v>28</v>
      </c>
      <c r="D3030">
        <v>3</v>
      </c>
      <c r="E3030">
        <v>29999.307000000001</v>
      </c>
      <c r="F3030" t="s">
        <v>418</v>
      </c>
      <c r="G3030" s="31">
        <v>0.05</v>
      </c>
    </row>
    <row r="3031" spans="1:7" x14ac:dyDescent="0.3">
      <c r="A3031">
        <v>32</v>
      </c>
      <c r="B3031">
        <v>32</v>
      </c>
      <c r="C3031" t="s">
        <v>29</v>
      </c>
      <c r="D3031">
        <v>3.35</v>
      </c>
      <c r="E3031">
        <v>367.44099999999997</v>
      </c>
      <c r="F3031" t="s">
        <v>419</v>
      </c>
      <c r="G3031" s="31">
        <v>0.11</v>
      </c>
    </row>
    <row r="3032" spans="1:7" x14ac:dyDescent="0.3">
      <c r="A3032">
        <v>33</v>
      </c>
      <c r="B3032">
        <v>33</v>
      </c>
      <c r="C3032" t="s">
        <v>30</v>
      </c>
      <c r="D3032">
        <v>4.68</v>
      </c>
      <c r="E3032">
        <v>42836.695</v>
      </c>
      <c r="F3032" t="s">
        <v>420</v>
      </c>
      <c r="G3032" s="31">
        <v>1.39</v>
      </c>
    </row>
    <row r="3033" spans="1:7" x14ac:dyDescent="0.3">
      <c r="A3033">
        <v>34</v>
      </c>
      <c r="B3033">
        <v>34</v>
      </c>
      <c r="C3033" t="s">
        <v>31</v>
      </c>
      <c r="D3033">
        <v>3.26</v>
      </c>
      <c r="E3033">
        <v>1045.482</v>
      </c>
      <c r="F3033" t="s">
        <v>421</v>
      </c>
      <c r="G3033" s="31">
        <v>0.12</v>
      </c>
    </row>
    <row r="3034" spans="1:7" x14ac:dyDescent="0.3">
      <c r="A3034">
        <v>35</v>
      </c>
      <c r="B3034">
        <v>35</v>
      </c>
      <c r="C3034" t="s">
        <v>32</v>
      </c>
      <c r="D3034">
        <v>3.06</v>
      </c>
      <c r="E3034">
        <v>352.58800000000002</v>
      </c>
      <c r="F3034" t="s">
        <v>422</v>
      </c>
      <c r="G3034" s="31">
        <v>0.05</v>
      </c>
    </row>
    <row r="3035" spans="1:7" x14ac:dyDescent="0.3">
      <c r="A3035">
        <v>36</v>
      </c>
      <c r="B3035">
        <v>36</v>
      </c>
      <c r="C3035" t="s">
        <v>33</v>
      </c>
      <c r="D3035">
        <v>1.91</v>
      </c>
      <c r="E3035">
        <v>503.60399999999998</v>
      </c>
      <c r="F3035" t="s">
        <v>423</v>
      </c>
      <c r="G3035" s="31">
        <v>0.42</v>
      </c>
    </row>
    <row r="3036" spans="1:7" x14ac:dyDescent="0.3">
      <c r="G3036" s="31">
        <f>G3013/G3015</f>
        <v>1.6288659793814435</v>
      </c>
    </row>
    <row r="3037" spans="1:7" x14ac:dyDescent="0.3">
      <c r="A3037" t="s">
        <v>379</v>
      </c>
    </row>
    <row r="3039" spans="1:7" x14ac:dyDescent="0.3">
      <c r="A3039" t="s">
        <v>491</v>
      </c>
    </row>
    <row r="3041" spans="1:7" x14ac:dyDescent="0.3">
      <c r="A3041" t="s">
        <v>494</v>
      </c>
    </row>
    <row r="3043" spans="1:7" x14ac:dyDescent="0.3">
      <c r="B3043" t="s">
        <v>382</v>
      </c>
      <c r="C3043" t="s">
        <v>383</v>
      </c>
      <c r="D3043" t="s">
        <v>384</v>
      </c>
      <c r="E3043" t="s">
        <v>385</v>
      </c>
      <c r="F3043" t="s">
        <v>386</v>
      </c>
      <c r="G3043" s="31" t="s">
        <v>387</v>
      </c>
    </row>
    <row r="3044" spans="1:7" x14ac:dyDescent="0.3">
      <c r="A3044">
        <v>1</v>
      </c>
      <c r="B3044">
        <v>1</v>
      </c>
      <c r="C3044" t="s">
        <v>0</v>
      </c>
      <c r="D3044">
        <v>1.03</v>
      </c>
      <c r="E3044">
        <v>734.96100000000001</v>
      </c>
      <c r="F3044" t="s">
        <v>388</v>
      </c>
      <c r="G3044" s="31">
        <v>5.28</v>
      </c>
    </row>
    <row r="3045" spans="1:7" x14ac:dyDescent="0.3">
      <c r="A3045">
        <v>2</v>
      </c>
      <c r="B3045">
        <v>2</v>
      </c>
      <c r="C3045" t="s">
        <v>1</v>
      </c>
      <c r="D3045">
        <v>1.46</v>
      </c>
      <c r="E3045">
        <v>1738.423</v>
      </c>
      <c r="F3045" t="s">
        <v>389</v>
      </c>
      <c r="G3045" s="31">
        <v>2.88</v>
      </c>
    </row>
    <row r="3046" spans="1:7" x14ac:dyDescent="0.3">
      <c r="A3046">
        <v>3</v>
      </c>
      <c r="B3046">
        <v>3</v>
      </c>
      <c r="C3046" t="s">
        <v>50</v>
      </c>
      <c r="D3046">
        <v>3.79</v>
      </c>
      <c r="E3046">
        <v>63.320999999999998</v>
      </c>
      <c r="F3046" t="s">
        <v>390</v>
      </c>
      <c r="G3046" s="31">
        <v>0.06</v>
      </c>
    </row>
    <row r="3047" spans="1:7" x14ac:dyDescent="0.3">
      <c r="A3047">
        <v>4</v>
      </c>
      <c r="B3047">
        <v>4</v>
      </c>
      <c r="C3047" t="s">
        <v>2</v>
      </c>
      <c r="D3047">
        <v>3.7</v>
      </c>
      <c r="E3047">
        <v>10088.475</v>
      </c>
      <c r="F3047" t="s">
        <v>391</v>
      </c>
      <c r="G3047" s="31">
        <v>0.66</v>
      </c>
    </row>
    <row r="3048" spans="1:7" x14ac:dyDescent="0.3">
      <c r="A3048">
        <v>5</v>
      </c>
      <c r="B3048">
        <v>5</v>
      </c>
      <c r="C3048" t="s">
        <v>3</v>
      </c>
      <c r="D3048">
        <v>4.54</v>
      </c>
      <c r="E3048">
        <v>197.989</v>
      </c>
      <c r="F3048" t="s">
        <v>392</v>
      </c>
      <c r="G3048" s="31">
        <v>0.12</v>
      </c>
    </row>
    <row r="3049" spans="1:7" x14ac:dyDescent="0.3">
      <c r="A3049">
        <v>6</v>
      </c>
      <c r="B3049">
        <v>6</v>
      </c>
      <c r="C3049" t="s">
        <v>4</v>
      </c>
      <c r="D3049">
        <v>4.8099999999999996</v>
      </c>
      <c r="E3049">
        <v>19697.740000000002</v>
      </c>
      <c r="F3049" t="s">
        <v>393</v>
      </c>
      <c r="G3049" s="31">
        <v>1.04</v>
      </c>
    </row>
    <row r="3050" spans="1:7" x14ac:dyDescent="0.3">
      <c r="A3050">
        <v>7</v>
      </c>
      <c r="B3050">
        <v>7</v>
      </c>
      <c r="C3050" t="s">
        <v>5</v>
      </c>
      <c r="D3050">
        <v>2.71</v>
      </c>
      <c r="E3050">
        <v>451.62799999999999</v>
      </c>
      <c r="F3050" t="s">
        <v>394</v>
      </c>
      <c r="G3050" s="31">
        <v>7.0000000000000007E-2</v>
      </c>
    </row>
    <row r="3051" spans="1:7" x14ac:dyDescent="0.3">
      <c r="A3051">
        <v>8</v>
      </c>
      <c r="B3051">
        <v>8</v>
      </c>
      <c r="C3051" t="s">
        <v>6</v>
      </c>
      <c r="D3051">
        <v>0.66</v>
      </c>
      <c r="E3051">
        <v>1856.6020000000001</v>
      </c>
      <c r="F3051" t="s">
        <v>395</v>
      </c>
      <c r="G3051" s="31">
        <v>21.78</v>
      </c>
    </row>
    <row r="3052" spans="1:7" x14ac:dyDescent="0.3">
      <c r="A3052">
        <v>9</v>
      </c>
      <c r="B3052">
        <v>9</v>
      </c>
      <c r="C3052" t="s">
        <v>7</v>
      </c>
      <c r="D3052">
        <v>3.56</v>
      </c>
      <c r="E3052">
        <v>463.76499999999999</v>
      </c>
      <c r="F3052" t="s">
        <v>396</v>
      </c>
      <c r="G3052" s="31">
        <v>1.23</v>
      </c>
    </row>
    <row r="3053" spans="1:7" x14ac:dyDescent="0.3">
      <c r="A3053">
        <v>10</v>
      </c>
      <c r="B3053">
        <v>10</v>
      </c>
      <c r="C3053" t="s">
        <v>51</v>
      </c>
      <c r="D3053">
        <v>4.6100000000000003</v>
      </c>
      <c r="E3053">
        <v>463.14299999999997</v>
      </c>
      <c r="F3053" t="s">
        <v>397</v>
      </c>
      <c r="G3053" s="31">
        <v>0.09</v>
      </c>
    </row>
    <row r="3054" spans="1:7" x14ac:dyDescent="0.3">
      <c r="A3054">
        <v>11</v>
      </c>
      <c r="B3054">
        <v>11</v>
      </c>
      <c r="C3054" t="s">
        <v>8</v>
      </c>
      <c r="D3054">
        <v>2.74</v>
      </c>
      <c r="E3054">
        <v>35354.004000000001</v>
      </c>
      <c r="F3054" t="s">
        <v>398</v>
      </c>
      <c r="G3054" s="31">
        <v>1.84</v>
      </c>
    </row>
    <row r="3055" spans="1:7" x14ac:dyDescent="0.3">
      <c r="A3055">
        <v>12</v>
      </c>
      <c r="B3055">
        <v>12</v>
      </c>
      <c r="C3055" t="s">
        <v>9</v>
      </c>
      <c r="D3055">
        <v>2.64</v>
      </c>
      <c r="E3055">
        <v>4379.6000000000004</v>
      </c>
      <c r="F3055" t="s">
        <v>399</v>
      </c>
      <c r="G3055" s="31">
        <v>1.58</v>
      </c>
    </row>
    <row r="3056" spans="1:7" x14ac:dyDescent="0.3">
      <c r="A3056">
        <v>13</v>
      </c>
      <c r="B3056">
        <v>13</v>
      </c>
      <c r="C3056" t="s">
        <v>10</v>
      </c>
      <c r="D3056">
        <v>4.09</v>
      </c>
      <c r="E3056">
        <v>1224412.25</v>
      </c>
      <c r="F3056" t="s">
        <v>400</v>
      </c>
      <c r="G3056" s="31">
        <v>99.75</v>
      </c>
    </row>
    <row r="3057" spans="1:7" x14ac:dyDescent="0.3">
      <c r="A3057">
        <v>14</v>
      </c>
      <c r="B3057">
        <v>14</v>
      </c>
      <c r="C3057" t="s">
        <v>11</v>
      </c>
      <c r="D3057">
        <v>3.52</v>
      </c>
      <c r="E3057">
        <v>6.1429999999999998</v>
      </c>
      <c r="F3057" t="s">
        <v>401</v>
      </c>
      <c r="G3057" s="31">
        <v>1.32</v>
      </c>
    </row>
    <row r="3058" spans="1:7" x14ac:dyDescent="0.3">
      <c r="A3058">
        <v>15</v>
      </c>
      <c r="B3058">
        <v>15</v>
      </c>
      <c r="C3058" t="s">
        <v>12</v>
      </c>
      <c r="D3058">
        <v>3.33</v>
      </c>
      <c r="E3058">
        <v>280.20999999999998</v>
      </c>
      <c r="F3058" t="s">
        <v>402</v>
      </c>
      <c r="G3058" s="31">
        <v>1.19</v>
      </c>
    </row>
    <row r="3059" spans="1:7" x14ac:dyDescent="0.3">
      <c r="A3059">
        <v>16</v>
      </c>
      <c r="B3059">
        <v>16</v>
      </c>
      <c r="C3059" t="s">
        <v>13</v>
      </c>
      <c r="D3059">
        <v>3.23</v>
      </c>
      <c r="E3059">
        <v>5665.3329999999996</v>
      </c>
      <c r="F3059" t="s">
        <v>403</v>
      </c>
      <c r="G3059" s="31">
        <v>1.1200000000000001</v>
      </c>
    </row>
    <row r="3060" spans="1:7" x14ac:dyDescent="0.3">
      <c r="A3060">
        <v>17</v>
      </c>
      <c r="B3060">
        <v>17</v>
      </c>
      <c r="C3060" t="s">
        <v>14</v>
      </c>
      <c r="D3060">
        <v>2.0299999999999998</v>
      </c>
      <c r="E3060">
        <v>16788.134999999998</v>
      </c>
      <c r="F3060" t="s">
        <v>404</v>
      </c>
      <c r="G3060" s="31">
        <v>2.71</v>
      </c>
    </row>
    <row r="3061" spans="1:7" x14ac:dyDescent="0.3">
      <c r="A3061">
        <v>18</v>
      </c>
      <c r="B3061">
        <v>18</v>
      </c>
      <c r="C3061" t="s">
        <v>15</v>
      </c>
      <c r="D3061">
        <v>2.5099999999999998</v>
      </c>
      <c r="E3061">
        <v>19497.511999999999</v>
      </c>
      <c r="F3061" t="s">
        <v>405</v>
      </c>
      <c r="G3061" s="31">
        <v>9.39</v>
      </c>
    </row>
    <row r="3062" spans="1:7" x14ac:dyDescent="0.3">
      <c r="A3062">
        <v>19</v>
      </c>
      <c r="B3062">
        <v>19</v>
      </c>
      <c r="C3062" t="s">
        <v>16</v>
      </c>
      <c r="D3062">
        <v>2.72</v>
      </c>
      <c r="E3062">
        <v>7122.8639999999996</v>
      </c>
      <c r="F3062" t="s">
        <v>406</v>
      </c>
      <c r="G3062" s="31">
        <v>0.4</v>
      </c>
    </row>
    <row r="3063" spans="1:7" x14ac:dyDescent="0.3">
      <c r="A3063">
        <v>20</v>
      </c>
      <c r="B3063">
        <v>20</v>
      </c>
      <c r="C3063" t="s">
        <v>17</v>
      </c>
      <c r="D3063">
        <v>3.13</v>
      </c>
      <c r="E3063">
        <v>14497.315000000001</v>
      </c>
      <c r="F3063" t="s">
        <v>407</v>
      </c>
      <c r="G3063" s="31">
        <v>2.66</v>
      </c>
    </row>
    <row r="3064" spans="1:7" x14ac:dyDescent="0.3">
      <c r="A3064">
        <v>21</v>
      </c>
      <c r="B3064">
        <v>21</v>
      </c>
      <c r="C3064" t="s">
        <v>18</v>
      </c>
      <c r="D3064">
        <v>3.68</v>
      </c>
      <c r="E3064">
        <v>6503.866</v>
      </c>
      <c r="F3064" t="s">
        <v>408</v>
      </c>
      <c r="G3064" s="31">
        <v>0.28000000000000003</v>
      </c>
    </row>
    <row r="3065" spans="1:7" x14ac:dyDescent="0.3">
      <c r="A3065">
        <v>22</v>
      </c>
      <c r="B3065">
        <v>22</v>
      </c>
      <c r="C3065" t="s">
        <v>19</v>
      </c>
      <c r="D3065">
        <v>2.65</v>
      </c>
      <c r="E3065">
        <v>30270.794999999998</v>
      </c>
      <c r="F3065" t="s">
        <v>409</v>
      </c>
      <c r="G3065" s="31">
        <v>3.33</v>
      </c>
    </row>
    <row r="3066" spans="1:7" x14ac:dyDescent="0.3">
      <c r="A3066">
        <v>23</v>
      </c>
      <c r="B3066">
        <v>23</v>
      </c>
      <c r="C3066" t="s">
        <v>20</v>
      </c>
      <c r="D3066">
        <v>2.89</v>
      </c>
      <c r="E3066">
        <v>11299.905000000001</v>
      </c>
      <c r="F3066" t="s">
        <v>410</v>
      </c>
      <c r="G3066" s="31">
        <v>0.72</v>
      </c>
    </row>
    <row r="3067" spans="1:7" x14ac:dyDescent="0.3">
      <c r="A3067">
        <v>24</v>
      </c>
      <c r="B3067">
        <v>24</v>
      </c>
      <c r="C3067" t="s">
        <v>21</v>
      </c>
      <c r="D3067">
        <v>4.1500000000000004</v>
      </c>
      <c r="E3067">
        <v>74.569999999999993</v>
      </c>
      <c r="F3067" t="s">
        <v>411</v>
      </c>
      <c r="G3067" s="31">
        <v>0.1</v>
      </c>
    </row>
    <row r="3068" spans="1:7" x14ac:dyDescent="0.3">
      <c r="A3068">
        <v>25</v>
      </c>
      <c r="B3068">
        <v>25</v>
      </c>
      <c r="C3068" t="s">
        <v>22</v>
      </c>
      <c r="D3068">
        <v>3.41</v>
      </c>
      <c r="E3068">
        <v>150.42599999999999</v>
      </c>
      <c r="F3068" t="s">
        <v>412</v>
      </c>
      <c r="G3068" s="31">
        <v>3.37</v>
      </c>
    </row>
    <row r="3069" spans="1:7" x14ac:dyDescent="0.3">
      <c r="A3069">
        <v>26</v>
      </c>
      <c r="B3069">
        <v>26</v>
      </c>
      <c r="C3069" t="s">
        <v>23</v>
      </c>
      <c r="D3069">
        <v>3.35</v>
      </c>
      <c r="E3069">
        <v>16192.003000000001</v>
      </c>
      <c r="F3069" t="s">
        <v>413</v>
      </c>
      <c r="G3069" s="31">
        <v>1.66</v>
      </c>
    </row>
    <row r="3070" spans="1:7" x14ac:dyDescent="0.3">
      <c r="A3070">
        <v>27</v>
      </c>
      <c r="B3070">
        <v>27</v>
      </c>
      <c r="C3070" t="s">
        <v>24</v>
      </c>
      <c r="D3070">
        <v>3.43</v>
      </c>
      <c r="E3070">
        <v>129.80099999999999</v>
      </c>
      <c r="F3070" t="s">
        <v>414</v>
      </c>
      <c r="G3070" s="31">
        <v>0.1</v>
      </c>
    </row>
    <row r="3071" spans="1:7" x14ac:dyDescent="0.3">
      <c r="A3071">
        <v>28</v>
      </c>
      <c r="B3071">
        <v>28</v>
      </c>
      <c r="C3071" t="s">
        <v>25</v>
      </c>
      <c r="D3071">
        <v>3.52</v>
      </c>
      <c r="E3071">
        <v>624.20600000000002</v>
      </c>
      <c r="F3071" t="s">
        <v>415</v>
      </c>
      <c r="G3071" s="31">
        <v>0.31</v>
      </c>
    </row>
    <row r="3072" spans="1:7" x14ac:dyDescent="0.3">
      <c r="A3072">
        <v>29</v>
      </c>
      <c r="B3072">
        <v>29</v>
      </c>
      <c r="C3072" t="s">
        <v>26</v>
      </c>
      <c r="D3072">
        <v>1.04</v>
      </c>
      <c r="E3072">
        <v>321.22199999999998</v>
      </c>
      <c r="F3072" t="s">
        <v>416</v>
      </c>
      <c r="G3072" s="31">
        <v>0.65</v>
      </c>
    </row>
    <row r="3073" spans="1:7" x14ac:dyDescent="0.3">
      <c r="A3073">
        <v>30</v>
      </c>
      <c r="B3073">
        <v>30</v>
      </c>
      <c r="C3073" t="s">
        <v>27</v>
      </c>
      <c r="D3073">
        <v>4.2699999999999996</v>
      </c>
      <c r="E3073">
        <v>1128.027</v>
      </c>
      <c r="F3073" t="s">
        <v>417</v>
      </c>
      <c r="G3073" s="31">
        <v>0.09</v>
      </c>
    </row>
    <row r="3074" spans="1:7" x14ac:dyDescent="0.3">
      <c r="A3074">
        <v>31</v>
      </c>
      <c r="B3074">
        <v>31</v>
      </c>
      <c r="C3074" t="s">
        <v>28</v>
      </c>
      <c r="D3074">
        <v>3</v>
      </c>
      <c r="E3074">
        <v>40571.523000000001</v>
      </c>
      <c r="F3074" t="s">
        <v>418</v>
      </c>
      <c r="G3074" s="31">
        <v>0.11</v>
      </c>
    </row>
    <row r="3075" spans="1:7" x14ac:dyDescent="0.3">
      <c r="A3075">
        <v>32</v>
      </c>
      <c r="B3075">
        <v>32</v>
      </c>
      <c r="C3075" t="s">
        <v>29</v>
      </c>
      <c r="D3075">
        <v>3.36</v>
      </c>
      <c r="E3075">
        <v>274.90800000000002</v>
      </c>
      <c r="F3075" t="s">
        <v>419</v>
      </c>
      <c r="G3075" s="31">
        <v>7.0000000000000007E-2</v>
      </c>
    </row>
    <row r="3076" spans="1:7" x14ac:dyDescent="0.3">
      <c r="A3076">
        <v>33</v>
      </c>
      <c r="B3076">
        <v>33</v>
      </c>
      <c r="C3076" t="s">
        <v>30</v>
      </c>
      <c r="D3076">
        <v>4.68</v>
      </c>
      <c r="E3076">
        <v>25807.449000000001</v>
      </c>
      <c r="F3076" t="s">
        <v>420</v>
      </c>
      <c r="G3076" s="31">
        <v>0.82</v>
      </c>
    </row>
    <row r="3077" spans="1:7" x14ac:dyDescent="0.3">
      <c r="A3077">
        <v>34</v>
      </c>
      <c r="B3077">
        <v>34</v>
      </c>
      <c r="C3077" t="s">
        <v>31</v>
      </c>
      <c r="D3077">
        <v>3.26</v>
      </c>
      <c r="E3077">
        <v>3212.9189999999999</v>
      </c>
      <c r="F3077" t="s">
        <v>421</v>
      </c>
      <c r="G3077" s="31">
        <v>0.27</v>
      </c>
    </row>
    <row r="3078" spans="1:7" x14ac:dyDescent="0.3">
      <c r="A3078">
        <v>35</v>
      </c>
      <c r="B3078">
        <v>35</v>
      </c>
      <c r="C3078" t="s">
        <v>32</v>
      </c>
      <c r="D3078">
        <v>3.12</v>
      </c>
      <c r="E3078">
        <v>136.13399999999999</v>
      </c>
      <c r="F3078" t="s">
        <v>422</v>
      </c>
      <c r="G3078" s="31">
        <v>0.11</v>
      </c>
    </row>
    <row r="3079" spans="1:7" x14ac:dyDescent="0.3">
      <c r="A3079">
        <v>36</v>
      </c>
      <c r="B3079">
        <v>36</v>
      </c>
      <c r="C3079" t="s">
        <v>33</v>
      </c>
      <c r="D3079">
        <v>1.9</v>
      </c>
      <c r="E3079">
        <v>289.041</v>
      </c>
      <c r="F3079" t="s">
        <v>423</v>
      </c>
      <c r="G3079" s="31">
        <v>0.19</v>
      </c>
    </row>
    <row r="3080" spans="1:7" x14ac:dyDescent="0.3">
      <c r="G3080" s="31">
        <f>G3057/G3059</f>
        <v>1.1785714285714286</v>
      </c>
    </row>
    <row r="3081" spans="1:7" x14ac:dyDescent="0.3">
      <c r="A3081" t="s">
        <v>379</v>
      </c>
    </row>
    <row r="3083" spans="1:7" x14ac:dyDescent="0.3">
      <c r="A3083" t="s">
        <v>491</v>
      </c>
    </row>
    <row r="3085" spans="1:7" x14ac:dyDescent="0.3">
      <c r="A3085" t="s">
        <v>495</v>
      </c>
    </row>
    <row r="3087" spans="1:7" x14ac:dyDescent="0.3">
      <c r="B3087" t="s">
        <v>382</v>
      </c>
      <c r="C3087" t="s">
        <v>383</v>
      </c>
      <c r="D3087" t="s">
        <v>384</v>
      </c>
      <c r="E3087" t="s">
        <v>385</v>
      </c>
      <c r="F3087" t="s">
        <v>386</v>
      </c>
      <c r="G3087" s="31" t="s">
        <v>387</v>
      </c>
    </row>
    <row r="3088" spans="1:7" x14ac:dyDescent="0.3">
      <c r="A3088">
        <v>1</v>
      </c>
      <c r="B3088">
        <v>1</v>
      </c>
      <c r="C3088" t="s">
        <v>0</v>
      </c>
      <c r="D3088">
        <v>1.01</v>
      </c>
      <c r="E3088">
        <v>1009.167</v>
      </c>
      <c r="F3088" t="s">
        <v>388</v>
      </c>
      <c r="G3088" s="31">
        <v>11.96</v>
      </c>
    </row>
    <row r="3089" spans="1:7" x14ac:dyDescent="0.3">
      <c r="A3089">
        <v>2</v>
      </c>
      <c r="B3089">
        <v>2</v>
      </c>
      <c r="C3089" t="s">
        <v>1</v>
      </c>
      <c r="D3089">
        <v>1.46</v>
      </c>
      <c r="E3089">
        <v>1535.8430000000001</v>
      </c>
      <c r="F3089" t="s">
        <v>389</v>
      </c>
      <c r="G3089" s="31">
        <v>4.21</v>
      </c>
    </row>
    <row r="3090" spans="1:7" x14ac:dyDescent="0.3">
      <c r="A3090">
        <v>3</v>
      </c>
      <c r="B3090">
        <v>3</v>
      </c>
      <c r="C3090" t="s">
        <v>50</v>
      </c>
      <c r="D3090">
        <v>3.62</v>
      </c>
      <c r="E3090">
        <v>264.25099999999998</v>
      </c>
      <c r="F3090" t="s">
        <v>390</v>
      </c>
      <c r="G3090" s="31">
        <v>0.3</v>
      </c>
    </row>
    <row r="3091" spans="1:7" x14ac:dyDescent="0.3">
      <c r="A3091">
        <v>4</v>
      </c>
      <c r="B3091">
        <v>4</v>
      </c>
      <c r="C3091" t="s">
        <v>2</v>
      </c>
      <c r="D3091">
        <v>3.7</v>
      </c>
      <c r="E3091">
        <v>13126.543</v>
      </c>
      <c r="F3091" t="s">
        <v>391</v>
      </c>
      <c r="G3091" s="31">
        <v>1.33</v>
      </c>
    </row>
    <row r="3092" spans="1:7" x14ac:dyDescent="0.3">
      <c r="A3092">
        <v>5</v>
      </c>
      <c r="B3092">
        <v>5</v>
      </c>
      <c r="C3092" t="s">
        <v>3</v>
      </c>
      <c r="D3092">
        <v>4.49</v>
      </c>
      <c r="E3092">
        <v>342.339</v>
      </c>
      <c r="F3092" t="s">
        <v>392</v>
      </c>
      <c r="G3092" s="31">
        <v>0.55000000000000004</v>
      </c>
    </row>
    <row r="3093" spans="1:7" x14ac:dyDescent="0.3">
      <c r="A3093">
        <v>6</v>
      </c>
      <c r="B3093">
        <v>6</v>
      </c>
      <c r="C3093" t="s">
        <v>4</v>
      </c>
      <c r="D3093">
        <v>4.8099999999999996</v>
      </c>
      <c r="E3093">
        <v>19090.627</v>
      </c>
      <c r="F3093" t="s">
        <v>393</v>
      </c>
      <c r="G3093" s="31">
        <v>1.65</v>
      </c>
    </row>
    <row r="3094" spans="1:7" x14ac:dyDescent="0.3">
      <c r="A3094">
        <v>7</v>
      </c>
      <c r="B3094">
        <v>7</v>
      </c>
      <c r="C3094" t="s">
        <v>5</v>
      </c>
      <c r="D3094">
        <v>2.71</v>
      </c>
      <c r="E3094">
        <v>565.49</v>
      </c>
      <c r="F3094" t="s">
        <v>394</v>
      </c>
      <c r="G3094" s="31">
        <v>0.15</v>
      </c>
    </row>
    <row r="3095" spans="1:7" x14ac:dyDescent="0.3">
      <c r="A3095">
        <v>8</v>
      </c>
      <c r="B3095">
        <v>8</v>
      </c>
      <c r="C3095" t="s">
        <v>6</v>
      </c>
      <c r="D3095">
        <v>0.67</v>
      </c>
      <c r="E3095">
        <v>2396.2190000000001</v>
      </c>
      <c r="F3095" t="s">
        <v>395</v>
      </c>
      <c r="G3095" s="31">
        <v>44.5</v>
      </c>
    </row>
    <row r="3096" spans="1:7" x14ac:dyDescent="0.3">
      <c r="A3096">
        <v>9</v>
      </c>
      <c r="B3096">
        <v>9</v>
      </c>
      <c r="C3096" t="s">
        <v>7</v>
      </c>
      <c r="D3096">
        <v>3.57</v>
      </c>
      <c r="E3096">
        <v>418.47500000000002</v>
      </c>
      <c r="F3096" t="s">
        <v>396</v>
      </c>
      <c r="G3096" s="31">
        <v>1.81</v>
      </c>
    </row>
    <row r="3097" spans="1:7" x14ac:dyDescent="0.3">
      <c r="A3097">
        <v>10</v>
      </c>
      <c r="B3097">
        <v>10</v>
      </c>
      <c r="C3097" t="s">
        <v>51</v>
      </c>
      <c r="D3097">
        <v>4.76</v>
      </c>
      <c r="E3097">
        <v>307.25700000000001</v>
      </c>
      <c r="F3097" t="s">
        <v>397</v>
      </c>
      <c r="G3097" s="31">
        <v>0.1</v>
      </c>
    </row>
    <row r="3098" spans="1:7" x14ac:dyDescent="0.3">
      <c r="A3098">
        <v>11</v>
      </c>
      <c r="B3098">
        <v>11</v>
      </c>
      <c r="C3098" t="s">
        <v>8</v>
      </c>
      <c r="D3098">
        <v>2.74</v>
      </c>
      <c r="E3098">
        <v>35813.065999999999</v>
      </c>
      <c r="F3098" t="s">
        <v>398</v>
      </c>
      <c r="G3098" s="31">
        <v>3</v>
      </c>
    </row>
    <row r="3099" spans="1:7" x14ac:dyDescent="0.3">
      <c r="A3099">
        <v>12</v>
      </c>
      <c r="B3099">
        <v>12</v>
      </c>
      <c r="C3099" t="s">
        <v>9</v>
      </c>
      <c r="D3099">
        <v>2.63</v>
      </c>
      <c r="E3099">
        <v>3935.8609999999999</v>
      </c>
      <c r="F3099" t="s">
        <v>399</v>
      </c>
      <c r="G3099" s="31">
        <v>2.35</v>
      </c>
    </row>
    <row r="3100" spans="1:7" x14ac:dyDescent="0.3">
      <c r="A3100">
        <v>13</v>
      </c>
      <c r="B3100">
        <v>13</v>
      </c>
      <c r="C3100" t="s">
        <v>10</v>
      </c>
      <c r="D3100">
        <v>4.08</v>
      </c>
      <c r="E3100">
        <v>2392220.5</v>
      </c>
      <c r="F3100" t="s">
        <v>400</v>
      </c>
      <c r="G3100" s="31">
        <v>332.73</v>
      </c>
    </row>
    <row r="3101" spans="1:7" x14ac:dyDescent="0.3">
      <c r="A3101">
        <v>14</v>
      </c>
      <c r="B3101">
        <v>14</v>
      </c>
      <c r="C3101" t="s">
        <v>11</v>
      </c>
      <c r="D3101">
        <v>3.52</v>
      </c>
      <c r="E3101">
        <v>8.0239999999999991</v>
      </c>
      <c r="F3101" t="s">
        <v>401</v>
      </c>
      <c r="G3101" s="31">
        <v>2.25</v>
      </c>
    </row>
    <row r="3102" spans="1:7" x14ac:dyDescent="0.3">
      <c r="A3102">
        <v>15</v>
      </c>
      <c r="B3102">
        <v>15</v>
      </c>
      <c r="C3102" t="s">
        <v>12</v>
      </c>
      <c r="D3102">
        <v>3.33</v>
      </c>
      <c r="E3102">
        <v>10672.543</v>
      </c>
      <c r="F3102" t="s">
        <v>402</v>
      </c>
      <c r="G3102" s="31">
        <v>72.099999999999994</v>
      </c>
    </row>
    <row r="3103" spans="1:7" x14ac:dyDescent="0.3">
      <c r="A3103">
        <v>16</v>
      </c>
      <c r="B3103">
        <v>16</v>
      </c>
      <c r="C3103" t="s">
        <v>13</v>
      </c>
      <c r="D3103">
        <v>3.23</v>
      </c>
      <c r="E3103">
        <v>5537.49</v>
      </c>
      <c r="F3103" t="s">
        <v>403</v>
      </c>
      <c r="G3103" s="31">
        <v>1.78</v>
      </c>
    </row>
    <row r="3104" spans="1:7" x14ac:dyDescent="0.3">
      <c r="A3104">
        <v>17</v>
      </c>
      <c r="B3104">
        <v>17</v>
      </c>
      <c r="C3104" t="s">
        <v>14</v>
      </c>
      <c r="D3104">
        <v>2.02</v>
      </c>
      <c r="E3104">
        <v>22875.449000000001</v>
      </c>
      <c r="F3104" t="s">
        <v>404</v>
      </c>
      <c r="G3104" s="31">
        <v>5.71</v>
      </c>
    </row>
    <row r="3105" spans="1:7" x14ac:dyDescent="0.3">
      <c r="A3105">
        <v>18</v>
      </c>
      <c r="B3105">
        <v>18</v>
      </c>
      <c r="C3105" t="s">
        <v>15</v>
      </c>
      <c r="D3105">
        <v>2.5099999999999998</v>
      </c>
      <c r="E3105">
        <v>14220.45</v>
      </c>
      <c r="F3105" t="s">
        <v>405</v>
      </c>
      <c r="G3105" s="31">
        <v>11.6</v>
      </c>
    </row>
    <row r="3106" spans="1:7" x14ac:dyDescent="0.3">
      <c r="A3106">
        <v>19</v>
      </c>
      <c r="B3106">
        <v>19</v>
      </c>
      <c r="C3106" t="s">
        <v>16</v>
      </c>
      <c r="D3106">
        <v>2.72</v>
      </c>
      <c r="E3106">
        <v>2088.3589999999999</v>
      </c>
      <c r="F3106" t="s">
        <v>406</v>
      </c>
      <c r="G3106" s="31">
        <v>0.23</v>
      </c>
    </row>
    <row r="3107" spans="1:7" x14ac:dyDescent="0.3">
      <c r="A3107">
        <v>20</v>
      </c>
      <c r="B3107">
        <v>20</v>
      </c>
      <c r="C3107" t="s">
        <v>17</v>
      </c>
      <c r="D3107">
        <v>3.13</v>
      </c>
      <c r="E3107">
        <v>7171.0060000000003</v>
      </c>
      <c r="F3107" t="s">
        <v>407</v>
      </c>
      <c r="G3107" s="31">
        <v>2.0699999999999998</v>
      </c>
    </row>
    <row r="3108" spans="1:7" x14ac:dyDescent="0.3">
      <c r="A3108">
        <v>21</v>
      </c>
      <c r="B3108">
        <v>21</v>
      </c>
      <c r="C3108" t="s">
        <v>18</v>
      </c>
      <c r="D3108">
        <v>3.68</v>
      </c>
      <c r="E3108">
        <v>6391.8879999999999</v>
      </c>
      <c r="F3108" t="s">
        <v>408</v>
      </c>
      <c r="G3108" s="31">
        <v>0.44</v>
      </c>
    </row>
    <row r="3109" spans="1:7" x14ac:dyDescent="0.3">
      <c r="A3109">
        <v>22</v>
      </c>
      <c r="B3109">
        <v>22</v>
      </c>
      <c r="C3109" t="s">
        <v>19</v>
      </c>
      <c r="D3109">
        <v>2.65</v>
      </c>
      <c r="E3109">
        <v>25210.23</v>
      </c>
      <c r="F3109" t="s">
        <v>409</v>
      </c>
      <c r="G3109" s="31">
        <v>4.67</v>
      </c>
    </row>
    <row r="3110" spans="1:7" x14ac:dyDescent="0.3">
      <c r="A3110">
        <v>23</v>
      </c>
      <c r="B3110">
        <v>23</v>
      </c>
      <c r="C3110" t="s">
        <v>20</v>
      </c>
      <c r="D3110">
        <v>2.89</v>
      </c>
      <c r="E3110">
        <v>7554.1379999999999</v>
      </c>
      <c r="F3110" t="s">
        <v>410</v>
      </c>
      <c r="G3110" s="31">
        <v>0.83</v>
      </c>
    </row>
    <row r="3111" spans="1:7" x14ac:dyDescent="0.3">
      <c r="A3111">
        <v>24</v>
      </c>
      <c r="B3111">
        <v>24</v>
      </c>
      <c r="C3111" t="s">
        <v>21</v>
      </c>
      <c r="D3111">
        <v>4.1500000000000004</v>
      </c>
      <c r="E3111">
        <v>60.856999999999999</v>
      </c>
      <c r="F3111" t="s">
        <v>411</v>
      </c>
      <c r="G3111" s="31">
        <v>0.1</v>
      </c>
    </row>
    <row r="3112" spans="1:7" x14ac:dyDescent="0.3">
      <c r="A3112">
        <v>25</v>
      </c>
      <c r="B3112">
        <v>25</v>
      </c>
      <c r="C3112" t="s">
        <v>22</v>
      </c>
      <c r="D3112">
        <v>3.42</v>
      </c>
      <c r="E3112">
        <v>309.65600000000001</v>
      </c>
      <c r="F3112" t="s">
        <v>412</v>
      </c>
      <c r="G3112" s="31">
        <v>6.79</v>
      </c>
    </row>
    <row r="3113" spans="1:7" x14ac:dyDescent="0.3">
      <c r="A3113">
        <v>26</v>
      </c>
      <c r="B3113">
        <v>26</v>
      </c>
      <c r="C3113" t="s">
        <v>23</v>
      </c>
      <c r="D3113">
        <v>3.36</v>
      </c>
      <c r="E3113">
        <v>55233.281000000003</v>
      </c>
      <c r="F3113" t="s">
        <v>413</v>
      </c>
      <c r="G3113" s="31">
        <v>8.14</v>
      </c>
    </row>
    <row r="3114" spans="1:7" x14ac:dyDescent="0.3">
      <c r="A3114">
        <v>27</v>
      </c>
      <c r="B3114">
        <v>27</v>
      </c>
      <c r="C3114" t="s">
        <v>24</v>
      </c>
      <c r="D3114">
        <v>3.45</v>
      </c>
      <c r="E3114">
        <v>590.09100000000001</v>
      </c>
      <c r="F3114" t="s">
        <v>414</v>
      </c>
      <c r="G3114" s="31">
        <v>0.46</v>
      </c>
    </row>
    <row r="3115" spans="1:7" x14ac:dyDescent="0.3">
      <c r="A3115">
        <v>28</v>
      </c>
      <c r="B3115">
        <v>28</v>
      </c>
      <c r="C3115" t="s">
        <v>25</v>
      </c>
      <c r="D3115">
        <v>3.52</v>
      </c>
      <c r="E3115">
        <v>3342.02</v>
      </c>
      <c r="F3115" t="s">
        <v>415</v>
      </c>
      <c r="G3115" s="31">
        <v>1.07</v>
      </c>
    </row>
    <row r="3116" spans="1:7" x14ac:dyDescent="0.3">
      <c r="A3116">
        <v>29</v>
      </c>
      <c r="B3116">
        <v>29</v>
      </c>
      <c r="C3116" t="s">
        <v>26</v>
      </c>
      <c r="D3116">
        <v>1.04</v>
      </c>
      <c r="E3116">
        <v>572.37900000000002</v>
      </c>
      <c r="F3116" t="s">
        <v>416</v>
      </c>
      <c r="G3116" s="31">
        <v>1.38</v>
      </c>
    </row>
    <row r="3117" spans="1:7" x14ac:dyDescent="0.3">
      <c r="A3117">
        <v>30</v>
      </c>
      <c r="B3117">
        <v>30</v>
      </c>
      <c r="C3117" t="s">
        <v>27</v>
      </c>
      <c r="D3117">
        <v>4.2300000000000004</v>
      </c>
      <c r="E3117">
        <v>1054.6369999999999</v>
      </c>
      <c r="F3117" t="s">
        <v>417</v>
      </c>
      <c r="G3117" s="31">
        <v>0.14000000000000001</v>
      </c>
    </row>
    <row r="3118" spans="1:7" x14ac:dyDescent="0.3">
      <c r="A3118">
        <v>31</v>
      </c>
      <c r="B3118">
        <v>31</v>
      </c>
      <c r="C3118" t="s">
        <v>28</v>
      </c>
      <c r="D3118">
        <v>3</v>
      </c>
      <c r="E3118">
        <v>32695.039000000001</v>
      </c>
      <c r="F3118" t="s">
        <v>418</v>
      </c>
      <c r="G3118" s="31">
        <v>0.09</v>
      </c>
    </row>
    <row r="3119" spans="1:7" x14ac:dyDescent="0.3">
      <c r="A3119">
        <v>32</v>
      </c>
      <c r="B3119">
        <v>32</v>
      </c>
      <c r="C3119" t="s">
        <v>29</v>
      </c>
      <c r="D3119">
        <v>3.36</v>
      </c>
      <c r="E3119">
        <v>1027.194</v>
      </c>
      <c r="F3119" t="s">
        <v>419</v>
      </c>
      <c r="G3119" s="31">
        <v>0.25</v>
      </c>
    </row>
    <row r="3120" spans="1:7" x14ac:dyDescent="0.3">
      <c r="A3120">
        <v>33</v>
      </c>
      <c r="B3120">
        <v>33</v>
      </c>
      <c r="C3120" t="s">
        <v>30</v>
      </c>
      <c r="D3120">
        <v>4.68</v>
      </c>
      <c r="E3120">
        <v>228477.141</v>
      </c>
      <c r="F3120" t="s">
        <v>420</v>
      </c>
      <c r="G3120" s="31">
        <v>6.4</v>
      </c>
    </row>
    <row r="3121" spans="1:7" x14ac:dyDescent="0.3">
      <c r="A3121">
        <v>34</v>
      </c>
      <c r="B3121">
        <v>34</v>
      </c>
      <c r="C3121" t="s">
        <v>31</v>
      </c>
      <c r="D3121">
        <v>3.26</v>
      </c>
      <c r="E3121">
        <v>2347.3240000000001</v>
      </c>
      <c r="F3121" t="s">
        <v>421</v>
      </c>
      <c r="G3121" s="31">
        <v>0.32</v>
      </c>
    </row>
    <row r="3122" spans="1:7" x14ac:dyDescent="0.3">
      <c r="A3122">
        <v>35</v>
      </c>
      <c r="B3122">
        <v>35</v>
      </c>
      <c r="C3122" t="s">
        <v>32</v>
      </c>
      <c r="D3122">
        <v>3.06</v>
      </c>
      <c r="E3122">
        <v>170.78899999999999</v>
      </c>
      <c r="F3122" t="s">
        <v>422</v>
      </c>
      <c r="G3122" s="31">
        <v>0.12</v>
      </c>
    </row>
    <row r="3123" spans="1:7" x14ac:dyDescent="0.3">
      <c r="A3123">
        <v>36</v>
      </c>
      <c r="B3123">
        <v>36</v>
      </c>
      <c r="C3123" t="s">
        <v>33</v>
      </c>
      <c r="D3123">
        <v>1.9</v>
      </c>
      <c r="E3123">
        <v>714.928</v>
      </c>
      <c r="F3123" t="s">
        <v>423</v>
      </c>
      <c r="G3123" s="31">
        <v>0.75</v>
      </c>
    </row>
    <row r="3124" spans="1:7" x14ac:dyDescent="0.3">
      <c r="G3124" s="31">
        <f>G3101/G3103</f>
        <v>1.2640449438202248</v>
      </c>
    </row>
    <row r="3125" spans="1:7" x14ac:dyDescent="0.3">
      <c r="A3125" t="s">
        <v>379</v>
      </c>
    </row>
    <row r="3127" spans="1:7" x14ac:dyDescent="0.3">
      <c r="A3127" t="s">
        <v>491</v>
      </c>
    </row>
    <row r="3129" spans="1:7" x14ac:dyDescent="0.3">
      <c r="A3129" t="s">
        <v>496</v>
      </c>
    </row>
    <row r="3131" spans="1:7" x14ac:dyDescent="0.3">
      <c r="B3131" t="s">
        <v>382</v>
      </c>
      <c r="C3131" t="s">
        <v>383</v>
      </c>
      <c r="D3131" t="s">
        <v>384</v>
      </c>
      <c r="E3131" t="s">
        <v>385</v>
      </c>
      <c r="F3131" t="s">
        <v>386</v>
      </c>
      <c r="G3131" s="31" t="s">
        <v>387</v>
      </c>
    </row>
    <row r="3132" spans="1:7" x14ac:dyDescent="0.3">
      <c r="A3132">
        <v>1</v>
      </c>
      <c r="B3132">
        <v>1</v>
      </c>
      <c r="C3132" t="s">
        <v>0</v>
      </c>
      <c r="D3132">
        <v>1.02</v>
      </c>
      <c r="E3132">
        <v>1756.2429999999999</v>
      </c>
      <c r="F3132" t="s">
        <v>388</v>
      </c>
      <c r="G3132" s="31">
        <v>22.73</v>
      </c>
    </row>
    <row r="3133" spans="1:7" x14ac:dyDescent="0.3">
      <c r="A3133">
        <v>2</v>
      </c>
      <c r="B3133">
        <v>2</v>
      </c>
      <c r="C3133" t="s">
        <v>1</v>
      </c>
      <c r="D3133">
        <v>1.46</v>
      </c>
      <c r="E3133">
        <v>2878.8409999999999</v>
      </c>
      <c r="F3133" t="s">
        <v>389</v>
      </c>
      <c r="G3133" s="31">
        <v>7.54</v>
      </c>
    </row>
    <row r="3134" spans="1:7" x14ac:dyDescent="0.3">
      <c r="A3134">
        <v>3</v>
      </c>
      <c r="B3134">
        <v>3</v>
      </c>
      <c r="C3134" t="s">
        <v>50</v>
      </c>
      <c r="D3134">
        <v>3.64</v>
      </c>
      <c r="E3134">
        <v>160.75</v>
      </c>
      <c r="F3134" t="s">
        <v>390</v>
      </c>
      <c r="G3134" s="31">
        <v>0.21</v>
      </c>
    </row>
    <row r="3135" spans="1:7" x14ac:dyDescent="0.3">
      <c r="A3135">
        <v>4</v>
      </c>
      <c r="B3135">
        <v>4</v>
      </c>
      <c r="C3135" t="s">
        <v>2</v>
      </c>
      <c r="D3135">
        <v>3.69</v>
      </c>
      <c r="E3135">
        <v>59550.565999999999</v>
      </c>
      <c r="F3135" t="s">
        <v>391</v>
      </c>
      <c r="G3135" s="31">
        <v>5.88</v>
      </c>
    </row>
    <row r="3136" spans="1:7" x14ac:dyDescent="0.3">
      <c r="A3136">
        <v>5</v>
      </c>
      <c r="B3136">
        <v>5</v>
      </c>
      <c r="C3136" t="s">
        <v>3</v>
      </c>
      <c r="D3136">
        <v>4.4800000000000004</v>
      </c>
      <c r="E3136">
        <v>258.04899999999998</v>
      </c>
      <c r="F3136" t="s">
        <v>392</v>
      </c>
      <c r="G3136" s="31">
        <v>0.26</v>
      </c>
    </row>
    <row r="3137" spans="1:7" x14ac:dyDescent="0.3">
      <c r="A3137">
        <v>6</v>
      </c>
      <c r="B3137">
        <v>6</v>
      </c>
      <c r="C3137" t="s">
        <v>4</v>
      </c>
      <c r="D3137">
        <v>4.82</v>
      </c>
      <c r="E3137">
        <v>23531.088</v>
      </c>
      <c r="F3137" t="s">
        <v>393</v>
      </c>
      <c r="G3137" s="31">
        <v>2.04</v>
      </c>
    </row>
    <row r="3138" spans="1:7" x14ac:dyDescent="0.3">
      <c r="A3138">
        <v>7</v>
      </c>
      <c r="B3138">
        <v>7</v>
      </c>
      <c r="C3138" t="s">
        <v>5</v>
      </c>
      <c r="D3138">
        <v>2.71</v>
      </c>
      <c r="E3138">
        <v>386.49400000000003</v>
      </c>
      <c r="F3138" t="s">
        <v>394</v>
      </c>
      <c r="G3138" s="31">
        <v>0.11</v>
      </c>
    </row>
    <row r="3139" spans="1:7" x14ac:dyDescent="0.3">
      <c r="A3139">
        <v>8</v>
      </c>
      <c r="B3139">
        <v>8</v>
      </c>
      <c r="C3139" t="s">
        <v>6</v>
      </c>
      <c r="D3139">
        <v>0.67</v>
      </c>
      <c r="E3139">
        <v>2231.6320000000001</v>
      </c>
      <c r="F3139" t="s">
        <v>395</v>
      </c>
      <c r="G3139" s="31">
        <v>44.35</v>
      </c>
    </row>
    <row r="3140" spans="1:7" x14ac:dyDescent="0.3">
      <c r="A3140">
        <v>9</v>
      </c>
      <c r="B3140">
        <v>9</v>
      </c>
      <c r="C3140" t="s">
        <v>7</v>
      </c>
      <c r="D3140">
        <v>3.56</v>
      </c>
      <c r="E3140">
        <v>2037.643</v>
      </c>
      <c r="F3140" t="s">
        <v>396</v>
      </c>
      <c r="G3140" s="31">
        <v>8.6199999999999992</v>
      </c>
    </row>
    <row r="3141" spans="1:7" x14ac:dyDescent="0.3">
      <c r="A3141">
        <v>10</v>
      </c>
      <c r="B3141">
        <v>10</v>
      </c>
      <c r="C3141" t="s">
        <v>51</v>
      </c>
      <c r="D3141">
        <v>4.76</v>
      </c>
      <c r="E3141">
        <v>428.21</v>
      </c>
      <c r="F3141" t="s">
        <v>397</v>
      </c>
      <c r="G3141" s="31">
        <v>0.15</v>
      </c>
    </row>
    <row r="3142" spans="1:7" x14ac:dyDescent="0.3">
      <c r="A3142">
        <v>11</v>
      </c>
      <c r="B3142">
        <v>11</v>
      </c>
      <c r="C3142" t="s">
        <v>8</v>
      </c>
      <c r="D3142">
        <v>2.74</v>
      </c>
      <c r="E3142">
        <v>25711.25</v>
      </c>
      <c r="F3142" t="s">
        <v>398</v>
      </c>
      <c r="G3142" s="31">
        <v>2.39</v>
      </c>
    </row>
    <row r="3143" spans="1:7" x14ac:dyDescent="0.3">
      <c r="A3143">
        <v>12</v>
      </c>
      <c r="B3143">
        <v>12</v>
      </c>
      <c r="C3143" t="s">
        <v>9</v>
      </c>
      <c r="D3143">
        <v>2.63</v>
      </c>
      <c r="E3143">
        <v>3425.7930000000001</v>
      </c>
      <c r="F3143" t="s">
        <v>399</v>
      </c>
      <c r="G3143" s="31">
        <v>2.25</v>
      </c>
    </row>
    <row r="3144" spans="1:7" x14ac:dyDescent="0.3">
      <c r="A3144">
        <v>13</v>
      </c>
      <c r="B3144">
        <v>13</v>
      </c>
      <c r="C3144" t="s">
        <v>10</v>
      </c>
      <c r="D3144">
        <v>4.08</v>
      </c>
      <c r="E3144">
        <v>2724810.5</v>
      </c>
      <c r="F3144" t="s">
        <v>400</v>
      </c>
      <c r="G3144" s="31">
        <v>406.58</v>
      </c>
    </row>
    <row r="3145" spans="1:7" x14ac:dyDescent="0.3">
      <c r="A3145">
        <v>14</v>
      </c>
      <c r="B3145">
        <v>14</v>
      </c>
      <c r="C3145" t="s">
        <v>11</v>
      </c>
      <c r="D3145">
        <v>3.54</v>
      </c>
      <c r="E3145">
        <v>10.292</v>
      </c>
      <c r="F3145" t="s">
        <v>401</v>
      </c>
      <c r="G3145" s="31">
        <v>2.57</v>
      </c>
    </row>
    <row r="3146" spans="1:7" x14ac:dyDescent="0.3">
      <c r="A3146">
        <v>15</v>
      </c>
      <c r="B3146">
        <v>15</v>
      </c>
      <c r="C3146" t="s">
        <v>12</v>
      </c>
      <c r="D3146">
        <v>3.32</v>
      </c>
      <c r="E3146">
        <v>173.178</v>
      </c>
      <c r="F3146" t="s">
        <v>402</v>
      </c>
      <c r="G3146" s="31">
        <v>1.28</v>
      </c>
    </row>
    <row r="3147" spans="1:7" x14ac:dyDescent="0.3">
      <c r="A3147">
        <v>16</v>
      </c>
      <c r="B3147">
        <v>16</v>
      </c>
      <c r="C3147" t="s">
        <v>13</v>
      </c>
      <c r="D3147">
        <v>3.23</v>
      </c>
      <c r="E3147">
        <v>5362.2529999999997</v>
      </c>
      <c r="F3147" t="s">
        <v>403</v>
      </c>
      <c r="G3147" s="31">
        <v>1.85</v>
      </c>
    </row>
    <row r="3148" spans="1:7" x14ac:dyDescent="0.3">
      <c r="A3148">
        <v>17</v>
      </c>
      <c r="B3148">
        <v>17</v>
      </c>
      <c r="C3148" t="s">
        <v>14</v>
      </c>
      <c r="D3148">
        <v>2.0299999999999998</v>
      </c>
      <c r="E3148">
        <v>6163.7190000000001</v>
      </c>
      <c r="F3148" t="s">
        <v>404</v>
      </c>
      <c r="G3148" s="31">
        <v>2.15</v>
      </c>
    </row>
    <row r="3149" spans="1:7" x14ac:dyDescent="0.3">
      <c r="A3149">
        <v>18</v>
      </c>
      <c r="B3149">
        <v>18</v>
      </c>
      <c r="C3149" t="s">
        <v>15</v>
      </c>
      <c r="D3149">
        <v>2.5</v>
      </c>
      <c r="E3149">
        <v>14754.08</v>
      </c>
      <c r="F3149" t="s">
        <v>405</v>
      </c>
      <c r="G3149" s="31">
        <v>12.74</v>
      </c>
    </row>
    <row r="3150" spans="1:7" x14ac:dyDescent="0.3">
      <c r="A3150">
        <v>19</v>
      </c>
      <c r="B3150">
        <v>19</v>
      </c>
      <c r="C3150" t="s">
        <v>16</v>
      </c>
      <c r="D3150">
        <v>2.71</v>
      </c>
      <c r="E3150">
        <v>4621.2030000000004</v>
      </c>
      <c r="F3150" t="s">
        <v>406</v>
      </c>
      <c r="G3150" s="31">
        <v>0.47</v>
      </c>
    </row>
    <row r="3151" spans="1:7" x14ac:dyDescent="0.3">
      <c r="A3151">
        <v>20</v>
      </c>
      <c r="B3151">
        <v>20</v>
      </c>
      <c r="C3151" t="s">
        <v>17</v>
      </c>
      <c r="D3151">
        <v>3.13</v>
      </c>
      <c r="E3151">
        <v>11210.581</v>
      </c>
      <c r="F3151" t="s">
        <v>407</v>
      </c>
      <c r="G3151" s="31">
        <v>3.51</v>
      </c>
    </row>
    <row r="3152" spans="1:7" x14ac:dyDescent="0.3">
      <c r="A3152">
        <v>21</v>
      </c>
      <c r="B3152">
        <v>21</v>
      </c>
      <c r="C3152" t="s">
        <v>18</v>
      </c>
      <c r="D3152">
        <v>3.68</v>
      </c>
      <c r="E3152">
        <v>8922.8960000000006</v>
      </c>
      <c r="F3152" t="s">
        <v>408</v>
      </c>
      <c r="G3152" s="31">
        <v>0.66</v>
      </c>
    </row>
    <row r="3153" spans="1:7" x14ac:dyDescent="0.3">
      <c r="A3153">
        <v>22</v>
      </c>
      <c r="B3153">
        <v>22</v>
      </c>
      <c r="C3153" t="s">
        <v>19</v>
      </c>
      <c r="D3153">
        <v>2.64</v>
      </c>
      <c r="E3153">
        <v>28136.057000000001</v>
      </c>
      <c r="F3153" t="s">
        <v>409</v>
      </c>
      <c r="G3153" s="31">
        <v>5.4</v>
      </c>
    </row>
    <row r="3154" spans="1:7" x14ac:dyDescent="0.3">
      <c r="A3154">
        <v>23</v>
      </c>
      <c r="B3154">
        <v>23</v>
      </c>
      <c r="C3154" t="s">
        <v>20</v>
      </c>
      <c r="D3154">
        <v>2.89</v>
      </c>
      <c r="E3154">
        <v>11006.7</v>
      </c>
      <c r="F3154" t="s">
        <v>410</v>
      </c>
      <c r="G3154" s="31">
        <v>1.22</v>
      </c>
    </row>
    <row r="3155" spans="1:7" x14ac:dyDescent="0.3">
      <c r="A3155">
        <v>24</v>
      </c>
      <c r="B3155">
        <v>24</v>
      </c>
      <c r="C3155" t="s">
        <v>21</v>
      </c>
      <c r="D3155">
        <v>4.12</v>
      </c>
      <c r="E3155">
        <v>95.697000000000003</v>
      </c>
      <c r="F3155" t="s">
        <v>411</v>
      </c>
      <c r="G3155" s="31">
        <v>0.1</v>
      </c>
    </row>
    <row r="3156" spans="1:7" x14ac:dyDescent="0.3">
      <c r="A3156">
        <v>25</v>
      </c>
      <c r="B3156">
        <v>25</v>
      </c>
      <c r="C3156" t="s">
        <v>22</v>
      </c>
      <c r="D3156">
        <v>3.42</v>
      </c>
      <c r="E3156">
        <v>110.33499999999999</v>
      </c>
      <c r="F3156" t="s">
        <v>412</v>
      </c>
      <c r="G3156" s="31">
        <v>5.44</v>
      </c>
    </row>
    <row r="3157" spans="1:7" x14ac:dyDescent="0.3">
      <c r="A3157">
        <v>26</v>
      </c>
      <c r="B3157">
        <v>26</v>
      </c>
      <c r="C3157" t="s">
        <v>23</v>
      </c>
      <c r="D3157">
        <v>3.35</v>
      </c>
      <c r="E3157">
        <v>30476.974999999999</v>
      </c>
      <c r="F3157" t="s">
        <v>413</v>
      </c>
      <c r="G3157" s="31">
        <v>4.9800000000000004</v>
      </c>
    </row>
    <row r="3158" spans="1:7" x14ac:dyDescent="0.3">
      <c r="A3158">
        <v>27</v>
      </c>
      <c r="B3158">
        <v>27</v>
      </c>
      <c r="C3158" t="s">
        <v>24</v>
      </c>
      <c r="D3158">
        <v>3.41</v>
      </c>
      <c r="E3158">
        <v>131.209</v>
      </c>
      <c r="F3158" t="s">
        <v>414</v>
      </c>
      <c r="G3158" s="31">
        <v>0.1</v>
      </c>
    </row>
    <row r="3159" spans="1:7" x14ac:dyDescent="0.3">
      <c r="A3159">
        <v>28</v>
      </c>
      <c r="B3159">
        <v>28</v>
      </c>
      <c r="C3159" t="s">
        <v>25</v>
      </c>
      <c r="D3159">
        <v>3.52</v>
      </c>
      <c r="E3159">
        <v>811.13499999999999</v>
      </c>
      <c r="F3159" t="s">
        <v>415</v>
      </c>
      <c r="G3159" s="31">
        <v>0.56999999999999995</v>
      </c>
    </row>
    <row r="3160" spans="1:7" x14ac:dyDescent="0.3">
      <c r="A3160">
        <v>29</v>
      </c>
      <c r="B3160">
        <v>29</v>
      </c>
      <c r="C3160" t="s">
        <v>26</v>
      </c>
      <c r="D3160">
        <v>1.03</v>
      </c>
      <c r="E3160">
        <v>1181.9949999999999</v>
      </c>
      <c r="F3160" t="s">
        <v>416</v>
      </c>
      <c r="G3160" s="31">
        <v>2.3199999999999998</v>
      </c>
    </row>
    <row r="3161" spans="1:7" x14ac:dyDescent="0.3">
      <c r="A3161">
        <v>30</v>
      </c>
      <c r="B3161">
        <v>30</v>
      </c>
      <c r="C3161" t="s">
        <v>27</v>
      </c>
      <c r="D3161">
        <v>4.32</v>
      </c>
      <c r="E3161">
        <v>444.892</v>
      </c>
      <c r="F3161" t="s">
        <v>417</v>
      </c>
      <c r="G3161" s="31">
        <v>0.08</v>
      </c>
    </row>
    <row r="3162" spans="1:7" x14ac:dyDescent="0.3">
      <c r="A3162">
        <v>31</v>
      </c>
      <c r="B3162">
        <v>31</v>
      </c>
      <c r="C3162" t="s">
        <v>28</v>
      </c>
      <c r="D3162">
        <v>3</v>
      </c>
      <c r="E3162">
        <v>44763.09</v>
      </c>
      <c r="F3162" t="s">
        <v>418</v>
      </c>
      <c r="G3162" s="31">
        <v>0.23</v>
      </c>
    </row>
    <row r="3163" spans="1:7" x14ac:dyDescent="0.3">
      <c r="A3163">
        <v>32</v>
      </c>
      <c r="B3163">
        <v>32</v>
      </c>
      <c r="C3163" t="s">
        <v>29</v>
      </c>
      <c r="D3163">
        <v>3.37</v>
      </c>
      <c r="E3163">
        <v>601.23599999999999</v>
      </c>
      <c r="F3163" t="s">
        <v>419</v>
      </c>
      <c r="G3163" s="31">
        <v>0.19</v>
      </c>
    </row>
    <row r="3164" spans="1:7" x14ac:dyDescent="0.3">
      <c r="A3164">
        <v>33</v>
      </c>
      <c r="B3164">
        <v>33</v>
      </c>
      <c r="C3164" t="s">
        <v>30</v>
      </c>
      <c r="D3164">
        <v>4.67</v>
      </c>
      <c r="E3164">
        <v>31106.240000000002</v>
      </c>
      <c r="F3164" t="s">
        <v>420</v>
      </c>
      <c r="G3164" s="31">
        <v>1.56</v>
      </c>
    </row>
    <row r="3165" spans="1:7" x14ac:dyDescent="0.3">
      <c r="A3165">
        <v>34</v>
      </c>
      <c r="B3165">
        <v>34</v>
      </c>
      <c r="C3165" t="s">
        <v>31</v>
      </c>
      <c r="D3165">
        <v>3.5</v>
      </c>
      <c r="E3165">
        <v>918.58399999999995</v>
      </c>
      <c r="F3165" t="s">
        <v>421</v>
      </c>
      <c r="G3165" s="31">
        <v>0.15</v>
      </c>
    </row>
    <row r="3166" spans="1:7" x14ac:dyDescent="0.3">
      <c r="A3166">
        <v>35</v>
      </c>
      <c r="B3166">
        <v>35</v>
      </c>
      <c r="C3166" t="s">
        <v>32</v>
      </c>
      <c r="D3166">
        <v>3.07</v>
      </c>
      <c r="E3166">
        <v>249.96</v>
      </c>
      <c r="F3166" t="s">
        <v>422</v>
      </c>
      <c r="G3166" s="31">
        <v>0.14000000000000001</v>
      </c>
    </row>
    <row r="3167" spans="1:7" x14ac:dyDescent="0.3">
      <c r="A3167">
        <v>36</v>
      </c>
      <c r="B3167">
        <v>36</v>
      </c>
      <c r="C3167" t="s">
        <v>33</v>
      </c>
      <c r="D3167">
        <v>1.89</v>
      </c>
      <c r="E3167">
        <v>868.63699999999994</v>
      </c>
      <c r="F3167" t="s">
        <v>423</v>
      </c>
      <c r="G3167" s="31">
        <v>0.97</v>
      </c>
    </row>
    <row r="3168" spans="1:7" x14ac:dyDescent="0.3">
      <c r="G3168" s="31">
        <f>G3145/G3147</f>
        <v>1.389189189189189</v>
      </c>
    </row>
    <row r="3169" spans="1:7" x14ac:dyDescent="0.3">
      <c r="A3169" t="s">
        <v>379</v>
      </c>
    </row>
    <row r="3171" spans="1:7" x14ac:dyDescent="0.3">
      <c r="A3171" t="s">
        <v>491</v>
      </c>
    </row>
    <row r="3173" spans="1:7" x14ac:dyDescent="0.3">
      <c r="A3173" t="s">
        <v>497</v>
      </c>
    </row>
    <row r="3175" spans="1:7" x14ac:dyDescent="0.3">
      <c r="B3175" t="s">
        <v>382</v>
      </c>
      <c r="C3175" t="s">
        <v>383</v>
      </c>
      <c r="D3175" t="s">
        <v>384</v>
      </c>
      <c r="E3175" t="s">
        <v>385</v>
      </c>
      <c r="F3175" t="s">
        <v>386</v>
      </c>
      <c r="G3175" s="31" t="s">
        <v>387</v>
      </c>
    </row>
    <row r="3176" spans="1:7" x14ac:dyDescent="0.3">
      <c r="A3176">
        <v>1</v>
      </c>
      <c r="B3176">
        <v>1</v>
      </c>
      <c r="C3176" t="s">
        <v>0</v>
      </c>
      <c r="D3176">
        <v>0.99</v>
      </c>
      <c r="E3176">
        <v>30.763999999999999</v>
      </c>
      <c r="F3176" t="s">
        <v>388</v>
      </c>
      <c r="G3176" s="31">
        <v>0.1</v>
      </c>
    </row>
    <row r="3177" spans="1:7" x14ac:dyDescent="0.3">
      <c r="A3177">
        <v>2</v>
      </c>
      <c r="B3177">
        <v>2</v>
      </c>
      <c r="C3177" t="s">
        <v>1</v>
      </c>
      <c r="D3177">
        <v>1.47</v>
      </c>
      <c r="E3177">
        <v>120.512</v>
      </c>
      <c r="F3177" t="s">
        <v>389</v>
      </c>
      <c r="G3177" s="31">
        <v>5.79</v>
      </c>
    </row>
    <row r="3178" spans="1:7" x14ac:dyDescent="0.3">
      <c r="A3178">
        <v>3</v>
      </c>
      <c r="B3178">
        <v>3</v>
      </c>
      <c r="C3178" t="s">
        <v>50</v>
      </c>
      <c r="D3178">
        <v>3.65</v>
      </c>
      <c r="E3178">
        <v>44.863999999999997</v>
      </c>
      <c r="F3178" t="s">
        <v>390</v>
      </c>
      <c r="G3178" s="31">
        <v>0.42</v>
      </c>
    </row>
    <row r="3179" spans="1:7" x14ac:dyDescent="0.3">
      <c r="A3179">
        <v>4</v>
      </c>
      <c r="B3179">
        <v>4</v>
      </c>
      <c r="C3179" t="s">
        <v>2</v>
      </c>
      <c r="D3179">
        <v>3.88</v>
      </c>
      <c r="E3179">
        <v>65.582999999999998</v>
      </c>
      <c r="F3179" t="s">
        <v>391</v>
      </c>
      <c r="G3179" s="31">
        <v>0.77</v>
      </c>
    </row>
    <row r="3180" spans="1:7" x14ac:dyDescent="0.3">
      <c r="A3180">
        <v>5</v>
      </c>
      <c r="B3180">
        <v>5</v>
      </c>
      <c r="C3180" t="s">
        <v>3</v>
      </c>
      <c r="D3180">
        <v>4.47</v>
      </c>
      <c r="E3180">
        <v>91.391000000000005</v>
      </c>
      <c r="F3180" t="s">
        <v>392</v>
      </c>
      <c r="G3180" s="31">
        <v>0.1</v>
      </c>
    </row>
    <row r="3181" spans="1:7" x14ac:dyDescent="0.3">
      <c r="A3181">
        <v>6</v>
      </c>
      <c r="B3181">
        <v>6</v>
      </c>
      <c r="C3181" t="s">
        <v>4</v>
      </c>
      <c r="D3181">
        <v>4.87</v>
      </c>
      <c r="E3181">
        <v>29.074000000000002</v>
      </c>
      <c r="F3181" t="s">
        <v>393</v>
      </c>
      <c r="G3181" s="31">
        <v>2.29</v>
      </c>
    </row>
    <row r="3182" spans="1:7" x14ac:dyDescent="0.3">
      <c r="A3182">
        <v>7</v>
      </c>
      <c r="B3182">
        <v>7</v>
      </c>
      <c r="C3182" t="s">
        <v>5</v>
      </c>
      <c r="D3182">
        <v>2.79</v>
      </c>
      <c r="E3182">
        <v>44.741</v>
      </c>
      <c r="F3182" t="s">
        <v>394</v>
      </c>
      <c r="G3182" s="31">
        <v>0.11</v>
      </c>
    </row>
    <row r="3183" spans="1:7" x14ac:dyDescent="0.3">
      <c r="A3183">
        <v>8</v>
      </c>
      <c r="B3183">
        <v>8</v>
      </c>
      <c r="C3183" t="s">
        <v>6</v>
      </c>
      <c r="F3183" t="s">
        <v>395</v>
      </c>
      <c r="G3183" s="31">
        <v>0.1</v>
      </c>
    </row>
    <row r="3184" spans="1:7" x14ac:dyDescent="0.3">
      <c r="A3184">
        <v>9</v>
      </c>
      <c r="B3184">
        <v>9</v>
      </c>
      <c r="C3184" t="s">
        <v>7</v>
      </c>
      <c r="D3184">
        <v>3.64</v>
      </c>
      <c r="E3184">
        <v>134.38200000000001</v>
      </c>
      <c r="F3184" t="s">
        <v>396</v>
      </c>
      <c r="G3184" s="31">
        <v>3.48</v>
      </c>
    </row>
    <row r="3185" spans="1:7" x14ac:dyDescent="0.3">
      <c r="A3185">
        <v>10</v>
      </c>
      <c r="B3185">
        <v>10</v>
      </c>
      <c r="C3185" t="s">
        <v>51</v>
      </c>
      <c r="D3185">
        <v>4.71</v>
      </c>
      <c r="E3185">
        <v>626.48699999999997</v>
      </c>
      <c r="F3185" t="s">
        <v>397</v>
      </c>
      <c r="G3185" s="31">
        <v>0.97</v>
      </c>
    </row>
    <row r="3186" spans="1:7" x14ac:dyDescent="0.3">
      <c r="A3186">
        <v>11</v>
      </c>
      <c r="B3186">
        <v>11</v>
      </c>
      <c r="C3186" t="s">
        <v>8</v>
      </c>
      <c r="F3186" t="s">
        <v>398</v>
      </c>
      <c r="G3186" s="31">
        <v>0.1</v>
      </c>
    </row>
    <row r="3187" spans="1:7" x14ac:dyDescent="0.3">
      <c r="A3187">
        <v>12</v>
      </c>
      <c r="B3187">
        <v>12</v>
      </c>
      <c r="C3187" t="s">
        <v>9</v>
      </c>
      <c r="D3187">
        <v>2.74</v>
      </c>
      <c r="E3187">
        <v>136.15199999999999</v>
      </c>
      <c r="F3187" t="s">
        <v>399</v>
      </c>
      <c r="G3187" s="31">
        <v>2.99</v>
      </c>
    </row>
    <row r="3188" spans="1:7" x14ac:dyDescent="0.3">
      <c r="A3188">
        <v>13</v>
      </c>
      <c r="B3188">
        <v>13</v>
      </c>
      <c r="C3188" t="s">
        <v>10</v>
      </c>
      <c r="D3188">
        <v>4.07</v>
      </c>
      <c r="E3188">
        <v>1261.45</v>
      </c>
      <c r="F3188" t="s">
        <v>400</v>
      </c>
      <c r="G3188" s="31">
        <v>0.1</v>
      </c>
    </row>
    <row r="3189" spans="1:7" x14ac:dyDescent="0.3">
      <c r="A3189">
        <v>14</v>
      </c>
      <c r="B3189">
        <v>14</v>
      </c>
      <c r="C3189" t="s">
        <v>11</v>
      </c>
      <c r="F3189" t="s">
        <v>401</v>
      </c>
      <c r="G3189" s="31">
        <v>0.1</v>
      </c>
    </row>
    <row r="3190" spans="1:7" x14ac:dyDescent="0.3">
      <c r="A3190">
        <v>15</v>
      </c>
      <c r="B3190">
        <v>15</v>
      </c>
      <c r="C3190" t="s">
        <v>12</v>
      </c>
      <c r="D3190">
        <v>3.22</v>
      </c>
      <c r="E3190">
        <v>21.481999999999999</v>
      </c>
      <c r="F3190" t="s">
        <v>402</v>
      </c>
      <c r="G3190" s="31">
        <v>0.86</v>
      </c>
    </row>
    <row r="3191" spans="1:7" x14ac:dyDescent="0.3">
      <c r="A3191">
        <v>16</v>
      </c>
      <c r="B3191">
        <v>16</v>
      </c>
      <c r="C3191" t="s">
        <v>13</v>
      </c>
      <c r="F3191" t="s">
        <v>403</v>
      </c>
      <c r="G3191" s="31">
        <v>0.1</v>
      </c>
    </row>
    <row r="3192" spans="1:7" x14ac:dyDescent="0.3">
      <c r="A3192">
        <v>17</v>
      </c>
      <c r="B3192">
        <v>17</v>
      </c>
      <c r="C3192" t="s">
        <v>14</v>
      </c>
      <c r="D3192">
        <v>2.0499999999999998</v>
      </c>
      <c r="E3192">
        <v>122.84699999999999</v>
      </c>
      <c r="F3192" t="s">
        <v>404</v>
      </c>
      <c r="G3192" s="31">
        <v>3.33</v>
      </c>
    </row>
    <row r="3193" spans="1:7" x14ac:dyDescent="0.3">
      <c r="A3193">
        <v>18</v>
      </c>
      <c r="B3193">
        <v>18</v>
      </c>
      <c r="C3193" t="s">
        <v>15</v>
      </c>
      <c r="D3193">
        <v>2.4500000000000002</v>
      </c>
      <c r="E3193">
        <v>75.442999999999998</v>
      </c>
      <c r="F3193" t="s">
        <v>405</v>
      </c>
      <c r="G3193" s="31">
        <v>10.49</v>
      </c>
    </row>
    <row r="3194" spans="1:7" x14ac:dyDescent="0.3">
      <c r="A3194">
        <v>19</v>
      </c>
      <c r="B3194">
        <v>19</v>
      </c>
      <c r="C3194" t="s">
        <v>16</v>
      </c>
      <c r="D3194">
        <v>2.83</v>
      </c>
      <c r="E3194">
        <v>19.518000000000001</v>
      </c>
      <c r="F3194" t="s">
        <v>406</v>
      </c>
      <c r="G3194" s="31">
        <v>0.3</v>
      </c>
    </row>
    <row r="3195" spans="1:7" x14ac:dyDescent="0.3">
      <c r="A3195">
        <v>20</v>
      </c>
      <c r="B3195">
        <v>20</v>
      </c>
      <c r="C3195" t="s">
        <v>17</v>
      </c>
      <c r="D3195">
        <v>3.14</v>
      </c>
      <c r="E3195">
        <v>1483.0050000000001</v>
      </c>
      <c r="F3195" t="s">
        <v>407</v>
      </c>
      <c r="G3195" s="31">
        <v>1.7</v>
      </c>
    </row>
    <row r="3196" spans="1:7" x14ac:dyDescent="0.3">
      <c r="A3196">
        <v>21</v>
      </c>
      <c r="B3196">
        <v>21</v>
      </c>
      <c r="C3196" t="s">
        <v>18</v>
      </c>
      <c r="D3196">
        <v>3.68</v>
      </c>
      <c r="E3196">
        <v>539.12099999999998</v>
      </c>
      <c r="F3196" t="s">
        <v>408</v>
      </c>
      <c r="G3196" s="31">
        <v>0.14000000000000001</v>
      </c>
    </row>
    <row r="3197" spans="1:7" x14ac:dyDescent="0.3">
      <c r="A3197">
        <v>22</v>
      </c>
      <c r="B3197">
        <v>22</v>
      </c>
      <c r="C3197" t="s">
        <v>19</v>
      </c>
      <c r="F3197" t="s">
        <v>409</v>
      </c>
      <c r="G3197" s="31">
        <v>0.1</v>
      </c>
    </row>
    <row r="3198" spans="1:7" x14ac:dyDescent="0.3">
      <c r="A3198">
        <v>23</v>
      </c>
      <c r="B3198">
        <v>23</v>
      </c>
      <c r="C3198" t="s">
        <v>20</v>
      </c>
      <c r="F3198" t="s">
        <v>410</v>
      </c>
      <c r="G3198" s="31">
        <v>0.1</v>
      </c>
    </row>
    <row r="3199" spans="1:7" x14ac:dyDescent="0.3">
      <c r="A3199">
        <v>24</v>
      </c>
      <c r="B3199">
        <v>24</v>
      </c>
      <c r="C3199" t="s">
        <v>21</v>
      </c>
      <c r="D3199">
        <v>4.1399999999999997</v>
      </c>
      <c r="E3199">
        <v>28.140999999999998</v>
      </c>
      <c r="F3199" t="s">
        <v>411</v>
      </c>
      <c r="G3199" s="31">
        <v>0.1</v>
      </c>
    </row>
    <row r="3200" spans="1:7" x14ac:dyDescent="0.3">
      <c r="A3200">
        <v>25</v>
      </c>
      <c r="B3200">
        <v>25</v>
      </c>
      <c r="C3200" t="s">
        <v>22</v>
      </c>
      <c r="D3200">
        <v>3.44</v>
      </c>
      <c r="E3200">
        <v>50.509</v>
      </c>
      <c r="F3200" t="s">
        <v>412</v>
      </c>
      <c r="G3200" s="31">
        <v>22.53</v>
      </c>
    </row>
    <row r="3201" spans="1:7" x14ac:dyDescent="0.3">
      <c r="A3201">
        <v>26</v>
      </c>
      <c r="B3201">
        <v>26</v>
      </c>
      <c r="C3201" t="s">
        <v>23</v>
      </c>
      <c r="F3201" t="s">
        <v>413</v>
      </c>
      <c r="G3201" s="31">
        <v>0.1</v>
      </c>
    </row>
    <row r="3202" spans="1:7" x14ac:dyDescent="0.3">
      <c r="A3202">
        <v>27</v>
      </c>
      <c r="B3202">
        <v>27</v>
      </c>
      <c r="C3202" t="s">
        <v>24</v>
      </c>
      <c r="D3202">
        <v>3.45</v>
      </c>
      <c r="E3202">
        <v>7.819</v>
      </c>
      <c r="F3202" t="s">
        <v>414</v>
      </c>
      <c r="G3202" s="31">
        <v>0.1</v>
      </c>
    </row>
    <row r="3203" spans="1:7" x14ac:dyDescent="0.3">
      <c r="A3203">
        <v>28</v>
      </c>
      <c r="B3203">
        <v>28</v>
      </c>
      <c r="C3203" t="s">
        <v>25</v>
      </c>
      <c r="D3203">
        <v>3.49</v>
      </c>
      <c r="E3203">
        <v>2.09</v>
      </c>
      <c r="F3203" t="s">
        <v>415</v>
      </c>
      <c r="G3203" s="31">
        <v>1.8</v>
      </c>
    </row>
    <row r="3204" spans="1:7" x14ac:dyDescent="0.3">
      <c r="A3204">
        <v>29</v>
      </c>
      <c r="B3204">
        <v>29</v>
      </c>
      <c r="C3204" t="s">
        <v>26</v>
      </c>
      <c r="D3204">
        <v>1.49</v>
      </c>
      <c r="E3204">
        <v>6.1710000000000003</v>
      </c>
      <c r="F3204" t="s">
        <v>416</v>
      </c>
      <c r="G3204" s="31">
        <v>3.12</v>
      </c>
    </row>
    <row r="3205" spans="1:7" x14ac:dyDescent="0.3">
      <c r="A3205">
        <v>30</v>
      </c>
      <c r="B3205">
        <v>30</v>
      </c>
      <c r="C3205" t="s">
        <v>27</v>
      </c>
      <c r="D3205">
        <v>4.34</v>
      </c>
      <c r="E3205">
        <v>13.988</v>
      </c>
      <c r="F3205" t="s">
        <v>417</v>
      </c>
      <c r="G3205" s="31">
        <v>0.12</v>
      </c>
    </row>
    <row r="3206" spans="1:7" x14ac:dyDescent="0.3">
      <c r="A3206">
        <v>31</v>
      </c>
      <c r="B3206">
        <v>31</v>
      </c>
      <c r="C3206" t="s">
        <v>28</v>
      </c>
      <c r="D3206">
        <v>3.08</v>
      </c>
      <c r="E3206">
        <v>5.0449999999999999</v>
      </c>
      <c r="F3206" t="s">
        <v>418</v>
      </c>
      <c r="G3206" s="31">
        <v>0.1</v>
      </c>
    </row>
    <row r="3207" spans="1:7" x14ac:dyDescent="0.3">
      <c r="A3207">
        <v>32</v>
      </c>
      <c r="B3207">
        <v>32</v>
      </c>
      <c r="C3207" t="s">
        <v>29</v>
      </c>
      <c r="F3207" t="s">
        <v>419</v>
      </c>
      <c r="G3207" s="31">
        <v>0.1</v>
      </c>
    </row>
    <row r="3208" spans="1:7" x14ac:dyDescent="0.3">
      <c r="A3208">
        <v>33</v>
      </c>
      <c r="B3208">
        <v>33</v>
      </c>
      <c r="C3208" t="s">
        <v>30</v>
      </c>
      <c r="D3208">
        <v>4.6500000000000004</v>
      </c>
      <c r="E3208">
        <v>40.771999999999998</v>
      </c>
      <c r="F3208" t="s">
        <v>420</v>
      </c>
      <c r="G3208" s="31">
        <v>3.35</v>
      </c>
    </row>
    <row r="3209" spans="1:7" x14ac:dyDescent="0.3">
      <c r="A3209">
        <v>34</v>
      </c>
      <c r="B3209">
        <v>34</v>
      </c>
      <c r="C3209" t="s">
        <v>31</v>
      </c>
      <c r="D3209">
        <v>3.66</v>
      </c>
      <c r="E3209">
        <v>26.978000000000002</v>
      </c>
      <c r="F3209" t="s">
        <v>421</v>
      </c>
      <c r="G3209" s="31">
        <v>0.13</v>
      </c>
    </row>
    <row r="3210" spans="1:7" x14ac:dyDescent="0.3">
      <c r="A3210">
        <v>35</v>
      </c>
      <c r="B3210">
        <v>35</v>
      </c>
      <c r="C3210" t="s">
        <v>32</v>
      </c>
      <c r="D3210">
        <v>3.04</v>
      </c>
      <c r="E3210">
        <v>17.55</v>
      </c>
      <c r="F3210" t="s">
        <v>422</v>
      </c>
      <c r="G3210" s="31">
        <v>0.1</v>
      </c>
    </row>
    <row r="3211" spans="1:7" x14ac:dyDescent="0.3">
      <c r="A3211">
        <v>36</v>
      </c>
      <c r="B3211">
        <v>36</v>
      </c>
      <c r="C3211" t="s">
        <v>33</v>
      </c>
      <c r="D3211">
        <v>1.98</v>
      </c>
      <c r="E3211">
        <v>3.0960000000000001</v>
      </c>
      <c r="F3211" t="s">
        <v>423</v>
      </c>
      <c r="G3211" s="31">
        <v>0.14000000000000001</v>
      </c>
    </row>
    <row r="3213" spans="1:7" x14ac:dyDescent="0.3">
      <c r="A3213" t="s">
        <v>379</v>
      </c>
    </row>
    <row r="3215" spans="1:7" x14ac:dyDescent="0.3">
      <c r="A3215" t="s">
        <v>491</v>
      </c>
    </row>
    <row r="3217" spans="1:7" x14ac:dyDescent="0.3">
      <c r="A3217" t="s">
        <v>498</v>
      </c>
    </row>
    <row r="3219" spans="1:7" x14ac:dyDescent="0.3">
      <c r="B3219" t="s">
        <v>382</v>
      </c>
      <c r="C3219" t="s">
        <v>383</v>
      </c>
      <c r="D3219" t="s">
        <v>384</v>
      </c>
      <c r="E3219" t="s">
        <v>385</v>
      </c>
      <c r="F3219" t="s">
        <v>386</v>
      </c>
      <c r="G3219" s="31" t="s">
        <v>387</v>
      </c>
    </row>
    <row r="3220" spans="1:7" x14ac:dyDescent="0.3">
      <c r="A3220">
        <v>1</v>
      </c>
      <c r="B3220">
        <v>1</v>
      </c>
      <c r="C3220" t="s">
        <v>0</v>
      </c>
      <c r="D3220">
        <v>1.01</v>
      </c>
      <c r="E3220">
        <v>1804.9490000000001</v>
      </c>
      <c r="F3220" t="s">
        <v>388</v>
      </c>
      <c r="G3220" s="31">
        <v>20.68</v>
      </c>
    </row>
    <row r="3221" spans="1:7" x14ac:dyDescent="0.3">
      <c r="A3221">
        <v>2</v>
      </c>
      <c r="B3221">
        <v>2</v>
      </c>
      <c r="C3221" t="s">
        <v>1</v>
      </c>
      <c r="D3221">
        <v>1.46</v>
      </c>
      <c r="E3221">
        <v>6334.8190000000004</v>
      </c>
      <c r="F3221" t="s">
        <v>389</v>
      </c>
      <c r="G3221" s="31">
        <v>13.64</v>
      </c>
    </row>
    <row r="3222" spans="1:7" x14ac:dyDescent="0.3">
      <c r="A3222">
        <v>3</v>
      </c>
      <c r="B3222">
        <v>3</v>
      </c>
      <c r="C3222" t="s">
        <v>50</v>
      </c>
      <c r="D3222">
        <v>3.59</v>
      </c>
      <c r="E3222">
        <v>247.25200000000001</v>
      </c>
      <c r="F3222" t="s">
        <v>390</v>
      </c>
      <c r="G3222" s="31">
        <v>0.27</v>
      </c>
    </row>
    <row r="3223" spans="1:7" x14ac:dyDescent="0.3">
      <c r="A3223">
        <v>4</v>
      </c>
      <c r="B3223">
        <v>4</v>
      </c>
      <c r="C3223" t="s">
        <v>2</v>
      </c>
      <c r="D3223">
        <v>3.7</v>
      </c>
      <c r="E3223">
        <v>25652.537</v>
      </c>
      <c r="F3223" t="s">
        <v>391</v>
      </c>
      <c r="G3223" s="31">
        <v>2.3199999999999998</v>
      </c>
    </row>
    <row r="3224" spans="1:7" x14ac:dyDescent="0.3">
      <c r="A3224">
        <v>5</v>
      </c>
      <c r="B3224">
        <v>5</v>
      </c>
      <c r="C3224" t="s">
        <v>3</v>
      </c>
      <c r="D3224">
        <v>4.4800000000000004</v>
      </c>
      <c r="E3224">
        <v>364.017</v>
      </c>
      <c r="F3224" t="s">
        <v>392</v>
      </c>
      <c r="G3224" s="31">
        <v>0.59</v>
      </c>
    </row>
    <row r="3225" spans="1:7" x14ac:dyDescent="0.3">
      <c r="A3225">
        <v>6</v>
      </c>
      <c r="B3225">
        <v>6</v>
      </c>
      <c r="C3225" t="s">
        <v>4</v>
      </c>
      <c r="D3225">
        <v>4.8099999999999996</v>
      </c>
      <c r="E3225">
        <v>13391.316000000001</v>
      </c>
      <c r="F3225" t="s">
        <v>393</v>
      </c>
      <c r="G3225" s="31">
        <v>1.22</v>
      </c>
    </row>
    <row r="3226" spans="1:7" x14ac:dyDescent="0.3">
      <c r="A3226">
        <v>7</v>
      </c>
      <c r="B3226">
        <v>7</v>
      </c>
      <c r="C3226" t="s">
        <v>5</v>
      </c>
      <c r="D3226">
        <v>2.71</v>
      </c>
      <c r="E3226">
        <v>305.08100000000002</v>
      </c>
      <c r="F3226" t="s">
        <v>394</v>
      </c>
      <c r="G3226" s="31">
        <v>0.08</v>
      </c>
    </row>
    <row r="3227" spans="1:7" x14ac:dyDescent="0.3">
      <c r="A3227">
        <v>8</v>
      </c>
      <c r="B3227">
        <v>8</v>
      </c>
      <c r="C3227" t="s">
        <v>6</v>
      </c>
      <c r="D3227">
        <v>0.67</v>
      </c>
      <c r="E3227">
        <v>2699.2240000000002</v>
      </c>
      <c r="F3227" t="s">
        <v>395</v>
      </c>
      <c r="G3227" s="31">
        <v>46.91</v>
      </c>
    </row>
    <row r="3228" spans="1:7" x14ac:dyDescent="0.3">
      <c r="A3228">
        <v>9</v>
      </c>
      <c r="B3228">
        <v>9</v>
      </c>
      <c r="C3228" t="s">
        <v>7</v>
      </c>
      <c r="D3228">
        <v>3.56</v>
      </c>
      <c r="E3228">
        <v>1421.52</v>
      </c>
      <c r="F3228" t="s">
        <v>396</v>
      </c>
      <c r="G3228" s="31">
        <v>5.37</v>
      </c>
    </row>
    <row r="3229" spans="1:7" x14ac:dyDescent="0.3">
      <c r="A3229">
        <v>10</v>
      </c>
      <c r="B3229">
        <v>10</v>
      </c>
      <c r="C3229" t="s">
        <v>51</v>
      </c>
      <c r="D3229">
        <v>4.6399999999999997</v>
      </c>
      <c r="E3229">
        <v>1207.69</v>
      </c>
      <c r="F3229" t="s">
        <v>397</v>
      </c>
      <c r="G3229" s="31">
        <v>0.35</v>
      </c>
    </row>
    <row r="3230" spans="1:7" x14ac:dyDescent="0.3">
      <c r="A3230">
        <v>11</v>
      </c>
      <c r="B3230">
        <v>11</v>
      </c>
      <c r="C3230" t="s">
        <v>8</v>
      </c>
      <c r="D3230">
        <v>2.74</v>
      </c>
      <c r="E3230">
        <v>19028.787</v>
      </c>
      <c r="F3230" t="s">
        <v>398</v>
      </c>
      <c r="G3230" s="31">
        <v>1.65</v>
      </c>
    </row>
    <row r="3231" spans="1:7" x14ac:dyDescent="0.3">
      <c r="A3231">
        <v>12</v>
      </c>
      <c r="B3231">
        <v>12</v>
      </c>
      <c r="C3231" t="s">
        <v>9</v>
      </c>
      <c r="D3231">
        <v>2.63</v>
      </c>
      <c r="E3231">
        <v>2037.5519999999999</v>
      </c>
      <c r="F3231" t="s">
        <v>399</v>
      </c>
      <c r="G3231" s="31">
        <v>1.39</v>
      </c>
    </row>
    <row r="3232" spans="1:7" x14ac:dyDescent="0.3">
      <c r="A3232">
        <v>13</v>
      </c>
      <c r="B3232">
        <v>13</v>
      </c>
      <c r="C3232" t="s">
        <v>10</v>
      </c>
      <c r="D3232">
        <v>4.09</v>
      </c>
      <c r="E3232">
        <v>1882422</v>
      </c>
      <c r="F3232" t="s">
        <v>400</v>
      </c>
      <c r="G3232" s="31">
        <v>242.82</v>
      </c>
    </row>
    <row r="3233" spans="1:7" x14ac:dyDescent="0.3">
      <c r="A3233">
        <v>14</v>
      </c>
      <c r="B3233">
        <v>14</v>
      </c>
      <c r="C3233" t="s">
        <v>11</v>
      </c>
      <c r="D3233">
        <v>3.52</v>
      </c>
      <c r="E3233">
        <v>14.063000000000001</v>
      </c>
      <c r="F3233" t="s">
        <v>401</v>
      </c>
      <c r="G3233" s="31">
        <v>2.52</v>
      </c>
    </row>
    <row r="3234" spans="1:7" x14ac:dyDescent="0.3">
      <c r="A3234">
        <v>15</v>
      </c>
      <c r="B3234">
        <v>15</v>
      </c>
      <c r="C3234" t="s">
        <v>12</v>
      </c>
      <c r="D3234">
        <v>3.33</v>
      </c>
      <c r="E3234">
        <v>458.89499999999998</v>
      </c>
      <c r="F3234" t="s">
        <v>402</v>
      </c>
      <c r="G3234" s="31">
        <v>2.95</v>
      </c>
    </row>
    <row r="3235" spans="1:7" x14ac:dyDescent="0.3">
      <c r="A3235">
        <v>16</v>
      </c>
      <c r="B3235">
        <v>16</v>
      </c>
      <c r="C3235" t="s">
        <v>13</v>
      </c>
      <c r="D3235">
        <v>3.24</v>
      </c>
      <c r="E3235">
        <v>6364.7309999999998</v>
      </c>
      <c r="F3235" t="s">
        <v>403</v>
      </c>
      <c r="G3235" s="31">
        <v>1.87</v>
      </c>
    </row>
    <row r="3236" spans="1:7" x14ac:dyDescent="0.3">
      <c r="A3236">
        <v>17</v>
      </c>
      <c r="B3236">
        <v>17</v>
      </c>
      <c r="C3236" t="s">
        <v>14</v>
      </c>
      <c r="D3236">
        <v>2.02</v>
      </c>
      <c r="E3236">
        <v>4494.0870000000004</v>
      </c>
      <c r="F3236" t="s">
        <v>404</v>
      </c>
      <c r="G3236" s="31">
        <v>1.55</v>
      </c>
    </row>
    <row r="3237" spans="1:7" x14ac:dyDescent="0.3">
      <c r="A3237">
        <v>18</v>
      </c>
      <c r="B3237">
        <v>18</v>
      </c>
      <c r="C3237" t="s">
        <v>15</v>
      </c>
      <c r="D3237">
        <v>2.5</v>
      </c>
      <c r="E3237">
        <v>17816.643</v>
      </c>
      <c r="F3237" t="s">
        <v>405</v>
      </c>
      <c r="G3237" s="31">
        <v>13.2</v>
      </c>
    </row>
    <row r="3238" spans="1:7" x14ac:dyDescent="0.3">
      <c r="A3238">
        <v>19</v>
      </c>
      <c r="B3238">
        <v>19</v>
      </c>
      <c r="C3238" t="s">
        <v>16</v>
      </c>
      <c r="D3238">
        <v>2.71</v>
      </c>
      <c r="E3238">
        <v>2235.0909999999999</v>
      </c>
      <c r="F3238" t="s">
        <v>406</v>
      </c>
      <c r="G3238" s="31">
        <v>0.23</v>
      </c>
    </row>
    <row r="3239" spans="1:7" x14ac:dyDescent="0.3">
      <c r="A3239">
        <v>20</v>
      </c>
      <c r="B3239">
        <v>20</v>
      </c>
      <c r="C3239" t="s">
        <v>17</v>
      </c>
      <c r="D3239">
        <v>3.13</v>
      </c>
      <c r="E3239">
        <v>5287.98</v>
      </c>
      <c r="F3239" t="s">
        <v>407</v>
      </c>
      <c r="G3239" s="31">
        <v>1.42</v>
      </c>
    </row>
    <row r="3240" spans="1:7" x14ac:dyDescent="0.3">
      <c r="A3240">
        <v>21</v>
      </c>
      <c r="B3240">
        <v>21</v>
      </c>
      <c r="C3240" t="s">
        <v>18</v>
      </c>
      <c r="D3240">
        <v>3.68</v>
      </c>
      <c r="E3240">
        <v>6922.3819999999996</v>
      </c>
      <c r="F3240" t="s">
        <v>408</v>
      </c>
      <c r="G3240" s="31">
        <v>0.45</v>
      </c>
    </row>
    <row r="3241" spans="1:7" x14ac:dyDescent="0.3">
      <c r="A3241">
        <v>22</v>
      </c>
      <c r="B3241">
        <v>22</v>
      </c>
      <c r="C3241" t="s">
        <v>19</v>
      </c>
      <c r="D3241">
        <v>2.63</v>
      </c>
      <c r="E3241">
        <v>13682.235000000001</v>
      </c>
      <c r="F3241" t="s">
        <v>409</v>
      </c>
      <c r="G3241" s="31">
        <v>2.9</v>
      </c>
    </row>
    <row r="3242" spans="1:7" x14ac:dyDescent="0.3">
      <c r="A3242">
        <v>23</v>
      </c>
      <c r="B3242">
        <v>23</v>
      </c>
      <c r="C3242" t="s">
        <v>20</v>
      </c>
      <c r="D3242">
        <v>2.89</v>
      </c>
      <c r="E3242">
        <v>9691.7649999999994</v>
      </c>
      <c r="F3242" t="s">
        <v>410</v>
      </c>
      <c r="G3242" s="31">
        <v>0.97</v>
      </c>
    </row>
    <row r="3243" spans="1:7" x14ac:dyDescent="0.3">
      <c r="A3243">
        <v>24</v>
      </c>
      <c r="B3243">
        <v>24</v>
      </c>
      <c r="C3243" t="s">
        <v>21</v>
      </c>
      <c r="D3243">
        <v>4.18</v>
      </c>
      <c r="E3243">
        <v>68</v>
      </c>
      <c r="F3243" t="s">
        <v>411</v>
      </c>
      <c r="G3243" s="31">
        <v>0.1</v>
      </c>
    </row>
    <row r="3244" spans="1:7" x14ac:dyDescent="0.3">
      <c r="A3244">
        <v>25</v>
      </c>
      <c r="B3244">
        <v>25</v>
      </c>
      <c r="C3244" t="s">
        <v>22</v>
      </c>
      <c r="D3244">
        <v>3.42</v>
      </c>
      <c r="E3244">
        <v>369.61099999999999</v>
      </c>
      <c r="F3244" t="s">
        <v>412</v>
      </c>
      <c r="G3244" s="31">
        <v>6.87</v>
      </c>
    </row>
    <row r="3245" spans="1:7" x14ac:dyDescent="0.3">
      <c r="A3245">
        <v>26</v>
      </c>
      <c r="B3245">
        <v>26</v>
      </c>
      <c r="C3245" t="s">
        <v>23</v>
      </c>
      <c r="D3245">
        <v>3.35</v>
      </c>
      <c r="E3245">
        <v>28282.291000000001</v>
      </c>
      <c r="F3245" t="s">
        <v>413</v>
      </c>
      <c r="G3245" s="31">
        <v>4.12</v>
      </c>
    </row>
    <row r="3246" spans="1:7" x14ac:dyDescent="0.3">
      <c r="A3246">
        <v>27</v>
      </c>
      <c r="B3246">
        <v>27</v>
      </c>
      <c r="C3246" t="s">
        <v>24</v>
      </c>
      <c r="D3246">
        <v>3.46</v>
      </c>
      <c r="E3246">
        <v>219.904</v>
      </c>
      <c r="F3246" t="s">
        <v>414</v>
      </c>
      <c r="G3246" s="31">
        <v>0.1</v>
      </c>
    </row>
    <row r="3247" spans="1:7" x14ac:dyDescent="0.3">
      <c r="A3247">
        <v>28</v>
      </c>
      <c r="B3247">
        <v>28</v>
      </c>
      <c r="C3247" t="s">
        <v>25</v>
      </c>
      <c r="D3247">
        <v>3.52</v>
      </c>
      <c r="E3247">
        <v>2814.1390000000001</v>
      </c>
      <c r="F3247" t="s">
        <v>415</v>
      </c>
      <c r="G3247" s="31">
        <v>0.91</v>
      </c>
    </row>
    <row r="3248" spans="1:7" x14ac:dyDescent="0.3">
      <c r="A3248">
        <v>29</v>
      </c>
      <c r="B3248">
        <v>29</v>
      </c>
      <c r="C3248" t="s">
        <v>26</v>
      </c>
      <c r="D3248">
        <v>1.03</v>
      </c>
      <c r="E3248">
        <v>733.99300000000005</v>
      </c>
      <c r="F3248" t="s">
        <v>416</v>
      </c>
      <c r="G3248" s="31">
        <v>1.5</v>
      </c>
    </row>
    <row r="3249" spans="1:7" x14ac:dyDescent="0.3">
      <c r="A3249">
        <v>30</v>
      </c>
      <c r="B3249">
        <v>30</v>
      </c>
      <c r="C3249" t="s">
        <v>27</v>
      </c>
      <c r="D3249">
        <v>4.33</v>
      </c>
      <c r="E3249">
        <v>208.90100000000001</v>
      </c>
      <c r="F3249" t="s">
        <v>417</v>
      </c>
      <c r="G3249" s="31">
        <v>0.14000000000000001</v>
      </c>
    </row>
    <row r="3250" spans="1:7" x14ac:dyDescent="0.3">
      <c r="A3250">
        <v>31</v>
      </c>
      <c r="B3250">
        <v>31</v>
      </c>
      <c r="C3250" t="s">
        <v>28</v>
      </c>
      <c r="D3250">
        <v>3</v>
      </c>
      <c r="E3250">
        <v>45129.406000000003</v>
      </c>
      <c r="F3250" t="s">
        <v>418</v>
      </c>
      <c r="G3250" s="31">
        <v>0.21</v>
      </c>
    </row>
    <row r="3251" spans="1:7" x14ac:dyDescent="0.3">
      <c r="A3251">
        <v>32</v>
      </c>
      <c r="B3251">
        <v>32</v>
      </c>
      <c r="C3251" t="s">
        <v>29</v>
      </c>
      <c r="D3251">
        <v>3.36</v>
      </c>
      <c r="E3251">
        <v>905.85400000000004</v>
      </c>
      <c r="F3251" t="s">
        <v>419</v>
      </c>
      <c r="G3251" s="31">
        <v>0.21</v>
      </c>
    </row>
    <row r="3252" spans="1:7" x14ac:dyDescent="0.3">
      <c r="A3252">
        <v>33</v>
      </c>
      <c r="B3252">
        <v>33</v>
      </c>
      <c r="C3252" t="s">
        <v>30</v>
      </c>
      <c r="D3252">
        <v>4.68</v>
      </c>
      <c r="E3252">
        <v>177442.609</v>
      </c>
      <c r="F3252" t="s">
        <v>420</v>
      </c>
      <c r="G3252" s="31">
        <v>4.83</v>
      </c>
    </row>
    <row r="3253" spans="1:7" x14ac:dyDescent="0.3">
      <c r="A3253">
        <v>34</v>
      </c>
      <c r="B3253">
        <v>34</v>
      </c>
      <c r="C3253" t="s">
        <v>31</v>
      </c>
      <c r="D3253">
        <v>3.25</v>
      </c>
      <c r="E3253">
        <v>2090.4279999999999</v>
      </c>
      <c r="F3253" t="s">
        <v>421</v>
      </c>
      <c r="G3253" s="31">
        <v>0.27</v>
      </c>
    </row>
    <row r="3254" spans="1:7" x14ac:dyDescent="0.3">
      <c r="A3254">
        <v>35</v>
      </c>
      <c r="B3254">
        <v>35</v>
      </c>
      <c r="C3254" t="s">
        <v>32</v>
      </c>
      <c r="D3254">
        <v>3.07</v>
      </c>
      <c r="E3254">
        <v>120.613</v>
      </c>
      <c r="F3254" t="s">
        <v>422</v>
      </c>
      <c r="G3254" s="31">
        <v>0.11</v>
      </c>
    </row>
    <row r="3255" spans="1:7" x14ac:dyDescent="0.3">
      <c r="A3255">
        <v>36</v>
      </c>
      <c r="B3255">
        <v>36</v>
      </c>
      <c r="C3255" t="s">
        <v>33</v>
      </c>
      <c r="D3255">
        <v>1.9</v>
      </c>
      <c r="E3255">
        <v>1155.646</v>
      </c>
      <c r="F3255" t="s">
        <v>423</v>
      </c>
      <c r="G3255" s="31">
        <v>1.1299999999999999</v>
      </c>
    </row>
    <row r="3256" spans="1:7" x14ac:dyDescent="0.3">
      <c r="G3256" s="31">
        <f>G3233/G3235</f>
        <v>1.3475935828877004</v>
      </c>
    </row>
    <row r="3257" spans="1:7" x14ac:dyDescent="0.3">
      <c r="A3257" t="s">
        <v>379</v>
      </c>
    </row>
    <row r="3259" spans="1:7" x14ac:dyDescent="0.3">
      <c r="A3259" t="s">
        <v>491</v>
      </c>
    </row>
    <row r="3261" spans="1:7" x14ac:dyDescent="0.3">
      <c r="A3261" t="s">
        <v>499</v>
      </c>
    </row>
    <row r="3263" spans="1:7" x14ac:dyDescent="0.3">
      <c r="B3263" t="s">
        <v>382</v>
      </c>
      <c r="C3263" t="s">
        <v>383</v>
      </c>
      <c r="D3263" t="s">
        <v>384</v>
      </c>
      <c r="E3263" t="s">
        <v>385</v>
      </c>
      <c r="F3263" t="s">
        <v>386</v>
      </c>
      <c r="G3263" s="31" t="s">
        <v>387</v>
      </c>
    </row>
    <row r="3264" spans="1:7" x14ac:dyDescent="0.3">
      <c r="A3264">
        <v>1</v>
      </c>
      <c r="B3264">
        <v>1</v>
      </c>
      <c r="C3264" t="s">
        <v>0</v>
      </c>
      <c r="D3264">
        <v>1.02</v>
      </c>
      <c r="E3264">
        <v>3864.326</v>
      </c>
      <c r="F3264" t="s">
        <v>388</v>
      </c>
      <c r="G3264" s="31">
        <v>20.55</v>
      </c>
    </row>
    <row r="3265" spans="1:7" x14ac:dyDescent="0.3">
      <c r="A3265">
        <v>2</v>
      </c>
      <c r="B3265">
        <v>2</v>
      </c>
      <c r="C3265" t="s">
        <v>1</v>
      </c>
      <c r="D3265">
        <v>1.45</v>
      </c>
      <c r="E3265">
        <v>6194.9489999999996</v>
      </c>
      <c r="F3265" t="s">
        <v>389</v>
      </c>
      <c r="G3265" s="31">
        <v>6.09</v>
      </c>
    </row>
    <row r="3266" spans="1:7" x14ac:dyDescent="0.3">
      <c r="A3266">
        <v>3</v>
      </c>
      <c r="B3266">
        <v>3</v>
      </c>
      <c r="C3266" t="s">
        <v>50</v>
      </c>
      <c r="D3266">
        <v>3.57</v>
      </c>
      <c r="E3266">
        <v>457.03800000000001</v>
      </c>
      <c r="F3266" t="s">
        <v>390</v>
      </c>
      <c r="G3266" s="31">
        <v>0.21</v>
      </c>
    </row>
    <row r="3267" spans="1:7" x14ac:dyDescent="0.3">
      <c r="A3267">
        <v>4</v>
      </c>
      <c r="B3267">
        <v>4</v>
      </c>
      <c r="C3267" t="s">
        <v>2</v>
      </c>
      <c r="D3267">
        <v>3.69</v>
      </c>
      <c r="E3267">
        <v>27064.884999999998</v>
      </c>
      <c r="F3267" t="s">
        <v>391</v>
      </c>
      <c r="G3267" s="31">
        <v>1.1100000000000001</v>
      </c>
    </row>
    <row r="3268" spans="1:7" x14ac:dyDescent="0.3">
      <c r="A3268">
        <v>5</v>
      </c>
      <c r="B3268">
        <v>5</v>
      </c>
      <c r="C3268" t="s">
        <v>3</v>
      </c>
      <c r="D3268">
        <v>4.4800000000000004</v>
      </c>
      <c r="E3268">
        <v>91.268000000000001</v>
      </c>
      <c r="F3268" t="s">
        <v>392</v>
      </c>
      <c r="G3268" s="31">
        <v>0.1</v>
      </c>
    </row>
    <row r="3269" spans="1:7" x14ac:dyDescent="0.3">
      <c r="A3269">
        <v>6</v>
      </c>
      <c r="B3269">
        <v>6</v>
      </c>
      <c r="C3269" t="s">
        <v>4</v>
      </c>
      <c r="D3269">
        <v>4.8099999999999996</v>
      </c>
      <c r="E3269">
        <v>79131.070000000007</v>
      </c>
      <c r="F3269" t="s">
        <v>393</v>
      </c>
      <c r="G3269" s="31">
        <v>2.2999999999999998</v>
      </c>
    </row>
    <row r="3270" spans="1:7" x14ac:dyDescent="0.3">
      <c r="A3270">
        <v>7</v>
      </c>
      <c r="B3270">
        <v>7</v>
      </c>
      <c r="C3270" t="s">
        <v>5</v>
      </c>
      <c r="D3270">
        <v>2.71</v>
      </c>
      <c r="E3270">
        <v>1489.9849999999999</v>
      </c>
      <c r="F3270" t="s">
        <v>394</v>
      </c>
      <c r="G3270" s="31">
        <v>0.16</v>
      </c>
    </row>
    <row r="3271" spans="1:7" x14ac:dyDescent="0.3">
      <c r="A3271">
        <v>8</v>
      </c>
      <c r="B3271">
        <v>8</v>
      </c>
      <c r="C3271" t="s">
        <v>6</v>
      </c>
      <c r="D3271">
        <v>0.67</v>
      </c>
      <c r="E3271">
        <v>4422.0169999999998</v>
      </c>
      <c r="F3271" t="s">
        <v>395</v>
      </c>
      <c r="G3271" s="31">
        <v>34.29</v>
      </c>
    </row>
    <row r="3272" spans="1:7" x14ac:dyDescent="0.3">
      <c r="A3272">
        <v>9</v>
      </c>
      <c r="B3272">
        <v>9</v>
      </c>
      <c r="C3272" t="s">
        <v>7</v>
      </c>
      <c r="D3272">
        <v>3.56</v>
      </c>
      <c r="E3272">
        <v>1849.337</v>
      </c>
      <c r="F3272" t="s">
        <v>396</v>
      </c>
      <c r="G3272" s="31">
        <v>3.16</v>
      </c>
    </row>
    <row r="3273" spans="1:7" x14ac:dyDescent="0.3">
      <c r="A3273">
        <v>10</v>
      </c>
      <c r="B3273">
        <v>10</v>
      </c>
      <c r="C3273" t="s">
        <v>51</v>
      </c>
      <c r="D3273">
        <v>4.6100000000000003</v>
      </c>
      <c r="E3273">
        <v>1682.0219999999999</v>
      </c>
      <c r="F3273" t="s">
        <v>397</v>
      </c>
      <c r="G3273" s="31">
        <v>0.22</v>
      </c>
    </row>
    <row r="3274" spans="1:7" x14ac:dyDescent="0.3">
      <c r="A3274">
        <v>11</v>
      </c>
      <c r="B3274">
        <v>11</v>
      </c>
      <c r="C3274" t="s">
        <v>8</v>
      </c>
      <c r="D3274">
        <v>2.74</v>
      </c>
      <c r="E3274">
        <v>102698.844</v>
      </c>
      <c r="F3274" t="s">
        <v>398</v>
      </c>
      <c r="G3274" s="31">
        <v>3.43</v>
      </c>
    </row>
    <row r="3275" spans="1:7" x14ac:dyDescent="0.3">
      <c r="A3275">
        <v>12</v>
      </c>
      <c r="B3275">
        <v>12</v>
      </c>
      <c r="C3275" t="s">
        <v>9</v>
      </c>
      <c r="D3275">
        <v>2.62</v>
      </c>
      <c r="E3275">
        <v>10949.601000000001</v>
      </c>
      <c r="F3275" t="s">
        <v>399</v>
      </c>
      <c r="G3275" s="31">
        <v>2.39</v>
      </c>
    </row>
    <row r="3276" spans="1:7" x14ac:dyDescent="0.3">
      <c r="A3276">
        <v>13</v>
      </c>
      <c r="B3276">
        <v>13</v>
      </c>
      <c r="C3276" t="s">
        <v>10</v>
      </c>
      <c r="D3276">
        <v>4.07</v>
      </c>
      <c r="E3276">
        <v>4091437.25</v>
      </c>
      <c r="F3276" t="s">
        <v>400</v>
      </c>
      <c r="G3276" s="31">
        <v>250.52</v>
      </c>
    </row>
    <row r="3277" spans="1:7" x14ac:dyDescent="0.3">
      <c r="A3277">
        <v>14</v>
      </c>
      <c r="B3277">
        <v>14</v>
      </c>
      <c r="C3277" t="s">
        <v>11</v>
      </c>
      <c r="D3277">
        <v>3.53</v>
      </c>
      <c r="E3277">
        <v>50.207000000000001</v>
      </c>
      <c r="F3277" t="s">
        <v>401</v>
      </c>
      <c r="G3277" s="31">
        <v>2.23</v>
      </c>
    </row>
    <row r="3278" spans="1:7" x14ac:dyDescent="0.3">
      <c r="A3278">
        <v>15</v>
      </c>
      <c r="B3278">
        <v>15</v>
      </c>
      <c r="C3278" t="s">
        <v>12</v>
      </c>
      <c r="D3278">
        <v>3.32</v>
      </c>
      <c r="E3278">
        <v>589.178</v>
      </c>
      <c r="F3278" t="s">
        <v>402</v>
      </c>
      <c r="G3278" s="31">
        <v>1.72</v>
      </c>
    </row>
    <row r="3279" spans="1:7" x14ac:dyDescent="0.3">
      <c r="A3279">
        <v>16</v>
      </c>
      <c r="B3279">
        <v>16</v>
      </c>
      <c r="C3279" t="s">
        <v>13</v>
      </c>
      <c r="D3279">
        <v>3.23</v>
      </c>
      <c r="E3279">
        <v>22882.046999999999</v>
      </c>
      <c r="F3279" t="s">
        <v>403</v>
      </c>
      <c r="G3279" s="31">
        <v>2.6</v>
      </c>
    </row>
    <row r="3280" spans="1:7" x14ac:dyDescent="0.3">
      <c r="A3280">
        <v>17</v>
      </c>
      <c r="B3280">
        <v>17</v>
      </c>
      <c r="C3280" t="s">
        <v>14</v>
      </c>
      <c r="D3280">
        <v>2.02</v>
      </c>
      <c r="E3280">
        <v>47116.605000000003</v>
      </c>
      <c r="F3280" t="s">
        <v>404</v>
      </c>
      <c r="G3280" s="31">
        <v>4.76</v>
      </c>
    </row>
    <row r="3281" spans="1:7" x14ac:dyDescent="0.3">
      <c r="A3281">
        <v>18</v>
      </c>
      <c r="B3281">
        <v>18</v>
      </c>
      <c r="C3281" t="s">
        <v>15</v>
      </c>
      <c r="D3281">
        <v>2.5</v>
      </c>
      <c r="E3281">
        <v>52127.711000000003</v>
      </c>
      <c r="F3281" t="s">
        <v>405</v>
      </c>
      <c r="G3281" s="31">
        <v>15.89</v>
      </c>
    </row>
    <row r="3282" spans="1:7" x14ac:dyDescent="0.3">
      <c r="A3282">
        <v>19</v>
      </c>
      <c r="B3282">
        <v>19</v>
      </c>
      <c r="C3282" t="s">
        <v>16</v>
      </c>
      <c r="D3282">
        <v>2.72</v>
      </c>
      <c r="E3282">
        <v>7177.3149999999996</v>
      </c>
      <c r="F3282" t="s">
        <v>406</v>
      </c>
      <c r="G3282" s="31">
        <v>0.28000000000000003</v>
      </c>
    </row>
    <row r="3283" spans="1:7" x14ac:dyDescent="0.3">
      <c r="A3283">
        <v>20</v>
      </c>
      <c r="B3283">
        <v>20</v>
      </c>
      <c r="C3283" t="s">
        <v>17</v>
      </c>
      <c r="D3283">
        <v>3.13</v>
      </c>
      <c r="E3283">
        <v>21895.004000000001</v>
      </c>
      <c r="F3283" t="s">
        <v>407</v>
      </c>
      <c r="G3283" s="31">
        <v>2.81</v>
      </c>
    </row>
    <row r="3284" spans="1:7" x14ac:dyDescent="0.3">
      <c r="A3284">
        <v>21</v>
      </c>
      <c r="B3284">
        <v>21</v>
      </c>
      <c r="C3284" t="s">
        <v>18</v>
      </c>
      <c r="D3284">
        <v>3.68</v>
      </c>
      <c r="E3284">
        <v>30267.907999999999</v>
      </c>
      <c r="F3284" t="s">
        <v>408</v>
      </c>
      <c r="G3284" s="31">
        <v>0.91</v>
      </c>
    </row>
    <row r="3285" spans="1:7" x14ac:dyDescent="0.3">
      <c r="A3285">
        <v>22</v>
      </c>
      <c r="B3285">
        <v>22</v>
      </c>
      <c r="C3285" t="s">
        <v>19</v>
      </c>
      <c r="D3285">
        <v>2.63</v>
      </c>
      <c r="E3285">
        <v>78044.445000000007</v>
      </c>
      <c r="F3285" t="s">
        <v>409</v>
      </c>
      <c r="G3285" s="31">
        <v>5.14</v>
      </c>
    </row>
    <row r="3286" spans="1:7" x14ac:dyDescent="0.3">
      <c r="A3286">
        <v>23</v>
      </c>
      <c r="B3286">
        <v>23</v>
      </c>
      <c r="C3286" t="s">
        <v>20</v>
      </c>
      <c r="D3286">
        <v>2.89</v>
      </c>
      <c r="E3286">
        <v>69254.5</v>
      </c>
      <c r="F3286" t="s">
        <v>410</v>
      </c>
      <c r="G3286" s="31">
        <v>2.71</v>
      </c>
    </row>
    <row r="3287" spans="1:7" x14ac:dyDescent="0.3">
      <c r="A3287">
        <v>24</v>
      </c>
      <c r="B3287">
        <v>24</v>
      </c>
      <c r="C3287" t="s">
        <v>21</v>
      </c>
      <c r="D3287">
        <v>4.18</v>
      </c>
      <c r="E3287">
        <v>37.472999999999999</v>
      </c>
      <c r="F3287" t="s">
        <v>411</v>
      </c>
      <c r="G3287" s="31">
        <v>0.1</v>
      </c>
    </row>
    <row r="3288" spans="1:7" x14ac:dyDescent="0.3">
      <c r="A3288">
        <v>25</v>
      </c>
      <c r="B3288">
        <v>25</v>
      </c>
      <c r="C3288" t="s">
        <v>22</v>
      </c>
      <c r="D3288">
        <v>3.41</v>
      </c>
      <c r="E3288">
        <v>669.303</v>
      </c>
      <c r="F3288" t="s">
        <v>412</v>
      </c>
      <c r="G3288" s="31">
        <v>4.22</v>
      </c>
    </row>
    <row r="3289" spans="1:7" x14ac:dyDescent="0.3">
      <c r="A3289">
        <v>26</v>
      </c>
      <c r="B3289">
        <v>26</v>
      </c>
      <c r="C3289" t="s">
        <v>23</v>
      </c>
      <c r="D3289">
        <v>3.35</v>
      </c>
      <c r="E3289">
        <v>81454.733999999997</v>
      </c>
      <c r="F3289" t="s">
        <v>413</v>
      </c>
      <c r="G3289" s="31">
        <v>5.07</v>
      </c>
    </row>
    <row r="3290" spans="1:7" x14ac:dyDescent="0.3">
      <c r="A3290">
        <v>27</v>
      </c>
      <c r="B3290">
        <v>27</v>
      </c>
      <c r="C3290" t="s">
        <v>24</v>
      </c>
      <c r="D3290">
        <v>3.45</v>
      </c>
      <c r="E3290">
        <v>3666.1039999999998</v>
      </c>
      <c r="F3290" t="s">
        <v>414</v>
      </c>
      <c r="G3290" s="31">
        <v>1.85</v>
      </c>
    </row>
    <row r="3291" spans="1:7" x14ac:dyDescent="0.3">
      <c r="A3291">
        <v>28</v>
      </c>
      <c r="B3291">
        <v>28</v>
      </c>
      <c r="C3291" t="s">
        <v>25</v>
      </c>
      <c r="D3291">
        <v>3.52</v>
      </c>
      <c r="E3291">
        <v>27426.984</v>
      </c>
      <c r="F3291" t="s">
        <v>415</v>
      </c>
      <c r="G3291" s="31">
        <v>2.65</v>
      </c>
    </row>
    <row r="3292" spans="1:7" x14ac:dyDescent="0.3">
      <c r="A3292">
        <v>29</v>
      </c>
      <c r="B3292">
        <v>29</v>
      </c>
      <c r="C3292" t="s">
        <v>26</v>
      </c>
      <c r="D3292">
        <v>1.04</v>
      </c>
      <c r="E3292">
        <v>2168.1379999999999</v>
      </c>
      <c r="F3292" t="s">
        <v>416</v>
      </c>
      <c r="G3292" s="31">
        <v>1.49</v>
      </c>
    </row>
    <row r="3293" spans="1:7" x14ac:dyDescent="0.3">
      <c r="A3293">
        <v>30</v>
      </c>
      <c r="B3293">
        <v>30</v>
      </c>
      <c r="C3293" t="s">
        <v>27</v>
      </c>
      <c r="D3293">
        <v>4.26</v>
      </c>
      <c r="E3293">
        <v>4863.1180000000004</v>
      </c>
      <c r="F3293" t="s">
        <v>417</v>
      </c>
      <c r="G3293" s="31">
        <v>0.24</v>
      </c>
    </row>
    <row r="3294" spans="1:7" x14ac:dyDescent="0.3">
      <c r="A3294">
        <v>31</v>
      </c>
      <c r="B3294">
        <v>31</v>
      </c>
      <c r="C3294" t="s">
        <v>28</v>
      </c>
      <c r="D3294">
        <v>3</v>
      </c>
      <c r="E3294">
        <v>124403.586</v>
      </c>
      <c r="F3294" t="s">
        <v>418</v>
      </c>
      <c r="G3294" s="31">
        <v>0.45</v>
      </c>
    </row>
    <row r="3295" spans="1:7" x14ac:dyDescent="0.3">
      <c r="A3295">
        <v>32</v>
      </c>
      <c r="B3295">
        <v>32</v>
      </c>
      <c r="C3295" t="s">
        <v>29</v>
      </c>
      <c r="D3295">
        <v>3.35</v>
      </c>
      <c r="E3295">
        <v>2460.0349999999999</v>
      </c>
      <c r="F3295" t="s">
        <v>419</v>
      </c>
      <c r="G3295" s="31">
        <v>0.21</v>
      </c>
    </row>
    <row r="3296" spans="1:7" x14ac:dyDescent="0.3">
      <c r="A3296">
        <v>33</v>
      </c>
      <c r="B3296">
        <v>33</v>
      </c>
      <c r="C3296" t="s">
        <v>30</v>
      </c>
      <c r="D3296">
        <v>4.68</v>
      </c>
      <c r="E3296">
        <v>134087.21900000001</v>
      </c>
      <c r="F3296" t="s">
        <v>420</v>
      </c>
      <c r="G3296" s="31">
        <v>1.74</v>
      </c>
    </row>
    <row r="3297" spans="1:7" x14ac:dyDescent="0.3">
      <c r="A3297">
        <v>34</v>
      </c>
      <c r="B3297">
        <v>34</v>
      </c>
      <c r="C3297" t="s">
        <v>31</v>
      </c>
      <c r="D3297">
        <v>3.5</v>
      </c>
      <c r="E3297">
        <v>1058.633</v>
      </c>
      <c r="F3297" t="s">
        <v>421</v>
      </c>
      <c r="G3297" s="31">
        <v>7.0000000000000007E-2</v>
      </c>
    </row>
    <row r="3298" spans="1:7" x14ac:dyDescent="0.3">
      <c r="A3298">
        <v>35</v>
      </c>
      <c r="B3298">
        <v>35</v>
      </c>
      <c r="C3298" t="s">
        <v>32</v>
      </c>
      <c r="D3298">
        <v>3.06</v>
      </c>
      <c r="E3298">
        <v>1081.354</v>
      </c>
      <c r="F3298" t="s">
        <v>422</v>
      </c>
      <c r="G3298" s="31">
        <v>0.1</v>
      </c>
    </row>
    <row r="3299" spans="1:7" x14ac:dyDescent="0.3">
      <c r="A3299">
        <v>36</v>
      </c>
      <c r="B3299">
        <v>36</v>
      </c>
      <c r="C3299" t="s">
        <v>33</v>
      </c>
      <c r="D3299">
        <v>1.89</v>
      </c>
      <c r="E3299">
        <v>1721.306</v>
      </c>
      <c r="F3299" t="s">
        <v>423</v>
      </c>
      <c r="G3299" s="31">
        <v>0.77</v>
      </c>
    </row>
    <row r="3300" spans="1:7" x14ac:dyDescent="0.3">
      <c r="G3300" s="31">
        <f>G3277/G3279</f>
        <v>0.85769230769230764</v>
      </c>
    </row>
    <row r="3301" spans="1:7" x14ac:dyDescent="0.3">
      <c r="A3301" t="s">
        <v>379</v>
      </c>
    </row>
    <row r="3303" spans="1:7" x14ac:dyDescent="0.3">
      <c r="A3303" t="s">
        <v>491</v>
      </c>
    </row>
    <row r="3305" spans="1:7" x14ac:dyDescent="0.3">
      <c r="A3305" t="s">
        <v>500</v>
      </c>
    </row>
    <row r="3307" spans="1:7" x14ac:dyDescent="0.3">
      <c r="B3307" t="s">
        <v>382</v>
      </c>
      <c r="C3307" t="s">
        <v>383</v>
      </c>
      <c r="D3307" t="s">
        <v>384</v>
      </c>
      <c r="E3307" t="s">
        <v>385</v>
      </c>
      <c r="F3307" t="s">
        <v>386</v>
      </c>
      <c r="G3307" s="31" t="s">
        <v>387</v>
      </c>
    </row>
    <row r="3308" spans="1:7" x14ac:dyDescent="0.3">
      <c r="A3308">
        <v>1</v>
      </c>
      <c r="B3308">
        <v>1</v>
      </c>
      <c r="C3308" t="s">
        <v>0</v>
      </c>
      <c r="D3308">
        <v>1.02</v>
      </c>
      <c r="E3308">
        <v>2242.8429999999998</v>
      </c>
      <c r="F3308" t="s">
        <v>388</v>
      </c>
      <c r="G3308" s="31">
        <v>9.4</v>
      </c>
    </row>
    <row r="3309" spans="1:7" x14ac:dyDescent="0.3">
      <c r="A3309">
        <v>2</v>
      </c>
      <c r="B3309">
        <v>2</v>
      </c>
      <c r="C3309" t="s">
        <v>1</v>
      </c>
      <c r="D3309">
        <v>1.45</v>
      </c>
      <c r="E3309">
        <v>5676.0519999999997</v>
      </c>
      <c r="F3309" t="s">
        <v>389</v>
      </c>
      <c r="G3309" s="31">
        <v>4.4800000000000004</v>
      </c>
    </row>
    <row r="3310" spans="1:7" x14ac:dyDescent="0.3">
      <c r="A3310">
        <v>3</v>
      </c>
      <c r="B3310">
        <v>3</v>
      </c>
      <c r="C3310" t="s">
        <v>50</v>
      </c>
      <c r="D3310">
        <v>3.59</v>
      </c>
      <c r="E3310">
        <v>116.99</v>
      </c>
      <c r="F3310" t="s">
        <v>390</v>
      </c>
      <c r="G3310" s="31">
        <v>0.05</v>
      </c>
    </row>
    <row r="3311" spans="1:7" x14ac:dyDescent="0.3">
      <c r="A3311">
        <v>4</v>
      </c>
      <c r="B3311">
        <v>4</v>
      </c>
      <c r="C3311" t="s">
        <v>2</v>
      </c>
      <c r="D3311">
        <v>3.69</v>
      </c>
      <c r="E3311">
        <v>25743.043000000001</v>
      </c>
      <c r="F3311" t="s">
        <v>391</v>
      </c>
      <c r="G3311" s="31">
        <v>0.85</v>
      </c>
    </row>
    <row r="3312" spans="1:7" x14ac:dyDescent="0.3">
      <c r="A3312">
        <v>5</v>
      </c>
      <c r="B3312">
        <v>5</v>
      </c>
      <c r="C3312" t="s">
        <v>3</v>
      </c>
      <c r="D3312">
        <v>4.49</v>
      </c>
      <c r="E3312">
        <v>101.97</v>
      </c>
      <c r="F3312" t="s">
        <v>392</v>
      </c>
      <c r="G3312" s="31">
        <v>0.1</v>
      </c>
    </row>
    <row r="3313" spans="1:7" x14ac:dyDescent="0.3">
      <c r="A3313">
        <v>6</v>
      </c>
      <c r="B3313">
        <v>6</v>
      </c>
      <c r="C3313" t="s">
        <v>4</v>
      </c>
      <c r="D3313">
        <v>4.8</v>
      </c>
      <c r="E3313">
        <v>110536.05499999999</v>
      </c>
      <c r="F3313" t="s">
        <v>393</v>
      </c>
      <c r="G3313" s="31">
        <v>2.5</v>
      </c>
    </row>
    <row r="3314" spans="1:7" x14ac:dyDescent="0.3">
      <c r="A3314">
        <v>7</v>
      </c>
      <c r="B3314">
        <v>7</v>
      </c>
      <c r="C3314" t="s">
        <v>5</v>
      </c>
      <c r="D3314">
        <v>2.71</v>
      </c>
      <c r="E3314">
        <v>1755.8620000000001</v>
      </c>
      <c r="F3314" t="s">
        <v>394</v>
      </c>
      <c r="G3314" s="31">
        <v>0.15</v>
      </c>
    </row>
    <row r="3315" spans="1:7" x14ac:dyDescent="0.3">
      <c r="A3315">
        <v>8</v>
      </c>
      <c r="B3315">
        <v>8</v>
      </c>
      <c r="C3315" t="s">
        <v>6</v>
      </c>
      <c r="D3315">
        <v>0.67</v>
      </c>
      <c r="E3315">
        <v>2726.1610000000001</v>
      </c>
      <c r="F3315" t="s">
        <v>395</v>
      </c>
      <c r="G3315" s="31">
        <v>17.22</v>
      </c>
    </row>
    <row r="3316" spans="1:7" x14ac:dyDescent="0.3">
      <c r="A3316">
        <v>9</v>
      </c>
      <c r="B3316">
        <v>9</v>
      </c>
      <c r="C3316" t="s">
        <v>7</v>
      </c>
      <c r="D3316">
        <v>3.56</v>
      </c>
      <c r="E3316">
        <v>906.50400000000002</v>
      </c>
      <c r="F3316" t="s">
        <v>396</v>
      </c>
      <c r="G3316" s="31">
        <v>1.27</v>
      </c>
    </row>
    <row r="3317" spans="1:7" x14ac:dyDescent="0.3">
      <c r="A3317">
        <v>10</v>
      </c>
      <c r="B3317">
        <v>10</v>
      </c>
      <c r="C3317" t="s">
        <v>51</v>
      </c>
      <c r="D3317">
        <v>4.6100000000000003</v>
      </c>
      <c r="E3317">
        <v>1355.953</v>
      </c>
      <c r="F3317" t="s">
        <v>397</v>
      </c>
      <c r="G3317" s="31">
        <v>0.14000000000000001</v>
      </c>
    </row>
    <row r="3318" spans="1:7" x14ac:dyDescent="0.3">
      <c r="A3318">
        <v>11</v>
      </c>
      <c r="B3318">
        <v>11</v>
      </c>
      <c r="C3318" t="s">
        <v>8</v>
      </c>
      <c r="D3318">
        <v>2.74</v>
      </c>
      <c r="E3318">
        <v>75800.133000000002</v>
      </c>
      <c r="F3318" t="s">
        <v>398</v>
      </c>
      <c r="G3318" s="31">
        <v>2.0499999999999998</v>
      </c>
    </row>
    <row r="3319" spans="1:7" x14ac:dyDescent="0.3">
      <c r="A3319">
        <v>12</v>
      </c>
      <c r="B3319">
        <v>12</v>
      </c>
      <c r="C3319" t="s">
        <v>9</v>
      </c>
      <c r="D3319">
        <v>2.63</v>
      </c>
      <c r="E3319">
        <v>6480.4380000000001</v>
      </c>
      <c r="F3319" t="s">
        <v>399</v>
      </c>
      <c r="G3319" s="31">
        <v>1.2</v>
      </c>
    </row>
    <row r="3320" spans="1:7" x14ac:dyDescent="0.3">
      <c r="A3320">
        <v>13</v>
      </c>
      <c r="B3320">
        <v>13</v>
      </c>
      <c r="C3320" t="s">
        <v>10</v>
      </c>
      <c r="D3320">
        <v>4.09</v>
      </c>
      <c r="E3320">
        <v>804859.93799999997</v>
      </c>
      <c r="F3320" t="s">
        <v>400</v>
      </c>
      <c r="G3320" s="31">
        <v>33.950000000000003</v>
      </c>
    </row>
    <row r="3321" spans="1:7" x14ac:dyDescent="0.3">
      <c r="A3321">
        <v>14</v>
      </c>
      <c r="B3321">
        <v>14</v>
      </c>
      <c r="C3321" t="s">
        <v>11</v>
      </c>
      <c r="D3321">
        <v>3.53</v>
      </c>
      <c r="E3321">
        <v>64.436999999999998</v>
      </c>
      <c r="F3321" t="s">
        <v>401</v>
      </c>
      <c r="G3321" s="31">
        <v>2.12</v>
      </c>
    </row>
    <row r="3322" spans="1:7" x14ac:dyDescent="0.3">
      <c r="A3322">
        <v>15</v>
      </c>
      <c r="B3322">
        <v>15</v>
      </c>
      <c r="C3322" t="s">
        <v>12</v>
      </c>
      <c r="D3322">
        <v>3.33</v>
      </c>
      <c r="E3322">
        <v>727.93200000000002</v>
      </c>
      <c r="F3322" t="s">
        <v>402</v>
      </c>
      <c r="G3322" s="31">
        <v>1.69</v>
      </c>
    </row>
    <row r="3323" spans="1:7" x14ac:dyDescent="0.3">
      <c r="A3323">
        <v>16</v>
      </c>
      <c r="B3323">
        <v>16</v>
      </c>
      <c r="C3323" t="s">
        <v>13</v>
      </c>
      <c r="D3323">
        <v>3.23</v>
      </c>
      <c r="E3323">
        <v>8541.6360000000004</v>
      </c>
      <c r="F3323" t="s">
        <v>403</v>
      </c>
      <c r="G3323" s="31">
        <v>0.86</v>
      </c>
    </row>
    <row r="3324" spans="1:7" x14ac:dyDescent="0.3">
      <c r="A3324">
        <v>17</v>
      </c>
      <c r="B3324">
        <v>17</v>
      </c>
      <c r="C3324" t="s">
        <v>14</v>
      </c>
      <c r="D3324">
        <v>2.02</v>
      </c>
      <c r="E3324">
        <v>70209.491999999998</v>
      </c>
      <c r="F3324" t="s">
        <v>404</v>
      </c>
      <c r="G3324" s="31">
        <v>5.55</v>
      </c>
    </row>
    <row r="3325" spans="1:7" x14ac:dyDescent="0.3">
      <c r="A3325">
        <v>18</v>
      </c>
      <c r="B3325">
        <v>18</v>
      </c>
      <c r="C3325" t="s">
        <v>15</v>
      </c>
      <c r="D3325">
        <v>2.5</v>
      </c>
      <c r="E3325">
        <v>46125.758000000002</v>
      </c>
      <c r="F3325" t="s">
        <v>405</v>
      </c>
      <c r="G3325" s="31">
        <v>11.29</v>
      </c>
    </row>
    <row r="3326" spans="1:7" x14ac:dyDescent="0.3">
      <c r="A3326">
        <v>19</v>
      </c>
      <c r="B3326">
        <v>19</v>
      </c>
      <c r="C3326" t="s">
        <v>16</v>
      </c>
      <c r="D3326">
        <v>2.71</v>
      </c>
      <c r="E3326">
        <v>17202.984</v>
      </c>
      <c r="F3326" t="s">
        <v>406</v>
      </c>
      <c r="G3326" s="31">
        <v>0.5</v>
      </c>
    </row>
    <row r="3327" spans="1:7" x14ac:dyDescent="0.3">
      <c r="A3327">
        <v>20</v>
      </c>
      <c r="B3327">
        <v>20</v>
      </c>
      <c r="C3327" t="s">
        <v>17</v>
      </c>
      <c r="D3327">
        <v>3.13</v>
      </c>
      <c r="E3327">
        <v>21839.184000000001</v>
      </c>
      <c r="F3327" t="s">
        <v>407</v>
      </c>
      <c r="G3327" s="31">
        <v>2.2400000000000002</v>
      </c>
    </row>
    <row r="3328" spans="1:7" x14ac:dyDescent="0.3">
      <c r="A3328">
        <v>21</v>
      </c>
      <c r="B3328">
        <v>21</v>
      </c>
      <c r="C3328" t="s">
        <v>18</v>
      </c>
      <c r="D3328">
        <v>3.68</v>
      </c>
      <c r="E3328">
        <v>127826.344</v>
      </c>
      <c r="F3328" t="s">
        <v>408</v>
      </c>
      <c r="G3328" s="31">
        <v>3.07</v>
      </c>
    </row>
    <row r="3329" spans="1:7" x14ac:dyDescent="0.3">
      <c r="A3329">
        <v>22</v>
      </c>
      <c r="B3329">
        <v>22</v>
      </c>
      <c r="C3329" t="s">
        <v>19</v>
      </c>
      <c r="D3329">
        <v>2.63</v>
      </c>
      <c r="E3329">
        <v>40758.995999999999</v>
      </c>
      <c r="F3329" t="s">
        <v>409</v>
      </c>
      <c r="G3329" s="31">
        <v>2.33</v>
      </c>
    </row>
    <row r="3330" spans="1:7" x14ac:dyDescent="0.3">
      <c r="A3330">
        <v>23</v>
      </c>
      <c r="B3330">
        <v>23</v>
      </c>
      <c r="C3330" t="s">
        <v>20</v>
      </c>
      <c r="D3330">
        <v>2.89</v>
      </c>
      <c r="E3330">
        <v>54064.953000000001</v>
      </c>
      <c r="F3330" t="s">
        <v>410</v>
      </c>
      <c r="G3330" s="31">
        <v>1.7</v>
      </c>
    </row>
    <row r="3331" spans="1:7" x14ac:dyDescent="0.3">
      <c r="A3331">
        <v>24</v>
      </c>
      <c r="B3331">
        <v>24</v>
      </c>
      <c r="C3331" t="s">
        <v>21</v>
      </c>
      <c r="D3331">
        <v>4.18</v>
      </c>
      <c r="E3331">
        <v>101.062</v>
      </c>
      <c r="F3331" t="s">
        <v>411</v>
      </c>
      <c r="G3331" s="31">
        <v>0.1</v>
      </c>
    </row>
    <row r="3332" spans="1:7" x14ac:dyDescent="0.3">
      <c r="A3332">
        <v>25</v>
      </c>
      <c r="B3332">
        <v>25</v>
      </c>
      <c r="C3332" t="s">
        <v>22</v>
      </c>
      <c r="D3332">
        <v>3.41</v>
      </c>
      <c r="E3332">
        <v>281.08800000000002</v>
      </c>
      <c r="F3332" t="s">
        <v>412</v>
      </c>
      <c r="G3332" s="31">
        <v>2.2400000000000002</v>
      </c>
    </row>
    <row r="3333" spans="1:7" x14ac:dyDescent="0.3">
      <c r="A3333">
        <v>26</v>
      </c>
      <c r="B3333">
        <v>26</v>
      </c>
      <c r="C3333" t="s">
        <v>23</v>
      </c>
      <c r="D3333">
        <v>3.35</v>
      </c>
      <c r="E3333">
        <v>79782.273000000001</v>
      </c>
      <c r="F3333" t="s">
        <v>413</v>
      </c>
      <c r="G3333" s="31">
        <v>3.96</v>
      </c>
    </row>
    <row r="3334" spans="1:7" x14ac:dyDescent="0.3">
      <c r="A3334">
        <v>27</v>
      </c>
      <c r="B3334">
        <v>27</v>
      </c>
      <c r="C3334" t="s">
        <v>24</v>
      </c>
      <c r="D3334">
        <v>3.44</v>
      </c>
      <c r="E3334">
        <v>887.50900000000001</v>
      </c>
      <c r="F3334" t="s">
        <v>414</v>
      </c>
      <c r="G3334" s="31">
        <v>0.28000000000000003</v>
      </c>
    </row>
    <row r="3335" spans="1:7" x14ac:dyDescent="0.3">
      <c r="A3335">
        <v>28</v>
      </c>
      <c r="B3335">
        <v>28</v>
      </c>
      <c r="C3335" t="s">
        <v>25</v>
      </c>
      <c r="D3335">
        <v>3.51</v>
      </c>
      <c r="E3335">
        <v>2723.2220000000002</v>
      </c>
      <c r="F3335" t="s">
        <v>415</v>
      </c>
      <c r="G3335" s="31">
        <v>0.32</v>
      </c>
    </row>
    <row r="3336" spans="1:7" x14ac:dyDescent="0.3">
      <c r="A3336">
        <v>29</v>
      </c>
      <c r="B3336">
        <v>29</v>
      </c>
      <c r="C3336" t="s">
        <v>26</v>
      </c>
      <c r="D3336">
        <v>1.03</v>
      </c>
      <c r="E3336">
        <v>678.40300000000002</v>
      </c>
      <c r="F3336" t="s">
        <v>416</v>
      </c>
      <c r="G3336" s="31">
        <v>0.52</v>
      </c>
    </row>
    <row r="3337" spans="1:7" x14ac:dyDescent="0.3">
      <c r="A3337">
        <v>30</v>
      </c>
      <c r="B3337">
        <v>30</v>
      </c>
      <c r="C3337" t="s">
        <v>27</v>
      </c>
      <c r="D3337">
        <v>4.43</v>
      </c>
      <c r="E3337">
        <v>1356.66</v>
      </c>
      <c r="F3337" t="s">
        <v>417</v>
      </c>
      <c r="G3337" s="31">
        <v>0.06</v>
      </c>
    </row>
    <row r="3338" spans="1:7" x14ac:dyDescent="0.3">
      <c r="A3338">
        <v>31</v>
      </c>
      <c r="B3338">
        <v>31</v>
      </c>
      <c r="C3338" t="s">
        <v>28</v>
      </c>
      <c r="D3338">
        <v>3</v>
      </c>
      <c r="E3338">
        <v>412165.53100000002</v>
      </c>
      <c r="F3338" t="s">
        <v>418</v>
      </c>
      <c r="G3338" s="31">
        <v>1.38</v>
      </c>
    </row>
    <row r="3339" spans="1:7" x14ac:dyDescent="0.3">
      <c r="A3339">
        <v>32</v>
      </c>
      <c r="B3339">
        <v>32</v>
      </c>
      <c r="C3339" t="s">
        <v>29</v>
      </c>
      <c r="D3339">
        <v>3.36</v>
      </c>
      <c r="E3339">
        <v>1093.634</v>
      </c>
      <c r="F3339" t="s">
        <v>419</v>
      </c>
      <c r="G3339" s="31">
        <v>0.09</v>
      </c>
    </row>
    <row r="3340" spans="1:7" x14ac:dyDescent="0.3">
      <c r="A3340">
        <v>33</v>
      </c>
      <c r="B3340">
        <v>33</v>
      </c>
      <c r="C3340" t="s">
        <v>30</v>
      </c>
      <c r="D3340">
        <v>4.67</v>
      </c>
      <c r="E3340">
        <v>54641.703000000001</v>
      </c>
      <c r="F3340" t="s">
        <v>420</v>
      </c>
      <c r="G3340" s="31">
        <v>0.7</v>
      </c>
    </row>
    <row r="3341" spans="1:7" x14ac:dyDescent="0.3">
      <c r="A3341">
        <v>34</v>
      </c>
      <c r="B3341">
        <v>34</v>
      </c>
      <c r="C3341" t="s">
        <v>31</v>
      </c>
      <c r="D3341">
        <v>3.26</v>
      </c>
      <c r="E3341">
        <v>10057.498</v>
      </c>
      <c r="F3341" t="s">
        <v>421</v>
      </c>
      <c r="G3341" s="31">
        <v>0.45</v>
      </c>
    </row>
    <row r="3342" spans="1:7" x14ac:dyDescent="0.3">
      <c r="A3342">
        <v>35</v>
      </c>
      <c r="B3342">
        <v>35</v>
      </c>
      <c r="C3342" t="s">
        <v>32</v>
      </c>
      <c r="D3342">
        <v>3.07</v>
      </c>
      <c r="E3342">
        <v>118.042</v>
      </c>
      <c r="F3342" t="s">
        <v>422</v>
      </c>
      <c r="G3342" s="31">
        <v>0.1</v>
      </c>
    </row>
    <row r="3343" spans="1:7" x14ac:dyDescent="0.3">
      <c r="A3343">
        <v>36</v>
      </c>
      <c r="B3343">
        <v>36</v>
      </c>
      <c r="C3343" t="s">
        <v>33</v>
      </c>
      <c r="D3343">
        <v>1.9</v>
      </c>
      <c r="E3343">
        <v>4626.0619999999999</v>
      </c>
      <c r="F3343" t="s">
        <v>423</v>
      </c>
      <c r="G3343" s="31">
        <v>1.65</v>
      </c>
    </row>
    <row r="3344" spans="1:7" x14ac:dyDescent="0.3">
      <c r="G3344" s="31">
        <f>G3321/G3323</f>
        <v>2.4651162790697678</v>
      </c>
    </row>
    <row r="3345" spans="1:7" x14ac:dyDescent="0.3">
      <c r="A3345" t="s">
        <v>379</v>
      </c>
    </row>
    <row r="3347" spans="1:7" x14ac:dyDescent="0.3">
      <c r="A3347" t="s">
        <v>491</v>
      </c>
    </row>
    <row r="3349" spans="1:7" x14ac:dyDescent="0.3">
      <c r="A3349" t="s">
        <v>501</v>
      </c>
    </row>
    <row r="3351" spans="1:7" x14ac:dyDescent="0.3">
      <c r="B3351" t="s">
        <v>382</v>
      </c>
      <c r="C3351" t="s">
        <v>383</v>
      </c>
      <c r="D3351" t="s">
        <v>384</v>
      </c>
      <c r="E3351" t="s">
        <v>385</v>
      </c>
      <c r="F3351" t="s">
        <v>386</v>
      </c>
      <c r="G3351" s="31" t="s">
        <v>387</v>
      </c>
    </row>
    <row r="3352" spans="1:7" x14ac:dyDescent="0.3">
      <c r="A3352">
        <v>1</v>
      </c>
      <c r="B3352">
        <v>1</v>
      </c>
      <c r="C3352" t="s">
        <v>0</v>
      </c>
      <c r="D3352">
        <v>1.01</v>
      </c>
      <c r="E3352">
        <v>4179.8090000000002</v>
      </c>
      <c r="F3352" t="s">
        <v>388</v>
      </c>
      <c r="G3352" s="31">
        <v>17.14</v>
      </c>
    </row>
    <row r="3353" spans="1:7" x14ac:dyDescent="0.3">
      <c r="A3353">
        <v>2</v>
      </c>
      <c r="B3353">
        <v>2</v>
      </c>
      <c r="C3353" t="s">
        <v>1</v>
      </c>
      <c r="D3353">
        <v>1.45</v>
      </c>
      <c r="E3353">
        <v>6072.1059999999998</v>
      </c>
      <c r="F3353" t="s">
        <v>389</v>
      </c>
      <c r="G3353" s="31">
        <v>4.6100000000000003</v>
      </c>
    </row>
    <row r="3354" spans="1:7" x14ac:dyDescent="0.3">
      <c r="A3354">
        <v>3</v>
      </c>
      <c r="B3354">
        <v>3</v>
      </c>
      <c r="C3354" t="s">
        <v>50</v>
      </c>
      <c r="D3354">
        <v>3.57</v>
      </c>
      <c r="E3354">
        <v>519.98199999999997</v>
      </c>
      <c r="F3354" t="s">
        <v>390</v>
      </c>
      <c r="G3354" s="31">
        <v>0.18</v>
      </c>
    </row>
    <row r="3355" spans="1:7" x14ac:dyDescent="0.3">
      <c r="A3355">
        <v>4</v>
      </c>
      <c r="B3355">
        <v>4</v>
      </c>
      <c r="C3355" t="s">
        <v>2</v>
      </c>
      <c r="D3355">
        <v>3.68</v>
      </c>
      <c r="E3355">
        <v>40835</v>
      </c>
      <c r="F3355" t="s">
        <v>391</v>
      </c>
      <c r="G3355" s="31">
        <v>1.27</v>
      </c>
    </row>
    <row r="3356" spans="1:7" x14ac:dyDescent="0.3">
      <c r="A3356">
        <v>5</v>
      </c>
      <c r="B3356">
        <v>5</v>
      </c>
      <c r="C3356" t="s">
        <v>3</v>
      </c>
      <c r="D3356">
        <v>4.4800000000000004</v>
      </c>
      <c r="E3356">
        <v>81.106999999999999</v>
      </c>
      <c r="F3356" t="s">
        <v>392</v>
      </c>
      <c r="G3356" s="31">
        <v>0.1</v>
      </c>
    </row>
    <row r="3357" spans="1:7" x14ac:dyDescent="0.3">
      <c r="A3357">
        <v>6</v>
      </c>
      <c r="B3357">
        <v>6</v>
      </c>
      <c r="C3357" t="s">
        <v>4</v>
      </c>
      <c r="D3357">
        <v>4.79</v>
      </c>
      <c r="E3357">
        <v>89157.952999999994</v>
      </c>
      <c r="F3357" t="s">
        <v>393</v>
      </c>
      <c r="G3357" s="31">
        <v>1.98</v>
      </c>
    </row>
    <row r="3358" spans="1:7" x14ac:dyDescent="0.3">
      <c r="A3358">
        <v>7</v>
      </c>
      <c r="B3358">
        <v>7</v>
      </c>
      <c r="C3358" t="s">
        <v>5</v>
      </c>
      <c r="D3358">
        <v>2.71</v>
      </c>
      <c r="E3358">
        <v>1803.2139999999999</v>
      </c>
      <c r="F3358" t="s">
        <v>394</v>
      </c>
      <c r="G3358" s="31">
        <v>0.15</v>
      </c>
    </row>
    <row r="3359" spans="1:7" x14ac:dyDescent="0.3">
      <c r="A3359">
        <v>8</v>
      </c>
      <c r="B3359">
        <v>8</v>
      </c>
      <c r="C3359" t="s">
        <v>6</v>
      </c>
      <c r="D3359">
        <v>0.67</v>
      </c>
      <c r="E3359">
        <v>8092.7359999999999</v>
      </c>
      <c r="F3359" t="s">
        <v>395</v>
      </c>
      <c r="G3359" s="31">
        <v>47.57</v>
      </c>
    </row>
    <row r="3360" spans="1:7" x14ac:dyDescent="0.3">
      <c r="A3360">
        <v>9</v>
      </c>
      <c r="B3360">
        <v>9</v>
      </c>
      <c r="C3360" t="s">
        <v>7</v>
      </c>
      <c r="D3360">
        <v>3.56</v>
      </c>
      <c r="E3360">
        <v>746.86800000000005</v>
      </c>
      <c r="F3360" t="s">
        <v>396</v>
      </c>
      <c r="G3360" s="31">
        <v>1.02</v>
      </c>
    </row>
    <row r="3361" spans="1:7" x14ac:dyDescent="0.3">
      <c r="A3361">
        <v>10</v>
      </c>
      <c r="B3361">
        <v>10</v>
      </c>
      <c r="C3361" t="s">
        <v>51</v>
      </c>
      <c r="D3361">
        <v>4.6100000000000003</v>
      </c>
      <c r="E3361">
        <v>1881.4670000000001</v>
      </c>
      <c r="F3361" t="s">
        <v>397</v>
      </c>
      <c r="G3361" s="31">
        <v>0.19</v>
      </c>
    </row>
    <row r="3362" spans="1:7" x14ac:dyDescent="0.3">
      <c r="A3362">
        <v>11</v>
      </c>
      <c r="B3362">
        <v>11</v>
      </c>
      <c r="C3362" t="s">
        <v>8</v>
      </c>
      <c r="D3362">
        <v>2.74</v>
      </c>
      <c r="E3362">
        <v>74524.351999999999</v>
      </c>
      <c r="F3362" t="s">
        <v>398</v>
      </c>
      <c r="G3362" s="31">
        <v>1.95</v>
      </c>
    </row>
    <row r="3363" spans="1:7" x14ac:dyDescent="0.3">
      <c r="A3363">
        <v>12</v>
      </c>
      <c r="B3363">
        <v>12</v>
      </c>
      <c r="C3363" t="s">
        <v>9</v>
      </c>
      <c r="D3363">
        <v>2.61</v>
      </c>
      <c r="E3363">
        <v>5296.9170000000004</v>
      </c>
      <c r="F3363" t="s">
        <v>399</v>
      </c>
      <c r="G3363" s="31">
        <v>0.98</v>
      </c>
    </row>
    <row r="3364" spans="1:7" x14ac:dyDescent="0.3">
      <c r="A3364">
        <v>13</v>
      </c>
      <c r="B3364">
        <v>13</v>
      </c>
      <c r="C3364" t="s">
        <v>10</v>
      </c>
      <c r="D3364">
        <v>4.07</v>
      </c>
      <c r="E3364">
        <v>4510870</v>
      </c>
      <c r="F3364" t="s">
        <v>400</v>
      </c>
      <c r="G3364" s="31">
        <v>213.41</v>
      </c>
    </row>
    <row r="3365" spans="1:7" x14ac:dyDescent="0.3">
      <c r="A3365">
        <v>14</v>
      </c>
      <c r="B3365">
        <v>14</v>
      </c>
      <c r="C3365" t="s">
        <v>11</v>
      </c>
      <c r="D3365">
        <v>3.53</v>
      </c>
      <c r="E3365">
        <v>57.682000000000002</v>
      </c>
      <c r="F3365" t="s">
        <v>401</v>
      </c>
      <c r="G3365" s="31">
        <v>1.89</v>
      </c>
    </row>
    <row r="3366" spans="1:7" x14ac:dyDescent="0.3">
      <c r="A3366">
        <v>15</v>
      </c>
      <c r="B3366">
        <v>15</v>
      </c>
      <c r="C3366" t="s">
        <v>12</v>
      </c>
      <c r="D3366">
        <v>3.33</v>
      </c>
      <c r="E3366">
        <v>748.90499999999997</v>
      </c>
      <c r="F3366" t="s">
        <v>402</v>
      </c>
      <c r="G3366" s="31">
        <v>1.68</v>
      </c>
    </row>
    <row r="3367" spans="1:7" x14ac:dyDescent="0.3">
      <c r="A3367">
        <v>16</v>
      </c>
      <c r="B3367">
        <v>16</v>
      </c>
      <c r="C3367" t="s">
        <v>13</v>
      </c>
      <c r="D3367">
        <v>3.23</v>
      </c>
      <c r="E3367">
        <v>12202.083000000001</v>
      </c>
      <c r="F3367" t="s">
        <v>403</v>
      </c>
      <c r="G3367" s="31">
        <v>1.1299999999999999</v>
      </c>
    </row>
    <row r="3368" spans="1:7" x14ac:dyDescent="0.3">
      <c r="A3368">
        <v>17</v>
      </c>
      <c r="B3368">
        <v>17</v>
      </c>
      <c r="C3368" t="s">
        <v>14</v>
      </c>
      <c r="D3368">
        <v>2.02</v>
      </c>
      <c r="E3368">
        <v>64949.516000000003</v>
      </c>
      <c r="F3368" t="s">
        <v>404</v>
      </c>
      <c r="G3368" s="31">
        <v>4.97</v>
      </c>
    </row>
    <row r="3369" spans="1:7" x14ac:dyDescent="0.3">
      <c r="A3369">
        <v>18</v>
      </c>
      <c r="B3369">
        <v>18</v>
      </c>
      <c r="C3369" t="s">
        <v>15</v>
      </c>
      <c r="D3369">
        <v>2.4900000000000002</v>
      </c>
      <c r="E3369">
        <v>56728.531000000003</v>
      </c>
      <c r="F3369" t="s">
        <v>405</v>
      </c>
      <c r="G3369" s="31">
        <v>13.26</v>
      </c>
    </row>
    <row r="3370" spans="1:7" x14ac:dyDescent="0.3">
      <c r="A3370">
        <v>19</v>
      </c>
      <c r="B3370">
        <v>19</v>
      </c>
      <c r="C3370" t="s">
        <v>16</v>
      </c>
      <c r="D3370">
        <v>2.71</v>
      </c>
      <c r="E3370">
        <v>6886.857</v>
      </c>
      <c r="F3370" t="s">
        <v>406</v>
      </c>
      <c r="G3370" s="31">
        <v>0.21</v>
      </c>
    </row>
    <row r="3371" spans="1:7" x14ac:dyDescent="0.3">
      <c r="A3371">
        <v>20</v>
      </c>
      <c r="B3371">
        <v>20</v>
      </c>
      <c r="C3371" t="s">
        <v>17</v>
      </c>
      <c r="D3371">
        <v>3.13</v>
      </c>
      <c r="E3371">
        <v>27429.148000000001</v>
      </c>
      <c r="F3371" t="s">
        <v>407</v>
      </c>
      <c r="G3371" s="31">
        <v>2.72</v>
      </c>
    </row>
    <row r="3372" spans="1:7" x14ac:dyDescent="0.3">
      <c r="A3372">
        <v>21</v>
      </c>
      <c r="B3372">
        <v>21</v>
      </c>
      <c r="C3372" t="s">
        <v>18</v>
      </c>
      <c r="D3372">
        <v>3.68</v>
      </c>
      <c r="E3372">
        <v>56341.57</v>
      </c>
      <c r="F3372" t="s">
        <v>408</v>
      </c>
      <c r="G3372" s="31">
        <v>1.31</v>
      </c>
    </row>
    <row r="3373" spans="1:7" x14ac:dyDescent="0.3">
      <c r="A3373">
        <v>22</v>
      </c>
      <c r="B3373">
        <v>22</v>
      </c>
      <c r="C3373" t="s">
        <v>19</v>
      </c>
      <c r="D3373">
        <v>2.62</v>
      </c>
      <c r="E3373">
        <v>45276.305</v>
      </c>
      <c r="F3373" t="s">
        <v>409</v>
      </c>
      <c r="G3373" s="31">
        <v>2.46</v>
      </c>
    </row>
    <row r="3374" spans="1:7" x14ac:dyDescent="0.3">
      <c r="A3374">
        <v>23</v>
      </c>
      <c r="B3374">
        <v>23</v>
      </c>
      <c r="C3374" t="s">
        <v>20</v>
      </c>
      <c r="D3374">
        <v>2.89</v>
      </c>
      <c r="E3374">
        <v>28623.032999999999</v>
      </c>
      <c r="F3374" t="s">
        <v>410</v>
      </c>
      <c r="G3374" s="31">
        <v>0.89</v>
      </c>
    </row>
    <row r="3375" spans="1:7" x14ac:dyDescent="0.3">
      <c r="A3375">
        <v>24</v>
      </c>
      <c r="B3375">
        <v>24</v>
      </c>
      <c r="C3375" t="s">
        <v>21</v>
      </c>
      <c r="D3375">
        <v>4.1399999999999997</v>
      </c>
      <c r="E3375">
        <v>403.41800000000001</v>
      </c>
      <c r="F3375" t="s">
        <v>411</v>
      </c>
      <c r="G3375" s="31">
        <v>0.11</v>
      </c>
    </row>
    <row r="3376" spans="1:7" x14ac:dyDescent="0.3">
      <c r="A3376">
        <v>25</v>
      </c>
      <c r="B3376">
        <v>25</v>
      </c>
      <c r="C3376" t="s">
        <v>22</v>
      </c>
      <c r="D3376">
        <v>3.41</v>
      </c>
      <c r="E3376">
        <v>3846.0259999999998</v>
      </c>
      <c r="F3376" t="s">
        <v>412</v>
      </c>
      <c r="G3376" s="31">
        <v>12.13</v>
      </c>
    </row>
    <row r="3377" spans="1:7" x14ac:dyDescent="0.3">
      <c r="A3377">
        <v>26</v>
      </c>
      <c r="B3377">
        <v>26</v>
      </c>
      <c r="C3377" t="s">
        <v>23</v>
      </c>
      <c r="D3377">
        <v>3.35</v>
      </c>
      <c r="E3377">
        <v>70770.726999999999</v>
      </c>
      <c r="F3377" t="s">
        <v>413</v>
      </c>
      <c r="G3377" s="31">
        <v>3.41</v>
      </c>
    </row>
    <row r="3378" spans="1:7" x14ac:dyDescent="0.3">
      <c r="A3378">
        <v>27</v>
      </c>
      <c r="B3378">
        <v>27</v>
      </c>
      <c r="C3378" t="s">
        <v>24</v>
      </c>
      <c r="D3378">
        <v>3.44</v>
      </c>
      <c r="E3378">
        <v>5723.7280000000001</v>
      </c>
      <c r="F3378" t="s">
        <v>414</v>
      </c>
      <c r="G3378" s="31">
        <v>2.2799999999999998</v>
      </c>
    </row>
    <row r="3379" spans="1:7" x14ac:dyDescent="0.3">
      <c r="A3379">
        <v>28</v>
      </c>
      <c r="B3379">
        <v>28</v>
      </c>
      <c r="C3379" t="s">
        <v>25</v>
      </c>
      <c r="D3379">
        <v>3.51</v>
      </c>
      <c r="E3379">
        <v>26091.486000000001</v>
      </c>
      <c r="F3379" t="s">
        <v>415</v>
      </c>
      <c r="G3379" s="31">
        <v>1.95</v>
      </c>
    </row>
    <row r="3380" spans="1:7" x14ac:dyDescent="0.3">
      <c r="A3380">
        <v>29</v>
      </c>
      <c r="B3380">
        <v>29</v>
      </c>
      <c r="C3380" t="s">
        <v>26</v>
      </c>
      <c r="D3380">
        <v>1.03</v>
      </c>
      <c r="E3380">
        <v>2118.7399999999998</v>
      </c>
      <c r="F3380" t="s">
        <v>416</v>
      </c>
      <c r="G3380" s="31">
        <v>1.1299999999999999</v>
      </c>
    </row>
    <row r="3381" spans="1:7" x14ac:dyDescent="0.3">
      <c r="A3381">
        <v>30</v>
      </c>
      <c r="B3381">
        <v>30</v>
      </c>
      <c r="C3381" t="s">
        <v>27</v>
      </c>
      <c r="D3381">
        <v>4.32</v>
      </c>
      <c r="E3381">
        <v>4163.9129999999996</v>
      </c>
      <c r="F3381" t="s">
        <v>417</v>
      </c>
      <c r="G3381" s="31">
        <v>0.16</v>
      </c>
    </row>
    <row r="3382" spans="1:7" x14ac:dyDescent="0.3">
      <c r="A3382">
        <v>31</v>
      </c>
      <c r="B3382">
        <v>31</v>
      </c>
      <c r="C3382" t="s">
        <v>28</v>
      </c>
      <c r="D3382">
        <v>3</v>
      </c>
      <c r="E3382">
        <v>65439.016000000003</v>
      </c>
      <c r="F3382" t="s">
        <v>418</v>
      </c>
      <c r="G3382" s="31">
        <v>0.14000000000000001</v>
      </c>
    </row>
    <row r="3383" spans="1:7" x14ac:dyDescent="0.3">
      <c r="A3383">
        <v>32</v>
      </c>
      <c r="B3383">
        <v>32</v>
      </c>
      <c r="C3383" t="s">
        <v>29</v>
      </c>
      <c r="D3383">
        <v>3.34</v>
      </c>
      <c r="E3383">
        <v>1166.424</v>
      </c>
      <c r="F3383" t="s">
        <v>419</v>
      </c>
      <c r="G3383" s="31">
        <v>0.09</v>
      </c>
    </row>
    <row r="3384" spans="1:7" x14ac:dyDescent="0.3">
      <c r="A3384">
        <v>33</v>
      </c>
      <c r="B3384">
        <v>33</v>
      </c>
      <c r="C3384" t="s">
        <v>30</v>
      </c>
      <c r="D3384">
        <v>4.67</v>
      </c>
      <c r="E3384">
        <v>42265.163999999997</v>
      </c>
      <c r="F3384" t="s">
        <v>420</v>
      </c>
      <c r="G3384" s="31">
        <v>0.57999999999999996</v>
      </c>
    </row>
    <row r="3385" spans="1:7" x14ac:dyDescent="0.3">
      <c r="A3385">
        <v>34</v>
      </c>
      <c r="B3385">
        <v>34</v>
      </c>
      <c r="C3385" t="s">
        <v>31</v>
      </c>
      <c r="D3385">
        <v>3.5</v>
      </c>
      <c r="E3385">
        <v>2878.85</v>
      </c>
      <c r="F3385" t="s">
        <v>421</v>
      </c>
      <c r="G3385" s="31">
        <v>0.13</v>
      </c>
    </row>
    <row r="3386" spans="1:7" x14ac:dyDescent="0.3">
      <c r="A3386">
        <v>35</v>
      </c>
      <c r="B3386">
        <v>35</v>
      </c>
      <c r="C3386" t="s">
        <v>32</v>
      </c>
      <c r="D3386">
        <v>3.07</v>
      </c>
      <c r="E3386">
        <v>573.43200000000002</v>
      </c>
      <c r="F3386" t="s">
        <v>422</v>
      </c>
      <c r="G3386" s="31">
        <v>0.14000000000000001</v>
      </c>
    </row>
    <row r="3387" spans="1:7" x14ac:dyDescent="0.3">
      <c r="A3387">
        <v>36</v>
      </c>
      <c r="B3387">
        <v>36</v>
      </c>
      <c r="C3387" t="s">
        <v>33</v>
      </c>
      <c r="D3387">
        <v>1.9</v>
      </c>
      <c r="E3387">
        <v>2089.8130000000001</v>
      </c>
      <c r="F3387" t="s">
        <v>423</v>
      </c>
      <c r="G3387" s="31">
        <v>0.72</v>
      </c>
    </row>
    <row r="3388" spans="1:7" x14ac:dyDescent="0.3">
      <c r="G3388" s="31">
        <f>G3365/G3367</f>
        <v>1.6725663716814161</v>
      </c>
    </row>
    <row r="3389" spans="1:7" x14ac:dyDescent="0.3">
      <c r="A3389" t="s">
        <v>379</v>
      </c>
    </row>
    <row r="3391" spans="1:7" x14ac:dyDescent="0.3">
      <c r="A3391" t="s">
        <v>491</v>
      </c>
    </row>
    <row r="3393" spans="1:7" x14ac:dyDescent="0.3">
      <c r="A3393" t="s">
        <v>502</v>
      </c>
    </row>
    <row r="3395" spans="1:7" x14ac:dyDescent="0.3">
      <c r="B3395" t="s">
        <v>382</v>
      </c>
      <c r="C3395" t="s">
        <v>383</v>
      </c>
      <c r="D3395" t="s">
        <v>384</v>
      </c>
      <c r="E3395" t="s">
        <v>385</v>
      </c>
      <c r="F3395" t="s">
        <v>386</v>
      </c>
      <c r="G3395" s="31" t="s">
        <v>387</v>
      </c>
    </row>
    <row r="3396" spans="1:7" x14ac:dyDescent="0.3">
      <c r="A3396">
        <v>1</v>
      </c>
      <c r="B3396">
        <v>1</v>
      </c>
      <c r="C3396" t="s">
        <v>0</v>
      </c>
      <c r="D3396">
        <v>1.02</v>
      </c>
      <c r="E3396">
        <v>19.635000000000002</v>
      </c>
      <c r="F3396" t="s">
        <v>388</v>
      </c>
      <c r="G3396" s="31">
        <v>0.1</v>
      </c>
    </row>
    <row r="3397" spans="1:7" x14ac:dyDescent="0.3">
      <c r="A3397">
        <v>2</v>
      </c>
      <c r="B3397">
        <v>2</v>
      </c>
      <c r="C3397" t="s">
        <v>1</v>
      </c>
      <c r="F3397" t="s">
        <v>389</v>
      </c>
      <c r="G3397" s="31">
        <v>0.1</v>
      </c>
    </row>
    <row r="3398" spans="1:7" x14ac:dyDescent="0.3">
      <c r="A3398">
        <v>3</v>
      </c>
      <c r="B3398">
        <v>3</v>
      </c>
      <c r="C3398" t="s">
        <v>50</v>
      </c>
      <c r="D3398">
        <v>3.75</v>
      </c>
      <c r="E3398">
        <v>43.277999999999999</v>
      </c>
      <c r="F3398" t="s">
        <v>390</v>
      </c>
      <c r="G3398" s="31">
        <v>0.42</v>
      </c>
    </row>
    <row r="3399" spans="1:7" x14ac:dyDescent="0.3">
      <c r="A3399">
        <v>4</v>
      </c>
      <c r="B3399">
        <v>4</v>
      </c>
      <c r="C3399" t="s">
        <v>2</v>
      </c>
      <c r="D3399">
        <v>3.81</v>
      </c>
      <c r="E3399">
        <v>97.947000000000003</v>
      </c>
      <c r="F3399" t="s">
        <v>391</v>
      </c>
      <c r="G3399" s="31">
        <v>0.78</v>
      </c>
    </row>
    <row r="3400" spans="1:7" x14ac:dyDescent="0.3">
      <c r="A3400">
        <v>5</v>
      </c>
      <c r="B3400">
        <v>5</v>
      </c>
      <c r="C3400" t="s">
        <v>3</v>
      </c>
      <c r="D3400">
        <v>4.4800000000000004</v>
      </c>
      <c r="E3400">
        <v>76.081999999999994</v>
      </c>
      <c r="F3400" t="s">
        <v>392</v>
      </c>
      <c r="G3400" s="31">
        <v>0.1</v>
      </c>
    </row>
    <row r="3401" spans="1:7" x14ac:dyDescent="0.3">
      <c r="A3401">
        <v>6</v>
      </c>
      <c r="B3401">
        <v>6</v>
      </c>
      <c r="C3401" t="s">
        <v>4</v>
      </c>
      <c r="D3401">
        <v>5</v>
      </c>
      <c r="E3401">
        <v>40.546999999999997</v>
      </c>
      <c r="F3401" t="s">
        <v>393</v>
      </c>
      <c r="G3401" s="31">
        <v>2.2999999999999998</v>
      </c>
    </row>
    <row r="3402" spans="1:7" x14ac:dyDescent="0.3">
      <c r="A3402">
        <v>7</v>
      </c>
      <c r="B3402">
        <v>7</v>
      </c>
      <c r="C3402" t="s">
        <v>5</v>
      </c>
      <c r="D3402">
        <v>2.74</v>
      </c>
      <c r="E3402">
        <v>4.1760000000000002</v>
      </c>
      <c r="F3402" t="s">
        <v>394</v>
      </c>
      <c r="G3402" s="31">
        <v>0.06</v>
      </c>
    </row>
    <row r="3403" spans="1:7" x14ac:dyDescent="0.3">
      <c r="A3403">
        <v>8</v>
      </c>
      <c r="B3403">
        <v>8</v>
      </c>
      <c r="C3403" t="s">
        <v>6</v>
      </c>
      <c r="F3403" t="s">
        <v>395</v>
      </c>
      <c r="G3403" s="31">
        <v>0.1</v>
      </c>
    </row>
    <row r="3404" spans="1:7" x14ac:dyDescent="0.3">
      <c r="A3404">
        <v>9</v>
      </c>
      <c r="B3404">
        <v>9</v>
      </c>
      <c r="C3404" t="s">
        <v>7</v>
      </c>
      <c r="D3404">
        <v>3.6</v>
      </c>
      <c r="E3404">
        <v>112.914</v>
      </c>
      <c r="F3404" t="s">
        <v>396</v>
      </c>
      <c r="G3404" s="31">
        <v>3.07</v>
      </c>
    </row>
    <row r="3405" spans="1:7" x14ac:dyDescent="0.3">
      <c r="A3405">
        <v>10</v>
      </c>
      <c r="B3405">
        <v>10</v>
      </c>
      <c r="C3405" t="s">
        <v>51</v>
      </c>
      <c r="D3405">
        <v>4.7300000000000004</v>
      </c>
      <c r="E3405">
        <v>217.86600000000001</v>
      </c>
      <c r="F3405" t="s">
        <v>397</v>
      </c>
      <c r="G3405" s="31">
        <v>0.37</v>
      </c>
    </row>
    <row r="3406" spans="1:7" x14ac:dyDescent="0.3">
      <c r="A3406">
        <v>11</v>
      </c>
      <c r="B3406">
        <v>11</v>
      </c>
      <c r="C3406" t="s">
        <v>8</v>
      </c>
      <c r="D3406">
        <v>2.67</v>
      </c>
      <c r="E3406">
        <v>5.33</v>
      </c>
      <c r="F3406" t="s">
        <v>398</v>
      </c>
      <c r="G3406" s="31">
        <v>1.63</v>
      </c>
    </row>
    <row r="3407" spans="1:7" x14ac:dyDescent="0.3">
      <c r="A3407">
        <v>12</v>
      </c>
      <c r="B3407">
        <v>12</v>
      </c>
      <c r="C3407" t="s">
        <v>9</v>
      </c>
      <c r="D3407">
        <v>2.75</v>
      </c>
      <c r="E3407">
        <v>143.29499999999999</v>
      </c>
      <c r="F3407" t="s">
        <v>399</v>
      </c>
      <c r="G3407" s="31">
        <v>3</v>
      </c>
    </row>
    <row r="3408" spans="1:7" x14ac:dyDescent="0.3">
      <c r="A3408">
        <v>13</v>
      </c>
      <c r="B3408">
        <v>13</v>
      </c>
      <c r="C3408" t="s">
        <v>10</v>
      </c>
      <c r="D3408">
        <v>4.07</v>
      </c>
      <c r="E3408">
        <v>1587.9880000000001</v>
      </c>
      <c r="F3408" t="s">
        <v>400</v>
      </c>
      <c r="G3408" s="31">
        <v>0.1</v>
      </c>
    </row>
    <row r="3409" spans="1:7" x14ac:dyDescent="0.3">
      <c r="A3409">
        <v>14</v>
      </c>
      <c r="B3409">
        <v>14</v>
      </c>
      <c r="C3409" t="s">
        <v>11</v>
      </c>
      <c r="F3409" t="s">
        <v>401</v>
      </c>
      <c r="G3409" s="31">
        <v>0.1</v>
      </c>
    </row>
    <row r="3410" spans="1:7" x14ac:dyDescent="0.3">
      <c r="A3410">
        <v>15</v>
      </c>
      <c r="B3410">
        <v>15</v>
      </c>
      <c r="C3410" t="s">
        <v>12</v>
      </c>
      <c r="D3410">
        <v>3.36</v>
      </c>
      <c r="E3410">
        <v>20.494</v>
      </c>
      <c r="F3410" t="s">
        <v>402</v>
      </c>
      <c r="G3410" s="31">
        <v>0.83</v>
      </c>
    </row>
    <row r="3411" spans="1:7" x14ac:dyDescent="0.3">
      <c r="A3411">
        <v>16</v>
      </c>
      <c r="B3411">
        <v>16</v>
      </c>
      <c r="C3411" t="s">
        <v>13</v>
      </c>
      <c r="F3411" t="s">
        <v>403</v>
      </c>
      <c r="G3411" s="31">
        <v>0.1</v>
      </c>
    </row>
    <row r="3412" spans="1:7" x14ac:dyDescent="0.3">
      <c r="A3412">
        <v>17</v>
      </c>
      <c r="B3412">
        <v>17</v>
      </c>
      <c r="C3412" t="s">
        <v>14</v>
      </c>
      <c r="D3412">
        <v>2.16</v>
      </c>
      <c r="E3412">
        <v>25.888999999999999</v>
      </c>
      <c r="F3412" t="s">
        <v>404</v>
      </c>
      <c r="G3412" s="31">
        <v>3.22</v>
      </c>
    </row>
    <row r="3413" spans="1:7" x14ac:dyDescent="0.3">
      <c r="A3413">
        <v>18</v>
      </c>
      <c r="B3413">
        <v>18</v>
      </c>
      <c r="C3413" t="s">
        <v>15</v>
      </c>
      <c r="D3413">
        <v>2.48</v>
      </c>
      <c r="E3413">
        <v>26.538</v>
      </c>
      <c r="F3413" t="s">
        <v>405</v>
      </c>
      <c r="G3413" s="31">
        <v>10.33</v>
      </c>
    </row>
    <row r="3414" spans="1:7" x14ac:dyDescent="0.3">
      <c r="A3414">
        <v>19</v>
      </c>
      <c r="B3414">
        <v>19</v>
      </c>
      <c r="C3414" t="s">
        <v>16</v>
      </c>
      <c r="D3414">
        <v>2.72</v>
      </c>
      <c r="E3414">
        <v>18.795999999999999</v>
      </c>
      <c r="F3414" t="s">
        <v>406</v>
      </c>
      <c r="G3414" s="31">
        <v>0.3</v>
      </c>
    </row>
    <row r="3415" spans="1:7" x14ac:dyDescent="0.3">
      <c r="A3415">
        <v>20</v>
      </c>
      <c r="B3415">
        <v>20</v>
      </c>
      <c r="C3415" t="s">
        <v>17</v>
      </c>
      <c r="D3415">
        <v>2.98</v>
      </c>
      <c r="E3415">
        <v>636.04</v>
      </c>
      <c r="F3415" t="s">
        <v>407</v>
      </c>
      <c r="G3415" s="31">
        <v>0.44</v>
      </c>
    </row>
    <row r="3416" spans="1:7" x14ac:dyDescent="0.3">
      <c r="A3416">
        <v>21</v>
      </c>
      <c r="B3416">
        <v>21</v>
      </c>
      <c r="C3416" t="s">
        <v>18</v>
      </c>
      <c r="D3416">
        <v>3.69</v>
      </c>
      <c r="E3416">
        <v>1083.6369999999999</v>
      </c>
      <c r="F3416" t="s">
        <v>408</v>
      </c>
      <c r="G3416" s="31">
        <v>0.33</v>
      </c>
    </row>
    <row r="3417" spans="1:7" x14ac:dyDescent="0.3">
      <c r="A3417">
        <v>22</v>
      </c>
      <c r="B3417">
        <v>22</v>
      </c>
      <c r="C3417" t="s">
        <v>19</v>
      </c>
      <c r="F3417" t="s">
        <v>409</v>
      </c>
      <c r="G3417" s="31">
        <v>0.1</v>
      </c>
    </row>
    <row r="3418" spans="1:7" x14ac:dyDescent="0.3">
      <c r="A3418">
        <v>23</v>
      </c>
      <c r="B3418">
        <v>23</v>
      </c>
      <c r="C3418" t="s">
        <v>20</v>
      </c>
      <c r="F3418" t="s">
        <v>410</v>
      </c>
      <c r="G3418" s="31">
        <v>0.1</v>
      </c>
    </row>
    <row r="3419" spans="1:7" x14ac:dyDescent="0.3">
      <c r="A3419">
        <v>24</v>
      </c>
      <c r="B3419">
        <v>24</v>
      </c>
      <c r="C3419" t="s">
        <v>21</v>
      </c>
      <c r="D3419">
        <v>4.1399999999999997</v>
      </c>
      <c r="E3419">
        <v>14.331</v>
      </c>
      <c r="F3419" t="s">
        <v>411</v>
      </c>
      <c r="G3419" s="31">
        <v>0.1</v>
      </c>
    </row>
    <row r="3420" spans="1:7" x14ac:dyDescent="0.3">
      <c r="A3420">
        <v>25</v>
      </c>
      <c r="B3420">
        <v>25</v>
      </c>
      <c r="C3420" t="s">
        <v>22</v>
      </c>
      <c r="D3420">
        <v>3.44</v>
      </c>
      <c r="E3420">
        <v>46.484000000000002</v>
      </c>
      <c r="F3420" t="s">
        <v>412</v>
      </c>
      <c r="G3420" s="31">
        <v>22.36</v>
      </c>
    </row>
    <row r="3421" spans="1:7" x14ac:dyDescent="0.3">
      <c r="A3421">
        <v>26</v>
      </c>
      <c r="B3421">
        <v>26</v>
      </c>
      <c r="C3421" t="s">
        <v>23</v>
      </c>
      <c r="D3421">
        <v>3.6</v>
      </c>
      <c r="E3421">
        <v>2.89</v>
      </c>
      <c r="F3421" t="s">
        <v>413</v>
      </c>
      <c r="G3421" s="31">
        <v>2.0299999999999998</v>
      </c>
    </row>
    <row r="3422" spans="1:7" x14ac:dyDescent="0.3">
      <c r="A3422">
        <v>27</v>
      </c>
      <c r="B3422">
        <v>27</v>
      </c>
      <c r="C3422" t="s">
        <v>24</v>
      </c>
      <c r="D3422">
        <v>3.48</v>
      </c>
      <c r="E3422">
        <v>68.034999999999997</v>
      </c>
      <c r="F3422" t="s">
        <v>414</v>
      </c>
      <c r="G3422" s="31">
        <v>0.1</v>
      </c>
    </row>
    <row r="3423" spans="1:7" x14ac:dyDescent="0.3">
      <c r="A3423">
        <v>28</v>
      </c>
      <c r="B3423">
        <v>28</v>
      </c>
      <c r="C3423" t="s">
        <v>25</v>
      </c>
      <c r="D3423">
        <v>3.5</v>
      </c>
      <c r="E3423">
        <v>3.7490000000000001</v>
      </c>
      <c r="F3423" t="s">
        <v>415</v>
      </c>
      <c r="G3423" s="31">
        <v>1.8</v>
      </c>
    </row>
    <row r="3424" spans="1:7" x14ac:dyDescent="0.3">
      <c r="A3424">
        <v>29</v>
      </c>
      <c r="B3424">
        <v>29</v>
      </c>
      <c r="C3424" t="s">
        <v>26</v>
      </c>
      <c r="F3424" t="s">
        <v>416</v>
      </c>
      <c r="G3424" s="31">
        <v>0.1</v>
      </c>
    </row>
    <row r="3425" spans="1:7" x14ac:dyDescent="0.3">
      <c r="A3425">
        <v>30</v>
      </c>
      <c r="B3425">
        <v>30</v>
      </c>
      <c r="C3425" t="s">
        <v>27</v>
      </c>
      <c r="D3425">
        <v>4.38</v>
      </c>
      <c r="E3425">
        <v>30.628</v>
      </c>
      <c r="F3425" t="s">
        <v>417</v>
      </c>
      <c r="G3425" s="31">
        <v>0.13</v>
      </c>
    </row>
    <row r="3426" spans="1:7" x14ac:dyDescent="0.3">
      <c r="A3426">
        <v>31</v>
      </c>
      <c r="B3426">
        <v>31</v>
      </c>
      <c r="C3426" t="s">
        <v>28</v>
      </c>
      <c r="D3426">
        <v>3.14</v>
      </c>
      <c r="E3426">
        <v>23.361000000000001</v>
      </c>
      <c r="F3426" t="s">
        <v>418</v>
      </c>
      <c r="G3426" s="31">
        <v>0.1</v>
      </c>
    </row>
    <row r="3427" spans="1:7" x14ac:dyDescent="0.3">
      <c r="A3427">
        <v>32</v>
      </c>
      <c r="B3427">
        <v>32</v>
      </c>
      <c r="C3427" t="s">
        <v>29</v>
      </c>
      <c r="F3427" t="s">
        <v>419</v>
      </c>
      <c r="G3427" s="31">
        <v>0.1</v>
      </c>
    </row>
    <row r="3428" spans="1:7" x14ac:dyDescent="0.3">
      <c r="A3428">
        <v>33</v>
      </c>
      <c r="B3428">
        <v>33</v>
      </c>
      <c r="C3428" t="s">
        <v>30</v>
      </c>
      <c r="D3428">
        <v>4.66</v>
      </c>
      <c r="E3428">
        <v>31.48</v>
      </c>
      <c r="F3428" t="s">
        <v>420</v>
      </c>
      <c r="G3428" s="31">
        <v>3.35</v>
      </c>
    </row>
    <row r="3429" spans="1:7" x14ac:dyDescent="0.3">
      <c r="A3429">
        <v>34</v>
      </c>
      <c r="B3429">
        <v>34</v>
      </c>
      <c r="C3429" t="s">
        <v>31</v>
      </c>
      <c r="D3429">
        <v>3.63</v>
      </c>
      <c r="E3429">
        <v>52.331000000000003</v>
      </c>
      <c r="F3429" t="s">
        <v>421</v>
      </c>
      <c r="G3429" s="31">
        <v>0.14000000000000001</v>
      </c>
    </row>
    <row r="3430" spans="1:7" x14ac:dyDescent="0.3">
      <c r="A3430">
        <v>35</v>
      </c>
      <c r="B3430">
        <v>35</v>
      </c>
      <c r="C3430" t="s">
        <v>32</v>
      </c>
      <c r="D3430">
        <v>3.11</v>
      </c>
      <c r="E3430">
        <v>7.3129999999999997</v>
      </c>
      <c r="F3430" t="s">
        <v>422</v>
      </c>
      <c r="G3430" s="31">
        <v>0.1</v>
      </c>
    </row>
    <row r="3431" spans="1:7" x14ac:dyDescent="0.3">
      <c r="A3431">
        <v>36</v>
      </c>
      <c r="B3431">
        <v>36</v>
      </c>
      <c r="C3431" t="s">
        <v>33</v>
      </c>
      <c r="D3431">
        <v>1.87</v>
      </c>
      <c r="E3431">
        <v>7.1970000000000001</v>
      </c>
      <c r="F3431" t="s">
        <v>423</v>
      </c>
      <c r="G3431" s="31">
        <v>0.06</v>
      </c>
    </row>
    <row r="3433" spans="1:7" x14ac:dyDescent="0.3">
      <c r="A3433" t="s">
        <v>379</v>
      </c>
    </row>
    <row r="3435" spans="1:7" x14ac:dyDescent="0.3">
      <c r="A3435" t="s">
        <v>491</v>
      </c>
    </row>
    <row r="3437" spans="1:7" x14ac:dyDescent="0.3">
      <c r="A3437" t="s">
        <v>503</v>
      </c>
    </row>
    <row r="3439" spans="1:7" x14ac:dyDescent="0.3">
      <c r="B3439" t="s">
        <v>382</v>
      </c>
      <c r="C3439" t="s">
        <v>383</v>
      </c>
      <c r="D3439" t="s">
        <v>384</v>
      </c>
      <c r="E3439" t="s">
        <v>385</v>
      </c>
      <c r="F3439" t="s">
        <v>386</v>
      </c>
      <c r="G3439" s="31" t="s">
        <v>387</v>
      </c>
    </row>
    <row r="3440" spans="1:7" x14ac:dyDescent="0.3">
      <c r="A3440">
        <v>1</v>
      </c>
      <c r="B3440">
        <v>1</v>
      </c>
      <c r="C3440" t="s">
        <v>0</v>
      </c>
      <c r="D3440">
        <v>1.02</v>
      </c>
      <c r="E3440">
        <v>12035.415000000001</v>
      </c>
      <c r="F3440" t="s">
        <v>388</v>
      </c>
      <c r="G3440" s="31">
        <v>32.89</v>
      </c>
    </row>
    <row r="3441" spans="1:7" x14ac:dyDescent="0.3">
      <c r="A3441">
        <v>2</v>
      </c>
      <c r="B3441">
        <v>2</v>
      </c>
      <c r="C3441" t="s">
        <v>1</v>
      </c>
      <c r="D3441">
        <v>1.46</v>
      </c>
      <c r="E3441">
        <v>9350.3150000000005</v>
      </c>
      <c r="F3441" t="s">
        <v>389</v>
      </c>
      <c r="G3441" s="31">
        <v>4.58</v>
      </c>
    </row>
    <row r="3442" spans="1:7" x14ac:dyDescent="0.3">
      <c r="A3442">
        <v>3</v>
      </c>
      <c r="B3442">
        <v>3</v>
      </c>
      <c r="C3442" t="s">
        <v>50</v>
      </c>
      <c r="D3442">
        <v>3.85</v>
      </c>
      <c r="E3442">
        <v>162.376</v>
      </c>
      <c r="F3442" t="s">
        <v>390</v>
      </c>
      <c r="G3442" s="31">
        <v>0.14000000000000001</v>
      </c>
    </row>
    <row r="3443" spans="1:7" x14ac:dyDescent="0.3">
      <c r="A3443">
        <v>4</v>
      </c>
      <c r="B3443">
        <v>4</v>
      </c>
      <c r="C3443" t="s">
        <v>2</v>
      </c>
      <c r="D3443">
        <v>3.69</v>
      </c>
      <c r="E3443">
        <v>52260.156000000003</v>
      </c>
      <c r="F3443" t="s">
        <v>391</v>
      </c>
      <c r="G3443" s="31">
        <v>1.06</v>
      </c>
    </row>
    <row r="3444" spans="1:7" x14ac:dyDescent="0.3">
      <c r="A3444">
        <v>5</v>
      </c>
      <c r="B3444">
        <v>5</v>
      </c>
      <c r="C3444" t="s">
        <v>3</v>
      </c>
      <c r="D3444">
        <v>4.4800000000000004</v>
      </c>
      <c r="E3444">
        <v>313.39400000000001</v>
      </c>
      <c r="F3444" t="s">
        <v>392</v>
      </c>
      <c r="G3444" s="31">
        <v>0.1</v>
      </c>
    </row>
    <row r="3445" spans="1:7" x14ac:dyDescent="0.3">
      <c r="A3445">
        <v>6</v>
      </c>
      <c r="B3445">
        <v>6</v>
      </c>
      <c r="C3445" t="s">
        <v>4</v>
      </c>
      <c r="D3445">
        <v>4.8</v>
      </c>
      <c r="E3445">
        <v>110154.5</v>
      </c>
      <c r="F3445" t="s">
        <v>393</v>
      </c>
      <c r="G3445" s="31">
        <v>1.59</v>
      </c>
    </row>
    <row r="3446" spans="1:7" x14ac:dyDescent="0.3">
      <c r="A3446">
        <v>7</v>
      </c>
      <c r="B3446">
        <v>7</v>
      </c>
      <c r="C3446" t="s">
        <v>5</v>
      </c>
      <c r="D3446">
        <v>2.71</v>
      </c>
      <c r="E3446">
        <v>1650.8330000000001</v>
      </c>
      <c r="F3446" t="s">
        <v>394</v>
      </c>
      <c r="G3446" s="31">
        <v>0.09</v>
      </c>
    </row>
    <row r="3447" spans="1:7" x14ac:dyDescent="0.3">
      <c r="A3447">
        <v>8</v>
      </c>
      <c r="B3447">
        <v>8</v>
      </c>
      <c r="C3447" t="s">
        <v>6</v>
      </c>
      <c r="D3447">
        <v>0.67</v>
      </c>
      <c r="E3447">
        <v>3962.6979999999999</v>
      </c>
      <c r="F3447" t="s">
        <v>395</v>
      </c>
      <c r="G3447" s="31">
        <v>15.7</v>
      </c>
    </row>
    <row r="3448" spans="1:7" x14ac:dyDescent="0.3">
      <c r="A3448">
        <v>9</v>
      </c>
      <c r="B3448">
        <v>9</v>
      </c>
      <c r="C3448" t="s">
        <v>7</v>
      </c>
      <c r="D3448">
        <v>3.56</v>
      </c>
      <c r="E3448">
        <v>646.93200000000002</v>
      </c>
      <c r="F3448" t="s">
        <v>396</v>
      </c>
      <c r="G3448" s="31">
        <v>0.59</v>
      </c>
    </row>
    <row r="3449" spans="1:7" x14ac:dyDescent="0.3">
      <c r="A3449">
        <v>10</v>
      </c>
      <c r="B3449">
        <v>10</v>
      </c>
      <c r="C3449" t="s">
        <v>51</v>
      </c>
      <c r="D3449">
        <v>4.6100000000000003</v>
      </c>
      <c r="E3449">
        <v>1780.569</v>
      </c>
      <c r="F3449" t="s">
        <v>397</v>
      </c>
      <c r="G3449" s="31">
        <v>0.12</v>
      </c>
    </row>
    <row r="3450" spans="1:7" x14ac:dyDescent="0.3">
      <c r="A3450">
        <v>11</v>
      </c>
      <c r="B3450">
        <v>11</v>
      </c>
      <c r="C3450" t="s">
        <v>8</v>
      </c>
      <c r="D3450">
        <v>2.74</v>
      </c>
      <c r="E3450">
        <v>100007.484</v>
      </c>
      <c r="F3450" t="s">
        <v>398</v>
      </c>
      <c r="G3450" s="31">
        <v>1.7</v>
      </c>
    </row>
    <row r="3451" spans="1:7" x14ac:dyDescent="0.3">
      <c r="A3451">
        <v>12</v>
      </c>
      <c r="B3451">
        <v>12</v>
      </c>
      <c r="C3451" t="s">
        <v>9</v>
      </c>
      <c r="D3451">
        <v>2.63</v>
      </c>
      <c r="E3451">
        <v>13622.027</v>
      </c>
      <c r="F3451" t="s">
        <v>399</v>
      </c>
      <c r="G3451" s="31">
        <v>1.48</v>
      </c>
    </row>
    <row r="3452" spans="1:7" x14ac:dyDescent="0.3">
      <c r="A3452">
        <v>13</v>
      </c>
      <c r="B3452">
        <v>13</v>
      </c>
      <c r="C3452" t="s">
        <v>10</v>
      </c>
      <c r="D3452">
        <v>4.08</v>
      </c>
      <c r="E3452">
        <v>2022419</v>
      </c>
      <c r="F3452" t="s">
        <v>400</v>
      </c>
      <c r="G3452" s="31">
        <v>60.88</v>
      </c>
    </row>
    <row r="3453" spans="1:7" x14ac:dyDescent="0.3">
      <c r="A3453">
        <v>14</v>
      </c>
      <c r="B3453">
        <v>14</v>
      </c>
      <c r="C3453" t="s">
        <v>11</v>
      </c>
      <c r="D3453">
        <v>3.52</v>
      </c>
      <c r="E3453">
        <v>60.326999999999998</v>
      </c>
      <c r="F3453" t="s">
        <v>401</v>
      </c>
      <c r="G3453" s="31">
        <v>1.29</v>
      </c>
    </row>
    <row r="3454" spans="1:7" x14ac:dyDescent="0.3">
      <c r="A3454">
        <v>15</v>
      </c>
      <c r="B3454">
        <v>15</v>
      </c>
      <c r="C3454" t="s">
        <v>12</v>
      </c>
      <c r="D3454">
        <v>3.33</v>
      </c>
      <c r="E3454">
        <v>398.81099999999998</v>
      </c>
      <c r="F3454" t="s">
        <v>402</v>
      </c>
      <c r="G3454" s="31">
        <v>0.6</v>
      </c>
    </row>
    <row r="3455" spans="1:7" x14ac:dyDescent="0.3">
      <c r="A3455">
        <v>16</v>
      </c>
      <c r="B3455">
        <v>16</v>
      </c>
      <c r="C3455" t="s">
        <v>13</v>
      </c>
      <c r="D3455">
        <v>3.23</v>
      </c>
      <c r="E3455">
        <v>23373.52</v>
      </c>
      <c r="F3455" t="s">
        <v>403</v>
      </c>
      <c r="G3455" s="31">
        <v>1.35</v>
      </c>
    </row>
    <row r="3456" spans="1:7" x14ac:dyDescent="0.3">
      <c r="A3456">
        <v>17</v>
      </c>
      <c r="B3456">
        <v>17</v>
      </c>
      <c r="C3456" t="s">
        <v>14</v>
      </c>
      <c r="D3456">
        <v>2.0299999999999998</v>
      </c>
      <c r="E3456">
        <v>28160.778999999999</v>
      </c>
      <c r="F3456" t="s">
        <v>404</v>
      </c>
      <c r="G3456" s="31">
        <v>1.51</v>
      </c>
    </row>
    <row r="3457" spans="1:7" x14ac:dyDescent="0.3">
      <c r="A3457">
        <v>18</v>
      </c>
      <c r="B3457">
        <v>18</v>
      </c>
      <c r="C3457" t="s">
        <v>15</v>
      </c>
      <c r="D3457">
        <v>2.5</v>
      </c>
      <c r="E3457">
        <v>97461.085999999996</v>
      </c>
      <c r="F3457" t="s">
        <v>405</v>
      </c>
      <c r="G3457" s="31">
        <v>14.72</v>
      </c>
    </row>
    <row r="3458" spans="1:7" x14ac:dyDescent="0.3">
      <c r="A3458">
        <v>19</v>
      </c>
      <c r="B3458">
        <v>19</v>
      </c>
      <c r="C3458" t="s">
        <v>16</v>
      </c>
      <c r="D3458">
        <v>2.71</v>
      </c>
      <c r="E3458">
        <v>7516.9520000000002</v>
      </c>
      <c r="F3458" t="s">
        <v>406</v>
      </c>
      <c r="G3458" s="31">
        <v>0.15</v>
      </c>
    </row>
    <row r="3459" spans="1:7" x14ac:dyDescent="0.3">
      <c r="A3459">
        <v>20</v>
      </c>
      <c r="B3459">
        <v>20</v>
      </c>
      <c r="C3459" t="s">
        <v>17</v>
      </c>
      <c r="D3459">
        <v>3.13</v>
      </c>
      <c r="E3459">
        <v>18701.951000000001</v>
      </c>
      <c r="F3459" t="s">
        <v>407</v>
      </c>
      <c r="G3459" s="31">
        <v>1.22</v>
      </c>
    </row>
    <row r="3460" spans="1:7" x14ac:dyDescent="0.3">
      <c r="A3460">
        <v>21</v>
      </c>
      <c r="B3460">
        <v>21</v>
      </c>
      <c r="C3460" t="s">
        <v>18</v>
      </c>
      <c r="D3460">
        <v>3.68</v>
      </c>
      <c r="E3460">
        <v>28520.967000000001</v>
      </c>
      <c r="F3460" t="s">
        <v>408</v>
      </c>
      <c r="G3460" s="31">
        <v>0.44</v>
      </c>
    </row>
    <row r="3461" spans="1:7" x14ac:dyDescent="0.3">
      <c r="A3461">
        <v>22</v>
      </c>
      <c r="B3461">
        <v>22</v>
      </c>
      <c r="C3461" t="s">
        <v>19</v>
      </c>
      <c r="D3461">
        <v>2.64</v>
      </c>
      <c r="E3461">
        <v>89609.077999999994</v>
      </c>
      <c r="F3461" t="s">
        <v>409</v>
      </c>
      <c r="G3461" s="31">
        <v>2.96</v>
      </c>
    </row>
    <row r="3462" spans="1:7" x14ac:dyDescent="0.3">
      <c r="A3462">
        <v>23</v>
      </c>
      <c r="B3462">
        <v>23</v>
      </c>
      <c r="C3462" t="s">
        <v>20</v>
      </c>
      <c r="D3462">
        <v>2.89</v>
      </c>
      <c r="E3462">
        <v>12927.879000000001</v>
      </c>
      <c r="F3462" t="s">
        <v>410</v>
      </c>
      <c r="G3462" s="31">
        <v>0.28999999999999998</v>
      </c>
    </row>
    <row r="3463" spans="1:7" x14ac:dyDescent="0.3">
      <c r="A3463">
        <v>24</v>
      </c>
      <c r="B3463">
        <v>24</v>
      </c>
      <c r="C3463" t="s">
        <v>21</v>
      </c>
      <c r="D3463">
        <v>4.13</v>
      </c>
      <c r="E3463">
        <v>1150.8720000000001</v>
      </c>
      <c r="F3463" t="s">
        <v>411</v>
      </c>
      <c r="G3463" s="31">
        <v>0.13</v>
      </c>
    </row>
    <row r="3464" spans="1:7" x14ac:dyDescent="0.3">
      <c r="A3464">
        <v>25</v>
      </c>
      <c r="B3464">
        <v>25</v>
      </c>
      <c r="C3464" t="s">
        <v>22</v>
      </c>
      <c r="D3464">
        <v>3.42</v>
      </c>
      <c r="E3464">
        <v>909.79499999999996</v>
      </c>
      <c r="F3464" t="s">
        <v>412</v>
      </c>
      <c r="G3464" s="31">
        <v>2.59</v>
      </c>
    </row>
    <row r="3465" spans="1:7" x14ac:dyDescent="0.3">
      <c r="A3465">
        <v>26</v>
      </c>
      <c r="B3465">
        <v>26</v>
      </c>
      <c r="C3465" t="s">
        <v>23</v>
      </c>
      <c r="D3465">
        <v>3.35</v>
      </c>
      <c r="E3465">
        <v>54388.809000000001</v>
      </c>
      <c r="F3465" t="s">
        <v>413</v>
      </c>
      <c r="G3465" s="31">
        <v>1.75</v>
      </c>
    </row>
    <row r="3466" spans="1:7" x14ac:dyDescent="0.3">
      <c r="A3466">
        <v>27</v>
      </c>
      <c r="B3466">
        <v>27</v>
      </c>
      <c r="C3466" t="s">
        <v>24</v>
      </c>
      <c r="D3466">
        <v>3.44</v>
      </c>
      <c r="E3466">
        <v>3430.453</v>
      </c>
      <c r="F3466" t="s">
        <v>414</v>
      </c>
      <c r="G3466" s="31">
        <v>0.88</v>
      </c>
    </row>
    <row r="3467" spans="1:7" x14ac:dyDescent="0.3">
      <c r="A3467">
        <v>28</v>
      </c>
      <c r="B3467">
        <v>28</v>
      </c>
      <c r="C3467" t="s">
        <v>25</v>
      </c>
      <c r="D3467">
        <v>3.52</v>
      </c>
      <c r="E3467">
        <v>11151.713</v>
      </c>
      <c r="F3467" t="s">
        <v>415</v>
      </c>
      <c r="G3467" s="31">
        <v>0.6</v>
      </c>
    </row>
    <row r="3468" spans="1:7" x14ac:dyDescent="0.3">
      <c r="A3468">
        <v>29</v>
      </c>
      <c r="B3468">
        <v>29</v>
      </c>
      <c r="C3468" t="s">
        <v>26</v>
      </c>
      <c r="D3468">
        <v>1.04</v>
      </c>
      <c r="E3468">
        <v>3252.509</v>
      </c>
      <c r="F3468" t="s">
        <v>416</v>
      </c>
      <c r="G3468" s="31">
        <v>1.07</v>
      </c>
    </row>
    <row r="3469" spans="1:7" x14ac:dyDescent="0.3">
      <c r="A3469">
        <v>30</v>
      </c>
      <c r="B3469">
        <v>30</v>
      </c>
      <c r="C3469" t="s">
        <v>27</v>
      </c>
      <c r="D3469">
        <v>4.26</v>
      </c>
      <c r="E3469">
        <v>3678.377</v>
      </c>
      <c r="F3469" t="s">
        <v>417</v>
      </c>
      <c r="G3469" s="31">
        <v>0.09</v>
      </c>
    </row>
    <row r="3470" spans="1:7" x14ac:dyDescent="0.3">
      <c r="A3470">
        <v>31</v>
      </c>
      <c r="B3470">
        <v>31</v>
      </c>
      <c r="C3470" t="s">
        <v>28</v>
      </c>
      <c r="D3470">
        <v>3</v>
      </c>
      <c r="E3470">
        <v>106823.05499999999</v>
      </c>
      <c r="F3470" t="s">
        <v>418</v>
      </c>
      <c r="G3470" s="31">
        <v>0.19</v>
      </c>
    </row>
    <row r="3471" spans="1:7" x14ac:dyDescent="0.3">
      <c r="A3471">
        <v>32</v>
      </c>
      <c r="B3471">
        <v>32</v>
      </c>
      <c r="C3471" t="s">
        <v>29</v>
      </c>
      <c r="D3471">
        <v>3.35</v>
      </c>
      <c r="E3471">
        <v>1734.3140000000001</v>
      </c>
      <c r="F3471" t="s">
        <v>419</v>
      </c>
      <c r="G3471" s="31">
        <v>0.08</v>
      </c>
    </row>
    <row r="3472" spans="1:7" x14ac:dyDescent="0.3">
      <c r="A3472">
        <v>33</v>
      </c>
      <c r="B3472">
        <v>33</v>
      </c>
      <c r="C3472" t="s">
        <v>30</v>
      </c>
      <c r="D3472">
        <v>4.67</v>
      </c>
      <c r="E3472">
        <v>208889.266</v>
      </c>
      <c r="F3472" t="s">
        <v>420</v>
      </c>
      <c r="G3472" s="31">
        <v>1.29</v>
      </c>
    </row>
    <row r="3473" spans="1:7" x14ac:dyDescent="0.3">
      <c r="A3473">
        <v>34</v>
      </c>
      <c r="B3473">
        <v>34</v>
      </c>
      <c r="C3473" t="s">
        <v>31</v>
      </c>
      <c r="D3473">
        <v>3.5</v>
      </c>
      <c r="E3473">
        <v>6126.5789999999997</v>
      </c>
      <c r="F3473" t="s">
        <v>421</v>
      </c>
      <c r="G3473" s="31">
        <v>0.18</v>
      </c>
    </row>
    <row r="3474" spans="1:7" x14ac:dyDescent="0.3">
      <c r="A3474">
        <v>35</v>
      </c>
      <c r="B3474">
        <v>35</v>
      </c>
      <c r="C3474" t="s">
        <v>32</v>
      </c>
      <c r="D3474">
        <v>3.02</v>
      </c>
      <c r="E3474">
        <v>107.148</v>
      </c>
      <c r="F3474" t="s">
        <v>422</v>
      </c>
      <c r="G3474" s="31">
        <v>0.1</v>
      </c>
    </row>
    <row r="3475" spans="1:7" x14ac:dyDescent="0.3">
      <c r="A3475">
        <v>36</v>
      </c>
      <c r="B3475">
        <v>36</v>
      </c>
      <c r="C3475" t="s">
        <v>33</v>
      </c>
      <c r="D3475">
        <v>1.91</v>
      </c>
      <c r="E3475">
        <v>1133.473</v>
      </c>
      <c r="F3475" t="s">
        <v>423</v>
      </c>
      <c r="G3475" s="31">
        <v>0.26</v>
      </c>
    </row>
    <row r="3476" spans="1:7" x14ac:dyDescent="0.3">
      <c r="G3476" s="31">
        <f>G3453/G3455</f>
        <v>0.95555555555555549</v>
      </c>
    </row>
    <row r="3477" spans="1:7" x14ac:dyDescent="0.3">
      <c r="A3477" t="s">
        <v>379</v>
      </c>
    </row>
    <row r="3479" spans="1:7" x14ac:dyDescent="0.3">
      <c r="A3479" t="s">
        <v>491</v>
      </c>
    </row>
    <row r="3481" spans="1:7" x14ac:dyDescent="0.3">
      <c r="A3481" t="s">
        <v>504</v>
      </c>
    </row>
    <row r="3483" spans="1:7" x14ac:dyDescent="0.3">
      <c r="B3483" t="s">
        <v>382</v>
      </c>
      <c r="C3483" t="s">
        <v>383</v>
      </c>
      <c r="D3483" t="s">
        <v>384</v>
      </c>
      <c r="E3483" t="s">
        <v>385</v>
      </c>
      <c r="F3483" t="s">
        <v>386</v>
      </c>
      <c r="G3483" s="31" t="s">
        <v>387</v>
      </c>
    </row>
    <row r="3484" spans="1:7" x14ac:dyDescent="0.3">
      <c r="A3484">
        <v>1</v>
      </c>
      <c r="B3484">
        <v>1</v>
      </c>
      <c r="C3484" t="s">
        <v>0</v>
      </c>
      <c r="D3484">
        <v>1.01</v>
      </c>
      <c r="E3484">
        <v>1813.2090000000001</v>
      </c>
      <c r="F3484" t="s">
        <v>388</v>
      </c>
      <c r="G3484" s="31">
        <v>18.32</v>
      </c>
    </row>
    <row r="3485" spans="1:7" x14ac:dyDescent="0.3">
      <c r="A3485">
        <v>2</v>
      </c>
      <c r="B3485">
        <v>2</v>
      </c>
      <c r="C3485" t="s">
        <v>1</v>
      </c>
      <c r="D3485">
        <v>1.44</v>
      </c>
      <c r="E3485">
        <v>1284.788</v>
      </c>
      <c r="F3485" t="s">
        <v>389</v>
      </c>
      <c r="G3485" s="31">
        <v>3.05</v>
      </c>
    </row>
    <row r="3486" spans="1:7" x14ac:dyDescent="0.3">
      <c r="A3486">
        <v>3</v>
      </c>
      <c r="B3486">
        <v>3</v>
      </c>
      <c r="C3486" t="s">
        <v>50</v>
      </c>
      <c r="D3486">
        <v>3.7</v>
      </c>
      <c r="E3486">
        <v>151.31399999999999</v>
      </c>
      <c r="F3486" t="s">
        <v>390</v>
      </c>
      <c r="G3486" s="31">
        <v>0.16</v>
      </c>
    </row>
    <row r="3487" spans="1:7" x14ac:dyDescent="0.3">
      <c r="A3487">
        <v>4</v>
      </c>
      <c r="B3487">
        <v>4</v>
      </c>
      <c r="C3487" t="s">
        <v>2</v>
      </c>
      <c r="D3487">
        <v>3.7</v>
      </c>
      <c r="E3487">
        <v>6107.2650000000003</v>
      </c>
      <c r="F3487" t="s">
        <v>391</v>
      </c>
      <c r="G3487" s="31">
        <v>0.57999999999999996</v>
      </c>
    </row>
    <row r="3488" spans="1:7" x14ac:dyDescent="0.3">
      <c r="A3488">
        <v>5</v>
      </c>
      <c r="B3488">
        <v>5</v>
      </c>
      <c r="C3488" t="s">
        <v>3</v>
      </c>
      <c r="D3488">
        <v>4.55</v>
      </c>
      <c r="E3488">
        <v>118.721</v>
      </c>
      <c r="F3488" t="s">
        <v>392</v>
      </c>
      <c r="G3488" s="31">
        <v>0.1</v>
      </c>
    </row>
    <row r="3489" spans="1:7" x14ac:dyDescent="0.3">
      <c r="A3489">
        <v>6</v>
      </c>
      <c r="B3489">
        <v>6</v>
      </c>
      <c r="C3489" t="s">
        <v>4</v>
      </c>
      <c r="D3489">
        <v>4.8</v>
      </c>
      <c r="E3489">
        <v>19670.594000000001</v>
      </c>
      <c r="F3489" t="s">
        <v>393</v>
      </c>
      <c r="G3489" s="31">
        <v>1.4</v>
      </c>
    </row>
    <row r="3490" spans="1:7" x14ac:dyDescent="0.3">
      <c r="A3490">
        <v>7</v>
      </c>
      <c r="B3490">
        <v>7</v>
      </c>
      <c r="C3490" t="s">
        <v>5</v>
      </c>
      <c r="D3490">
        <v>2.71</v>
      </c>
      <c r="E3490">
        <v>203.53899999999999</v>
      </c>
      <c r="F3490" t="s">
        <v>394</v>
      </c>
      <c r="G3490" s="31">
        <v>0.05</v>
      </c>
    </row>
    <row r="3491" spans="1:7" x14ac:dyDescent="0.3">
      <c r="A3491">
        <v>8</v>
      </c>
      <c r="B3491">
        <v>8</v>
      </c>
      <c r="C3491" t="s">
        <v>6</v>
      </c>
      <c r="D3491">
        <v>0.66</v>
      </c>
      <c r="E3491">
        <v>712.62099999999998</v>
      </c>
      <c r="F3491" t="s">
        <v>395</v>
      </c>
      <c r="G3491" s="31">
        <v>12.61</v>
      </c>
    </row>
    <row r="3492" spans="1:7" x14ac:dyDescent="0.3">
      <c r="A3492">
        <v>9</v>
      </c>
      <c r="B3492">
        <v>9</v>
      </c>
      <c r="C3492" t="s">
        <v>7</v>
      </c>
      <c r="D3492">
        <v>3.55</v>
      </c>
      <c r="E3492">
        <v>207.768</v>
      </c>
      <c r="F3492" t="s">
        <v>396</v>
      </c>
      <c r="G3492" s="31">
        <v>0.83</v>
      </c>
    </row>
    <row r="3493" spans="1:7" x14ac:dyDescent="0.3">
      <c r="A3493">
        <v>10</v>
      </c>
      <c r="B3493">
        <v>10</v>
      </c>
      <c r="C3493" t="s">
        <v>51</v>
      </c>
      <c r="D3493">
        <v>4.76</v>
      </c>
      <c r="E3493">
        <v>498.029</v>
      </c>
      <c r="F3493" t="s">
        <v>397</v>
      </c>
      <c r="G3493" s="31">
        <v>0.13</v>
      </c>
    </row>
    <row r="3494" spans="1:7" x14ac:dyDescent="0.3">
      <c r="A3494">
        <v>11</v>
      </c>
      <c r="B3494">
        <v>11</v>
      </c>
      <c r="C3494" t="s">
        <v>8</v>
      </c>
      <c r="D3494">
        <v>2.74</v>
      </c>
      <c r="E3494">
        <v>8540.9609999999993</v>
      </c>
      <c r="F3494" t="s">
        <v>398</v>
      </c>
      <c r="G3494" s="31">
        <v>0.8</v>
      </c>
    </row>
    <row r="3495" spans="1:7" x14ac:dyDescent="0.3">
      <c r="A3495">
        <v>12</v>
      </c>
      <c r="B3495">
        <v>12</v>
      </c>
      <c r="C3495" t="s">
        <v>9</v>
      </c>
      <c r="D3495">
        <v>2.63</v>
      </c>
      <c r="E3495">
        <v>900.37699999999995</v>
      </c>
      <c r="F3495" t="s">
        <v>399</v>
      </c>
      <c r="G3495" s="31">
        <v>0.8</v>
      </c>
    </row>
    <row r="3496" spans="1:7" x14ac:dyDescent="0.3">
      <c r="A3496">
        <v>13</v>
      </c>
      <c r="B3496">
        <v>13</v>
      </c>
      <c r="C3496" t="s">
        <v>10</v>
      </c>
      <c r="D3496">
        <v>4.09</v>
      </c>
      <c r="E3496">
        <v>505283.96899999998</v>
      </c>
      <c r="F3496" t="s">
        <v>400</v>
      </c>
      <c r="G3496" s="31">
        <v>45.65</v>
      </c>
    </row>
    <row r="3497" spans="1:7" x14ac:dyDescent="0.3">
      <c r="A3497">
        <v>14</v>
      </c>
      <c r="B3497">
        <v>14</v>
      </c>
      <c r="C3497" t="s">
        <v>11</v>
      </c>
      <c r="D3497">
        <v>3.77</v>
      </c>
      <c r="E3497">
        <v>1.7130000000000001</v>
      </c>
      <c r="F3497" t="s">
        <v>401</v>
      </c>
      <c r="G3497" s="31">
        <v>1.51</v>
      </c>
    </row>
    <row r="3498" spans="1:7" x14ac:dyDescent="0.3">
      <c r="A3498">
        <v>15</v>
      </c>
      <c r="B3498">
        <v>15</v>
      </c>
      <c r="C3498" t="s">
        <v>12</v>
      </c>
      <c r="D3498">
        <v>3.33</v>
      </c>
      <c r="E3498">
        <v>187.35900000000001</v>
      </c>
      <c r="F3498" t="s">
        <v>402</v>
      </c>
      <c r="G3498" s="31">
        <v>1.08</v>
      </c>
    </row>
    <row r="3499" spans="1:7" x14ac:dyDescent="0.3">
      <c r="A3499">
        <v>16</v>
      </c>
      <c r="B3499">
        <v>16</v>
      </c>
      <c r="C3499" t="s">
        <v>13</v>
      </c>
      <c r="D3499">
        <v>3.23</v>
      </c>
      <c r="E3499">
        <v>2250.7150000000001</v>
      </c>
      <c r="F3499" t="s">
        <v>403</v>
      </c>
      <c r="G3499" s="31">
        <v>0.8</v>
      </c>
    </row>
    <row r="3500" spans="1:7" x14ac:dyDescent="0.3">
      <c r="A3500">
        <v>17</v>
      </c>
      <c r="B3500">
        <v>17</v>
      </c>
      <c r="C3500" t="s">
        <v>14</v>
      </c>
      <c r="D3500">
        <v>2</v>
      </c>
      <c r="E3500">
        <v>3636.422</v>
      </c>
      <c r="F3500" t="s">
        <v>404</v>
      </c>
      <c r="G3500" s="31">
        <v>1.21</v>
      </c>
    </row>
    <row r="3501" spans="1:7" x14ac:dyDescent="0.3">
      <c r="A3501">
        <v>18</v>
      </c>
      <c r="B3501">
        <v>18</v>
      </c>
      <c r="C3501" t="s">
        <v>15</v>
      </c>
      <c r="D3501">
        <v>2.5</v>
      </c>
      <c r="E3501">
        <v>8565.5249999999996</v>
      </c>
      <c r="F3501" t="s">
        <v>405</v>
      </c>
      <c r="G3501" s="31">
        <v>6.49</v>
      </c>
    </row>
    <row r="3502" spans="1:7" x14ac:dyDescent="0.3">
      <c r="A3502">
        <v>19</v>
      </c>
      <c r="B3502">
        <v>19</v>
      </c>
      <c r="C3502" t="s">
        <v>16</v>
      </c>
      <c r="D3502">
        <v>2.71</v>
      </c>
      <c r="E3502">
        <v>515.13</v>
      </c>
      <c r="F3502" t="s">
        <v>406</v>
      </c>
      <c r="G3502" s="31">
        <v>0.08</v>
      </c>
    </row>
    <row r="3503" spans="1:7" x14ac:dyDescent="0.3">
      <c r="A3503">
        <v>20</v>
      </c>
      <c r="B3503">
        <v>20</v>
      </c>
      <c r="C3503" t="s">
        <v>17</v>
      </c>
      <c r="D3503">
        <v>3.14</v>
      </c>
      <c r="E3503">
        <v>4977.1000000000004</v>
      </c>
      <c r="F3503" t="s">
        <v>407</v>
      </c>
      <c r="G3503" s="31">
        <v>1.17</v>
      </c>
    </row>
    <row r="3504" spans="1:7" x14ac:dyDescent="0.3">
      <c r="A3504">
        <v>21</v>
      </c>
      <c r="B3504">
        <v>21</v>
      </c>
      <c r="C3504" t="s">
        <v>18</v>
      </c>
      <c r="D3504">
        <v>3.68</v>
      </c>
      <c r="E3504">
        <v>5623.3680000000004</v>
      </c>
      <c r="F3504" t="s">
        <v>408</v>
      </c>
      <c r="G3504" s="31">
        <v>0.32</v>
      </c>
    </row>
    <row r="3505" spans="1:7" x14ac:dyDescent="0.3">
      <c r="A3505">
        <v>22</v>
      </c>
      <c r="B3505">
        <v>22</v>
      </c>
      <c r="C3505" t="s">
        <v>19</v>
      </c>
      <c r="D3505">
        <v>2.64</v>
      </c>
      <c r="E3505">
        <v>6561.6469999999999</v>
      </c>
      <c r="F3505" t="s">
        <v>409</v>
      </c>
      <c r="G3505" s="31">
        <v>1.74</v>
      </c>
    </row>
    <row r="3506" spans="1:7" x14ac:dyDescent="0.3">
      <c r="A3506">
        <v>23</v>
      </c>
      <c r="B3506">
        <v>23</v>
      </c>
      <c r="C3506" t="s">
        <v>20</v>
      </c>
      <c r="D3506">
        <v>2.89</v>
      </c>
      <c r="E3506">
        <v>1968.845</v>
      </c>
      <c r="F3506" t="s">
        <v>410</v>
      </c>
      <c r="G3506" s="31">
        <v>0.28000000000000003</v>
      </c>
    </row>
    <row r="3507" spans="1:7" x14ac:dyDescent="0.3">
      <c r="A3507">
        <v>24</v>
      </c>
      <c r="B3507">
        <v>24</v>
      </c>
      <c r="C3507" t="s">
        <v>21</v>
      </c>
      <c r="D3507">
        <v>4.18</v>
      </c>
      <c r="E3507">
        <v>33.395000000000003</v>
      </c>
      <c r="F3507" t="s">
        <v>411</v>
      </c>
      <c r="G3507" s="31">
        <v>0.1</v>
      </c>
    </row>
    <row r="3508" spans="1:7" x14ac:dyDescent="0.3">
      <c r="A3508">
        <v>25</v>
      </c>
      <c r="B3508">
        <v>25</v>
      </c>
      <c r="C3508" t="s">
        <v>22</v>
      </c>
      <c r="D3508">
        <v>3.43</v>
      </c>
      <c r="E3508">
        <v>131.71600000000001</v>
      </c>
      <c r="F3508" t="s">
        <v>412</v>
      </c>
      <c r="G3508" s="31">
        <v>4.3899999999999997</v>
      </c>
    </row>
    <row r="3509" spans="1:7" x14ac:dyDescent="0.3">
      <c r="A3509">
        <v>26</v>
      </c>
      <c r="B3509">
        <v>26</v>
      </c>
      <c r="C3509" t="s">
        <v>23</v>
      </c>
      <c r="D3509">
        <v>3.35</v>
      </c>
      <c r="E3509">
        <v>16425.903999999999</v>
      </c>
      <c r="F3509" t="s">
        <v>413</v>
      </c>
      <c r="G3509" s="31">
        <v>2.25</v>
      </c>
    </row>
    <row r="3510" spans="1:7" x14ac:dyDescent="0.3">
      <c r="A3510">
        <v>27</v>
      </c>
      <c r="B3510">
        <v>27</v>
      </c>
      <c r="C3510" t="s">
        <v>24</v>
      </c>
      <c r="D3510">
        <v>3.44</v>
      </c>
      <c r="E3510">
        <v>229.34899999999999</v>
      </c>
      <c r="F3510" t="s">
        <v>414</v>
      </c>
      <c r="G3510" s="31">
        <v>0.11</v>
      </c>
    </row>
    <row r="3511" spans="1:7" x14ac:dyDescent="0.3">
      <c r="A3511">
        <v>28</v>
      </c>
      <c r="B3511">
        <v>28</v>
      </c>
      <c r="C3511" t="s">
        <v>25</v>
      </c>
      <c r="D3511">
        <v>3.52</v>
      </c>
      <c r="E3511">
        <v>4652.2520000000004</v>
      </c>
      <c r="F3511" t="s">
        <v>415</v>
      </c>
      <c r="G3511" s="31">
        <v>1.1200000000000001</v>
      </c>
    </row>
    <row r="3512" spans="1:7" x14ac:dyDescent="0.3">
      <c r="A3512">
        <v>29</v>
      </c>
      <c r="B3512">
        <v>29</v>
      </c>
      <c r="C3512" t="s">
        <v>26</v>
      </c>
      <c r="D3512">
        <v>1.06</v>
      </c>
      <c r="E3512">
        <v>370.529</v>
      </c>
      <c r="F3512" t="s">
        <v>416</v>
      </c>
      <c r="G3512" s="31">
        <v>0.92</v>
      </c>
    </row>
    <row r="3513" spans="1:7" x14ac:dyDescent="0.3">
      <c r="A3513">
        <v>30</v>
      </c>
      <c r="B3513">
        <v>30</v>
      </c>
      <c r="C3513" t="s">
        <v>27</v>
      </c>
      <c r="D3513">
        <v>4.26</v>
      </c>
      <c r="E3513">
        <v>1103.604</v>
      </c>
      <c r="F3513" t="s">
        <v>417</v>
      </c>
      <c r="G3513" s="31">
        <v>0.12</v>
      </c>
    </row>
    <row r="3514" spans="1:7" x14ac:dyDescent="0.3">
      <c r="A3514">
        <v>31</v>
      </c>
      <c r="B3514">
        <v>31</v>
      </c>
      <c r="C3514" t="s">
        <v>28</v>
      </c>
      <c r="D3514">
        <v>3</v>
      </c>
      <c r="E3514">
        <v>154073.31299999999</v>
      </c>
      <c r="F3514" t="s">
        <v>418</v>
      </c>
      <c r="G3514" s="31">
        <v>1.1200000000000001</v>
      </c>
    </row>
    <row r="3515" spans="1:7" x14ac:dyDescent="0.3">
      <c r="A3515">
        <v>32</v>
      </c>
      <c r="B3515">
        <v>32</v>
      </c>
      <c r="C3515" t="s">
        <v>29</v>
      </c>
      <c r="D3515">
        <v>3.37</v>
      </c>
      <c r="E3515">
        <v>81.638999999999996</v>
      </c>
      <c r="F3515" t="s">
        <v>419</v>
      </c>
      <c r="G3515" s="31">
        <v>7.0000000000000007E-2</v>
      </c>
    </row>
    <row r="3516" spans="1:7" x14ac:dyDescent="0.3">
      <c r="A3516">
        <v>33</v>
      </c>
      <c r="B3516">
        <v>33</v>
      </c>
      <c r="C3516" t="s">
        <v>30</v>
      </c>
      <c r="D3516">
        <v>4.68</v>
      </c>
      <c r="E3516">
        <v>39400.855000000003</v>
      </c>
      <c r="F3516" t="s">
        <v>420</v>
      </c>
      <c r="G3516" s="31">
        <v>1.39</v>
      </c>
    </row>
    <row r="3517" spans="1:7" x14ac:dyDescent="0.3">
      <c r="A3517">
        <v>34</v>
      </c>
      <c r="B3517">
        <v>34</v>
      </c>
      <c r="C3517" t="s">
        <v>31</v>
      </c>
      <c r="D3517">
        <v>3.49</v>
      </c>
      <c r="E3517">
        <v>201.804</v>
      </c>
      <c r="F3517" t="s">
        <v>421</v>
      </c>
      <c r="G3517" s="31">
        <v>0.14000000000000001</v>
      </c>
    </row>
    <row r="3518" spans="1:7" x14ac:dyDescent="0.3">
      <c r="A3518">
        <v>35</v>
      </c>
      <c r="B3518">
        <v>35</v>
      </c>
      <c r="C3518" t="s">
        <v>32</v>
      </c>
      <c r="D3518">
        <v>3.06</v>
      </c>
      <c r="E3518">
        <v>30.608000000000001</v>
      </c>
      <c r="F3518" t="s">
        <v>422</v>
      </c>
      <c r="G3518" s="31">
        <v>0.1</v>
      </c>
    </row>
    <row r="3519" spans="1:7" x14ac:dyDescent="0.3">
      <c r="A3519">
        <v>36</v>
      </c>
      <c r="B3519">
        <v>36</v>
      </c>
      <c r="C3519" t="s">
        <v>33</v>
      </c>
      <c r="D3519">
        <v>1.88</v>
      </c>
      <c r="E3519">
        <v>3475.502</v>
      </c>
      <c r="F3519" t="s">
        <v>423</v>
      </c>
      <c r="G3519" s="31">
        <v>3</v>
      </c>
    </row>
    <row r="3520" spans="1:7" x14ac:dyDescent="0.3">
      <c r="G3520" s="31">
        <f>G3497/G3499</f>
        <v>1.8875</v>
      </c>
    </row>
    <row r="3521" spans="1:7" x14ac:dyDescent="0.3">
      <c r="A3521" t="s">
        <v>379</v>
      </c>
    </row>
    <row r="3523" spans="1:7" x14ac:dyDescent="0.3">
      <c r="A3523" t="s">
        <v>491</v>
      </c>
    </row>
    <row r="3525" spans="1:7" x14ac:dyDescent="0.3">
      <c r="A3525" t="s">
        <v>505</v>
      </c>
    </row>
    <row r="3527" spans="1:7" x14ac:dyDescent="0.3">
      <c r="B3527" t="s">
        <v>382</v>
      </c>
      <c r="C3527" t="s">
        <v>383</v>
      </c>
      <c r="D3527" t="s">
        <v>384</v>
      </c>
      <c r="E3527" t="s">
        <v>385</v>
      </c>
      <c r="F3527" t="s">
        <v>386</v>
      </c>
      <c r="G3527" s="31" t="s">
        <v>387</v>
      </c>
    </row>
    <row r="3528" spans="1:7" x14ac:dyDescent="0.3">
      <c r="A3528">
        <v>1</v>
      </c>
      <c r="B3528">
        <v>1</v>
      </c>
      <c r="C3528" t="s">
        <v>0</v>
      </c>
      <c r="D3528">
        <v>1.02</v>
      </c>
      <c r="E3528">
        <v>7588.34</v>
      </c>
      <c r="F3528" t="s">
        <v>388</v>
      </c>
      <c r="G3528" s="31">
        <v>52.64</v>
      </c>
    </row>
    <row r="3529" spans="1:7" x14ac:dyDescent="0.3">
      <c r="A3529">
        <v>2</v>
      </c>
      <c r="B3529">
        <v>2</v>
      </c>
      <c r="C3529" t="s">
        <v>1</v>
      </c>
      <c r="D3529">
        <v>1.45</v>
      </c>
      <c r="E3529">
        <v>9508.7049999999999</v>
      </c>
      <c r="F3529" t="s">
        <v>389</v>
      </c>
      <c r="G3529" s="31">
        <v>11.84</v>
      </c>
    </row>
    <row r="3530" spans="1:7" x14ac:dyDescent="0.3">
      <c r="A3530">
        <v>3</v>
      </c>
      <c r="B3530">
        <v>3</v>
      </c>
      <c r="C3530" t="s">
        <v>50</v>
      </c>
      <c r="D3530">
        <v>3.58</v>
      </c>
      <c r="E3530">
        <v>616.40800000000002</v>
      </c>
      <c r="F3530" t="s">
        <v>390</v>
      </c>
      <c r="G3530" s="31">
        <v>0.36</v>
      </c>
    </row>
    <row r="3531" spans="1:7" x14ac:dyDescent="0.3">
      <c r="A3531">
        <v>4</v>
      </c>
      <c r="B3531">
        <v>4</v>
      </c>
      <c r="C3531" t="s">
        <v>2</v>
      </c>
      <c r="D3531">
        <v>3.68</v>
      </c>
      <c r="E3531">
        <v>51166.917999999998</v>
      </c>
      <c r="F3531" t="s">
        <v>391</v>
      </c>
      <c r="G3531" s="31">
        <v>2.65</v>
      </c>
    </row>
    <row r="3532" spans="1:7" x14ac:dyDescent="0.3">
      <c r="A3532">
        <v>5</v>
      </c>
      <c r="B3532">
        <v>5</v>
      </c>
      <c r="C3532" t="s">
        <v>3</v>
      </c>
      <c r="D3532">
        <v>4.4800000000000004</v>
      </c>
      <c r="E3532">
        <v>246.423</v>
      </c>
      <c r="F3532" t="s">
        <v>392</v>
      </c>
      <c r="G3532" s="31">
        <v>0.11</v>
      </c>
    </row>
    <row r="3533" spans="1:7" x14ac:dyDescent="0.3">
      <c r="A3533">
        <v>6</v>
      </c>
      <c r="B3533">
        <v>6</v>
      </c>
      <c r="C3533" t="s">
        <v>4</v>
      </c>
      <c r="D3533">
        <v>4.8</v>
      </c>
      <c r="E3533">
        <v>116226.383</v>
      </c>
      <c r="F3533" t="s">
        <v>393</v>
      </c>
      <c r="G3533" s="31">
        <v>4.26</v>
      </c>
    </row>
    <row r="3534" spans="1:7" x14ac:dyDescent="0.3">
      <c r="A3534">
        <v>7</v>
      </c>
      <c r="B3534">
        <v>7</v>
      </c>
      <c r="C3534" t="s">
        <v>5</v>
      </c>
      <c r="D3534">
        <v>2.71</v>
      </c>
      <c r="E3534">
        <v>3447.7820000000002</v>
      </c>
      <c r="F3534" t="s">
        <v>394</v>
      </c>
      <c r="G3534" s="31">
        <v>0.47</v>
      </c>
    </row>
    <row r="3535" spans="1:7" x14ac:dyDescent="0.3">
      <c r="A3535">
        <v>8</v>
      </c>
      <c r="B3535">
        <v>8</v>
      </c>
      <c r="C3535" t="s">
        <v>6</v>
      </c>
      <c r="D3535">
        <v>0.67</v>
      </c>
      <c r="E3535">
        <v>3625.9850000000001</v>
      </c>
      <c r="F3535" t="s">
        <v>395</v>
      </c>
      <c r="G3535" s="31">
        <v>36.700000000000003</v>
      </c>
    </row>
    <row r="3536" spans="1:7" x14ac:dyDescent="0.3">
      <c r="A3536">
        <v>9</v>
      </c>
      <c r="B3536">
        <v>9</v>
      </c>
      <c r="C3536" t="s">
        <v>7</v>
      </c>
      <c r="D3536">
        <v>3.56</v>
      </c>
      <c r="E3536">
        <v>371.97199999999998</v>
      </c>
      <c r="F3536" t="s">
        <v>396</v>
      </c>
      <c r="G3536" s="31">
        <v>0.91</v>
      </c>
    </row>
    <row r="3537" spans="1:7" x14ac:dyDescent="0.3">
      <c r="A3537">
        <v>10</v>
      </c>
      <c r="B3537">
        <v>10</v>
      </c>
      <c r="C3537" t="s">
        <v>51</v>
      </c>
      <c r="D3537">
        <v>4.6100000000000003</v>
      </c>
      <c r="E3537">
        <v>2021.8130000000001</v>
      </c>
      <c r="F3537" t="s">
        <v>397</v>
      </c>
      <c r="G3537" s="31">
        <v>0.34</v>
      </c>
    </row>
    <row r="3538" spans="1:7" x14ac:dyDescent="0.3">
      <c r="A3538">
        <v>11</v>
      </c>
      <c r="B3538">
        <v>11</v>
      </c>
      <c r="C3538" t="s">
        <v>8</v>
      </c>
      <c r="D3538">
        <v>2.74</v>
      </c>
      <c r="E3538">
        <v>89553.047000000006</v>
      </c>
      <c r="F3538" t="s">
        <v>398</v>
      </c>
      <c r="G3538" s="31">
        <v>3.89</v>
      </c>
    </row>
    <row r="3539" spans="1:7" x14ac:dyDescent="0.3">
      <c r="A3539">
        <v>12</v>
      </c>
      <c r="B3539">
        <v>12</v>
      </c>
      <c r="C3539" t="s">
        <v>9</v>
      </c>
      <c r="D3539">
        <v>2.61</v>
      </c>
      <c r="E3539">
        <v>15648.652</v>
      </c>
      <c r="F3539" t="s">
        <v>399</v>
      </c>
      <c r="G3539" s="31">
        <v>4.29</v>
      </c>
    </row>
    <row r="3540" spans="1:7" x14ac:dyDescent="0.3">
      <c r="A3540">
        <v>13</v>
      </c>
      <c r="B3540">
        <v>13</v>
      </c>
      <c r="C3540" t="s">
        <v>10</v>
      </c>
      <c r="D3540">
        <v>4.09</v>
      </c>
      <c r="E3540">
        <v>663422.68799999997</v>
      </c>
      <c r="F3540" t="s">
        <v>400</v>
      </c>
      <c r="G3540" s="31">
        <v>43.57</v>
      </c>
    </row>
    <row r="3541" spans="1:7" x14ac:dyDescent="0.3">
      <c r="A3541">
        <v>14</v>
      </c>
      <c r="B3541">
        <v>14</v>
      </c>
      <c r="C3541" t="s">
        <v>11</v>
      </c>
      <c r="D3541">
        <v>3.53</v>
      </c>
      <c r="E3541">
        <v>39.406999999999996</v>
      </c>
      <c r="F3541" t="s">
        <v>401</v>
      </c>
      <c r="G3541" s="31">
        <v>2.4700000000000002</v>
      </c>
    </row>
    <row r="3542" spans="1:7" x14ac:dyDescent="0.3">
      <c r="A3542">
        <v>15</v>
      </c>
      <c r="B3542">
        <v>15</v>
      </c>
      <c r="C3542" t="s">
        <v>12</v>
      </c>
      <c r="D3542">
        <v>3.33</v>
      </c>
      <c r="E3542">
        <v>411.267</v>
      </c>
      <c r="F3542" t="s">
        <v>402</v>
      </c>
      <c r="G3542" s="31">
        <v>1.56</v>
      </c>
    </row>
    <row r="3543" spans="1:7" x14ac:dyDescent="0.3">
      <c r="A3543">
        <v>16</v>
      </c>
      <c r="B3543">
        <v>16</v>
      </c>
      <c r="C3543" t="s">
        <v>13</v>
      </c>
      <c r="D3543">
        <v>3.23</v>
      </c>
      <c r="E3543">
        <v>14360.21</v>
      </c>
      <c r="F3543" t="s">
        <v>403</v>
      </c>
      <c r="G3543" s="31">
        <v>2.2000000000000002</v>
      </c>
    </row>
    <row r="3544" spans="1:7" x14ac:dyDescent="0.3">
      <c r="A3544">
        <v>17</v>
      </c>
      <c r="B3544">
        <v>17</v>
      </c>
      <c r="C3544" t="s">
        <v>14</v>
      </c>
      <c r="D3544">
        <v>2.02</v>
      </c>
      <c r="E3544">
        <v>59667.438000000002</v>
      </c>
      <c r="F3544" t="s">
        <v>404</v>
      </c>
      <c r="G3544" s="31">
        <v>7.72</v>
      </c>
    </row>
    <row r="3545" spans="1:7" x14ac:dyDescent="0.3">
      <c r="A3545">
        <v>18</v>
      </c>
      <c r="B3545">
        <v>18</v>
      </c>
      <c r="C3545" t="s">
        <v>15</v>
      </c>
      <c r="D3545">
        <v>2.4700000000000002</v>
      </c>
      <c r="E3545">
        <v>54395.351999999999</v>
      </c>
      <c r="F3545" t="s">
        <v>405</v>
      </c>
      <c r="G3545" s="31">
        <v>21.43</v>
      </c>
    </row>
    <row r="3546" spans="1:7" x14ac:dyDescent="0.3">
      <c r="A3546">
        <v>19</v>
      </c>
      <c r="B3546">
        <v>19</v>
      </c>
      <c r="C3546" t="s">
        <v>16</v>
      </c>
      <c r="D3546">
        <v>2.7</v>
      </c>
      <c r="E3546">
        <v>5592.2079999999996</v>
      </c>
      <c r="F3546" t="s">
        <v>406</v>
      </c>
      <c r="G3546" s="31">
        <v>0.28999999999999998</v>
      </c>
    </row>
    <row r="3547" spans="1:7" x14ac:dyDescent="0.3">
      <c r="A3547">
        <v>20</v>
      </c>
      <c r="B3547">
        <v>20</v>
      </c>
      <c r="C3547" t="s">
        <v>17</v>
      </c>
      <c r="D3547">
        <v>3.13</v>
      </c>
      <c r="E3547">
        <v>16929.34</v>
      </c>
      <c r="F3547" t="s">
        <v>407</v>
      </c>
      <c r="G3547" s="31">
        <v>2.8</v>
      </c>
    </row>
    <row r="3548" spans="1:7" x14ac:dyDescent="0.3">
      <c r="A3548">
        <v>21</v>
      </c>
      <c r="B3548">
        <v>21</v>
      </c>
      <c r="C3548" t="s">
        <v>18</v>
      </c>
      <c r="D3548">
        <v>3.68</v>
      </c>
      <c r="E3548">
        <v>97419.945000000007</v>
      </c>
      <c r="F3548" t="s">
        <v>408</v>
      </c>
      <c r="G3548" s="31">
        <v>3.8</v>
      </c>
    </row>
    <row r="3549" spans="1:7" x14ac:dyDescent="0.3">
      <c r="A3549">
        <v>22</v>
      </c>
      <c r="B3549">
        <v>22</v>
      </c>
      <c r="C3549" t="s">
        <v>19</v>
      </c>
      <c r="D3549">
        <v>2.61</v>
      </c>
      <c r="E3549">
        <v>100613.836</v>
      </c>
      <c r="F3549" t="s">
        <v>409</v>
      </c>
      <c r="G3549" s="31">
        <v>8.39</v>
      </c>
    </row>
    <row r="3550" spans="1:7" x14ac:dyDescent="0.3">
      <c r="A3550">
        <v>23</v>
      </c>
      <c r="B3550">
        <v>23</v>
      </c>
      <c r="C3550" t="s">
        <v>20</v>
      </c>
      <c r="D3550">
        <v>2.88</v>
      </c>
      <c r="E3550">
        <v>47372.578000000001</v>
      </c>
      <c r="F3550" t="s">
        <v>410</v>
      </c>
      <c r="G3550" s="31">
        <v>2.4300000000000002</v>
      </c>
    </row>
    <row r="3551" spans="1:7" x14ac:dyDescent="0.3">
      <c r="A3551">
        <v>24</v>
      </c>
      <c r="B3551">
        <v>24</v>
      </c>
      <c r="C3551" t="s">
        <v>21</v>
      </c>
      <c r="D3551">
        <v>4.1399999999999997</v>
      </c>
      <c r="E3551">
        <v>118.297</v>
      </c>
      <c r="F3551" t="s">
        <v>411</v>
      </c>
      <c r="G3551" s="31">
        <v>0.1</v>
      </c>
    </row>
    <row r="3552" spans="1:7" x14ac:dyDescent="0.3">
      <c r="A3552">
        <v>25</v>
      </c>
      <c r="B3552">
        <v>25</v>
      </c>
      <c r="C3552" t="s">
        <v>22</v>
      </c>
      <c r="D3552">
        <v>3.42</v>
      </c>
      <c r="E3552">
        <v>426.661</v>
      </c>
      <c r="F3552" t="s">
        <v>412</v>
      </c>
      <c r="G3552" s="31">
        <v>4.33</v>
      </c>
    </row>
    <row r="3553" spans="1:7" x14ac:dyDescent="0.3">
      <c r="A3553">
        <v>26</v>
      </c>
      <c r="B3553">
        <v>26</v>
      </c>
      <c r="C3553" t="s">
        <v>23</v>
      </c>
      <c r="D3553">
        <v>3.35</v>
      </c>
      <c r="E3553">
        <v>44328.741999999998</v>
      </c>
      <c r="F3553" t="s">
        <v>413</v>
      </c>
      <c r="G3553" s="31">
        <v>3.68</v>
      </c>
    </row>
    <row r="3554" spans="1:7" x14ac:dyDescent="0.3">
      <c r="A3554">
        <v>27</v>
      </c>
      <c r="B3554">
        <v>27</v>
      </c>
      <c r="C3554" t="s">
        <v>24</v>
      </c>
      <c r="D3554">
        <v>3.45</v>
      </c>
      <c r="E3554">
        <v>5842.6369999999997</v>
      </c>
      <c r="F3554" t="s">
        <v>414</v>
      </c>
      <c r="G3554" s="31">
        <v>3.92</v>
      </c>
    </row>
    <row r="3555" spans="1:7" x14ac:dyDescent="0.3">
      <c r="A3555">
        <v>28</v>
      </c>
      <c r="B3555">
        <v>28</v>
      </c>
      <c r="C3555" t="s">
        <v>25</v>
      </c>
      <c r="D3555">
        <v>3.51</v>
      </c>
      <c r="E3555">
        <v>36102.555</v>
      </c>
      <c r="F3555" t="s">
        <v>415</v>
      </c>
      <c r="G3555" s="31">
        <v>4.46</v>
      </c>
    </row>
    <row r="3556" spans="1:7" x14ac:dyDescent="0.3">
      <c r="A3556">
        <v>29</v>
      </c>
      <c r="B3556">
        <v>29</v>
      </c>
      <c r="C3556" t="s">
        <v>26</v>
      </c>
      <c r="D3556">
        <v>1.03</v>
      </c>
      <c r="E3556">
        <v>3481.4769999999999</v>
      </c>
      <c r="F3556" t="s">
        <v>416</v>
      </c>
      <c r="G3556" s="31">
        <v>2.89</v>
      </c>
    </row>
    <row r="3557" spans="1:7" x14ac:dyDescent="0.3">
      <c r="A3557">
        <v>30</v>
      </c>
      <c r="B3557">
        <v>30</v>
      </c>
      <c r="C3557" t="s">
        <v>27</v>
      </c>
      <c r="D3557">
        <v>4.32</v>
      </c>
      <c r="E3557">
        <v>4134.1729999999998</v>
      </c>
      <c r="F3557" t="s">
        <v>417</v>
      </c>
      <c r="G3557" s="31">
        <v>0.27</v>
      </c>
    </row>
    <row r="3558" spans="1:7" x14ac:dyDescent="0.3">
      <c r="A3558">
        <v>31</v>
      </c>
      <c r="B3558">
        <v>31</v>
      </c>
      <c r="C3558" t="s">
        <v>28</v>
      </c>
      <c r="D3558">
        <v>3</v>
      </c>
      <c r="E3558">
        <v>42431.976999999999</v>
      </c>
      <c r="F3558" t="s">
        <v>418</v>
      </c>
      <c r="G3558" s="31">
        <v>0.11</v>
      </c>
    </row>
    <row r="3559" spans="1:7" x14ac:dyDescent="0.3">
      <c r="A3559">
        <v>32</v>
      </c>
      <c r="B3559">
        <v>32</v>
      </c>
      <c r="C3559" t="s">
        <v>29</v>
      </c>
      <c r="D3559">
        <v>3.37</v>
      </c>
      <c r="E3559">
        <v>592.88</v>
      </c>
      <c r="F3559" t="s">
        <v>419</v>
      </c>
      <c r="G3559" s="31">
        <v>0.1</v>
      </c>
    </row>
    <row r="3560" spans="1:7" x14ac:dyDescent="0.3">
      <c r="A3560">
        <v>33</v>
      </c>
      <c r="B3560">
        <v>33</v>
      </c>
      <c r="C3560" t="s">
        <v>30</v>
      </c>
      <c r="D3560">
        <v>4.67</v>
      </c>
      <c r="E3560">
        <v>32954.082000000002</v>
      </c>
      <c r="F3560" t="s">
        <v>420</v>
      </c>
      <c r="G3560" s="31">
        <v>0.84</v>
      </c>
    </row>
    <row r="3561" spans="1:7" x14ac:dyDescent="0.3">
      <c r="A3561">
        <v>34</v>
      </c>
      <c r="B3561">
        <v>34</v>
      </c>
      <c r="C3561" t="s">
        <v>31</v>
      </c>
      <c r="D3561">
        <v>3.26</v>
      </c>
      <c r="E3561">
        <v>6017.0950000000003</v>
      </c>
      <c r="F3561" t="s">
        <v>421</v>
      </c>
      <c r="G3561" s="31">
        <v>0.44</v>
      </c>
    </row>
    <row r="3562" spans="1:7" x14ac:dyDescent="0.3">
      <c r="A3562">
        <v>35</v>
      </c>
      <c r="B3562">
        <v>35</v>
      </c>
      <c r="C3562" t="s">
        <v>32</v>
      </c>
      <c r="D3562">
        <v>3.12</v>
      </c>
      <c r="E3562">
        <v>409.88799999999998</v>
      </c>
      <c r="F3562" t="s">
        <v>422</v>
      </c>
      <c r="G3562" s="31">
        <v>0.14000000000000001</v>
      </c>
    </row>
    <row r="3563" spans="1:7" x14ac:dyDescent="0.3">
      <c r="A3563">
        <v>36</v>
      </c>
      <c r="B3563">
        <v>36</v>
      </c>
      <c r="C3563" t="s">
        <v>33</v>
      </c>
      <c r="D3563">
        <v>1.89</v>
      </c>
      <c r="E3563">
        <v>1026.4649999999999</v>
      </c>
      <c r="F3563" t="s">
        <v>423</v>
      </c>
      <c r="G3563" s="31">
        <v>0.6</v>
      </c>
    </row>
    <row r="3564" spans="1:7" x14ac:dyDescent="0.3">
      <c r="G3564" s="31">
        <f>G3541/G3543</f>
        <v>1.1227272727272728</v>
      </c>
    </row>
    <row r="3565" spans="1:7" x14ac:dyDescent="0.3">
      <c r="A3565" t="s">
        <v>379</v>
      </c>
    </row>
    <row r="3567" spans="1:7" x14ac:dyDescent="0.3">
      <c r="A3567" t="s">
        <v>491</v>
      </c>
    </row>
    <row r="3569" spans="1:7" x14ac:dyDescent="0.3">
      <c r="A3569" t="s">
        <v>506</v>
      </c>
    </row>
    <row r="3571" spans="1:7" x14ac:dyDescent="0.3">
      <c r="B3571" t="s">
        <v>382</v>
      </c>
      <c r="C3571" t="s">
        <v>383</v>
      </c>
      <c r="D3571" t="s">
        <v>384</v>
      </c>
      <c r="E3571" t="s">
        <v>385</v>
      </c>
      <c r="F3571" t="s">
        <v>386</v>
      </c>
      <c r="G3571" s="31" t="s">
        <v>387</v>
      </c>
    </row>
    <row r="3572" spans="1:7" x14ac:dyDescent="0.3">
      <c r="A3572">
        <v>1</v>
      </c>
      <c r="B3572">
        <v>1</v>
      </c>
      <c r="C3572" t="s">
        <v>0</v>
      </c>
      <c r="D3572">
        <v>1.01</v>
      </c>
      <c r="E3572">
        <v>5354.9319999999998</v>
      </c>
      <c r="F3572" t="s">
        <v>388</v>
      </c>
      <c r="G3572" s="31">
        <v>45.26</v>
      </c>
    </row>
    <row r="3573" spans="1:7" x14ac:dyDescent="0.3">
      <c r="A3573">
        <v>2</v>
      </c>
      <c r="B3573">
        <v>2</v>
      </c>
      <c r="C3573" t="s">
        <v>1</v>
      </c>
      <c r="D3573">
        <v>1.45</v>
      </c>
      <c r="E3573">
        <v>7128.85</v>
      </c>
      <c r="F3573" t="s">
        <v>389</v>
      </c>
      <c r="G3573" s="31">
        <v>11.01</v>
      </c>
    </row>
    <row r="3574" spans="1:7" x14ac:dyDescent="0.3">
      <c r="A3574">
        <v>3</v>
      </c>
      <c r="B3574">
        <v>3</v>
      </c>
      <c r="C3574" t="s">
        <v>50</v>
      </c>
      <c r="D3574">
        <v>3.57</v>
      </c>
      <c r="E3574">
        <v>243.119</v>
      </c>
      <c r="F3574" t="s">
        <v>390</v>
      </c>
      <c r="G3574" s="31">
        <v>0.19</v>
      </c>
    </row>
    <row r="3575" spans="1:7" x14ac:dyDescent="0.3">
      <c r="A3575">
        <v>4</v>
      </c>
      <c r="B3575">
        <v>4</v>
      </c>
      <c r="C3575" t="s">
        <v>2</v>
      </c>
      <c r="D3575">
        <v>3.69</v>
      </c>
      <c r="E3575">
        <v>25569.75</v>
      </c>
      <c r="F3575" t="s">
        <v>391</v>
      </c>
      <c r="G3575" s="31">
        <v>1.67</v>
      </c>
    </row>
    <row r="3576" spans="1:7" x14ac:dyDescent="0.3">
      <c r="A3576">
        <v>5</v>
      </c>
      <c r="B3576">
        <v>5</v>
      </c>
      <c r="C3576" t="s">
        <v>3</v>
      </c>
      <c r="D3576">
        <v>4.66</v>
      </c>
      <c r="E3576">
        <v>1537.4780000000001</v>
      </c>
      <c r="F3576" t="s">
        <v>392</v>
      </c>
      <c r="G3576" s="31">
        <v>3.29</v>
      </c>
    </row>
    <row r="3577" spans="1:7" x14ac:dyDescent="0.3">
      <c r="A3577">
        <v>6</v>
      </c>
      <c r="B3577">
        <v>6</v>
      </c>
      <c r="C3577" t="s">
        <v>4</v>
      </c>
      <c r="D3577">
        <v>4.8</v>
      </c>
      <c r="E3577">
        <v>226384.32800000001</v>
      </c>
      <c r="F3577" t="s">
        <v>393</v>
      </c>
      <c r="G3577" s="31">
        <v>9.83</v>
      </c>
    </row>
    <row r="3578" spans="1:7" x14ac:dyDescent="0.3">
      <c r="A3578">
        <v>7</v>
      </c>
      <c r="B3578">
        <v>7</v>
      </c>
      <c r="C3578" t="s">
        <v>5</v>
      </c>
      <c r="D3578">
        <v>2.71</v>
      </c>
      <c r="E3578">
        <v>2975.5349999999999</v>
      </c>
      <c r="F3578" t="s">
        <v>394</v>
      </c>
      <c r="G3578" s="31">
        <v>0.49</v>
      </c>
    </row>
    <row r="3579" spans="1:7" x14ac:dyDescent="0.3">
      <c r="A3579">
        <v>8</v>
      </c>
      <c r="B3579">
        <v>8</v>
      </c>
      <c r="C3579" t="s">
        <v>6</v>
      </c>
      <c r="D3579">
        <v>0.67</v>
      </c>
      <c r="E3579">
        <v>5754.9059999999999</v>
      </c>
      <c r="F3579" t="s">
        <v>395</v>
      </c>
      <c r="G3579" s="31">
        <v>70.09</v>
      </c>
    </row>
    <row r="3580" spans="1:7" x14ac:dyDescent="0.3">
      <c r="A3580">
        <v>9</v>
      </c>
      <c r="B3580">
        <v>9</v>
      </c>
      <c r="C3580" t="s">
        <v>7</v>
      </c>
      <c r="D3580">
        <v>3.57</v>
      </c>
      <c r="E3580">
        <v>199.94399999999999</v>
      </c>
      <c r="F3580" t="s">
        <v>396</v>
      </c>
      <c r="G3580" s="31">
        <v>0.66</v>
      </c>
    </row>
    <row r="3581" spans="1:7" x14ac:dyDescent="0.3">
      <c r="A3581">
        <v>10</v>
      </c>
      <c r="B3581">
        <v>10</v>
      </c>
      <c r="C3581" t="s">
        <v>51</v>
      </c>
      <c r="D3581">
        <v>4.6100000000000003</v>
      </c>
      <c r="E3581">
        <v>833.67600000000004</v>
      </c>
      <c r="F3581" t="s">
        <v>397</v>
      </c>
      <c r="G3581" s="31">
        <v>0.18</v>
      </c>
    </row>
    <row r="3582" spans="1:7" x14ac:dyDescent="0.3">
      <c r="A3582">
        <v>11</v>
      </c>
      <c r="B3582">
        <v>11</v>
      </c>
      <c r="C3582" t="s">
        <v>8</v>
      </c>
      <c r="D3582">
        <v>2.74</v>
      </c>
      <c r="E3582">
        <v>104827.539</v>
      </c>
      <c r="F3582" t="s">
        <v>398</v>
      </c>
      <c r="G3582" s="31">
        <v>5.53</v>
      </c>
    </row>
    <row r="3583" spans="1:7" x14ac:dyDescent="0.3">
      <c r="A3583">
        <v>12</v>
      </c>
      <c r="B3583">
        <v>12</v>
      </c>
      <c r="C3583" t="s">
        <v>9</v>
      </c>
      <c r="D3583">
        <v>2.6</v>
      </c>
      <c r="E3583">
        <v>19562.879000000001</v>
      </c>
      <c r="F3583" t="s">
        <v>399</v>
      </c>
      <c r="G3583" s="31">
        <v>6.47</v>
      </c>
    </row>
    <row r="3584" spans="1:7" x14ac:dyDescent="0.3">
      <c r="A3584">
        <v>13</v>
      </c>
      <c r="B3584">
        <v>13</v>
      </c>
      <c r="C3584" t="s">
        <v>10</v>
      </c>
      <c r="D3584">
        <v>4.09</v>
      </c>
      <c r="E3584">
        <v>928079.18799999997</v>
      </c>
      <c r="F3584" t="s">
        <v>400</v>
      </c>
      <c r="G3584" s="31">
        <v>79.760000000000005</v>
      </c>
    </row>
    <row r="3585" spans="1:7" x14ac:dyDescent="0.3">
      <c r="A3585">
        <v>14</v>
      </c>
      <c r="B3585">
        <v>14</v>
      </c>
      <c r="C3585" t="s">
        <v>11</v>
      </c>
      <c r="D3585">
        <v>3.52</v>
      </c>
      <c r="E3585">
        <v>231.02799999999999</v>
      </c>
      <c r="F3585" t="s">
        <v>401</v>
      </c>
      <c r="G3585" s="31">
        <v>12.1</v>
      </c>
    </row>
    <row r="3586" spans="1:7" x14ac:dyDescent="0.3">
      <c r="A3586">
        <v>15</v>
      </c>
      <c r="B3586">
        <v>15</v>
      </c>
      <c r="C3586" t="s">
        <v>12</v>
      </c>
      <c r="D3586">
        <v>3.33</v>
      </c>
      <c r="E3586">
        <v>992.11900000000003</v>
      </c>
      <c r="F3586" t="s">
        <v>402</v>
      </c>
      <c r="G3586" s="31">
        <v>4.58</v>
      </c>
    </row>
    <row r="3587" spans="1:7" x14ac:dyDescent="0.3">
      <c r="A3587">
        <v>16</v>
      </c>
      <c r="B3587">
        <v>16</v>
      </c>
      <c r="C3587" t="s">
        <v>13</v>
      </c>
      <c r="D3587">
        <v>3.23</v>
      </c>
      <c r="E3587">
        <v>18625.879000000001</v>
      </c>
      <c r="F3587" t="s">
        <v>403</v>
      </c>
      <c r="G3587" s="31">
        <v>3.4</v>
      </c>
    </row>
    <row r="3588" spans="1:7" x14ac:dyDescent="0.3">
      <c r="A3588">
        <v>17</v>
      </c>
      <c r="B3588">
        <v>17</v>
      </c>
      <c r="C3588" t="s">
        <v>14</v>
      </c>
      <c r="D3588">
        <v>2.02</v>
      </c>
      <c r="E3588">
        <v>96294.016000000003</v>
      </c>
      <c r="F3588" t="s">
        <v>404</v>
      </c>
      <c r="G3588" s="31">
        <v>14.95</v>
      </c>
    </row>
    <row r="3589" spans="1:7" x14ac:dyDescent="0.3">
      <c r="A3589">
        <v>18</v>
      </c>
      <c r="B3589">
        <v>18</v>
      </c>
      <c r="C3589" t="s">
        <v>15</v>
      </c>
      <c r="D3589">
        <v>2.4700000000000002</v>
      </c>
      <c r="E3589">
        <v>60495.785000000003</v>
      </c>
      <c r="F3589" t="s">
        <v>405</v>
      </c>
      <c r="G3589" s="31">
        <v>28.96</v>
      </c>
    </row>
    <row r="3590" spans="1:7" x14ac:dyDescent="0.3">
      <c r="A3590">
        <v>19</v>
      </c>
      <c r="B3590">
        <v>19</v>
      </c>
      <c r="C3590" t="s">
        <v>16</v>
      </c>
      <c r="D3590">
        <v>2.7</v>
      </c>
      <c r="E3590">
        <v>6159.7449999999999</v>
      </c>
      <c r="F3590" t="s">
        <v>406</v>
      </c>
      <c r="G3590" s="31">
        <v>0.38</v>
      </c>
    </row>
    <row r="3591" spans="1:7" x14ac:dyDescent="0.3">
      <c r="A3591">
        <v>20</v>
      </c>
      <c r="B3591">
        <v>20</v>
      </c>
      <c r="C3591" t="s">
        <v>17</v>
      </c>
      <c r="D3591">
        <v>3.13</v>
      </c>
      <c r="E3591">
        <v>26898.848000000002</v>
      </c>
      <c r="F3591" t="s">
        <v>407</v>
      </c>
      <c r="G3591" s="31">
        <v>5.48</v>
      </c>
    </row>
    <row r="3592" spans="1:7" x14ac:dyDescent="0.3">
      <c r="A3592">
        <v>21</v>
      </c>
      <c r="B3592">
        <v>21</v>
      </c>
      <c r="C3592" t="s">
        <v>18</v>
      </c>
      <c r="D3592">
        <v>3.68</v>
      </c>
      <c r="E3592">
        <v>37824.559000000001</v>
      </c>
      <c r="F3592" t="s">
        <v>408</v>
      </c>
      <c r="G3592" s="31">
        <v>1.8</v>
      </c>
    </row>
    <row r="3593" spans="1:7" x14ac:dyDescent="0.3">
      <c r="A3593">
        <v>22</v>
      </c>
      <c r="B3593">
        <v>22</v>
      </c>
      <c r="C3593" t="s">
        <v>19</v>
      </c>
      <c r="D3593">
        <v>2.6</v>
      </c>
      <c r="E3593">
        <v>129371.539</v>
      </c>
      <c r="F3593" t="s">
        <v>409</v>
      </c>
      <c r="G3593" s="31">
        <v>12.95</v>
      </c>
    </row>
    <row r="3594" spans="1:7" x14ac:dyDescent="0.3">
      <c r="A3594">
        <v>23</v>
      </c>
      <c r="B3594">
        <v>23</v>
      </c>
      <c r="C3594" t="s">
        <v>20</v>
      </c>
      <c r="D3594">
        <v>2.88</v>
      </c>
      <c r="E3594">
        <v>73759.679999999993</v>
      </c>
      <c r="F3594" t="s">
        <v>410</v>
      </c>
      <c r="G3594" s="31">
        <v>4.5599999999999996</v>
      </c>
    </row>
    <row r="3595" spans="1:7" x14ac:dyDescent="0.3">
      <c r="A3595">
        <v>24</v>
      </c>
      <c r="B3595">
        <v>24</v>
      </c>
      <c r="C3595" t="s">
        <v>21</v>
      </c>
      <c r="D3595">
        <v>4.17</v>
      </c>
      <c r="E3595">
        <v>26.556000000000001</v>
      </c>
      <c r="F3595" t="s">
        <v>411</v>
      </c>
      <c r="G3595" s="31">
        <v>0.1</v>
      </c>
    </row>
    <row r="3596" spans="1:7" x14ac:dyDescent="0.3">
      <c r="A3596">
        <v>25</v>
      </c>
      <c r="B3596">
        <v>25</v>
      </c>
      <c r="C3596" t="s">
        <v>22</v>
      </c>
      <c r="D3596">
        <v>3.42</v>
      </c>
      <c r="E3596">
        <v>928.255</v>
      </c>
      <c r="F3596" t="s">
        <v>412</v>
      </c>
      <c r="G3596" s="31">
        <v>8.17</v>
      </c>
    </row>
    <row r="3597" spans="1:7" x14ac:dyDescent="0.3">
      <c r="A3597">
        <v>26</v>
      </c>
      <c r="B3597">
        <v>26</v>
      </c>
      <c r="C3597" t="s">
        <v>23</v>
      </c>
      <c r="D3597">
        <v>3.35</v>
      </c>
      <c r="E3597">
        <v>222153.34400000001</v>
      </c>
      <c r="F3597" t="s">
        <v>413</v>
      </c>
      <c r="G3597" s="31">
        <v>21.42</v>
      </c>
    </row>
    <row r="3598" spans="1:7" x14ac:dyDescent="0.3">
      <c r="A3598">
        <v>27</v>
      </c>
      <c r="B3598">
        <v>27</v>
      </c>
      <c r="C3598" t="s">
        <v>24</v>
      </c>
      <c r="D3598">
        <v>3.44</v>
      </c>
      <c r="E3598">
        <v>174.05099999999999</v>
      </c>
      <c r="F3598" t="s">
        <v>414</v>
      </c>
      <c r="G3598" s="31">
        <v>0.1</v>
      </c>
    </row>
    <row r="3599" spans="1:7" x14ac:dyDescent="0.3">
      <c r="A3599">
        <v>28</v>
      </c>
      <c r="B3599">
        <v>28</v>
      </c>
      <c r="C3599" t="s">
        <v>25</v>
      </c>
      <c r="D3599">
        <v>3.52</v>
      </c>
      <c r="E3599">
        <v>1370.2639999999999</v>
      </c>
      <c r="F3599" t="s">
        <v>415</v>
      </c>
      <c r="G3599" s="31">
        <v>0.45</v>
      </c>
    </row>
    <row r="3600" spans="1:7" x14ac:dyDescent="0.3">
      <c r="A3600">
        <v>29</v>
      </c>
      <c r="B3600">
        <v>29</v>
      </c>
      <c r="C3600" t="s">
        <v>26</v>
      </c>
      <c r="D3600">
        <v>1.03</v>
      </c>
      <c r="E3600">
        <v>2097.047</v>
      </c>
      <c r="F3600" t="s">
        <v>416</v>
      </c>
      <c r="G3600" s="31">
        <v>2.2999999999999998</v>
      </c>
    </row>
    <row r="3601" spans="1:7" x14ac:dyDescent="0.3">
      <c r="A3601">
        <v>30</v>
      </c>
      <c r="B3601">
        <v>30</v>
      </c>
      <c r="C3601" t="s">
        <v>27</v>
      </c>
      <c r="D3601">
        <v>4.33</v>
      </c>
      <c r="E3601">
        <v>1182.4839999999999</v>
      </c>
      <c r="F3601" t="s">
        <v>417</v>
      </c>
      <c r="G3601" s="31">
        <v>0.1</v>
      </c>
    </row>
    <row r="3602" spans="1:7" x14ac:dyDescent="0.3">
      <c r="A3602">
        <v>31</v>
      </c>
      <c r="B3602">
        <v>31</v>
      </c>
      <c r="C3602" t="s">
        <v>28</v>
      </c>
      <c r="D3602">
        <v>3</v>
      </c>
      <c r="E3602">
        <v>147808.766</v>
      </c>
      <c r="F3602" t="s">
        <v>418</v>
      </c>
      <c r="G3602" s="31">
        <v>0.87</v>
      </c>
    </row>
    <row r="3603" spans="1:7" x14ac:dyDescent="0.3">
      <c r="A3603">
        <v>32</v>
      </c>
      <c r="B3603">
        <v>32</v>
      </c>
      <c r="C3603" t="s">
        <v>29</v>
      </c>
      <c r="D3603">
        <v>3.34</v>
      </c>
      <c r="E3603">
        <v>594.73299999999995</v>
      </c>
      <c r="F3603" t="s">
        <v>419</v>
      </c>
      <c r="G3603" s="31">
        <v>0.12</v>
      </c>
    </row>
    <row r="3604" spans="1:7" x14ac:dyDescent="0.3">
      <c r="A3604">
        <v>33</v>
      </c>
      <c r="B3604">
        <v>33</v>
      </c>
      <c r="C3604" t="s">
        <v>30</v>
      </c>
      <c r="D3604">
        <v>4.67</v>
      </c>
      <c r="E3604">
        <v>281717.59399999998</v>
      </c>
      <c r="F3604" t="s">
        <v>420</v>
      </c>
      <c r="G3604" s="31">
        <v>5.26</v>
      </c>
    </row>
    <row r="3605" spans="1:7" x14ac:dyDescent="0.3">
      <c r="A3605">
        <v>34</v>
      </c>
      <c r="B3605">
        <v>34</v>
      </c>
      <c r="C3605" t="s">
        <v>31</v>
      </c>
      <c r="D3605">
        <v>3.26</v>
      </c>
      <c r="E3605">
        <v>7695.9489999999996</v>
      </c>
      <c r="F3605" t="s">
        <v>421</v>
      </c>
      <c r="G3605" s="31">
        <v>0.68</v>
      </c>
    </row>
    <row r="3606" spans="1:7" x14ac:dyDescent="0.3">
      <c r="A3606">
        <v>35</v>
      </c>
      <c r="B3606">
        <v>35</v>
      </c>
      <c r="C3606" t="s">
        <v>32</v>
      </c>
      <c r="D3606">
        <v>3.12</v>
      </c>
      <c r="E3606">
        <v>1134.0170000000001</v>
      </c>
      <c r="F3606" t="s">
        <v>422</v>
      </c>
      <c r="G3606" s="31">
        <v>0.17</v>
      </c>
    </row>
    <row r="3607" spans="1:7" x14ac:dyDescent="0.3">
      <c r="A3607">
        <v>36</v>
      </c>
      <c r="B3607">
        <v>36</v>
      </c>
      <c r="C3607" t="s">
        <v>33</v>
      </c>
      <c r="D3607">
        <v>1.9</v>
      </c>
      <c r="E3607">
        <v>3021.779</v>
      </c>
      <c r="F3607" t="s">
        <v>423</v>
      </c>
      <c r="G3607" s="31">
        <v>2.14</v>
      </c>
    </row>
    <row r="3608" spans="1:7" x14ac:dyDescent="0.3">
      <c r="G3608" s="31">
        <f>G3585/G3587</f>
        <v>3.5588235294117645</v>
      </c>
    </row>
    <row r="3609" spans="1:7" x14ac:dyDescent="0.3">
      <c r="A3609" t="s">
        <v>379</v>
      </c>
    </row>
    <row r="3611" spans="1:7" x14ac:dyDescent="0.3">
      <c r="A3611" t="s">
        <v>491</v>
      </c>
    </row>
    <row r="3613" spans="1:7" x14ac:dyDescent="0.3">
      <c r="A3613" t="s">
        <v>507</v>
      </c>
    </row>
    <row r="3615" spans="1:7" x14ac:dyDescent="0.3">
      <c r="B3615" t="s">
        <v>382</v>
      </c>
      <c r="C3615" t="s">
        <v>383</v>
      </c>
      <c r="D3615" t="s">
        <v>384</v>
      </c>
      <c r="E3615" t="s">
        <v>385</v>
      </c>
      <c r="F3615" t="s">
        <v>386</v>
      </c>
      <c r="G3615" s="31" t="s">
        <v>387</v>
      </c>
    </row>
    <row r="3616" spans="1:7" x14ac:dyDescent="0.3">
      <c r="A3616">
        <v>1</v>
      </c>
      <c r="B3616">
        <v>1</v>
      </c>
      <c r="C3616" t="s">
        <v>0</v>
      </c>
      <c r="D3616">
        <v>1.1000000000000001</v>
      </c>
      <c r="E3616">
        <v>51.378999999999998</v>
      </c>
      <c r="F3616" t="s">
        <v>388</v>
      </c>
      <c r="G3616" s="31">
        <v>0.1</v>
      </c>
    </row>
    <row r="3617" spans="1:7" x14ac:dyDescent="0.3">
      <c r="A3617">
        <v>2</v>
      </c>
      <c r="B3617">
        <v>2</v>
      </c>
      <c r="C3617" t="s">
        <v>1</v>
      </c>
      <c r="D3617">
        <v>1.48</v>
      </c>
      <c r="E3617">
        <v>220.42400000000001</v>
      </c>
      <c r="F3617" t="s">
        <v>389</v>
      </c>
      <c r="G3617" s="31">
        <v>6.83</v>
      </c>
    </row>
    <row r="3618" spans="1:7" x14ac:dyDescent="0.3">
      <c r="A3618">
        <v>3</v>
      </c>
      <c r="B3618">
        <v>3</v>
      </c>
      <c r="C3618" t="s">
        <v>50</v>
      </c>
      <c r="D3618">
        <v>3.64</v>
      </c>
      <c r="E3618">
        <v>158.459</v>
      </c>
      <c r="F3618" t="s">
        <v>390</v>
      </c>
      <c r="G3618" s="31">
        <v>0.96</v>
      </c>
    </row>
    <row r="3619" spans="1:7" x14ac:dyDescent="0.3">
      <c r="A3619">
        <v>4</v>
      </c>
      <c r="B3619">
        <v>4</v>
      </c>
      <c r="C3619" t="s">
        <v>2</v>
      </c>
      <c r="D3619">
        <v>3.71</v>
      </c>
      <c r="E3619">
        <v>116.75700000000001</v>
      </c>
      <c r="F3619" t="s">
        <v>391</v>
      </c>
      <c r="G3619" s="31">
        <v>0.79</v>
      </c>
    </row>
    <row r="3620" spans="1:7" x14ac:dyDescent="0.3">
      <c r="A3620">
        <v>5</v>
      </c>
      <c r="B3620">
        <v>5</v>
      </c>
      <c r="C3620" t="s">
        <v>3</v>
      </c>
      <c r="D3620">
        <v>4.49</v>
      </c>
      <c r="E3620">
        <v>120.849</v>
      </c>
      <c r="F3620" t="s">
        <v>392</v>
      </c>
      <c r="G3620" s="31">
        <v>0.1</v>
      </c>
    </row>
    <row r="3621" spans="1:7" x14ac:dyDescent="0.3">
      <c r="A3621">
        <v>6</v>
      </c>
      <c r="B3621">
        <v>6</v>
      </c>
      <c r="C3621" t="s">
        <v>4</v>
      </c>
      <c r="D3621">
        <v>4.92</v>
      </c>
      <c r="E3621">
        <v>35.646000000000001</v>
      </c>
      <c r="F3621" t="s">
        <v>393</v>
      </c>
      <c r="G3621" s="31">
        <v>2.29</v>
      </c>
    </row>
    <row r="3622" spans="1:7" x14ac:dyDescent="0.3">
      <c r="A3622">
        <v>7</v>
      </c>
      <c r="B3622">
        <v>7</v>
      </c>
      <c r="C3622" t="s">
        <v>5</v>
      </c>
      <c r="D3622">
        <v>2.66</v>
      </c>
      <c r="E3622">
        <v>72.042000000000002</v>
      </c>
      <c r="F3622" t="s">
        <v>394</v>
      </c>
      <c r="G3622" s="31">
        <v>0.14000000000000001</v>
      </c>
    </row>
    <row r="3623" spans="1:7" x14ac:dyDescent="0.3">
      <c r="A3623">
        <v>8</v>
      </c>
      <c r="B3623">
        <v>8</v>
      </c>
      <c r="C3623" t="s">
        <v>6</v>
      </c>
      <c r="F3623" t="s">
        <v>395</v>
      </c>
      <c r="G3623" s="31">
        <v>0.1</v>
      </c>
    </row>
    <row r="3624" spans="1:7" x14ac:dyDescent="0.3">
      <c r="A3624">
        <v>9</v>
      </c>
      <c r="B3624">
        <v>9</v>
      </c>
      <c r="C3624" t="s">
        <v>7</v>
      </c>
      <c r="D3624">
        <v>3.62</v>
      </c>
      <c r="E3624">
        <v>16.927</v>
      </c>
      <c r="F3624" t="s">
        <v>396</v>
      </c>
      <c r="G3624" s="31">
        <v>1.25</v>
      </c>
    </row>
    <row r="3625" spans="1:7" x14ac:dyDescent="0.3">
      <c r="A3625">
        <v>10</v>
      </c>
      <c r="B3625">
        <v>10</v>
      </c>
      <c r="C3625" t="s">
        <v>51</v>
      </c>
      <c r="D3625">
        <v>4.8899999999999997</v>
      </c>
      <c r="E3625">
        <v>769.85900000000004</v>
      </c>
      <c r="F3625" t="s">
        <v>397</v>
      </c>
      <c r="G3625" s="31">
        <v>1.18</v>
      </c>
    </row>
    <row r="3626" spans="1:7" x14ac:dyDescent="0.3">
      <c r="A3626">
        <v>11</v>
      </c>
      <c r="B3626">
        <v>11</v>
      </c>
      <c r="C3626" t="s">
        <v>8</v>
      </c>
      <c r="D3626">
        <v>2.94</v>
      </c>
      <c r="E3626">
        <v>2.0590000000000002</v>
      </c>
      <c r="F3626" t="s">
        <v>398</v>
      </c>
      <c r="G3626" s="31">
        <v>1.63</v>
      </c>
    </row>
    <row r="3627" spans="1:7" x14ac:dyDescent="0.3">
      <c r="A3627">
        <v>12</v>
      </c>
      <c r="B3627">
        <v>12</v>
      </c>
      <c r="C3627" t="s">
        <v>9</v>
      </c>
      <c r="D3627">
        <v>2.65</v>
      </c>
      <c r="E3627">
        <v>30.940999999999999</v>
      </c>
      <c r="F3627" t="s">
        <v>399</v>
      </c>
      <c r="G3627" s="31">
        <v>2.75</v>
      </c>
    </row>
    <row r="3628" spans="1:7" x14ac:dyDescent="0.3">
      <c r="A3628">
        <v>13</v>
      </c>
      <c r="B3628">
        <v>13</v>
      </c>
      <c r="C3628" t="s">
        <v>10</v>
      </c>
      <c r="D3628">
        <v>4.07</v>
      </c>
      <c r="E3628">
        <v>215.66800000000001</v>
      </c>
      <c r="F3628" t="s">
        <v>400</v>
      </c>
      <c r="G3628" s="31">
        <v>0.1</v>
      </c>
    </row>
    <row r="3629" spans="1:7" x14ac:dyDescent="0.3">
      <c r="A3629">
        <v>14</v>
      </c>
      <c r="B3629">
        <v>14</v>
      </c>
      <c r="C3629" t="s">
        <v>11</v>
      </c>
      <c r="F3629" t="s">
        <v>401</v>
      </c>
      <c r="G3629" s="31">
        <v>0.1</v>
      </c>
    </row>
    <row r="3630" spans="1:7" x14ac:dyDescent="0.3">
      <c r="A3630">
        <v>15</v>
      </c>
      <c r="B3630">
        <v>15</v>
      </c>
      <c r="C3630" t="s">
        <v>12</v>
      </c>
      <c r="D3630">
        <v>3.52</v>
      </c>
      <c r="E3630">
        <v>68.519000000000005</v>
      </c>
      <c r="F3630" t="s">
        <v>402</v>
      </c>
      <c r="G3630" s="31">
        <v>2.42</v>
      </c>
    </row>
    <row r="3631" spans="1:7" x14ac:dyDescent="0.3">
      <c r="A3631">
        <v>16</v>
      </c>
      <c r="B3631">
        <v>16</v>
      </c>
      <c r="C3631" t="s">
        <v>13</v>
      </c>
      <c r="F3631" t="s">
        <v>403</v>
      </c>
      <c r="G3631" s="31">
        <v>0.1</v>
      </c>
    </row>
    <row r="3632" spans="1:7" x14ac:dyDescent="0.3">
      <c r="A3632">
        <v>17</v>
      </c>
      <c r="B3632">
        <v>17</v>
      </c>
      <c r="C3632" t="s">
        <v>14</v>
      </c>
      <c r="D3632">
        <v>1.9</v>
      </c>
      <c r="E3632">
        <v>141.40799999999999</v>
      </c>
      <c r="F3632" t="s">
        <v>404</v>
      </c>
      <c r="G3632" s="31">
        <v>3.35</v>
      </c>
    </row>
    <row r="3633" spans="1:7" x14ac:dyDescent="0.3">
      <c r="A3633">
        <v>18</v>
      </c>
      <c r="B3633">
        <v>18</v>
      </c>
      <c r="C3633" t="s">
        <v>15</v>
      </c>
      <c r="D3633">
        <v>2.56</v>
      </c>
      <c r="E3633">
        <v>36.497</v>
      </c>
      <c r="F3633" t="s">
        <v>405</v>
      </c>
      <c r="G3633" s="31">
        <v>10.36</v>
      </c>
    </row>
    <row r="3634" spans="1:7" x14ac:dyDescent="0.3">
      <c r="A3634">
        <v>19</v>
      </c>
      <c r="B3634">
        <v>19</v>
      </c>
      <c r="C3634" t="s">
        <v>16</v>
      </c>
      <c r="D3634">
        <v>2.72</v>
      </c>
      <c r="E3634">
        <v>26.282</v>
      </c>
      <c r="F3634" t="s">
        <v>406</v>
      </c>
      <c r="G3634" s="31">
        <v>0.31</v>
      </c>
    </row>
    <row r="3635" spans="1:7" x14ac:dyDescent="0.3">
      <c r="A3635">
        <v>20</v>
      </c>
      <c r="B3635">
        <v>20</v>
      </c>
      <c r="C3635" t="s">
        <v>17</v>
      </c>
      <c r="D3635">
        <v>3.1</v>
      </c>
      <c r="E3635">
        <v>792.24300000000005</v>
      </c>
      <c r="F3635" t="s">
        <v>407</v>
      </c>
      <c r="G3635" s="31">
        <v>0.68</v>
      </c>
    </row>
    <row r="3636" spans="1:7" x14ac:dyDescent="0.3">
      <c r="A3636">
        <v>21</v>
      </c>
      <c r="B3636">
        <v>21</v>
      </c>
      <c r="C3636" t="s">
        <v>18</v>
      </c>
      <c r="D3636">
        <v>3.68</v>
      </c>
      <c r="E3636">
        <v>538.09400000000005</v>
      </c>
      <c r="F3636" t="s">
        <v>408</v>
      </c>
      <c r="G3636" s="31">
        <v>0.14000000000000001</v>
      </c>
    </row>
    <row r="3637" spans="1:7" x14ac:dyDescent="0.3">
      <c r="A3637">
        <v>22</v>
      </c>
      <c r="B3637">
        <v>22</v>
      </c>
      <c r="C3637" t="s">
        <v>19</v>
      </c>
      <c r="F3637" t="s">
        <v>409</v>
      </c>
      <c r="G3637" s="31">
        <v>0.1</v>
      </c>
    </row>
    <row r="3638" spans="1:7" x14ac:dyDescent="0.3">
      <c r="A3638">
        <v>23</v>
      </c>
      <c r="B3638">
        <v>23</v>
      </c>
      <c r="C3638" t="s">
        <v>20</v>
      </c>
      <c r="F3638" t="s">
        <v>410</v>
      </c>
      <c r="G3638" s="31">
        <v>0.1</v>
      </c>
    </row>
    <row r="3639" spans="1:7" x14ac:dyDescent="0.3">
      <c r="A3639">
        <v>24</v>
      </c>
      <c r="B3639">
        <v>24</v>
      </c>
      <c r="C3639" t="s">
        <v>21</v>
      </c>
      <c r="D3639">
        <v>4.1399999999999997</v>
      </c>
      <c r="E3639">
        <v>10.375</v>
      </c>
      <c r="F3639" t="s">
        <v>411</v>
      </c>
      <c r="G3639" s="31">
        <v>0.1</v>
      </c>
    </row>
    <row r="3640" spans="1:7" x14ac:dyDescent="0.3">
      <c r="A3640">
        <v>25</v>
      </c>
      <c r="B3640">
        <v>25</v>
      </c>
      <c r="C3640" t="s">
        <v>22</v>
      </c>
      <c r="D3640">
        <v>3.81</v>
      </c>
      <c r="E3640">
        <v>128.32599999999999</v>
      </c>
      <c r="F3640" t="s">
        <v>412</v>
      </c>
      <c r="G3640" s="31">
        <v>25.75</v>
      </c>
    </row>
    <row r="3641" spans="1:7" x14ac:dyDescent="0.3">
      <c r="A3641">
        <v>26</v>
      </c>
      <c r="B3641">
        <v>26</v>
      </c>
      <c r="C3641" t="s">
        <v>23</v>
      </c>
      <c r="D3641">
        <v>3.3</v>
      </c>
      <c r="E3641">
        <v>3.617</v>
      </c>
      <c r="F3641" t="s">
        <v>413</v>
      </c>
      <c r="G3641" s="31">
        <v>2.0299999999999998</v>
      </c>
    </row>
    <row r="3642" spans="1:7" x14ac:dyDescent="0.3">
      <c r="A3642">
        <v>27</v>
      </c>
      <c r="B3642">
        <v>27</v>
      </c>
      <c r="C3642" t="s">
        <v>24</v>
      </c>
      <c r="D3642">
        <v>3.45</v>
      </c>
      <c r="E3642">
        <v>56.527000000000001</v>
      </c>
      <c r="F3642" t="s">
        <v>414</v>
      </c>
      <c r="G3642" s="31">
        <v>0.1</v>
      </c>
    </row>
    <row r="3643" spans="1:7" x14ac:dyDescent="0.3">
      <c r="A3643">
        <v>28</v>
      </c>
      <c r="B3643">
        <v>28</v>
      </c>
      <c r="C3643" t="s">
        <v>25</v>
      </c>
      <c r="D3643">
        <v>3.72</v>
      </c>
      <c r="E3643">
        <v>1.5009999999999999</v>
      </c>
      <c r="F3643" t="s">
        <v>415</v>
      </c>
      <c r="G3643" s="31">
        <v>1.8</v>
      </c>
    </row>
    <row r="3644" spans="1:7" x14ac:dyDescent="0.3">
      <c r="A3644">
        <v>29</v>
      </c>
      <c r="B3644">
        <v>29</v>
      </c>
      <c r="C3644" t="s">
        <v>26</v>
      </c>
      <c r="D3644">
        <v>1.41</v>
      </c>
      <c r="E3644">
        <v>11.699</v>
      </c>
      <c r="F3644" t="s">
        <v>416</v>
      </c>
      <c r="G3644" s="31">
        <v>3.15</v>
      </c>
    </row>
    <row r="3645" spans="1:7" x14ac:dyDescent="0.3">
      <c r="A3645">
        <v>30</v>
      </c>
      <c r="B3645">
        <v>30</v>
      </c>
      <c r="C3645" t="s">
        <v>27</v>
      </c>
      <c r="D3645">
        <v>4.38</v>
      </c>
      <c r="E3645">
        <v>21.446999999999999</v>
      </c>
      <c r="F3645" t="s">
        <v>417</v>
      </c>
      <c r="G3645" s="31">
        <v>0.12</v>
      </c>
    </row>
    <row r="3646" spans="1:7" x14ac:dyDescent="0.3">
      <c r="A3646">
        <v>31</v>
      </c>
      <c r="B3646">
        <v>31</v>
      </c>
      <c r="C3646" t="s">
        <v>28</v>
      </c>
      <c r="D3646">
        <v>3.15</v>
      </c>
      <c r="E3646">
        <v>14.564</v>
      </c>
      <c r="F3646" t="s">
        <v>418</v>
      </c>
      <c r="G3646" s="31">
        <v>0.1</v>
      </c>
    </row>
    <row r="3647" spans="1:7" x14ac:dyDescent="0.3">
      <c r="A3647">
        <v>32</v>
      </c>
      <c r="B3647">
        <v>32</v>
      </c>
      <c r="C3647" t="s">
        <v>29</v>
      </c>
      <c r="F3647" t="s">
        <v>419</v>
      </c>
      <c r="G3647" s="31">
        <v>0.1</v>
      </c>
    </row>
    <row r="3648" spans="1:7" x14ac:dyDescent="0.3">
      <c r="A3648">
        <v>33</v>
      </c>
      <c r="B3648">
        <v>33</v>
      </c>
      <c r="C3648" t="s">
        <v>30</v>
      </c>
      <c r="D3648">
        <v>4.82</v>
      </c>
      <c r="E3648">
        <v>50.807000000000002</v>
      </c>
      <c r="F3648" t="s">
        <v>420</v>
      </c>
      <c r="G3648" s="31">
        <v>3.35</v>
      </c>
    </row>
    <row r="3649" spans="1:7" x14ac:dyDescent="0.3">
      <c r="A3649">
        <v>34</v>
      </c>
      <c r="B3649">
        <v>34</v>
      </c>
      <c r="C3649" t="s">
        <v>31</v>
      </c>
      <c r="D3649">
        <v>3.96</v>
      </c>
      <c r="E3649">
        <v>29.280999999999999</v>
      </c>
      <c r="F3649" t="s">
        <v>421</v>
      </c>
      <c r="G3649" s="31">
        <v>0.13</v>
      </c>
    </row>
    <row r="3650" spans="1:7" x14ac:dyDescent="0.3">
      <c r="A3650">
        <v>35</v>
      </c>
      <c r="B3650">
        <v>35</v>
      </c>
      <c r="C3650" t="s">
        <v>32</v>
      </c>
      <c r="D3650">
        <v>3.06</v>
      </c>
      <c r="E3650">
        <v>20.981999999999999</v>
      </c>
      <c r="F3650" t="s">
        <v>422</v>
      </c>
      <c r="G3650" s="31">
        <v>0.1</v>
      </c>
    </row>
    <row r="3651" spans="1:7" x14ac:dyDescent="0.3">
      <c r="A3651">
        <v>36</v>
      </c>
      <c r="B3651">
        <v>36</v>
      </c>
      <c r="C3651" t="s">
        <v>33</v>
      </c>
      <c r="D3651">
        <v>2.0099999999999998</v>
      </c>
      <c r="E3651">
        <v>20.204999999999998</v>
      </c>
      <c r="F3651" t="s">
        <v>423</v>
      </c>
      <c r="G3651" s="31">
        <v>0.13</v>
      </c>
    </row>
    <row r="3653" spans="1:7" x14ac:dyDescent="0.3">
      <c r="A3653" t="s">
        <v>379</v>
      </c>
    </row>
    <row r="3655" spans="1:7" x14ac:dyDescent="0.3">
      <c r="A3655" t="s">
        <v>491</v>
      </c>
    </row>
    <row r="3657" spans="1:7" x14ac:dyDescent="0.3">
      <c r="A3657" t="s">
        <v>508</v>
      </c>
    </row>
    <row r="3659" spans="1:7" x14ac:dyDescent="0.3">
      <c r="B3659" t="s">
        <v>382</v>
      </c>
      <c r="C3659" t="s">
        <v>383</v>
      </c>
      <c r="D3659" t="s">
        <v>384</v>
      </c>
      <c r="E3659" t="s">
        <v>385</v>
      </c>
      <c r="F3659" t="s">
        <v>386</v>
      </c>
      <c r="G3659" s="31" t="s">
        <v>387</v>
      </c>
    </row>
    <row r="3660" spans="1:7" x14ac:dyDescent="0.3">
      <c r="A3660">
        <v>1</v>
      </c>
      <c r="B3660">
        <v>1</v>
      </c>
      <c r="C3660" t="s">
        <v>0</v>
      </c>
      <c r="D3660">
        <v>1.03</v>
      </c>
      <c r="E3660">
        <v>6676.3739999999998</v>
      </c>
      <c r="F3660" t="s">
        <v>388</v>
      </c>
      <c r="G3660" s="31">
        <v>407.18</v>
      </c>
    </row>
    <row r="3661" spans="1:7" x14ac:dyDescent="0.3">
      <c r="A3661">
        <v>2</v>
      </c>
      <c r="B3661">
        <v>2</v>
      </c>
      <c r="C3661" t="s">
        <v>1</v>
      </c>
      <c r="D3661">
        <v>1.48</v>
      </c>
      <c r="E3661">
        <v>9746.1479999999992</v>
      </c>
      <c r="F3661" t="s">
        <v>389</v>
      </c>
      <c r="G3661" s="31">
        <v>106.67</v>
      </c>
    </row>
    <row r="3662" spans="1:7" x14ac:dyDescent="0.3">
      <c r="A3662">
        <v>3</v>
      </c>
      <c r="B3662">
        <v>3</v>
      </c>
      <c r="C3662" t="s">
        <v>50</v>
      </c>
      <c r="D3662">
        <v>3.58</v>
      </c>
      <c r="E3662">
        <v>1980.549</v>
      </c>
      <c r="F3662" t="s">
        <v>390</v>
      </c>
      <c r="G3662" s="31">
        <v>9.61</v>
      </c>
    </row>
    <row r="3663" spans="1:7" x14ac:dyDescent="0.3">
      <c r="A3663">
        <v>4</v>
      </c>
      <c r="B3663">
        <v>4</v>
      </c>
      <c r="C3663" t="s">
        <v>2</v>
      </c>
      <c r="D3663">
        <v>3.7</v>
      </c>
      <c r="E3663">
        <v>59655.23</v>
      </c>
      <c r="F3663" t="s">
        <v>391</v>
      </c>
      <c r="G3663" s="31">
        <v>27.1</v>
      </c>
    </row>
    <row r="3664" spans="1:7" x14ac:dyDescent="0.3">
      <c r="A3664">
        <v>5</v>
      </c>
      <c r="B3664">
        <v>5</v>
      </c>
      <c r="C3664" t="s">
        <v>3</v>
      </c>
      <c r="D3664">
        <v>4.4800000000000004</v>
      </c>
      <c r="E3664">
        <v>3315.88</v>
      </c>
      <c r="F3664" t="s">
        <v>392</v>
      </c>
      <c r="G3664" s="31">
        <v>54.92</v>
      </c>
    </row>
    <row r="3665" spans="1:7" x14ac:dyDescent="0.3">
      <c r="A3665">
        <v>6</v>
      </c>
      <c r="B3665">
        <v>6</v>
      </c>
      <c r="C3665" t="s">
        <v>4</v>
      </c>
      <c r="D3665">
        <v>4.8099999999999996</v>
      </c>
      <c r="E3665">
        <v>206528.79699999999</v>
      </c>
      <c r="F3665" t="s">
        <v>393</v>
      </c>
      <c r="G3665" s="31">
        <v>64.790000000000006</v>
      </c>
    </row>
    <row r="3666" spans="1:7" x14ac:dyDescent="0.3">
      <c r="A3666">
        <v>7</v>
      </c>
      <c r="B3666">
        <v>7</v>
      </c>
      <c r="C3666" t="s">
        <v>5</v>
      </c>
      <c r="D3666">
        <v>2.71</v>
      </c>
      <c r="E3666">
        <v>2170.7440000000001</v>
      </c>
      <c r="F3666" t="s">
        <v>394</v>
      </c>
      <c r="G3666" s="31">
        <v>2.61</v>
      </c>
    </row>
    <row r="3667" spans="1:7" x14ac:dyDescent="0.3">
      <c r="A3667">
        <v>8</v>
      </c>
      <c r="B3667">
        <v>8</v>
      </c>
      <c r="C3667" t="s">
        <v>6</v>
      </c>
      <c r="D3667">
        <v>0.66</v>
      </c>
      <c r="E3667">
        <v>2322.0010000000002</v>
      </c>
      <c r="F3667" t="s">
        <v>395</v>
      </c>
      <c r="G3667" s="31">
        <v>211.73</v>
      </c>
    </row>
    <row r="3668" spans="1:7" x14ac:dyDescent="0.3">
      <c r="A3668">
        <v>9</v>
      </c>
      <c r="B3668">
        <v>9</v>
      </c>
      <c r="C3668" t="s">
        <v>7</v>
      </c>
      <c r="D3668">
        <v>3.56</v>
      </c>
      <c r="E3668">
        <v>2220.509</v>
      </c>
      <c r="F3668" t="s">
        <v>396</v>
      </c>
      <c r="G3668" s="31">
        <v>43.12</v>
      </c>
    </row>
    <row r="3669" spans="1:7" x14ac:dyDescent="0.3">
      <c r="A3669">
        <v>10</v>
      </c>
      <c r="B3669">
        <v>10</v>
      </c>
      <c r="C3669" t="s">
        <v>51</v>
      </c>
      <c r="D3669">
        <v>4.6100000000000003</v>
      </c>
      <c r="E3669">
        <v>3787.0439999999999</v>
      </c>
      <c r="F3669" t="s">
        <v>397</v>
      </c>
      <c r="G3669" s="31">
        <v>5.62</v>
      </c>
    </row>
    <row r="3670" spans="1:7" x14ac:dyDescent="0.3">
      <c r="A3670">
        <v>11</v>
      </c>
      <c r="B3670">
        <v>11</v>
      </c>
      <c r="C3670" t="s">
        <v>8</v>
      </c>
      <c r="D3670">
        <v>2.75</v>
      </c>
      <c r="E3670">
        <v>64251.641000000003</v>
      </c>
      <c r="F3670" t="s">
        <v>398</v>
      </c>
      <c r="G3670" s="31">
        <v>25.05</v>
      </c>
    </row>
    <row r="3671" spans="1:7" x14ac:dyDescent="0.3">
      <c r="A3671">
        <v>12</v>
      </c>
      <c r="B3671">
        <v>12</v>
      </c>
      <c r="C3671" t="s">
        <v>9</v>
      </c>
      <c r="D3671">
        <v>2.65</v>
      </c>
      <c r="E3671">
        <v>11310.234</v>
      </c>
      <c r="F3671" t="s">
        <v>399</v>
      </c>
      <c r="G3671" s="31">
        <v>28.05</v>
      </c>
    </row>
    <row r="3672" spans="1:7" x14ac:dyDescent="0.3">
      <c r="A3672">
        <v>13</v>
      </c>
      <c r="B3672">
        <v>13</v>
      </c>
      <c r="C3672" t="s">
        <v>10</v>
      </c>
      <c r="D3672">
        <v>4.09</v>
      </c>
      <c r="E3672">
        <v>1324615.875</v>
      </c>
      <c r="F3672" t="s">
        <v>400</v>
      </c>
      <c r="G3672" s="31">
        <v>860.31</v>
      </c>
    </row>
    <row r="3673" spans="1:7" x14ac:dyDescent="0.3">
      <c r="A3673">
        <v>14</v>
      </c>
      <c r="B3673">
        <v>14</v>
      </c>
      <c r="C3673" t="s">
        <v>11</v>
      </c>
      <c r="D3673">
        <v>3.53</v>
      </c>
      <c r="E3673">
        <v>107.26900000000001</v>
      </c>
      <c r="F3673" t="s">
        <v>401</v>
      </c>
      <c r="G3673" s="31">
        <v>44.9</v>
      </c>
    </row>
    <row r="3674" spans="1:7" x14ac:dyDescent="0.3">
      <c r="A3674">
        <v>15</v>
      </c>
      <c r="B3674">
        <v>15</v>
      </c>
      <c r="C3674" t="s">
        <v>12</v>
      </c>
      <c r="D3674">
        <v>3.33</v>
      </c>
      <c r="E3674">
        <v>655.77599999999995</v>
      </c>
      <c r="F3674" t="s">
        <v>402</v>
      </c>
      <c r="G3674" s="31">
        <v>21.85</v>
      </c>
    </row>
    <row r="3675" spans="1:7" x14ac:dyDescent="0.3">
      <c r="A3675">
        <v>16</v>
      </c>
      <c r="B3675">
        <v>16</v>
      </c>
      <c r="C3675" t="s">
        <v>13</v>
      </c>
      <c r="D3675">
        <v>3.24</v>
      </c>
      <c r="E3675">
        <v>16667.096000000001</v>
      </c>
      <c r="F3675" t="s">
        <v>403</v>
      </c>
      <c r="G3675" s="31">
        <v>22.12</v>
      </c>
    </row>
    <row r="3676" spans="1:7" x14ac:dyDescent="0.3">
      <c r="A3676">
        <v>17</v>
      </c>
      <c r="B3676">
        <v>17</v>
      </c>
      <c r="C3676" t="s">
        <v>14</v>
      </c>
      <c r="D3676">
        <v>2.06</v>
      </c>
      <c r="E3676">
        <v>54342.938000000002</v>
      </c>
      <c r="F3676" t="s">
        <v>404</v>
      </c>
      <c r="G3676" s="31">
        <v>62.12</v>
      </c>
    </row>
    <row r="3677" spans="1:7" x14ac:dyDescent="0.3">
      <c r="A3677">
        <v>18</v>
      </c>
      <c r="B3677">
        <v>18</v>
      </c>
      <c r="C3677" t="s">
        <v>15</v>
      </c>
      <c r="D3677">
        <v>2.52</v>
      </c>
      <c r="E3677">
        <v>67331.702999999994</v>
      </c>
      <c r="F3677" t="s">
        <v>405</v>
      </c>
      <c r="G3677" s="31">
        <v>230.95</v>
      </c>
    </row>
    <row r="3678" spans="1:7" x14ac:dyDescent="0.3">
      <c r="A3678">
        <v>19</v>
      </c>
      <c r="B3678">
        <v>19</v>
      </c>
      <c r="C3678" t="s">
        <v>16</v>
      </c>
      <c r="D3678">
        <v>2.73</v>
      </c>
      <c r="E3678">
        <v>11872.633</v>
      </c>
      <c r="F3678" t="s">
        <v>406</v>
      </c>
      <c r="G3678" s="31">
        <v>5.05</v>
      </c>
    </row>
    <row r="3679" spans="1:7" x14ac:dyDescent="0.3">
      <c r="A3679">
        <v>20</v>
      </c>
      <c r="B3679">
        <v>20</v>
      </c>
      <c r="C3679" t="s">
        <v>17</v>
      </c>
      <c r="D3679">
        <v>3.05</v>
      </c>
      <c r="E3679">
        <v>33228.241999999998</v>
      </c>
      <c r="F3679" t="s">
        <v>407</v>
      </c>
      <c r="G3679" s="31">
        <v>48.9</v>
      </c>
    </row>
    <row r="3680" spans="1:7" x14ac:dyDescent="0.3">
      <c r="A3680">
        <v>21</v>
      </c>
      <c r="B3680">
        <v>21</v>
      </c>
      <c r="C3680" t="s">
        <v>18</v>
      </c>
      <c r="D3680">
        <v>3.68</v>
      </c>
      <c r="E3680">
        <v>32222.807000000001</v>
      </c>
      <c r="F3680" t="s">
        <v>408</v>
      </c>
      <c r="G3680" s="31">
        <v>11.04</v>
      </c>
    </row>
    <row r="3681" spans="1:7" x14ac:dyDescent="0.3">
      <c r="A3681">
        <v>22</v>
      </c>
      <c r="B3681">
        <v>22</v>
      </c>
      <c r="C3681" t="s">
        <v>19</v>
      </c>
      <c r="D3681">
        <v>2.65</v>
      </c>
      <c r="E3681">
        <v>66778.625</v>
      </c>
      <c r="F3681" t="s">
        <v>409</v>
      </c>
      <c r="G3681" s="31">
        <v>50.96</v>
      </c>
    </row>
    <row r="3682" spans="1:7" x14ac:dyDescent="0.3">
      <c r="A3682">
        <v>23</v>
      </c>
      <c r="B3682">
        <v>23</v>
      </c>
      <c r="C3682" t="s">
        <v>20</v>
      </c>
      <c r="D3682">
        <v>2.89</v>
      </c>
      <c r="E3682">
        <v>17445.375</v>
      </c>
      <c r="F3682" t="s">
        <v>410</v>
      </c>
      <c r="G3682" s="31">
        <v>8.39</v>
      </c>
    </row>
    <row r="3683" spans="1:7" x14ac:dyDescent="0.3">
      <c r="A3683">
        <v>24</v>
      </c>
      <c r="B3683">
        <v>24</v>
      </c>
      <c r="C3683" t="s">
        <v>21</v>
      </c>
      <c r="D3683">
        <v>4.12</v>
      </c>
      <c r="E3683">
        <v>2062.4070000000002</v>
      </c>
      <c r="F3683" t="s">
        <v>411</v>
      </c>
      <c r="G3683" s="31">
        <v>1.08</v>
      </c>
    </row>
    <row r="3684" spans="1:7" x14ac:dyDescent="0.3">
      <c r="A3684">
        <v>25</v>
      </c>
      <c r="B3684">
        <v>25</v>
      </c>
      <c r="C3684" t="s">
        <v>22</v>
      </c>
      <c r="D3684">
        <v>3.43</v>
      </c>
      <c r="E3684">
        <v>468.74099999999999</v>
      </c>
      <c r="F3684" t="s">
        <v>412</v>
      </c>
      <c r="G3684" s="31">
        <v>39.83</v>
      </c>
    </row>
    <row r="3685" spans="1:7" x14ac:dyDescent="0.3">
      <c r="A3685">
        <v>26</v>
      </c>
      <c r="B3685">
        <v>26</v>
      </c>
      <c r="C3685" t="s">
        <v>23</v>
      </c>
      <c r="D3685">
        <v>3.35</v>
      </c>
      <c r="E3685">
        <v>66494.281000000003</v>
      </c>
      <c r="F3685" t="s">
        <v>413</v>
      </c>
      <c r="G3685" s="31">
        <v>47.59</v>
      </c>
    </row>
    <row r="3686" spans="1:7" x14ac:dyDescent="0.3">
      <c r="A3686">
        <v>27</v>
      </c>
      <c r="B3686">
        <v>27</v>
      </c>
      <c r="C3686" t="s">
        <v>24</v>
      </c>
      <c r="D3686">
        <v>3.45</v>
      </c>
      <c r="E3686">
        <v>2081.0810000000001</v>
      </c>
      <c r="F3686" t="s">
        <v>414</v>
      </c>
      <c r="G3686" s="31">
        <v>11.4</v>
      </c>
    </row>
    <row r="3687" spans="1:7" x14ac:dyDescent="0.3">
      <c r="A3687">
        <v>28</v>
      </c>
      <c r="B3687">
        <v>28</v>
      </c>
      <c r="C3687" t="s">
        <v>25</v>
      </c>
      <c r="D3687">
        <v>3.52</v>
      </c>
      <c r="E3687">
        <v>25482.817999999999</v>
      </c>
      <c r="F3687" t="s">
        <v>415</v>
      </c>
      <c r="G3687" s="31">
        <v>28.21</v>
      </c>
    </row>
    <row r="3688" spans="1:7" x14ac:dyDescent="0.3">
      <c r="A3688">
        <v>29</v>
      </c>
      <c r="B3688">
        <v>29</v>
      </c>
      <c r="C3688" t="s">
        <v>26</v>
      </c>
      <c r="D3688">
        <v>1.06</v>
      </c>
      <c r="E3688">
        <v>3417.2539999999999</v>
      </c>
      <c r="F3688" t="s">
        <v>416</v>
      </c>
      <c r="G3688" s="31">
        <v>25.01</v>
      </c>
    </row>
    <row r="3689" spans="1:7" x14ac:dyDescent="0.3">
      <c r="A3689">
        <v>30</v>
      </c>
      <c r="B3689">
        <v>30</v>
      </c>
      <c r="C3689" t="s">
        <v>27</v>
      </c>
      <c r="D3689">
        <v>4.32</v>
      </c>
      <c r="E3689">
        <v>4945.8969999999999</v>
      </c>
      <c r="F3689" t="s">
        <v>417</v>
      </c>
      <c r="G3689" s="31">
        <v>2.78</v>
      </c>
    </row>
    <row r="3690" spans="1:7" x14ac:dyDescent="0.3">
      <c r="A3690">
        <v>31</v>
      </c>
      <c r="B3690">
        <v>31</v>
      </c>
      <c r="C3690" t="s">
        <v>28</v>
      </c>
      <c r="D3690">
        <v>3</v>
      </c>
      <c r="E3690">
        <v>288001.40600000002</v>
      </c>
      <c r="F3690" t="s">
        <v>418</v>
      </c>
      <c r="G3690" s="31">
        <v>13.37</v>
      </c>
    </row>
    <row r="3691" spans="1:7" x14ac:dyDescent="0.3">
      <c r="A3691">
        <v>32</v>
      </c>
      <c r="B3691">
        <v>32</v>
      </c>
      <c r="C3691" t="s">
        <v>29</v>
      </c>
      <c r="D3691">
        <v>3.35</v>
      </c>
      <c r="E3691">
        <v>2315.9859999999999</v>
      </c>
      <c r="F3691" t="s">
        <v>419</v>
      </c>
      <c r="G3691" s="31">
        <v>2.2999999999999998</v>
      </c>
    </row>
    <row r="3692" spans="1:7" x14ac:dyDescent="0.3">
      <c r="A3692">
        <v>33</v>
      </c>
      <c r="B3692">
        <v>33</v>
      </c>
      <c r="C3692" t="s">
        <v>30</v>
      </c>
      <c r="D3692">
        <v>4.68</v>
      </c>
      <c r="E3692">
        <v>227226.82800000001</v>
      </c>
      <c r="F3692" t="s">
        <v>420</v>
      </c>
      <c r="G3692" s="31">
        <v>31.2</v>
      </c>
    </row>
    <row r="3693" spans="1:7" x14ac:dyDescent="0.3">
      <c r="A3693">
        <v>34</v>
      </c>
      <c r="B3693">
        <v>34</v>
      </c>
      <c r="C3693" t="s">
        <v>31</v>
      </c>
      <c r="D3693">
        <v>3.51</v>
      </c>
      <c r="E3693">
        <v>2941.97</v>
      </c>
      <c r="F3693" t="s">
        <v>421</v>
      </c>
      <c r="G3693" s="31">
        <v>1.95</v>
      </c>
    </row>
    <row r="3694" spans="1:7" x14ac:dyDescent="0.3">
      <c r="A3694">
        <v>35</v>
      </c>
      <c r="B3694">
        <v>35</v>
      </c>
      <c r="C3694" t="s">
        <v>32</v>
      </c>
      <c r="D3694">
        <v>3.06</v>
      </c>
      <c r="E3694">
        <v>786.4</v>
      </c>
      <c r="F3694" t="s">
        <v>422</v>
      </c>
      <c r="G3694" s="31">
        <v>0.84</v>
      </c>
    </row>
    <row r="3695" spans="1:7" x14ac:dyDescent="0.3">
      <c r="A3695">
        <v>36</v>
      </c>
      <c r="B3695">
        <v>36</v>
      </c>
      <c r="C3695" t="s">
        <v>33</v>
      </c>
      <c r="D3695">
        <v>1.93</v>
      </c>
      <c r="E3695">
        <v>2121.7339999999999</v>
      </c>
      <c r="F3695" t="s">
        <v>423</v>
      </c>
      <c r="G3695" s="31">
        <v>10.81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BU115"/>
  <sheetViews>
    <sheetView tabSelected="1" topLeftCell="A3" zoomScale="80" zoomScaleNormal="80" workbookViewId="0">
      <selection activeCell="C14" sqref="C14"/>
    </sheetView>
  </sheetViews>
  <sheetFormatPr defaultRowHeight="14.4" x14ac:dyDescent="0.3"/>
  <cols>
    <col min="2" max="2" width="33.44140625" customWidth="1"/>
    <col min="3" max="3" width="10.6640625" customWidth="1"/>
    <col min="4" max="4" width="14" bestFit="1" customWidth="1"/>
    <col min="5" max="5" width="14" customWidth="1"/>
    <col min="6" max="6" width="36.44140625" customWidth="1"/>
    <col min="7" max="7" width="11.109375" customWidth="1"/>
    <col min="8" max="8" width="14" customWidth="1"/>
    <col min="9" max="9" width="14.33203125" bestFit="1" customWidth="1"/>
    <col min="10" max="12" width="8.44140625" customWidth="1"/>
    <col min="13" max="14" width="8.109375" bestFit="1" customWidth="1"/>
    <col min="15" max="15" width="6.44140625" bestFit="1" customWidth="1"/>
    <col min="16" max="17" width="6.88671875" bestFit="1" customWidth="1"/>
    <col min="18" max="18" width="7.6640625" bestFit="1" customWidth="1"/>
    <col min="19" max="19" width="5.6640625" bestFit="1" customWidth="1"/>
    <col min="20" max="20" width="8.109375" bestFit="1" customWidth="1"/>
    <col min="21" max="24" width="6.88671875" bestFit="1" customWidth="1"/>
    <col min="25" max="25" width="8.88671875" bestFit="1" customWidth="1"/>
    <col min="26" max="26" width="7.33203125" bestFit="1" customWidth="1"/>
    <col min="27" max="29" width="6.88671875" bestFit="1" customWidth="1"/>
    <col min="30" max="30" width="8.109375" bestFit="1" customWidth="1"/>
    <col min="31" max="31" width="5.6640625" bestFit="1" customWidth="1"/>
    <col min="32" max="32" width="7.33203125" bestFit="1" customWidth="1"/>
    <col min="33" max="33" width="6.44140625" bestFit="1" customWidth="1"/>
    <col min="34" max="34" width="6.88671875" bestFit="1" customWidth="1"/>
    <col min="35" max="35" width="6.44140625" bestFit="1" customWidth="1"/>
    <col min="36" max="36" width="5.6640625" bestFit="1" customWidth="1"/>
    <col min="37" max="37" width="8.109375" bestFit="1" customWidth="1"/>
    <col min="38" max="41" width="6.88671875" bestFit="1" customWidth="1"/>
    <col min="42" max="42" width="5.6640625" bestFit="1" customWidth="1"/>
    <col min="43" max="43" width="6.88671875" bestFit="1" customWidth="1"/>
    <col min="44" max="44" width="5.6640625" bestFit="1" customWidth="1"/>
    <col min="45" max="45" width="6.88671875" customWidth="1"/>
    <col min="46" max="47" width="5.6640625" bestFit="1" customWidth="1"/>
    <col min="48" max="48" width="6.44140625" bestFit="1" customWidth="1"/>
    <col min="49" max="49" width="6.44140625" customWidth="1"/>
    <col min="50" max="72" width="6.33203125" customWidth="1"/>
  </cols>
  <sheetData>
    <row r="1" spans="1:73" x14ac:dyDescent="0.3">
      <c r="A1" s="27"/>
      <c r="B1" s="21"/>
      <c r="C1" s="21"/>
      <c r="D1" s="21"/>
      <c r="E1" s="21"/>
      <c r="F1" s="21"/>
      <c r="G1" s="21"/>
      <c r="H1" s="21"/>
      <c r="I1" s="21">
        <f>FIND(" ",I14)</f>
        <v>5</v>
      </c>
      <c r="J1" s="15"/>
      <c r="K1" s="16"/>
      <c r="L1" s="17"/>
      <c r="M1" s="14">
        <v>1</v>
      </c>
      <c r="N1" s="14">
        <v>2</v>
      </c>
      <c r="O1" s="14">
        <v>3</v>
      </c>
      <c r="P1" s="14">
        <v>4</v>
      </c>
      <c r="Q1" s="14">
        <v>5</v>
      </c>
      <c r="R1" s="14">
        <v>6</v>
      </c>
      <c r="S1" s="14">
        <v>7</v>
      </c>
      <c r="T1" s="14">
        <v>8</v>
      </c>
      <c r="U1" s="14">
        <v>9</v>
      </c>
      <c r="V1" s="14">
        <v>10</v>
      </c>
      <c r="W1" s="14">
        <v>11</v>
      </c>
      <c r="X1" s="14">
        <v>12</v>
      </c>
      <c r="Y1" s="14">
        <v>13</v>
      </c>
      <c r="Z1" s="14">
        <v>14</v>
      </c>
      <c r="AA1" s="14">
        <v>15</v>
      </c>
      <c r="AB1" s="14">
        <v>16</v>
      </c>
      <c r="AC1" s="14">
        <v>17</v>
      </c>
      <c r="AD1" s="14">
        <v>18</v>
      </c>
      <c r="AE1" s="14">
        <v>19</v>
      </c>
      <c r="AF1" s="14">
        <v>20</v>
      </c>
      <c r="AG1" s="14">
        <v>21</v>
      </c>
      <c r="AH1" s="14">
        <v>22</v>
      </c>
      <c r="AI1" s="14">
        <v>23</v>
      </c>
      <c r="AJ1" s="14">
        <v>24</v>
      </c>
      <c r="AK1" s="14">
        <v>25</v>
      </c>
      <c r="AL1" s="14">
        <v>26</v>
      </c>
      <c r="AM1" s="14">
        <v>27</v>
      </c>
      <c r="AN1" s="14">
        <v>28</v>
      </c>
      <c r="AO1" s="14">
        <v>29</v>
      </c>
      <c r="AP1" s="14">
        <v>30</v>
      </c>
      <c r="AQ1" s="14">
        <v>31</v>
      </c>
      <c r="AR1" s="14">
        <v>32</v>
      </c>
      <c r="AS1" s="14">
        <v>33</v>
      </c>
      <c r="AT1" s="14">
        <v>34</v>
      </c>
      <c r="AU1" s="14">
        <v>35</v>
      </c>
      <c r="AV1" s="14">
        <v>36</v>
      </c>
      <c r="AW1" s="14"/>
      <c r="AX1" s="14">
        <v>1</v>
      </c>
      <c r="AY1" s="14">
        <v>2</v>
      </c>
      <c r="AZ1" s="14">
        <v>3</v>
      </c>
      <c r="BA1" s="14">
        <v>4</v>
      </c>
      <c r="BB1" s="14">
        <v>5</v>
      </c>
      <c r="BC1" s="14">
        <v>6</v>
      </c>
      <c r="BD1" s="14">
        <v>7</v>
      </c>
      <c r="BE1" s="14">
        <v>8</v>
      </c>
      <c r="BF1" s="14">
        <v>9</v>
      </c>
      <c r="BG1" s="14">
        <v>10</v>
      </c>
      <c r="BH1" s="14">
        <v>11</v>
      </c>
      <c r="BI1" s="14">
        <v>12</v>
      </c>
      <c r="BJ1" s="14">
        <v>13</v>
      </c>
      <c r="BK1" s="14">
        <v>14</v>
      </c>
      <c r="BL1" s="14">
        <v>15</v>
      </c>
      <c r="BM1" s="14">
        <v>16</v>
      </c>
      <c r="BN1" s="14">
        <v>17</v>
      </c>
      <c r="BO1" s="14">
        <v>18</v>
      </c>
      <c r="BP1" s="14">
        <v>19</v>
      </c>
      <c r="BQ1" s="14">
        <v>20</v>
      </c>
      <c r="BR1" s="14">
        <v>21</v>
      </c>
      <c r="BS1" s="14">
        <v>22</v>
      </c>
      <c r="BT1" s="14">
        <v>23</v>
      </c>
    </row>
    <row r="2" spans="1:73" ht="241.2" customHeight="1" x14ac:dyDescent="0.3">
      <c r="A2" s="26" t="s">
        <v>62</v>
      </c>
      <c r="B2" s="20" t="s">
        <v>34</v>
      </c>
      <c r="C2" s="20" t="s">
        <v>61</v>
      </c>
      <c r="D2" s="20" t="s">
        <v>49</v>
      </c>
      <c r="E2" s="26" t="s">
        <v>62</v>
      </c>
      <c r="F2" s="20" t="s">
        <v>34</v>
      </c>
      <c r="G2" s="20" t="s">
        <v>61</v>
      </c>
      <c r="H2" s="25" t="s">
        <v>49</v>
      </c>
      <c r="I2" s="26" t="s">
        <v>378</v>
      </c>
      <c r="J2" s="10" t="s">
        <v>374</v>
      </c>
      <c r="K2" s="10" t="s">
        <v>375</v>
      </c>
      <c r="L2" s="30" t="s">
        <v>376</v>
      </c>
      <c r="M2" s="10" t="s">
        <v>0</v>
      </c>
      <c r="N2" s="10" t="s">
        <v>1</v>
      </c>
      <c r="O2" s="10" t="s">
        <v>50</v>
      </c>
      <c r="P2" s="10" t="s">
        <v>2</v>
      </c>
      <c r="Q2" s="10" t="s">
        <v>3</v>
      </c>
      <c r="R2" s="10" t="s">
        <v>4</v>
      </c>
      <c r="S2" s="10" t="s">
        <v>5</v>
      </c>
      <c r="T2" s="10" t="s">
        <v>6</v>
      </c>
      <c r="U2" s="10" t="s">
        <v>7</v>
      </c>
      <c r="V2" s="10" t="s">
        <v>51</v>
      </c>
      <c r="W2" s="10" t="s">
        <v>8</v>
      </c>
      <c r="X2" s="10" t="s">
        <v>9</v>
      </c>
      <c r="Y2" s="10" t="s">
        <v>10</v>
      </c>
      <c r="Z2" s="10" t="s">
        <v>11</v>
      </c>
      <c r="AA2" s="10" t="s">
        <v>12</v>
      </c>
      <c r="AB2" s="10" t="s">
        <v>13</v>
      </c>
      <c r="AC2" s="10" t="s">
        <v>14</v>
      </c>
      <c r="AD2" s="10" t="s">
        <v>15</v>
      </c>
      <c r="AE2" s="10" t="s">
        <v>16</v>
      </c>
      <c r="AF2" s="10" t="s">
        <v>17</v>
      </c>
      <c r="AG2" s="10" t="s">
        <v>18</v>
      </c>
      <c r="AH2" s="10" t="s">
        <v>19</v>
      </c>
      <c r="AI2" s="10" t="s">
        <v>20</v>
      </c>
      <c r="AJ2" s="10" t="s">
        <v>21</v>
      </c>
      <c r="AK2" s="10" t="s">
        <v>22</v>
      </c>
      <c r="AL2" s="10" t="s">
        <v>23</v>
      </c>
      <c r="AM2" s="10" t="s">
        <v>24</v>
      </c>
      <c r="AN2" s="10" t="s">
        <v>25</v>
      </c>
      <c r="AO2" s="10" t="s">
        <v>26</v>
      </c>
      <c r="AP2" s="10" t="s">
        <v>27</v>
      </c>
      <c r="AQ2" s="10" t="s">
        <v>28</v>
      </c>
      <c r="AR2" s="10" t="s">
        <v>29</v>
      </c>
      <c r="AS2" s="10" t="s">
        <v>30</v>
      </c>
      <c r="AT2" s="10" t="s">
        <v>31</v>
      </c>
      <c r="AU2" s="10" t="s">
        <v>32</v>
      </c>
      <c r="AV2" s="10" t="s">
        <v>33</v>
      </c>
      <c r="AW2" s="11" t="s">
        <v>377</v>
      </c>
      <c r="AX2" s="12" t="s">
        <v>35</v>
      </c>
      <c r="AY2" s="10" t="s">
        <v>36</v>
      </c>
      <c r="AZ2" s="10" t="s">
        <v>37</v>
      </c>
      <c r="BA2" s="10" t="s">
        <v>38</v>
      </c>
      <c r="BB2" s="10" t="s">
        <v>39</v>
      </c>
      <c r="BC2" s="10" t="s">
        <v>40</v>
      </c>
      <c r="BD2" s="10" t="s">
        <v>41</v>
      </c>
      <c r="BE2" s="10" t="s">
        <v>42</v>
      </c>
      <c r="BF2" s="10" t="s">
        <v>43</v>
      </c>
      <c r="BG2" s="10" t="s">
        <v>52</v>
      </c>
      <c r="BH2" s="10" t="s">
        <v>44</v>
      </c>
      <c r="BI2" s="10" t="s">
        <v>45</v>
      </c>
      <c r="BJ2" s="10" t="s">
        <v>46</v>
      </c>
      <c r="BK2" s="10" t="s">
        <v>47</v>
      </c>
      <c r="BL2" s="10" t="s">
        <v>48</v>
      </c>
      <c r="BM2" s="10" t="s">
        <v>53</v>
      </c>
      <c r="BN2" s="10" t="s">
        <v>54</v>
      </c>
      <c r="BO2" s="10" t="s">
        <v>55</v>
      </c>
      <c r="BP2" s="10" t="s">
        <v>56</v>
      </c>
      <c r="BQ2" s="10" t="s">
        <v>57</v>
      </c>
      <c r="BR2" s="10" t="s">
        <v>58</v>
      </c>
      <c r="BS2" s="10" t="s">
        <v>59</v>
      </c>
      <c r="BT2" s="13" t="s">
        <v>60</v>
      </c>
      <c r="BU2" s="7"/>
    </row>
    <row r="3" spans="1:73" x14ac:dyDescent="0.3">
      <c r="A3" s="1">
        <v>5</v>
      </c>
      <c r="B3" s="3" t="str">
        <f>IFERROR(MID(INDEX(Base!A$1:A$2500,Calcoli!A3),47,LEN(INDEX(Base!A$1:A$2500,Calcoli!A3))-41),"")</f>
        <v xml:space="preserve"> - Atlantis - 100325</v>
      </c>
      <c r="C3" s="5" t="str">
        <f>MID(INDEX(Base!A$1:A$2500,Calcoli!$A3),42,4)</f>
        <v xml:space="preserve">Std </v>
      </c>
      <c r="D3" s="5" t="str">
        <f>MID(INDEX(Base!A$1:A$2500,Calcoli!A3),13,11)</f>
        <v xml:space="preserve"> 31_03_2025</v>
      </c>
      <c r="E3" s="4">
        <v>5</v>
      </c>
      <c r="F3" s="3" t="str">
        <f>IFERROR(MID(INDEX(Base!L$1:L$2500,Calcoli!E3),47,LEN(INDEX(Base!L$1:L$2500,Calcoli!E3))-41),"")</f>
        <v xml:space="preserve"> - TCA - 100325</v>
      </c>
      <c r="G3" s="5" t="str">
        <f>MID(INDEX(Base!L$1:L$2500,Calcoli!$E3),42,4)</f>
        <v xml:space="preserve">Std </v>
      </c>
      <c r="H3" s="5" t="str">
        <f>MID(INDEX(Base!L$1:L$2500,Calcoli!E3),13,11)</f>
        <v xml:space="preserve"> 01_04_2025</v>
      </c>
      <c r="I3" s="6" t="str">
        <f xml:space="preserve"> IFERROR(MID(INDEX(Base!$V$3:$AB$60,MATCH($F3,Base!$Z$3:$Z$160,0),1),1,14),"")</f>
        <v/>
      </c>
      <c r="J3" s="6" t="str">
        <f xml:space="preserve"> IFERROR(INDEX(Base!$V$3:$AB$160,MATCH($F3,Base!$Z$3:$Z$160,0),2),"")</f>
        <v/>
      </c>
      <c r="K3" s="6" t="str">
        <f xml:space="preserve"> IFERROR(INDEX(Base!$V$3:$AB$160,MATCH($F3,Base!$Z$3:$Z$160,0),3),"")</f>
        <v/>
      </c>
      <c r="L3" s="28" t="str">
        <f xml:space="preserve"> IFERROR(INDEX(Base!$V$3:$AB$160,MATCH($F3,Base!$Z$3:$Z$160,0),4),"")</f>
        <v/>
      </c>
      <c r="M3">
        <f>IF(M$1&lt;&gt;"",INDEX(Base!$G$1:$G$2500,$A3+M$1+2),"")</f>
        <v>1.85</v>
      </c>
      <c r="N3">
        <f>IF(N$1&lt;&gt;"",INDEX(Base!$G$1:$G$2500,$A3+N$1+2),"")</f>
        <v>12.16</v>
      </c>
      <c r="O3">
        <f>IF(O$1&lt;&gt;"",INDEX(Base!$G$1:$G$2500,$A3+O$1+2),"")</f>
        <v>1.1100000000000001</v>
      </c>
      <c r="P3">
        <f>IF(P$1&lt;&gt;"",INDEX(Base!$G$1:$G$2500,$A3+P$1+2),"")</f>
        <v>0.8</v>
      </c>
      <c r="Q3">
        <f>IF(Q$1&lt;&gt;"",INDEX(Base!$G$1:$G$2500,$A3+Q$1+2),"")</f>
        <v>0.1</v>
      </c>
      <c r="R3">
        <f>IF(R$1&lt;&gt;"",INDEX(Base!$G$1:$G$2500,$A3+R$1+2),"")</f>
        <v>0.1</v>
      </c>
      <c r="S3">
        <f>IF(S$1&lt;&gt;"",INDEX(Base!$G$1:$G$2500,$A3+S$1+2),"")</f>
        <v>0.09</v>
      </c>
      <c r="T3">
        <f>IF(T$1&lt;&gt;"",INDEX(Base!$G$1:$G$2500,$A3+T$1+2),"")</f>
        <v>0.1</v>
      </c>
      <c r="U3">
        <f>IF(U$1&lt;&gt;"",INDEX(Base!$G$1:$G$2500,$A3+U$1+2),"")</f>
        <v>1.24</v>
      </c>
      <c r="V3">
        <f>IF(V$1&lt;&gt;"",INDEX(Base!$G$1:$G$2500,$A3+V$1+2),"")</f>
        <v>0.36</v>
      </c>
      <c r="W3">
        <f>IF(W$1&lt;&gt;"",INDEX(Base!$G$1:$G$2500,$A3+W$1+2),"")</f>
        <v>0.1</v>
      </c>
      <c r="X3">
        <f>IF(X$1&lt;&gt;"",INDEX(Base!$G$1:$G$2500,$A3+X$1+2),"")</f>
        <v>2.74</v>
      </c>
      <c r="Y3">
        <f>IF(Y$1&lt;&gt;"",INDEX(Base!$G$1:$G$2500,$A3+Y$1+2),"")</f>
        <v>0.1</v>
      </c>
      <c r="Z3">
        <f>IF(Z$1&lt;&gt;"",INDEX(Base!$G$1:$G$2500,$A3+Z$1+2),"")</f>
        <v>0.1</v>
      </c>
      <c r="AA3">
        <f>IF(AA$1&lt;&gt;"",INDEX(Base!$G$1:$G$2500,$A3+AA$1+2),"")</f>
        <v>1.64</v>
      </c>
      <c r="AB3">
        <f>IF(AB$1&lt;&gt;"",INDEX(Base!$G$1:$G$2500,$A3+AB$1+2),"")</f>
        <v>0.1</v>
      </c>
      <c r="AC3">
        <f>IF(AC$1&lt;&gt;"",INDEX(Base!$G$1:$G$2500,$A3+AC$1+2),"")</f>
        <v>3.24</v>
      </c>
      <c r="AD3">
        <f>IF(AD$1&lt;&gt;"",INDEX(Base!$G$1:$G$2500,$A3+AD$1+2),"")</f>
        <v>10.29</v>
      </c>
      <c r="AE3">
        <f>IF(AE$1&lt;&gt;"",INDEX(Base!$G$1:$G$2500,$A3+AE$1+2),"")</f>
        <v>0.3</v>
      </c>
      <c r="AF3">
        <f>IF(AF$1&lt;&gt;"",INDEX(Base!$G$1:$G$2500,$A3+AF$1+2),"")</f>
        <v>0.16</v>
      </c>
      <c r="AG3">
        <f>IF(AG$1&lt;&gt;"",INDEX(Base!$G$1:$G$2500,$A3+AG$1+2),"")</f>
        <v>0.08</v>
      </c>
      <c r="AH3">
        <f>IF(AH$1&lt;&gt;"",INDEX(Base!$G$1:$G$2500,$A3+AH$1+2),"")</f>
        <v>0.1</v>
      </c>
      <c r="AI3">
        <f>IF(AI$1&lt;&gt;"",INDEX(Base!$G$1:$G$2500,$A3+AI$1+2),"")</f>
        <v>0.1</v>
      </c>
      <c r="AJ3">
        <f>IF(AJ$1&lt;&gt;"",INDEX(Base!$G$1:$G$2500,$A3+AJ$1+2),"")</f>
        <v>0.1</v>
      </c>
      <c r="AK3">
        <f>IF(AK$1&lt;&gt;"",INDEX(Base!$G$1:$G$2500,$A3+AK$1+2),"")</f>
        <v>22</v>
      </c>
      <c r="AL3">
        <f>IF(AL$1&lt;&gt;"",INDEX(Base!$G$1:$G$2500,$A3+AL$1+2),"")</f>
        <v>0.1</v>
      </c>
      <c r="AM3">
        <f>IF(AM$1&lt;&gt;"",INDEX(Base!$G$1:$G$2500,$A3+AM$1+2),"")</f>
        <v>0.1</v>
      </c>
      <c r="AN3">
        <f>IF(AN$1&lt;&gt;"",INDEX(Base!$G$1:$G$2500,$A3+AN$1+2),"")</f>
        <v>0.1</v>
      </c>
      <c r="AO3">
        <f>IF(AO$1&lt;&gt;"",INDEX(Base!$G$1:$G$2500,$A3+AO$1+2),"")</f>
        <v>0.1</v>
      </c>
      <c r="AP3">
        <f>IF(AP$1&lt;&gt;"",INDEX(Base!$G$1:$G$2500,$A3+AP$1+2),"")</f>
        <v>0.14000000000000001</v>
      </c>
      <c r="AQ3">
        <f>IF(AQ$1&lt;&gt;"",INDEX(Base!$G$1:$G$2500,$A3+AQ$1+2),"")</f>
        <v>0.1</v>
      </c>
      <c r="AR3">
        <f>IF(AR$1&lt;&gt;"",INDEX(Base!$G$1:$G$2500,$A3+AR$1+2),"")</f>
        <v>0.1</v>
      </c>
      <c r="AS3">
        <f>IF(AS$1&lt;&gt;"",INDEX(Base!$G$1:$G$2500,$A3+AS$1+2),"")</f>
        <v>3.35</v>
      </c>
      <c r="AT3">
        <f>IF(AT$1&lt;&gt;"",INDEX(Base!$G$1:$G$2500,$A3+AT$1+2),"")</f>
        <v>0.12</v>
      </c>
      <c r="AU3">
        <f>IF(AU$1&lt;&gt;"",INDEX(Base!$G$1:$G$2500,$A3+AU$1+2),"")</f>
        <v>0.1</v>
      </c>
      <c r="AV3">
        <f>IF(AV$1&lt;&gt;"",INDEX(Base!$G$1:$G$2500,$A3+AV$1+2),"")</f>
        <v>0.15</v>
      </c>
      <c r="AW3" s="8">
        <f t="shared" ref="AW3:AW67" si="0">IFERROR(Z3/AB3,0)</f>
        <v>1</v>
      </c>
      <c r="AX3">
        <f>IF(AX$1&lt;&gt;"",INDEX(Base!$R$1:$R$2500,$E3+AX$1+2),"")</f>
        <v>0.1</v>
      </c>
      <c r="AY3">
        <f>IF(AY$1&lt;&gt;"",INDEX(Base!$R$1:$R$2500,$E3+AY$1+2),"")</f>
        <v>427.75</v>
      </c>
      <c r="AZ3">
        <f>IF(AZ$1&lt;&gt;"",INDEX(Base!$R$1:$R$2500,$E3+AZ$1+2),"")</f>
        <v>0.1</v>
      </c>
      <c r="BA3">
        <f>IF(BA$1&lt;&gt;"",INDEX(Base!$R$1:$R$2500,$E3+BA$1+2),"")</f>
        <v>0.84</v>
      </c>
      <c r="BB3">
        <f>IF(BB$1&lt;&gt;"",INDEX(Base!$R$1:$R$2500,$E3+BB$1+2),"")</f>
        <v>45.84</v>
      </c>
      <c r="BC3">
        <f>IF(BC$1&lt;&gt;"",INDEX(Base!$R$1:$R$2500,$E3+BC$1+2),"")</f>
        <v>0.1</v>
      </c>
      <c r="BD3">
        <f>IF(BD$1&lt;&gt;"",INDEX(Base!$R$1:$R$2500,$E3+BD$1+2),"")</f>
        <v>1.53</v>
      </c>
      <c r="BE3">
        <f>IF(BE$1&lt;&gt;"",INDEX(Base!$R$1:$R$2500,$E3+BE$1+2),"")</f>
        <v>0.1</v>
      </c>
      <c r="BF3">
        <f>IF(BF$1&lt;&gt;"",INDEX(Base!$R$1:$R$2500,$E3+BF$1+2),"")</f>
        <v>0.12</v>
      </c>
      <c r="BG3">
        <f>IF(BG$1&lt;&gt;"",INDEX(Base!$R$1:$R$2500,$E3+BG$1+2),"")</f>
        <v>0.1</v>
      </c>
      <c r="BH3">
        <f>IF(BH$1&lt;&gt;"",INDEX(Base!$R$1:$R$2500,$E3+BH$1+2),"")</f>
        <v>0.1</v>
      </c>
      <c r="BI3">
        <f>IF(BI$1&lt;&gt;"",INDEX(Base!$R$1:$R$2500,$E3+BI$1+2),"")</f>
        <v>0.1</v>
      </c>
      <c r="BJ3">
        <f>IF(BJ$1&lt;&gt;"",INDEX(Base!$R$1:$R$2500,$E3+BJ$1+2),"")</f>
        <v>0.1</v>
      </c>
      <c r="BK3">
        <f>IF(BK$1&lt;&gt;"",INDEX(Base!$R$1:$R$2500,$E3+BK$1+2),"")</f>
        <v>0.1</v>
      </c>
      <c r="BL3">
        <f>IF(BL$1&lt;&gt;"",INDEX(Base!$R$1:$R$2500,$E3+BL$1+2),"")</f>
        <v>0.1</v>
      </c>
      <c r="BM3">
        <f>IF(BM$1&lt;&gt;"",INDEX(Base!$R$1:$R$2500,$E3+BM$1+2),"")</f>
        <v>0.1</v>
      </c>
      <c r="BN3">
        <f>IF(BN$1&lt;&gt;"",INDEX(Base!$R$1:$R$2500,$E3+BN$1+2),"")</f>
        <v>0.1</v>
      </c>
      <c r="BO3">
        <f>IF(BO$1&lt;&gt;"",INDEX(Base!$R$1:$R$2500,$E3+BO$1+2),"")</f>
        <v>0.1</v>
      </c>
      <c r="BP3">
        <f>IF(BP$1&lt;&gt;"",INDEX(Base!$R$1:$R$2500,$E3+BP$1+2),"")</f>
        <v>0.1</v>
      </c>
      <c r="BQ3">
        <f>IF(BQ$1&lt;&gt;"",INDEX(Base!$R$1:$R$2500,$E3+BQ$1+2),"")</f>
        <v>0.1</v>
      </c>
      <c r="BR3">
        <f>IF(BR$1&lt;&gt;"",INDEX(Base!$R$1:$R$2500,$E3+BR$1+2),"")</f>
        <v>0.1</v>
      </c>
      <c r="BS3">
        <f>IF(BS$1&lt;&gt;"",INDEX(Base!$R$1:$R$2500,$E3+BS$1+2),"")</f>
        <v>0.1</v>
      </c>
      <c r="BT3">
        <f>IF(BT$1&lt;&gt;"",INDEX(Base!$R$1:$R$2500,$E3+BT$1+2),"")</f>
        <v>2.06</v>
      </c>
    </row>
    <row r="4" spans="1:73" x14ac:dyDescent="0.3">
      <c r="A4" s="2">
        <f>+A3+44</f>
        <v>49</v>
      </c>
      <c r="B4" s="3" t="str">
        <f>IFERROR(MID(INDEX(Base!A$1:A$2500,Calcoli!A4),47,LEN(INDEX(Base!A$1:A$2500,Calcoli!A4))-41),"")</f>
        <v xml:space="preserve"> - Atlantis - 100325</v>
      </c>
      <c r="C4" s="5" t="str">
        <f>MID(INDEX(Base!A$1:A$2500,Calcoli!$A4),42,4)</f>
        <v xml:space="preserve">Std </v>
      </c>
      <c r="D4" s="5" t="str">
        <f>MID(INDEX(Base!A$1:A$2500,Calcoli!A4),13,11)</f>
        <v xml:space="preserve"> 31_03_2025</v>
      </c>
      <c r="E4" s="4">
        <f>+E3+31</f>
        <v>36</v>
      </c>
      <c r="F4" s="3" t="str">
        <f>IFERROR(MID(INDEX(Base!L$1:L$2500,Calcoli!E4),47,LEN(INDEX(Base!L$1:L$2500,Calcoli!E4))-41),"")</f>
        <v xml:space="preserve"> - TCA - 100325</v>
      </c>
      <c r="G4" s="5" t="str">
        <f>MID(INDEX(Base!L$1:L$2500,Calcoli!$E4),42,4)</f>
        <v xml:space="preserve">Std </v>
      </c>
      <c r="H4" s="5" t="str">
        <f>MID(INDEX(Base!L$1:L$2500,Calcoli!E4),13,11)</f>
        <v xml:space="preserve"> 01_04_2025</v>
      </c>
      <c r="I4" s="6" t="str">
        <f xml:space="preserve"> IFERROR(MID(INDEX(Base!$V$3:$AB$60,MATCH($F4,Base!$Z$3:$Z$160,0),1),1,14),"")</f>
        <v/>
      </c>
      <c r="J4" s="6" t="str">
        <f xml:space="preserve"> IFERROR(INDEX(Base!$V$3:$AB$160,MATCH($F4,Base!$Z$3:$Z$160,0),2),"")</f>
        <v/>
      </c>
      <c r="K4" s="6" t="str">
        <f xml:space="preserve"> IFERROR(INDEX(Base!$V$3:$AB$160,MATCH($F4,Base!$Z$3:$Z$160,0),3),"")</f>
        <v/>
      </c>
      <c r="L4" s="28" t="str">
        <f xml:space="preserve"> IFERROR(INDEX(Base!$V$3:$AB$160,MATCH($F4,Base!$Z$3:$Z$160,0),4),"")</f>
        <v/>
      </c>
      <c r="M4">
        <f>IF(M$1&lt;&gt;"",INDEX(Base!$G$1:$G$2500,$A4+M$1+2),"")</f>
        <v>103.14</v>
      </c>
      <c r="N4">
        <f>IF(N$1&lt;&gt;"",INDEX(Base!$G$1:$G$2500,$A4+N$1+2),"")</f>
        <v>25.97</v>
      </c>
      <c r="O4">
        <f>IF(O$1&lt;&gt;"",INDEX(Base!$G$1:$G$2500,$A4+O$1+2),"")</f>
        <v>2.77</v>
      </c>
      <c r="P4">
        <f>IF(P$1&lt;&gt;"",INDEX(Base!$G$1:$G$2500,$A4+P$1+2),"")</f>
        <v>6.04</v>
      </c>
      <c r="Q4">
        <f>IF(Q$1&lt;&gt;"",INDEX(Base!$G$1:$G$2500,$A4+Q$1+2),"")</f>
        <v>12.58</v>
      </c>
      <c r="R4">
        <f>IF(R$1&lt;&gt;"",INDEX(Base!$G$1:$G$2500,$A4+R$1+2),"")</f>
        <v>12.77</v>
      </c>
      <c r="S4">
        <f>IF(S$1&lt;&gt;"",INDEX(Base!$G$1:$G$2500,$A4+S$1+2),"")</f>
        <v>0.56000000000000005</v>
      </c>
      <c r="T4">
        <f>IF(T$1&lt;&gt;"",INDEX(Base!$G$1:$G$2500,$A4+T$1+2),"")</f>
        <v>54.08</v>
      </c>
      <c r="U4">
        <f>IF(U$1&lt;&gt;"",INDEX(Base!$G$1:$G$2500,$A4+U$1+2),"")</f>
        <v>11.78</v>
      </c>
      <c r="V4">
        <f>IF(V$1&lt;&gt;"",INDEX(Base!$G$1:$G$2500,$A4+V$1+2),"")</f>
        <v>1.1599999999999999</v>
      </c>
      <c r="W4">
        <f>IF(W$1&lt;&gt;"",INDEX(Base!$G$1:$G$2500,$A4+W$1+2),"")</f>
        <v>6.33</v>
      </c>
      <c r="X4">
        <f>IF(X$1&lt;&gt;"",INDEX(Base!$G$1:$G$2500,$A4+X$1+2),"")</f>
        <v>6.8</v>
      </c>
      <c r="Y4">
        <f>IF(Y$1&lt;&gt;"",INDEX(Base!$G$1:$G$2500,$A4+Y$1+2),"")</f>
        <v>202.32</v>
      </c>
      <c r="Z4">
        <f>IF(Z$1&lt;&gt;"",INDEX(Base!$G$1:$G$2500,$A4+Z$1+2),"")</f>
        <v>12.56</v>
      </c>
      <c r="AA4">
        <f>IF(AA$1&lt;&gt;"",INDEX(Base!$G$1:$G$2500,$A4+AA$1+2),"")</f>
        <v>6.55</v>
      </c>
      <c r="AB4">
        <f>IF(AB$1&lt;&gt;"",INDEX(Base!$G$1:$G$2500,$A4+AB$1+2),"")</f>
        <v>6.46</v>
      </c>
      <c r="AC4">
        <f>IF(AC$1&lt;&gt;"",INDEX(Base!$G$1:$G$2500,$A4+AC$1+2),"")</f>
        <v>12.63</v>
      </c>
      <c r="AD4">
        <f>IF(AD$1&lt;&gt;"",INDEX(Base!$G$1:$G$2500,$A4+AD$1+2),"")</f>
        <v>48.89</v>
      </c>
      <c r="AE4">
        <f>IF(AE$1&lt;&gt;"",INDEX(Base!$G$1:$G$2500,$A4+AE$1+2),"")</f>
        <v>1.34</v>
      </c>
      <c r="AF4">
        <f>IF(AF$1&lt;&gt;"",INDEX(Base!$G$1:$G$2500,$A4+AF$1+2),"")</f>
        <v>12.99</v>
      </c>
      <c r="AG4">
        <f>IF(AG$1&lt;&gt;"",INDEX(Base!$G$1:$G$2500,$A4+AG$1+2),"")</f>
        <v>2.4300000000000002</v>
      </c>
      <c r="AH4">
        <f>IF(AH$1&lt;&gt;"",INDEX(Base!$G$1:$G$2500,$A4+AH$1+2),"")</f>
        <v>13.17</v>
      </c>
      <c r="AI4">
        <f>IF(AI$1&lt;&gt;"",INDEX(Base!$G$1:$G$2500,$A4+AI$1+2),"")</f>
        <v>2.68</v>
      </c>
      <c r="AJ4">
        <f>IF(AJ$1&lt;&gt;"",INDEX(Base!$G$1:$G$2500,$A4+AJ$1+2),"")</f>
        <v>0.26</v>
      </c>
      <c r="AK4">
        <f>IF(AK$1&lt;&gt;"",INDEX(Base!$G$1:$G$2500,$A4+AK$1+2),"")</f>
        <v>25.21</v>
      </c>
      <c r="AL4">
        <f>IF(AL$1&lt;&gt;"",INDEX(Base!$G$1:$G$2500,$A4+AL$1+2),"")</f>
        <v>12.22</v>
      </c>
      <c r="AM4">
        <f>IF(AM$1&lt;&gt;"",INDEX(Base!$G$1:$G$2500,$A4+AM$1+2),"")</f>
        <v>0.9</v>
      </c>
      <c r="AN4">
        <f>IF(AN$1&lt;&gt;"",INDEX(Base!$G$1:$G$2500,$A4+AN$1+2),"")</f>
        <v>6.38</v>
      </c>
      <c r="AO4">
        <f>IF(AO$1&lt;&gt;"",INDEX(Base!$G$1:$G$2500,$A4+AO$1+2),"")</f>
        <v>6.26</v>
      </c>
      <c r="AP4">
        <f>IF(AP$1&lt;&gt;"",INDEX(Base!$G$1:$G$2500,$A4+AP$1+2),"")</f>
        <v>0.67</v>
      </c>
      <c r="AQ4">
        <f>IF(AQ$1&lt;&gt;"",INDEX(Base!$G$1:$G$2500,$A4+AQ$1+2),"")</f>
        <v>2.93</v>
      </c>
      <c r="AR4">
        <f>IF(AR$1&lt;&gt;"",INDEX(Base!$G$1:$G$2500,$A4+AR$1+2),"")</f>
        <v>0.66</v>
      </c>
      <c r="AS4">
        <f>IF(AS$1&lt;&gt;"",INDEX(Base!$G$1:$G$2500,$A4+AS$1+2),"")</f>
        <v>6.98</v>
      </c>
      <c r="AT4">
        <f>IF(AT$1&lt;&gt;"",INDEX(Base!$G$1:$G$2500,$A4+AT$1+2),"")</f>
        <v>0.53</v>
      </c>
      <c r="AU4">
        <f>IF(AU$1&lt;&gt;"",INDEX(Base!$G$1:$G$2500,$A4+AU$1+2),"")</f>
        <v>0.28000000000000003</v>
      </c>
      <c r="AV4">
        <f>IF(AV$1&lt;&gt;"",INDEX(Base!$G$1:$G$2500,$A4+AV$1+2),"")</f>
        <v>2.33</v>
      </c>
      <c r="AW4" s="8">
        <f t="shared" si="0"/>
        <v>1.9442724458204335</v>
      </c>
      <c r="AX4">
        <f>IF(AX$1&lt;&gt;"",INDEX(Base!$R$1:$R$2500,$E4+AX$1+2),"")</f>
        <v>151.83000000000001</v>
      </c>
      <c r="AY4">
        <f>IF(AY$1&lt;&gt;"",INDEX(Base!$R$1:$R$2500,$E4+AY$1+2),"")</f>
        <v>738.37</v>
      </c>
      <c r="AZ4">
        <f>IF(AZ$1&lt;&gt;"",INDEX(Base!$R$1:$R$2500,$E4+AZ$1+2),"")</f>
        <v>3.06</v>
      </c>
      <c r="BA4">
        <f>IF(BA$1&lt;&gt;"",INDEX(Base!$R$1:$R$2500,$E4+BA$1+2),"")</f>
        <v>3.33</v>
      </c>
      <c r="BB4">
        <f>IF(BB$1&lt;&gt;"",INDEX(Base!$R$1:$R$2500,$E4+BB$1+2),"")</f>
        <v>103.49</v>
      </c>
      <c r="BC4">
        <f>IF(BC$1&lt;&gt;"",INDEX(Base!$R$1:$R$2500,$E4+BC$1+2),"")</f>
        <v>6.27</v>
      </c>
      <c r="BD4">
        <f>IF(BD$1&lt;&gt;"",INDEX(Base!$R$1:$R$2500,$E4+BD$1+2),"")</f>
        <v>12.08</v>
      </c>
      <c r="BE4">
        <f>IF(BE$1&lt;&gt;"",INDEX(Base!$R$1:$R$2500,$E4+BE$1+2),"")</f>
        <v>205.22</v>
      </c>
      <c r="BF4">
        <f>IF(BF$1&lt;&gt;"",INDEX(Base!$R$1:$R$2500,$E4+BF$1+2),"")</f>
        <v>1.31</v>
      </c>
      <c r="BG4">
        <f>IF(BG$1&lt;&gt;"",INDEX(Base!$R$1:$R$2500,$E4+BG$1+2),"")</f>
        <v>15.49</v>
      </c>
      <c r="BH4">
        <f>IF(BH$1&lt;&gt;"",INDEX(Base!$R$1:$R$2500,$E4+BH$1+2),"")</f>
        <v>1.29</v>
      </c>
      <c r="BI4">
        <f>IF(BI$1&lt;&gt;"",INDEX(Base!$R$1:$R$2500,$E4+BI$1+2),"")</f>
        <v>175.46</v>
      </c>
      <c r="BJ4">
        <f>IF(BJ$1&lt;&gt;"",INDEX(Base!$R$1:$R$2500,$E4+BJ$1+2),"")</f>
        <v>48.54</v>
      </c>
      <c r="BK4">
        <f>IF(BK$1&lt;&gt;"",INDEX(Base!$R$1:$R$2500,$E4+BK$1+2),"")</f>
        <v>57.03</v>
      </c>
      <c r="BL4">
        <f>IF(BL$1&lt;&gt;"",INDEX(Base!$R$1:$R$2500,$E4+BL$1+2),"")</f>
        <v>30.42</v>
      </c>
      <c r="BM4">
        <f>IF(BM$1&lt;&gt;"",INDEX(Base!$R$1:$R$2500,$E4+BM$1+2),"")</f>
        <v>5.3</v>
      </c>
      <c r="BN4">
        <f>IF(BN$1&lt;&gt;"",INDEX(Base!$R$1:$R$2500,$E4+BN$1+2),"")</f>
        <v>0.08</v>
      </c>
      <c r="BO4">
        <f>IF(BO$1&lt;&gt;"",INDEX(Base!$R$1:$R$2500,$E4+BO$1+2),"")</f>
        <v>0.19</v>
      </c>
      <c r="BP4">
        <f>IF(BP$1&lt;&gt;"",INDEX(Base!$R$1:$R$2500,$E4+BP$1+2),"")</f>
        <v>27.12</v>
      </c>
      <c r="BQ4">
        <f>IF(BQ$1&lt;&gt;"",INDEX(Base!$R$1:$R$2500,$E4+BQ$1+2),"")</f>
        <v>1.24</v>
      </c>
      <c r="BR4">
        <f>IF(BR$1&lt;&gt;"",INDEX(Base!$R$1:$R$2500,$E4+BR$1+2),"")</f>
        <v>0.28000000000000003</v>
      </c>
      <c r="BS4">
        <f>IF(BS$1&lt;&gt;"",INDEX(Base!$R$1:$R$2500,$E4+BS$1+2),"")</f>
        <v>15.07</v>
      </c>
      <c r="BT4">
        <f>IF(BT$1&lt;&gt;"",INDEX(Base!$R$1:$R$2500,$E4+BT$1+2),"")</f>
        <v>12.23</v>
      </c>
    </row>
    <row r="5" spans="1:73" x14ac:dyDescent="0.3">
      <c r="A5" s="2">
        <f>+A4+44</f>
        <v>93</v>
      </c>
      <c r="B5" s="3" t="str">
        <f>IFERROR(MID(INDEX(Base!A$1:A$2500,Calcoli!A5),47,LEN(INDEX(Base!A$1:A$2500,Calcoli!A5))-41),"")</f>
        <v xml:space="preserve"> - Atlantis - 100325</v>
      </c>
      <c r="C5" s="5" t="str">
        <f>MID(INDEX(Base!A$1:A$2500,Calcoli!$A5),42,4)</f>
        <v xml:space="preserve">Std </v>
      </c>
      <c r="D5" s="5" t="str">
        <f>MID(INDEX(Base!A$1:A$2500,Calcoli!A5),13,11)</f>
        <v xml:space="preserve"> 31_03_2025</v>
      </c>
      <c r="E5" s="4">
        <f>+E4+31</f>
        <v>67</v>
      </c>
      <c r="F5" s="3" t="str">
        <f>IFERROR(MID(INDEX(Base!L$1:L$2500,Calcoli!E5),47,LEN(INDEX(Base!L$1:L$2500,Calcoli!E5))-41),"")</f>
        <v xml:space="preserve"> - TCA - 100325</v>
      </c>
      <c r="G5" s="5" t="str">
        <f>MID(INDEX(Base!L$1:L$2500,Calcoli!$E5),42,4)</f>
        <v xml:space="preserve">Std </v>
      </c>
      <c r="H5" s="5" t="str">
        <f>MID(INDEX(Base!L$1:L$2500,Calcoli!E5),13,11)</f>
        <v xml:space="preserve"> 01_04_2025</v>
      </c>
      <c r="I5" s="6" t="str">
        <f xml:space="preserve"> IFERROR(MID(INDEX(Base!$V$3:$AB$60,MATCH($F5,Base!$Z$3:$Z$160,0),1),1,14),"")</f>
        <v/>
      </c>
      <c r="J5" s="6" t="str">
        <f xml:space="preserve"> IFERROR(INDEX(Base!$V$3:$AB$160,MATCH($F5,Base!$Z$3:$Z$160,0),2),"")</f>
        <v/>
      </c>
      <c r="K5" s="6" t="str">
        <f xml:space="preserve"> IFERROR(INDEX(Base!$V$3:$AB$160,MATCH($F5,Base!$Z$3:$Z$160,0),3),"")</f>
        <v/>
      </c>
      <c r="L5" s="28" t="str">
        <f xml:space="preserve"> IFERROR(INDEX(Base!$V$3:$AB$160,MATCH($F5,Base!$Z$3:$Z$160,0),4),"")</f>
        <v/>
      </c>
      <c r="M5">
        <f>IF(M$1&lt;&gt;"",INDEX(Base!$G$1:$G$2500,$A5+M$1+2),"")</f>
        <v>188.55</v>
      </c>
      <c r="N5">
        <f>IF(N$1&lt;&gt;"",INDEX(Base!$G$1:$G$2500,$A5+N$1+2),"")</f>
        <v>48.18</v>
      </c>
      <c r="O5">
        <f>IF(O$1&lt;&gt;"",INDEX(Base!$G$1:$G$2500,$A5+O$1+2),"")</f>
        <v>4.6100000000000003</v>
      </c>
      <c r="P5">
        <f>IF(P$1&lt;&gt;"",INDEX(Base!$G$1:$G$2500,$A5+P$1+2),"")</f>
        <v>12.56</v>
      </c>
      <c r="Q5">
        <f>IF(Q$1&lt;&gt;"",INDEX(Base!$G$1:$G$2500,$A5+Q$1+2),"")</f>
        <v>16.53</v>
      </c>
      <c r="R5">
        <f>IF(R$1&lt;&gt;"",INDEX(Base!$G$1:$G$2500,$A5+R$1+2),"")</f>
        <v>24.63</v>
      </c>
      <c r="S5">
        <f>IF(S$1&lt;&gt;"",INDEX(Base!$G$1:$G$2500,$A5+S$1+2),"")</f>
        <v>1.33</v>
      </c>
      <c r="T5">
        <f>IF(T$1&lt;&gt;"",INDEX(Base!$G$1:$G$2500,$A5+T$1+2),"")</f>
        <v>88.43</v>
      </c>
      <c r="U5">
        <f>IF(U$1&lt;&gt;"",INDEX(Base!$G$1:$G$2500,$A5+U$1+2),"")</f>
        <v>26.55</v>
      </c>
      <c r="V5">
        <f>IF(V$1&lt;&gt;"",INDEX(Base!$G$1:$G$2500,$A5+V$1+2),"")</f>
        <v>2.72</v>
      </c>
      <c r="W5">
        <f>IF(W$1&lt;&gt;"",INDEX(Base!$G$1:$G$2500,$A5+W$1+2),"")</f>
        <v>12.25</v>
      </c>
      <c r="X5">
        <f>IF(X$1&lt;&gt;"",INDEX(Base!$G$1:$G$2500,$A5+X$1+2),"")</f>
        <v>11.31</v>
      </c>
      <c r="Y5">
        <f>IF(Y$1&lt;&gt;"",INDEX(Base!$G$1:$G$2500,$A5+Y$1+2),"")</f>
        <v>484.93</v>
      </c>
      <c r="Z5">
        <f>IF(Z$1&lt;&gt;"",INDEX(Base!$G$1:$G$2500,$A5+Z$1+2),"")</f>
        <v>31.79</v>
      </c>
      <c r="AA5">
        <f>IF(AA$1&lt;&gt;"",INDEX(Base!$G$1:$G$2500,$A5+AA$1+2),"")</f>
        <v>20.78</v>
      </c>
      <c r="AB5">
        <f>IF(AB$1&lt;&gt;"",INDEX(Base!$G$1:$G$2500,$A5+AB$1+2),"")</f>
        <v>12.37</v>
      </c>
      <c r="AC5">
        <f>IF(AC$1&lt;&gt;"",INDEX(Base!$G$1:$G$2500,$A5+AC$1+2),"")</f>
        <v>25.31</v>
      </c>
      <c r="AD5">
        <f>IF(AD$1&lt;&gt;"",INDEX(Base!$G$1:$G$2500,$A5+AD$1+2),"")</f>
        <v>101.27</v>
      </c>
      <c r="AE5">
        <f>IF(AE$1&lt;&gt;"",INDEX(Base!$G$1:$G$2500,$A5+AE$1+2),"")</f>
        <v>2.29</v>
      </c>
      <c r="AF5">
        <f>IF(AF$1&lt;&gt;"",INDEX(Base!$G$1:$G$2500,$A5+AF$1+2),"")</f>
        <v>23.95</v>
      </c>
      <c r="AG5">
        <f>IF(AG$1&lt;&gt;"",INDEX(Base!$G$1:$G$2500,$A5+AG$1+2),"")</f>
        <v>5</v>
      </c>
      <c r="AH5">
        <f>IF(AH$1&lt;&gt;"",INDEX(Base!$G$1:$G$2500,$A5+AH$1+2),"")</f>
        <v>23.71</v>
      </c>
      <c r="AI5">
        <f>IF(AI$1&lt;&gt;"",INDEX(Base!$G$1:$G$2500,$A5+AI$1+2),"")</f>
        <v>4.74</v>
      </c>
      <c r="AJ5">
        <f>IF(AJ$1&lt;&gt;"",INDEX(Base!$G$1:$G$2500,$A5+AJ$1+2),"")</f>
        <v>0.5</v>
      </c>
      <c r="AK5">
        <f>IF(AK$1&lt;&gt;"",INDEX(Base!$G$1:$G$2500,$A5+AK$1+2),"")</f>
        <v>37.39</v>
      </c>
      <c r="AL5">
        <f>IF(AL$1&lt;&gt;"",INDEX(Base!$G$1:$G$2500,$A5+AL$1+2),"")</f>
        <v>25.39</v>
      </c>
      <c r="AM5">
        <f>IF(AM$1&lt;&gt;"",INDEX(Base!$G$1:$G$2500,$A5+AM$1+2),"")</f>
        <v>4.8600000000000003</v>
      </c>
      <c r="AN5">
        <f>IF(AN$1&lt;&gt;"",INDEX(Base!$G$1:$G$2500,$A5+AN$1+2),"")</f>
        <v>12.11</v>
      </c>
      <c r="AO5">
        <f>IF(AO$1&lt;&gt;"",INDEX(Base!$G$1:$G$2500,$A5+AO$1+2),"")</f>
        <v>12.47</v>
      </c>
      <c r="AP5">
        <f>IF(AP$1&lt;&gt;"",INDEX(Base!$G$1:$G$2500,$A5+AP$1+2),"")</f>
        <v>1.1200000000000001</v>
      </c>
      <c r="AQ5">
        <f>IF(AQ$1&lt;&gt;"",INDEX(Base!$G$1:$G$2500,$A5+AQ$1+2),"")</f>
        <v>6.58</v>
      </c>
      <c r="AR5">
        <f>IF(AR$1&lt;&gt;"",INDEX(Base!$G$1:$G$2500,$A5+AR$1+2),"")</f>
        <v>1.17</v>
      </c>
      <c r="AS5">
        <f>IF(AS$1&lt;&gt;"",INDEX(Base!$G$1:$G$2500,$A5+AS$1+2),"")</f>
        <v>11.54</v>
      </c>
      <c r="AT5">
        <f>IF(AT$1&lt;&gt;"",INDEX(Base!$G$1:$G$2500,$A5+AT$1+2),"")</f>
        <v>0.96</v>
      </c>
      <c r="AU5">
        <f>IF(AU$1&lt;&gt;"",INDEX(Base!$G$1:$G$2500,$A5+AU$1+2),"")</f>
        <v>0.43</v>
      </c>
      <c r="AV5">
        <f>IF(AV$1&lt;&gt;"",INDEX(Base!$G$1:$G$2500,$A5+AV$1+2),"")</f>
        <v>5.62</v>
      </c>
      <c r="AW5" s="8">
        <f t="shared" si="0"/>
        <v>2.5699272433306386</v>
      </c>
      <c r="AX5">
        <f>IF(AX$1&lt;&gt;"",INDEX(Base!$R$1:$R$2500,$E5+AX$1+2),"")</f>
        <v>289.29000000000002</v>
      </c>
      <c r="AY5">
        <f>IF(AY$1&lt;&gt;"",INDEX(Base!$R$1:$R$2500,$E5+AY$1+2),"")</f>
        <v>1486.45</v>
      </c>
      <c r="AZ5">
        <f>IF(AZ$1&lt;&gt;"",INDEX(Base!$R$1:$R$2500,$E5+AZ$1+2),"")</f>
        <v>6.57</v>
      </c>
      <c r="BA5">
        <f>IF(BA$1&lt;&gt;"",INDEX(Base!$R$1:$R$2500,$E5+BA$1+2),"")</f>
        <v>5.64</v>
      </c>
      <c r="BB5">
        <f>IF(BB$1&lt;&gt;"",INDEX(Base!$R$1:$R$2500,$E5+BB$1+2),"")</f>
        <v>191.62</v>
      </c>
      <c r="BC5">
        <f>IF(BC$1&lt;&gt;"",INDEX(Base!$R$1:$R$2500,$E5+BC$1+2),"")</f>
        <v>12.12</v>
      </c>
      <c r="BD5">
        <f>IF(BD$1&lt;&gt;"",INDEX(Base!$R$1:$R$2500,$E5+BD$1+2),"")</f>
        <v>26.38</v>
      </c>
      <c r="BE5">
        <f>IF(BE$1&lt;&gt;"",INDEX(Base!$R$1:$R$2500,$E5+BE$1+2),"")</f>
        <v>257.44</v>
      </c>
      <c r="BF5">
        <f>IF(BF$1&lt;&gt;"",INDEX(Base!$R$1:$R$2500,$E5+BF$1+2),"")</f>
        <v>2.42</v>
      </c>
      <c r="BG5">
        <f>IF(BG$1&lt;&gt;"",INDEX(Base!$R$1:$R$2500,$E5+BG$1+2),"")</f>
        <v>31.2</v>
      </c>
      <c r="BH5">
        <f>IF(BH$1&lt;&gt;"",INDEX(Base!$R$1:$R$2500,$E5+BH$1+2),"")</f>
        <v>2.2999999999999998</v>
      </c>
      <c r="BI5">
        <f>IF(BI$1&lt;&gt;"",INDEX(Base!$R$1:$R$2500,$E5+BI$1+2),"")</f>
        <v>435.08</v>
      </c>
      <c r="BJ5">
        <f>IF(BJ$1&lt;&gt;"",INDEX(Base!$R$1:$R$2500,$E5+BJ$1+2),"")</f>
        <v>101.15</v>
      </c>
      <c r="BK5">
        <f>IF(BK$1&lt;&gt;"",INDEX(Base!$R$1:$R$2500,$E5+BK$1+2),"")</f>
        <v>135.78</v>
      </c>
      <c r="BL5">
        <f>IF(BL$1&lt;&gt;"",INDEX(Base!$R$1:$R$2500,$E5+BL$1+2),"")</f>
        <v>64.48</v>
      </c>
      <c r="BM5">
        <f>IF(BM$1&lt;&gt;"",INDEX(Base!$R$1:$R$2500,$E5+BM$1+2),"")</f>
        <v>10.43</v>
      </c>
      <c r="BN5">
        <f>IF(BN$1&lt;&gt;"",INDEX(Base!$R$1:$R$2500,$E5+BN$1+2),"")</f>
        <v>0.2</v>
      </c>
      <c r="BO5">
        <f>IF(BO$1&lt;&gt;"",INDEX(Base!$R$1:$R$2500,$E5+BO$1+2),"")</f>
        <v>0.39</v>
      </c>
      <c r="BP5">
        <f>IF(BP$1&lt;&gt;"",INDEX(Base!$R$1:$R$2500,$E5+BP$1+2),"")</f>
        <v>57.96</v>
      </c>
      <c r="BQ5">
        <f>IF(BQ$1&lt;&gt;"",INDEX(Base!$R$1:$R$2500,$E5+BQ$1+2),"")</f>
        <v>2.42</v>
      </c>
      <c r="BR5">
        <f>IF(BR$1&lt;&gt;"",INDEX(Base!$R$1:$R$2500,$E5+BR$1+2),"")</f>
        <v>0.43</v>
      </c>
      <c r="BS5">
        <f>IF(BS$1&lt;&gt;"",INDEX(Base!$R$1:$R$2500,$E5+BS$1+2),"")</f>
        <v>31.99</v>
      </c>
      <c r="BT5">
        <f>IF(BT$1&lt;&gt;"",INDEX(Base!$R$1:$R$2500,$E5+BT$1+2),"")</f>
        <v>25.01</v>
      </c>
    </row>
    <row r="6" spans="1:73" x14ac:dyDescent="0.3">
      <c r="A6" s="2">
        <f>+A5+44</f>
        <v>137</v>
      </c>
      <c r="B6" s="3" t="str">
        <f>IFERROR(MID(INDEX(Base!A$1:A$2500,Calcoli!A6),47,LEN(INDEX(Base!A$1:A$2500,Calcoli!A6))-41),"")</f>
        <v xml:space="preserve"> - Atlantis - 100325</v>
      </c>
      <c r="C6" s="5" t="str">
        <f>MID(INDEX(Base!A$1:A$2500,Calcoli!$A6),42,4)</f>
        <v xml:space="preserve">Std </v>
      </c>
      <c r="D6" s="5" t="str">
        <f>MID(INDEX(Base!A$1:A$2500,Calcoli!A6),13,11)</f>
        <v xml:space="preserve"> 31_03_2025</v>
      </c>
      <c r="E6" s="4">
        <f t="shared" ref="E6:E69" si="1">+E5+31</f>
        <v>98</v>
      </c>
      <c r="F6" s="3" t="str">
        <f>IFERROR(MID(INDEX(Base!L$1:L$2500,Calcoli!E6),47,LEN(INDEX(Base!L$1:L$2500,Calcoli!E6))-41),"")</f>
        <v xml:space="preserve"> - TCA - 100325</v>
      </c>
      <c r="G6" s="5" t="str">
        <f>MID(INDEX(Base!L$1:L$2500,Calcoli!$E6),42,4)</f>
        <v xml:space="preserve">Std </v>
      </c>
      <c r="H6" s="5" t="str">
        <f>MID(INDEX(Base!L$1:L$2500,Calcoli!E6),13,11)</f>
        <v xml:space="preserve"> 01_04_2025</v>
      </c>
      <c r="I6" s="6" t="str">
        <f xml:space="preserve"> IFERROR(MID(INDEX(Base!$V$3:$AB$60,MATCH($F6,Base!$Z$3:$Z$160,0),1),1,14),"")</f>
        <v/>
      </c>
      <c r="J6" s="6" t="str">
        <f xml:space="preserve"> IFERROR(INDEX(Base!$V$3:$AB$160,MATCH($F6,Base!$Z$3:$Z$160,0),2),"")</f>
        <v/>
      </c>
      <c r="K6" s="6" t="str">
        <f xml:space="preserve"> IFERROR(INDEX(Base!$V$3:$AB$160,MATCH($F6,Base!$Z$3:$Z$160,0),3),"")</f>
        <v/>
      </c>
      <c r="L6" s="28" t="str">
        <f xml:space="preserve"> IFERROR(INDEX(Base!$V$3:$AB$160,MATCH($F6,Base!$Z$3:$Z$160,0),4),"")</f>
        <v/>
      </c>
      <c r="M6">
        <f>IF(M$1&lt;&gt;"",INDEX(Base!$G$1:$G$2500,$A6+M$1+2),"")</f>
        <v>412.34</v>
      </c>
      <c r="N6">
        <f>IF(N$1&lt;&gt;"",INDEX(Base!$G$1:$G$2500,$A6+N$1+2),"")</f>
        <v>98.65</v>
      </c>
      <c r="O6">
        <f>IF(O$1&lt;&gt;"",INDEX(Base!$G$1:$G$2500,$A6+O$1+2),"")</f>
        <v>9.27</v>
      </c>
      <c r="P6">
        <f>IF(P$1&lt;&gt;"",INDEX(Base!$G$1:$G$2500,$A6+P$1+2),"")</f>
        <v>26.32</v>
      </c>
      <c r="Q6">
        <f>IF(Q$1&lt;&gt;"",INDEX(Base!$G$1:$G$2500,$A6+Q$1+2),"")</f>
        <v>49.45</v>
      </c>
      <c r="R6">
        <f>IF(R$1&lt;&gt;"",INDEX(Base!$G$1:$G$2500,$A6+R$1+2),"")</f>
        <v>49.23</v>
      </c>
      <c r="S6">
        <f>IF(S$1&lt;&gt;"",INDEX(Base!$G$1:$G$2500,$A6+S$1+2),"")</f>
        <v>2.72</v>
      </c>
      <c r="T6">
        <f>IF(T$1&lt;&gt;"",INDEX(Base!$G$1:$G$2500,$A6+T$1+2),"")</f>
        <v>206.15</v>
      </c>
      <c r="U6">
        <f>IF(U$1&lt;&gt;"",INDEX(Base!$G$1:$G$2500,$A6+U$1+2),"")</f>
        <v>50.4</v>
      </c>
      <c r="V6">
        <f>IF(V$1&lt;&gt;"",INDEX(Base!$G$1:$G$2500,$A6+V$1+2),"")</f>
        <v>4.97</v>
      </c>
      <c r="W6">
        <f>IF(W$1&lt;&gt;"",INDEX(Base!$G$1:$G$2500,$A6+W$1+2),"")</f>
        <v>25.18</v>
      </c>
      <c r="X6">
        <f>IF(X$1&lt;&gt;"",INDEX(Base!$G$1:$G$2500,$A6+X$1+2),"")</f>
        <v>24.68</v>
      </c>
      <c r="Y6">
        <f>IF(Y$1&lt;&gt;"",INDEX(Base!$G$1:$G$2500,$A6+Y$1+2),"")</f>
        <v>953.97</v>
      </c>
      <c r="Z6">
        <f>IF(Z$1&lt;&gt;"",INDEX(Base!$G$1:$G$2500,$A6+Z$1+2),"")</f>
        <v>49.58</v>
      </c>
      <c r="AA6">
        <f>IF(AA$1&lt;&gt;"",INDEX(Base!$G$1:$G$2500,$A6+AA$1+2),"")</f>
        <v>22.91</v>
      </c>
      <c r="AB6">
        <f>IF(AB$1&lt;&gt;"",INDEX(Base!$G$1:$G$2500,$A6+AB$1+2),"")</f>
        <v>23.88</v>
      </c>
      <c r="AC6">
        <f>IF(AC$1&lt;&gt;"",INDEX(Base!$G$1:$G$2500,$A6+AC$1+2),"")</f>
        <v>48.15</v>
      </c>
      <c r="AD6">
        <f>IF(AD$1&lt;&gt;"",INDEX(Base!$G$1:$G$2500,$A6+AD$1+2),"")</f>
        <v>203.97</v>
      </c>
      <c r="AE6">
        <f>IF(AE$1&lt;&gt;"",INDEX(Base!$G$1:$G$2500,$A6+AE$1+2),"")</f>
        <v>5.01</v>
      </c>
      <c r="AF6">
        <f>IF(AF$1&lt;&gt;"",INDEX(Base!$G$1:$G$2500,$A6+AF$1+2),"")</f>
        <v>49.75</v>
      </c>
      <c r="AG6">
        <f>IF(AG$1&lt;&gt;"",INDEX(Base!$G$1:$G$2500,$A6+AG$1+2),"")</f>
        <v>10.49</v>
      </c>
      <c r="AH6">
        <f>IF(AH$1&lt;&gt;"",INDEX(Base!$G$1:$G$2500,$A6+AH$1+2),"")</f>
        <v>49.15</v>
      </c>
      <c r="AI6">
        <f>IF(AI$1&lt;&gt;"",INDEX(Base!$G$1:$G$2500,$A6+AI$1+2),"")</f>
        <v>9.5399999999999991</v>
      </c>
      <c r="AJ6">
        <f>IF(AJ$1&lt;&gt;"",INDEX(Base!$G$1:$G$2500,$A6+AJ$1+2),"")</f>
        <v>0.94</v>
      </c>
      <c r="AK6">
        <f>IF(AK$1&lt;&gt;"",INDEX(Base!$G$1:$G$2500,$A6+AK$1+2),"")</f>
        <v>98.51</v>
      </c>
      <c r="AL6">
        <f>IF(AL$1&lt;&gt;"",INDEX(Base!$G$1:$G$2500,$A6+AL$1+2),"")</f>
        <v>50.75</v>
      </c>
      <c r="AM6">
        <f>IF(AM$1&lt;&gt;"",INDEX(Base!$G$1:$G$2500,$A6+AM$1+2),"")</f>
        <v>10.42</v>
      </c>
      <c r="AN6">
        <f>IF(AN$1&lt;&gt;"",INDEX(Base!$G$1:$G$2500,$A6+AN$1+2),"")</f>
        <v>25.22</v>
      </c>
      <c r="AO6">
        <f>IF(AO$1&lt;&gt;"",INDEX(Base!$G$1:$G$2500,$A6+AO$1+2),"")</f>
        <v>25.03</v>
      </c>
      <c r="AP6">
        <f>IF(AP$1&lt;&gt;"",INDEX(Base!$G$1:$G$2500,$A6+AP$1+2),"")</f>
        <v>2.56</v>
      </c>
      <c r="AQ6">
        <f>IF(AQ$1&lt;&gt;"",INDEX(Base!$G$1:$G$2500,$A6+AQ$1+2),"")</f>
        <v>12.89</v>
      </c>
      <c r="AR6">
        <f>IF(AR$1&lt;&gt;"",INDEX(Base!$G$1:$G$2500,$A6+AR$1+2),"")</f>
        <v>2.4700000000000002</v>
      </c>
      <c r="AS6">
        <f>IF(AS$1&lt;&gt;"",INDEX(Base!$G$1:$G$2500,$A6+AS$1+2),"")</f>
        <v>22.79</v>
      </c>
      <c r="AT6">
        <f>IF(AT$1&lt;&gt;"",INDEX(Base!$G$1:$G$2500,$A6+AT$1+2),"")</f>
        <v>1.9</v>
      </c>
      <c r="AU6">
        <f>IF(AU$1&lt;&gt;"",INDEX(Base!$G$1:$G$2500,$A6+AU$1+2),"")</f>
        <v>0.66</v>
      </c>
      <c r="AV6">
        <f>IF(AV$1&lt;&gt;"",INDEX(Base!$G$1:$G$2500,$A6+AV$1+2),"")</f>
        <v>9.34</v>
      </c>
      <c r="AW6" s="8">
        <f t="shared" si="0"/>
        <v>2.0762144053601341</v>
      </c>
      <c r="AX6">
        <f>IF(AX$1&lt;&gt;"",INDEX(Base!$R$1:$R$2500,$E6+AX$1+2),"")</f>
        <v>619.32000000000005</v>
      </c>
      <c r="AY6">
        <f>IF(AY$1&lt;&gt;"",INDEX(Base!$R$1:$R$2500,$E6+AY$1+2),"")</f>
        <v>3122.08</v>
      </c>
      <c r="AZ6">
        <f>IF(AZ$1&lt;&gt;"",INDEX(Base!$R$1:$R$2500,$E6+AZ$1+2),"")</f>
        <v>11.99</v>
      </c>
      <c r="BA6">
        <f>IF(BA$1&lt;&gt;"",INDEX(Base!$R$1:$R$2500,$E6+BA$1+2),"")</f>
        <v>12.92</v>
      </c>
      <c r="BB6">
        <f>IF(BB$1&lt;&gt;"",INDEX(Base!$R$1:$R$2500,$E6+BB$1+2),"")</f>
        <v>400.68</v>
      </c>
      <c r="BC6">
        <f>IF(BC$1&lt;&gt;"",INDEX(Base!$R$1:$R$2500,$E6+BC$1+2),"")</f>
        <v>26.03</v>
      </c>
      <c r="BD6">
        <f>IF(BD$1&lt;&gt;"",INDEX(Base!$R$1:$R$2500,$E6+BD$1+2),"")</f>
        <v>48.78</v>
      </c>
      <c r="BE6">
        <f>IF(BE$1&lt;&gt;"",INDEX(Base!$R$1:$R$2500,$E6+BE$1+2),"")</f>
        <v>477.67</v>
      </c>
      <c r="BF6">
        <f>IF(BF$1&lt;&gt;"",INDEX(Base!$R$1:$R$2500,$E6+BF$1+2),"")</f>
        <v>4.84</v>
      </c>
      <c r="BG6">
        <f>IF(BG$1&lt;&gt;"",INDEX(Base!$R$1:$R$2500,$E6+BG$1+2),"")</f>
        <v>63.62</v>
      </c>
      <c r="BH6">
        <f>IF(BH$1&lt;&gt;"",INDEX(Base!$R$1:$R$2500,$E6+BH$1+2),"")</f>
        <v>5.34</v>
      </c>
      <c r="BI6">
        <f>IF(BI$1&lt;&gt;"",INDEX(Base!$R$1:$R$2500,$E6+BI$1+2),"")</f>
        <v>866.55</v>
      </c>
      <c r="BJ6">
        <f>IF(BJ$1&lt;&gt;"",INDEX(Base!$R$1:$R$2500,$E6+BJ$1+2),"")</f>
        <v>206.78</v>
      </c>
      <c r="BK6">
        <f>IF(BK$1&lt;&gt;"",INDEX(Base!$R$1:$R$2500,$E6+BK$1+2),"")</f>
        <v>255.97</v>
      </c>
      <c r="BL6">
        <f>IF(BL$1&lt;&gt;"",INDEX(Base!$R$1:$R$2500,$E6+BL$1+2),"")</f>
        <v>124.86</v>
      </c>
      <c r="BM6">
        <f>IF(BM$1&lt;&gt;"",INDEX(Base!$R$1:$R$2500,$E6+BM$1+2),"")</f>
        <v>20.83</v>
      </c>
      <c r="BN6">
        <f>IF(BN$1&lt;&gt;"",INDEX(Base!$R$1:$R$2500,$E6+BN$1+2),"")</f>
        <v>0.35</v>
      </c>
      <c r="BO6">
        <f>IF(BO$1&lt;&gt;"",INDEX(Base!$R$1:$R$2500,$E6+BO$1+2),"")</f>
        <v>0.89</v>
      </c>
      <c r="BP6">
        <f>IF(BP$1&lt;&gt;"",INDEX(Base!$R$1:$R$2500,$E6+BP$1+2),"")</f>
        <v>120.74</v>
      </c>
      <c r="BQ6">
        <f>IF(BQ$1&lt;&gt;"",INDEX(Base!$R$1:$R$2500,$E6+BQ$1+2),"")</f>
        <v>5.3</v>
      </c>
      <c r="BR6">
        <f>IF(BR$1&lt;&gt;"",INDEX(Base!$R$1:$R$2500,$E6+BR$1+2),"")</f>
        <v>1.01</v>
      </c>
      <c r="BS6">
        <f>IF(BS$1&lt;&gt;"",INDEX(Base!$R$1:$R$2500,$E6+BS$1+2),"")</f>
        <v>64.17</v>
      </c>
      <c r="BT6">
        <f>IF(BT$1&lt;&gt;"",INDEX(Base!$R$1:$R$2500,$E6+BT$1+2),"")</f>
        <v>51.86</v>
      </c>
    </row>
    <row r="7" spans="1:73" x14ac:dyDescent="0.3">
      <c r="A7" s="2">
        <f t="shared" ref="A7:A9" si="2">+A6+44</f>
        <v>181</v>
      </c>
      <c r="B7" s="3" t="str">
        <f>IFERROR(MID(INDEX(Base!A$1:A$2500,Calcoli!A7),47,LEN(INDEX(Base!A$1:A$2500,Calcoli!A7))-41),"")</f>
        <v xml:space="preserve"> - Atlantis - 100325</v>
      </c>
      <c r="C7" s="5" t="str">
        <f>MID(INDEX(Base!A$1:A$2500,Calcoli!$A7),42,4)</f>
        <v xml:space="preserve">Std </v>
      </c>
      <c r="D7" s="5" t="str">
        <f>MID(INDEX(Base!A$1:A$2500,Calcoli!A7),13,11)</f>
        <v xml:space="preserve"> 31_03_2025</v>
      </c>
      <c r="E7" s="4">
        <f t="shared" si="1"/>
        <v>129</v>
      </c>
      <c r="F7" s="3" t="str">
        <f>IFERROR(MID(INDEX(Base!L$1:L$2500,Calcoli!E7),47,LEN(INDEX(Base!L$1:L$2500,Calcoli!E7))-41),"")</f>
        <v xml:space="preserve"> - TCA - 100325</v>
      </c>
      <c r="G7" s="5" t="str">
        <f>MID(INDEX(Base!L$1:L$2500,Calcoli!$E7),42,4)</f>
        <v xml:space="preserve">Std </v>
      </c>
      <c r="H7" s="5" t="str">
        <f>MID(INDEX(Base!L$1:L$2500,Calcoli!E7),13,11)</f>
        <v xml:space="preserve"> 01_04_2025</v>
      </c>
      <c r="I7" s="6" t="str">
        <f xml:space="preserve"> IFERROR(MID(INDEX(Base!$V$3:$AB$60,MATCH($F7,Base!$Z$3:$Z$160,0),1),1,14),"")</f>
        <v/>
      </c>
      <c r="J7" s="6" t="str">
        <f xml:space="preserve"> IFERROR(INDEX(Base!$V$3:$AB$160,MATCH($F7,Base!$Z$3:$Z$160,0),2),"")</f>
        <v/>
      </c>
      <c r="K7" s="6" t="str">
        <f xml:space="preserve"> IFERROR(INDEX(Base!$V$3:$AB$160,MATCH($F7,Base!$Z$3:$Z$160,0),3),"")</f>
        <v/>
      </c>
      <c r="L7" s="28" t="str">
        <f xml:space="preserve"> IFERROR(INDEX(Base!$V$3:$AB$160,MATCH($F7,Base!$Z$3:$Z$160,0),4),"")</f>
        <v/>
      </c>
      <c r="M7">
        <f>IF(M$1&lt;&gt;"",INDEX(Base!$G$1:$G$2500,$A7+M$1+2),"")</f>
        <v>795.97</v>
      </c>
      <c r="N7">
        <f>IF(N$1&lt;&gt;"",INDEX(Base!$G$1:$G$2500,$A7+N$1+2),"")</f>
        <v>202.2</v>
      </c>
      <c r="O7">
        <f>IF(O$1&lt;&gt;"",INDEX(Base!$G$1:$G$2500,$A7+O$1+2),"")</f>
        <v>20.85</v>
      </c>
      <c r="P7">
        <f>IF(P$1&lt;&gt;"",INDEX(Base!$G$1:$G$2500,$A7+P$1+2),"")</f>
        <v>48.83</v>
      </c>
      <c r="Q7">
        <f>IF(Q$1&lt;&gt;"",INDEX(Base!$G$1:$G$2500,$A7+Q$1+2),"")</f>
        <v>100.47</v>
      </c>
      <c r="R7">
        <f>IF(R$1&lt;&gt;"",INDEX(Base!$G$1:$G$2500,$A7+R$1+2),"")</f>
        <v>100.87</v>
      </c>
      <c r="S7">
        <f>IF(S$1&lt;&gt;"",INDEX(Base!$G$1:$G$2500,$A7+S$1+2),"")</f>
        <v>4.76</v>
      </c>
      <c r="T7">
        <f>IF(T$1&lt;&gt;"",INDEX(Base!$G$1:$G$2500,$A7+T$1+2),"")</f>
        <v>401.34</v>
      </c>
      <c r="U7">
        <f>IF(U$1&lt;&gt;"",INDEX(Base!$G$1:$G$2500,$A7+U$1+2),"")</f>
        <v>98.77</v>
      </c>
      <c r="V7">
        <f>IF(V$1&lt;&gt;"",INDEX(Base!$G$1:$G$2500,$A7+V$1+2),"")</f>
        <v>9.9</v>
      </c>
      <c r="W7">
        <f>IF(W$1&lt;&gt;"",INDEX(Base!$G$1:$G$2500,$A7+W$1+2),"")</f>
        <v>49.99</v>
      </c>
      <c r="X7">
        <f>IF(X$1&lt;&gt;"",INDEX(Base!$G$1:$G$2500,$A7+X$1+2),"")</f>
        <v>50.95</v>
      </c>
      <c r="Y7">
        <f>IF(Y$1&lt;&gt;"",INDEX(Base!$G$1:$G$2500,$A7+Y$1+2),"")</f>
        <v>1733.78</v>
      </c>
      <c r="Z7">
        <f>IF(Z$1&lt;&gt;"",INDEX(Base!$G$1:$G$2500,$A7+Z$1+2),"")</f>
        <v>100.36</v>
      </c>
      <c r="AA7">
        <f>IF(AA$1&lt;&gt;"",INDEX(Base!$G$1:$G$2500,$A7+AA$1+2),"")</f>
        <v>51.79</v>
      </c>
      <c r="AB7">
        <f>IF(AB$1&lt;&gt;"",INDEX(Base!$G$1:$G$2500,$A7+AB$1+2),"")</f>
        <v>51.03</v>
      </c>
      <c r="AC7">
        <f>IF(AC$1&lt;&gt;"",INDEX(Base!$G$1:$G$2500,$A7+AC$1+2),"")</f>
        <v>101.41</v>
      </c>
      <c r="AD7">
        <f>IF(AD$1&lt;&gt;"",INDEX(Base!$G$1:$G$2500,$A7+AD$1+2),"")</f>
        <v>395.87</v>
      </c>
      <c r="AE7">
        <f>IF(AE$1&lt;&gt;"",INDEX(Base!$G$1:$G$2500,$A7+AE$1+2),"")</f>
        <v>10.11</v>
      </c>
      <c r="AF7">
        <f>IF(AF$1&lt;&gt;"",INDEX(Base!$G$1:$G$2500,$A7+AF$1+2),"")</f>
        <v>100.81</v>
      </c>
      <c r="AG7">
        <f>IF(AG$1&lt;&gt;"",INDEX(Base!$G$1:$G$2500,$A7+AG$1+2),"")</f>
        <v>19.579999999999998</v>
      </c>
      <c r="AH7">
        <f>IF(AH$1&lt;&gt;"",INDEX(Base!$G$1:$G$2500,$A7+AH$1+2),"")</f>
        <v>101.46</v>
      </c>
      <c r="AI7">
        <f>IF(AI$1&lt;&gt;"",INDEX(Base!$G$1:$G$2500,$A7+AI$1+2),"")</f>
        <v>20.54</v>
      </c>
      <c r="AJ7">
        <f>IF(AJ$1&lt;&gt;"",INDEX(Base!$G$1:$G$2500,$A7+AJ$1+2),"")</f>
        <v>2.0499999999999998</v>
      </c>
      <c r="AK7">
        <f>IF(AK$1&lt;&gt;"",INDEX(Base!$G$1:$G$2500,$A7+AK$1+2),"")</f>
        <v>201.28</v>
      </c>
      <c r="AL7">
        <f>IF(AL$1&lt;&gt;"",INDEX(Base!$G$1:$G$2500,$A7+AL$1+2),"")</f>
        <v>99.13</v>
      </c>
      <c r="AM7">
        <f>IF(AM$1&lt;&gt;"",INDEX(Base!$G$1:$G$2500,$A7+AM$1+2),"")</f>
        <v>19.72</v>
      </c>
      <c r="AN7">
        <f>IF(AN$1&lt;&gt;"",INDEX(Base!$G$1:$G$2500,$A7+AN$1+2),"")</f>
        <v>50.03</v>
      </c>
      <c r="AO7">
        <f>IF(AO$1&lt;&gt;"",INDEX(Base!$G$1:$G$2500,$A7+AO$1+2),"")</f>
        <v>49.99</v>
      </c>
      <c r="AP7">
        <f>IF(AP$1&lt;&gt;"",INDEX(Base!$G$1:$G$2500,$A7+AP$1+2),"")</f>
        <v>5.0199999999999996</v>
      </c>
      <c r="AQ7">
        <f>IF(AQ$1&lt;&gt;"",INDEX(Base!$G$1:$G$2500,$A7+AQ$1+2),"")</f>
        <v>24.48</v>
      </c>
      <c r="AR7">
        <f>IF(AR$1&lt;&gt;"",INDEX(Base!$G$1:$G$2500,$A7+AR$1+2),"")</f>
        <v>5.07</v>
      </c>
      <c r="AS7">
        <f>IF(AS$1&lt;&gt;"",INDEX(Base!$G$1:$G$2500,$A7+AS$1+2),"")</f>
        <v>52.45</v>
      </c>
      <c r="AT7">
        <f>IF(AT$1&lt;&gt;"",INDEX(Base!$G$1:$G$2500,$A7+AT$1+2),"")</f>
        <v>4.1100000000000003</v>
      </c>
      <c r="AU7">
        <f>IF(AU$1&lt;&gt;"",INDEX(Base!$G$1:$G$2500,$A7+AU$1+2),"")</f>
        <v>2.04</v>
      </c>
      <c r="AV7">
        <f>IF(AV$1&lt;&gt;"",INDEX(Base!$G$1:$G$2500,$A7+AV$1+2),"")</f>
        <v>20.22</v>
      </c>
      <c r="AW7" s="8">
        <f t="shared" si="0"/>
        <v>1.9666862629825592</v>
      </c>
      <c r="AX7">
        <f>IF(AX$1&lt;&gt;"",INDEX(Base!$R$1:$R$2500,$E7+AX$1+2),"")</f>
        <v>1189.56</v>
      </c>
      <c r="AY7">
        <f>IF(AY$1&lt;&gt;"",INDEX(Base!$R$1:$R$2500,$E7+AY$1+2),"")</f>
        <v>5903.1</v>
      </c>
      <c r="AZ7">
        <f>IF(AZ$1&lt;&gt;"",INDEX(Base!$R$1:$R$2500,$E7+AZ$1+2),"")</f>
        <v>25.26</v>
      </c>
      <c r="BA7">
        <f>IF(BA$1&lt;&gt;"",INDEX(Base!$R$1:$R$2500,$E7+BA$1+2),"")</f>
        <v>24.99</v>
      </c>
      <c r="BB7">
        <f>IF(BB$1&lt;&gt;"",INDEX(Base!$R$1:$R$2500,$E7+BB$1+2),"")</f>
        <v>804.21</v>
      </c>
      <c r="BC7">
        <f>IF(BC$1&lt;&gt;"",INDEX(Base!$R$1:$R$2500,$E7+BC$1+2),"")</f>
        <v>49.33</v>
      </c>
      <c r="BD7">
        <f>IF(BD$1&lt;&gt;"",INDEX(Base!$R$1:$R$2500,$E7+BD$1+2),"")</f>
        <v>100.26</v>
      </c>
      <c r="BE7">
        <f>IF(BE$1&lt;&gt;"",INDEX(Base!$R$1:$R$2500,$E7+BE$1+2),"")</f>
        <v>1014.89</v>
      </c>
      <c r="BF7">
        <f>IF(BF$1&lt;&gt;"",INDEX(Base!$R$1:$R$2500,$E7+BF$1+2),"")</f>
        <v>10.18</v>
      </c>
      <c r="BG7">
        <f>IF(BG$1&lt;&gt;"",INDEX(Base!$R$1:$R$2500,$E7+BG$1+2),"")</f>
        <v>124.07</v>
      </c>
      <c r="BH7">
        <f>IF(BH$1&lt;&gt;"",INDEX(Base!$R$1:$R$2500,$E7+BH$1+2),"")</f>
        <v>9.83</v>
      </c>
      <c r="BI7">
        <f>IF(BI$1&lt;&gt;"",INDEX(Base!$R$1:$R$2500,$E7+BI$1+2),"")</f>
        <v>1522.91</v>
      </c>
      <c r="BJ7">
        <f>IF(BJ$1&lt;&gt;"",INDEX(Base!$R$1:$R$2500,$E7+BJ$1+2),"")</f>
        <v>393.53</v>
      </c>
      <c r="BK7">
        <f>IF(BK$1&lt;&gt;"",INDEX(Base!$R$1:$R$2500,$E7+BK$1+2),"")</f>
        <v>488.73</v>
      </c>
      <c r="BL7">
        <f>IF(BL$1&lt;&gt;"",INDEX(Base!$R$1:$R$2500,$E7+BL$1+2),"")</f>
        <v>248.99</v>
      </c>
      <c r="BM7">
        <f>IF(BM$1&lt;&gt;"",INDEX(Base!$R$1:$R$2500,$E7+BM$1+2),"")</f>
        <v>42.18</v>
      </c>
      <c r="BN7">
        <f>IF(BN$1&lt;&gt;"",INDEX(Base!$R$1:$R$2500,$E7+BN$1+2),"")</f>
        <v>0.72</v>
      </c>
      <c r="BO7">
        <f>IF(BO$1&lt;&gt;"",INDEX(Base!$R$1:$R$2500,$E7+BO$1+2),"")</f>
        <v>1.52</v>
      </c>
      <c r="BP7">
        <f>IF(BP$1&lt;&gt;"",INDEX(Base!$R$1:$R$2500,$E7+BP$1+2),"")</f>
        <v>221.67</v>
      </c>
      <c r="BQ7">
        <f>IF(BQ$1&lt;&gt;"",INDEX(Base!$R$1:$R$2500,$E7+BQ$1+2),"")</f>
        <v>9.7899999999999991</v>
      </c>
      <c r="BR7">
        <f>IF(BR$1&lt;&gt;"",INDEX(Base!$R$1:$R$2500,$E7+BR$1+2),"")</f>
        <v>2.0299999999999998</v>
      </c>
      <c r="BS7">
        <f>IF(BS$1&lt;&gt;"",INDEX(Base!$R$1:$R$2500,$E7+BS$1+2),"")</f>
        <v>123.14</v>
      </c>
      <c r="BT7">
        <f>IF(BT$1&lt;&gt;"",INDEX(Base!$R$1:$R$2500,$E7+BT$1+2),"")</f>
        <v>98.41</v>
      </c>
    </row>
    <row r="8" spans="1:73" x14ac:dyDescent="0.3">
      <c r="A8" s="2">
        <f t="shared" si="2"/>
        <v>225</v>
      </c>
      <c r="B8" s="3" t="str">
        <f>IFERROR(MID(INDEX(Base!A$1:A$2500,Calcoli!A8),47,LEN(INDEX(Base!A$1:A$2500,Calcoli!A8))-41),"")</f>
        <v/>
      </c>
      <c r="C8" s="5" t="str">
        <f>MID(INDEX(Base!A$1:A$2500,Calcoli!$A8),42,4)</f>
        <v/>
      </c>
      <c r="D8" s="5" t="str">
        <f>MID(INDEX(Base!A$1:A$2500,Calcoli!A8),13,11)</f>
        <v xml:space="preserve"> 31_03_2025</v>
      </c>
      <c r="E8" s="4">
        <f t="shared" si="1"/>
        <v>160</v>
      </c>
      <c r="F8" s="3" t="str">
        <f>IFERROR(MID(INDEX(Base!L$1:L$2500,Calcoli!E8),47,LEN(INDEX(Base!L$1:L$2500,Calcoli!E8))-41),"")</f>
        <v/>
      </c>
      <c r="G8" s="5" t="str">
        <f>MID(INDEX(Base!L$1:L$2500,Calcoli!$E8),42,4)</f>
        <v/>
      </c>
      <c r="H8" s="5" t="str">
        <f>MID(INDEX(Base!L$1:L$2500,Calcoli!E8),13,11)</f>
        <v xml:space="preserve"> 01_04_2025</v>
      </c>
      <c r="I8" s="6" t="str">
        <f xml:space="preserve"> IFERROR(MID(INDEX(Base!$V$3:$AB$60,MATCH($F8,Base!$Z$3:$Z$160,0),1),1,14),"")</f>
        <v/>
      </c>
      <c r="J8" s="6" t="str">
        <f xml:space="preserve"> IFERROR(INDEX(Base!$V$3:$AB$160,MATCH($F8,Base!$Z$3:$Z$160,0),2),"")</f>
        <v/>
      </c>
      <c r="K8" s="6" t="str">
        <f xml:space="preserve"> IFERROR(INDEX(Base!$V$3:$AB$160,MATCH($F8,Base!$Z$3:$Z$160,0),3),"")</f>
        <v/>
      </c>
      <c r="L8" s="28" t="str">
        <f xml:space="preserve"> IFERROR(INDEX(Base!$V$3:$AB$160,MATCH($F8,Base!$Z$3:$Z$160,0),4),"")</f>
        <v/>
      </c>
      <c r="M8">
        <f>IF(M$1&lt;&gt;"",INDEX(Base!$G$1:$G$2500,$A8+M$1+2),"")</f>
        <v>0.1</v>
      </c>
      <c r="N8">
        <f>IF(N$1&lt;&gt;"",INDEX(Base!$G$1:$G$2500,$A8+N$1+2),"")</f>
        <v>7.74</v>
      </c>
      <c r="O8">
        <f>IF(O$1&lt;&gt;"",INDEX(Base!$G$1:$G$2500,$A8+O$1+2),"")</f>
        <v>0.56999999999999995</v>
      </c>
      <c r="P8">
        <f>IF(P$1&lt;&gt;"",INDEX(Base!$G$1:$G$2500,$A8+P$1+2),"")</f>
        <v>0.79</v>
      </c>
      <c r="Q8">
        <f>IF(Q$1&lt;&gt;"",INDEX(Base!$G$1:$G$2500,$A8+Q$1+2),"")</f>
        <v>0.12</v>
      </c>
      <c r="R8">
        <f>IF(R$1&lt;&gt;"",INDEX(Base!$G$1:$G$2500,$A8+R$1+2),"")</f>
        <v>2.29</v>
      </c>
      <c r="S8">
        <f>IF(S$1&lt;&gt;"",INDEX(Base!$G$1:$G$2500,$A8+S$1+2),"")</f>
        <v>0.11</v>
      </c>
      <c r="T8">
        <f>IF(T$1&lt;&gt;"",INDEX(Base!$G$1:$G$2500,$A8+T$1+2),"")</f>
        <v>0.1</v>
      </c>
      <c r="U8">
        <f>IF(U$1&lt;&gt;"",INDEX(Base!$G$1:$G$2500,$A8+U$1+2),"")</f>
        <v>1.71</v>
      </c>
      <c r="V8">
        <f>IF(V$1&lt;&gt;"",INDEX(Base!$G$1:$G$2500,$A8+V$1+2),"")</f>
        <v>0.94</v>
      </c>
      <c r="W8">
        <f>IF(W$1&lt;&gt;"",INDEX(Base!$G$1:$G$2500,$A8+W$1+2),"")</f>
        <v>0.1</v>
      </c>
      <c r="X8">
        <f>IF(X$1&lt;&gt;"",INDEX(Base!$G$1:$G$2500,$A8+X$1+2),"")</f>
        <v>2.79</v>
      </c>
      <c r="Y8">
        <f>IF(Y$1&lt;&gt;"",INDEX(Base!$G$1:$G$2500,$A8+Y$1+2),"")</f>
        <v>0.1</v>
      </c>
      <c r="Z8">
        <f>IF(Z$1&lt;&gt;"",INDEX(Base!$G$1:$G$2500,$A8+Z$1+2),"")</f>
        <v>0.1</v>
      </c>
      <c r="AA8">
        <f>IF(AA$1&lt;&gt;"",INDEX(Base!$G$1:$G$2500,$A8+AA$1+2),"")</f>
        <v>0.96</v>
      </c>
      <c r="AB8">
        <f>IF(AB$1&lt;&gt;"",INDEX(Base!$G$1:$G$2500,$A8+AB$1+2),"")</f>
        <v>2.0499999999999998</v>
      </c>
      <c r="AC8">
        <f>IF(AC$1&lt;&gt;"",INDEX(Base!$G$1:$G$2500,$A8+AC$1+2),"")</f>
        <v>3.23</v>
      </c>
      <c r="AD8">
        <f>IF(AD$1&lt;&gt;"",INDEX(Base!$G$1:$G$2500,$A8+AD$1+2),"")</f>
        <v>10.39</v>
      </c>
      <c r="AE8">
        <f>IF(AE$1&lt;&gt;"",INDEX(Base!$G$1:$G$2500,$A8+AE$1+2),"")</f>
        <v>0.3</v>
      </c>
      <c r="AF8">
        <f>IF(AF$1&lt;&gt;"",INDEX(Base!$G$1:$G$2500,$A8+AF$1+2),"")</f>
        <v>0.98</v>
      </c>
      <c r="AG8">
        <f>IF(AG$1&lt;&gt;"",INDEX(Base!$G$1:$G$2500,$A8+AG$1+2),"")</f>
        <v>0.11</v>
      </c>
      <c r="AH8">
        <f>IF(AH$1&lt;&gt;"",INDEX(Base!$G$1:$G$2500,$A8+AH$1+2),"")</f>
        <v>5.83</v>
      </c>
      <c r="AI8">
        <f>IF(AI$1&lt;&gt;"",INDEX(Base!$G$1:$G$2500,$A8+AI$1+2),"")</f>
        <v>0.1</v>
      </c>
      <c r="AJ8">
        <f>IF(AJ$1&lt;&gt;"",INDEX(Base!$G$1:$G$2500,$A8+AJ$1+2),"")</f>
        <v>0.1</v>
      </c>
      <c r="AK8">
        <f>IF(AK$1&lt;&gt;"",INDEX(Base!$G$1:$G$2500,$A8+AK$1+2),"")</f>
        <v>23.19</v>
      </c>
      <c r="AL8">
        <f>IF(AL$1&lt;&gt;"",INDEX(Base!$G$1:$G$2500,$A8+AL$1+2),"")</f>
        <v>2.0499999999999998</v>
      </c>
      <c r="AM8">
        <f>IF(AM$1&lt;&gt;"",INDEX(Base!$G$1:$G$2500,$A8+AM$1+2),"")</f>
        <v>0.1</v>
      </c>
      <c r="AN8">
        <f>IF(AN$1&lt;&gt;"",INDEX(Base!$G$1:$G$2500,$A8+AN$1+2),"")</f>
        <v>1.81</v>
      </c>
      <c r="AO8">
        <f>IF(AO$1&lt;&gt;"",INDEX(Base!$G$1:$G$2500,$A8+AO$1+2),"")</f>
        <v>3.09</v>
      </c>
      <c r="AP8">
        <f>IF(AP$1&lt;&gt;"",INDEX(Base!$G$1:$G$2500,$A8+AP$1+2),"")</f>
        <v>0.1</v>
      </c>
      <c r="AQ8">
        <f>IF(AQ$1&lt;&gt;"",INDEX(Base!$G$1:$G$2500,$A8+AQ$1+2),"")</f>
        <v>0.1</v>
      </c>
      <c r="AR8">
        <f>IF(AR$1&lt;&gt;"",INDEX(Base!$G$1:$G$2500,$A8+AR$1+2),"")</f>
        <v>0.1</v>
      </c>
      <c r="AS8">
        <f>IF(AS$1&lt;&gt;"",INDEX(Base!$G$1:$G$2500,$A8+AS$1+2),"")</f>
        <v>3.35</v>
      </c>
      <c r="AT8">
        <f>IF(AT$1&lt;&gt;"",INDEX(Base!$G$1:$G$2500,$A8+AT$1+2),"")</f>
        <v>0.12</v>
      </c>
      <c r="AU8">
        <f>IF(AU$1&lt;&gt;"",INDEX(Base!$G$1:$G$2500,$A8+AU$1+2),"")</f>
        <v>0.1</v>
      </c>
      <c r="AV8">
        <f>IF(AV$1&lt;&gt;"",INDEX(Base!$G$1:$G$2500,$A8+AV$1+2),"")</f>
        <v>0.12</v>
      </c>
      <c r="AW8" s="8">
        <f t="shared" si="0"/>
        <v>4.8780487804878057E-2</v>
      </c>
      <c r="AX8">
        <f>IF(AX$1&lt;&gt;"",INDEX(Base!$R$1:$R$2500,$E8+AX$1+2),"")</f>
        <v>82.03</v>
      </c>
      <c r="AY8">
        <f>IF(AY$1&lt;&gt;"",INDEX(Base!$R$1:$R$2500,$E8+AY$1+2),"")</f>
        <v>427.95</v>
      </c>
      <c r="AZ8">
        <f>IF(AZ$1&lt;&gt;"",INDEX(Base!$R$1:$R$2500,$E8+AZ$1+2),"")</f>
        <v>0.1</v>
      </c>
      <c r="BA8">
        <f>IF(BA$1&lt;&gt;"",INDEX(Base!$R$1:$R$2500,$E8+BA$1+2),"")</f>
        <v>0.6</v>
      </c>
      <c r="BB8">
        <f>IF(BB$1&lt;&gt;"",INDEX(Base!$R$1:$R$2500,$E8+BB$1+2),"")</f>
        <v>45.82</v>
      </c>
      <c r="BC8">
        <f>IF(BC$1&lt;&gt;"",INDEX(Base!$R$1:$R$2500,$E8+BC$1+2),"")</f>
        <v>0.1</v>
      </c>
      <c r="BD8">
        <f>IF(BD$1&lt;&gt;"",INDEX(Base!$R$1:$R$2500,$E8+BD$1+2),"")</f>
        <v>1.8</v>
      </c>
      <c r="BE8">
        <f>IF(BE$1&lt;&gt;"",INDEX(Base!$R$1:$R$2500,$E8+BE$1+2),"")</f>
        <v>0.1</v>
      </c>
      <c r="BF8">
        <f>IF(BF$1&lt;&gt;"",INDEX(Base!$R$1:$R$2500,$E8+BF$1+2),"")</f>
        <v>0.12</v>
      </c>
      <c r="BG8">
        <f>IF(BG$1&lt;&gt;"",INDEX(Base!$R$1:$R$2500,$E8+BG$1+2),"")</f>
        <v>0.1</v>
      </c>
      <c r="BH8">
        <f>IF(BH$1&lt;&gt;"",INDEX(Base!$R$1:$R$2500,$E8+BH$1+2),"")</f>
        <v>0.1</v>
      </c>
      <c r="BI8">
        <f>IF(BI$1&lt;&gt;"",INDEX(Base!$R$1:$R$2500,$E8+BI$1+2),"")</f>
        <v>0.1</v>
      </c>
      <c r="BJ8">
        <f>IF(BJ$1&lt;&gt;"",INDEX(Base!$R$1:$R$2500,$E8+BJ$1+2),"")</f>
        <v>0.1</v>
      </c>
      <c r="BK8">
        <f>IF(BK$1&lt;&gt;"",INDEX(Base!$R$1:$R$2500,$E8+BK$1+2),"")</f>
        <v>0.1</v>
      </c>
      <c r="BL8">
        <f>IF(BL$1&lt;&gt;"",INDEX(Base!$R$1:$R$2500,$E8+BL$1+2),"")</f>
        <v>0.1</v>
      </c>
      <c r="BM8">
        <f>IF(BM$1&lt;&gt;"",INDEX(Base!$R$1:$R$2500,$E8+BM$1+2),"")</f>
        <v>0.1</v>
      </c>
      <c r="BN8">
        <f>IF(BN$1&lt;&gt;"",INDEX(Base!$R$1:$R$2500,$E8+BN$1+2),"")</f>
        <v>0.1</v>
      </c>
      <c r="BO8">
        <f>IF(BO$1&lt;&gt;"",INDEX(Base!$R$1:$R$2500,$E8+BO$1+2),"")</f>
        <v>0.1</v>
      </c>
      <c r="BP8">
        <f>IF(BP$1&lt;&gt;"",INDEX(Base!$R$1:$R$2500,$E8+BP$1+2),"")</f>
        <v>0.1</v>
      </c>
      <c r="BQ8">
        <f>IF(BQ$1&lt;&gt;"",INDEX(Base!$R$1:$R$2500,$E8+BQ$1+2),"")</f>
        <v>0.1</v>
      </c>
      <c r="BR8">
        <f>IF(BR$1&lt;&gt;"",INDEX(Base!$R$1:$R$2500,$E8+BR$1+2),"")</f>
        <v>0.1</v>
      </c>
      <c r="BS8">
        <f>IF(BS$1&lt;&gt;"",INDEX(Base!$R$1:$R$2500,$E8+BS$1+2),"")</f>
        <v>0.1</v>
      </c>
      <c r="BT8">
        <f>IF(BT$1&lt;&gt;"",INDEX(Base!$R$1:$R$2500,$E8+BT$1+2),"")</f>
        <v>2.11</v>
      </c>
    </row>
    <row r="9" spans="1:73" x14ac:dyDescent="0.3">
      <c r="A9" s="2">
        <f t="shared" si="2"/>
        <v>269</v>
      </c>
      <c r="B9" s="3" t="str">
        <f>IFERROR(MID(INDEX(Base!A$1:A$2500,Calcoli!A9),47,LEN(INDEX(Base!A$1:A$2500,Calcoli!A9))-41),"")</f>
        <v>d 3 - 100325</v>
      </c>
      <c r="C9" s="5" t="str">
        <f>MID(INDEX(Base!A$1:A$2500,Calcoli!$A9),42,4)</f>
        <v>Qc S</v>
      </c>
      <c r="D9" s="5" t="str">
        <f>MID(INDEX(Base!A$1:A$2500,Calcoli!A9),13,11)</f>
        <v xml:space="preserve"> 31_03_2025</v>
      </c>
      <c r="E9" s="4">
        <f t="shared" si="1"/>
        <v>191</v>
      </c>
      <c r="F9" s="3" t="str">
        <f>IFERROR(MID(INDEX(Base!L$1:L$2500,Calcoli!E9),47,LEN(INDEX(Base!L$1:L$2500,Calcoli!E9))-41),"")</f>
        <v>d 3 - 100325</v>
      </c>
      <c r="G9" s="5" t="str">
        <f>MID(INDEX(Base!L$1:L$2500,Calcoli!$E9),42,4)</f>
        <v>Qc S</v>
      </c>
      <c r="H9" s="5" t="str">
        <f>MID(INDEX(Base!L$1:L$2500,Calcoli!E9),13,11)</f>
        <v xml:space="preserve"> 01_04_2025</v>
      </c>
      <c r="I9" s="6" t="str">
        <f xml:space="preserve"> IFERROR(MID(INDEX(Base!$V$3:$AB$60,MATCH($F9,Base!$Z$3:$Z$160,0),1),1,14),"")</f>
        <v/>
      </c>
      <c r="J9" s="6" t="str">
        <f xml:space="preserve"> IFERROR(INDEX(Base!$V$3:$AB$160,MATCH($F9,Base!$Z$3:$Z$160,0),2),"")</f>
        <v/>
      </c>
      <c r="K9" s="6" t="str">
        <f xml:space="preserve"> IFERROR(INDEX(Base!$V$3:$AB$160,MATCH($F9,Base!$Z$3:$Z$160,0),3),"")</f>
        <v/>
      </c>
      <c r="L9" s="28" t="str">
        <f xml:space="preserve"> IFERROR(INDEX(Base!$V$3:$AB$160,MATCH($F9,Base!$Z$3:$Z$160,0),4),"")</f>
        <v/>
      </c>
      <c r="M9">
        <f>IF(M$1&lt;&gt;"",INDEX(Base!$G$1:$G$2500,$A9+M$1+2),"")</f>
        <v>377.95</v>
      </c>
      <c r="N9">
        <f>IF(N$1&lt;&gt;"",INDEX(Base!$G$1:$G$2500,$A9+N$1+2),"")</f>
        <v>100.75</v>
      </c>
      <c r="O9">
        <f>IF(O$1&lt;&gt;"",INDEX(Base!$G$1:$G$2500,$A9+O$1+2),"")</f>
        <v>9.42</v>
      </c>
      <c r="P9">
        <f>IF(P$1&lt;&gt;"",INDEX(Base!$G$1:$G$2500,$A9+P$1+2),"")</f>
        <v>23.18</v>
      </c>
      <c r="Q9">
        <f>IF(Q$1&lt;&gt;"",INDEX(Base!$G$1:$G$2500,$A9+Q$1+2),"")</f>
        <v>45.06</v>
      </c>
      <c r="R9">
        <f>IF(R$1&lt;&gt;"",INDEX(Base!$G$1:$G$2500,$A9+R$1+2),"")</f>
        <v>51.59</v>
      </c>
      <c r="S9">
        <f>IF(S$1&lt;&gt;"",INDEX(Base!$G$1:$G$2500,$A9+S$1+2),"")</f>
        <v>2.64</v>
      </c>
      <c r="T9">
        <f>IF(T$1&lt;&gt;"",INDEX(Base!$G$1:$G$2500,$A9+T$1+2),"")</f>
        <v>205.1</v>
      </c>
      <c r="U9">
        <f>IF(U$1&lt;&gt;"",INDEX(Base!$G$1:$G$2500,$A9+U$1+2),"")</f>
        <v>40.549999999999997</v>
      </c>
      <c r="V9">
        <f>IF(V$1&lt;&gt;"",INDEX(Base!$G$1:$G$2500,$A9+V$1+2),"")</f>
        <v>4.95</v>
      </c>
      <c r="W9">
        <f>IF(W$1&lt;&gt;"",INDEX(Base!$G$1:$G$2500,$A9+W$1+2),"")</f>
        <v>24.21</v>
      </c>
      <c r="X9">
        <f>IF(X$1&lt;&gt;"",INDEX(Base!$G$1:$G$2500,$A9+X$1+2),"")</f>
        <v>25.17</v>
      </c>
      <c r="Y9">
        <f>IF(Y$1&lt;&gt;"",INDEX(Base!$G$1:$G$2500,$A9+Y$1+2),"")</f>
        <v>908.71</v>
      </c>
      <c r="Z9">
        <f>IF(Z$1&lt;&gt;"",INDEX(Base!$G$1:$G$2500,$A9+Z$1+2),"")</f>
        <v>49.61</v>
      </c>
      <c r="AA9">
        <f>IF(AA$1&lt;&gt;"",INDEX(Base!$G$1:$G$2500,$A9+AA$1+2),"")</f>
        <v>23.14</v>
      </c>
      <c r="AB9">
        <f>IF(AB$1&lt;&gt;"",INDEX(Base!$G$1:$G$2500,$A9+AB$1+2),"")</f>
        <v>22.58</v>
      </c>
      <c r="AC9">
        <f>IF(AC$1&lt;&gt;"",INDEX(Base!$G$1:$G$2500,$A9+AC$1+2),"")</f>
        <v>46.49</v>
      </c>
      <c r="AD9">
        <f>IF(AD$1&lt;&gt;"",INDEX(Base!$G$1:$G$2500,$A9+AD$1+2),"")</f>
        <v>208.16</v>
      </c>
      <c r="AE9">
        <f>IF(AE$1&lt;&gt;"",INDEX(Base!$G$1:$G$2500,$A9+AE$1+2),"")</f>
        <v>4.67</v>
      </c>
      <c r="AF9">
        <f>IF(AF$1&lt;&gt;"",INDEX(Base!$G$1:$G$2500,$A9+AF$1+2),"")</f>
        <v>47.23</v>
      </c>
      <c r="AG9">
        <f>IF(AG$1&lt;&gt;"",INDEX(Base!$G$1:$G$2500,$A9+AG$1+2),"")</f>
        <v>9.92</v>
      </c>
      <c r="AH9">
        <f>IF(AH$1&lt;&gt;"",INDEX(Base!$G$1:$G$2500,$A9+AH$1+2),"")</f>
        <v>49.57</v>
      </c>
      <c r="AI9">
        <f>IF(AI$1&lt;&gt;"",INDEX(Base!$G$1:$G$2500,$A9+AI$1+2),"")</f>
        <v>8.5299999999999994</v>
      </c>
      <c r="AJ9">
        <f>IF(AJ$1&lt;&gt;"",INDEX(Base!$G$1:$G$2500,$A9+AJ$1+2),"")</f>
        <v>1.07</v>
      </c>
      <c r="AK9">
        <f>IF(AK$1&lt;&gt;"",INDEX(Base!$G$1:$G$2500,$A9+AK$1+2),"")</f>
        <v>108.89</v>
      </c>
      <c r="AL9">
        <f>IF(AL$1&lt;&gt;"",INDEX(Base!$G$1:$G$2500,$A9+AL$1+2),"")</f>
        <v>48.31</v>
      </c>
      <c r="AM9">
        <f>IF(AM$1&lt;&gt;"",INDEX(Base!$G$1:$G$2500,$A9+AM$1+2),"")</f>
        <v>8.99</v>
      </c>
      <c r="AN9">
        <f>IF(AN$1&lt;&gt;"",INDEX(Base!$G$1:$G$2500,$A9+AN$1+2),"")</f>
        <v>24.71</v>
      </c>
      <c r="AO9">
        <f>IF(AO$1&lt;&gt;"",INDEX(Base!$G$1:$G$2500,$A9+AO$1+2),"")</f>
        <v>23.54</v>
      </c>
      <c r="AP9">
        <f>IF(AP$1&lt;&gt;"",INDEX(Base!$G$1:$G$2500,$A9+AP$1+2),"")</f>
        <v>2.46</v>
      </c>
      <c r="AQ9">
        <f>IF(AQ$1&lt;&gt;"",INDEX(Base!$G$1:$G$2500,$A9+AQ$1+2),"")</f>
        <v>12.53</v>
      </c>
      <c r="AR9">
        <f>IF(AR$1&lt;&gt;"",INDEX(Base!$G$1:$G$2500,$A9+AR$1+2),"")</f>
        <v>2.02</v>
      </c>
      <c r="AS9">
        <f>IF(AS$1&lt;&gt;"",INDEX(Base!$G$1:$G$2500,$A9+AS$1+2),"")</f>
        <v>27.44</v>
      </c>
      <c r="AT9">
        <f>IF(AT$1&lt;&gt;"",INDEX(Base!$G$1:$G$2500,$A9+AT$1+2),"")</f>
        <v>1.89</v>
      </c>
      <c r="AU9">
        <f>IF(AU$1&lt;&gt;"",INDEX(Base!$G$1:$G$2500,$A9+AU$1+2),"")</f>
        <v>0.68</v>
      </c>
      <c r="AV9">
        <f>IF(AV$1&lt;&gt;"",INDEX(Base!$G$1:$G$2500,$A9+AV$1+2),"")</f>
        <v>10.72</v>
      </c>
      <c r="AW9" s="8">
        <f t="shared" si="0"/>
        <v>2.197077059344553</v>
      </c>
      <c r="AX9">
        <f>IF(AX$1&lt;&gt;"",INDEX(Base!$R$1:$R$2500,$E9+AX$1+2),"")</f>
        <v>620.14</v>
      </c>
      <c r="AY9">
        <f>IF(AY$1&lt;&gt;"",INDEX(Base!$R$1:$R$2500,$E9+AY$1+2),"")</f>
        <v>3152.18</v>
      </c>
      <c r="AZ9">
        <f>IF(AZ$1&lt;&gt;"",INDEX(Base!$R$1:$R$2500,$E9+AZ$1+2),"")</f>
        <v>12.68</v>
      </c>
      <c r="BA9">
        <f>IF(BA$1&lt;&gt;"",INDEX(Base!$R$1:$R$2500,$E9+BA$1+2),"")</f>
        <v>11.83</v>
      </c>
      <c r="BB9">
        <f>IF(BB$1&lt;&gt;"",INDEX(Base!$R$1:$R$2500,$E9+BB$1+2),"")</f>
        <v>398.55</v>
      </c>
      <c r="BC9">
        <f>IF(BC$1&lt;&gt;"",INDEX(Base!$R$1:$R$2500,$E9+BC$1+2),"")</f>
        <v>25.5</v>
      </c>
      <c r="BD9">
        <f>IF(BD$1&lt;&gt;"",INDEX(Base!$R$1:$R$2500,$E9+BD$1+2),"")</f>
        <v>47.61</v>
      </c>
      <c r="BE9">
        <f>IF(BE$1&lt;&gt;"",INDEX(Base!$R$1:$R$2500,$E9+BE$1+2),"")</f>
        <v>455.59</v>
      </c>
      <c r="BF9">
        <f>IF(BF$1&lt;&gt;"",INDEX(Base!$R$1:$R$2500,$E9+BF$1+2),"")</f>
        <v>5.05</v>
      </c>
      <c r="BG9">
        <f>IF(BG$1&lt;&gt;"",INDEX(Base!$R$1:$R$2500,$E9+BG$1+2),"")</f>
        <v>65.69</v>
      </c>
      <c r="BH9">
        <f>IF(BH$1&lt;&gt;"",INDEX(Base!$R$1:$R$2500,$E9+BH$1+2),"")</f>
        <v>5.64</v>
      </c>
      <c r="BI9">
        <f>IF(BI$1&lt;&gt;"",INDEX(Base!$R$1:$R$2500,$E9+BI$1+2),"")</f>
        <v>888.74</v>
      </c>
      <c r="BJ9">
        <f>IF(BJ$1&lt;&gt;"",INDEX(Base!$R$1:$R$2500,$E9+BJ$1+2),"")</f>
        <v>214.26</v>
      </c>
      <c r="BK9">
        <f>IF(BK$1&lt;&gt;"",INDEX(Base!$R$1:$R$2500,$E9+BK$1+2),"")</f>
        <v>270.26</v>
      </c>
      <c r="BL9">
        <f>IF(BL$1&lt;&gt;"",INDEX(Base!$R$1:$R$2500,$E9+BL$1+2),"")</f>
        <v>131.82</v>
      </c>
      <c r="BM9">
        <f>IF(BM$1&lt;&gt;"",INDEX(Base!$R$1:$R$2500,$E9+BM$1+2),"")</f>
        <v>21.43</v>
      </c>
      <c r="BN9">
        <f>IF(BN$1&lt;&gt;"",INDEX(Base!$R$1:$R$2500,$E9+BN$1+2),"")</f>
        <v>0.38</v>
      </c>
      <c r="BO9">
        <f>IF(BO$1&lt;&gt;"",INDEX(Base!$R$1:$R$2500,$E9+BO$1+2),"")</f>
        <v>0.88</v>
      </c>
      <c r="BP9">
        <f>IF(BP$1&lt;&gt;"",INDEX(Base!$R$1:$R$2500,$E9+BP$1+2),"")</f>
        <v>130.24</v>
      </c>
      <c r="BQ9">
        <f>IF(BQ$1&lt;&gt;"",INDEX(Base!$R$1:$R$2500,$E9+BQ$1+2),"")</f>
        <v>5.07</v>
      </c>
      <c r="BR9">
        <f>IF(BR$1&lt;&gt;"",INDEX(Base!$R$1:$R$2500,$E9+BR$1+2),"")</f>
        <v>1.1100000000000001</v>
      </c>
      <c r="BS9">
        <f>IF(BS$1&lt;&gt;"",INDEX(Base!$R$1:$R$2500,$E9+BS$1+2),"")</f>
        <v>65.64</v>
      </c>
      <c r="BT9">
        <f>IF(BT$1&lt;&gt;"",INDEX(Base!$R$1:$R$2500,$E9+BT$1+2),"")</f>
        <v>47.68</v>
      </c>
    </row>
    <row r="10" spans="1:73" x14ac:dyDescent="0.3">
      <c r="A10" s="2">
        <f t="shared" ref="A10:A73" si="3">+A9+44</f>
        <v>313</v>
      </c>
      <c r="B10" s="3" t="str">
        <f>IFERROR(MID(INDEX(Base!A$1:A$2500,Calcoli!A10),47,LEN(INDEX(Base!A$1:A$2500,Calcoli!A10))-41),"")</f>
        <v/>
      </c>
      <c r="C10" s="5" t="str">
        <f>MID(INDEX(Base!A$1:A$2500,Calcoli!$A10),42,4)</f>
        <v/>
      </c>
      <c r="D10" s="5" t="str">
        <f>MID(INDEX(Base!A$1:A$2500,Calcoli!A10),13,11)</f>
        <v xml:space="preserve"> 31_03_2025</v>
      </c>
      <c r="E10" s="4">
        <f t="shared" si="1"/>
        <v>222</v>
      </c>
      <c r="F10" s="3" t="str">
        <f>IFERROR(MID(INDEX(Base!L$1:L$2500,Calcoli!E10),47,LEN(INDEX(Base!L$1:L$2500,Calcoli!E10))-41),"")</f>
        <v/>
      </c>
      <c r="G10" s="5" t="str">
        <f>MID(INDEX(Base!L$1:L$2500,Calcoli!$E10),42,4)</f>
        <v/>
      </c>
      <c r="H10" s="5" t="str">
        <f>MID(INDEX(Base!L$1:L$2500,Calcoli!E10),13,11)</f>
        <v xml:space="preserve"> 01_04_2025</v>
      </c>
      <c r="I10" s="6" t="str">
        <f xml:space="preserve"> IFERROR(MID(INDEX(Base!$V$3:$AB$60,MATCH($F10,Base!$Z$3:$Z$160,0),1),1,14),"")</f>
        <v/>
      </c>
      <c r="J10" s="6" t="str">
        <f xml:space="preserve"> IFERROR(INDEX(Base!$V$3:$AB$160,MATCH($F10,Base!$Z$3:$Z$160,0),2),"")</f>
        <v/>
      </c>
      <c r="K10" s="6" t="str">
        <f xml:space="preserve"> IFERROR(INDEX(Base!$V$3:$AB$160,MATCH($F10,Base!$Z$3:$Z$160,0),3),"")</f>
        <v/>
      </c>
      <c r="L10" s="28" t="str">
        <f xml:space="preserve"> IFERROR(INDEX(Base!$V$3:$AB$160,MATCH($F10,Base!$Z$3:$Z$160,0),4),"")</f>
        <v/>
      </c>
      <c r="M10">
        <f>IF(M$1&lt;&gt;"",INDEX(Base!$G$1:$G$2500,$A10+M$1+2),"")</f>
        <v>0.1</v>
      </c>
      <c r="N10">
        <f>IF(N$1&lt;&gt;"",INDEX(Base!$G$1:$G$2500,$A10+N$1+2),"")</f>
        <v>8</v>
      </c>
      <c r="O10">
        <f>IF(O$1&lt;&gt;"",INDEX(Base!$G$1:$G$2500,$A10+O$1+2),"")</f>
        <v>0.41</v>
      </c>
      <c r="P10">
        <f>IF(P$1&lt;&gt;"",INDEX(Base!$G$1:$G$2500,$A10+P$1+2),"")</f>
        <v>0.78</v>
      </c>
      <c r="Q10">
        <f>IF(Q$1&lt;&gt;"",INDEX(Base!$G$1:$G$2500,$A10+Q$1+2),"")</f>
        <v>0.1</v>
      </c>
      <c r="R10">
        <f>IF(R$1&lt;&gt;"",INDEX(Base!$G$1:$G$2500,$A10+R$1+2),"")</f>
        <v>2.29</v>
      </c>
      <c r="S10">
        <f>IF(S$1&lt;&gt;"",INDEX(Base!$G$1:$G$2500,$A10+S$1+2),"")</f>
        <v>0.1</v>
      </c>
      <c r="T10">
        <f>IF(T$1&lt;&gt;"",INDEX(Base!$G$1:$G$2500,$A10+T$1+2),"")</f>
        <v>0.1</v>
      </c>
      <c r="U10">
        <f>IF(U$1&lt;&gt;"",INDEX(Base!$G$1:$G$2500,$A10+U$1+2),"")</f>
        <v>2.67</v>
      </c>
      <c r="V10">
        <f>IF(V$1&lt;&gt;"",INDEX(Base!$G$1:$G$2500,$A10+V$1+2),"")</f>
        <v>0.99</v>
      </c>
      <c r="W10">
        <f>IF(W$1&lt;&gt;"",INDEX(Base!$G$1:$G$2500,$A10+W$1+2),"")</f>
        <v>1.63</v>
      </c>
      <c r="X10">
        <f>IF(X$1&lt;&gt;"",INDEX(Base!$G$1:$G$2500,$A10+X$1+2),"")</f>
        <v>2.76</v>
      </c>
      <c r="Y10">
        <f>IF(Y$1&lt;&gt;"",INDEX(Base!$G$1:$G$2500,$A10+Y$1+2),"")</f>
        <v>0.1</v>
      </c>
      <c r="Z10">
        <f>IF(Z$1&lt;&gt;"",INDEX(Base!$G$1:$G$2500,$A10+Z$1+2),"")</f>
        <v>0.1</v>
      </c>
      <c r="AA10">
        <f>IF(AA$1&lt;&gt;"",INDEX(Base!$G$1:$G$2500,$A10+AA$1+2),"")</f>
        <v>2.23</v>
      </c>
      <c r="AB10">
        <f>IF(AB$1&lt;&gt;"",INDEX(Base!$G$1:$G$2500,$A10+AB$1+2),"")</f>
        <v>2.0499999999999998</v>
      </c>
      <c r="AC10">
        <f>IF(AC$1&lt;&gt;"",INDEX(Base!$G$1:$G$2500,$A10+AC$1+2),"")</f>
        <v>3.26</v>
      </c>
      <c r="AD10">
        <f>IF(AD$1&lt;&gt;"",INDEX(Base!$G$1:$G$2500,$A10+AD$1+2),"")</f>
        <v>10.42</v>
      </c>
      <c r="AE10">
        <f>IF(AE$1&lt;&gt;"",INDEX(Base!$G$1:$G$2500,$A10+AE$1+2),"")</f>
        <v>0.3</v>
      </c>
      <c r="AF10">
        <f>IF(AF$1&lt;&gt;"",INDEX(Base!$G$1:$G$2500,$A10+AF$1+2),"")</f>
        <v>0.33</v>
      </c>
      <c r="AG10">
        <f>IF(AG$1&lt;&gt;"",INDEX(Base!$G$1:$G$2500,$A10+AG$1+2),"")</f>
        <v>7.0000000000000007E-2</v>
      </c>
      <c r="AH10">
        <f>IF(AH$1&lt;&gt;"",INDEX(Base!$G$1:$G$2500,$A10+AH$1+2),"")</f>
        <v>0.1</v>
      </c>
      <c r="AI10">
        <f>IF(AI$1&lt;&gt;"",INDEX(Base!$G$1:$G$2500,$A10+AI$1+2),"")</f>
        <v>0.1</v>
      </c>
      <c r="AJ10">
        <f>IF(AJ$1&lt;&gt;"",INDEX(Base!$G$1:$G$2500,$A10+AJ$1+2),"")</f>
        <v>0.1</v>
      </c>
      <c r="AK10">
        <f>IF(AK$1&lt;&gt;"",INDEX(Base!$G$1:$G$2500,$A10+AK$1+2),"")</f>
        <v>21.74</v>
      </c>
      <c r="AL10">
        <f>IF(AL$1&lt;&gt;"",INDEX(Base!$G$1:$G$2500,$A10+AL$1+2),"")</f>
        <v>0.1</v>
      </c>
      <c r="AM10">
        <f>IF(AM$1&lt;&gt;"",INDEX(Base!$G$1:$G$2500,$A10+AM$1+2),"")</f>
        <v>0.1</v>
      </c>
      <c r="AN10">
        <f>IF(AN$1&lt;&gt;"",INDEX(Base!$G$1:$G$2500,$A10+AN$1+2),"")</f>
        <v>1.8</v>
      </c>
      <c r="AO10">
        <f>IF(AO$1&lt;&gt;"",INDEX(Base!$G$1:$G$2500,$A10+AO$1+2),"")</f>
        <v>0.1</v>
      </c>
      <c r="AP10">
        <f>IF(AP$1&lt;&gt;"",INDEX(Base!$G$1:$G$2500,$A10+AP$1+2),"")</f>
        <v>0.14000000000000001</v>
      </c>
      <c r="AQ10">
        <f>IF(AQ$1&lt;&gt;"",INDEX(Base!$G$1:$G$2500,$A10+AQ$1+2),"")</f>
        <v>0.1</v>
      </c>
      <c r="AR10">
        <f>IF(AR$1&lt;&gt;"",INDEX(Base!$G$1:$G$2500,$A10+AR$1+2),"")</f>
        <v>0.1</v>
      </c>
      <c r="AS10">
        <f>IF(AS$1&lt;&gt;"",INDEX(Base!$G$1:$G$2500,$A10+AS$1+2),"")</f>
        <v>3.35</v>
      </c>
      <c r="AT10">
        <f>IF(AT$1&lt;&gt;"",INDEX(Base!$G$1:$G$2500,$A10+AT$1+2),"")</f>
        <v>0.11</v>
      </c>
      <c r="AU10">
        <f>IF(AU$1&lt;&gt;"",INDEX(Base!$G$1:$G$2500,$A10+AU$1+2),"")</f>
        <v>0.1</v>
      </c>
      <c r="AV10">
        <f>IF(AV$1&lt;&gt;"",INDEX(Base!$G$1:$G$2500,$A10+AV$1+2),"")</f>
        <v>0.06</v>
      </c>
      <c r="AW10" s="8">
        <f t="shared" si="0"/>
        <v>4.8780487804878057E-2</v>
      </c>
      <c r="AX10">
        <f>IF(AX$1&lt;&gt;"",INDEX(Base!$R$1:$R$2500,$E10+AX$1+2),"")</f>
        <v>82.03</v>
      </c>
      <c r="AY10">
        <f>IF(AY$1&lt;&gt;"",INDEX(Base!$R$1:$R$2500,$E10+AY$1+2),"")</f>
        <v>427.92</v>
      </c>
      <c r="AZ10">
        <f>IF(AZ$1&lt;&gt;"",INDEX(Base!$R$1:$R$2500,$E10+AZ$1+2),"")</f>
        <v>0.1</v>
      </c>
      <c r="BA10">
        <f>IF(BA$1&lt;&gt;"",INDEX(Base!$R$1:$R$2500,$E10+BA$1+2),"")</f>
        <v>0.65</v>
      </c>
      <c r="BB10">
        <f>IF(BB$1&lt;&gt;"",INDEX(Base!$R$1:$R$2500,$E10+BB$1+2),"")</f>
        <v>46.05</v>
      </c>
      <c r="BC10">
        <f>IF(BC$1&lt;&gt;"",INDEX(Base!$R$1:$R$2500,$E10+BC$1+2),"")</f>
        <v>0.1</v>
      </c>
      <c r="BD10">
        <f>IF(BD$1&lt;&gt;"",INDEX(Base!$R$1:$R$2500,$E10+BD$1+2),"")</f>
        <v>1.79</v>
      </c>
      <c r="BE10">
        <f>IF(BE$1&lt;&gt;"",INDEX(Base!$R$1:$R$2500,$E10+BE$1+2),"")</f>
        <v>0.1</v>
      </c>
      <c r="BF10">
        <f>IF(BF$1&lt;&gt;"",INDEX(Base!$R$1:$R$2500,$E10+BF$1+2),"")</f>
        <v>0.12</v>
      </c>
      <c r="BG10">
        <f>IF(BG$1&lt;&gt;"",INDEX(Base!$R$1:$R$2500,$E10+BG$1+2),"")</f>
        <v>0.1</v>
      </c>
      <c r="BH10">
        <f>IF(BH$1&lt;&gt;"",INDEX(Base!$R$1:$R$2500,$E10+BH$1+2),"")</f>
        <v>0.1</v>
      </c>
      <c r="BI10">
        <f>IF(BI$1&lt;&gt;"",INDEX(Base!$R$1:$R$2500,$E10+BI$1+2),"")</f>
        <v>0.1</v>
      </c>
      <c r="BJ10">
        <f>IF(BJ$1&lt;&gt;"",INDEX(Base!$R$1:$R$2500,$E10+BJ$1+2),"")</f>
        <v>0.1</v>
      </c>
      <c r="BK10">
        <f>IF(BK$1&lt;&gt;"",INDEX(Base!$R$1:$R$2500,$E10+BK$1+2),"")</f>
        <v>0.1</v>
      </c>
      <c r="BL10">
        <f>IF(BL$1&lt;&gt;"",INDEX(Base!$R$1:$R$2500,$E10+BL$1+2),"")</f>
        <v>0.1</v>
      </c>
      <c r="BM10">
        <f>IF(BM$1&lt;&gt;"",INDEX(Base!$R$1:$R$2500,$E10+BM$1+2),"")</f>
        <v>0.1</v>
      </c>
      <c r="BN10">
        <f>IF(BN$1&lt;&gt;"",INDEX(Base!$R$1:$R$2500,$E10+BN$1+2),"")</f>
        <v>0.1</v>
      </c>
      <c r="BO10">
        <f>IF(BO$1&lt;&gt;"",INDEX(Base!$R$1:$R$2500,$E10+BO$1+2),"")</f>
        <v>0.1</v>
      </c>
      <c r="BP10">
        <f>IF(BP$1&lt;&gt;"",INDEX(Base!$R$1:$R$2500,$E10+BP$1+2),"")</f>
        <v>0.1</v>
      </c>
      <c r="BQ10">
        <f>IF(BQ$1&lt;&gt;"",INDEX(Base!$R$1:$R$2500,$E10+BQ$1+2),"")</f>
        <v>0.1</v>
      </c>
      <c r="BR10">
        <f>IF(BR$1&lt;&gt;"",INDEX(Base!$R$1:$R$2500,$E10+BR$1+2),"")</f>
        <v>0.1</v>
      </c>
      <c r="BS10">
        <f>IF(BS$1&lt;&gt;"",INDEX(Base!$R$1:$R$2500,$E10+BS$1+2),"")</f>
        <v>0.1</v>
      </c>
      <c r="BT10">
        <f>IF(BT$1&lt;&gt;"",INDEX(Base!$R$1:$R$2500,$E10+BT$1+2),"")</f>
        <v>2.0499999999999998</v>
      </c>
    </row>
    <row r="11" spans="1:73" x14ac:dyDescent="0.3">
      <c r="A11" s="2">
        <f t="shared" si="3"/>
        <v>357</v>
      </c>
      <c r="B11" s="3" t="s">
        <v>679</v>
      </c>
      <c r="C11" s="38">
        <v>2242</v>
      </c>
      <c r="D11" s="5" t="str">
        <f>MID(INDEX(Base!A$1:A$2500,Calcoli!A11),13,11)</f>
        <v xml:space="preserve"> 31_03_2025</v>
      </c>
      <c r="E11" s="4">
        <f t="shared" si="1"/>
        <v>253</v>
      </c>
      <c r="F11" s="3" t="str">
        <f>IFERROR(MID(INDEX(Base!L$1:L$2500,Calcoli!E11),47,LEN(INDEX(Base!L$1:L$2500,Calcoli!E11))-41),"")</f>
        <v>SIMONI ENRICO</v>
      </c>
      <c r="G11" s="5" t="str">
        <f>MID(INDEX(Base!L$1:L$2500,Calcoli!$E11),42,4)</f>
        <v>1709</v>
      </c>
      <c r="H11" s="5" t="str">
        <f>MID(INDEX(Base!L$1:L$2500,Calcoli!E11),13,11)</f>
        <v xml:space="preserve"> 01_04_2025</v>
      </c>
      <c r="I11" s="6" t="str">
        <f xml:space="preserve"> IFERROR(MID(INDEX(Base!$V$3:$AB$60,MATCH($F11,Base!$Z$3:$Z$160,0),1),1,14),"")</f>
        <v>1709 SIMONI EN</v>
      </c>
      <c r="J11" s="6">
        <f xml:space="preserve"> IFERROR(INDEX(Base!$V$3:$AB$160,MATCH($F11,Base!$Z$3:$Z$160,0),2),"")</f>
        <v>78.064516129032242</v>
      </c>
      <c r="K11" s="6">
        <f xml:space="preserve"> IFERROR(INDEX(Base!$V$3:$AB$160,MATCH($F11,Base!$Z$3:$Z$160,0),3),"")</f>
        <v>64.005022532199249</v>
      </c>
      <c r="L11" s="28">
        <f xml:space="preserve"> IFERROR(INDEX(Base!$V$3:$AB$160,MATCH($F11,Base!$Z$3:$Z$160,0),4),"")</f>
        <v>19.411407766990294</v>
      </c>
      <c r="M11">
        <f>IF(M$1&lt;&gt;"",INDEX(Base!$G$1:$G$2500,$A11+M$1+2),"")</f>
        <v>8.36</v>
      </c>
      <c r="N11">
        <f>IF(N$1&lt;&gt;"",INDEX(Base!$G$1:$G$2500,$A11+N$1+2),"")</f>
        <v>3.02</v>
      </c>
      <c r="O11">
        <f>IF(O$1&lt;&gt;"",INDEX(Base!$G$1:$G$2500,$A11+O$1+2),"")</f>
        <v>7.0000000000000007E-2</v>
      </c>
      <c r="P11">
        <f>IF(P$1&lt;&gt;"",INDEX(Base!$G$1:$G$2500,$A11+P$1+2),"")</f>
        <v>0.84</v>
      </c>
      <c r="Q11">
        <f>IF(Q$1&lt;&gt;"",INDEX(Base!$G$1:$G$2500,$A11+Q$1+2),"")</f>
        <v>0.68</v>
      </c>
      <c r="R11">
        <f>IF(R$1&lt;&gt;"",INDEX(Base!$G$1:$G$2500,$A11+R$1+2),"")</f>
        <v>0.89</v>
      </c>
      <c r="S11">
        <f>IF(S$1&lt;&gt;"",INDEX(Base!$G$1:$G$2500,$A11+S$1+2),"")</f>
        <v>0.1</v>
      </c>
      <c r="T11">
        <f>IF(T$1&lt;&gt;"",INDEX(Base!$G$1:$G$2500,$A11+T$1+2),"")</f>
        <v>10.41</v>
      </c>
      <c r="U11">
        <f>IF(U$1&lt;&gt;"",INDEX(Base!$G$1:$G$2500,$A11+U$1+2),"")</f>
        <v>2.66</v>
      </c>
      <c r="V11">
        <f>IF(V$1&lt;&gt;"",INDEX(Base!$G$1:$G$2500,$A11+V$1+2),"")</f>
        <v>0.13</v>
      </c>
      <c r="W11">
        <f>IF(W$1&lt;&gt;"",INDEX(Base!$G$1:$G$2500,$A11+W$1+2),"")</f>
        <v>1.1499999999999999</v>
      </c>
      <c r="X11">
        <f>IF(X$1&lt;&gt;"",INDEX(Base!$G$1:$G$2500,$A11+X$1+2),"")</f>
        <v>1.05</v>
      </c>
      <c r="Y11">
        <f>IF(Y$1&lt;&gt;"",INDEX(Base!$G$1:$G$2500,$A11+Y$1+2),"")</f>
        <v>69.53</v>
      </c>
      <c r="Z11">
        <f>IF(Z$1&lt;&gt;"",INDEX(Base!$G$1:$G$2500,$A11+Z$1+2),"")</f>
        <v>1.66</v>
      </c>
      <c r="AA11">
        <f>IF(AA$1&lt;&gt;"",INDEX(Base!$G$1:$G$2500,$A11+AA$1+2),"")</f>
        <v>1.1599999999999999</v>
      </c>
      <c r="AB11">
        <f>IF(AB$1&lt;&gt;"",INDEX(Base!$G$1:$G$2500,$A11+AB$1+2),"")</f>
        <v>1.25</v>
      </c>
      <c r="AC11">
        <f>IF(AC$1&lt;&gt;"",INDEX(Base!$G$1:$G$2500,$A11+AC$1+2),"")</f>
        <v>0.87</v>
      </c>
      <c r="AD11">
        <f>IF(AD$1&lt;&gt;"",INDEX(Base!$G$1:$G$2500,$A11+AD$1+2),"")</f>
        <v>8.61</v>
      </c>
      <c r="AE11">
        <f>IF(AE$1&lt;&gt;"",INDEX(Base!$G$1:$G$2500,$A11+AE$1+2),"")</f>
        <v>0.2</v>
      </c>
      <c r="AF11">
        <f>IF(AF$1&lt;&gt;"",INDEX(Base!$G$1:$G$2500,$A11+AF$1+2),"")</f>
        <v>2.96</v>
      </c>
      <c r="AG11">
        <f>IF(AG$1&lt;&gt;"",INDEX(Base!$G$1:$G$2500,$A11+AG$1+2),"")</f>
        <v>0.3</v>
      </c>
      <c r="AH11">
        <f>IF(AH$1&lt;&gt;"",INDEX(Base!$G$1:$G$2500,$A11+AH$1+2),"")</f>
        <v>2.33</v>
      </c>
      <c r="AI11">
        <f>IF(AI$1&lt;&gt;"",INDEX(Base!$G$1:$G$2500,$A11+AI$1+2),"")</f>
        <v>1.08</v>
      </c>
      <c r="AJ11">
        <f>IF(AJ$1&lt;&gt;"",INDEX(Base!$G$1:$G$2500,$A11+AJ$1+2),"")</f>
        <v>0.1</v>
      </c>
      <c r="AK11">
        <f>IF(AK$1&lt;&gt;"",INDEX(Base!$G$1:$G$2500,$A11+AK$1+2),"")</f>
        <v>5.17</v>
      </c>
      <c r="AL11">
        <f>IF(AL$1&lt;&gt;"",INDEX(Base!$G$1:$G$2500,$A11+AL$1+2),"")</f>
        <v>4.49</v>
      </c>
      <c r="AM11">
        <f>IF(AM$1&lt;&gt;"",INDEX(Base!$G$1:$G$2500,$A11+AM$1+2),"")</f>
        <v>0.1</v>
      </c>
      <c r="AN11">
        <f>IF(AN$1&lt;&gt;"",INDEX(Base!$G$1:$G$2500,$A11+AN$1+2),"")</f>
        <v>0.38</v>
      </c>
      <c r="AO11">
        <f>IF(AO$1&lt;&gt;"",INDEX(Base!$G$1:$G$2500,$A11+AO$1+2),"")</f>
        <v>0.95</v>
      </c>
      <c r="AP11">
        <f>IF(AP$1&lt;&gt;"",INDEX(Base!$G$1:$G$2500,$A11+AP$1+2),"")</f>
        <v>0.11</v>
      </c>
      <c r="AQ11">
        <f>IF(AQ$1&lt;&gt;"",INDEX(Base!$G$1:$G$2500,$A11+AQ$1+2),"")</f>
        <v>0.47</v>
      </c>
      <c r="AR11">
        <f>IF(AR$1&lt;&gt;"",INDEX(Base!$G$1:$G$2500,$A11+AR$1+2),"")</f>
        <v>0.11</v>
      </c>
      <c r="AS11">
        <f>IF(AS$1&lt;&gt;"",INDEX(Base!$G$1:$G$2500,$A11+AS$1+2),"")</f>
        <v>0.85</v>
      </c>
      <c r="AT11">
        <f>IF(AT$1&lt;&gt;"",INDEX(Base!$G$1:$G$2500,$A11+AT$1+2),"")</f>
        <v>7.0000000000000007E-2</v>
      </c>
      <c r="AU11">
        <f>IF(AU$1&lt;&gt;"",INDEX(Base!$G$1:$G$2500,$A11+AU$1+2),"")</f>
        <v>0.1</v>
      </c>
      <c r="AV11">
        <f>IF(AV$1&lt;&gt;"",INDEX(Base!$G$1:$G$2500,$A11+AV$1+2),"")</f>
        <v>0.21</v>
      </c>
      <c r="AW11" s="8">
        <f t="shared" si="0"/>
        <v>1.3279999999999998</v>
      </c>
      <c r="AX11">
        <f>IF(AX$1&lt;&gt;"",INDEX(Base!$R$1:$R$2500,$E11+AX$1+2),"")</f>
        <v>11.88</v>
      </c>
      <c r="AY11">
        <f>IF(AY$1&lt;&gt;"",INDEX(Base!$R$1:$R$2500,$E11+AY$1+2),"")</f>
        <v>142.66999999999999</v>
      </c>
      <c r="AZ11">
        <f>IF(AZ$1&lt;&gt;"",INDEX(Base!$R$1:$R$2500,$E11+AZ$1+2),"")</f>
        <v>0.21</v>
      </c>
      <c r="BA11">
        <f>IF(BA$1&lt;&gt;"",INDEX(Base!$R$1:$R$2500,$E11+BA$1+2),"")</f>
        <v>0.18</v>
      </c>
      <c r="BB11">
        <f>IF(BB$1&lt;&gt;"",INDEX(Base!$R$1:$R$2500,$E11+BB$1+2),"")</f>
        <v>19.66</v>
      </c>
      <c r="BC11">
        <f>IF(BC$1&lt;&gt;"",INDEX(Base!$R$1:$R$2500,$E11+BC$1+2),"")</f>
        <v>1.03</v>
      </c>
      <c r="BD11">
        <f>IF(BD$1&lt;&gt;"",INDEX(Base!$R$1:$R$2500,$E11+BD$1+2),"")</f>
        <v>1.94</v>
      </c>
      <c r="BE11">
        <f>IF(BE$1&lt;&gt;"",INDEX(Base!$R$1:$R$2500,$E11+BE$1+2),"")</f>
        <v>28.76</v>
      </c>
      <c r="BF11">
        <f>IF(BF$1&lt;&gt;"",INDEX(Base!$R$1:$R$2500,$E11+BF$1+2),"")</f>
        <v>0.06</v>
      </c>
      <c r="BG11">
        <f>IF(BG$1&lt;&gt;"",INDEX(Base!$R$1:$R$2500,$E11+BG$1+2),"")</f>
        <v>0.1</v>
      </c>
      <c r="BH11">
        <f>IF(BH$1&lt;&gt;"",INDEX(Base!$R$1:$R$2500,$E11+BH$1+2),"")</f>
        <v>0.16</v>
      </c>
      <c r="BI11">
        <f>IF(BI$1&lt;&gt;"",INDEX(Base!$R$1:$R$2500,$E11+BI$1+2),"")</f>
        <v>5.1100000000000003</v>
      </c>
      <c r="BJ11">
        <f>IF(BJ$1&lt;&gt;"",INDEX(Base!$R$1:$R$2500,$E11+BJ$1+2),"")</f>
        <v>6.06</v>
      </c>
      <c r="BK11">
        <f>IF(BK$1&lt;&gt;"",INDEX(Base!$R$1:$R$2500,$E11+BK$1+2),"")</f>
        <v>8.75</v>
      </c>
      <c r="BL11">
        <f>IF(BL$1&lt;&gt;"",INDEX(Base!$R$1:$R$2500,$E11+BL$1+2),"")</f>
        <v>7.71</v>
      </c>
      <c r="BM11">
        <f>IF(BM$1&lt;&gt;"",INDEX(Base!$R$1:$R$2500,$E11+BM$1+2),"")</f>
        <v>1.06</v>
      </c>
      <c r="BN11">
        <f>IF(BN$1&lt;&gt;"",INDEX(Base!$R$1:$R$2500,$E11+BN$1+2),"")</f>
        <v>0.1</v>
      </c>
      <c r="BO11">
        <f>IF(BO$1&lt;&gt;"",INDEX(Base!$R$1:$R$2500,$E11+BO$1+2),"")</f>
        <v>0.08</v>
      </c>
      <c r="BP11">
        <f>IF(BP$1&lt;&gt;"",INDEX(Base!$R$1:$R$2500,$E11+BP$1+2),"")</f>
        <v>0.85</v>
      </c>
      <c r="BQ11">
        <f>IF(BQ$1&lt;&gt;"",INDEX(Base!$R$1:$R$2500,$E11+BQ$1+2),"")</f>
        <v>0.12</v>
      </c>
      <c r="BR11">
        <f>IF(BR$1&lt;&gt;"",INDEX(Base!$R$1:$R$2500,$E11+BR$1+2),"")</f>
        <v>0.06</v>
      </c>
      <c r="BS11">
        <f>IF(BS$1&lt;&gt;"",INDEX(Base!$R$1:$R$2500,$E11+BS$1+2),"")</f>
        <v>3.49</v>
      </c>
      <c r="BT11">
        <f>IF(BT$1&lt;&gt;"",INDEX(Base!$R$1:$R$2500,$E11+BT$1+2),"")</f>
        <v>1.28</v>
      </c>
    </row>
    <row r="12" spans="1:73" x14ac:dyDescent="0.3">
      <c r="A12" s="2">
        <f t="shared" si="3"/>
        <v>401</v>
      </c>
      <c r="B12" s="3" t="s">
        <v>680</v>
      </c>
      <c r="C12" s="38">
        <v>2243</v>
      </c>
      <c r="D12" s="5" t="str">
        <f>MID(INDEX(Base!A$1:A$2500,Calcoli!A12),13,11)</f>
        <v xml:space="preserve"> 31_03_2025</v>
      </c>
      <c r="E12" s="4">
        <f t="shared" si="1"/>
        <v>284</v>
      </c>
      <c r="F12" s="3" t="str">
        <f>IFERROR(MID(INDEX(Base!L$1:L$2500,Calcoli!E12),47,LEN(INDEX(Base!L$1:L$2500,Calcoli!E12))-41),"")</f>
        <v>CASALI ANNA MARIA</v>
      </c>
      <c r="G12" s="5" t="str">
        <f>MID(INDEX(Base!L$1:L$2500,Calcoli!$E12),42,4)</f>
        <v>1711</v>
      </c>
      <c r="H12" s="5" t="str">
        <f>MID(INDEX(Base!L$1:L$2500,Calcoli!E12),13,11)</f>
        <v xml:space="preserve"> 01_04_2025</v>
      </c>
      <c r="I12" s="6" t="str">
        <f xml:space="preserve"> IFERROR(MID(INDEX(Base!$V$3:$AB$60,MATCH($F12,Base!$Z$3:$Z$160,0),1),1,14),"")</f>
        <v>1711 CASALI AN</v>
      </c>
      <c r="J12" s="6">
        <f xml:space="preserve"> IFERROR(INDEX(Base!$V$3:$AB$160,MATCH($F12,Base!$Z$3:$Z$160,0),2),"")</f>
        <v>89.090909090909093</v>
      </c>
      <c r="K12" s="6">
        <f xml:space="preserve"> IFERROR(INDEX(Base!$V$3:$AB$160,MATCH($F12,Base!$Z$3:$Z$160,0),3),"")</f>
        <v>27.77962816467382</v>
      </c>
      <c r="L12" s="28">
        <f xml:space="preserve"> IFERROR(INDEX(Base!$V$3:$AB$160,MATCH($F12,Base!$Z$3:$Z$160,0),4),"")</f>
        <v>8.2827669902912628</v>
      </c>
      <c r="M12">
        <f>IF(M$1&lt;&gt;"",INDEX(Base!$G$1:$G$2500,$A12+M$1+2),"")</f>
        <v>16.600000000000001</v>
      </c>
      <c r="N12">
        <f>IF(N$1&lt;&gt;"",INDEX(Base!$G$1:$G$2500,$A12+N$1+2),"")</f>
        <v>2.44</v>
      </c>
      <c r="O12">
        <f>IF(O$1&lt;&gt;"",INDEX(Base!$G$1:$G$2500,$A12+O$1+2),"")</f>
        <v>0.23</v>
      </c>
      <c r="P12">
        <f>IF(P$1&lt;&gt;"",INDEX(Base!$G$1:$G$2500,$A12+P$1+2),"")</f>
        <v>0.82</v>
      </c>
      <c r="Q12">
        <f>IF(Q$1&lt;&gt;"",INDEX(Base!$G$1:$G$2500,$A12+Q$1+2),"")</f>
        <v>0.21</v>
      </c>
      <c r="R12">
        <f>IF(R$1&lt;&gt;"",INDEX(Base!$G$1:$G$2500,$A12+R$1+2),"")</f>
        <v>1.04</v>
      </c>
      <c r="S12">
        <f>IF(S$1&lt;&gt;"",INDEX(Base!$G$1:$G$2500,$A12+S$1+2),"")</f>
        <v>0.05</v>
      </c>
      <c r="T12">
        <f>IF(T$1&lt;&gt;"",INDEX(Base!$G$1:$G$2500,$A12+T$1+2),"")</f>
        <v>13.4</v>
      </c>
      <c r="U12">
        <f>IF(U$1&lt;&gt;"",INDEX(Base!$G$1:$G$2500,$A12+U$1+2),"")</f>
        <v>0.81</v>
      </c>
      <c r="V12">
        <f>IF(V$1&lt;&gt;"",INDEX(Base!$G$1:$G$2500,$A12+V$1+2),"")</f>
        <v>0.16</v>
      </c>
      <c r="W12">
        <f>IF(W$1&lt;&gt;"",INDEX(Base!$G$1:$G$2500,$A12+W$1+2),"")</f>
        <v>1.82</v>
      </c>
      <c r="X12">
        <f>IF(X$1&lt;&gt;"",INDEX(Base!$G$1:$G$2500,$A12+X$1+2),"")</f>
        <v>0.97</v>
      </c>
      <c r="Y12">
        <f>IF(Y$1&lt;&gt;"",INDEX(Base!$G$1:$G$2500,$A12+Y$1+2),"")</f>
        <v>33.700000000000003</v>
      </c>
      <c r="Z12">
        <f>IF(Z$1&lt;&gt;"",INDEX(Base!$G$1:$G$2500,$A12+Z$1+2),"")</f>
        <v>2.56</v>
      </c>
      <c r="AA12">
        <f>IF(AA$1&lt;&gt;"",INDEX(Base!$G$1:$G$2500,$A12+AA$1+2),"")</f>
        <v>0.66</v>
      </c>
      <c r="AB12">
        <f>IF(AB$1&lt;&gt;"",INDEX(Base!$G$1:$G$2500,$A12+AB$1+2),"")</f>
        <v>0.95</v>
      </c>
      <c r="AC12">
        <f>IF(AC$1&lt;&gt;"",INDEX(Base!$G$1:$G$2500,$A12+AC$1+2),"")</f>
        <v>1.54</v>
      </c>
      <c r="AD12">
        <f>IF(AD$1&lt;&gt;"",INDEX(Base!$G$1:$G$2500,$A12+AD$1+2),"")</f>
        <v>8.2899999999999991</v>
      </c>
      <c r="AE12">
        <f>IF(AE$1&lt;&gt;"",INDEX(Base!$G$1:$G$2500,$A12+AE$1+2),"")</f>
        <v>0.17</v>
      </c>
      <c r="AF12">
        <f>IF(AF$1&lt;&gt;"",INDEX(Base!$G$1:$G$2500,$A12+AF$1+2),"")</f>
        <v>1.1499999999999999</v>
      </c>
      <c r="AG12">
        <f>IF(AG$1&lt;&gt;"",INDEX(Base!$G$1:$G$2500,$A12+AG$1+2),"")</f>
        <v>0.6</v>
      </c>
      <c r="AH12">
        <f>IF(AH$1&lt;&gt;"",INDEX(Base!$G$1:$G$2500,$A12+AH$1+2),"")</f>
        <v>2.17</v>
      </c>
      <c r="AI12">
        <f>IF(AI$1&lt;&gt;"",INDEX(Base!$G$1:$G$2500,$A12+AI$1+2),"")</f>
        <v>1.35</v>
      </c>
      <c r="AJ12">
        <f>IF(AJ$1&lt;&gt;"",INDEX(Base!$G$1:$G$2500,$A12+AJ$1+2),"")</f>
        <v>0.1</v>
      </c>
      <c r="AK12">
        <f>IF(AK$1&lt;&gt;"",INDEX(Base!$G$1:$G$2500,$A12+AK$1+2),"")</f>
        <v>3.92</v>
      </c>
      <c r="AL12">
        <f>IF(AL$1&lt;&gt;"",INDEX(Base!$G$1:$G$2500,$A12+AL$1+2),"")</f>
        <v>5.36</v>
      </c>
      <c r="AM12">
        <f>IF(AM$1&lt;&gt;"",INDEX(Base!$G$1:$G$2500,$A12+AM$1+2),"")</f>
        <v>0.1</v>
      </c>
      <c r="AN12">
        <f>IF(AN$1&lt;&gt;"",INDEX(Base!$G$1:$G$2500,$A12+AN$1+2),"")</f>
        <v>0.53</v>
      </c>
      <c r="AO12">
        <f>IF(AO$1&lt;&gt;"",INDEX(Base!$G$1:$G$2500,$A12+AO$1+2),"")</f>
        <v>0.8</v>
      </c>
      <c r="AP12">
        <f>IF(AP$1&lt;&gt;"",INDEX(Base!$G$1:$G$2500,$A12+AP$1+2),"")</f>
        <v>0.14000000000000001</v>
      </c>
      <c r="AQ12">
        <f>IF(AQ$1&lt;&gt;"",INDEX(Base!$G$1:$G$2500,$A12+AQ$1+2),"")</f>
        <v>0.55000000000000004</v>
      </c>
      <c r="AR12">
        <f>IF(AR$1&lt;&gt;"",INDEX(Base!$G$1:$G$2500,$A12+AR$1+2),"")</f>
        <v>0.11</v>
      </c>
      <c r="AS12">
        <f>IF(AS$1&lt;&gt;"",INDEX(Base!$G$1:$G$2500,$A12+AS$1+2),"")</f>
        <v>0.66</v>
      </c>
      <c r="AT12">
        <f>IF(AT$1&lt;&gt;"",INDEX(Base!$G$1:$G$2500,$A12+AT$1+2),"")</f>
        <v>0.22</v>
      </c>
      <c r="AU12">
        <f>IF(AU$1&lt;&gt;"",INDEX(Base!$G$1:$G$2500,$A12+AU$1+2),"")</f>
        <v>0.13</v>
      </c>
      <c r="AV12">
        <f>IF(AV$1&lt;&gt;"",INDEX(Base!$G$1:$G$2500,$A12+AV$1+2),"")</f>
        <v>1.66</v>
      </c>
      <c r="AW12" s="8">
        <f t="shared" si="0"/>
        <v>2.6947368421052635</v>
      </c>
      <c r="AX12">
        <f>IF(AX$1&lt;&gt;"",INDEX(Base!$R$1:$R$2500,$E12+AX$1+2),"")</f>
        <v>10.75</v>
      </c>
      <c r="AY12">
        <f>IF(AY$1&lt;&gt;"",INDEX(Base!$R$1:$R$2500,$E12+AY$1+2),"")</f>
        <v>146.38999999999999</v>
      </c>
      <c r="AZ12">
        <f>IF(AZ$1&lt;&gt;"",INDEX(Base!$R$1:$R$2500,$E12+AZ$1+2),"")</f>
        <v>0.21</v>
      </c>
      <c r="BA12">
        <f>IF(BA$1&lt;&gt;"",INDEX(Base!$R$1:$R$2500,$E12+BA$1+2),"")</f>
        <v>0.33</v>
      </c>
      <c r="BB12">
        <f>IF(BB$1&lt;&gt;"",INDEX(Base!$R$1:$R$2500,$E12+BB$1+2),"")</f>
        <v>32.770000000000003</v>
      </c>
      <c r="BC12">
        <f>IF(BC$1&lt;&gt;"",INDEX(Base!$R$1:$R$2500,$E12+BC$1+2),"")</f>
        <v>0.9</v>
      </c>
      <c r="BD12">
        <f>IF(BD$1&lt;&gt;"",INDEX(Base!$R$1:$R$2500,$E12+BD$1+2),"")</f>
        <v>1.66</v>
      </c>
      <c r="BE12">
        <f>IF(BE$1&lt;&gt;"",INDEX(Base!$R$1:$R$2500,$E12+BE$1+2),"")</f>
        <v>22.94</v>
      </c>
      <c r="BF12">
        <f>IF(BF$1&lt;&gt;"",INDEX(Base!$R$1:$R$2500,$E12+BF$1+2),"")</f>
        <v>7.0000000000000007E-2</v>
      </c>
      <c r="BG12">
        <f>IF(BG$1&lt;&gt;"",INDEX(Base!$R$1:$R$2500,$E12+BG$1+2),"")</f>
        <v>0.1</v>
      </c>
      <c r="BH12">
        <f>IF(BH$1&lt;&gt;"",INDEX(Base!$R$1:$R$2500,$E12+BH$1+2),"")</f>
        <v>0.14000000000000001</v>
      </c>
      <c r="BI12">
        <f>IF(BI$1&lt;&gt;"",INDEX(Base!$R$1:$R$2500,$E12+BI$1+2),"")</f>
        <v>8.84</v>
      </c>
      <c r="BJ12">
        <f>IF(BJ$1&lt;&gt;"",INDEX(Base!$R$1:$R$2500,$E12+BJ$1+2),"")</f>
        <v>8.5299999999999994</v>
      </c>
      <c r="BK12">
        <f>IF(BK$1&lt;&gt;"",INDEX(Base!$R$1:$R$2500,$E12+BK$1+2),"")</f>
        <v>14.05</v>
      </c>
      <c r="BL12">
        <f>IF(BL$1&lt;&gt;"",INDEX(Base!$R$1:$R$2500,$E12+BL$1+2),"")</f>
        <v>1.9</v>
      </c>
      <c r="BM12">
        <f>IF(BM$1&lt;&gt;"",INDEX(Base!$R$1:$R$2500,$E12+BM$1+2),"")</f>
        <v>0.88</v>
      </c>
      <c r="BN12">
        <f>IF(BN$1&lt;&gt;"",INDEX(Base!$R$1:$R$2500,$E12+BN$1+2),"")</f>
        <v>0.15</v>
      </c>
      <c r="BO12">
        <f>IF(BO$1&lt;&gt;"",INDEX(Base!$R$1:$R$2500,$E12+BO$1+2),"")</f>
        <v>0.14000000000000001</v>
      </c>
      <c r="BP12">
        <f>IF(BP$1&lt;&gt;"",INDEX(Base!$R$1:$R$2500,$E12+BP$1+2),"")</f>
        <v>0.6</v>
      </c>
      <c r="BQ12">
        <f>IF(BQ$1&lt;&gt;"",INDEX(Base!$R$1:$R$2500,$E12+BQ$1+2),"")</f>
        <v>0.57999999999999996</v>
      </c>
      <c r="BR12">
        <f>IF(BR$1&lt;&gt;"",INDEX(Base!$R$1:$R$2500,$E12+BR$1+2),"")</f>
        <v>0.14000000000000001</v>
      </c>
      <c r="BS12">
        <f>IF(BS$1&lt;&gt;"",INDEX(Base!$R$1:$R$2500,$E12+BS$1+2),"")</f>
        <v>3.21</v>
      </c>
      <c r="BT12">
        <f>IF(BT$1&lt;&gt;"",INDEX(Base!$R$1:$R$2500,$E12+BT$1+2),"")</f>
        <v>1.24</v>
      </c>
    </row>
    <row r="13" spans="1:73" x14ac:dyDescent="0.3">
      <c r="A13" s="2">
        <f t="shared" si="3"/>
        <v>445</v>
      </c>
      <c r="B13" s="3" t="s">
        <v>681</v>
      </c>
      <c r="C13" s="38">
        <v>2244</v>
      </c>
      <c r="D13" s="5" t="str">
        <f>MID(INDEX(Base!A$1:A$2500,Calcoli!A13),13,11)</f>
        <v xml:space="preserve"> 31_03_2025</v>
      </c>
      <c r="E13" s="4">
        <f t="shared" si="1"/>
        <v>315</v>
      </c>
      <c r="F13" s="3" t="str">
        <f>IFERROR(MID(INDEX(Base!L$1:L$2500,Calcoli!E13),47,LEN(INDEX(Base!L$1:L$2500,Calcoli!E13))-41),"")</f>
        <v xml:space="preserve">MASSARI GIANNANTONIO </v>
      </c>
      <c r="G13" s="5" t="str">
        <f>MID(INDEX(Base!L$1:L$2500,Calcoli!$E13),42,4)</f>
        <v>1712</v>
      </c>
      <c r="H13" s="5" t="str">
        <f>MID(INDEX(Base!L$1:L$2500,Calcoli!E13),13,11)</f>
        <v xml:space="preserve"> 01_04_2025</v>
      </c>
      <c r="I13" s="6" t="str">
        <f xml:space="preserve"> IFERROR(MID(INDEX(Base!$V$3:$AB$60,MATCH($F13,Base!$Z$3:$Z$160,0),1),1,14),"")</f>
        <v>1712 MASSARI G</v>
      </c>
      <c r="J13" s="6">
        <f xml:space="preserve"> IFERROR(INDEX(Base!$V$3:$AB$160,MATCH($F13,Base!$Z$3:$Z$160,0),2),"")</f>
        <v>120.60606060606061</v>
      </c>
      <c r="K13" s="6">
        <f xml:space="preserve"> IFERROR(INDEX(Base!$V$3:$AB$160,MATCH($F13,Base!$Z$3:$Z$160,0),3),"")</f>
        <v>26.715536974901543</v>
      </c>
      <c r="L13" s="28">
        <f xml:space="preserve"> IFERROR(INDEX(Base!$V$3:$AB$160,MATCH($F13,Base!$Z$3:$Z$160,0),4),"")</f>
        <v>66.516990291262147</v>
      </c>
      <c r="M13">
        <f>IF(M$1&lt;&gt;"",INDEX(Base!$G$1:$G$2500,$A13+M$1+2),"")</f>
        <v>14.17</v>
      </c>
      <c r="N13">
        <f>IF(N$1&lt;&gt;"",INDEX(Base!$G$1:$G$2500,$A13+N$1+2),"")</f>
        <v>5.63</v>
      </c>
      <c r="O13">
        <f>IF(O$1&lt;&gt;"",INDEX(Base!$G$1:$G$2500,$A13+O$1+2),"")</f>
        <v>0.06</v>
      </c>
      <c r="P13">
        <f>IF(P$1&lt;&gt;"",INDEX(Base!$G$1:$G$2500,$A13+P$1+2),"")</f>
        <v>0.47</v>
      </c>
      <c r="Q13">
        <f>IF(Q$1&lt;&gt;"",INDEX(Base!$G$1:$G$2500,$A13+Q$1+2),"")</f>
        <v>0.05</v>
      </c>
      <c r="R13">
        <f>IF(R$1&lt;&gt;"",INDEX(Base!$G$1:$G$2500,$A13+R$1+2),"")</f>
        <v>1.9</v>
      </c>
      <c r="S13">
        <f>IF(S$1&lt;&gt;"",INDEX(Base!$G$1:$G$2500,$A13+S$1+2),"")</f>
        <v>0.11</v>
      </c>
      <c r="T13">
        <f>IF(T$1&lt;&gt;"",INDEX(Base!$G$1:$G$2500,$A13+T$1+2),"")</f>
        <v>17.72</v>
      </c>
      <c r="U13">
        <f>IF(U$1&lt;&gt;"",INDEX(Base!$G$1:$G$2500,$A13+U$1+2),"")</f>
        <v>1.76</v>
      </c>
      <c r="V13">
        <f>IF(V$1&lt;&gt;"",INDEX(Base!$G$1:$G$2500,$A13+V$1+2),"")</f>
        <v>0.11</v>
      </c>
      <c r="W13">
        <f>IF(W$1&lt;&gt;"",INDEX(Base!$G$1:$G$2500,$A13+W$1+2),"")</f>
        <v>2.4300000000000002</v>
      </c>
      <c r="X13">
        <f>IF(X$1&lt;&gt;"",INDEX(Base!$G$1:$G$2500,$A13+X$1+2),"")</f>
        <v>0.76</v>
      </c>
      <c r="Y13">
        <f>IF(Y$1&lt;&gt;"",INDEX(Base!$G$1:$G$2500,$A13+Y$1+2),"")</f>
        <v>147.88999999999999</v>
      </c>
      <c r="Z13">
        <f>IF(Z$1&lt;&gt;"",INDEX(Base!$G$1:$G$2500,$A13+Z$1+2),"")</f>
        <v>1.25</v>
      </c>
      <c r="AA13">
        <f>IF(AA$1&lt;&gt;"",INDEX(Base!$G$1:$G$2500,$A13+AA$1+2),"")</f>
        <v>0.67</v>
      </c>
      <c r="AB13">
        <f>IF(AB$1&lt;&gt;"",INDEX(Base!$G$1:$G$2500,$A13+AB$1+2),"")</f>
        <v>2.04</v>
      </c>
      <c r="AC13">
        <f>IF(AC$1&lt;&gt;"",INDEX(Base!$G$1:$G$2500,$A13+AC$1+2),"")</f>
        <v>1.22</v>
      </c>
      <c r="AD13">
        <f>IF(AD$1&lt;&gt;"",INDEX(Base!$G$1:$G$2500,$A13+AD$1+2),"")</f>
        <v>14.12</v>
      </c>
      <c r="AE13">
        <f>IF(AE$1&lt;&gt;"",INDEX(Base!$G$1:$G$2500,$A13+AE$1+2),"")</f>
        <v>0.87</v>
      </c>
      <c r="AF13">
        <f>IF(AF$1&lt;&gt;"",INDEX(Base!$G$1:$G$2500,$A13+AF$1+2),"")</f>
        <v>2.79</v>
      </c>
      <c r="AG13">
        <f>IF(AG$1&lt;&gt;"",INDEX(Base!$G$1:$G$2500,$A13+AG$1+2),"")</f>
        <v>1.26</v>
      </c>
      <c r="AH13">
        <f>IF(AH$1&lt;&gt;"",INDEX(Base!$G$1:$G$2500,$A13+AH$1+2),"")</f>
        <v>2.09</v>
      </c>
      <c r="AI13">
        <f>IF(AI$1&lt;&gt;"",INDEX(Base!$G$1:$G$2500,$A13+AI$1+2),"")</f>
        <v>4.07</v>
      </c>
      <c r="AJ13">
        <f>IF(AJ$1&lt;&gt;"",INDEX(Base!$G$1:$G$2500,$A13+AJ$1+2),"")</f>
        <v>0.1</v>
      </c>
      <c r="AK13">
        <f>IF(AK$1&lt;&gt;"",INDEX(Base!$G$1:$G$2500,$A13+AK$1+2),"")</f>
        <v>3.61</v>
      </c>
      <c r="AL13">
        <f>IF(AL$1&lt;&gt;"",INDEX(Base!$G$1:$G$2500,$A13+AL$1+2),"")</f>
        <v>6.99</v>
      </c>
      <c r="AM13">
        <f>IF(AM$1&lt;&gt;"",INDEX(Base!$G$1:$G$2500,$A13+AM$1+2),"")</f>
        <v>0.43</v>
      </c>
      <c r="AN13">
        <f>IF(AN$1&lt;&gt;"",INDEX(Base!$G$1:$G$2500,$A13+AN$1+2),"")</f>
        <v>0.44</v>
      </c>
      <c r="AO13">
        <f>IF(AO$1&lt;&gt;"",INDEX(Base!$G$1:$G$2500,$A13+AO$1+2),"")</f>
        <v>1.0900000000000001</v>
      </c>
      <c r="AP13">
        <f>IF(AP$1&lt;&gt;"",INDEX(Base!$G$1:$G$2500,$A13+AP$1+2),"")</f>
        <v>0.41</v>
      </c>
      <c r="AQ13">
        <f>IF(AQ$1&lt;&gt;"",INDEX(Base!$G$1:$G$2500,$A13+AQ$1+2),"")</f>
        <v>2.1</v>
      </c>
      <c r="AR13">
        <f>IF(AR$1&lt;&gt;"",INDEX(Base!$G$1:$G$2500,$A13+AR$1+2),"")</f>
        <v>0.26</v>
      </c>
      <c r="AS13">
        <f>IF(AS$1&lt;&gt;"",INDEX(Base!$G$1:$G$2500,$A13+AS$1+2),"")</f>
        <v>3.91</v>
      </c>
      <c r="AT13">
        <f>IF(AT$1&lt;&gt;"",INDEX(Base!$G$1:$G$2500,$A13+AT$1+2),"")</f>
        <v>0.09</v>
      </c>
      <c r="AU13">
        <f>IF(AU$1&lt;&gt;"",INDEX(Base!$G$1:$G$2500,$A13+AU$1+2),"")</f>
        <v>0.11</v>
      </c>
      <c r="AV13">
        <f>IF(AV$1&lt;&gt;"",INDEX(Base!$G$1:$G$2500,$A13+AV$1+2),"")</f>
        <v>0.52</v>
      </c>
      <c r="AW13" s="8">
        <f t="shared" si="0"/>
        <v>0.61274509803921573</v>
      </c>
      <c r="AX13">
        <f>IF(AX$1&lt;&gt;"",INDEX(Base!$R$1:$R$2500,$E13+AX$1+2),"")</f>
        <v>10.47</v>
      </c>
      <c r="AY13">
        <f>IF(AY$1&lt;&gt;"",INDEX(Base!$R$1:$R$2500,$E13+AY$1+2),"")</f>
        <v>66.05</v>
      </c>
      <c r="AZ13">
        <f>IF(AZ$1&lt;&gt;"",INDEX(Base!$R$1:$R$2500,$E13+AZ$1+2),"")</f>
        <v>0.13</v>
      </c>
      <c r="BA13">
        <f>IF(BA$1&lt;&gt;"",INDEX(Base!$R$1:$R$2500,$E13+BA$1+2),"")</f>
        <v>0.42</v>
      </c>
      <c r="BB13">
        <f>IF(BB$1&lt;&gt;"",INDEX(Base!$R$1:$R$2500,$E13+BB$1+2),"")</f>
        <v>69.16</v>
      </c>
      <c r="BC13">
        <f>IF(BC$1&lt;&gt;"",INDEX(Base!$R$1:$R$2500,$E13+BC$1+2),"")</f>
        <v>2.67</v>
      </c>
      <c r="BD13">
        <f>IF(BD$1&lt;&gt;"",INDEX(Base!$R$1:$R$2500,$E13+BD$1+2),"")</f>
        <v>2.72</v>
      </c>
      <c r="BE13">
        <f>IF(BE$1&lt;&gt;"",INDEX(Base!$R$1:$R$2500,$E13+BE$1+2),"")</f>
        <v>120.83</v>
      </c>
      <c r="BF13">
        <f>IF(BF$1&lt;&gt;"",INDEX(Base!$R$1:$R$2500,$E13+BF$1+2),"")</f>
        <v>0.17</v>
      </c>
      <c r="BG13">
        <f>IF(BG$1&lt;&gt;"",INDEX(Base!$R$1:$R$2500,$E13+BG$1+2),"")</f>
        <v>0.95</v>
      </c>
      <c r="BH13">
        <f>IF(BH$1&lt;&gt;"",INDEX(Base!$R$1:$R$2500,$E13+BH$1+2),"")</f>
        <v>0.39</v>
      </c>
      <c r="BI13">
        <f>IF(BI$1&lt;&gt;"",INDEX(Base!$R$1:$R$2500,$E13+BI$1+2),"")</f>
        <v>30.14</v>
      </c>
      <c r="BJ13">
        <f>IF(BJ$1&lt;&gt;"",INDEX(Base!$R$1:$R$2500,$E13+BJ$1+2),"")</f>
        <v>5.05</v>
      </c>
      <c r="BK13">
        <f>IF(BK$1&lt;&gt;"",INDEX(Base!$R$1:$R$2500,$E13+BK$1+2),"")</f>
        <v>18.670000000000002</v>
      </c>
      <c r="BL13">
        <f>IF(BL$1&lt;&gt;"",INDEX(Base!$R$1:$R$2500,$E13+BL$1+2),"")</f>
        <v>1.67</v>
      </c>
      <c r="BM13">
        <f>IF(BM$1&lt;&gt;"",INDEX(Base!$R$1:$R$2500,$E13+BM$1+2),"")</f>
        <v>0.68</v>
      </c>
      <c r="BN13">
        <f>IF(BN$1&lt;&gt;"",INDEX(Base!$R$1:$R$2500,$E13+BN$1+2),"")</f>
        <v>0.11</v>
      </c>
      <c r="BO13">
        <f>IF(BO$1&lt;&gt;"",INDEX(Base!$R$1:$R$2500,$E13+BO$1+2),"")</f>
        <v>0.09</v>
      </c>
      <c r="BP13">
        <f>IF(BP$1&lt;&gt;"",INDEX(Base!$R$1:$R$2500,$E13+BP$1+2),"")</f>
        <v>1.26</v>
      </c>
      <c r="BQ13">
        <f>IF(BQ$1&lt;&gt;"",INDEX(Base!$R$1:$R$2500,$E13+BQ$1+2),"")</f>
        <v>0.23</v>
      </c>
      <c r="BR13">
        <f>IF(BR$1&lt;&gt;"",INDEX(Base!$R$1:$R$2500,$E13+BR$1+2),"")</f>
        <v>0.6</v>
      </c>
      <c r="BS13">
        <f>IF(BS$1&lt;&gt;"",INDEX(Base!$R$1:$R$2500,$E13+BS$1+2),"")</f>
        <v>2.0099999999999998</v>
      </c>
      <c r="BT13">
        <f>IF(BT$1&lt;&gt;"",INDEX(Base!$R$1:$R$2500,$E13+BT$1+2),"")</f>
        <v>2.96</v>
      </c>
    </row>
    <row r="14" spans="1:73" x14ac:dyDescent="0.3">
      <c r="A14" s="2">
        <f t="shared" si="3"/>
        <v>489</v>
      </c>
      <c r="B14" s="3" t="s">
        <v>682</v>
      </c>
      <c r="C14" s="38">
        <v>2245</v>
      </c>
      <c r="D14" s="5" t="str">
        <f>MID(INDEX(Base!A$1:A$2500,Calcoli!A14),13,11)</f>
        <v xml:space="preserve"> 31_03_2025</v>
      </c>
      <c r="E14" s="4">
        <f t="shared" si="1"/>
        <v>346</v>
      </c>
      <c r="F14" s="3" t="str">
        <f>IFERROR(MID(INDEX(Base!L$1:L$2500,Calcoli!E14),47,LEN(INDEX(Base!L$1:L$2500,Calcoli!E14))-41),"")</f>
        <v>BOCCACCIO PALMA</v>
      </c>
      <c r="G14" s="5" t="str">
        <f>MID(INDEX(Base!L$1:L$2500,Calcoli!$E14),42,4)</f>
        <v>1713</v>
      </c>
      <c r="H14" s="5" t="str">
        <f>MID(INDEX(Base!L$1:L$2500,Calcoli!E14),13,11)</f>
        <v xml:space="preserve"> 01_04_2025</v>
      </c>
      <c r="I14" s="6" t="str">
        <f xml:space="preserve"> IFERROR(MID(INDEX(Base!$V$3:$AB$60,MATCH($F14,Base!$Z$3:$Z$160,0),1),1,14),"")</f>
        <v>1713 BOCCACCIO</v>
      </c>
      <c r="J14" s="6">
        <f xml:space="preserve"> IFERROR(INDEX(Base!$V$3:$AB$160,MATCH($F14,Base!$Z$3:$Z$160,0),2),"")</f>
        <v>72.12121212121211</v>
      </c>
      <c r="K14" s="6">
        <f xml:space="preserve"> IFERROR(INDEX(Base!$V$3:$AB$160,MATCH($F14,Base!$Z$3:$Z$160,0),3),"")</f>
        <v>38.200842725894418</v>
      </c>
      <c r="L14" s="28">
        <f xml:space="preserve"> IFERROR(INDEX(Base!$V$3:$AB$160,MATCH($F14,Base!$Z$3:$Z$160,0),4),"")</f>
        <v>30.412621359223301</v>
      </c>
      <c r="M14">
        <f>IF(M$1&lt;&gt;"",INDEX(Base!$G$1:$G$2500,$A14+M$1+2),"")</f>
        <v>25.17</v>
      </c>
      <c r="N14">
        <f>IF(N$1&lt;&gt;"",INDEX(Base!$G$1:$G$2500,$A14+N$1+2),"")</f>
        <v>9.6</v>
      </c>
      <c r="O14">
        <f>IF(O$1&lt;&gt;"",INDEX(Base!$G$1:$G$2500,$A14+O$1+2),"")</f>
        <v>0.31</v>
      </c>
      <c r="P14">
        <f>IF(P$1&lt;&gt;"",INDEX(Base!$G$1:$G$2500,$A14+P$1+2),"")</f>
        <v>1.74</v>
      </c>
      <c r="Q14">
        <f>IF(Q$1&lt;&gt;"",INDEX(Base!$G$1:$G$2500,$A14+Q$1+2),"")</f>
        <v>0.51</v>
      </c>
      <c r="R14">
        <f>IF(R$1&lt;&gt;"",INDEX(Base!$G$1:$G$2500,$A14+R$1+2),"")</f>
        <v>1.77</v>
      </c>
      <c r="S14">
        <f>IF(S$1&lt;&gt;"",INDEX(Base!$G$1:$G$2500,$A14+S$1+2),"")</f>
        <v>0.19</v>
      </c>
      <c r="T14">
        <f>IF(T$1&lt;&gt;"",INDEX(Base!$G$1:$G$2500,$A14+T$1+2),"")</f>
        <v>48.71</v>
      </c>
      <c r="U14">
        <f>IF(U$1&lt;&gt;"",INDEX(Base!$G$1:$G$2500,$A14+U$1+2),"")</f>
        <v>1.65</v>
      </c>
      <c r="V14">
        <f>IF(V$1&lt;&gt;"",INDEX(Base!$G$1:$G$2500,$A14+V$1+2),"")</f>
        <v>0.16</v>
      </c>
      <c r="W14">
        <f>IF(W$1&lt;&gt;"",INDEX(Base!$G$1:$G$2500,$A14+W$1+2),"")</f>
        <v>2.5499999999999998</v>
      </c>
      <c r="X14">
        <f>IF(X$1&lt;&gt;"",INDEX(Base!$G$1:$G$2500,$A14+X$1+2),"")</f>
        <v>1.2</v>
      </c>
      <c r="Y14">
        <f>IF(Y$1&lt;&gt;"",INDEX(Base!$G$1:$G$2500,$A14+Y$1+2),"")</f>
        <v>107.2</v>
      </c>
      <c r="Z14">
        <f>IF(Z$1&lt;&gt;"",INDEX(Base!$G$1:$G$2500,$A14+Z$1+2),"")</f>
        <v>1.73</v>
      </c>
      <c r="AA14">
        <f>IF(AA$1&lt;&gt;"",INDEX(Base!$G$1:$G$2500,$A14+AA$1+2),"")</f>
        <v>1.61</v>
      </c>
      <c r="AB14">
        <f>IF(AB$1&lt;&gt;"",INDEX(Base!$G$1:$G$2500,$A14+AB$1+2),"")</f>
        <v>1.52</v>
      </c>
      <c r="AC14">
        <f>IF(AC$1&lt;&gt;"",INDEX(Base!$G$1:$G$2500,$A14+AC$1+2),"")</f>
        <v>4.6399999999999997</v>
      </c>
      <c r="AD14">
        <f>IF(AD$1&lt;&gt;"",INDEX(Base!$G$1:$G$2500,$A14+AD$1+2),"")</f>
        <v>11.95</v>
      </c>
      <c r="AE14">
        <f>IF(AE$1&lt;&gt;"",INDEX(Base!$G$1:$G$2500,$A14+AE$1+2),"")</f>
        <v>0.28999999999999998</v>
      </c>
      <c r="AF14">
        <f>IF(AF$1&lt;&gt;"",INDEX(Base!$G$1:$G$2500,$A14+AF$1+2),"")</f>
        <v>2.15</v>
      </c>
      <c r="AG14">
        <f>IF(AG$1&lt;&gt;"",INDEX(Base!$G$1:$G$2500,$A14+AG$1+2),"")</f>
        <v>0.64</v>
      </c>
      <c r="AH14">
        <f>IF(AH$1&lt;&gt;"",INDEX(Base!$G$1:$G$2500,$A14+AH$1+2),"")</f>
        <v>2.92</v>
      </c>
      <c r="AI14">
        <f>IF(AI$1&lt;&gt;"",INDEX(Base!$G$1:$G$2500,$A14+AI$1+2),"")</f>
        <v>1.61</v>
      </c>
      <c r="AJ14">
        <f>IF(AJ$1&lt;&gt;"",INDEX(Base!$G$1:$G$2500,$A14+AJ$1+2),"")</f>
        <v>0.13</v>
      </c>
      <c r="AK14">
        <f>IF(AK$1&lt;&gt;"",INDEX(Base!$G$1:$G$2500,$A14+AK$1+2),"")</f>
        <v>4.16</v>
      </c>
      <c r="AL14">
        <f>IF(AL$1&lt;&gt;"",INDEX(Base!$G$1:$G$2500,$A14+AL$1+2),"")</f>
        <v>4.7300000000000004</v>
      </c>
      <c r="AM14">
        <f>IF(AM$1&lt;&gt;"",INDEX(Base!$G$1:$G$2500,$A14+AM$1+2),"")</f>
        <v>0.99</v>
      </c>
      <c r="AN14">
        <f>IF(AN$1&lt;&gt;"",INDEX(Base!$G$1:$G$2500,$A14+AN$1+2),"")</f>
        <v>1.0900000000000001</v>
      </c>
      <c r="AO14">
        <f>IF(AO$1&lt;&gt;"",INDEX(Base!$G$1:$G$2500,$A14+AO$1+2),"")</f>
        <v>1.97</v>
      </c>
      <c r="AP14">
        <f>IF(AP$1&lt;&gt;"",INDEX(Base!$G$1:$G$2500,$A14+AP$1+2),"")</f>
        <v>0.11</v>
      </c>
      <c r="AQ14">
        <f>IF(AQ$1&lt;&gt;"",INDEX(Base!$G$1:$G$2500,$A14+AQ$1+2),"")</f>
        <v>0.19</v>
      </c>
      <c r="AR14">
        <f>IF(AR$1&lt;&gt;"",INDEX(Base!$G$1:$G$2500,$A14+AR$1+2),"")</f>
        <v>0.09</v>
      </c>
      <c r="AS14">
        <f>IF(AS$1&lt;&gt;"",INDEX(Base!$G$1:$G$2500,$A14+AS$1+2),"")</f>
        <v>0.94</v>
      </c>
      <c r="AT14">
        <f>IF(AT$1&lt;&gt;"",INDEX(Base!$G$1:$G$2500,$A14+AT$1+2),"")</f>
        <v>0.1</v>
      </c>
      <c r="AU14">
        <f>IF(AU$1&lt;&gt;"",INDEX(Base!$G$1:$G$2500,$A14+AU$1+2),"")</f>
        <v>0.09</v>
      </c>
      <c r="AV14">
        <f>IF(AV$1&lt;&gt;"",INDEX(Base!$G$1:$G$2500,$A14+AV$1+2),"")</f>
        <v>1.18</v>
      </c>
      <c r="AW14" s="8">
        <f t="shared" si="0"/>
        <v>1.138157894736842</v>
      </c>
      <c r="AX14">
        <f>IF(AX$1&lt;&gt;"",INDEX(Base!$R$1:$R$2500,$E14+AX$1+2),"")</f>
        <v>18.93</v>
      </c>
      <c r="AY14">
        <f>IF(AY$1&lt;&gt;"",INDEX(Base!$R$1:$R$2500,$E14+AY$1+2),"")</f>
        <v>453.22</v>
      </c>
      <c r="AZ14">
        <f>IF(AZ$1&lt;&gt;"",INDEX(Base!$R$1:$R$2500,$E14+AZ$1+2),"")</f>
        <v>0.4</v>
      </c>
      <c r="BA14">
        <f>IF(BA$1&lt;&gt;"",INDEX(Base!$R$1:$R$2500,$E14+BA$1+2),"")</f>
        <v>1.65</v>
      </c>
      <c r="BB14">
        <f>IF(BB$1&lt;&gt;"",INDEX(Base!$R$1:$R$2500,$E14+BB$1+2),"")</f>
        <v>45.94</v>
      </c>
      <c r="BC14">
        <f>IF(BC$1&lt;&gt;"",INDEX(Base!$R$1:$R$2500,$E14+BC$1+2),"")</f>
        <v>3.08</v>
      </c>
      <c r="BD14">
        <f>IF(BD$1&lt;&gt;"",INDEX(Base!$R$1:$R$2500,$E14+BD$1+2),"")</f>
        <v>2.6</v>
      </c>
      <c r="BE14">
        <f>IF(BE$1&lt;&gt;"",INDEX(Base!$R$1:$R$2500,$E14+BE$1+2),"")</f>
        <v>30.1</v>
      </c>
      <c r="BF14">
        <f>IF(BF$1&lt;&gt;"",INDEX(Base!$R$1:$R$2500,$E14+BF$1+2),"")</f>
        <v>0.22</v>
      </c>
      <c r="BG14">
        <f>IF(BG$1&lt;&gt;"",INDEX(Base!$R$1:$R$2500,$E14+BG$1+2),"")</f>
        <v>0.56000000000000005</v>
      </c>
      <c r="BH14">
        <f>IF(BH$1&lt;&gt;"",INDEX(Base!$R$1:$R$2500,$E14+BH$1+2),"")</f>
        <v>0.44</v>
      </c>
      <c r="BI14">
        <f>IF(BI$1&lt;&gt;"",INDEX(Base!$R$1:$R$2500,$E14+BI$1+2),"")</f>
        <v>29.61</v>
      </c>
      <c r="BJ14">
        <f>IF(BJ$1&lt;&gt;"",INDEX(Base!$R$1:$R$2500,$E14+BJ$1+2),"")</f>
        <v>17.149999999999999</v>
      </c>
      <c r="BK14">
        <f>IF(BK$1&lt;&gt;"",INDEX(Base!$R$1:$R$2500,$E14+BK$1+2),"")</f>
        <v>21.92</v>
      </c>
      <c r="BL14">
        <f>IF(BL$1&lt;&gt;"",INDEX(Base!$R$1:$R$2500,$E14+BL$1+2),"")</f>
        <v>5.15</v>
      </c>
      <c r="BM14">
        <f>IF(BM$1&lt;&gt;"",INDEX(Base!$R$1:$R$2500,$E14+BM$1+2),"")</f>
        <v>0.63</v>
      </c>
      <c r="BN14">
        <f>IF(BN$1&lt;&gt;"",INDEX(Base!$R$1:$R$2500,$E14+BN$1+2),"")</f>
        <v>0.1</v>
      </c>
      <c r="BO14">
        <f>IF(BO$1&lt;&gt;"",INDEX(Base!$R$1:$R$2500,$E14+BO$1+2),"")</f>
        <v>0.14000000000000001</v>
      </c>
      <c r="BP14">
        <f>IF(BP$1&lt;&gt;"",INDEX(Base!$R$1:$R$2500,$E14+BP$1+2),"")</f>
        <v>1.66</v>
      </c>
      <c r="BQ14">
        <f>IF(BQ$1&lt;&gt;"",INDEX(Base!$R$1:$R$2500,$E14+BQ$1+2),"")</f>
        <v>0.37</v>
      </c>
      <c r="BR14">
        <f>IF(BR$1&lt;&gt;"",INDEX(Base!$R$1:$R$2500,$E14+BR$1+2),"")</f>
        <v>0.5</v>
      </c>
      <c r="BS14">
        <f>IF(BS$1&lt;&gt;"",INDEX(Base!$R$1:$R$2500,$E14+BS$1+2),"")</f>
        <v>5.04</v>
      </c>
      <c r="BT14">
        <f>IF(BT$1&lt;&gt;"",INDEX(Base!$R$1:$R$2500,$E14+BT$1+2),"")</f>
        <v>2.41</v>
      </c>
    </row>
    <row r="15" spans="1:73" x14ac:dyDescent="0.3">
      <c r="A15" s="2">
        <f t="shared" si="3"/>
        <v>533</v>
      </c>
      <c r="B15" s="3" t="str">
        <f>IFERROR(MID(INDEX(Base!A$1:A$2500,Calcoli!A15),47,LEN(INDEX(Base!A$1:A$2500,Calcoli!A15))-41),"")</f>
        <v/>
      </c>
      <c r="C15" s="5" t="str">
        <f>MID(INDEX(Base!A$1:A$2500,Calcoli!$A15),42,4)</f>
        <v/>
      </c>
      <c r="D15" s="5" t="str">
        <f>MID(INDEX(Base!A$1:A$2500,Calcoli!A15),13,11)</f>
        <v xml:space="preserve"> 31_03_2025</v>
      </c>
      <c r="E15" s="4">
        <f t="shared" si="1"/>
        <v>377</v>
      </c>
      <c r="F15" s="3" t="str">
        <f>IFERROR(MID(INDEX(Base!L$1:L$2500,Calcoli!E15),47,LEN(INDEX(Base!L$1:L$2500,Calcoli!E15))-41),"")</f>
        <v/>
      </c>
      <c r="G15" s="5" t="str">
        <f>MID(INDEX(Base!L$1:L$2500,Calcoli!$E15),42,4)</f>
        <v/>
      </c>
      <c r="H15" s="5" t="str">
        <f>MID(INDEX(Base!L$1:L$2500,Calcoli!E15),13,11)</f>
        <v xml:space="preserve"> 01_04_2025</v>
      </c>
      <c r="I15" s="6" t="str">
        <f xml:space="preserve"> IFERROR(MID(INDEX(Base!$V$3:$AB$60,MATCH($F15,Base!$Z$3:$Z$160,0),1),1,14),"")</f>
        <v/>
      </c>
      <c r="J15" s="6" t="str">
        <f xml:space="preserve"> IFERROR(INDEX(Base!$V$3:$AB$160,MATCH($F15,Base!$Z$3:$Z$160,0),2),"")</f>
        <v/>
      </c>
      <c r="K15" s="6" t="str">
        <f xml:space="preserve"> IFERROR(INDEX(Base!$V$3:$AB$160,MATCH($F15,Base!$Z$3:$Z$160,0),3),"")</f>
        <v/>
      </c>
      <c r="L15" s="28" t="str">
        <f xml:space="preserve"> IFERROR(INDEX(Base!$V$3:$AB$160,MATCH($F15,Base!$Z$3:$Z$160,0),4),"")</f>
        <v/>
      </c>
      <c r="M15">
        <f>IF(M$1&lt;&gt;"",INDEX(Base!$G$1:$G$2500,$A15+M$1+2),"")</f>
        <v>0.1</v>
      </c>
      <c r="N15">
        <f>IF(N$1&lt;&gt;"",INDEX(Base!$G$1:$G$2500,$A15+N$1+2),"")</f>
        <v>6.06</v>
      </c>
      <c r="O15">
        <f>IF(O$1&lt;&gt;"",INDEX(Base!$G$1:$G$2500,$A15+O$1+2),"")</f>
        <v>0.38</v>
      </c>
      <c r="P15">
        <f>IF(P$1&lt;&gt;"",INDEX(Base!$G$1:$G$2500,$A15+P$1+2),"")</f>
        <v>0.77</v>
      </c>
      <c r="Q15">
        <f>IF(Q$1&lt;&gt;"",INDEX(Base!$G$1:$G$2500,$A15+Q$1+2),"")</f>
        <v>0.28000000000000003</v>
      </c>
      <c r="R15">
        <f>IF(R$1&lt;&gt;"",INDEX(Base!$G$1:$G$2500,$A15+R$1+2),"")</f>
        <v>2.2999999999999998</v>
      </c>
      <c r="S15">
        <f>IF(S$1&lt;&gt;"",INDEX(Base!$G$1:$G$2500,$A15+S$1+2),"")</f>
        <v>0.08</v>
      </c>
      <c r="T15">
        <f>IF(T$1&lt;&gt;"",INDEX(Base!$G$1:$G$2500,$A15+T$1+2),"")</f>
        <v>0.1</v>
      </c>
      <c r="U15">
        <f>IF(U$1&lt;&gt;"",INDEX(Base!$G$1:$G$2500,$A15+U$1+2),"")</f>
        <v>1.99</v>
      </c>
      <c r="V15">
        <f>IF(V$1&lt;&gt;"",INDEX(Base!$G$1:$G$2500,$A15+V$1+2),"")</f>
        <v>0.63</v>
      </c>
      <c r="W15">
        <f>IF(W$1&lt;&gt;"",INDEX(Base!$G$1:$G$2500,$A15+W$1+2),"")</f>
        <v>1.63</v>
      </c>
      <c r="X15">
        <f>IF(X$1&lt;&gt;"",INDEX(Base!$G$1:$G$2500,$A15+X$1+2),"")</f>
        <v>2.9</v>
      </c>
      <c r="Y15">
        <f>IF(Y$1&lt;&gt;"",INDEX(Base!$G$1:$G$2500,$A15+Y$1+2),"")</f>
        <v>0.1</v>
      </c>
      <c r="Z15">
        <f>IF(Z$1&lt;&gt;"",INDEX(Base!$G$1:$G$2500,$A15+Z$1+2),"")</f>
        <v>0.1</v>
      </c>
      <c r="AA15">
        <f>IF(AA$1&lt;&gt;"",INDEX(Base!$G$1:$G$2500,$A15+AA$1+2),"")</f>
        <v>2.34</v>
      </c>
      <c r="AB15">
        <f>IF(AB$1&lt;&gt;"",INDEX(Base!$G$1:$G$2500,$A15+AB$1+2),"")</f>
        <v>2.0499999999999998</v>
      </c>
      <c r="AC15">
        <f>IF(AC$1&lt;&gt;"",INDEX(Base!$G$1:$G$2500,$A15+AC$1+2),"")</f>
        <v>3.24</v>
      </c>
      <c r="AD15">
        <f>IF(AD$1&lt;&gt;"",INDEX(Base!$G$1:$G$2500,$A15+AD$1+2),"")</f>
        <v>10.38</v>
      </c>
      <c r="AE15">
        <f>IF(AE$1&lt;&gt;"",INDEX(Base!$G$1:$G$2500,$A15+AE$1+2),"")</f>
        <v>0.3</v>
      </c>
      <c r="AF15">
        <f>IF(AF$1&lt;&gt;"",INDEX(Base!$G$1:$G$2500,$A15+AF$1+2),"")</f>
        <v>0.4</v>
      </c>
      <c r="AG15">
        <f>IF(AG$1&lt;&gt;"",INDEX(Base!$G$1:$G$2500,$A15+AG$1+2),"")</f>
        <v>0.08</v>
      </c>
      <c r="AH15">
        <f>IF(AH$1&lt;&gt;"",INDEX(Base!$G$1:$G$2500,$A15+AH$1+2),"")</f>
        <v>0.1</v>
      </c>
      <c r="AI15">
        <f>IF(AI$1&lt;&gt;"",INDEX(Base!$G$1:$G$2500,$A15+AI$1+2),"")</f>
        <v>0.1</v>
      </c>
      <c r="AJ15">
        <f>IF(AJ$1&lt;&gt;"",INDEX(Base!$G$1:$G$2500,$A15+AJ$1+2),"")</f>
        <v>0.1</v>
      </c>
      <c r="AK15">
        <f>IF(AK$1&lt;&gt;"",INDEX(Base!$G$1:$G$2500,$A15+AK$1+2),"")</f>
        <v>25.32</v>
      </c>
      <c r="AL15">
        <f>IF(AL$1&lt;&gt;"",INDEX(Base!$G$1:$G$2500,$A15+AL$1+2),"")</f>
        <v>0.1</v>
      </c>
      <c r="AM15">
        <f>IF(AM$1&lt;&gt;"",INDEX(Base!$G$1:$G$2500,$A15+AM$1+2),"")</f>
        <v>0.1</v>
      </c>
      <c r="AN15">
        <f>IF(AN$1&lt;&gt;"",INDEX(Base!$G$1:$G$2500,$A15+AN$1+2),"")</f>
        <v>1.8</v>
      </c>
      <c r="AO15">
        <f>IF(AO$1&lt;&gt;"",INDEX(Base!$G$1:$G$2500,$A15+AO$1+2),"")</f>
        <v>0.1</v>
      </c>
      <c r="AP15">
        <f>IF(AP$1&lt;&gt;"",INDEX(Base!$G$1:$G$2500,$A15+AP$1+2),"")</f>
        <v>0.13</v>
      </c>
      <c r="AQ15">
        <f>IF(AQ$1&lt;&gt;"",INDEX(Base!$G$1:$G$2500,$A15+AQ$1+2),"")</f>
        <v>0.1</v>
      </c>
      <c r="AR15">
        <f>IF(AR$1&lt;&gt;"",INDEX(Base!$G$1:$G$2500,$A15+AR$1+2),"")</f>
        <v>0.1</v>
      </c>
      <c r="AS15">
        <f>IF(AS$1&lt;&gt;"",INDEX(Base!$G$1:$G$2500,$A15+AS$1+2),"")</f>
        <v>3.35</v>
      </c>
      <c r="AT15">
        <f>IF(AT$1&lt;&gt;"",INDEX(Base!$G$1:$G$2500,$A15+AT$1+2),"")</f>
        <v>0.12</v>
      </c>
      <c r="AU15">
        <f>IF(AU$1&lt;&gt;"",INDEX(Base!$G$1:$G$2500,$A15+AU$1+2),"")</f>
        <v>0.1</v>
      </c>
      <c r="AV15">
        <f>IF(AV$1&lt;&gt;"",INDEX(Base!$G$1:$G$2500,$A15+AV$1+2),"")</f>
        <v>7.0000000000000007E-2</v>
      </c>
      <c r="AW15" s="8">
        <f t="shared" si="0"/>
        <v>4.8780487804878057E-2</v>
      </c>
      <c r="AX15">
        <f>IF(AX$1&lt;&gt;"",INDEX(Base!$R$1:$R$2500,$E15+AX$1+2),"")</f>
        <v>82.01</v>
      </c>
      <c r="AY15">
        <f>IF(AY$1&lt;&gt;"",INDEX(Base!$R$1:$R$2500,$E15+AY$1+2),"")</f>
        <v>427.71</v>
      </c>
      <c r="AZ15">
        <f>IF(AZ$1&lt;&gt;"",INDEX(Base!$R$1:$R$2500,$E15+AZ$1+2),"")</f>
        <v>0.1</v>
      </c>
      <c r="BA15">
        <f>IF(BA$1&lt;&gt;"",INDEX(Base!$R$1:$R$2500,$E15+BA$1+2),"")</f>
        <v>0.7</v>
      </c>
      <c r="BB15">
        <f>IF(BB$1&lt;&gt;"",INDEX(Base!$R$1:$R$2500,$E15+BB$1+2),"")</f>
        <v>45.98</v>
      </c>
      <c r="BC15">
        <f>IF(BC$1&lt;&gt;"",INDEX(Base!$R$1:$R$2500,$E15+BC$1+2),"")</f>
        <v>0.1</v>
      </c>
      <c r="BD15">
        <f>IF(BD$1&lt;&gt;"",INDEX(Base!$R$1:$R$2500,$E15+BD$1+2),"")</f>
        <v>0.1</v>
      </c>
      <c r="BE15">
        <f>IF(BE$1&lt;&gt;"",INDEX(Base!$R$1:$R$2500,$E15+BE$1+2),"")</f>
        <v>0.1</v>
      </c>
      <c r="BF15">
        <f>IF(BF$1&lt;&gt;"",INDEX(Base!$R$1:$R$2500,$E15+BF$1+2),"")</f>
        <v>0.11</v>
      </c>
      <c r="BG15">
        <f>IF(BG$1&lt;&gt;"",INDEX(Base!$R$1:$R$2500,$E15+BG$1+2),"")</f>
        <v>0.1</v>
      </c>
      <c r="BH15">
        <f>IF(BH$1&lt;&gt;"",INDEX(Base!$R$1:$R$2500,$E15+BH$1+2),"")</f>
        <v>0.1</v>
      </c>
      <c r="BI15">
        <f>IF(BI$1&lt;&gt;"",INDEX(Base!$R$1:$R$2500,$E15+BI$1+2),"")</f>
        <v>0.1</v>
      </c>
      <c r="BJ15">
        <f>IF(BJ$1&lt;&gt;"",INDEX(Base!$R$1:$R$2500,$E15+BJ$1+2),"")</f>
        <v>0.1</v>
      </c>
      <c r="BK15">
        <f>IF(BK$1&lt;&gt;"",INDEX(Base!$R$1:$R$2500,$E15+BK$1+2),"")</f>
        <v>0.1</v>
      </c>
      <c r="BL15">
        <f>IF(BL$1&lt;&gt;"",INDEX(Base!$R$1:$R$2500,$E15+BL$1+2),"")</f>
        <v>0.1</v>
      </c>
      <c r="BM15">
        <f>IF(BM$1&lt;&gt;"",INDEX(Base!$R$1:$R$2500,$E15+BM$1+2),"")</f>
        <v>0.1</v>
      </c>
      <c r="BN15">
        <f>IF(BN$1&lt;&gt;"",INDEX(Base!$R$1:$R$2500,$E15+BN$1+2),"")</f>
        <v>0.1</v>
      </c>
      <c r="BO15">
        <f>IF(BO$1&lt;&gt;"",INDEX(Base!$R$1:$R$2500,$E15+BO$1+2),"")</f>
        <v>0.1</v>
      </c>
      <c r="BP15">
        <f>IF(BP$1&lt;&gt;"",INDEX(Base!$R$1:$R$2500,$E15+BP$1+2),"")</f>
        <v>0.1</v>
      </c>
      <c r="BQ15">
        <f>IF(BQ$1&lt;&gt;"",INDEX(Base!$R$1:$R$2500,$E15+BQ$1+2),"")</f>
        <v>0.1</v>
      </c>
      <c r="BR15">
        <f>IF(BR$1&lt;&gt;"",INDEX(Base!$R$1:$R$2500,$E15+BR$1+2),"")</f>
        <v>0.1</v>
      </c>
      <c r="BS15">
        <f>IF(BS$1&lt;&gt;"",INDEX(Base!$R$1:$R$2500,$E15+BS$1+2),"")</f>
        <v>0.1</v>
      </c>
      <c r="BT15">
        <f>IF(BT$1&lt;&gt;"",INDEX(Base!$R$1:$R$2500,$E15+BT$1+2),"")</f>
        <v>2.0099999999999998</v>
      </c>
    </row>
    <row r="16" spans="1:73" x14ac:dyDescent="0.3">
      <c r="A16" s="2">
        <f t="shared" si="3"/>
        <v>577</v>
      </c>
      <c r="B16" s="3" t="str">
        <f>IFERROR(MID(INDEX(Base!A$1:A$2500,Calcoli!A16),47,LEN(INDEX(Base!A$1:A$2500,Calcoli!A16))-41),"")</f>
        <v>SALERIO DANTE ATTILIO</v>
      </c>
      <c r="C16" s="38" t="str">
        <f>MID(INDEX(Base!A$1:A$2500,Calcoli!$A16),42,4)</f>
        <v>1715</v>
      </c>
      <c r="D16" s="5" t="str">
        <f>MID(INDEX(Base!A$1:A$2500,Calcoli!A16),13,11)</f>
        <v xml:space="preserve"> 31_03_2025</v>
      </c>
      <c r="E16" s="4">
        <f t="shared" si="1"/>
        <v>408</v>
      </c>
      <c r="F16" s="3" t="str">
        <f>IFERROR(MID(INDEX(Base!L$1:L$2500,Calcoli!E16),47,LEN(INDEX(Base!L$1:L$2500,Calcoli!E16))-41),"")</f>
        <v>SALERIO DANTE ATTILIO</v>
      </c>
      <c r="G16" s="5" t="str">
        <f>MID(INDEX(Base!L$1:L$2500,Calcoli!$E16),42,4)</f>
        <v>1715</v>
      </c>
      <c r="H16" s="5" t="str">
        <f>MID(INDEX(Base!L$1:L$2500,Calcoli!E16),13,11)</f>
        <v xml:space="preserve"> 01_04_2025</v>
      </c>
      <c r="I16" s="6" t="str">
        <f xml:space="preserve"> IFERROR(MID(INDEX(Base!$V$3:$AB$60,MATCH($F16,Base!$Z$3:$Z$160,0),1),1,14),"")</f>
        <v>1715 SALERIO D</v>
      </c>
      <c r="J16" s="6">
        <f xml:space="preserve"> IFERROR(INDEX(Base!$V$3:$AB$160,MATCH($F16,Base!$Z$3:$Z$160,0),2),"")</f>
        <v>86.666666666666657</v>
      </c>
      <c r="K16" s="6">
        <f xml:space="preserve"> IFERROR(INDEX(Base!$V$3:$AB$160,MATCH($F16,Base!$Z$3:$Z$160,0),3),"")</f>
        <v>47.414866069167516</v>
      </c>
      <c r="L16" s="28">
        <f xml:space="preserve"> IFERROR(INDEX(Base!$V$3:$AB$160,MATCH($F16,Base!$Z$3:$Z$160,0),4),"")</f>
        <v>16.183252427184467</v>
      </c>
      <c r="M16">
        <f>IF(M$1&lt;&gt;"",INDEX(Base!$G$1:$G$2500,$A16+M$1+2),"")</f>
        <v>14.03</v>
      </c>
      <c r="N16">
        <f>IF(N$1&lt;&gt;"",INDEX(Base!$G$1:$G$2500,$A16+N$1+2),"")</f>
        <v>2.68</v>
      </c>
      <c r="O16">
        <f>IF(O$1&lt;&gt;"",INDEX(Base!$G$1:$G$2500,$A16+O$1+2),"")</f>
        <v>0.16</v>
      </c>
      <c r="P16">
        <f>IF(P$1&lt;&gt;"",INDEX(Base!$G$1:$G$2500,$A16+P$1+2),"")</f>
        <v>1.2</v>
      </c>
      <c r="Q16">
        <f>IF(Q$1&lt;&gt;"",INDEX(Base!$G$1:$G$2500,$A16+Q$1+2),"")</f>
        <v>0.1</v>
      </c>
      <c r="R16">
        <f>IF(R$1&lt;&gt;"",INDEX(Base!$G$1:$G$2500,$A16+R$1+2),"")</f>
        <v>1.48</v>
      </c>
      <c r="S16">
        <f>IF(S$1&lt;&gt;"",INDEX(Base!$G$1:$G$2500,$A16+S$1+2),"")</f>
        <v>0.08</v>
      </c>
      <c r="T16">
        <f>IF(T$1&lt;&gt;"",INDEX(Base!$G$1:$G$2500,$A16+T$1+2),"")</f>
        <v>40.36</v>
      </c>
      <c r="U16">
        <f>IF(U$1&lt;&gt;"",INDEX(Base!$G$1:$G$2500,$A16+U$1+2),"")</f>
        <v>1.08</v>
      </c>
      <c r="V16">
        <f>IF(V$1&lt;&gt;"",INDEX(Base!$G$1:$G$2500,$A16+V$1+2),"")</f>
        <v>0.28999999999999998</v>
      </c>
      <c r="W16">
        <f>IF(W$1&lt;&gt;"",INDEX(Base!$G$1:$G$2500,$A16+W$1+2),"")</f>
        <v>0.91</v>
      </c>
      <c r="X16">
        <f>IF(X$1&lt;&gt;"",INDEX(Base!$G$1:$G$2500,$A16+X$1+2),"")</f>
        <v>0.73</v>
      </c>
      <c r="Y16">
        <f>IF(Y$1&lt;&gt;"",INDEX(Base!$G$1:$G$2500,$A16+Y$1+2),"")</f>
        <v>86.1</v>
      </c>
      <c r="Z16">
        <f>IF(Z$1&lt;&gt;"",INDEX(Base!$G$1:$G$2500,$A16+Z$1+2),"")</f>
        <v>1.65</v>
      </c>
      <c r="AA16">
        <f>IF(AA$1&lt;&gt;"",INDEX(Base!$G$1:$G$2500,$A16+AA$1+2),"")</f>
        <v>0.71</v>
      </c>
      <c r="AB16">
        <f>IF(AB$1&lt;&gt;"",INDEX(Base!$G$1:$G$2500,$A16+AB$1+2),"")</f>
        <v>0.77</v>
      </c>
      <c r="AC16">
        <f>IF(AC$1&lt;&gt;"",INDEX(Base!$G$1:$G$2500,$A16+AC$1+2),"")</f>
        <v>2.37</v>
      </c>
      <c r="AD16">
        <f>IF(AD$1&lt;&gt;"",INDEX(Base!$G$1:$G$2500,$A16+AD$1+2),"")</f>
        <v>5.7</v>
      </c>
      <c r="AE16">
        <f>IF(AE$1&lt;&gt;"",INDEX(Base!$G$1:$G$2500,$A16+AE$1+2),"")</f>
        <v>0.1</v>
      </c>
      <c r="AF16">
        <f>IF(AF$1&lt;&gt;"",INDEX(Base!$G$1:$G$2500,$A16+AF$1+2),"")</f>
        <v>0.86</v>
      </c>
      <c r="AG16">
        <f>IF(AG$1&lt;&gt;"",INDEX(Base!$G$1:$G$2500,$A16+AG$1+2),"")</f>
        <v>0.27</v>
      </c>
      <c r="AH16">
        <f>IF(AH$1&lt;&gt;"",INDEX(Base!$G$1:$G$2500,$A16+AH$1+2),"")</f>
        <v>1.48</v>
      </c>
      <c r="AI16">
        <f>IF(AI$1&lt;&gt;"",INDEX(Base!$G$1:$G$2500,$A16+AI$1+2),"")</f>
        <v>0.37</v>
      </c>
      <c r="AJ16">
        <f>IF(AJ$1&lt;&gt;"",INDEX(Base!$G$1:$G$2500,$A16+AJ$1+2),"")</f>
        <v>0.1</v>
      </c>
      <c r="AK16">
        <f>IF(AK$1&lt;&gt;"",INDEX(Base!$G$1:$G$2500,$A16+AK$1+2),"")</f>
        <v>9.6</v>
      </c>
      <c r="AL16">
        <f>IF(AL$1&lt;&gt;"",INDEX(Base!$G$1:$G$2500,$A16+AL$1+2),"")</f>
        <v>1.52</v>
      </c>
      <c r="AM16">
        <f>IF(AM$1&lt;&gt;"",INDEX(Base!$G$1:$G$2500,$A16+AM$1+2),"")</f>
        <v>0.14000000000000001</v>
      </c>
      <c r="AN16">
        <f>IF(AN$1&lt;&gt;"",INDEX(Base!$G$1:$G$2500,$A16+AN$1+2),"")</f>
        <v>0.74</v>
      </c>
      <c r="AO16">
        <f>IF(AO$1&lt;&gt;"",INDEX(Base!$G$1:$G$2500,$A16+AO$1+2),"")</f>
        <v>0.84</v>
      </c>
      <c r="AP16">
        <f>IF(AP$1&lt;&gt;"",INDEX(Base!$G$1:$G$2500,$A16+AP$1+2),"")</f>
        <v>0.14000000000000001</v>
      </c>
      <c r="AQ16">
        <f>IF(AQ$1&lt;&gt;"",INDEX(Base!$G$1:$G$2500,$A16+AQ$1+2),"")</f>
        <v>0.1</v>
      </c>
      <c r="AR16">
        <f>IF(AR$1&lt;&gt;"",INDEX(Base!$G$1:$G$2500,$A16+AR$1+2),"")</f>
        <v>0.06</v>
      </c>
      <c r="AS16">
        <f>IF(AS$1&lt;&gt;"",INDEX(Base!$G$1:$G$2500,$A16+AS$1+2),"")</f>
        <v>0.62</v>
      </c>
      <c r="AT16">
        <f>IF(AT$1&lt;&gt;"",INDEX(Base!$G$1:$G$2500,$A16+AT$1+2),"")</f>
        <v>0.08</v>
      </c>
      <c r="AU16">
        <f>IF(AU$1&lt;&gt;"",INDEX(Base!$G$1:$G$2500,$A16+AU$1+2),"")</f>
        <v>0.12</v>
      </c>
      <c r="AV16">
        <f>IF(AV$1&lt;&gt;"",INDEX(Base!$G$1:$G$2500,$A16+AV$1+2),"")</f>
        <v>0.15</v>
      </c>
      <c r="AW16" s="8">
        <f t="shared" si="0"/>
        <v>2.1428571428571428</v>
      </c>
      <c r="AX16">
        <f>IF(AX$1&lt;&gt;"",INDEX(Base!$R$1:$R$2500,$E16+AX$1+2),"")</f>
        <v>10.67</v>
      </c>
      <c r="AY16">
        <f>IF(AY$1&lt;&gt;"",INDEX(Base!$R$1:$R$2500,$E16+AY$1+2),"")</f>
        <v>264.97000000000003</v>
      </c>
      <c r="AZ16">
        <f>IF(AZ$1&lt;&gt;"",INDEX(Base!$R$1:$R$2500,$E16+AZ$1+2),"")</f>
        <v>0.17</v>
      </c>
      <c r="BA16">
        <f>IF(BA$1&lt;&gt;"",INDEX(Base!$R$1:$R$2500,$E16+BA$1+2),"")</f>
        <v>0.33</v>
      </c>
      <c r="BB16">
        <f>IF(BB$1&lt;&gt;"",INDEX(Base!$R$1:$R$2500,$E16+BB$1+2),"")</f>
        <v>27.71</v>
      </c>
      <c r="BC16">
        <f>IF(BC$1&lt;&gt;"",INDEX(Base!$R$1:$R$2500,$E16+BC$1+2),"")</f>
        <v>0.86</v>
      </c>
      <c r="BD16">
        <f>IF(BD$1&lt;&gt;"",INDEX(Base!$R$1:$R$2500,$E16+BD$1+2),"")</f>
        <v>0.99</v>
      </c>
      <c r="BE16">
        <f>IF(BE$1&lt;&gt;"",INDEX(Base!$R$1:$R$2500,$E16+BE$1+2),"")</f>
        <v>23.82</v>
      </c>
      <c r="BF16">
        <f>IF(BF$1&lt;&gt;"",INDEX(Base!$R$1:$R$2500,$E16+BF$1+2),"")</f>
        <v>0.1</v>
      </c>
      <c r="BG16">
        <f>IF(BG$1&lt;&gt;"",INDEX(Base!$R$1:$R$2500,$E16+BG$1+2),"")</f>
        <v>0.1</v>
      </c>
      <c r="BH16">
        <f>IF(BH$1&lt;&gt;"",INDEX(Base!$R$1:$R$2500,$E16+BH$1+2),"")</f>
        <v>0.28000000000000003</v>
      </c>
      <c r="BI16">
        <f>IF(BI$1&lt;&gt;"",INDEX(Base!$R$1:$R$2500,$E16+BI$1+2),"")</f>
        <v>11.6</v>
      </c>
      <c r="BJ16">
        <f>IF(BJ$1&lt;&gt;"",INDEX(Base!$R$1:$R$2500,$E16+BJ$1+2),"")</f>
        <v>5.2</v>
      </c>
      <c r="BK16">
        <f>IF(BK$1&lt;&gt;"",INDEX(Base!$R$1:$R$2500,$E16+BK$1+2),"")</f>
        <v>16.22</v>
      </c>
      <c r="BL16">
        <f>IF(BL$1&lt;&gt;"",INDEX(Base!$R$1:$R$2500,$E16+BL$1+2),"")</f>
        <v>1.58</v>
      </c>
      <c r="BM16">
        <f>IF(BM$1&lt;&gt;"",INDEX(Base!$R$1:$R$2500,$E16+BM$1+2),"")</f>
        <v>0.3</v>
      </c>
      <c r="BN16">
        <f>IF(BN$1&lt;&gt;"",INDEX(Base!$R$1:$R$2500,$E16+BN$1+2),"")</f>
        <v>7.0000000000000007E-2</v>
      </c>
      <c r="BO16">
        <f>IF(BO$1&lt;&gt;"",INDEX(Base!$R$1:$R$2500,$E16+BO$1+2),"")</f>
        <v>0.05</v>
      </c>
      <c r="BP16">
        <f>IF(BP$1&lt;&gt;"",INDEX(Base!$R$1:$R$2500,$E16+BP$1+2),"")</f>
        <v>0.55000000000000004</v>
      </c>
      <c r="BQ16">
        <f>IF(BQ$1&lt;&gt;"",INDEX(Base!$R$1:$R$2500,$E16+BQ$1+2),"")</f>
        <v>0.15</v>
      </c>
      <c r="BR16">
        <f>IF(BR$1&lt;&gt;"",INDEX(Base!$R$1:$R$2500,$E16+BR$1+2),"")</f>
        <v>0.14000000000000001</v>
      </c>
      <c r="BS16">
        <f>IF(BS$1&lt;&gt;"",INDEX(Base!$R$1:$R$2500,$E16+BS$1+2),"")</f>
        <v>1</v>
      </c>
      <c r="BT16">
        <f>IF(BT$1&lt;&gt;"",INDEX(Base!$R$1:$R$2500,$E16+BT$1+2),"")</f>
        <v>1.18</v>
      </c>
    </row>
    <row r="17" spans="1:72" x14ac:dyDescent="0.3">
      <c r="A17" s="2">
        <f t="shared" si="3"/>
        <v>621</v>
      </c>
      <c r="B17" s="3" t="str">
        <f>IFERROR(MID(INDEX(Base!A$1:A$2500,Calcoli!A17),47,LEN(INDEX(Base!A$1:A$2500,Calcoli!A17))-41),"")</f>
        <v>POZZAGLIO LAURA</v>
      </c>
      <c r="C17" s="38" t="str">
        <f>MID(INDEX(Base!A$1:A$2500,Calcoli!$A17),42,4)</f>
        <v>1719</v>
      </c>
      <c r="D17" s="5" t="str">
        <f>MID(INDEX(Base!A$1:A$2500,Calcoli!A17),13,11)</f>
        <v xml:space="preserve"> 31_03_2025</v>
      </c>
      <c r="E17" s="4">
        <f t="shared" si="1"/>
        <v>439</v>
      </c>
      <c r="F17" s="3" t="str">
        <f>IFERROR(MID(INDEX(Base!L$1:L$2500,Calcoli!E17),47,LEN(INDEX(Base!L$1:L$2500,Calcoli!E17))-41),"")</f>
        <v>POZZAGLIO LAURA</v>
      </c>
      <c r="G17" s="5" t="str">
        <f>MID(INDEX(Base!L$1:L$2500,Calcoli!$E17),42,4)</f>
        <v>1719</v>
      </c>
      <c r="H17" s="5" t="str">
        <f>MID(INDEX(Base!L$1:L$2500,Calcoli!E17),13,11)</f>
        <v xml:space="preserve"> 01_04_2025</v>
      </c>
      <c r="I17" s="6" t="str">
        <f xml:space="preserve"> IFERROR(MID(INDEX(Base!$V$3:$AB$60,MATCH($F17,Base!$Z$3:$Z$160,0),1),1,14),"")</f>
        <v>1719 POZZAGLIO</v>
      </c>
      <c r="J17" s="6">
        <f xml:space="preserve"> IFERROR(INDEX(Base!$V$3:$AB$160,MATCH($F17,Base!$Z$3:$Z$160,0),2),"")</f>
        <v>90.909090909090921</v>
      </c>
      <c r="K17" s="6">
        <f xml:space="preserve"> IFERROR(INDEX(Base!$V$3:$AB$160,MATCH($F17,Base!$Z$3:$Z$160,0),3),"")</f>
        <v>25.683052454132397</v>
      </c>
      <c r="L17" s="28">
        <f xml:space="preserve"> IFERROR(INDEX(Base!$V$3:$AB$160,MATCH($F17,Base!$Z$3:$Z$160,0),4),"")</f>
        <v>88.179611650485455</v>
      </c>
      <c r="M17">
        <f>IF(M$1&lt;&gt;"",INDEX(Base!$G$1:$G$2500,$A17+M$1+2),"")</f>
        <v>28.9</v>
      </c>
      <c r="N17">
        <f>IF(N$1&lt;&gt;"",INDEX(Base!$G$1:$G$2500,$A17+N$1+2),"")</f>
        <v>8.58</v>
      </c>
      <c r="O17">
        <f>IF(O$1&lt;&gt;"",INDEX(Base!$G$1:$G$2500,$A17+O$1+2),"")</f>
        <v>0.14000000000000001</v>
      </c>
      <c r="P17">
        <f>IF(P$1&lt;&gt;"",INDEX(Base!$G$1:$G$2500,$A17+P$1+2),"")</f>
        <v>1.05</v>
      </c>
      <c r="Q17">
        <f>IF(Q$1&lt;&gt;"",INDEX(Base!$G$1:$G$2500,$A17+Q$1+2),"")</f>
        <v>0.1</v>
      </c>
      <c r="R17">
        <f>IF(R$1&lt;&gt;"",INDEX(Base!$G$1:$G$2500,$A17+R$1+2),"")</f>
        <v>2.11</v>
      </c>
      <c r="S17">
        <f>IF(S$1&lt;&gt;"",INDEX(Base!$G$1:$G$2500,$A17+S$1+2),"")</f>
        <v>0.1</v>
      </c>
      <c r="T17">
        <f>IF(T$1&lt;&gt;"",INDEX(Base!$G$1:$G$2500,$A17+T$1+2),"")</f>
        <v>24.46</v>
      </c>
      <c r="U17">
        <f>IF(U$1&lt;&gt;"",INDEX(Base!$G$1:$G$2500,$A17+U$1+2),"")</f>
        <v>3.07</v>
      </c>
      <c r="V17">
        <f>IF(V$1&lt;&gt;"",INDEX(Base!$G$1:$G$2500,$A17+V$1+2),"")</f>
        <v>0.12</v>
      </c>
      <c r="W17">
        <f>IF(W$1&lt;&gt;"",INDEX(Base!$G$1:$G$2500,$A17+W$1+2),"")</f>
        <v>1.58</v>
      </c>
      <c r="X17">
        <f>IF(X$1&lt;&gt;"",INDEX(Base!$G$1:$G$2500,$A17+X$1+2),"")</f>
        <v>1.21</v>
      </c>
      <c r="Y17">
        <f>IF(Y$1&lt;&gt;"",INDEX(Base!$G$1:$G$2500,$A17+Y$1+2),"")</f>
        <v>88.44</v>
      </c>
      <c r="Z17">
        <f>IF(Z$1&lt;&gt;"",INDEX(Base!$G$1:$G$2500,$A17+Z$1+2),"")</f>
        <v>2.97</v>
      </c>
      <c r="AA17">
        <f>IF(AA$1&lt;&gt;"",INDEX(Base!$G$1:$G$2500,$A17+AA$1+2),"")</f>
        <v>2.0299999999999998</v>
      </c>
      <c r="AB17">
        <f>IF(AB$1&lt;&gt;"",INDEX(Base!$G$1:$G$2500,$A17+AB$1+2),"")</f>
        <v>0.89</v>
      </c>
      <c r="AC17">
        <f>IF(AC$1&lt;&gt;"",INDEX(Base!$G$1:$G$2500,$A17+AC$1+2),"")</f>
        <v>1.53</v>
      </c>
      <c r="AD17">
        <f>IF(AD$1&lt;&gt;"",INDEX(Base!$G$1:$G$2500,$A17+AD$1+2),"")</f>
        <v>10.29</v>
      </c>
      <c r="AE17">
        <f>IF(AE$1&lt;&gt;"",INDEX(Base!$G$1:$G$2500,$A17+AE$1+2),"")</f>
        <v>0.13</v>
      </c>
      <c r="AF17">
        <f>IF(AF$1&lt;&gt;"",INDEX(Base!$G$1:$G$2500,$A17+AF$1+2),"")</f>
        <v>2.7</v>
      </c>
      <c r="AG17">
        <f>IF(AG$1&lt;&gt;"",INDEX(Base!$G$1:$G$2500,$A17+AG$1+2),"")</f>
        <v>0.84</v>
      </c>
      <c r="AH17">
        <f>IF(AH$1&lt;&gt;"",INDEX(Base!$G$1:$G$2500,$A17+AH$1+2),"")</f>
        <v>2.84</v>
      </c>
      <c r="AI17">
        <f>IF(AI$1&lt;&gt;"",INDEX(Base!$G$1:$G$2500,$A17+AI$1+2),"")</f>
        <v>0.5</v>
      </c>
      <c r="AJ17">
        <f>IF(AJ$1&lt;&gt;"",INDEX(Base!$G$1:$G$2500,$A17+AJ$1+2),"")</f>
        <v>0.12</v>
      </c>
      <c r="AK17">
        <f>IF(AK$1&lt;&gt;"",INDEX(Base!$G$1:$G$2500,$A17+AK$1+2),"")</f>
        <v>4.03</v>
      </c>
      <c r="AL17">
        <f>IF(AL$1&lt;&gt;"",INDEX(Base!$G$1:$G$2500,$A17+AL$1+2),"")</f>
        <v>2.2200000000000002</v>
      </c>
      <c r="AM17">
        <f>IF(AM$1&lt;&gt;"",INDEX(Base!$G$1:$G$2500,$A17+AM$1+2),"")</f>
        <v>1.37</v>
      </c>
      <c r="AN17">
        <f>IF(AN$1&lt;&gt;"",INDEX(Base!$G$1:$G$2500,$A17+AN$1+2),"")</f>
        <v>1.47</v>
      </c>
      <c r="AO17">
        <f>IF(AO$1&lt;&gt;"",INDEX(Base!$G$1:$G$2500,$A17+AO$1+2),"")</f>
        <v>1.62</v>
      </c>
      <c r="AP17">
        <f>IF(AP$1&lt;&gt;"",INDEX(Base!$G$1:$G$2500,$A17+AP$1+2),"")</f>
        <v>0.05</v>
      </c>
      <c r="AQ17">
        <f>IF(AQ$1&lt;&gt;"",INDEX(Base!$G$1:$G$2500,$A17+AQ$1+2),"")</f>
        <v>0.18</v>
      </c>
      <c r="AR17">
        <f>IF(AR$1&lt;&gt;"",INDEX(Base!$G$1:$G$2500,$A17+AR$1+2),"")</f>
        <v>0.1</v>
      </c>
      <c r="AS17">
        <f>IF(AS$1&lt;&gt;"",INDEX(Base!$G$1:$G$2500,$A17+AS$1+2),"")</f>
        <v>0.72</v>
      </c>
      <c r="AT17">
        <f>IF(AT$1&lt;&gt;"",INDEX(Base!$G$1:$G$2500,$A17+AT$1+2),"")</f>
        <v>0.1</v>
      </c>
      <c r="AU17">
        <f>IF(AU$1&lt;&gt;"",INDEX(Base!$G$1:$G$2500,$A17+AU$1+2),"")</f>
        <v>0.1</v>
      </c>
      <c r="AV17">
        <f>IF(AV$1&lt;&gt;"",INDEX(Base!$G$1:$G$2500,$A17+AV$1+2),"")</f>
        <v>0.72</v>
      </c>
      <c r="AW17" s="8">
        <f t="shared" si="0"/>
        <v>3.3370786516853936</v>
      </c>
      <c r="AX17">
        <f>IF(AX$1&lt;&gt;"",INDEX(Base!$R$1:$R$2500,$E17+AX$1+2),"")</f>
        <v>14.58</v>
      </c>
      <c r="AY17">
        <f>IF(AY$1&lt;&gt;"",INDEX(Base!$R$1:$R$2500,$E17+AY$1+2),"")</f>
        <v>184.29</v>
      </c>
      <c r="AZ17">
        <f>IF(AZ$1&lt;&gt;"",INDEX(Base!$R$1:$R$2500,$E17+AZ$1+2),"")</f>
        <v>0.19</v>
      </c>
      <c r="BA17">
        <f>IF(BA$1&lt;&gt;"",INDEX(Base!$R$1:$R$2500,$E17+BA$1+2),"")</f>
        <v>0.87</v>
      </c>
      <c r="BB17">
        <f>IF(BB$1&lt;&gt;"",INDEX(Base!$R$1:$R$2500,$E17+BB$1+2),"")</f>
        <v>41.7</v>
      </c>
      <c r="BC17">
        <f>IF(BC$1&lt;&gt;"",INDEX(Base!$R$1:$R$2500,$E17+BC$1+2),"")</f>
        <v>2.46</v>
      </c>
      <c r="BD17">
        <f>IF(BD$1&lt;&gt;"",INDEX(Base!$R$1:$R$2500,$E17+BD$1+2),"")</f>
        <v>4.49</v>
      </c>
      <c r="BE17">
        <f>IF(BE$1&lt;&gt;"",INDEX(Base!$R$1:$R$2500,$E17+BE$1+2),"")</f>
        <v>22.7</v>
      </c>
      <c r="BF17">
        <f>IF(BF$1&lt;&gt;"",INDEX(Base!$R$1:$R$2500,$E17+BF$1+2),"")</f>
        <v>0.17</v>
      </c>
      <c r="BG17">
        <f>IF(BG$1&lt;&gt;"",INDEX(Base!$R$1:$R$2500,$E17+BG$1+2),"")</f>
        <v>2.8</v>
      </c>
      <c r="BH17">
        <f>IF(BH$1&lt;&gt;"",INDEX(Base!$R$1:$R$2500,$E17+BH$1+2),"")</f>
        <v>0.24</v>
      </c>
      <c r="BI17">
        <f>IF(BI$1&lt;&gt;"",INDEX(Base!$R$1:$R$2500,$E17+BI$1+2),"")</f>
        <v>28.24</v>
      </c>
      <c r="BJ17">
        <f>IF(BJ$1&lt;&gt;"",INDEX(Base!$R$1:$R$2500,$E17+BJ$1+2),"")</f>
        <v>12.09</v>
      </c>
      <c r="BK17">
        <f>IF(BK$1&lt;&gt;"",INDEX(Base!$R$1:$R$2500,$E17+BK$1+2),"")</f>
        <v>10.41</v>
      </c>
      <c r="BL17">
        <f>IF(BL$1&lt;&gt;"",INDEX(Base!$R$1:$R$2500,$E17+BL$1+2),"")</f>
        <v>6.04</v>
      </c>
      <c r="BM17">
        <f>IF(BM$1&lt;&gt;"",INDEX(Base!$R$1:$R$2500,$E17+BM$1+2),"")</f>
        <v>1.29</v>
      </c>
      <c r="BN17">
        <f>IF(BN$1&lt;&gt;"",INDEX(Base!$R$1:$R$2500,$E17+BN$1+2),"")</f>
        <v>0.11</v>
      </c>
      <c r="BO17">
        <f>IF(BO$1&lt;&gt;"",INDEX(Base!$R$1:$R$2500,$E17+BO$1+2),"")</f>
        <v>0.16</v>
      </c>
      <c r="BP17">
        <f>IF(BP$1&lt;&gt;"",INDEX(Base!$R$1:$R$2500,$E17+BP$1+2),"")</f>
        <v>0.73</v>
      </c>
      <c r="BQ17">
        <f>IF(BQ$1&lt;&gt;"",INDEX(Base!$R$1:$R$2500,$E17+BQ$1+2),"")</f>
        <v>0.38</v>
      </c>
      <c r="BR17">
        <f>IF(BR$1&lt;&gt;"",INDEX(Base!$R$1:$R$2500,$E17+BR$1+2),"")</f>
        <v>0.08</v>
      </c>
      <c r="BS17">
        <f>IF(BS$1&lt;&gt;"",INDEX(Base!$R$1:$R$2500,$E17+BS$1+2),"")</f>
        <v>3.26</v>
      </c>
      <c r="BT17">
        <f>IF(BT$1&lt;&gt;"",INDEX(Base!$R$1:$R$2500,$E17+BT$1+2),"")</f>
        <v>2.12</v>
      </c>
    </row>
    <row r="18" spans="1:72" x14ac:dyDescent="0.3">
      <c r="A18" s="2">
        <f t="shared" si="3"/>
        <v>665</v>
      </c>
      <c r="B18" s="3" t="str">
        <f>IFERROR(MID(INDEX(Base!A$1:A$2500,Calcoli!A18),47,LEN(INDEX(Base!A$1:A$2500,Calcoli!A18))-41),"")</f>
        <v>GHIRETTI SILVIA</v>
      </c>
      <c r="C18" s="38" t="str">
        <f>MID(INDEX(Base!A$1:A$2500,Calcoli!$A18),42,4)</f>
        <v>1721</v>
      </c>
      <c r="D18" s="5" t="str">
        <f>MID(INDEX(Base!A$1:A$2500,Calcoli!A18),13,11)</f>
        <v xml:space="preserve"> 31_03_2025</v>
      </c>
      <c r="E18" s="4">
        <f t="shared" si="1"/>
        <v>470</v>
      </c>
      <c r="F18" s="3" t="str">
        <f>IFERROR(MID(INDEX(Base!L$1:L$2500,Calcoli!E18),47,LEN(INDEX(Base!L$1:L$2500,Calcoli!E18))-41),"")</f>
        <v>GHIRETTI SILVIA</v>
      </c>
      <c r="G18" s="5" t="str">
        <f>MID(INDEX(Base!L$1:L$2500,Calcoli!$E18),42,4)</f>
        <v>1721</v>
      </c>
      <c r="H18" s="5" t="str">
        <f>MID(INDEX(Base!L$1:L$2500,Calcoli!E18),13,11)</f>
        <v xml:space="preserve"> 01_04_2025</v>
      </c>
      <c r="I18" s="6" t="str">
        <f xml:space="preserve"> IFERROR(MID(INDEX(Base!$V$3:$AB$60,MATCH($F18,Base!$Z$3:$Z$160,0),1),1,14),"")</f>
        <v xml:space="preserve">1721 GHIRETTI </v>
      </c>
      <c r="J18" s="6">
        <f xml:space="preserve"> IFERROR(INDEX(Base!$V$3:$AB$160,MATCH($F18,Base!$Z$3:$Z$160,0),2),"")</f>
        <v>66.666666666666657</v>
      </c>
      <c r="K18" s="6">
        <f xml:space="preserve"> IFERROR(INDEX(Base!$V$3:$AB$160,MATCH($F18,Base!$Z$3:$Z$160,0),3),"")</f>
        <v>77.04915736239721</v>
      </c>
      <c r="L18" s="28">
        <f xml:space="preserve"> IFERROR(INDEX(Base!$V$3:$AB$160,MATCH($F18,Base!$Z$3:$Z$160,0),4),"")</f>
        <v>39.799757281553404</v>
      </c>
      <c r="M18">
        <f>IF(M$1&lt;&gt;"",INDEX(Base!$G$1:$G$2500,$A18+M$1+2),"")</f>
        <v>5.74</v>
      </c>
      <c r="N18">
        <f>IF(N$1&lt;&gt;"",INDEX(Base!$G$1:$G$2500,$A18+N$1+2),"")</f>
        <v>4.95</v>
      </c>
      <c r="O18">
        <f>IF(O$1&lt;&gt;"",INDEX(Base!$G$1:$G$2500,$A18+O$1+2),"")</f>
        <v>0.18</v>
      </c>
      <c r="P18">
        <f>IF(P$1&lt;&gt;"",INDEX(Base!$G$1:$G$2500,$A18+P$1+2),"")</f>
        <v>1.02</v>
      </c>
      <c r="Q18">
        <f>IF(Q$1&lt;&gt;"",INDEX(Base!$G$1:$G$2500,$A18+Q$1+2),"")</f>
        <v>0.14000000000000001</v>
      </c>
      <c r="R18">
        <f>IF(R$1&lt;&gt;"",INDEX(Base!$G$1:$G$2500,$A18+R$1+2),"")</f>
        <v>0.88</v>
      </c>
      <c r="S18">
        <f>IF(S$1&lt;&gt;"",INDEX(Base!$G$1:$G$2500,$A18+S$1+2),"")</f>
        <v>0.41</v>
      </c>
      <c r="T18">
        <f>IF(T$1&lt;&gt;"",INDEX(Base!$G$1:$G$2500,$A18+T$1+2),"")</f>
        <v>16.8</v>
      </c>
      <c r="U18">
        <f>IF(U$1&lt;&gt;"",INDEX(Base!$G$1:$G$2500,$A18+U$1+2),"")</f>
        <v>2.44</v>
      </c>
      <c r="V18">
        <f>IF(V$1&lt;&gt;"",INDEX(Base!$G$1:$G$2500,$A18+V$1+2),"")</f>
        <v>0.18</v>
      </c>
      <c r="W18">
        <f>IF(W$1&lt;&gt;"",INDEX(Base!$G$1:$G$2500,$A18+W$1+2),"")</f>
        <v>1.38</v>
      </c>
      <c r="X18">
        <f>IF(X$1&lt;&gt;"",INDEX(Base!$G$1:$G$2500,$A18+X$1+2),"")</f>
        <v>0.88</v>
      </c>
      <c r="Y18">
        <f>IF(Y$1&lt;&gt;"",INDEX(Base!$G$1:$G$2500,$A18+Y$1+2),"")</f>
        <v>96.78</v>
      </c>
      <c r="Z18">
        <f>IF(Z$1&lt;&gt;"",INDEX(Base!$G$1:$G$2500,$A18+Z$1+2),"")</f>
        <v>1.68</v>
      </c>
      <c r="AA18">
        <f>IF(AA$1&lt;&gt;"",INDEX(Base!$G$1:$G$2500,$A18+AA$1+2),"")</f>
        <v>1.42</v>
      </c>
      <c r="AB18">
        <f>IF(AB$1&lt;&gt;"",INDEX(Base!$G$1:$G$2500,$A18+AB$1+2),"")</f>
        <v>1.03</v>
      </c>
      <c r="AC18">
        <f>IF(AC$1&lt;&gt;"",INDEX(Base!$G$1:$G$2500,$A18+AC$1+2),"")</f>
        <v>4.9000000000000004</v>
      </c>
      <c r="AD18">
        <f>IF(AD$1&lt;&gt;"",INDEX(Base!$G$1:$G$2500,$A18+AD$1+2),"")</f>
        <v>8.06</v>
      </c>
      <c r="AE18">
        <f>IF(AE$1&lt;&gt;"",INDEX(Base!$G$1:$G$2500,$A18+AE$1+2),"")</f>
        <v>0.22</v>
      </c>
      <c r="AF18">
        <f>IF(AF$1&lt;&gt;"",INDEX(Base!$G$1:$G$2500,$A18+AF$1+2),"")</f>
        <v>2.71</v>
      </c>
      <c r="AG18">
        <f>IF(AG$1&lt;&gt;"",INDEX(Base!$G$1:$G$2500,$A18+AG$1+2),"")</f>
        <v>0.82</v>
      </c>
      <c r="AH18">
        <f>IF(AH$1&lt;&gt;"",INDEX(Base!$G$1:$G$2500,$A18+AH$1+2),"")</f>
        <v>1.87</v>
      </c>
      <c r="AI18">
        <f>IF(AI$1&lt;&gt;"",INDEX(Base!$G$1:$G$2500,$A18+AI$1+2),"")</f>
        <v>0.57999999999999996</v>
      </c>
      <c r="AJ18">
        <f>IF(AJ$1&lt;&gt;"",INDEX(Base!$G$1:$G$2500,$A18+AJ$1+2),"")</f>
        <v>0.1</v>
      </c>
      <c r="AK18">
        <f>IF(AK$1&lt;&gt;"",INDEX(Base!$G$1:$G$2500,$A18+AK$1+2),"")</f>
        <v>5.92</v>
      </c>
      <c r="AL18">
        <f>IF(AL$1&lt;&gt;"",INDEX(Base!$G$1:$G$2500,$A18+AL$1+2),"")</f>
        <v>2.44</v>
      </c>
      <c r="AM18">
        <f>IF(AM$1&lt;&gt;"",INDEX(Base!$G$1:$G$2500,$A18+AM$1+2),"")</f>
        <v>0.32</v>
      </c>
      <c r="AN18">
        <f>IF(AN$1&lt;&gt;"",INDEX(Base!$G$1:$G$2500,$A18+AN$1+2),"")</f>
        <v>1.1000000000000001</v>
      </c>
      <c r="AO18">
        <f>IF(AO$1&lt;&gt;"",INDEX(Base!$G$1:$G$2500,$A18+AO$1+2),"")</f>
        <v>0.78</v>
      </c>
      <c r="AP18">
        <f>IF(AP$1&lt;&gt;"",INDEX(Base!$G$1:$G$2500,$A18+AP$1+2),"")</f>
        <v>0.26</v>
      </c>
      <c r="AQ18">
        <f>IF(AQ$1&lt;&gt;"",INDEX(Base!$G$1:$G$2500,$A18+AQ$1+2),"")</f>
        <v>0.1</v>
      </c>
      <c r="AR18">
        <f>IF(AR$1&lt;&gt;"",INDEX(Base!$G$1:$G$2500,$A18+AR$1+2),"")</f>
        <v>0.1</v>
      </c>
      <c r="AS18">
        <f>IF(AS$1&lt;&gt;"",INDEX(Base!$G$1:$G$2500,$A18+AS$1+2),"")</f>
        <v>0.72</v>
      </c>
      <c r="AT18">
        <f>IF(AT$1&lt;&gt;"",INDEX(Base!$G$1:$G$2500,$A18+AT$1+2),"")</f>
        <v>0.09</v>
      </c>
      <c r="AU18">
        <f>IF(AU$1&lt;&gt;"",INDEX(Base!$G$1:$G$2500,$A18+AU$1+2),"")</f>
        <v>0.11</v>
      </c>
      <c r="AV18">
        <f>IF(AV$1&lt;&gt;"",INDEX(Base!$G$1:$G$2500,$A18+AV$1+2),"")</f>
        <v>1.1000000000000001</v>
      </c>
      <c r="AW18" s="8">
        <f t="shared" si="0"/>
        <v>1.6310679611650485</v>
      </c>
      <c r="AX18">
        <f>IF(AX$1&lt;&gt;"",INDEX(Base!$R$1:$R$2500,$E18+AX$1+2),"")</f>
        <v>13.95</v>
      </c>
      <c r="AY18">
        <f>IF(AY$1&lt;&gt;"",INDEX(Base!$R$1:$R$2500,$E18+AY$1+2),"")</f>
        <v>285.97000000000003</v>
      </c>
      <c r="AZ18">
        <f>IF(AZ$1&lt;&gt;"",INDEX(Base!$R$1:$R$2500,$E18+AZ$1+2),"")</f>
        <v>0.19</v>
      </c>
      <c r="BA18">
        <f>IF(BA$1&lt;&gt;"",INDEX(Base!$R$1:$R$2500,$E18+BA$1+2),"")</f>
        <v>0.67</v>
      </c>
      <c r="BB18">
        <f>IF(BB$1&lt;&gt;"",INDEX(Base!$R$1:$R$2500,$E18+BB$1+2),"")</f>
        <v>31.2</v>
      </c>
      <c r="BC18">
        <f>IF(BC$1&lt;&gt;"",INDEX(Base!$R$1:$R$2500,$E18+BC$1+2),"")</f>
        <v>0.8</v>
      </c>
      <c r="BD18">
        <f>IF(BD$1&lt;&gt;"",INDEX(Base!$R$1:$R$2500,$E18+BD$1+2),"")</f>
        <v>0.79</v>
      </c>
      <c r="BE18">
        <f>IF(BE$1&lt;&gt;"",INDEX(Base!$R$1:$R$2500,$E18+BE$1+2),"")</f>
        <v>2128.79</v>
      </c>
      <c r="BF18">
        <f>IF(BF$1&lt;&gt;"",INDEX(Base!$R$1:$R$2500,$E18+BF$1+2),"")</f>
        <v>1.71</v>
      </c>
      <c r="BG18">
        <f>IF(BG$1&lt;&gt;"",INDEX(Base!$R$1:$R$2500,$E18+BG$1+2),"")</f>
        <v>1.1399999999999999</v>
      </c>
      <c r="BH18">
        <f>IF(BH$1&lt;&gt;"",INDEX(Base!$R$1:$R$2500,$E18+BH$1+2),"")</f>
        <v>0.22</v>
      </c>
      <c r="BI18">
        <f>IF(BI$1&lt;&gt;"",INDEX(Base!$R$1:$R$2500,$E18+BI$1+2),"")</f>
        <v>4.99</v>
      </c>
      <c r="BJ18">
        <f>IF(BJ$1&lt;&gt;"",INDEX(Base!$R$1:$R$2500,$E18+BJ$1+2),"")</f>
        <v>5.56</v>
      </c>
      <c r="BK18">
        <f>IF(BK$1&lt;&gt;"",INDEX(Base!$R$1:$R$2500,$E18+BK$1+2),"")</f>
        <v>13.63</v>
      </c>
      <c r="BL18">
        <f>IF(BL$1&lt;&gt;"",INDEX(Base!$R$1:$R$2500,$E18+BL$1+2),"")</f>
        <v>2.29</v>
      </c>
      <c r="BM18">
        <f>IF(BM$1&lt;&gt;"",INDEX(Base!$R$1:$R$2500,$E18+BM$1+2),"")</f>
        <v>0.28000000000000003</v>
      </c>
      <c r="BN18">
        <f>IF(BN$1&lt;&gt;"",INDEX(Base!$R$1:$R$2500,$E18+BN$1+2),"")</f>
        <v>0.1</v>
      </c>
      <c r="BO18">
        <f>IF(BO$1&lt;&gt;"",INDEX(Base!$R$1:$R$2500,$E18+BO$1+2),"")</f>
        <v>0.05</v>
      </c>
      <c r="BP18">
        <f>IF(BP$1&lt;&gt;"",INDEX(Base!$R$1:$R$2500,$E18+BP$1+2),"")</f>
        <v>0.83</v>
      </c>
      <c r="BQ18">
        <f>IF(BQ$1&lt;&gt;"",INDEX(Base!$R$1:$R$2500,$E18+BQ$1+2),"")</f>
        <v>0.33</v>
      </c>
      <c r="BR18">
        <f>IF(BR$1&lt;&gt;"",INDEX(Base!$R$1:$R$2500,$E18+BR$1+2),"")</f>
        <v>0.35</v>
      </c>
      <c r="BS18">
        <f>IF(BS$1&lt;&gt;"",INDEX(Base!$R$1:$R$2500,$E18+BS$1+2),"")</f>
        <v>4.5199999999999996</v>
      </c>
      <c r="BT18">
        <f>IF(BT$1&lt;&gt;"",INDEX(Base!$R$1:$R$2500,$E18+BT$1+2),"")</f>
        <v>1.65</v>
      </c>
    </row>
    <row r="19" spans="1:72" x14ac:dyDescent="0.3">
      <c r="A19" s="2">
        <f t="shared" si="3"/>
        <v>709</v>
      </c>
      <c r="B19" s="3" t="str">
        <f>IFERROR(MID(INDEX(Base!A$1:A$2500,Calcoli!A19),47,LEN(INDEX(Base!A$1:A$2500,Calcoli!A19))-41),"")</f>
        <v>CARIELLO GIUSEPPE</v>
      </c>
      <c r="C19" s="38" t="str">
        <f>MID(INDEX(Base!A$1:A$2500,Calcoli!$A19),42,4)</f>
        <v>1725</v>
      </c>
      <c r="D19" s="5" t="str">
        <f>MID(INDEX(Base!A$1:A$2500,Calcoli!A19),13,11)</f>
        <v xml:space="preserve"> 31_03_2025</v>
      </c>
      <c r="E19" s="4">
        <f t="shared" si="1"/>
        <v>501</v>
      </c>
      <c r="F19" s="3" t="str">
        <f>IFERROR(MID(INDEX(Base!L$1:L$2500,Calcoli!E19),47,LEN(INDEX(Base!L$1:L$2500,Calcoli!E19))-41),"")</f>
        <v>CARIELLO GIUSEPPE</v>
      </c>
      <c r="G19" s="5" t="str">
        <f>MID(INDEX(Base!L$1:L$2500,Calcoli!$E19),42,4)</f>
        <v>1725</v>
      </c>
      <c r="H19" s="5" t="str">
        <f>MID(INDEX(Base!L$1:L$2500,Calcoli!E19),13,11)</f>
        <v xml:space="preserve"> 01_04_2025</v>
      </c>
      <c r="I19" s="6" t="str">
        <f xml:space="preserve"> IFERROR(MID(INDEX(Base!$V$3:$AB$60,MATCH($F19,Base!$Z$3:$Z$160,0),1),1,14),"")</f>
        <v xml:space="preserve">1725 CARIELLO </v>
      </c>
      <c r="J19" s="6">
        <f xml:space="preserve"> IFERROR(INDEX(Base!$V$3:$AB$160,MATCH($F19,Base!$Z$3:$Z$160,0),2),"")</f>
        <v>117.57575757575762</v>
      </c>
      <c r="K19" s="6">
        <f xml:space="preserve"> IFERROR(INDEX(Base!$V$3:$AB$160,MATCH($F19,Base!$Z$3:$Z$160,0),3),"")</f>
        <v>23.829636297648612</v>
      </c>
      <c r="L19" s="28">
        <f xml:space="preserve"> IFERROR(INDEX(Base!$V$3:$AB$160,MATCH($F19,Base!$Z$3:$Z$160,0),4),"")</f>
        <v>23.404126213592235</v>
      </c>
      <c r="M19">
        <f>IF(M$1&lt;&gt;"",INDEX(Base!$G$1:$G$2500,$A19+M$1+2),"")</f>
        <v>25.54</v>
      </c>
      <c r="N19">
        <f>IF(N$1&lt;&gt;"",INDEX(Base!$G$1:$G$2500,$A19+N$1+2),"")</f>
        <v>7.34</v>
      </c>
      <c r="O19">
        <f>IF(O$1&lt;&gt;"",INDEX(Base!$G$1:$G$2500,$A19+O$1+2),"")</f>
        <v>0.16</v>
      </c>
      <c r="P19">
        <f>IF(P$1&lt;&gt;"",INDEX(Base!$G$1:$G$2500,$A19+P$1+2),"")</f>
        <v>1.04</v>
      </c>
      <c r="Q19">
        <f>IF(Q$1&lt;&gt;"",INDEX(Base!$G$1:$G$2500,$A19+Q$1+2),"")</f>
        <v>0.1</v>
      </c>
      <c r="R19">
        <f>IF(R$1&lt;&gt;"",INDEX(Base!$G$1:$G$2500,$A19+R$1+2),"")</f>
        <v>1.68</v>
      </c>
      <c r="S19">
        <f>IF(S$1&lt;&gt;"",INDEX(Base!$G$1:$G$2500,$A19+S$1+2),"")</f>
        <v>0.61</v>
      </c>
      <c r="T19">
        <f>IF(T$1&lt;&gt;"",INDEX(Base!$G$1:$G$2500,$A19+T$1+2),"")</f>
        <v>37.020000000000003</v>
      </c>
      <c r="U19">
        <f>IF(U$1&lt;&gt;"",INDEX(Base!$G$1:$G$2500,$A19+U$1+2),"")</f>
        <v>1.37</v>
      </c>
      <c r="V19">
        <f>IF(V$1&lt;&gt;"",INDEX(Base!$G$1:$G$2500,$A19+V$1+2),"")</f>
        <v>0.17</v>
      </c>
      <c r="W19">
        <f>IF(W$1&lt;&gt;"",INDEX(Base!$G$1:$G$2500,$A19+W$1+2),"")</f>
        <v>1.48</v>
      </c>
      <c r="X19">
        <f>IF(X$1&lt;&gt;"",INDEX(Base!$G$1:$G$2500,$A19+X$1+2),"")</f>
        <v>1.02</v>
      </c>
      <c r="Y19">
        <f>IF(Y$1&lt;&gt;"",INDEX(Base!$G$1:$G$2500,$A19+Y$1+2),"")</f>
        <v>53.95</v>
      </c>
      <c r="Z19">
        <f>IF(Z$1&lt;&gt;"",INDEX(Base!$G$1:$G$2500,$A19+Z$1+2),"")</f>
        <v>1.67</v>
      </c>
      <c r="AA19">
        <f>IF(AA$1&lt;&gt;"",INDEX(Base!$G$1:$G$2500,$A19+AA$1+2),"")</f>
        <v>0.82</v>
      </c>
      <c r="AB19">
        <f>IF(AB$1&lt;&gt;"",INDEX(Base!$G$1:$G$2500,$A19+AB$1+2),"")</f>
        <v>0.96</v>
      </c>
      <c r="AC19">
        <f>IF(AC$1&lt;&gt;"",INDEX(Base!$G$1:$G$2500,$A19+AC$1+2),"")</f>
        <v>1.9</v>
      </c>
      <c r="AD19">
        <f>IF(AD$1&lt;&gt;"",INDEX(Base!$G$1:$G$2500,$A19+AD$1+2),"")</f>
        <v>10.72</v>
      </c>
      <c r="AE19">
        <f>IF(AE$1&lt;&gt;"",INDEX(Base!$G$1:$G$2500,$A19+AE$1+2),"")</f>
        <v>0.1</v>
      </c>
      <c r="AF19">
        <f>IF(AF$1&lt;&gt;"",INDEX(Base!$G$1:$G$2500,$A19+AF$1+2),"")</f>
        <v>2.16</v>
      </c>
      <c r="AG19">
        <f>IF(AG$1&lt;&gt;"",INDEX(Base!$G$1:$G$2500,$A19+AG$1+2),"")</f>
        <v>0.86</v>
      </c>
      <c r="AH19">
        <f>IF(AH$1&lt;&gt;"",INDEX(Base!$G$1:$G$2500,$A19+AH$1+2),"")</f>
        <v>2.4</v>
      </c>
      <c r="AI19">
        <f>IF(AI$1&lt;&gt;"",INDEX(Base!$G$1:$G$2500,$A19+AI$1+2),"")</f>
        <v>0.56999999999999995</v>
      </c>
      <c r="AJ19">
        <f>IF(AJ$1&lt;&gt;"",INDEX(Base!$G$1:$G$2500,$A19+AJ$1+2),"")</f>
        <v>0.1</v>
      </c>
      <c r="AK19">
        <f>IF(AK$1&lt;&gt;"",INDEX(Base!$G$1:$G$2500,$A19+AK$1+2),"")</f>
        <v>4.1900000000000004</v>
      </c>
      <c r="AL19">
        <f>IF(AL$1&lt;&gt;"",INDEX(Base!$G$1:$G$2500,$A19+AL$1+2),"")</f>
        <v>4.8899999999999997</v>
      </c>
      <c r="AM19">
        <f>IF(AM$1&lt;&gt;"",INDEX(Base!$G$1:$G$2500,$A19+AM$1+2),"")</f>
        <v>0.83</v>
      </c>
      <c r="AN19">
        <f>IF(AN$1&lt;&gt;"",INDEX(Base!$G$1:$G$2500,$A19+AN$1+2),"")</f>
        <v>1.02</v>
      </c>
      <c r="AO19">
        <f>IF(AO$1&lt;&gt;"",INDEX(Base!$G$1:$G$2500,$A19+AO$1+2),"")</f>
        <v>1.05</v>
      </c>
      <c r="AP19">
        <f>IF(AP$1&lt;&gt;"",INDEX(Base!$G$1:$G$2500,$A19+AP$1+2),"")</f>
        <v>0.13</v>
      </c>
      <c r="AQ19">
        <f>IF(AQ$1&lt;&gt;"",INDEX(Base!$G$1:$G$2500,$A19+AQ$1+2),"")</f>
        <v>0.23</v>
      </c>
      <c r="AR19">
        <f>IF(AR$1&lt;&gt;"",INDEX(Base!$G$1:$G$2500,$A19+AR$1+2),"")</f>
        <v>0.1</v>
      </c>
      <c r="AS19">
        <f>IF(AS$1&lt;&gt;"",INDEX(Base!$G$1:$G$2500,$A19+AS$1+2),"")</f>
        <v>0.75</v>
      </c>
      <c r="AT19">
        <f>IF(AT$1&lt;&gt;"",INDEX(Base!$G$1:$G$2500,$A19+AT$1+2),"")</f>
        <v>0.37</v>
      </c>
      <c r="AU19">
        <f>IF(AU$1&lt;&gt;"",INDEX(Base!$G$1:$G$2500,$A19+AU$1+2),"")</f>
        <v>0.11</v>
      </c>
      <c r="AV19">
        <f>IF(AV$1&lt;&gt;"",INDEX(Base!$G$1:$G$2500,$A19+AV$1+2),"")</f>
        <v>0.86</v>
      </c>
      <c r="AW19" s="8">
        <f t="shared" si="0"/>
        <v>1.7395833333333333</v>
      </c>
      <c r="AX19">
        <f>IF(AX$1&lt;&gt;"",INDEX(Base!$R$1:$R$2500,$E19+AX$1+2),"")</f>
        <v>9.4700000000000006</v>
      </c>
      <c r="AY19">
        <f>IF(AY$1&lt;&gt;"",INDEX(Base!$R$1:$R$2500,$E19+AY$1+2),"")</f>
        <v>177.23</v>
      </c>
      <c r="AZ19">
        <f>IF(AZ$1&lt;&gt;"",INDEX(Base!$R$1:$R$2500,$E19+AZ$1+2),"")</f>
        <v>0.19</v>
      </c>
      <c r="BA19">
        <f>IF(BA$1&lt;&gt;"",INDEX(Base!$R$1:$R$2500,$E19+BA$1+2),"")</f>
        <v>0.68</v>
      </c>
      <c r="BB19">
        <f>IF(BB$1&lt;&gt;"",INDEX(Base!$R$1:$R$2500,$E19+BB$1+2),"")</f>
        <v>45.81</v>
      </c>
      <c r="BC19">
        <f>IF(BC$1&lt;&gt;"",INDEX(Base!$R$1:$R$2500,$E19+BC$1+2),"")</f>
        <v>2.1800000000000002</v>
      </c>
      <c r="BD19">
        <f>IF(BD$1&lt;&gt;"",INDEX(Base!$R$1:$R$2500,$E19+BD$1+2),"")</f>
        <v>4.5</v>
      </c>
      <c r="BE19">
        <f>IF(BE$1&lt;&gt;"",INDEX(Base!$R$1:$R$2500,$E19+BE$1+2),"")</f>
        <v>17.46</v>
      </c>
      <c r="BF19">
        <f>IF(BF$1&lt;&gt;"",INDEX(Base!$R$1:$R$2500,$E19+BF$1+2),"")</f>
        <v>0.13</v>
      </c>
      <c r="BG19">
        <f>IF(BG$1&lt;&gt;"",INDEX(Base!$R$1:$R$2500,$E19+BG$1+2),"")</f>
        <v>2.1</v>
      </c>
      <c r="BH19">
        <f>IF(BH$1&lt;&gt;"",INDEX(Base!$R$1:$R$2500,$E19+BH$1+2),"")</f>
        <v>0.23</v>
      </c>
      <c r="BI19">
        <f>IF(BI$1&lt;&gt;"",INDEX(Base!$R$1:$R$2500,$E19+BI$1+2),"")</f>
        <v>32.89</v>
      </c>
      <c r="BJ19">
        <f>IF(BJ$1&lt;&gt;"",INDEX(Base!$R$1:$R$2500,$E19+BJ$1+2),"")</f>
        <v>7.43</v>
      </c>
      <c r="BK19">
        <f>IF(BK$1&lt;&gt;"",INDEX(Base!$R$1:$R$2500,$E19+BK$1+2),"")</f>
        <v>14.96</v>
      </c>
      <c r="BL19">
        <f>IF(BL$1&lt;&gt;"",INDEX(Base!$R$1:$R$2500,$E19+BL$1+2),"")</f>
        <v>3.61</v>
      </c>
      <c r="BM19">
        <f>IF(BM$1&lt;&gt;"",INDEX(Base!$R$1:$R$2500,$E19+BM$1+2),"")</f>
        <v>1.1200000000000001</v>
      </c>
      <c r="BN19">
        <f>IF(BN$1&lt;&gt;"",INDEX(Base!$R$1:$R$2500,$E19+BN$1+2),"")</f>
        <v>0.11</v>
      </c>
      <c r="BO19">
        <f>IF(BO$1&lt;&gt;"",INDEX(Base!$R$1:$R$2500,$E19+BO$1+2),"")</f>
        <v>0.08</v>
      </c>
      <c r="BP19">
        <f>IF(BP$1&lt;&gt;"",INDEX(Base!$R$1:$R$2500,$E19+BP$1+2),"")</f>
        <v>0.66</v>
      </c>
      <c r="BQ19">
        <f>IF(BQ$1&lt;&gt;"",INDEX(Base!$R$1:$R$2500,$E19+BQ$1+2),"")</f>
        <v>0.41</v>
      </c>
      <c r="BR19">
        <f>IF(BR$1&lt;&gt;"",INDEX(Base!$R$1:$R$2500,$E19+BR$1+2),"")</f>
        <v>0.55000000000000004</v>
      </c>
      <c r="BS19">
        <f>IF(BS$1&lt;&gt;"",INDEX(Base!$R$1:$R$2500,$E19+BS$1+2),"")</f>
        <v>13.17</v>
      </c>
      <c r="BT19">
        <f>IF(BT$1&lt;&gt;"",INDEX(Base!$R$1:$R$2500,$E19+BT$1+2),"")</f>
        <v>1.44</v>
      </c>
    </row>
    <row r="20" spans="1:72" x14ac:dyDescent="0.3">
      <c r="A20" s="2">
        <f t="shared" si="3"/>
        <v>753</v>
      </c>
      <c r="B20" s="3" t="str">
        <f>IFERROR(MID(INDEX(Base!A$1:A$2500,Calcoli!A20),47,LEN(INDEX(Base!A$1:A$2500,Calcoli!A20))-41),"")</f>
        <v/>
      </c>
      <c r="C20" s="5" t="str">
        <f>MID(INDEX(Base!A$1:A$2500,Calcoli!$A20),42,4)</f>
        <v/>
      </c>
      <c r="D20" s="5" t="str">
        <f>MID(INDEX(Base!A$1:A$2500,Calcoli!A20),13,11)</f>
        <v xml:space="preserve"> 31_03_2025</v>
      </c>
      <c r="E20" s="4">
        <f t="shared" si="1"/>
        <v>532</v>
      </c>
      <c r="F20" s="3" t="str">
        <f>IFERROR(MID(INDEX(Base!L$1:L$2500,Calcoli!E20),47,LEN(INDEX(Base!L$1:L$2500,Calcoli!E20))-41),"")</f>
        <v/>
      </c>
      <c r="G20" s="5" t="str">
        <f>MID(INDEX(Base!L$1:L$2500,Calcoli!$E20),42,4)</f>
        <v/>
      </c>
      <c r="H20" s="5" t="str">
        <f>MID(INDEX(Base!L$1:L$2500,Calcoli!E20),13,11)</f>
        <v xml:space="preserve"> 01_04_2025</v>
      </c>
      <c r="I20" s="6" t="str">
        <f xml:space="preserve"> IFERROR(MID(INDEX(Base!$V$3:$AB$60,MATCH($F20,Base!$Z$3:$Z$160,0),1),1,14),"")</f>
        <v/>
      </c>
      <c r="J20" s="6" t="str">
        <f xml:space="preserve"> IFERROR(INDEX(Base!$V$3:$AB$160,MATCH($F20,Base!$Z$3:$Z$160,0),2),"")</f>
        <v/>
      </c>
      <c r="K20" s="6" t="str">
        <f xml:space="preserve"> IFERROR(INDEX(Base!$V$3:$AB$160,MATCH($F20,Base!$Z$3:$Z$160,0),3),"")</f>
        <v/>
      </c>
      <c r="L20" s="28" t="str">
        <f xml:space="preserve"> IFERROR(INDEX(Base!$V$3:$AB$160,MATCH($F20,Base!$Z$3:$Z$160,0),4),"")</f>
        <v/>
      </c>
      <c r="M20">
        <f>IF(M$1&lt;&gt;"",INDEX(Base!$G$1:$G$2500,$A20+M$1+2),"")</f>
        <v>0.1</v>
      </c>
      <c r="N20">
        <f>IF(N$1&lt;&gt;"",INDEX(Base!$G$1:$G$2500,$A20+N$1+2),"")</f>
        <v>5.0199999999999996</v>
      </c>
      <c r="O20">
        <f>IF(O$1&lt;&gt;"",INDEX(Base!$G$1:$G$2500,$A20+O$1+2),"")</f>
        <v>0.84</v>
      </c>
      <c r="P20">
        <f>IF(P$1&lt;&gt;"",INDEX(Base!$G$1:$G$2500,$A20+P$1+2),"")</f>
        <v>0.77</v>
      </c>
      <c r="Q20">
        <f>IF(Q$1&lt;&gt;"",INDEX(Base!$G$1:$G$2500,$A20+Q$1+2),"")</f>
        <v>0.15</v>
      </c>
      <c r="R20">
        <f>IF(R$1&lt;&gt;"",INDEX(Base!$G$1:$G$2500,$A20+R$1+2),"")</f>
        <v>0.1</v>
      </c>
      <c r="S20">
        <f>IF(S$1&lt;&gt;"",INDEX(Base!$G$1:$G$2500,$A20+S$1+2),"")</f>
        <v>0.09</v>
      </c>
      <c r="T20">
        <f>IF(T$1&lt;&gt;"",INDEX(Base!$G$1:$G$2500,$A20+T$1+2),"")</f>
        <v>0.1</v>
      </c>
      <c r="U20">
        <f>IF(U$1&lt;&gt;"",INDEX(Base!$G$1:$G$2500,$A20+U$1+2),"")</f>
        <v>2.4</v>
      </c>
      <c r="V20">
        <f>IF(V$1&lt;&gt;"",INDEX(Base!$G$1:$G$2500,$A20+V$1+2),"")</f>
        <v>0.75</v>
      </c>
      <c r="W20">
        <f>IF(W$1&lt;&gt;"",INDEX(Base!$G$1:$G$2500,$A20+W$1+2),"")</f>
        <v>0.1</v>
      </c>
      <c r="X20">
        <f>IF(X$1&lt;&gt;"",INDEX(Base!$G$1:$G$2500,$A20+X$1+2),"")</f>
        <v>2.78</v>
      </c>
      <c r="Y20">
        <f>IF(Y$1&lt;&gt;"",INDEX(Base!$G$1:$G$2500,$A20+Y$1+2),"")</f>
        <v>0.1</v>
      </c>
      <c r="Z20">
        <f>IF(Z$1&lt;&gt;"",INDEX(Base!$G$1:$G$2500,$A20+Z$1+2),"")</f>
        <v>0.1</v>
      </c>
      <c r="AA20">
        <f>IF(AA$1&lt;&gt;"",INDEX(Base!$G$1:$G$2500,$A20+AA$1+2),"")</f>
        <v>1.08</v>
      </c>
      <c r="AB20">
        <f>IF(AB$1&lt;&gt;"",INDEX(Base!$G$1:$G$2500,$A20+AB$1+2),"")</f>
        <v>0.1</v>
      </c>
      <c r="AC20">
        <f>IF(AC$1&lt;&gt;"",INDEX(Base!$G$1:$G$2500,$A20+AC$1+2),"")</f>
        <v>3.23</v>
      </c>
      <c r="AD20">
        <f>IF(AD$1&lt;&gt;"",INDEX(Base!$G$1:$G$2500,$A20+AD$1+2),"")</f>
        <v>10.36</v>
      </c>
      <c r="AE20">
        <f>IF(AE$1&lt;&gt;"",INDEX(Base!$G$1:$G$2500,$A20+AE$1+2),"")</f>
        <v>0.31</v>
      </c>
      <c r="AF20">
        <f>IF(AF$1&lt;&gt;"",INDEX(Base!$G$1:$G$2500,$A20+AF$1+2),"")</f>
        <v>0.95</v>
      </c>
      <c r="AG20">
        <f>IF(AG$1&lt;&gt;"",INDEX(Base!$G$1:$G$2500,$A20+AG$1+2),"")</f>
        <v>0.14000000000000001</v>
      </c>
      <c r="AH20">
        <f>IF(AH$1&lt;&gt;"",INDEX(Base!$G$1:$G$2500,$A20+AH$1+2),"")</f>
        <v>0.1</v>
      </c>
      <c r="AI20">
        <f>IF(AI$1&lt;&gt;"",INDEX(Base!$G$1:$G$2500,$A20+AI$1+2),"")</f>
        <v>0.1</v>
      </c>
      <c r="AJ20">
        <f>IF(AJ$1&lt;&gt;"",INDEX(Base!$G$1:$G$2500,$A20+AJ$1+2),"")</f>
        <v>0.1</v>
      </c>
      <c r="AK20">
        <f>IF(AK$1&lt;&gt;"",INDEX(Base!$G$1:$G$2500,$A20+AK$1+2),"")</f>
        <v>22.03</v>
      </c>
      <c r="AL20">
        <f>IF(AL$1&lt;&gt;"",INDEX(Base!$G$1:$G$2500,$A20+AL$1+2),"")</f>
        <v>0.1</v>
      </c>
      <c r="AM20">
        <f>IF(AM$1&lt;&gt;"",INDEX(Base!$G$1:$G$2500,$A20+AM$1+2),"")</f>
        <v>0.1</v>
      </c>
      <c r="AN20">
        <f>IF(AN$1&lt;&gt;"",INDEX(Base!$G$1:$G$2500,$A20+AN$1+2),"")</f>
        <v>1.8</v>
      </c>
      <c r="AO20">
        <f>IF(AO$1&lt;&gt;"",INDEX(Base!$G$1:$G$2500,$A20+AO$1+2),"")</f>
        <v>0.1</v>
      </c>
      <c r="AP20">
        <f>IF(AP$1&lt;&gt;"",INDEX(Base!$G$1:$G$2500,$A20+AP$1+2),"")</f>
        <v>0.12</v>
      </c>
      <c r="AQ20">
        <f>IF(AQ$1&lt;&gt;"",INDEX(Base!$G$1:$G$2500,$A20+AQ$1+2),"")</f>
        <v>0.1</v>
      </c>
      <c r="AR20">
        <f>IF(AR$1&lt;&gt;"",INDEX(Base!$G$1:$G$2500,$A20+AR$1+2),"")</f>
        <v>0.1</v>
      </c>
      <c r="AS20">
        <f>IF(AS$1&lt;&gt;"",INDEX(Base!$G$1:$G$2500,$A20+AS$1+2),"")</f>
        <v>3.35</v>
      </c>
      <c r="AT20">
        <f>IF(AT$1&lt;&gt;"",INDEX(Base!$G$1:$G$2500,$A20+AT$1+2),"")</f>
        <v>0.14000000000000001</v>
      </c>
      <c r="AU20">
        <f>IF(AU$1&lt;&gt;"",INDEX(Base!$G$1:$G$2500,$A20+AU$1+2),"")</f>
        <v>0.1</v>
      </c>
      <c r="AV20">
        <f>IF(AV$1&lt;&gt;"",INDEX(Base!$G$1:$G$2500,$A20+AV$1+2),"")</f>
        <v>0.11</v>
      </c>
      <c r="AW20" s="8">
        <f t="shared" si="0"/>
        <v>1</v>
      </c>
      <c r="AX20">
        <f>IF(AX$1&lt;&gt;"",INDEX(Base!$R$1:$R$2500,$E20+AX$1+2),"")</f>
        <v>81.97</v>
      </c>
      <c r="AY20">
        <f>IF(AY$1&lt;&gt;"",INDEX(Base!$R$1:$R$2500,$E20+AY$1+2),"")</f>
        <v>427.81</v>
      </c>
      <c r="AZ20">
        <f>IF(AZ$1&lt;&gt;"",INDEX(Base!$R$1:$R$2500,$E20+AZ$1+2),"")</f>
        <v>0.1</v>
      </c>
      <c r="BA20">
        <f>IF(BA$1&lt;&gt;"",INDEX(Base!$R$1:$R$2500,$E20+BA$1+2),"")</f>
        <v>1.04</v>
      </c>
      <c r="BB20">
        <f>IF(BB$1&lt;&gt;"",INDEX(Base!$R$1:$R$2500,$E20+BB$1+2),"")</f>
        <v>45.93</v>
      </c>
      <c r="BC20">
        <f>IF(BC$1&lt;&gt;"",INDEX(Base!$R$1:$R$2500,$E20+BC$1+2),"")</f>
        <v>0.1</v>
      </c>
      <c r="BD20">
        <f>IF(BD$1&lt;&gt;"",INDEX(Base!$R$1:$R$2500,$E20+BD$1+2),"")</f>
        <v>0.1</v>
      </c>
      <c r="BE20">
        <f>IF(BE$1&lt;&gt;"",INDEX(Base!$R$1:$R$2500,$E20+BE$1+2),"")</f>
        <v>0.1</v>
      </c>
      <c r="BF20">
        <f>IF(BF$1&lt;&gt;"",INDEX(Base!$R$1:$R$2500,$E20+BF$1+2),"")</f>
        <v>0.12</v>
      </c>
      <c r="BG20">
        <f>IF(BG$1&lt;&gt;"",INDEX(Base!$R$1:$R$2500,$E20+BG$1+2),"")</f>
        <v>0.1</v>
      </c>
      <c r="BH20">
        <f>IF(BH$1&lt;&gt;"",INDEX(Base!$R$1:$R$2500,$E20+BH$1+2),"")</f>
        <v>0.1</v>
      </c>
      <c r="BI20">
        <f>IF(BI$1&lt;&gt;"",INDEX(Base!$R$1:$R$2500,$E20+BI$1+2),"")</f>
        <v>0.1</v>
      </c>
      <c r="BJ20">
        <f>IF(BJ$1&lt;&gt;"",INDEX(Base!$R$1:$R$2500,$E20+BJ$1+2),"")</f>
        <v>0.1</v>
      </c>
      <c r="BK20">
        <f>IF(BK$1&lt;&gt;"",INDEX(Base!$R$1:$R$2500,$E20+BK$1+2),"")</f>
        <v>0.1</v>
      </c>
      <c r="BL20">
        <f>IF(BL$1&lt;&gt;"",INDEX(Base!$R$1:$R$2500,$E20+BL$1+2),"")</f>
        <v>0.1</v>
      </c>
      <c r="BM20">
        <f>IF(BM$1&lt;&gt;"",INDEX(Base!$R$1:$R$2500,$E20+BM$1+2),"")</f>
        <v>0.1</v>
      </c>
      <c r="BN20">
        <f>IF(BN$1&lt;&gt;"",INDEX(Base!$R$1:$R$2500,$E20+BN$1+2),"")</f>
        <v>0.1</v>
      </c>
      <c r="BO20">
        <f>IF(BO$1&lt;&gt;"",INDEX(Base!$R$1:$R$2500,$E20+BO$1+2),"")</f>
        <v>0.1</v>
      </c>
      <c r="BP20">
        <f>IF(BP$1&lt;&gt;"",INDEX(Base!$R$1:$R$2500,$E20+BP$1+2),"")</f>
        <v>0.1</v>
      </c>
      <c r="BQ20">
        <f>IF(BQ$1&lt;&gt;"",INDEX(Base!$R$1:$R$2500,$E20+BQ$1+2),"")</f>
        <v>0.1</v>
      </c>
      <c r="BR20">
        <f>IF(BR$1&lt;&gt;"",INDEX(Base!$R$1:$R$2500,$E20+BR$1+2),"")</f>
        <v>0.1</v>
      </c>
      <c r="BS20">
        <f>IF(BS$1&lt;&gt;"",INDEX(Base!$R$1:$R$2500,$E20+BS$1+2),"")</f>
        <v>0.1</v>
      </c>
      <c r="BT20">
        <f>IF(BT$1&lt;&gt;"",INDEX(Base!$R$1:$R$2500,$E20+BT$1+2),"")</f>
        <v>2.0699999999999998</v>
      </c>
    </row>
    <row r="21" spans="1:72" x14ac:dyDescent="0.3">
      <c r="A21" s="2">
        <f t="shared" si="3"/>
        <v>797</v>
      </c>
      <c r="B21" s="3" t="str">
        <f>IFERROR(MID(INDEX(Base!A$1:A$2500,Calcoli!A21),47,LEN(INDEX(Base!A$1:A$2500,Calcoli!A21))-41),"")</f>
        <v>SCARIONI NICOLE</v>
      </c>
      <c r="C21" s="38" t="str">
        <f>MID(INDEX(Base!A$1:A$2500,Calcoli!$A21),42,4)</f>
        <v>1755</v>
      </c>
      <c r="D21" s="5" t="str">
        <f>MID(INDEX(Base!A$1:A$2500,Calcoli!A21),13,11)</f>
        <v xml:space="preserve"> 31_03_2025</v>
      </c>
      <c r="E21" s="4">
        <f t="shared" si="1"/>
        <v>563</v>
      </c>
      <c r="F21" s="3" t="str">
        <f>IFERROR(MID(INDEX(Base!L$1:L$2500,Calcoli!E21),47,LEN(INDEX(Base!L$1:L$2500,Calcoli!E21))-41),"")</f>
        <v>SCARIONI NICOLE</v>
      </c>
      <c r="G21" s="5" t="str">
        <f>MID(INDEX(Base!L$1:L$2500,Calcoli!$E21),42,4)</f>
        <v>1755</v>
      </c>
      <c r="H21" s="5" t="str">
        <f>MID(INDEX(Base!L$1:L$2500,Calcoli!E21),13,11)</f>
        <v xml:space="preserve"> 01_04_2025</v>
      </c>
      <c r="I21" s="6" t="str">
        <f xml:space="preserve"> IFERROR(MID(INDEX(Base!$V$3:$AB$60,MATCH($F21,Base!$Z$3:$Z$160,0),1),1,14),"")</f>
        <v xml:space="preserve">1755 SCARIONI </v>
      </c>
      <c r="J21" s="6">
        <f xml:space="preserve"> IFERROR(INDEX(Base!$V$3:$AB$160,MATCH($F21,Base!$Z$3:$Z$160,0),2),"")</f>
        <v>56.36363636363636</v>
      </c>
      <c r="K21" s="6">
        <f xml:space="preserve"> IFERROR(INDEX(Base!$V$3:$AB$160,MATCH($F21,Base!$Z$3:$Z$160,0),3),"")</f>
        <v>37.281850336643814</v>
      </c>
      <c r="L21" s="28">
        <f xml:space="preserve"> IFERROR(INDEX(Base!$V$3:$AB$160,MATCH($F21,Base!$Z$3:$Z$160,0),4),"")</f>
        <v>62.694174757281559</v>
      </c>
      <c r="M21">
        <f>IF(M$1&lt;&gt;"",INDEX(Base!$G$1:$G$2500,$A21+M$1+2),"")</f>
        <v>38.58</v>
      </c>
      <c r="N21">
        <f>IF(N$1&lt;&gt;"",INDEX(Base!$G$1:$G$2500,$A21+N$1+2),"")</f>
        <v>5.31</v>
      </c>
      <c r="O21">
        <f>IF(O$1&lt;&gt;"",INDEX(Base!$G$1:$G$2500,$A21+O$1+2),"")</f>
        <v>0.39</v>
      </c>
      <c r="P21">
        <f>IF(P$1&lt;&gt;"",INDEX(Base!$G$1:$G$2500,$A21+P$1+2),"")</f>
        <v>2.5299999999999998</v>
      </c>
      <c r="Q21">
        <f>IF(Q$1&lt;&gt;"",INDEX(Base!$G$1:$G$2500,$A21+Q$1+2),"")</f>
        <v>0.98</v>
      </c>
      <c r="R21">
        <f>IF(R$1&lt;&gt;"",INDEX(Base!$G$1:$G$2500,$A21+R$1+2),"")</f>
        <v>2.09</v>
      </c>
      <c r="S21">
        <f>IF(S$1&lt;&gt;"",INDEX(Base!$G$1:$G$2500,$A21+S$1+2),"")</f>
        <v>1.18</v>
      </c>
      <c r="T21">
        <f>IF(T$1&lt;&gt;"",INDEX(Base!$G$1:$G$2500,$A21+T$1+2),"")</f>
        <v>50.73</v>
      </c>
      <c r="U21">
        <f>IF(U$1&lt;&gt;"",INDEX(Base!$G$1:$G$2500,$A21+U$1+2),"")</f>
        <v>10.43</v>
      </c>
      <c r="V21">
        <f>IF(V$1&lt;&gt;"",INDEX(Base!$G$1:$G$2500,$A21+V$1+2),"")</f>
        <v>0.23</v>
      </c>
      <c r="W21">
        <f>IF(W$1&lt;&gt;"",INDEX(Base!$G$1:$G$2500,$A21+W$1+2),"")</f>
        <v>4.67</v>
      </c>
      <c r="X21">
        <f>IF(X$1&lt;&gt;"",INDEX(Base!$G$1:$G$2500,$A21+X$1+2),"")</f>
        <v>2.34</v>
      </c>
      <c r="Y21">
        <f>IF(Y$1&lt;&gt;"",INDEX(Base!$G$1:$G$2500,$A21+Y$1+2),"")</f>
        <v>414.31</v>
      </c>
      <c r="Z21">
        <f>IF(Z$1&lt;&gt;"",INDEX(Base!$G$1:$G$2500,$A21+Z$1+2),"")</f>
        <v>4.3600000000000003</v>
      </c>
      <c r="AA21">
        <f>IF(AA$1&lt;&gt;"",INDEX(Base!$G$1:$G$2500,$A21+AA$1+2),"")</f>
        <v>2.5099999999999998</v>
      </c>
      <c r="AB21">
        <f>IF(AB$1&lt;&gt;"",INDEX(Base!$G$1:$G$2500,$A21+AB$1+2),"")</f>
        <v>3.11</v>
      </c>
      <c r="AC21">
        <f>IF(AC$1&lt;&gt;"",INDEX(Base!$G$1:$G$2500,$A21+AC$1+2),"")</f>
        <v>14.81</v>
      </c>
      <c r="AD21">
        <f>IF(AD$1&lt;&gt;"",INDEX(Base!$G$1:$G$2500,$A21+AD$1+2),"")</f>
        <v>39.21</v>
      </c>
      <c r="AE21">
        <f>IF(AE$1&lt;&gt;"",INDEX(Base!$G$1:$G$2500,$A21+AE$1+2),"")</f>
        <v>0.44</v>
      </c>
      <c r="AF21">
        <f>IF(AF$1&lt;&gt;"",INDEX(Base!$G$1:$G$2500,$A21+AF$1+2),"")</f>
        <v>6.25</v>
      </c>
      <c r="AG21">
        <f>IF(AG$1&lt;&gt;"",INDEX(Base!$G$1:$G$2500,$A21+AG$1+2),"")</f>
        <v>1.95</v>
      </c>
      <c r="AH21">
        <f>IF(AH$1&lt;&gt;"",INDEX(Base!$G$1:$G$2500,$A21+AH$1+2),"")</f>
        <v>5.63</v>
      </c>
      <c r="AI21">
        <f>IF(AI$1&lt;&gt;"",INDEX(Base!$G$1:$G$2500,$A21+AI$1+2),"")</f>
        <v>2.35</v>
      </c>
      <c r="AJ21">
        <f>IF(AJ$1&lt;&gt;"",INDEX(Base!$G$1:$G$2500,$A21+AJ$1+2),"")</f>
        <v>0.1</v>
      </c>
      <c r="AK21">
        <f>IF(AK$1&lt;&gt;"",INDEX(Base!$G$1:$G$2500,$A21+AK$1+2),"")</f>
        <v>6.22</v>
      </c>
      <c r="AL21">
        <f>IF(AL$1&lt;&gt;"",INDEX(Base!$G$1:$G$2500,$A21+AL$1+2),"")</f>
        <v>19.149999999999999</v>
      </c>
      <c r="AM21">
        <f>IF(AM$1&lt;&gt;"",INDEX(Base!$G$1:$G$2500,$A21+AM$1+2),"")</f>
        <v>1.21</v>
      </c>
      <c r="AN21">
        <f>IF(AN$1&lt;&gt;"",INDEX(Base!$G$1:$G$2500,$A21+AN$1+2),"")</f>
        <v>1.61</v>
      </c>
      <c r="AO21">
        <f>IF(AO$1&lt;&gt;"",INDEX(Base!$G$1:$G$2500,$A21+AO$1+2),"")</f>
        <v>2.64</v>
      </c>
      <c r="AP21">
        <f>IF(AP$1&lt;&gt;"",INDEX(Base!$G$1:$G$2500,$A21+AP$1+2),"")</f>
        <v>0.17</v>
      </c>
      <c r="AQ21">
        <f>IF(AQ$1&lt;&gt;"",INDEX(Base!$G$1:$G$2500,$A21+AQ$1+2),"")</f>
        <v>0.7</v>
      </c>
      <c r="AR21">
        <f>IF(AR$1&lt;&gt;"",INDEX(Base!$G$1:$G$2500,$A21+AR$1+2),"")</f>
        <v>0.18</v>
      </c>
      <c r="AS21">
        <f>IF(AS$1&lt;&gt;"",INDEX(Base!$G$1:$G$2500,$A21+AS$1+2),"")</f>
        <v>3.34</v>
      </c>
      <c r="AT21">
        <f>IF(AT$1&lt;&gt;"",INDEX(Base!$G$1:$G$2500,$A21+AT$1+2),"")</f>
        <v>0.76</v>
      </c>
      <c r="AU21">
        <f>IF(AU$1&lt;&gt;"",INDEX(Base!$G$1:$G$2500,$A21+AU$1+2),"")</f>
        <v>0.05</v>
      </c>
      <c r="AV21">
        <f>IF(AV$1&lt;&gt;"",INDEX(Base!$G$1:$G$2500,$A21+AV$1+2),"")</f>
        <v>0.88</v>
      </c>
      <c r="AW21" s="8">
        <f t="shared" si="0"/>
        <v>1.401929260450161</v>
      </c>
      <c r="AX21">
        <f>IF(AX$1&lt;&gt;"",INDEX(Base!$R$1:$R$2500,$E21+AX$1+2),"")</f>
        <v>16.63</v>
      </c>
      <c r="AY21">
        <f>IF(AY$1&lt;&gt;"",INDEX(Base!$R$1:$R$2500,$E21+AY$1+2),"")</f>
        <v>357.79</v>
      </c>
      <c r="AZ21">
        <f>IF(AZ$1&lt;&gt;"",INDEX(Base!$R$1:$R$2500,$E21+AZ$1+2),"")</f>
        <v>0.74</v>
      </c>
      <c r="BA21">
        <f>IF(BA$1&lt;&gt;"",INDEX(Base!$R$1:$R$2500,$E21+BA$1+2),"")</f>
        <v>0.85</v>
      </c>
      <c r="BB21">
        <f>IF(BB$1&lt;&gt;"",INDEX(Base!$R$1:$R$2500,$E21+BB$1+2),"")</f>
        <v>72.27</v>
      </c>
      <c r="BC21">
        <f>IF(BC$1&lt;&gt;"",INDEX(Base!$R$1:$R$2500,$E21+BC$1+2),"")</f>
        <v>2.5299999999999998</v>
      </c>
      <c r="BD21">
        <f>IF(BD$1&lt;&gt;"",INDEX(Base!$R$1:$R$2500,$E21+BD$1+2),"")</f>
        <v>1.89</v>
      </c>
      <c r="BE21">
        <f>IF(BE$1&lt;&gt;"",INDEX(Base!$R$1:$R$2500,$E21+BE$1+2),"")</f>
        <v>36.57</v>
      </c>
      <c r="BF21">
        <f>IF(BF$1&lt;&gt;"",INDEX(Base!$R$1:$R$2500,$E21+BF$1+2),"")</f>
        <v>0.21</v>
      </c>
      <c r="BG21">
        <f>IF(BG$1&lt;&gt;"",INDEX(Base!$R$1:$R$2500,$E21+BG$1+2),"")</f>
        <v>1.1599999999999999</v>
      </c>
      <c r="BH21">
        <f>IF(BH$1&lt;&gt;"",INDEX(Base!$R$1:$R$2500,$E21+BH$1+2),"")</f>
        <v>0.56000000000000005</v>
      </c>
      <c r="BI21">
        <f>IF(BI$1&lt;&gt;"",INDEX(Base!$R$1:$R$2500,$E21+BI$1+2),"")</f>
        <v>43.99</v>
      </c>
      <c r="BJ21">
        <f>IF(BJ$1&lt;&gt;"",INDEX(Base!$R$1:$R$2500,$E21+BJ$1+2),"")</f>
        <v>21.49</v>
      </c>
      <c r="BK21">
        <f>IF(BK$1&lt;&gt;"",INDEX(Base!$R$1:$R$2500,$E21+BK$1+2),"")</f>
        <v>19.77</v>
      </c>
      <c r="BL21">
        <f>IF(BL$1&lt;&gt;"",INDEX(Base!$R$1:$R$2500,$E21+BL$1+2),"")</f>
        <v>6.77</v>
      </c>
      <c r="BM21">
        <f>IF(BM$1&lt;&gt;"",INDEX(Base!$R$1:$R$2500,$E21+BM$1+2),"")</f>
        <v>1.87</v>
      </c>
      <c r="BN21">
        <f>IF(BN$1&lt;&gt;"",INDEX(Base!$R$1:$R$2500,$E21+BN$1+2),"")</f>
        <v>0.1</v>
      </c>
      <c r="BO21">
        <f>IF(BO$1&lt;&gt;"",INDEX(Base!$R$1:$R$2500,$E21+BO$1+2),"")</f>
        <v>0.25</v>
      </c>
      <c r="BP21">
        <f>IF(BP$1&lt;&gt;"",INDEX(Base!$R$1:$R$2500,$E21+BP$1+2),"")</f>
        <v>3.89</v>
      </c>
      <c r="BQ21">
        <f>IF(BQ$1&lt;&gt;"",INDEX(Base!$R$1:$R$2500,$E21+BQ$1+2),"")</f>
        <v>0.49</v>
      </c>
      <c r="BR21">
        <f>IF(BR$1&lt;&gt;"",INDEX(Base!$R$1:$R$2500,$E21+BR$1+2),"")</f>
        <v>0.09</v>
      </c>
      <c r="BS21">
        <f>IF(BS$1&lt;&gt;"",INDEX(Base!$R$1:$R$2500,$E21+BS$1+2),"")</f>
        <v>11.59</v>
      </c>
      <c r="BT21">
        <f>IF(BT$1&lt;&gt;"",INDEX(Base!$R$1:$R$2500,$E21+BT$1+2),"")</f>
        <v>4.07</v>
      </c>
    </row>
    <row r="22" spans="1:72" x14ac:dyDescent="0.3">
      <c r="A22" s="2">
        <f t="shared" si="3"/>
        <v>841</v>
      </c>
      <c r="B22" s="3" t="str">
        <f>IFERROR(MID(INDEX(Base!A$1:A$2500,Calcoli!A22),47,LEN(INDEX(Base!A$1:A$2500,Calcoli!A22))-41),"")</f>
        <v>BORGONOVO NICOLETTA</v>
      </c>
      <c r="C22" s="38" t="str">
        <f>MID(INDEX(Base!A$1:A$2500,Calcoli!$A22),42,4)</f>
        <v>1761</v>
      </c>
      <c r="D22" s="5" t="str">
        <f>MID(INDEX(Base!A$1:A$2500,Calcoli!A22),13,11)</f>
        <v xml:space="preserve"> 31_03_2025</v>
      </c>
      <c r="E22" s="4">
        <f t="shared" si="1"/>
        <v>594</v>
      </c>
      <c r="F22" s="3" t="str">
        <f>IFERROR(MID(INDEX(Base!L$1:L$2500,Calcoli!E22),47,LEN(INDEX(Base!L$1:L$2500,Calcoli!E22))-41),"")</f>
        <v>BORGONOVO NICOLETTA</v>
      </c>
      <c r="G22" s="5" t="str">
        <f>MID(INDEX(Base!L$1:L$2500,Calcoli!$E22),42,4)</f>
        <v>1761</v>
      </c>
      <c r="H22" s="5" t="str">
        <f>MID(INDEX(Base!L$1:L$2500,Calcoli!E22),13,11)</f>
        <v xml:space="preserve"> 01_04_2025</v>
      </c>
      <c r="I22" s="6" t="str">
        <f xml:space="preserve"> IFERROR(MID(INDEX(Base!$V$3:$AB$60,MATCH($F22,Base!$Z$3:$Z$160,0),1),1,14),"")</f>
        <v>1761 BORGONOVO</v>
      </c>
      <c r="J22" s="6">
        <f xml:space="preserve"> IFERROR(INDEX(Base!$V$3:$AB$160,MATCH($F22,Base!$Z$3:$Z$160,0),2),"")</f>
        <v>49.696969696969688</v>
      </c>
      <c r="K22" s="6">
        <f xml:space="preserve"> IFERROR(INDEX(Base!$V$3:$AB$160,MATCH($F22,Base!$Z$3:$Z$160,0),3),"")</f>
        <v>41.343450292018026</v>
      </c>
      <c r="L22" s="28">
        <f xml:space="preserve"> IFERROR(INDEX(Base!$V$3:$AB$160,MATCH($F22,Base!$Z$3:$Z$160,0),4),"")</f>
        <v>24.381067961165048</v>
      </c>
      <c r="M22">
        <f>IF(M$1&lt;&gt;"",INDEX(Base!$G$1:$G$2500,$A22+M$1+2),"")</f>
        <v>13.56</v>
      </c>
      <c r="N22">
        <f>IF(N$1&lt;&gt;"",INDEX(Base!$G$1:$G$2500,$A22+N$1+2),"")</f>
        <v>4.99</v>
      </c>
      <c r="O22">
        <f>IF(O$1&lt;&gt;"",INDEX(Base!$G$1:$G$2500,$A22+O$1+2),"")</f>
        <v>0.28000000000000003</v>
      </c>
      <c r="P22">
        <f>IF(P$1&lt;&gt;"",INDEX(Base!$G$1:$G$2500,$A22+P$1+2),"")</f>
        <v>1.23</v>
      </c>
      <c r="Q22">
        <f>IF(Q$1&lt;&gt;"",INDEX(Base!$G$1:$G$2500,$A22+Q$1+2),"")</f>
        <v>0.28000000000000003</v>
      </c>
      <c r="R22">
        <f>IF(R$1&lt;&gt;"",INDEX(Base!$G$1:$G$2500,$A22+R$1+2),"")</f>
        <v>1.68</v>
      </c>
      <c r="S22">
        <f>IF(S$1&lt;&gt;"",INDEX(Base!$G$1:$G$2500,$A22+S$1+2),"")</f>
        <v>7.0000000000000007E-2</v>
      </c>
      <c r="T22">
        <f>IF(T$1&lt;&gt;"",INDEX(Base!$G$1:$G$2500,$A22+T$1+2),"")</f>
        <v>70.55</v>
      </c>
      <c r="U22">
        <f>IF(U$1&lt;&gt;"",INDEX(Base!$G$1:$G$2500,$A22+U$1+2),"")</f>
        <v>4.04</v>
      </c>
      <c r="V22">
        <f>IF(V$1&lt;&gt;"",INDEX(Base!$G$1:$G$2500,$A22+V$1+2),"")</f>
        <v>0.09</v>
      </c>
      <c r="W22">
        <f>IF(W$1&lt;&gt;"",INDEX(Base!$G$1:$G$2500,$A22+W$1+2),"")</f>
        <v>1.62</v>
      </c>
      <c r="X22">
        <f>IF(X$1&lt;&gt;"",INDEX(Base!$G$1:$G$2500,$A22+X$1+2),"")</f>
        <v>1.74</v>
      </c>
      <c r="Y22">
        <f>IF(Y$1&lt;&gt;"",INDEX(Base!$G$1:$G$2500,$A22+Y$1+2),"")</f>
        <v>367.77</v>
      </c>
      <c r="Z22">
        <f>IF(Z$1&lt;&gt;"",INDEX(Base!$G$1:$G$2500,$A22+Z$1+2),"")</f>
        <v>3.27</v>
      </c>
      <c r="AA22">
        <f>IF(AA$1&lt;&gt;"",INDEX(Base!$G$1:$G$2500,$A22+AA$1+2),"")</f>
        <v>3.54</v>
      </c>
      <c r="AB22">
        <f>IF(AB$1&lt;&gt;"",INDEX(Base!$G$1:$G$2500,$A22+AB$1+2),"")</f>
        <v>1.03</v>
      </c>
      <c r="AC22">
        <f>IF(AC$1&lt;&gt;"",INDEX(Base!$G$1:$G$2500,$A22+AC$1+2),"")</f>
        <v>2.31</v>
      </c>
      <c r="AD22">
        <f>IF(AD$1&lt;&gt;"",INDEX(Base!$G$1:$G$2500,$A22+AD$1+2),"")</f>
        <v>9.24</v>
      </c>
      <c r="AE22">
        <f>IF(AE$1&lt;&gt;"",INDEX(Base!$G$1:$G$2500,$A22+AE$1+2),"")</f>
        <v>0.11</v>
      </c>
      <c r="AF22">
        <f>IF(AF$1&lt;&gt;"",INDEX(Base!$G$1:$G$2500,$A22+AF$1+2),"")</f>
        <v>1.75</v>
      </c>
      <c r="AG22">
        <f>IF(AG$1&lt;&gt;"",INDEX(Base!$G$1:$G$2500,$A22+AG$1+2),"")</f>
        <v>0.28000000000000003</v>
      </c>
      <c r="AH22">
        <f>IF(AH$1&lt;&gt;"",INDEX(Base!$G$1:$G$2500,$A22+AH$1+2),"")</f>
        <v>3.37</v>
      </c>
      <c r="AI22">
        <f>IF(AI$1&lt;&gt;"",INDEX(Base!$G$1:$G$2500,$A22+AI$1+2),"")</f>
        <v>0.78</v>
      </c>
      <c r="AJ22">
        <f>IF(AJ$1&lt;&gt;"",INDEX(Base!$G$1:$G$2500,$A22+AJ$1+2),"")</f>
        <v>0.1</v>
      </c>
      <c r="AK22">
        <f>IF(AK$1&lt;&gt;"",INDEX(Base!$G$1:$G$2500,$A22+AK$1+2),"")</f>
        <v>6.96</v>
      </c>
      <c r="AL22">
        <f>IF(AL$1&lt;&gt;"",INDEX(Base!$G$1:$G$2500,$A22+AL$1+2),"")</f>
        <v>2.33</v>
      </c>
      <c r="AM22">
        <f>IF(AM$1&lt;&gt;"",INDEX(Base!$G$1:$G$2500,$A22+AM$1+2),"")</f>
        <v>0.1</v>
      </c>
      <c r="AN22">
        <f>IF(AN$1&lt;&gt;"",INDEX(Base!$G$1:$G$2500,$A22+AN$1+2),"")</f>
        <v>0.62</v>
      </c>
      <c r="AO22">
        <f>IF(AO$1&lt;&gt;"",INDEX(Base!$G$1:$G$2500,$A22+AO$1+2),"")</f>
        <v>0.97</v>
      </c>
      <c r="AP22">
        <f>IF(AP$1&lt;&gt;"",INDEX(Base!$G$1:$G$2500,$A22+AP$1+2),"")</f>
        <v>0.1</v>
      </c>
      <c r="AQ22">
        <f>IF(AQ$1&lt;&gt;"",INDEX(Base!$G$1:$G$2500,$A22+AQ$1+2),"")</f>
        <v>0.1</v>
      </c>
      <c r="AR22">
        <f>IF(AR$1&lt;&gt;"",INDEX(Base!$G$1:$G$2500,$A22+AR$1+2),"")</f>
        <v>0.12</v>
      </c>
      <c r="AS22">
        <f>IF(AS$1&lt;&gt;"",INDEX(Base!$G$1:$G$2500,$A22+AS$1+2),"")</f>
        <v>1.84</v>
      </c>
      <c r="AT22">
        <f>IF(AT$1&lt;&gt;"",INDEX(Base!$G$1:$G$2500,$A22+AT$1+2),"")</f>
        <v>7.0000000000000007E-2</v>
      </c>
      <c r="AU22">
        <f>IF(AU$1&lt;&gt;"",INDEX(Base!$G$1:$G$2500,$A22+AU$1+2),"")</f>
        <v>0.1</v>
      </c>
      <c r="AV22">
        <f>IF(AV$1&lt;&gt;"",INDEX(Base!$G$1:$G$2500,$A22+AV$1+2),"")</f>
        <v>0.06</v>
      </c>
      <c r="AW22" s="8">
        <f t="shared" si="0"/>
        <v>3.174757281553398</v>
      </c>
      <c r="AX22">
        <f>IF(AX$1&lt;&gt;"",INDEX(Base!$R$1:$R$2500,$E22+AX$1+2),"")</f>
        <v>23.8</v>
      </c>
      <c r="AY22">
        <f>IF(AY$1&lt;&gt;"",INDEX(Base!$R$1:$R$2500,$E22+AY$1+2),"")</f>
        <v>324.89</v>
      </c>
      <c r="AZ22">
        <f>IF(AZ$1&lt;&gt;"",INDEX(Base!$R$1:$R$2500,$E22+AZ$1+2),"")</f>
        <v>0.26</v>
      </c>
      <c r="BA22">
        <f>IF(BA$1&lt;&gt;"",INDEX(Base!$R$1:$R$2500,$E22+BA$1+2),"")</f>
        <v>1.1100000000000001</v>
      </c>
      <c r="BB22">
        <f>IF(BB$1&lt;&gt;"",INDEX(Base!$R$1:$R$2500,$E22+BB$1+2),"")</f>
        <v>27.93</v>
      </c>
      <c r="BC22">
        <f>IF(BC$1&lt;&gt;"",INDEX(Base!$R$1:$R$2500,$E22+BC$1+2),"")</f>
        <v>2.67</v>
      </c>
      <c r="BD22">
        <f>IF(BD$1&lt;&gt;"",INDEX(Base!$R$1:$R$2500,$E22+BD$1+2),"")</f>
        <v>3.53</v>
      </c>
      <c r="BE22">
        <f>IF(BE$1&lt;&gt;"",INDEX(Base!$R$1:$R$2500,$E22+BE$1+2),"")</f>
        <v>41.21</v>
      </c>
      <c r="BF22">
        <f>IF(BF$1&lt;&gt;"",INDEX(Base!$R$1:$R$2500,$E22+BF$1+2),"")</f>
        <v>0.08</v>
      </c>
      <c r="BG22">
        <f>IF(BG$1&lt;&gt;"",INDEX(Base!$R$1:$R$2500,$E22+BG$1+2),"")</f>
        <v>0.1</v>
      </c>
      <c r="BH22">
        <f>IF(BH$1&lt;&gt;"",INDEX(Base!$R$1:$R$2500,$E22+BH$1+2),"")</f>
        <v>0.32</v>
      </c>
      <c r="BI22">
        <f>IF(BI$1&lt;&gt;"",INDEX(Base!$R$1:$R$2500,$E22+BI$1+2),"")</f>
        <v>0.1</v>
      </c>
      <c r="BJ22">
        <f>IF(BJ$1&lt;&gt;"",INDEX(Base!$R$1:$R$2500,$E22+BJ$1+2),"")</f>
        <v>17.64</v>
      </c>
      <c r="BK22">
        <f>IF(BK$1&lt;&gt;"",INDEX(Base!$R$1:$R$2500,$E22+BK$1+2),"")</f>
        <v>28.76</v>
      </c>
      <c r="BL22">
        <f>IF(BL$1&lt;&gt;"",INDEX(Base!$R$1:$R$2500,$E22+BL$1+2),"")</f>
        <v>5.0199999999999996</v>
      </c>
      <c r="BM22">
        <f>IF(BM$1&lt;&gt;"",INDEX(Base!$R$1:$R$2500,$E22+BM$1+2),"")</f>
        <v>0.46</v>
      </c>
      <c r="BN22">
        <f>IF(BN$1&lt;&gt;"",INDEX(Base!$R$1:$R$2500,$E22+BN$1+2),"")</f>
        <v>0.1</v>
      </c>
      <c r="BO22">
        <f>IF(BO$1&lt;&gt;"",INDEX(Base!$R$1:$R$2500,$E22+BO$1+2),"")</f>
        <v>7.0000000000000007E-2</v>
      </c>
      <c r="BP22">
        <f>IF(BP$1&lt;&gt;"",INDEX(Base!$R$1:$R$2500,$E22+BP$1+2),"")</f>
        <v>0.39</v>
      </c>
      <c r="BQ22">
        <f>IF(BQ$1&lt;&gt;"",INDEX(Base!$R$1:$R$2500,$E22+BQ$1+2),"")</f>
        <v>0.06</v>
      </c>
      <c r="BR22">
        <f>IF(BR$1&lt;&gt;"",INDEX(Base!$R$1:$R$2500,$E22+BR$1+2),"")</f>
        <v>0.08</v>
      </c>
      <c r="BS22">
        <f>IF(BS$1&lt;&gt;"",INDEX(Base!$R$1:$R$2500,$E22+BS$1+2),"")</f>
        <v>3.71</v>
      </c>
      <c r="BT22">
        <f>IF(BT$1&lt;&gt;"",INDEX(Base!$R$1:$R$2500,$E22+BT$1+2),"")</f>
        <v>1.63</v>
      </c>
    </row>
    <row r="23" spans="1:72" x14ac:dyDescent="0.3">
      <c r="A23" s="2">
        <f t="shared" si="3"/>
        <v>885</v>
      </c>
      <c r="B23" s="3" t="str">
        <f>IFERROR(MID(INDEX(Base!A$1:A$2500,Calcoli!A23),47,LEN(INDEX(Base!A$1:A$2500,Calcoli!A23))-41),"")</f>
        <v>CUTINO ROBERTA</v>
      </c>
      <c r="C23" s="5" t="str">
        <f>MID(INDEX(Base!A$1:A$2500,Calcoli!$A23),42,4)</f>
        <v>1773</v>
      </c>
      <c r="D23" s="5" t="str">
        <f>MID(INDEX(Base!A$1:A$2500,Calcoli!A23),13,11)</f>
        <v xml:space="preserve"> 31_03_2025</v>
      </c>
      <c r="E23" s="4">
        <f t="shared" si="1"/>
        <v>625</v>
      </c>
      <c r="F23" s="3" t="str">
        <f>IFERROR(MID(INDEX(Base!L$1:L$2500,Calcoli!E23),47,LEN(INDEX(Base!L$1:L$2500,Calcoli!E23))-41),"")</f>
        <v>CUTINO ROBERTA</v>
      </c>
      <c r="G23" s="5" t="str">
        <f>MID(INDEX(Base!L$1:L$2500,Calcoli!$E23),42,4)</f>
        <v>1773</v>
      </c>
      <c r="H23" s="5" t="str">
        <f>MID(INDEX(Base!L$1:L$2500,Calcoli!E23),13,11)</f>
        <v xml:space="preserve"> 01_04_2025</v>
      </c>
      <c r="I23" s="6" t="str">
        <f xml:space="preserve"> IFERROR(MID(INDEX(Base!$V$3:$AB$60,MATCH($F23,Base!$Z$3:$Z$160,0),1),1,14),"")</f>
        <v>1773 CUTINO RO</v>
      </c>
      <c r="J23" s="6">
        <f xml:space="preserve"> IFERROR(INDEX(Base!$V$3:$AB$160,MATCH($F23,Base!$Z$3:$Z$160,0),2),"")</f>
        <v>116.47058823529412</v>
      </c>
      <c r="K23" s="6">
        <f xml:space="preserve"> IFERROR(INDEX(Base!$V$3:$AB$160,MATCH($F23,Base!$Z$3:$Z$160,0),3),"")</f>
        <v>18.843672094446088</v>
      </c>
      <c r="L23" s="28">
        <f xml:space="preserve"> IFERROR(INDEX(Base!$V$3:$AB$160,MATCH($F23,Base!$Z$3:$Z$160,0),4),"")</f>
        <v>15.67354368932039</v>
      </c>
      <c r="M23">
        <f>IF(M$1&lt;&gt;"",INDEX(Base!$G$1:$G$2500,$A23+M$1+2),"")</f>
        <v>47.57</v>
      </c>
      <c r="N23">
        <f>IF(N$1&lt;&gt;"",INDEX(Base!$G$1:$G$2500,$A23+N$1+2),"")</f>
        <v>6.66</v>
      </c>
      <c r="O23">
        <f>IF(O$1&lt;&gt;"",INDEX(Base!$G$1:$G$2500,$A23+O$1+2),"")</f>
        <v>0.05</v>
      </c>
      <c r="P23">
        <f>IF(P$1&lt;&gt;"",INDEX(Base!$G$1:$G$2500,$A23+P$1+2),"")</f>
        <v>2.62</v>
      </c>
      <c r="Q23">
        <f>IF(Q$1&lt;&gt;"",INDEX(Base!$G$1:$G$2500,$A23+Q$1+2),"")</f>
        <v>7.0000000000000007E-2</v>
      </c>
      <c r="R23">
        <f>IF(R$1&lt;&gt;"",INDEX(Base!$G$1:$G$2500,$A23+R$1+2),"")</f>
        <v>1.85</v>
      </c>
      <c r="S23">
        <f>IF(S$1&lt;&gt;"",INDEX(Base!$G$1:$G$2500,$A23+S$1+2),"")</f>
        <v>0.17</v>
      </c>
      <c r="T23">
        <f>IF(T$1&lt;&gt;"",INDEX(Base!$G$1:$G$2500,$A23+T$1+2),"")</f>
        <v>16.600000000000001</v>
      </c>
      <c r="U23">
        <f>IF(U$1&lt;&gt;"",INDEX(Base!$G$1:$G$2500,$A23+U$1+2),"")</f>
        <v>1.47</v>
      </c>
      <c r="V23">
        <f>IF(V$1&lt;&gt;"",INDEX(Base!$G$1:$G$2500,$A23+V$1+2),"")</f>
        <v>0.22</v>
      </c>
      <c r="W23">
        <f>IF(W$1&lt;&gt;"",INDEX(Base!$G$1:$G$2500,$A23+W$1+2),"")</f>
        <v>2.04</v>
      </c>
      <c r="X23">
        <f>IF(X$1&lt;&gt;"",INDEX(Base!$G$1:$G$2500,$A23+X$1+2),"")</f>
        <v>2.15</v>
      </c>
      <c r="Y23">
        <f>IF(Y$1&lt;&gt;"",INDEX(Base!$G$1:$G$2500,$A23+Y$1+2),"")</f>
        <v>99.48</v>
      </c>
      <c r="Z23">
        <f>IF(Z$1&lt;&gt;"",INDEX(Base!$G$1:$G$2500,$A23+Z$1+2),"")</f>
        <v>1.95</v>
      </c>
      <c r="AA23">
        <f>IF(AA$1&lt;&gt;"",INDEX(Base!$G$1:$G$2500,$A23+AA$1+2),"")</f>
        <v>1.4</v>
      </c>
      <c r="AB23">
        <f>IF(AB$1&lt;&gt;"",INDEX(Base!$G$1:$G$2500,$A23+AB$1+2),"")</f>
        <v>1.35</v>
      </c>
      <c r="AC23">
        <f>IF(AC$1&lt;&gt;"",INDEX(Base!$G$1:$G$2500,$A23+AC$1+2),"")</f>
        <v>3.83</v>
      </c>
      <c r="AD23">
        <f>IF(AD$1&lt;&gt;"",INDEX(Base!$G$1:$G$2500,$A23+AD$1+2),"")</f>
        <v>9.7899999999999991</v>
      </c>
      <c r="AE23">
        <f>IF(AE$1&lt;&gt;"",INDEX(Base!$G$1:$G$2500,$A23+AE$1+2),"")</f>
        <v>0.35</v>
      </c>
      <c r="AF23">
        <f>IF(AF$1&lt;&gt;"",INDEX(Base!$G$1:$G$2500,$A23+AF$1+2),"")</f>
        <v>2.36</v>
      </c>
      <c r="AG23">
        <f>IF(AG$1&lt;&gt;"",INDEX(Base!$G$1:$G$2500,$A23+AG$1+2),"")</f>
        <v>0.88</v>
      </c>
      <c r="AH23">
        <f>IF(AH$1&lt;&gt;"",INDEX(Base!$G$1:$G$2500,$A23+AH$1+2),"")</f>
        <v>4.47</v>
      </c>
      <c r="AI23">
        <f>IF(AI$1&lt;&gt;"",INDEX(Base!$G$1:$G$2500,$A23+AI$1+2),"")</f>
        <v>0.84</v>
      </c>
      <c r="AJ23">
        <f>IF(AJ$1&lt;&gt;"",INDEX(Base!$G$1:$G$2500,$A23+AJ$1+2),"")</f>
        <v>0.11</v>
      </c>
      <c r="AK23">
        <f>IF(AK$1&lt;&gt;"",INDEX(Base!$G$1:$G$2500,$A23+AK$1+2),"")</f>
        <v>3.99</v>
      </c>
      <c r="AL23">
        <f>IF(AL$1&lt;&gt;"",INDEX(Base!$G$1:$G$2500,$A23+AL$1+2),"")</f>
        <v>8.83</v>
      </c>
      <c r="AM23">
        <f>IF(AM$1&lt;&gt;"",INDEX(Base!$G$1:$G$2500,$A23+AM$1+2),"")</f>
        <v>0.1</v>
      </c>
      <c r="AN23">
        <f>IF(AN$1&lt;&gt;"",INDEX(Base!$G$1:$G$2500,$A23+AN$1+2),"")</f>
        <v>0.96</v>
      </c>
      <c r="AO23">
        <f>IF(AO$1&lt;&gt;"",INDEX(Base!$G$1:$G$2500,$A23+AO$1+2),"")</f>
        <v>2.44</v>
      </c>
      <c r="AP23">
        <f>IF(AP$1&lt;&gt;"",INDEX(Base!$G$1:$G$2500,$A23+AP$1+2),"")</f>
        <v>0.1</v>
      </c>
      <c r="AQ23">
        <f>IF(AQ$1&lt;&gt;"",INDEX(Base!$G$1:$G$2500,$A23+AQ$1+2),"")</f>
        <v>0.13</v>
      </c>
      <c r="AR23">
        <f>IF(AR$1&lt;&gt;"",INDEX(Base!$G$1:$G$2500,$A23+AR$1+2),"")</f>
        <v>0.1</v>
      </c>
      <c r="AS23">
        <f>IF(AS$1&lt;&gt;"",INDEX(Base!$G$1:$G$2500,$A23+AS$1+2),"")</f>
        <v>0.87</v>
      </c>
      <c r="AT23">
        <f>IF(AT$1&lt;&gt;"",INDEX(Base!$G$1:$G$2500,$A23+AT$1+2),"")</f>
        <v>0.09</v>
      </c>
      <c r="AU23">
        <f>IF(AU$1&lt;&gt;"",INDEX(Base!$G$1:$G$2500,$A23+AU$1+2),"")</f>
        <v>0.08</v>
      </c>
      <c r="AV23">
        <f>IF(AV$1&lt;&gt;"",INDEX(Base!$G$1:$G$2500,$A23+AV$1+2),"")</f>
        <v>0.62</v>
      </c>
      <c r="AW23" s="8">
        <f t="shared" si="0"/>
        <v>1.4444444444444444</v>
      </c>
      <c r="AX23">
        <f>IF(AX$1&lt;&gt;"",INDEX(Base!$R$1:$R$2500,$E23+AX$1+2),"")</f>
        <v>9.4</v>
      </c>
      <c r="AY23">
        <f>IF(AY$1&lt;&gt;"",INDEX(Base!$R$1:$R$2500,$E23+AY$1+2),"")</f>
        <v>418.96</v>
      </c>
      <c r="AZ23">
        <f>IF(AZ$1&lt;&gt;"",INDEX(Base!$R$1:$R$2500,$E23+AZ$1+2),"")</f>
        <v>0.35</v>
      </c>
      <c r="BA23">
        <f>IF(BA$1&lt;&gt;"",INDEX(Base!$R$1:$R$2500,$E23+BA$1+2),"")</f>
        <v>0.73</v>
      </c>
      <c r="BB23">
        <f>IF(BB$1&lt;&gt;"",INDEX(Base!$R$1:$R$2500,$E23+BB$1+2),"")</f>
        <v>48.98</v>
      </c>
      <c r="BC23">
        <f>IF(BC$1&lt;&gt;"",INDEX(Base!$R$1:$R$2500,$E23+BC$1+2),"")</f>
        <v>1.38</v>
      </c>
      <c r="BD23">
        <f>IF(BD$1&lt;&gt;"",INDEX(Base!$R$1:$R$2500,$E23+BD$1+2),"")</f>
        <v>2.39</v>
      </c>
      <c r="BE23">
        <f>IF(BE$1&lt;&gt;"",INDEX(Base!$R$1:$R$2500,$E23+BE$1+2),"")</f>
        <v>19.12</v>
      </c>
      <c r="BF23">
        <f>IF(BF$1&lt;&gt;"",INDEX(Base!$R$1:$R$2500,$E23+BF$1+2),"")</f>
        <v>0.15</v>
      </c>
      <c r="BG23">
        <f>IF(BG$1&lt;&gt;"",INDEX(Base!$R$1:$R$2500,$E23+BG$1+2),"")</f>
        <v>0.67</v>
      </c>
      <c r="BH23">
        <f>IF(BH$1&lt;&gt;"",INDEX(Base!$R$1:$R$2500,$E23+BH$1+2),"")</f>
        <v>0.41</v>
      </c>
      <c r="BI23">
        <f>IF(BI$1&lt;&gt;"",INDEX(Base!$R$1:$R$2500,$E23+BI$1+2),"")</f>
        <v>26.06</v>
      </c>
      <c r="BJ23">
        <f>IF(BJ$1&lt;&gt;"",INDEX(Base!$R$1:$R$2500,$E23+BJ$1+2),"")</f>
        <v>12.17</v>
      </c>
      <c r="BK23">
        <f>IF(BK$1&lt;&gt;"",INDEX(Base!$R$1:$R$2500,$E23+BK$1+2),"")</f>
        <v>10.19</v>
      </c>
      <c r="BL23">
        <f>IF(BL$1&lt;&gt;"",INDEX(Base!$R$1:$R$2500,$E23+BL$1+2),"")</f>
        <v>3.77</v>
      </c>
      <c r="BM23">
        <f>IF(BM$1&lt;&gt;"",INDEX(Base!$R$1:$R$2500,$E23+BM$1+2),"")</f>
        <v>1.1399999999999999</v>
      </c>
      <c r="BN23">
        <f>IF(BN$1&lt;&gt;"",INDEX(Base!$R$1:$R$2500,$E23+BN$1+2),"")</f>
        <v>0.1</v>
      </c>
      <c r="BO23">
        <f>IF(BO$1&lt;&gt;"",INDEX(Base!$R$1:$R$2500,$E23+BO$1+2),"")</f>
        <v>0.12</v>
      </c>
      <c r="BP23">
        <f>IF(BP$1&lt;&gt;"",INDEX(Base!$R$1:$R$2500,$E23+BP$1+2),"")</f>
        <v>0.27</v>
      </c>
      <c r="BQ23">
        <f>IF(BQ$1&lt;&gt;"",INDEX(Base!$R$1:$R$2500,$E23+BQ$1+2),"")</f>
        <v>0.22</v>
      </c>
      <c r="BR23">
        <f>IF(BR$1&lt;&gt;"",INDEX(Base!$R$1:$R$2500,$E23+BR$1+2),"")</f>
        <v>0.06</v>
      </c>
      <c r="BS23">
        <f>IF(BS$1&lt;&gt;"",INDEX(Base!$R$1:$R$2500,$E23+BS$1+2),"")</f>
        <v>6.36</v>
      </c>
      <c r="BT23">
        <f>IF(BT$1&lt;&gt;"",INDEX(Base!$R$1:$R$2500,$E23+BT$1+2),"")</f>
        <v>1.66</v>
      </c>
    </row>
    <row r="24" spans="1:72" x14ac:dyDescent="0.3">
      <c r="A24" s="2">
        <f t="shared" si="3"/>
        <v>929</v>
      </c>
      <c r="B24" s="3" t="str">
        <f>IFERROR(MID(INDEX(Base!A$1:A$2500,Calcoli!A24),47,LEN(INDEX(Base!A$1:A$2500,Calcoli!A24))-41),"")</f>
        <v>MOSETTI FILIPPO MARIA</v>
      </c>
      <c r="C24" s="5" t="str">
        <f>MID(INDEX(Base!A$1:A$2500,Calcoli!$A24),42,4)</f>
        <v>1774</v>
      </c>
      <c r="D24" s="5" t="str">
        <f>MID(INDEX(Base!A$1:A$2500,Calcoli!A24),13,11)</f>
        <v xml:space="preserve"> 31_03_2025</v>
      </c>
      <c r="E24" s="4">
        <f t="shared" si="1"/>
        <v>656</v>
      </c>
      <c r="F24" s="3" t="str">
        <f>IFERROR(MID(INDEX(Base!L$1:L$2500,Calcoli!E24),47,LEN(INDEX(Base!L$1:L$2500,Calcoli!E24))-41),"")</f>
        <v xml:space="preserve">MOSETTI FILIPPO MARIA </v>
      </c>
      <c r="G24" s="5" t="str">
        <f>MID(INDEX(Base!L$1:L$2500,Calcoli!$E24),42,4)</f>
        <v>1774</v>
      </c>
      <c r="H24" s="5" t="str">
        <f>MID(INDEX(Base!L$1:L$2500,Calcoli!E24),13,11)</f>
        <v xml:space="preserve"> 01_04_2025</v>
      </c>
      <c r="I24" s="6" t="str">
        <f xml:space="preserve"> IFERROR(MID(INDEX(Base!$V$3:$AB$60,MATCH($F24,Base!$Z$3:$Z$160,0),1),1,14),"")</f>
        <v>1774 MOSETTI F</v>
      </c>
      <c r="J24" s="6">
        <f xml:space="preserve"> IFERROR(INDEX(Base!$V$3:$AB$160,MATCH($F24,Base!$Z$3:$Z$160,0),2),"")</f>
        <v>77.647058823529392</v>
      </c>
      <c r="K24" s="6">
        <f xml:space="preserve"> IFERROR(INDEX(Base!$V$3:$AB$160,MATCH($F24,Base!$Z$3:$Z$160,0),3),"")</f>
        <v>66.754710717559036</v>
      </c>
      <c r="L24" s="28">
        <f xml:space="preserve"> IFERROR(INDEX(Base!$V$3:$AB$160,MATCH($F24,Base!$Z$3:$Z$160,0),4),"")</f>
        <v>73.695388349514573</v>
      </c>
      <c r="M24">
        <f>IF(M$1&lt;&gt;"",INDEX(Base!$G$1:$G$2500,$A24+M$1+2),"")</f>
        <v>35.24</v>
      </c>
      <c r="N24">
        <f>IF(N$1&lt;&gt;"",INDEX(Base!$G$1:$G$2500,$A24+N$1+2),"")</f>
        <v>7.58</v>
      </c>
      <c r="O24">
        <f>IF(O$1&lt;&gt;"",INDEX(Base!$G$1:$G$2500,$A24+O$1+2),"")</f>
        <v>0.55000000000000004</v>
      </c>
      <c r="P24">
        <f>IF(P$1&lt;&gt;"",INDEX(Base!$G$1:$G$2500,$A24+P$1+2),"")</f>
        <v>2.19</v>
      </c>
      <c r="Q24">
        <f>IF(Q$1&lt;&gt;"",INDEX(Base!$G$1:$G$2500,$A24+Q$1+2),"")</f>
        <v>24.86</v>
      </c>
      <c r="R24">
        <f>IF(R$1&lt;&gt;"",INDEX(Base!$G$1:$G$2500,$A24+R$1+2),"")</f>
        <v>4.01</v>
      </c>
      <c r="S24">
        <f>IF(S$1&lt;&gt;"",INDEX(Base!$G$1:$G$2500,$A24+S$1+2),"")</f>
        <v>1.2</v>
      </c>
      <c r="T24">
        <f>IF(T$1&lt;&gt;"",INDEX(Base!$G$1:$G$2500,$A24+T$1+2),"")</f>
        <v>79.61</v>
      </c>
      <c r="U24">
        <f>IF(U$1&lt;&gt;"",INDEX(Base!$G$1:$G$2500,$A24+U$1+2),"")</f>
        <v>1.36</v>
      </c>
      <c r="V24">
        <f>IF(V$1&lt;&gt;"",INDEX(Base!$G$1:$G$2500,$A24+V$1+2),"")</f>
        <v>0.31</v>
      </c>
      <c r="W24">
        <f>IF(W$1&lt;&gt;"",INDEX(Base!$G$1:$G$2500,$A24+W$1+2),"")</f>
        <v>3.7</v>
      </c>
      <c r="X24">
        <f>IF(X$1&lt;&gt;"",INDEX(Base!$G$1:$G$2500,$A24+X$1+2),"")</f>
        <v>5.19</v>
      </c>
      <c r="Y24">
        <f>IF(Y$1&lt;&gt;"",INDEX(Base!$G$1:$G$2500,$A24+Y$1+2),"")</f>
        <v>79.3</v>
      </c>
      <c r="Z24">
        <f>IF(Z$1&lt;&gt;"",INDEX(Base!$G$1:$G$2500,$A24+Z$1+2),"")</f>
        <v>2.16</v>
      </c>
      <c r="AA24">
        <f>IF(AA$1&lt;&gt;"",INDEX(Base!$G$1:$G$2500,$A24+AA$1+2),"")</f>
        <v>3.01</v>
      </c>
      <c r="AB24">
        <f>IF(AB$1&lt;&gt;"",INDEX(Base!$G$1:$G$2500,$A24+AB$1+2),"")</f>
        <v>1.73</v>
      </c>
      <c r="AC24">
        <f>IF(AC$1&lt;&gt;"",INDEX(Base!$G$1:$G$2500,$A24+AC$1+2),"")</f>
        <v>13.9</v>
      </c>
      <c r="AD24">
        <f>IF(AD$1&lt;&gt;"",INDEX(Base!$G$1:$G$2500,$A24+AD$1+2),"")</f>
        <v>15.16</v>
      </c>
      <c r="AE24">
        <f>IF(AE$1&lt;&gt;"",INDEX(Base!$G$1:$G$2500,$A24+AE$1+2),"")</f>
        <v>0.81</v>
      </c>
      <c r="AF24">
        <f>IF(AF$1&lt;&gt;"",INDEX(Base!$G$1:$G$2500,$A24+AF$1+2),"")</f>
        <v>3.15</v>
      </c>
      <c r="AG24">
        <f>IF(AG$1&lt;&gt;"",INDEX(Base!$G$1:$G$2500,$A24+AG$1+2),"")</f>
        <v>1.07</v>
      </c>
      <c r="AH24">
        <f>IF(AH$1&lt;&gt;"",INDEX(Base!$G$1:$G$2500,$A24+AH$1+2),"")</f>
        <v>10.9</v>
      </c>
      <c r="AI24">
        <f>IF(AI$1&lt;&gt;"",INDEX(Base!$G$1:$G$2500,$A24+AI$1+2),"")</f>
        <v>1.54</v>
      </c>
      <c r="AJ24">
        <f>IF(AJ$1&lt;&gt;"",INDEX(Base!$G$1:$G$2500,$A24+AJ$1+2),"")</f>
        <v>0.1</v>
      </c>
      <c r="AK24">
        <f>IF(AK$1&lt;&gt;"",INDEX(Base!$G$1:$G$2500,$A24+AK$1+2),"")</f>
        <v>8.15</v>
      </c>
      <c r="AL24">
        <f>IF(AL$1&lt;&gt;"",INDEX(Base!$G$1:$G$2500,$A24+AL$1+2),"")</f>
        <v>7.47</v>
      </c>
      <c r="AM24">
        <f>IF(AM$1&lt;&gt;"",INDEX(Base!$G$1:$G$2500,$A24+AM$1+2),"")</f>
        <v>0.98</v>
      </c>
      <c r="AN24">
        <f>IF(AN$1&lt;&gt;"",INDEX(Base!$G$1:$G$2500,$A24+AN$1+2),"")</f>
        <v>0.8</v>
      </c>
      <c r="AO24">
        <f>IF(AO$1&lt;&gt;"",INDEX(Base!$G$1:$G$2500,$A24+AO$1+2),"")</f>
        <v>1.76</v>
      </c>
      <c r="AP24">
        <f>IF(AP$1&lt;&gt;"",INDEX(Base!$G$1:$G$2500,$A24+AP$1+2),"")</f>
        <v>0.13</v>
      </c>
      <c r="AQ24">
        <f>IF(AQ$1&lt;&gt;"",INDEX(Base!$G$1:$G$2500,$A24+AQ$1+2),"")</f>
        <v>6.05</v>
      </c>
      <c r="AR24">
        <f>IF(AR$1&lt;&gt;"",INDEX(Base!$G$1:$G$2500,$A24+AR$1+2),"")</f>
        <v>0.06</v>
      </c>
      <c r="AS24">
        <f>IF(AS$1&lt;&gt;"",INDEX(Base!$G$1:$G$2500,$A24+AS$1+2),"")</f>
        <v>1.04</v>
      </c>
      <c r="AT24">
        <f>IF(AT$1&lt;&gt;"",INDEX(Base!$G$1:$G$2500,$A24+AT$1+2),"")</f>
        <v>0.1</v>
      </c>
      <c r="AU24">
        <f>IF(AU$1&lt;&gt;"",INDEX(Base!$G$1:$G$2500,$A24+AU$1+2),"")</f>
        <v>0.14000000000000001</v>
      </c>
      <c r="AV24">
        <f>IF(AV$1&lt;&gt;"",INDEX(Base!$G$1:$G$2500,$A24+AV$1+2),"")</f>
        <v>0.42</v>
      </c>
      <c r="AW24" s="8">
        <f t="shared" si="0"/>
        <v>1.2485549132947977</v>
      </c>
      <c r="AX24">
        <f>IF(AX$1&lt;&gt;"",INDEX(Base!$R$1:$R$2500,$E24+AX$1+2),"")</f>
        <v>11.91</v>
      </c>
      <c r="AY24">
        <f>IF(AY$1&lt;&gt;"",INDEX(Base!$R$1:$R$2500,$E24+AY$1+2),"")</f>
        <v>283.45999999999998</v>
      </c>
      <c r="AZ24">
        <f>IF(AZ$1&lt;&gt;"",INDEX(Base!$R$1:$R$2500,$E24+AZ$1+2),"")</f>
        <v>0.32</v>
      </c>
      <c r="BA24">
        <f>IF(BA$1&lt;&gt;"",INDEX(Base!$R$1:$R$2500,$E24+BA$1+2),"")</f>
        <v>1.97</v>
      </c>
      <c r="BB24">
        <f>IF(BB$1&lt;&gt;"",INDEX(Base!$R$1:$R$2500,$E24+BB$1+2),"")</f>
        <v>67.09</v>
      </c>
      <c r="BC24">
        <f>IF(BC$1&lt;&gt;"",INDEX(Base!$R$1:$R$2500,$E24+BC$1+2),"")</f>
        <v>3.18</v>
      </c>
      <c r="BD24">
        <f>IF(BD$1&lt;&gt;"",INDEX(Base!$R$1:$R$2500,$E24+BD$1+2),"")</f>
        <v>5.42</v>
      </c>
      <c r="BE24">
        <f>IF(BE$1&lt;&gt;"",INDEX(Base!$R$1:$R$2500,$E24+BE$1+2),"")</f>
        <v>26.31</v>
      </c>
      <c r="BF24">
        <f>IF(BF$1&lt;&gt;"",INDEX(Base!$R$1:$R$2500,$E24+BF$1+2),"")</f>
        <v>0.17</v>
      </c>
      <c r="BG24">
        <f>IF(BG$1&lt;&gt;"",INDEX(Base!$R$1:$R$2500,$E24+BG$1+2),"")</f>
        <v>1.46</v>
      </c>
      <c r="BH24">
        <f>IF(BH$1&lt;&gt;"",INDEX(Base!$R$1:$R$2500,$E24+BH$1+2),"")</f>
        <v>0.39</v>
      </c>
      <c r="BI24">
        <f>IF(BI$1&lt;&gt;"",INDEX(Base!$R$1:$R$2500,$E24+BI$1+2),"")</f>
        <v>50.25</v>
      </c>
      <c r="BJ24">
        <f>IF(BJ$1&lt;&gt;"",INDEX(Base!$R$1:$R$2500,$E24+BJ$1+2),"")</f>
        <v>25.77</v>
      </c>
      <c r="BK24">
        <f>IF(BK$1&lt;&gt;"",INDEX(Base!$R$1:$R$2500,$E24+BK$1+2),"")</f>
        <v>10.199999999999999</v>
      </c>
      <c r="BL24">
        <f>IF(BL$1&lt;&gt;"",INDEX(Base!$R$1:$R$2500,$E24+BL$1+2),"")</f>
        <v>11.37</v>
      </c>
      <c r="BM24">
        <f>IF(BM$1&lt;&gt;"",INDEX(Base!$R$1:$R$2500,$E24+BM$1+2),"")</f>
        <v>1.82</v>
      </c>
      <c r="BN24">
        <f>IF(BN$1&lt;&gt;"",INDEX(Base!$R$1:$R$2500,$E24+BN$1+2),"")</f>
        <v>0.1</v>
      </c>
      <c r="BO24">
        <f>IF(BO$1&lt;&gt;"",INDEX(Base!$R$1:$R$2500,$E24+BO$1+2),"")</f>
        <v>0.11</v>
      </c>
      <c r="BP24">
        <f>IF(BP$1&lt;&gt;"",INDEX(Base!$R$1:$R$2500,$E24+BP$1+2),"")</f>
        <v>0.06</v>
      </c>
      <c r="BQ24">
        <f>IF(BQ$1&lt;&gt;"",INDEX(Base!$R$1:$R$2500,$E24+BQ$1+2),"")</f>
        <v>0.28000000000000003</v>
      </c>
      <c r="BR24">
        <f>IF(BR$1&lt;&gt;"",INDEX(Base!$R$1:$R$2500,$E24+BR$1+2),"")</f>
        <v>0.11</v>
      </c>
      <c r="BS24">
        <f>IF(BS$1&lt;&gt;"",INDEX(Base!$R$1:$R$2500,$E24+BS$1+2),"")</f>
        <v>5.53</v>
      </c>
      <c r="BT24">
        <f>IF(BT$1&lt;&gt;"",INDEX(Base!$R$1:$R$2500,$E24+BT$1+2),"")</f>
        <v>3.16</v>
      </c>
    </row>
    <row r="25" spans="1:72" x14ac:dyDescent="0.3">
      <c r="A25" s="2">
        <f t="shared" si="3"/>
        <v>973</v>
      </c>
      <c r="B25" s="3" t="str">
        <f>IFERROR(MID(INDEX(Base!A$1:A$2500,Calcoli!A25),47,LEN(INDEX(Base!A$1:A$2500,Calcoli!A25))-41),"")</f>
        <v/>
      </c>
      <c r="C25" s="5" t="str">
        <f>MID(INDEX(Base!A$1:A$2500,Calcoli!$A25),42,4)</f>
        <v/>
      </c>
      <c r="D25" s="5" t="str">
        <f>MID(INDEX(Base!A$1:A$2500,Calcoli!A25),13,11)</f>
        <v xml:space="preserve"> 31_03_2025</v>
      </c>
      <c r="E25" s="4">
        <f t="shared" si="1"/>
        <v>687</v>
      </c>
      <c r="F25" s="3" t="str">
        <f>IFERROR(MID(INDEX(Base!L$1:L$2500,Calcoli!E25),47,LEN(INDEX(Base!L$1:L$2500,Calcoli!E25))-41),"")</f>
        <v/>
      </c>
      <c r="G25" s="5" t="str">
        <f>MID(INDEX(Base!L$1:L$2500,Calcoli!$E25),42,4)</f>
        <v/>
      </c>
      <c r="H25" s="5" t="str">
        <f>MID(INDEX(Base!L$1:L$2500,Calcoli!E25),13,11)</f>
        <v xml:space="preserve"> 01_04_2025</v>
      </c>
      <c r="I25" s="6" t="str">
        <f xml:space="preserve"> IFERROR(MID(INDEX(Base!$V$3:$AB$60,MATCH($F25,Base!$Z$3:$Z$160,0),1),1,14),"")</f>
        <v/>
      </c>
      <c r="J25" s="6" t="str">
        <f xml:space="preserve"> IFERROR(INDEX(Base!$V$3:$AB$160,MATCH($F25,Base!$Z$3:$Z$160,0),2),"")</f>
        <v/>
      </c>
      <c r="K25" s="6" t="str">
        <f xml:space="preserve"> IFERROR(INDEX(Base!$V$3:$AB$160,MATCH($F25,Base!$Z$3:$Z$160,0),3),"")</f>
        <v/>
      </c>
      <c r="L25" s="28" t="str">
        <f xml:space="preserve"> IFERROR(INDEX(Base!$V$3:$AB$160,MATCH($F25,Base!$Z$3:$Z$160,0),4),"")</f>
        <v/>
      </c>
      <c r="M25">
        <f>IF(M$1&lt;&gt;"",INDEX(Base!$G$1:$G$2500,$A25+M$1+2),"")</f>
        <v>0.1</v>
      </c>
      <c r="N25">
        <f>IF(N$1&lt;&gt;"",INDEX(Base!$G$1:$G$2500,$A25+N$1+2),"")</f>
        <v>5.12</v>
      </c>
      <c r="O25">
        <f>IF(O$1&lt;&gt;"",INDEX(Base!$G$1:$G$2500,$A25+O$1+2),"")</f>
        <v>0.78</v>
      </c>
      <c r="P25">
        <f>IF(P$1&lt;&gt;"",INDEX(Base!$G$1:$G$2500,$A25+P$1+2),"")</f>
        <v>0.78</v>
      </c>
      <c r="Q25">
        <f>IF(Q$1&lt;&gt;"",INDEX(Base!$G$1:$G$2500,$A25+Q$1+2),"")</f>
        <v>0.11</v>
      </c>
      <c r="R25">
        <f>IF(R$1&lt;&gt;"",INDEX(Base!$G$1:$G$2500,$A25+R$1+2),"")</f>
        <v>0.1</v>
      </c>
      <c r="S25">
        <f>IF(S$1&lt;&gt;"",INDEX(Base!$G$1:$G$2500,$A25+S$1+2),"")</f>
        <v>0.09</v>
      </c>
      <c r="T25">
        <f>IF(T$1&lt;&gt;"",INDEX(Base!$G$1:$G$2500,$A25+T$1+2),"")</f>
        <v>0.1</v>
      </c>
      <c r="U25">
        <f>IF(U$1&lt;&gt;"",INDEX(Base!$G$1:$G$2500,$A25+U$1+2),"")</f>
        <v>2.23</v>
      </c>
      <c r="V25">
        <f>IF(V$1&lt;&gt;"",INDEX(Base!$G$1:$G$2500,$A25+V$1+2),"")</f>
        <v>0.35</v>
      </c>
      <c r="W25">
        <f>IF(W$1&lt;&gt;"",INDEX(Base!$G$1:$G$2500,$A25+W$1+2),"")</f>
        <v>0.1</v>
      </c>
      <c r="X25">
        <f>IF(X$1&lt;&gt;"",INDEX(Base!$G$1:$G$2500,$A25+X$1+2),"")</f>
        <v>3.01</v>
      </c>
      <c r="Y25">
        <f>IF(Y$1&lt;&gt;"",INDEX(Base!$G$1:$G$2500,$A25+Y$1+2),"")</f>
        <v>0.1</v>
      </c>
      <c r="Z25">
        <f>IF(Z$1&lt;&gt;"",INDEX(Base!$G$1:$G$2500,$A25+Z$1+2),"")</f>
        <v>0.1</v>
      </c>
      <c r="AA25">
        <f>IF(AA$1&lt;&gt;"",INDEX(Base!$G$1:$G$2500,$A25+AA$1+2),"")</f>
        <v>1.27</v>
      </c>
      <c r="AB25">
        <f>IF(AB$1&lt;&gt;"",INDEX(Base!$G$1:$G$2500,$A25+AB$1+2),"")</f>
        <v>0.1</v>
      </c>
      <c r="AC25">
        <f>IF(AC$1&lt;&gt;"",INDEX(Base!$G$1:$G$2500,$A25+AC$1+2),"")</f>
        <v>3.24</v>
      </c>
      <c r="AD25">
        <f>IF(AD$1&lt;&gt;"",INDEX(Base!$G$1:$G$2500,$A25+AD$1+2),"")</f>
        <v>10.53</v>
      </c>
      <c r="AE25">
        <f>IF(AE$1&lt;&gt;"",INDEX(Base!$G$1:$G$2500,$A25+AE$1+2),"")</f>
        <v>0.3</v>
      </c>
      <c r="AF25">
        <f>IF(AF$1&lt;&gt;"",INDEX(Base!$G$1:$G$2500,$A25+AF$1+2),"")</f>
        <v>0.1</v>
      </c>
      <c r="AG25">
        <f>IF(AG$1&lt;&gt;"",INDEX(Base!$G$1:$G$2500,$A25+AG$1+2),"")</f>
        <v>0.06</v>
      </c>
      <c r="AH25">
        <f>IF(AH$1&lt;&gt;"",INDEX(Base!$G$1:$G$2500,$A25+AH$1+2),"")</f>
        <v>5.83</v>
      </c>
      <c r="AI25">
        <f>IF(AI$1&lt;&gt;"",INDEX(Base!$G$1:$G$2500,$A25+AI$1+2),"")</f>
        <v>0.81</v>
      </c>
      <c r="AJ25">
        <f>IF(AJ$1&lt;&gt;"",INDEX(Base!$G$1:$G$2500,$A25+AJ$1+2),"")</f>
        <v>0.1</v>
      </c>
      <c r="AK25">
        <f>IF(AK$1&lt;&gt;"",INDEX(Base!$G$1:$G$2500,$A25+AK$1+2),"")</f>
        <v>22.02</v>
      </c>
      <c r="AL25">
        <f>IF(AL$1&lt;&gt;"",INDEX(Base!$G$1:$G$2500,$A25+AL$1+2),"")</f>
        <v>2.0299999999999998</v>
      </c>
      <c r="AM25">
        <f>IF(AM$1&lt;&gt;"",INDEX(Base!$G$1:$G$2500,$A25+AM$1+2),"")</f>
        <v>0.1</v>
      </c>
      <c r="AN25">
        <f>IF(AN$1&lt;&gt;"",INDEX(Base!$G$1:$G$2500,$A25+AN$1+2),"")</f>
        <v>0.1</v>
      </c>
      <c r="AO25">
        <f>IF(AO$1&lt;&gt;"",INDEX(Base!$G$1:$G$2500,$A25+AO$1+2),"")</f>
        <v>3.09</v>
      </c>
      <c r="AP25">
        <f>IF(AP$1&lt;&gt;"",INDEX(Base!$G$1:$G$2500,$A25+AP$1+2),"")</f>
        <v>0.15</v>
      </c>
      <c r="AQ25">
        <f>IF(AQ$1&lt;&gt;"",INDEX(Base!$G$1:$G$2500,$A25+AQ$1+2),"")</f>
        <v>0.1</v>
      </c>
      <c r="AR25">
        <f>IF(AR$1&lt;&gt;"",INDEX(Base!$G$1:$G$2500,$A25+AR$1+2),"")</f>
        <v>0.35</v>
      </c>
      <c r="AS25">
        <f>IF(AS$1&lt;&gt;"",INDEX(Base!$G$1:$G$2500,$A25+AS$1+2),"")</f>
        <v>3.35</v>
      </c>
      <c r="AT25">
        <f>IF(AT$1&lt;&gt;"",INDEX(Base!$G$1:$G$2500,$A25+AT$1+2),"")</f>
        <v>0.12</v>
      </c>
      <c r="AU25">
        <f>IF(AU$1&lt;&gt;"",INDEX(Base!$G$1:$G$2500,$A25+AU$1+2),"")</f>
        <v>0.1</v>
      </c>
      <c r="AV25">
        <f>IF(AV$1&lt;&gt;"",INDEX(Base!$G$1:$G$2500,$A25+AV$1+2),"")</f>
        <v>0.14000000000000001</v>
      </c>
      <c r="AW25" s="8">
        <f t="shared" si="0"/>
        <v>1</v>
      </c>
      <c r="AX25">
        <f>IF(AX$1&lt;&gt;"",INDEX(Base!$R$1:$R$2500,$E25+AX$1+2),"")</f>
        <v>0.1</v>
      </c>
      <c r="AY25">
        <f>IF(AY$1&lt;&gt;"",INDEX(Base!$R$1:$R$2500,$E25+AY$1+2),"")</f>
        <v>427.83</v>
      </c>
      <c r="AZ25">
        <f>IF(AZ$1&lt;&gt;"",INDEX(Base!$R$1:$R$2500,$E25+AZ$1+2),"")</f>
        <v>0.1</v>
      </c>
      <c r="BA25">
        <f>IF(BA$1&lt;&gt;"",INDEX(Base!$R$1:$R$2500,$E25+BA$1+2),"")</f>
        <v>0.73</v>
      </c>
      <c r="BB25">
        <f>IF(BB$1&lt;&gt;"",INDEX(Base!$R$1:$R$2500,$E25+BB$1+2),"")</f>
        <v>45.92</v>
      </c>
      <c r="BC25">
        <f>IF(BC$1&lt;&gt;"",INDEX(Base!$R$1:$R$2500,$E25+BC$1+2),"")</f>
        <v>0.1</v>
      </c>
      <c r="BD25">
        <f>IF(BD$1&lt;&gt;"",INDEX(Base!$R$1:$R$2500,$E25+BD$1+2),"")</f>
        <v>0.1</v>
      </c>
      <c r="BE25">
        <f>IF(BE$1&lt;&gt;"",INDEX(Base!$R$1:$R$2500,$E25+BE$1+2),"")</f>
        <v>0.1</v>
      </c>
      <c r="BF25">
        <f>IF(BF$1&lt;&gt;"",INDEX(Base!$R$1:$R$2500,$E25+BF$1+2),"")</f>
        <v>0.12</v>
      </c>
      <c r="BG25">
        <f>IF(BG$1&lt;&gt;"",INDEX(Base!$R$1:$R$2500,$E25+BG$1+2),"")</f>
        <v>0.1</v>
      </c>
      <c r="BH25">
        <f>IF(BH$1&lt;&gt;"",INDEX(Base!$R$1:$R$2500,$E25+BH$1+2),"")</f>
        <v>0.1</v>
      </c>
      <c r="BI25">
        <f>IF(BI$1&lt;&gt;"",INDEX(Base!$R$1:$R$2500,$E25+BI$1+2),"")</f>
        <v>0.1</v>
      </c>
      <c r="BJ25">
        <f>IF(BJ$1&lt;&gt;"",INDEX(Base!$R$1:$R$2500,$E25+BJ$1+2),"")</f>
        <v>0.1</v>
      </c>
      <c r="BK25">
        <f>IF(BK$1&lt;&gt;"",INDEX(Base!$R$1:$R$2500,$E25+BK$1+2),"")</f>
        <v>0.1</v>
      </c>
      <c r="BL25">
        <f>IF(BL$1&lt;&gt;"",INDEX(Base!$R$1:$R$2500,$E25+BL$1+2),"")</f>
        <v>0.1</v>
      </c>
      <c r="BM25">
        <f>IF(BM$1&lt;&gt;"",INDEX(Base!$R$1:$R$2500,$E25+BM$1+2),"")</f>
        <v>0.1</v>
      </c>
      <c r="BN25">
        <f>IF(BN$1&lt;&gt;"",INDEX(Base!$R$1:$R$2500,$E25+BN$1+2),"")</f>
        <v>0.1</v>
      </c>
      <c r="BO25">
        <f>IF(BO$1&lt;&gt;"",INDEX(Base!$R$1:$R$2500,$E25+BO$1+2),"")</f>
        <v>0.1</v>
      </c>
      <c r="BP25">
        <f>IF(BP$1&lt;&gt;"",INDEX(Base!$R$1:$R$2500,$E25+BP$1+2),"")</f>
        <v>0.1</v>
      </c>
      <c r="BQ25">
        <f>IF(BQ$1&lt;&gt;"",INDEX(Base!$R$1:$R$2500,$E25+BQ$1+2),"")</f>
        <v>0.1</v>
      </c>
      <c r="BR25">
        <f>IF(BR$1&lt;&gt;"",INDEX(Base!$R$1:$R$2500,$E25+BR$1+2),"")</f>
        <v>0.1</v>
      </c>
      <c r="BS25">
        <f>IF(BS$1&lt;&gt;"",INDEX(Base!$R$1:$R$2500,$E25+BS$1+2),"")</f>
        <v>0.1</v>
      </c>
      <c r="BT25">
        <f>IF(BT$1&lt;&gt;"",INDEX(Base!$R$1:$R$2500,$E25+BT$1+2),"")</f>
        <v>2.06</v>
      </c>
    </row>
    <row r="26" spans="1:72" x14ac:dyDescent="0.3">
      <c r="A26" s="2">
        <f t="shared" si="3"/>
        <v>1017</v>
      </c>
      <c r="B26" s="3" t="str">
        <f>IFERROR(MID(INDEX(Base!A$1:A$2500,Calcoli!A26),47,LEN(INDEX(Base!A$1:A$2500,Calcoli!A26))-41),"")</f>
        <v>MAFFEI DEBORA</v>
      </c>
      <c r="C26" s="5" t="str">
        <f>MID(INDEX(Base!A$1:A$2500,Calcoli!$A26),42,4)</f>
        <v>1775</v>
      </c>
      <c r="D26" s="5" t="str">
        <f>MID(INDEX(Base!A$1:A$2500,Calcoli!A26),13,11)</f>
        <v xml:space="preserve"> 31_03_2025</v>
      </c>
      <c r="E26" s="4">
        <f t="shared" si="1"/>
        <v>718</v>
      </c>
      <c r="F26" s="3" t="str">
        <f>IFERROR(MID(INDEX(Base!L$1:L$2500,Calcoli!E26),47,LEN(INDEX(Base!L$1:L$2500,Calcoli!E26))-41),"")</f>
        <v>MAFFEI DEBORA</v>
      </c>
      <c r="G26" s="5" t="str">
        <f>MID(INDEX(Base!L$1:L$2500,Calcoli!$E26),42,4)</f>
        <v>1775</v>
      </c>
      <c r="H26" s="5" t="str">
        <f>MID(INDEX(Base!L$1:L$2500,Calcoli!E26),13,11)</f>
        <v xml:space="preserve"> 01_04_2025</v>
      </c>
      <c r="I26" s="6" t="str">
        <f xml:space="preserve"> IFERROR(MID(INDEX(Base!$V$3:$AB$60,MATCH($F26,Base!$Z$3:$Z$160,0),1),1,14),"")</f>
        <v>1775 MAFFEI DE</v>
      </c>
      <c r="J26" s="6">
        <f xml:space="preserve"> IFERROR(INDEX(Base!$V$3:$AB$160,MATCH($F26,Base!$Z$3:$Z$160,0),2),"")</f>
        <v>55.294117647058805</v>
      </c>
      <c r="K26" s="6">
        <f xml:space="preserve"> IFERROR(INDEX(Base!$V$3:$AB$160,MATCH($F26,Base!$Z$3:$Z$160,0),3),"")</f>
        <v>56.582198733572177</v>
      </c>
      <c r="L26" s="28">
        <f xml:space="preserve"> IFERROR(INDEX(Base!$V$3:$AB$160,MATCH($F26,Base!$Z$3:$Z$160,0),4),"")</f>
        <v>10.279126213592232</v>
      </c>
      <c r="M26">
        <f>IF(M$1&lt;&gt;"",INDEX(Base!$G$1:$G$2500,$A26+M$1+2),"")</f>
        <v>18.75</v>
      </c>
      <c r="N26">
        <f>IF(N$1&lt;&gt;"",INDEX(Base!$G$1:$G$2500,$A26+N$1+2),"")</f>
        <v>8.61</v>
      </c>
      <c r="O26">
        <f>IF(O$1&lt;&gt;"",INDEX(Base!$G$1:$G$2500,$A26+O$1+2),"")</f>
        <v>0.12</v>
      </c>
      <c r="P26">
        <f>IF(P$1&lt;&gt;"",INDEX(Base!$G$1:$G$2500,$A26+P$1+2),"")</f>
        <v>2.16</v>
      </c>
      <c r="Q26">
        <f>IF(Q$1&lt;&gt;"",INDEX(Base!$G$1:$G$2500,$A26+Q$1+2),"")</f>
        <v>0.1</v>
      </c>
      <c r="R26">
        <f>IF(R$1&lt;&gt;"",INDEX(Base!$G$1:$G$2500,$A26+R$1+2),"")</f>
        <v>1.9</v>
      </c>
      <c r="S26">
        <f>IF(S$1&lt;&gt;"",INDEX(Base!$G$1:$G$2500,$A26+S$1+2),"")</f>
        <v>7.0000000000000007E-2</v>
      </c>
      <c r="T26">
        <f>IF(T$1&lt;&gt;"",INDEX(Base!$G$1:$G$2500,$A26+T$1+2),"")</f>
        <v>29.76</v>
      </c>
      <c r="U26">
        <f>IF(U$1&lt;&gt;"",INDEX(Base!$G$1:$G$2500,$A26+U$1+2),"")</f>
        <v>2.89</v>
      </c>
      <c r="V26">
        <f>IF(V$1&lt;&gt;"",INDEX(Base!$G$1:$G$2500,$A26+V$1+2),"")</f>
        <v>0.1</v>
      </c>
      <c r="W26">
        <f>IF(W$1&lt;&gt;"",INDEX(Base!$G$1:$G$2500,$A26+W$1+2),"")</f>
        <v>2.2000000000000002</v>
      </c>
      <c r="X26">
        <f>IF(X$1&lt;&gt;"",INDEX(Base!$G$1:$G$2500,$A26+X$1+2),"")</f>
        <v>1.67</v>
      </c>
      <c r="Y26">
        <f>IF(Y$1&lt;&gt;"",INDEX(Base!$G$1:$G$2500,$A26+Y$1+2),"")</f>
        <v>154.52000000000001</v>
      </c>
      <c r="Z26">
        <f>IF(Z$1&lt;&gt;"",INDEX(Base!$G$1:$G$2500,$A26+Z$1+2),"")</f>
        <v>4.92</v>
      </c>
      <c r="AA26">
        <f>IF(AA$1&lt;&gt;"",INDEX(Base!$G$1:$G$2500,$A26+AA$1+2),"")</f>
        <v>2.06</v>
      </c>
      <c r="AB26">
        <f>IF(AB$1&lt;&gt;"",INDEX(Base!$G$1:$G$2500,$A26+AB$1+2),"")</f>
        <v>1.45</v>
      </c>
      <c r="AC26">
        <f>IF(AC$1&lt;&gt;"",INDEX(Base!$G$1:$G$2500,$A26+AC$1+2),"")</f>
        <v>1.77</v>
      </c>
      <c r="AD26">
        <f>IF(AD$1&lt;&gt;"",INDEX(Base!$G$1:$G$2500,$A26+AD$1+2),"")</f>
        <v>12.53</v>
      </c>
      <c r="AE26">
        <f>IF(AE$1&lt;&gt;"",INDEX(Base!$G$1:$G$2500,$A26+AE$1+2),"")</f>
        <v>0.14000000000000001</v>
      </c>
      <c r="AF26">
        <f>IF(AF$1&lt;&gt;"",INDEX(Base!$G$1:$G$2500,$A26+AF$1+2),"")</f>
        <v>7.2</v>
      </c>
      <c r="AG26">
        <f>IF(AG$1&lt;&gt;"",INDEX(Base!$G$1:$G$2500,$A26+AG$1+2),"")</f>
        <v>0.62</v>
      </c>
      <c r="AH26">
        <f>IF(AH$1&lt;&gt;"",INDEX(Base!$G$1:$G$2500,$A26+AH$1+2),"")</f>
        <v>3.72</v>
      </c>
      <c r="AI26">
        <f>IF(AI$1&lt;&gt;"",INDEX(Base!$G$1:$G$2500,$A26+AI$1+2),"")</f>
        <v>0.78</v>
      </c>
      <c r="AJ26">
        <f>IF(AJ$1&lt;&gt;"",INDEX(Base!$G$1:$G$2500,$A26+AJ$1+2),"")</f>
        <v>0.1</v>
      </c>
      <c r="AK26">
        <f>IF(AK$1&lt;&gt;"",INDEX(Base!$G$1:$G$2500,$A26+AK$1+2),"")</f>
        <v>5.42</v>
      </c>
      <c r="AL26">
        <f>IF(AL$1&lt;&gt;"",INDEX(Base!$G$1:$G$2500,$A26+AL$1+2),"")</f>
        <v>5.55</v>
      </c>
      <c r="AM26">
        <f>IF(AM$1&lt;&gt;"",INDEX(Base!$G$1:$G$2500,$A26+AM$1+2),"")</f>
        <v>0.1</v>
      </c>
      <c r="AN26">
        <f>IF(AN$1&lt;&gt;"",INDEX(Base!$G$1:$G$2500,$A26+AN$1+2),"")</f>
        <v>0.6</v>
      </c>
      <c r="AO26">
        <f>IF(AO$1&lt;&gt;"",INDEX(Base!$G$1:$G$2500,$A26+AO$1+2),"")</f>
        <v>1.37</v>
      </c>
      <c r="AP26">
        <f>IF(AP$1&lt;&gt;"",INDEX(Base!$G$1:$G$2500,$A26+AP$1+2),"")</f>
        <v>0.26</v>
      </c>
      <c r="AQ26">
        <f>IF(AQ$1&lt;&gt;"",INDEX(Base!$G$1:$G$2500,$A26+AQ$1+2),"")</f>
        <v>0.85</v>
      </c>
      <c r="AR26">
        <f>IF(AR$1&lt;&gt;"",INDEX(Base!$G$1:$G$2500,$A26+AR$1+2),"")</f>
        <v>0.22</v>
      </c>
      <c r="AS26">
        <f>IF(AS$1&lt;&gt;"",INDEX(Base!$G$1:$G$2500,$A26+AS$1+2),"")</f>
        <v>2.36</v>
      </c>
      <c r="AT26">
        <f>IF(AT$1&lt;&gt;"",INDEX(Base!$G$1:$G$2500,$A26+AT$1+2),"")</f>
        <v>0.4</v>
      </c>
      <c r="AU26">
        <f>IF(AU$1&lt;&gt;"",INDEX(Base!$G$1:$G$2500,$A26+AU$1+2),"")</f>
        <v>0.11</v>
      </c>
      <c r="AV26">
        <f>IF(AV$1&lt;&gt;"",INDEX(Base!$G$1:$G$2500,$A26+AV$1+2),"")</f>
        <v>0.2</v>
      </c>
      <c r="AW26" s="8">
        <f t="shared" si="0"/>
        <v>3.3931034482758622</v>
      </c>
      <c r="AX26">
        <f>IF(AX$1&lt;&gt;"",INDEX(Base!$R$1:$R$2500,$E26+AX$1+2),"")</f>
        <v>16.850000000000001</v>
      </c>
      <c r="AY26">
        <f>IF(AY$1&lt;&gt;"",INDEX(Base!$R$1:$R$2500,$E26+AY$1+2),"")</f>
        <v>427.99</v>
      </c>
      <c r="AZ26">
        <f>IF(AZ$1&lt;&gt;"",INDEX(Base!$R$1:$R$2500,$E26+AZ$1+2),"")</f>
        <v>0.34</v>
      </c>
      <c r="BA26">
        <f>IF(BA$1&lt;&gt;"",INDEX(Base!$R$1:$R$2500,$E26+BA$1+2),"")</f>
        <v>0.59</v>
      </c>
      <c r="BB26">
        <f>IF(BB$1&lt;&gt;"",INDEX(Base!$R$1:$R$2500,$E26+BB$1+2),"")</f>
        <v>34.29</v>
      </c>
      <c r="BC26">
        <f>IF(BC$1&lt;&gt;"",INDEX(Base!$R$1:$R$2500,$E26+BC$1+2),"")</f>
        <v>2.17</v>
      </c>
      <c r="BD26">
        <f>IF(BD$1&lt;&gt;"",INDEX(Base!$R$1:$R$2500,$E26+BD$1+2),"")</f>
        <v>3.96</v>
      </c>
      <c r="BE26">
        <f>IF(BE$1&lt;&gt;"",INDEX(Base!$R$1:$R$2500,$E26+BE$1+2),"")</f>
        <v>43.37</v>
      </c>
      <c r="BF26">
        <f>IF(BF$1&lt;&gt;"",INDEX(Base!$R$1:$R$2500,$E26+BF$1+2),"")</f>
        <v>0.18</v>
      </c>
      <c r="BG26">
        <f>IF(BG$1&lt;&gt;"",INDEX(Base!$R$1:$R$2500,$E26+BG$1+2),"")</f>
        <v>0.1</v>
      </c>
      <c r="BH26">
        <f>IF(BH$1&lt;&gt;"",INDEX(Base!$R$1:$R$2500,$E26+BH$1+2),"")</f>
        <v>0.26</v>
      </c>
      <c r="BI26">
        <f>IF(BI$1&lt;&gt;"",INDEX(Base!$R$1:$R$2500,$E26+BI$1+2),"")</f>
        <v>3.08</v>
      </c>
      <c r="BJ26">
        <f>IF(BJ$1&lt;&gt;"",INDEX(Base!$R$1:$R$2500,$E26+BJ$1+2),"")</f>
        <v>6.43</v>
      </c>
      <c r="BK26">
        <f>IF(BK$1&lt;&gt;"",INDEX(Base!$R$1:$R$2500,$E26+BK$1+2),"")</f>
        <v>17</v>
      </c>
      <c r="BL26">
        <f>IF(BL$1&lt;&gt;"",INDEX(Base!$R$1:$R$2500,$E26+BL$1+2),"")</f>
        <v>3.46</v>
      </c>
      <c r="BM26">
        <f>IF(BM$1&lt;&gt;"",INDEX(Base!$R$1:$R$2500,$E26+BM$1+2),"")</f>
        <v>2.08</v>
      </c>
      <c r="BN26">
        <f>IF(BN$1&lt;&gt;"",INDEX(Base!$R$1:$R$2500,$E26+BN$1+2),"")</f>
        <v>0.1</v>
      </c>
      <c r="BO26">
        <f>IF(BO$1&lt;&gt;"",INDEX(Base!$R$1:$R$2500,$E26+BO$1+2),"")</f>
        <v>0.17</v>
      </c>
      <c r="BP26">
        <f>IF(BP$1&lt;&gt;"",INDEX(Base!$R$1:$R$2500,$E26+BP$1+2),"")</f>
        <v>3.68</v>
      </c>
      <c r="BQ26">
        <f>IF(BQ$1&lt;&gt;"",INDEX(Base!$R$1:$R$2500,$E26+BQ$1+2),"")</f>
        <v>0.18</v>
      </c>
      <c r="BR26">
        <f>IF(BR$1&lt;&gt;"",INDEX(Base!$R$1:$R$2500,$E26+BR$1+2),"")</f>
        <v>0.13</v>
      </c>
      <c r="BS26">
        <f>IF(BS$1&lt;&gt;"",INDEX(Base!$R$1:$R$2500,$E26+BS$1+2),"")</f>
        <v>7.79</v>
      </c>
      <c r="BT26">
        <f>IF(BT$1&lt;&gt;"",INDEX(Base!$R$1:$R$2500,$E26+BT$1+2),"")</f>
        <v>1.91</v>
      </c>
    </row>
    <row r="27" spans="1:72" x14ac:dyDescent="0.3">
      <c r="A27" s="2">
        <f t="shared" si="3"/>
        <v>1061</v>
      </c>
      <c r="B27" s="3" t="str">
        <f>IFERROR(MID(INDEX(Base!A$1:A$2500,Calcoli!A27),47,LEN(INDEX(Base!A$1:A$2500,Calcoli!A27))-41),"")</f>
        <v>BARONI FABIANA</v>
      </c>
      <c r="C27" s="5" t="str">
        <f>MID(INDEX(Base!A$1:A$2500,Calcoli!$A27),42,4)</f>
        <v>1776</v>
      </c>
      <c r="D27" s="5" t="str">
        <f>MID(INDEX(Base!A$1:A$2500,Calcoli!A27),13,11)</f>
        <v xml:space="preserve"> 31_03_2025</v>
      </c>
      <c r="E27" s="4">
        <f t="shared" si="1"/>
        <v>749</v>
      </c>
      <c r="F27" s="3" t="str">
        <f>IFERROR(MID(INDEX(Base!L$1:L$2500,Calcoli!E27),47,LEN(INDEX(Base!L$1:L$2500,Calcoli!E27))-41),"")</f>
        <v>BARONI FABIANA</v>
      </c>
      <c r="G27" s="5" t="str">
        <f>MID(INDEX(Base!L$1:L$2500,Calcoli!$E27),42,4)</f>
        <v>1776</v>
      </c>
      <c r="H27" s="5" t="str">
        <f>MID(INDEX(Base!L$1:L$2500,Calcoli!E27),13,11)</f>
        <v xml:space="preserve"> 01_04_2025</v>
      </c>
      <c r="I27" s="6" t="str">
        <f xml:space="preserve"> IFERROR(MID(INDEX(Base!$V$3:$AB$60,MATCH($F27,Base!$Z$3:$Z$160,0),1),1,14),"")</f>
        <v>1776 BARONI FA</v>
      </c>
      <c r="J27" s="6">
        <f xml:space="preserve"> IFERROR(INDEX(Base!$V$3:$AB$160,MATCH($F27,Base!$Z$3:$Z$160,0),2),"")</f>
        <v>62.352941176470573</v>
      </c>
      <c r="K27" s="6">
        <f xml:space="preserve"> IFERROR(INDEX(Base!$V$3:$AB$160,MATCH($F27,Base!$Z$3:$Z$160,0),3),"")</f>
        <v>53.172288700064861</v>
      </c>
      <c r="L27" s="28">
        <f xml:space="preserve"> IFERROR(INDEX(Base!$V$3:$AB$160,MATCH($F27,Base!$Z$3:$Z$160,0),4),"")</f>
        <v>33.216019417475735</v>
      </c>
      <c r="M27">
        <f>IF(M$1&lt;&gt;"",INDEX(Base!$G$1:$G$2500,$A27+M$1+2),"")</f>
        <v>10.26</v>
      </c>
      <c r="N27">
        <f>IF(N$1&lt;&gt;"",INDEX(Base!$G$1:$G$2500,$A27+N$1+2),"")</f>
        <v>6.81</v>
      </c>
      <c r="O27">
        <f>IF(O$1&lt;&gt;"",INDEX(Base!$G$1:$G$2500,$A27+O$1+2),"")</f>
        <v>0.5</v>
      </c>
      <c r="P27">
        <f>IF(P$1&lt;&gt;"",INDEX(Base!$G$1:$G$2500,$A27+P$1+2),"")</f>
        <v>1.03</v>
      </c>
      <c r="Q27">
        <f>IF(Q$1&lt;&gt;"",INDEX(Base!$G$1:$G$2500,$A27+Q$1+2),"")</f>
        <v>0.19</v>
      </c>
      <c r="R27">
        <f>IF(R$1&lt;&gt;"",INDEX(Base!$G$1:$G$2500,$A27+R$1+2),"")</f>
        <v>1.32</v>
      </c>
      <c r="S27">
        <f>IF(S$1&lt;&gt;"",INDEX(Base!$G$1:$G$2500,$A27+S$1+2),"")</f>
        <v>0.09</v>
      </c>
      <c r="T27">
        <f>IF(T$1&lt;&gt;"",INDEX(Base!$G$1:$G$2500,$A27+T$1+2),"")</f>
        <v>28.82</v>
      </c>
      <c r="U27">
        <f>IF(U$1&lt;&gt;"",INDEX(Base!$G$1:$G$2500,$A27+U$1+2),"")</f>
        <v>1.05</v>
      </c>
      <c r="V27">
        <f>IF(V$1&lt;&gt;"",INDEX(Base!$G$1:$G$2500,$A27+V$1+2),"")</f>
        <v>0.16</v>
      </c>
      <c r="W27">
        <f>IF(W$1&lt;&gt;"",INDEX(Base!$G$1:$G$2500,$A27+W$1+2),"")</f>
        <v>1.32</v>
      </c>
      <c r="X27">
        <f>IF(X$1&lt;&gt;"",INDEX(Base!$G$1:$G$2500,$A27+X$1+2),"")</f>
        <v>1.67</v>
      </c>
      <c r="Y27">
        <f>IF(Y$1&lt;&gt;"",INDEX(Base!$G$1:$G$2500,$A27+Y$1+2),"")</f>
        <v>189.32</v>
      </c>
      <c r="Z27">
        <f>IF(Z$1&lt;&gt;"",INDEX(Base!$G$1:$G$2500,$A27+Z$1+2),"")</f>
        <v>1.63</v>
      </c>
      <c r="AA27">
        <f>IF(AA$1&lt;&gt;"",INDEX(Base!$G$1:$G$2500,$A27+AA$1+2),"")</f>
        <v>1.35</v>
      </c>
      <c r="AB27">
        <f>IF(AB$1&lt;&gt;"",INDEX(Base!$G$1:$G$2500,$A27+AB$1+2),"")</f>
        <v>1.1200000000000001</v>
      </c>
      <c r="AC27">
        <f>IF(AC$1&lt;&gt;"",INDEX(Base!$G$1:$G$2500,$A27+AC$1+2),"")</f>
        <v>2.39</v>
      </c>
      <c r="AD27">
        <f>IF(AD$1&lt;&gt;"",INDEX(Base!$G$1:$G$2500,$A27+AD$1+2),"")</f>
        <v>14.46</v>
      </c>
      <c r="AE27">
        <f>IF(AE$1&lt;&gt;"",INDEX(Base!$G$1:$G$2500,$A27+AE$1+2),"")</f>
        <v>0.15</v>
      </c>
      <c r="AF27">
        <f>IF(AF$1&lt;&gt;"",INDEX(Base!$G$1:$G$2500,$A27+AF$1+2),"")</f>
        <v>0.95</v>
      </c>
      <c r="AG27">
        <f>IF(AG$1&lt;&gt;"",INDEX(Base!$G$1:$G$2500,$A27+AG$1+2),"")</f>
        <v>0.28999999999999998</v>
      </c>
      <c r="AH27">
        <f>IF(AH$1&lt;&gt;"",INDEX(Base!$G$1:$G$2500,$A27+AH$1+2),"")</f>
        <v>3.28</v>
      </c>
      <c r="AI27">
        <f>IF(AI$1&lt;&gt;"",INDEX(Base!$G$1:$G$2500,$A27+AI$1+2),"")</f>
        <v>0.73</v>
      </c>
      <c r="AJ27">
        <f>IF(AJ$1&lt;&gt;"",INDEX(Base!$G$1:$G$2500,$A27+AJ$1+2),"")</f>
        <v>0.11</v>
      </c>
      <c r="AK27">
        <f>IF(AK$1&lt;&gt;"",INDEX(Base!$G$1:$G$2500,$A27+AK$1+2),"")</f>
        <v>4.82</v>
      </c>
      <c r="AL27">
        <f>IF(AL$1&lt;&gt;"",INDEX(Base!$G$1:$G$2500,$A27+AL$1+2),"")</f>
        <v>2.15</v>
      </c>
      <c r="AM27">
        <f>IF(AM$1&lt;&gt;"",INDEX(Base!$G$1:$G$2500,$A27+AM$1+2),"")</f>
        <v>0.1</v>
      </c>
      <c r="AN27">
        <f>IF(AN$1&lt;&gt;"",INDEX(Base!$G$1:$G$2500,$A27+AN$1+2),"")</f>
        <v>0.72</v>
      </c>
      <c r="AO27">
        <f>IF(AO$1&lt;&gt;"",INDEX(Base!$G$1:$G$2500,$A27+AO$1+2),"")</f>
        <v>1.1599999999999999</v>
      </c>
      <c r="AP27">
        <f>IF(AP$1&lt;&gt;"",INDEX(Base!$G$1:$G$2500,$A27+AP$1+2),"")</f>
        <v>7.0000000000000007E-2</v>
      </c>
      <c r="AQ27">
        <f>IF(AQ$1&lt;&gt;"",INDEX(Base!$G$1:$G$2500,$A27+AQ$1+2),"")</f>
        <v>0.12</v>
      </c>
      <c r="AR27">
        <f>IF(AR$1&lt;&gt;"",INDEX(Base!$G$1:$G$2500,$A27+AR$1+2),"")</f>
        <v>0.08</v>
      </c>
      <c r="AS27">
        <f>IF(AS$1&lt;&gt;"",INDEX(Base!$G$1:$G$2500,$A27+AS$1+2),"")</f>
        <v>1.1599999999999999</v>
      </c>
      <c r="AT27">
        <f>IF(AT$1&lt;&gt;"",INDEX(Base!$G$1:$G$2500,$A27+AT$1+2),"")</f>
        <v>0.18</v>
      </c>
      <c r="AU27">
        <f>IF(AU$1&lt;&gt;"",INDEX(Base!$G$1:$G$2500,$A27+AU$1+2),"")</f>
        <v>0.1</v>
      </c>
      <c r="AV27">
        <f>IF(AV$1&lt;&gt;"",INDEX(Base!$G$1:$G$2500,$A27+AV$1+2),"")</f>
        <v>0.79</v>
      </c>
      <c r="AW27" s="8">
        <f t="shared" si="0"/>
        <v>1.4553571428571426</v>
      </c>
      <c r="AX27">
        <f>IF(AX$1&lt;&gt;"",INDEX(Base!$R$1:$R$2500,$E27+AX$1+2),"")</f>
        <v>14.9</v>
      </c>
      <c r="AY27">
        <f>IF(AY$1&lt;&gt;"",INDEX(Base!$R$1:$R$2500,$E27+AY$1+2),"")</f>
        <v>540.37</v>
      </c>
      <c r="AZ27">
        <f>IF(AZ$1&lt;&gt;"",INDEX(Base!$R$1:$R$2500,$E27+AZ$1+2),"")</f>
        <v>0.22</v>
      </c>
      <c r="BA27">
        <f>IF(BA$1&lt;&gt;"",INDEX(Base!$R$1:$R$2500,$E27+BA$1+2),"")</f>
        <v>0.9</v>
      </c>
      <c r="BB27">
        <f>IF(BB$1&lt;&gt;"",INDEX(Base!$R$1:$R$2500,$E27+BB$1+2),"")</f>
        <v>29.78</v>
      </c>
      <c r="BC27">
        <f>IF(BC$1&lt;&gt;"",INDEX(Base!$R$1:$R$2500,$E27+BC$1+2),"")</f>
        <v>1.82</v>
      </c>
      <c r="BD27">
        <f>IF(BD$1&lt;&gt;"",INDEX(Base!$R$1:$R$2500,$E27+BD$1+2),"")</f>
        <v>2.86</v>
      </c>
      <c r="BE27">
        <f>IF(BE$1&lt;&gt;"",INDEX(Base!$R$1:$R$2500,$E27+BE$1+2),"")</f>
        <v>32.99</v>
      </c>
      <c r="BF27">
        <f>IF(BF$1&lt;&gt;"",INDEX(Base!$R$1:$R$2500,$E27+BF$1+2),"")</f>
        <v>0.08</v>
      </c>
      <c r="BG27">
        <f>IF(BG$1&lt;&gt;"",INDEX(Base!$R$1:$R$2500,$E27+BG$1+2),"")</f>
        <v>0.1</v>
      </c>
      <c r="BH27">
        <f>IF(BH$1&lt;&gt;"",INDEX(Base!$R$1:$R$2500,$E27+BH$1+2),"")</f>
        <v>0.2</v>
      </c>
      <c r="BI27">
        <f>IF(BI$1&lt;&gt;"",INDEX(Base!$R$1:$R$2500,$E27+BI$1+2),"")</f>
        <v>7.56</v>
      </c>
      <c r="BJ27">
        <f>IF(BJ$1&lt;&gt;"",INDEX(Base!$R$1:$R$2500,$E27+BJ$1+2),"")</f>
        <v>15.52</v>
      </c>
      <c r="BK27">
        <f>IF(BK$1&lt;&gt;"",INDEX(Base!$R$1:$R$2500,$E27+BK$1+2),"")</f>
        <v>12.94</v>
      </c>
      <c r="BL27">
        <f>IF(BL$1&lt;&gt;"",INDEX(Base!$R$1:$R$2500,$E27+BL$1+2),"")</f>
        <v>3.13</v>
      </c>
      <c r="BM27">
        <f>IF(BM$1&lt;&gt;"",INDEX(Base!$R$1:$R$2500,$E27+BM$1+2),"")</f>
        <v>0.45</v>
      </c>
      <c r="BN27">
        <f>IF(BN$1&lt;&gt;"",INDEX(Base!$R$1:$R$2500,$E27+BN$1+2),"")</f>
        <v>0.1</v>
      </c>
      <c r="BO27">
        <f>IF(BO$1&lt;&gt;"",INDEX(Base!$R$1:$R$2500,$E27+BO$1+2),"")</f>
        <v>0.11</v>
      </c>
      <c r="BP27">
        <f>IF(BP$1&lt;&gt;"",INDEX(Base!$R$1:$R$2500,$E27+BP$1+2),"")</f>
        <v>2.38</v>
      </c>
      <c r="BQ27">
        <f>IF(BQ$1&lt;&gt;"",INDEX(Base!$R$1:$R$2500,$E27+BQ$1+2),"")</f>
        <v>0.18</v>
      </c>
      <c r="BR27">
        <f>IF(BR$1&lt;&gt;"",INDEX(Base!$R$1:$R$2500,$E27+BR$1+2),"")</f>
        <v>0.08</v>
      </c>
      <c r="BS27">
        <f>IF(BS$1&lt;&gt;"",INDEX(Base!$R$1:$R$2500,$E27+BS$1+2),"")</f>
        <v>5.04</v>
      </c>
      <c r="BT27">
        <f>IF(BT$1&lt;&gt;"",INDEX(Base!$R$1:$R$2500,$E27+BT$1+2),"")</f>
        <v>1.52</v>
      </c>
    </row>
    <row r="28" spans="1:72" x14ac:dyDescent="0.3">
      <c r="A28" s="2">
        <f t="shared" si="3"/>
        <v>1105</v>
      </c>
      <c r="B28" s="3" t="str">
        <f>IFERROR(MID(INDEX(Base!A$1:A$2500,Calcoli!A28),47,LEN(INDEX(Base!A$1:A$2500,Calcoli!A28))-41),"")</f>
        <v>GIBELLI VALENTINA</v>
      </c>
      <c r="C28" s="5" t="str">
        <f>MID(INDEX(Base!A$1:A$2500,Calcoli!$A28),42,4)</f>
        <v>1780</v>
      </c>
      <c r="D28" s="5" t="str">
        <f>MID(INDEX(Base!A$1:A$2500,Calcoli!A28),13,11)</f>
        <v xml:space="preserve"> 31_03_2025</v>
      </c>
      <c r="E28" s="4">
        <f t="shared" si="1"/>
        <v>780</v>
      </c>
      <c r="F28" s="3" t="str">
        <f>IFERROR(MID(INDEX(Base!L$1:L$2500,Calcoli!E28),47,LEN(INDEX(Base!L$1:L$2500,Calcoli!E28))-41),"")</f>
        <v>GIBELLI VALENTINA</v>
      </c>
      <c r="G28" s="5" t="str">
        <f>MID(INDEX(Base!L$1:L$2500,Calcoli!$E28),42,4)</f>
        <v>1780</v>
      </c>
      <c r="H28" s="5" t="str">
        <f>MID(INDEX(Base!L$1:L$2500,Calcoli!E28),13,11)</f>
        <v xml:space="preserve"> 01_04_2025</v>
      </c>
      <c r="I28" s="6" t="str">
        <f xml:space="preserve"> IFERROR(MID(INDEX(Base!$V$3:$AB$60,MATCH($F28,Base!$Z$3:$Z$160,0),1),1,14),"")</f>
        <v>1780 GIBELLI V</v>
      </c>
      <c r="J28" s="6">
        <f xml:space="preserve"> IFERROR(INDEX(Base!$V$3:$AB$160,MATCH($F28,Base!$Z$3:$Z$160,0),2),"")</f>
        <v>63.529411764705884</v>
      </c>
      <c r="K28" s="6">
        <f xml:space="preserve"> IFERROR(INDEX(Base!$V$3:$AB$160,MATCH($F28,Base!$Z$3:$Z$160,0),3),"")</f>
        <v>31.606584754159567</v>
      </c>
      <c r="L28" s="28">
        <f xml:space="preserve"> IFERROR(INDEX(Base!$V$3:$AB$160,MATCH($F28,Base!$Z$3:$Z$160,0),4),"")</f>
        <v>19.496359223300971</v>
      </c>
      <c r="M28">
        <f>IF(M$1&lt;&gt;"",INDEX(Base!$G$1:$G$2500,$A28+M$1+2),"")</f>
        <v>14.95</v>
      </c>
      <c r="N28">
        <f>IF(N$1&lt;&gt;"",INDEX(Base!$G$1:$G$2500,$A28+N$1+2),"")</f>
        <v>7.7</v>
      </c>
      <c r="O28">
        <f>IF(O$1&lt;&gt;"",INDEX(Base!$G$1:$G$2500,$A28+O$1+2),"")</f>
        <v>0.1</v>
      </c>
      <c r="P28">
        <f>IF(P$1&lt;&gt;"",INDEX(Base!$G$1:$G$2500,$A28+P$1+2),"")</f>
        <v>1.98</v>
      </c>
      <c r="Q28">
        <f>IF(Q$1&lt;&gt;"",INDEX(Base!$G$1:$G$2500,$A28+Q$1+2),"")</f>
        <v>0.1</v>
      </c>
      <c r="R28">
        <f>IF(R$1&lt;&gt;"",INDEX(Base!$G$1:$G$2500,$A28+R$1+2),"")</f>
        <v>2.46</v>
      </c>
      <c r="S28">
        <f>IF(S$1&lt;&gt;"",INDEX(Base!$G$1:$G$2500,$A28+S$1+2),"")</f>
        <v>0.37</v>
      </c>
      <c r="T28">
        <f>IF(T$1&lt;&gt;"",INDEX(Base!$G$1:$G$2500,$A28+T$1+2),"")</f>
        <v>40.090000000000003</v>
      </c>
      <c r="U28">
        <f>IF(U$1&lt;&gt;"",INDEX(Base!$G$1:$G$2500,$A28+U$1+2),"")</f>
        <v>2.2200000000000002</v>
      </c>
      <c r="V28">
        <f>IF(V$1&lt;&gt;"",INDEX(Base!$G$1:$G$2500,$A28+V$1+2),"")</f>
        <v>0.09</v>
      </c>
      <c r="W28">
        <f>IF(W$1&lt;&gt;"",INDEX(Base!$G$1:$G$2500,$A28+W$1+2),"")</f>
        <v>2.79</v>
      </c>
      <c r="X28">
        <f>IF(X$1&lt;&gt;"",INDEX(Base!$G$1:$G$2500,$A28+X$1+2),"")</f>
        <v>2.08</v>
      </c>
      <c r="Y28">
        <f>IF(Y$1&lt;&gt;"",INDEX(Base!$G$1:$G$2500,$A28+Y$1+2),"")</f>
        <v>40.68</v>
      </c>
      <c r="Z28">
        <f>IF(Z$1&lt;&gt;"",INDEX(Base!$G$1:$G$2500,$A28+Z$1+2),"")</f>
        <v>2.17</v>
      </c>
      <c r="AA28">
        <f>IF(AA$1&lt;&gt;"",INDEX(Base!$G$1:$G$2500,$A28+AA$1+2),"")</f>
        <v>1.69</v>
      </c>
      <c r="AB28">
        <f>IF(AB$1&lt;&gt;"",INDEX(Base!$G$1:$G$2500,$A28+AB$1+2),"")</f>
        <v>1.5</v>
      </c>
      <c r="AC28">
        <f>IF(AC$1&lt;&gt;"",INDEX(Base!$G$1:$G$2500,$A28+AC$1+2),"")</f>
        <v>5.25</v>
      </c>
      <c r="AD28">
        <f>IF(AD$1&lt;&gt;"",INDEX(Base!$G$1:$G$2500,$A28+AD$1+2),"")</f>
        <v>14.08</v>
      </c>
      <c r="AE28">
        <f>IF(AE$1&lt;&gt;"",INDEX(Base!$G$1:$G$2500,$A28+AE$1+2),"")</f>
        <v>0.14000000000000001</v>
      </c>
      <c r="AF28">
        <f>IF(AF$1&lt;&gt;"",INDEX(Base!$G$1:$G$2500,$A28+AF$1+2),"")</f>
        <v>3.28</v>
      </c>
      <c r="AG28">
        <f>IF(AG$1&lt;&gt;"",INDEX(Base!$G$1:$G$2500,$A28+AG$1+2),"")</f>
        <v>0.59</v>
      </c>
      <c r="AH28">
        <f>IF(AH$1&lt;&gt;"",INDEX(Base!$G$1:$G$2500,$A28+AH$1+2),"")</f>
        <v>3.89</v>
      </c>
      <c r="AI28">
        <f>IF(AI$1&lt;&gt;"",INDEX(Base!$G$1:$G$2500,$A28+AI$1+2),"")</f>
        <v>1.87</v>
      </c>
      <c r="AJ28">
        <f>IF(AJ$1&lt;&gt;"",INDEX(Base!$G$1:$G$2500,$A28+AJ$1+2),"")</f>
        <v>0.1</v>
      </c>
      <c r="AK28">
        <f>IF(AK$1&lt;&gt;"",INDEX(Base!$G$1:$G$2500,$A28+AK$1+2),"")</f>
        <v>5.05</v>
      </c>
      <c r="AL28">
        <f>IF(AL$1&lt;&gt;"",INDEX(Base!$G$1:$G$2500,$A28+AL$1+2),"")</f>
        <v>4.2699999999999996</v>
      </c>
      <c r="AM28">
        <f>IF(AM$1&lt;&gt;"",INDEX(Base!$G$1:$G$2500,$A28+AM$1+2),"")</f>
        <v>0.11</v>
      </c>
      <c r="AN28">
        <f>IF(AN$1&lt;&gt;"",INDEX(Base!$G$1:$G$2500,$A28+AN$1+2),"")</f>
        <v>0.81</v>
      </c>
      <c r="AO28">
        <f>IF(AO$1&lt;&gt;"",INDEX(Base!$G$1:$G$2500,$A28+AO$1+2),"")</f>
        <v>1.49</v>
      </c>
      <c r="AP28">
        <f>IF(AP$1&lt;&gt;"",INDEX(Base!$G$1:$G$2500,$A28+AP$1+2),"")</f>
        <v>0.14000000000000001</v>
      </c>
      <c r="AQ28">
        <f>IF(AQ$1&lt;&gt;"",INDEX(Base!$G$1:$G$2500,$A28+AQ$1+2),"")</f>
        <v>7.86</v>
      </c>
      <c r="AR28">
        <f>IF(AR$1&lt;&gt;"",INDEX(Base!$G$1:$G$2500,$A28+AR$1+2),"")</f>
        <v>0.37</v>
      </c>
      <c r="AS28">
        <f>IF(AS$1&lt;&gt;"",INDEX(Base!$G$1:$G$2500,$A28+AS$1+2),"")</f>
        <v>1.36</v>
      </c>
      <c r="AT28">
        <f>IF(AT$1&lt;&gt;"",INDEX(Base!$G$1:$G$2500,$A28+AT$1+2),"")</f>
        <v>0.36</v>
      </c>
      <c r="AU28">
        <f>IF(AU$1&lt;&gt;"",INDEX(Base!$G$1:$G$2500,$A28+AU$1+2),"")</f>
        <v>0.05</v>
      </c>
      <c r="AV28">
        <f>IF(AV$1&lt;&gt;"",INDEX(Base!$G$1:$G$2500,$A28+AV$1+2),"")</f>
        <v>0.53</v>
      </c>
      <c r="AW28" s="8">
        <f t="shared" si="0"/>
        <v>1.4466666666666665</v>
      </c>
      <c r="AX28">
        <f>IF(AX$1&lt;&gt;"",INDEX(Base!$R$1:$R$2500,$E28+AX$1+2),"")</f>
        <v>14.88</v>
      </c>
      <c r="AY28">
        <f>IF(AY$1&lt;&gt;"",INDEX(Base!$R$1:$R$2500,$E28+AY$1+2),"")</f>
        <v>269.70999999999998</v>
      </c>
      <c r="AZ28">
        <f>IF(AZ$1&lt;&gt;"",INDEX(Base!$R$1:$R$2500,$E28+AZ$1+2),"")</f>
        <v>0.28000000000000003</v>
      </c>
      <c r="BA28">
        <f>IF(BA$1&lt;&gt;"",INDEX(Base!$R$1:$R$2500,$E28+BA$1+2),"")</f>
        <v>0.6</v>
      </c>
      <c r="BB28">
        <f>IF(BB$1&lt;&gt;"",INDEX(Base!$R$1:$R$2500,$E28+BB$1+2),"")</f>
        <v>37.99</v>
      </c>
      <c r="BC28">
        <f>IF(BC$1&lt;&gt;"",INDEX(Base!$R$1:$R$2500,$E28+BC$1+2),"")</f>
        <v>1.62</v>
      </c>
      <c r="BD28">
        <f>IF(BD$1&lt;&gt;"",INDEX(Base!$R$1:$R$2500,$E28+BD$1+2),"")</f>
        <v>2.61</v>
      </c>
      <c r="BE28">
        <f>IF(BE$1&lt;&gt;"",INDEX(Base!$R$1:$R$2500,$E28+BE$1+2),"")</f>
        <v>32.409999999999997</v>
      </c>
      <c r="BF28">
        <f>IF(BF$1&lt;&gt;"",INDEX(Base!$R$1:$R$2500,$E28+BF$1+2),"")</f>
        <v>0.18</v>
      </c>
      <c r="BG28">
        <f>IF(BG$1&lt;&gt;"",INDEX(Base!$R$1:$R$2500,$E28+BG$1+2),"")</f>
        <v>0.47</v>
      </c>
      <c r="BH28">
        <f>IF(BH$1&lt;&gt;"",INDEX(Base!$R$1:$R$2500,$E28+BH$1+2),"")</f>
        <v>0.27</v>
      </c>
      <c r="BI28">
        <f>IF(BI$1&lt;&gt;"",INDEX(Base!$R$1:$R$2500,$E28+BI$1+2),"")</f>
        <v>13.7</v>
      </c>
      <c r="BJ28">
        <f>IF(BJ$1&lt;&gt;"",INDEX(Base!$R$1:$R$2500,$E28+BJ$1+2),"")</f>
        <v>16.54</v>
      </c>
      <c r="BK28">
        <f>IF(BK$1&lt;&gt;"",INDEX(Base!$R$1:$R$2500,$E28+BK$1+2),"")</f>
        <v>22.9</v>
      </c>
      <c r="BL28">
        <f>IF(BL$1&lt;&gt;"",INDEX(Base!$R$1:$R$2500,$E28+BL$1+2),"")</f>
        <v>2.4</v>
      </c>
      <c r="BM28">
        <f>IF(BM$1&lt;&gt;"",INDEX(Base!$R$1:$R$2500,$E28+BM$1+2),"")</f>
        <v>0.56000000000000005</v>
      </c>
      <c r="BN28">
        <f>IF(BN$1&lt;&gt;"",INDEX(Base!$R$1:$R$2500,$E28+BN$1+2),"")</f>
        <v>0.12</v>
      </c>
      <c r="BO28">
        <f>IF(BO$1&lt;&gt;"",INDEX(Base!$R$1:$R$2500,$E28+BO$1+2),"")</f>
        <v>0.21</v>
      </c>
      <c r="BP28">
        <f>IF(BP$1&lt;&gt;"",INDEX(Base!$R$1:$R$2500,$E28+BP$1+2),"")</f>
        <v>5.19</v>
      </c>
      <c r="BQ28">
        <f>IF(BQ$1&lt;&gt;"",INDEX(Base!$R$1:$R$2500,$E28+BQ$1+2),"")</f>
        <v>0.06</v>
      </c>
      <c r="BR28">
        <f>IF(BR$1&lt;&gt;"",INDEX(Base!$R$1:$R$2500,$E28+BR$1+2),"")</f>
        <v>0.05</v>
      </c>
      <c r="BS28">
        <f>IF(BS$1&lt;&gt;"",INDEX(Base!$R$1:$R$2500,$E28+BS$1+2),"")</f>
        <v>2.74</v>
      </c>
      <c r="BT28">
        <f>IF(BT$1&lt;&gt;"",INDEX(Base!$R$1:$R$2500,$E28+BT$1+2),"")</f>
        <v>2.7</v>
      </c>
    </row>
    <row r="29" spans="1:72" x14ac:dyDescent="0.3">
      <c r="A29" s="2">
        <f t="shared" si="3"/>
        <v>1149</v>
      </c>
      <c r="B29" s="3" t="str">
        <f>IFERROR(MID(INDEX(Base!A$1:A$2500,Calcoli!A29),47,LEN(INDEX(Base!A$1:A$2500,Calcoli!A29))-41),"")</f>
        <v>BELA DANIELE</v>
      </c>
      <c r="C29" s="5" t="str">
        <f>MID(INDEX(Base!A$1:A$2500,Calcoli!$A29),42,4)</f>
        <v>1781</v>
      </c>
      <c r="D29" s="5" t="str">
        <f>MID(INDEX(Base!A$1:A$2500,Calcoli!A29),13,11)</f>
        <v xml:space="preserve"> 31_03_2025</v>
      </c>
      <c r="E29" s="4">
        <f t="shared" si="1"/>
        <v>811</v>
      </c>
      <c r="F29" s="3" t="str">
        <f>IFERROR(MID(INDEX(Base!L$1:L$2500,Calcoli!E29),47,LEN(INDEX(Base!L$1:L$2500,Calcoli!E29))-41),"")</f>
        <v>BELA DANIELE</v>
      </c>
      <c r="G29" s="5" t="str">
        <f>MID(INDEX(Base!L$1:L$2500,Calcoli!$E29),42,4)</f>
        <v>1781</v>
      </c>
      <c r="H29" s="5" t="str">
        <f>MID(INDEX(Base!L$1:L$2500,Calcoli!E29),13,11)</f>
        <v xml:space="preserve"> 01_04_2025</v>
      </c>
      <c r="I29" s="6" t="str">
        <f xml:space="preserve"> IFERROR(MID(INDEX(Base!$V$3:$AB$60,MATCH($F29,Base!$Z$3:$Z$160,0),1),1,14),"")</f>
        <v>1781 BELA DANI</v>
      </c>
      <c r="J29" s="6">
        <f xml:space="preserve"> IFERROR(INDEX(Base!$V$3:$AB$160,MATCH($F29,Base!$Z$3:$Z$160,0),2),"")</f>
        <v>139.41176470588229</v>
      </c>
      <c r="K29" s="6">
        <f xml:space="preserve"> IFERROR(INDEX(Base!$V$3:$AB$160,MATCH($F29,Base!$Z$3:$Z$160,0),3),"")</f>
        <v>18.422442688618183</v>
      </c>
      <c r="L29" s="28">
        <f xml:space="preserve"> IFERROR(INDEX(Base!$V$3:$AB$160,MATCH($F29,Base!$Z$3:$Z$160,0),4),"")</f>
        <v>12.063106796116505</v>
      </c>
      <c r="M29">
        <f>IF(M$1&lt;&gt;"",INDEX(Base!$G$1:$G$2500,$A29+M$1+2),"")</f>
        <v>31.06</v>
      </c>
      <c r="N29">
        <f>IF(N$1&lt;&gt;"",INDEX(Base!$G$1:$G$2500,$A29+N$1+2),"")</f>
        <v>2.61</v>
      </c>
      <c r="O29">
        <f>IF(O$1&lt;&gt;"",INDEX(Base!$G$1:$G$2500,$A29+O$1+2),"")</f>
        <v>0.06</v>
      </c>
      <c r="P29">
        <f>IF(P$1&lt;&gt;"",INDEX(Base!$G$1:$G$2500,$A29+P$1+2),"")</f>
        <v>0.65</v>
      </c>
      <c r="Q29">
        <f>IF(Q$1&lt;&gt;"",INDEX(Base!$G$1:$G$2500,$A29+Q$1+2),"")</f>
        <v>0.1</v>
      </c>
      <c r="R29">
        <f>IF(R$1&lt;&gt;"",INDEX(Base!$G$1:$G$2500,$A29+R$1+2),"")</f>
        <v>4.1399999999999997</v>
      </c>
      <c r="S29">
        <f>IF(S$1&lt;&gt;"",INDEX(Base!$G$1:$G$2500,$A29+S$1+2),"")</f>
        <v>0.1</v>
      </c>
      <c r="T29">
        <f>IF(T$1&lt;&gt;"",INDEX(Base!$G$1:$G$2500,$A29+T$1+2),"")</f>
        <v>24.38</v>
      </c>
      <c r="U29">
        <f>IF(U$1&lt;&gt;"",INDEX(Base!$G$1:$G$2500,$A29+U$1+2),"")</f>
        <v>0.83</v>
      </c>
      <c r="V29">
        <f>IF(V$1&lt;&gt;"",INDEX(Base!$G$1:$G$2500,$A29+V$1+2),"")</f>
        <v>0.05</v>
      </c>
      <c r="W29">
        <f>IF(W$1&lt;&gt;"",INDEX(Base!$G$1:$G$2500,$A29+W$1+2),"")</f>
        <v>1.65</v>
      </c>
      <c r="X29">
        <f>IF(X$1&lt;&gt;"",INDEX(Base!$G$1:$G$2500,$A29+X$1+2),"")</f>
        <v>0.97</v>
      </c>
      <c r="Y29">
        <f>IF(Y$1&lt;&gt;"",INDEX(Base!$G$1:$G$2500,$A29+Y$1+2),"")</f>
        <v>137.09</v>
      </c>
      <c r="Z29">
        <f>IF(Z$1&lt;&gt;"",INDEX(Base!$G$1:$G$2500,$A29+Z$1+2),"")</f>
        <v>1.02</v>
      </c>
      <c r="AA29">
        <f>IF(AA$1&lt;&gt;"",INDEX(Base!$G$1:$G$2500,$A29+AA$1+2),"")</f>
        <v>0.99</v>
      </c>
      <c r="AB29">
        <f>IF(AB$1&lt;&gt;"",INDEX(Base!$G$1:$G$2500,$A29+AB$1+2),"")</f>
        <v>0.82</v>
      </c>
      <c r="AC29">
        <f>IF(AC$1&lt;&gt;"",INDEX(Base!$G$1:$G$2500,$A29+AC$1+2),"")</f>
        <v>0.87</v>
      </c>
      <c r="AD29">
        <f>IF(AD$1&lt;&gt;"",INDEX(Base!$G$1:$G$2500,$A29+AD$1+2),"")</f>
        <v>11.74</v>
      </c>
      <c r="AE29">
        <f>IF(AE$1&lt;&gt;"",INDEX(Base!$G$1:$G$2500,$A29+AE$1+2),"")</f>
        <v>0.35</v>
      </c>
      <c r="AF29">
        <f>IF(AF$1&lt;&gt;"",INDEX(Base!$G$1:$G$2500,$A29+AF$1+2),"")</f>
        <v>1.06</v>
      </c>
      <c r="AG29">
        <f>IF(AG$1&lt;&gt;"",INDEX(Base!$G$1:$G$2500,$A29+AG$1+2),"")</f>
        <v>0.72</v>
      </c>
      <c r="AH29">
        <f>IF(AH$1&lt;&gt;"",INDEX(Base!$G$1:$G$2500,$A29+AH$1+2),"")</f>
        <v>1.98</v>
      </c>
      <c r="AI29">
        <f>IF(AI$1&lt;&gt;"",INDEX(Base!$G$1:$G$2500,$A29+AI$1+2),"")</f>
        <v>0.62</v>
      </c>
      <c r="AJ29">
        <f>IF(AJ$1&lt;&gt;"",INDEX(Base!$G$1:$G$2500,$A29+AJ$1+2),"")</f>
        <v>0.12</v>
      </c>
      <c r="AK29">
        <f>IF(AK$1&lt;&gt;"",INDEX(Base!$G$1:$G$2500,$A29+AK$1+2),"")</f>
        <v>3.54</v>
      </c>
      <c r="AL29">
        <f>IF(AL$1&lt;&gt;"",INDEX(Base!$G$1:$G$2500,$A29+AL$1+2),"")</f>
        <v>1.77</v>
      </c>
      <c r="AM29">
        <f>IF(AM$1&lt;&gt;"",INDEX(Base!$G$1:$G$2500,$A29+AM$1+2),"")</f>
        <v>0.42</v>
      </c>
      <c r="AN29">
        <f>IF(AN$1&lt;&gt;"",INDEX(Base!$G$1:$G$2500,$A29+AN$1+2),"")</f>
        <v>0.82</v>
      </c>
      <c r="AO29">
        <f>IF(AO$1&lt;&gt;"",INDEX(Base!$G$1:$G$2500,$A29+AO$1+2),"")</f>
        <v>0.76</v>
      </c>
      <c r="AP29">
        <f>IF(AP$1&lt;&gt;"",INDEX(Base!$G$1:$G$2500,$A29+AP$1+2),"")</f>
        <v>0.09</v>
      </c>
      <c r="AQ29">
        <f>IF(AQ$1&lt;&gt;"",INDEX(Base!$G$1:$G$2500,$A29+AQ$1+2),"")</f>
        <v>0.22</v>
      </c>
      <c r="AR29">
        <f>IF(AR$1&lt;&gt;"",INDEX(Base!$G$1:$G$2500,$A29+AR$1+2),"")</f>
        <v>0.11</v>
      </c>
      <c r="AS29">
        <f>IF(AS$1&lt;&gt;"",INDEX(Base!$G$1:$G$2500,$A29+AS$1+2),"")</f>
        <v>0.43</v>
      </c>
      <c r="AT29">
        <f>IF(AT$1&lt;&gt;"",INDEX(Base!$G$1:$G$2500,$A29+AT$1+2),"")</f>
        <v>0.26</v>
      </c>
      <c r="AU29">
        <f>IF(AU$1&lt;&gt;"",INDEX(Base!$G$1:$G$2500,$A29+AU$1+2),"")</f>
        <v>0.14000000000000001</v>
      </c>
      <c r="AV29">
        <f>IF(AV$1&lt;&gt;"",INDEX(Base!$G$1:$G$2500,$A29+AV$1+2),"")</f>
        <v>0.41</v>
      </c>
      <c r="AW29" s="8">
        <f t="shared" si="0"/>
        <v>1.2439024390243902</v>
      </c>
      <c r="AX29">
        <f>IF(AX$1&lt;&gt;"",INDEX(Base!$R$1:$R$2500,$E29+AX$1+2),"")</f>
        <v>12.71</v>
      </c>
      <c r="AY29">
        <f>IF(AY$1&lt;&gt;"",INDEX(Base!$R$1:$R$2500,$E29+AY$1+2),"")</f>
        <v>149.05000000000001</v>
      </c>
      <c r="AZ29">
        <f>IF(AZ$1&lt;&gt;"",INDEX(Base!$R$1:$R$2500,$E29+AZ$1+2),"")</f>
        <v>0.13</v>
      </c>
      <c r="BA29">
        <f>IF(BA$1&lt;&gt;"",INDEX(Base!$R$1:$R$2500,$E29+BA$1+2),"")</f>
        <v>0.26</v>
      </c>
      <c r="BB29">
        <f>IF(BB$1&lt;&gt;"",INDEX(Base!$R$1:$R$2500,$E29+BB$1+2),"")</f>
        <v>35.04</v>
      </c>
      <c r="BC29">
        <f>IF(BC$1&lt;&gt;"",INDEX(Base!$R$1:$R$2500,$E29+BC$1+2),"")</f>
        <v>1.22</v>
      </c>
      <c r="BD29">
        <f>IF(BD$1&lt;&gt;"",INDEX(Base!$R$1:$R$2500,$E29+BD$1+2),"")</f>
        <v>2.56</v>
      </c>
      <c r="BE29">
        <f>IF(BE$1&lt;&gt;"",INDEX(Base!$R$1:$R$2500,$E29+BE$1+2),"")</f>
        <v>14.92</v>
      </c>
      <c r="BF29">
        <f>IF(BF$1&lt;&gt;"",INDEX(Base!$R$1:$R$2500,$E29+BF$1+2),"")</f>
        <v>0.16</v>
      </c>
      <c r="BG29">
        <f>IF(BG$1&lt;&gt;"",INDEX(Base!$R$1:$R$2500,$E29+BG$1+2),"")</f>
        <v>1.21</v>
      </c>
      <c r="BH29">
        <f>IF(BH$1&lt;&gt;"",INDEX(Base!$R$1:$R$2500,$E29+BH$1+2),"")</f>
        <v>0.35</v>
      </c>
      <c r="BI29">
        <f>IF(BI$1&lt;&gt;"",INDEX(Base!$R$1:$R$2500,$E29+BI$1+2),"")</f>
        <v>22.41</v>
      </c>
      <c r="BJ29">
        <f>IF(BJ$1&lt;&gt;"",INDEX(Base!$R$1:$R$2500,$E29+BJ$1+2),"")</f>
        <v>4.75</v>
      </c>
      <c r="BK29">
        <f>IF(BK$1&lt;&gt;"",INDEX(Base!$R$1:$R$2500,$E29+BK$1+2),"")</f>
        <v>9.31</v>
      </c>
      <c r="BL29">
        <f>IF(BL$1&lt;&gt;"",INDEX(Base!$R$1:$R$2500,$E29+BL$1+2),"")</f>
        <v>1.97</v>
      </c>
      <c r="BM29">
        <f>IF(BM$1&lt;&gt;"",INDEX(Base!$R$1:$R$2500,$E29+BM$1+2),"")</f>
        <v>0.9</v>
      </c>
      <c r="BN29">
        <f>IF(BN$1&lt;&gt;"",INDEX(Base!$R$1:$R$2500,$E29+BN$1+2),"")</f>
        <v>0.1</v>
      </c>
      <c r="BO29">
        <f>IF(BO$1&lt;&gt;"",INDEX(Base!$R$1:$R$2500,$E29+BO$1+2),"")</f>
        <v>0.08</v>
      </c>
      <c r="BP29">
        <f>IF(BP$1&lt;&gt;"",INDEX(Base!$R$1:$R$2500,$E29+BP$1+2),"")</f>
        <v>0.38</v>
      </c>
      <c r="BQ29">
        <f>IF(BQ$1&lt;&gt;"",INDEX(Base!$R$1:$R$2500,$E29+BQ$1+2),"")</f>
        <v>0.13</v>
      </c>
      <c r="BR29">
        <f>IF(BR$1&lt;&gt;"",INDEX(Base!$R$1:$R$2500,$E29+BR$1+2),"")</f>
        <v>0.62</v>
      </c>
      <c r="BS29">
        <f>IF(BS$1&lt;&gt;"",INDEX(Base!$R$1:$R$2500,$E29+BS$1+2),"")</f>
        <v>2.15</v>
      </c>
      <c r="BT29">
        <f>IF(BT$1&lt;&gt;"",INDEX(Base!$R$1:$R$2500,$E29+BT$1+2),"")</f>
        <v>1.07</v>
      </c>
    </row>
    <row r="30" spans="1:72" x14ac:dyDescent="0.3">
      <c r="A30" s="2">
        <f t="shared" si="3"/>
        <v>1193</v>
      </c>
      <c r="B30" s="3" t="str">
        <f>IFERROR(MID(INDEX(Base!A$1:A$2500,Calcoli!A30),47,LEN(INDEX(Base!A$1:A$2500,Calcoli!A30))-41),"")</f>
        <v/>
      </c>
      <c r="C30" s="5" t="str">
        <f>MID(INDEX(Base!A$1:A$2500,Calcoli!$A30),42,4)</f>
        <v/>
      </c>
      <c r="D30" s="5" t="str">
        <f>MID(INDEX(Base!A$1:A$2500,Calcoli!A30),13,11)</f>
        <v xml:space="preserve"> 31_03_2025</v>
      </c>
      <c r="E30" s="4">
        <f t="shared" si="1"/>
        <v>842</v>
      </c>
      <c r="F30" s="3" t="str">
        <f>IFERROR(MID(INDEX(Base!L$1:L$2500,Calcoli!E30),47,LEN(INDEX(Base!L$1:L$2500,Calcoli!E30))-41),"")</f>
        <v/>
      </c>
      <c r="G30" s="5" t="str">
        <f>MID(INDEX(Base!L$1:L$2500,Calcoli!$E30),42,4)</f>
        <v/>
      </c>
      <c r="H30" s="5" t="str">
        <f>MID(INDEX(Base!L$1:L$2500,Calcoli!E30),13,11)</f>
        <v xml:space="preserve"> 01_04_2025</v>
      </c>
      <c r="I30" s="6" t="str">
        <f xml:space="preserve"> IFERROR(MID(INDEX(Base!$V$3:$AB$60,MATCH($F30,Base!$Z$3:$Z$160,0),1),1,14),"")</f>
        <v/>
      </c>
      <c r="J30" s="6" t="str">
        <f xml:space="preserve"> IFERROR(INDEX(Base!$V$3:$AB$160,MATCH($F30,Base!$Z$3:$Z$160,0),2),"")</f>
        <v/>
      </c>
      <c r="K30" s="6" t="str">
        <f xml:space="preserve"> IFERROR(INDEX(Base!$V$3:$AB$160,MATCH($F30,Base!$Z$3:$Z$160,0),3),"")</f>
        <v/>
      </c>
      <c r="L30" s="28" t="str">
        <f xml:space="preserve"> IFERROR(INDEX(Base!$V$3:$AB$160,MATCH($F30,Base!$Z$3:$Z$160,0),4),"")</f>
        <v/>
      </c>
      <c r="M30">
        <f>IF(M$1&lt;&gt;"",INDEX(Base!$G$1:$G$2500,$A30+M$1+2),"")</f>
        <v>0.1</v>
      </c>
      <c r="N30">
        <f>IF(N$1&lt;&gt;"",INDEX(Base!$G$1:$G$2500,$A30+N$1+2),"")</f>
        <v>7.19</v>
      </c>
      <c r="O30">
        <f>IF(O$1&lt;&gt;"",INDEX(Base!$G$1:$G$2500,$A30+O$1+2),"")</f>
        <v>0.6</v>
      </c>
      <c r="P30">
        <f>IF(P$1&lt;&gt;"",INDEX(Base!$G$1:$G$2500,$A30+P$1+2),"")</f>
        <v>0.78</v>
      </c>
      <c r="Q30">
        <f>IF(Q$1&lt;&gt;"",INDEX(Base!$G$1:$G$2500,$A30+Q$1+2),"")</f>
        <v>0.1</v>
      </c>
      <c r="R30">
        <f>IF(R$1&lt;&gt;"",INDEX(Base!$G$1:$G$2500,$A30+R$1+2),"")</f>
        <v>2.29</v>
      </c>
      <c r="S30">
        <f>IF(S$1&lt;&gt;"",INDEX(Base!$G$1:$G$2500,$A30+S$1+2),"")</f>
        <v>7.0000000000000007E-2</v>
      </c>
      <c r="T30">
        <f>IF(T$1&lt;&gt;"",INDEX(Base!$G$1:$G$2500,$A30+T$1+2),"")</f>
        <v>0.1</v>
      </c>
      <c r="U30">
        <f>IF(U$1&lt;&gt;"",INDEX(Base!$G$1:$G$2500,$A30+U$1+2),"")</f>
        <v>1.74</v>
      </c>
      <c r="V30">
        <f>IF(V$1&lt;&gt;"",INDEX(Base!$G$1:$G$2500,$A30+V$1+2),"")</f>
        <v>1.33</v>
      </c>
      <c r="W30">
        <f>IF(W$1&lt;&gt;"",INDEX(Base!$G$1:$G$2500,$A30+W$1+2),"")</f>
        <v>0.1</v>
      </c>
      <c r="X30">
        <f>IF(X$1&lt;&gt;"",INDEX(Base!$G$1:$G$2500,$A30+X$1+2),"")</f>
        <v>3.04</v>
      </c>
      <c r="Y30">
        <f>IF(Y$1&lt;&gt;"",INDEX(Base!$G$1:$G$2500,$A30+Y$1+2),"")</f>
        <v>0.1</v>
      </c>
      <c r="Z30">
        <f>IF(Z$1&lt;&gt;"",INDEX(Base!$G$1:$G$2500,$A30+Z$1+2),"")</f>
        <v>0.1</v>
      </c>
      <c r="AA30">
        <f>IF(AA$1&lt;&gt;"",INDEX(Base!$G$1:$G$2500,$A30+AA$1+2),"")</f>
        <v>0.6</v>
      </c>
      <c r="AB30">
        <f>IF(AB$1&lt;&gt;"",INDEX(Base!$G$1:$G$2500,$A30+AB$1+2),"")</f>
        <v>2.04</v>
      </c>
      <c r="AC30">
        <f>IF(AC$1&lt;&gt;"",INDEX(Base!$G$1:$G$2500,$A30+AC$1+2),"")</f>
        <v>3.22</v>
      </c>
      <c r="AD30">
        <f>IF(AD$1&lt;&gt;"",INDEX(Base!$G$1:$G$2500,$A30+AD$1+2),"")</f>
        <v>10.42</v>
      </c>
      <c r="AE30">
        <f>IF(AE$1&lt;&gt;"",INDEX(Base!$G$1:$G$2500,$A30+AE$1+2),"")</f>
        <v>0.31</v>
      </c>
      <c r="AF30">
        <f>IF(AF$1&lt;&gt;"",INDEX(Base!$G$1:$G$2500,$A30+AF$1+2),"")</f>
        <v>0.2</v>
      </c>
      <c r="AG30">
        <f>IF(AG$1&lt;&gt;"",INDEX(Base!$G$1:$G$2500,$A30+AG$1+2),"")</f>
        <v>0.19</v>
      </c>
      <c r="AH30">
        <f>IF(AH$1&lt;&gt;"",INDEX(Base!$G$1:$G$2500,$A30+AH$1+2),"")</f>
        <v>0.1</v>
      </c>
      <c r="AI30">
        <f>IF(AI$1&lt;&gt;"",INDEX(Base!$G$1:$G$2500,$A30+AI$1+2),"")</f>
        <v>0.1</v>
      </c>
      <c r="AJ30">
        <f>IF(AJ$1&lt;&gt;"",INDEX(Base!$G$1:$G$2500,$A30+AJ$1+2),"")</f>
        <v>0.1</v>
      </c>
      <c r="AK30">
        <f>IF(AK$1&lt;&gt;"",INDEX(Base!$G$1:$G$2500,$A30+AK$1+2),"")</f>
        <v>21.5</v>
      </c>
      <c r="AL30">
        <f>IF(AL$1&lt;&gt;"",INDEX(Base!$G$1:$G$2500,$A30+AL$1+2),"")</f>
        <v>0.1</v>
      </c>
      <c r="AM30">
        <f>IF(AM$1&lt;&gt;"",INDEX(Base!$G$1:$G$2500,$A30+AM$1+2),"")</f>
        <v>0.1</v>
      </c>
      <c r="AN30">
        <f>IF(AN$1&lt;&gt;"",INDEX(Base!$G$1:$G$2500,$A30+AN$1+2),"")</f>
        <v>1.8</v>
      </c>
      <c r="AO30">
        <f>IF(AO$1&lt;&gt;"",INDEX(Base!$G$1:$G$2500,$A30+AO$1+2),"")</f>
        <v>0.1</v>
      </c>
      <c r="AP30">
        <f>IF(AP$1&lt;&gt;"",INDEX(Base!$G$1:$G$2500,$A30+AP$1+2),"")</f>
        <v>0.12</v>
      </c>
      <c r="AQ30">
        <f>IF(AQ$1&lt;&gt;"",INDEX(Base!$G$1:$G$2500,$A30+AQ$1+2),"")</f>
        <v>0.1</v>
      </c>
      <c r="AR30">
        <f>IF(AR$1&lt;&gt;"",INDEX(Base!$G$1:$G$2500,$A30+AR$1+2),"")</f>
        <v>0.1</v>
      </c>
      <c r="AS30">
        <f>IF(AS$1&lt;&gt;"",INDEX(Base!$G$1:$G$2500,$A30+AS$1+2),"")</f>
        <v>3.35</v>
      </c>
      <c r="AT30">
        <f>IF(AT$1&lt;&gt;"",INDEX(Base!$G$1:$G$2500,$A30+AT$1+2),"")</f>
        <v>0.13</v>
      </c>
      <c r="AU30">
        <f>IF(AU$1&lt;&gt;"",INDEX(Base!$G$1:$G$2500,$A30+AU$1+2),"")</f>
        <v>0.1</v>
      </c>
      <c r="AV30">
        <f>IF(AV$1&lt;&gt;"",INDEX(Base!$G$1:$G$2500,$A30+AV$1+2),"")</f>
        <v>0.14000000000000001</v>
      </c>
      <c r="AW30" s="8">
        <f t="shared" si="0"/>
        <v>4.9019607843137254E-2</v>
      </c>
      <c r="AX30">
        <f>IF(AX$1&lt;&gt;"",INDEX(Base!$R$1:$R$2500,$E30+AX$1+2),"")</f>
        <v>81.99</v>
      </c>
      <c r="AY30">
        <f>IF(AY$1&lt;&gt;"",INDEX(Base!$R$1:$R$2500,$E30+AY$1+2),"")</f>
        <v>427.79</v>
      </c>
      <c r="AZ30">
        <f>IF(AZ$1&lt;&gt;"",INDEX(Base!$R$1:$R$2500,$E30+AZ$1+2),"")</f>
        <v>0.1</v>
      </c>
      <c r="BA30">
        <f>IF(BA$1&lt;&gt;"",INDEX(Base!$R$1:$R$2500,$E30+BA$1+2),"")</f>
        <v>0.69</v>
      </c>
      <c r="BB30">
        <f>IF(BB$1&lt;&gt;"",INDEX(Base!$R$1:$R$2500,$E30+BB$1+2),"")</f>
        <v>45.99</v>
      </c>
      <c r="BC30">
        <f>IF(BC$1&lt;&gt;"",INDEX(Base!$R$1:$R$2500,$E30+BC$1+2),"")</f>
        <v>0.1</v>
      </c>
      <c r="BD30">
        <f>IF(BD$1&lt;&gt;"",INDEX(Base!$R$1:$R$2500,$E30+BD$1+2),"")</f>
        <v>0.1</v>
      </c>
      <c r="BE30">
        <f>IF(BE$1&lt;&gt;"",INDEX(Base!$R$1:$R$2500,$E30+BE$1+2),"")</f>
        <v>0.1</v>
      </c>
      <c r="BF30">
        <f>IF(BF$1&lt;&gt;"",INDEX(Base!$R$1:$R$2500,$E30+BF$1+2),"")</f>
        <v>0.12</v>
      </c>
      <c r="BG30">
        <f>IF(BG$1&lt;&gt;"",INDEX(Base!$R$1:$R$2500,$E30+BG$1+2),"")</f>
        <v>0.1</v>
      </c>
      <c r="BH30">
        <f>IF(BH$1&lt;&gt;"",INDEX(Base!$R$1:$R$2500,$E30+BH$1+2),"")</f>
        <v>0.1</v>
      </c>
      <c r="BI30">
        <f>IF(BI$1&lt;&gt;"",INDEX(Base!$R$1:$R$2500,$E30+BI$1+2),"")</f>
        <v>0.1</v>
      </c>
      <c r="BJ30">
        <f>IF(BJ$1&lt;&gt;"",INDEX(Base!$R$1:$R$2500,$E30+BJ$1+2),"")</f>
        <v>0.1</v>
      </c>
      <c r="BK30">
        <f>IF(BK$1&lt;&gt;"",INDEX(Base!$R$1:$R$2500,$E30+BK$1+2),"")</f>
        <v>0.1</v>
      </c>
      <c r="BL30">
        <f>IF(BL$1&lt;&gt;"",INDEX(Base!$R$1:$R$2500,$E30+BL$1+2),"")</f>
        <v>0.1</v>
      </c>
      <c r="BM30">
        <f>IF(BM$1&lt;&gt;"",INDEX(Base!$R$1:$R$2500,$E30+BM$1+2),"")</f>
        <v>0.1</v>
      </c>
      <c r="BN30">
        <f>IF(BN$1&lt;&gt;"",INDEX(Base!$R$1:$R$2500,$E30+BN$1+2),"")</f>
        <v>0.1</v>
      </c>
      <c r="BO30">
        <f>IF(BO$1&lt;&gt;"",INDEX(Base!$R$1:$R$2500,$E30+BO$1+2),"")</f>
        <v>0.1</v>
      </c>
      <c r="BP30">
        <f>IF(BP$1&lt;&gt;"",INDEX(Base!$R$1:$R$2500,$E30+BP$1+2),"")</f>
        <v>0.1</v>
      </c>
      <c r="BQ30">
        <f>IF(BQ$1&lt;&gt;"",INDEX(Base!$R$1:$R$2500,$E30+BQ$1+2),"")</f>
        <v>0.1</v>
      </c>
      <c r="BR30">
        <f>IF(BR$1&lt;&gt;"",INDEX(Base!$R$1:$R$2500,$E30+BR$1+2),"")</f>
        <v>0.1</v>
      </c>
      <c r="BS30">
        <f>IF(BS$1&lt;&gt;"",INDEX(Base!$R$1:$R$2500,$E30+BS$1+2),"")</f>
        <v>0.1</v>
      </c>
      <c r="BT30">
        <f>IF(BT$1&lt;&gt;"",INDEX(Base!$R$1:$R$2500,$E30+BT$1+2),"")</f>
        <v>2.02</v>
      </c>
    </row>
    <row r="31" spans="1:72" x14ac:dyDescent="0.3">
      <c r="A31" s="2">
        <f t="shared" si="3"/>
        <v>1237</v>
      </c>
      <c r="B31" s="3" t="str">
        <f>IFERROR(MID(INDEX(Base!A$1:A$2500,Calcoli!A31),47,LEN(INDEX(Base!A$1:A$2500,Calcoli!A31))-41),"")</f>
        <v>COLOMBINI WIDMER</v>
      </c>
      <c r="C31" s="5" t="str">
        <f>MID(INDEX(Base!A$1:A$2500,Calcoli!$A31),42,4)</f>
        <v>1782</v>
      </c>
      <c r="D31" s="5" t="str">
        <f>MID(INDEX(Base!A$1:A$2500,Calcoli!A31),13,11)</f>
        <v xml:space="preserve"> 31_03_2025</v>
      </c>
      <c r="E31" s="4">
        <f t="shared" si="1"/>
        <v>873</v>
      </c>
      <c r="F31" s="3" t="str">
        <f>IFERROR(MID(INDEX(Base!L$1:L$2500,Calcoli!E31),47,LEN(INDEX(Base!L$1:L$2500,Calcoli!E31))-41),"")</f>
        <v>COLOMBINI WIDMER</v>
      </c>
      <c r="G31" s="5" t="str">
        <f>MID(INDEX(Base!L$1:L$2500,Calcoli!$E31),42,4)</f>
        <v>1782</v>
      </c>
      <c r="H31" s="5" t="str">
        <f>MID(INDEX(Base!L$1:L$2500,Calcoli!E31),13,11)</f>
        <v xml:space="preserve"> 01_04_2025</v>
      </c>
      <c r="I31" s="6" t="str">
        <f xml:space="preserve"> IFERROR(MID(INDEX(Base!$V$3:$AB$60,MATCH($F31,Base!$Z$3:$Z$160,0),1),1,14),"")</f>
        <v>1782 COLOMBINI</v>
      </c>
      <c r="J31" s="6">
        <f xml:space="preserve"> IFERROR(INDEX(Base!$V$3:$AB$160,MATCH($F31,Base!$Z$3:$Z$160,0),2),"")</f>
        <v>223.5294117647058</v>
      </c>
      <c r="K31" s="6">
        <f xml:space="preserve"> IFERROR(INDEX(Base!$V$3:$AB$160,MATCH($F31,Base!$Z$3:$Z$160,0),3),"")</f>
        <v>18.592563810096809</v>
      </c>
      <c r="L31" s="28">
        <f xml:space="preserve"> IFERROR(INDEX(Base!$V$3:$AB$160,MATCH($F31,Base!$Z$3:$Z$160,0),4),"")</f>
        <v>7.1783980582524283</v>
      </c>
      <c r="M31">
        <f>IF(M$1&lt;&gt;"",INDEX(Base!$G$1:$G$2500,$A31+M$1+2),"")</f>
        <v>12.51</v>
      </c>
      <c r="N31">
        <f>IF(N$1&lt;&gt;"",INDEX(Base!$G$1:$G$2500,$A31+N$1+2),"")</f>
        <v>2.19</v>
      </c>
      <c r="O31">
        <f>IF(O$1&lt;&gt;"",INDEX(Base!$G$1:$G$2500,$A31+O$1+2),"")</f>
        <v>0.14000000000000001</v>
      </c>
      <c r="P31">
        <f>IF(P$1&lt;&gt;"",INDEX(Base!$G$1:$G$2500,$A31+P$1+2),"")</f>
        <v>1.17</v>
      </c>
      <c r="Q31">
        <f>IF(Q$1&lt;&gt;"",INDEX(Base!$G$1:$G$2500,$A31+Q$1+2),"")</f>
        <v>0.1</v>
      </c>
      <c r="R31">
        <f>IF(R$1&lt;&gt;"",INDEX(Base!$G$1:$G$2500,$A31+R$1+2),"")</f>
        <v>2.5499999999999998</v>
      </c>
      <c r="S31">
        <f>IF(S$1&lt;&gt;"",INDEX(Base!$G$1:$G$2500,$A31+S$1+2),"")</f>
        <v>7.0000000000000007E-2</v>
      </c>
      <c r="T31">
        <f>IF(T$1&lt;&gt;"",INDEX(Base!$G$1:$G$2500,$A31+T$1+2),"")</f>
        <v>12.51</v>
      </c>
      <c r="U31">
        <f>IF(U$1&lt;&gt;"",INDEX(Base!$G$1:$G$2500,$A31+U$1+2),"")</f>
        <v>1.0900000000000001</v>
      </c>
      <c r="V31">
        <f>IF(V$1&lt;&gt;"",INDEX(Base!$G$1:$G$2500,$A31+V$1+2),"")</f>
        <v>7.0000000000000007E-2</v>
      </c>
      <c r="W31">
        <f>IF(W$1&lt;&gt;"",INDEX(Base!$G$1:$G$2500,$A31+W$1+2),"")</f>
        <v>1.81</v>
      </c>
      <c r="X31">
        <f>IF(X$1&lt;&gt;"",INDEX(Base!$G$1:$G$2500,$A31+X$1+2),"")</f>
        <v>1.54</v>
      </c>
      <c r="Y31">
        <f>IF(Y$1&lt;&gt;"",INDEX(Base!$G$1:$G$2500,$A31+Y$1+2),"")</f>
        <v>87.94</v>
      </c>
      <c r="Z31">
        <f>IF(Z$1&lt;&gt;"",INDEX(Base!$G$1:$G$2500,$A31+Z$1+2),"")</f>
        <v>0.84</v>
      </c>
      <c r="AA31">
        <f>IF(AA$1&lt;&gt;"",INDEX(Base!$G$1:$G$2500,$A31+AA$1+2),"")</f>
        <v>0.82</v>
      </c>
      <c r="AB31">
        <f>IF(AB$1&lt;&gt;"",INDEX(Base!$G$1:$G$2500,$A31+AB$1+2),"")</f>
        <v>0.84</v>
      </c>
      <c r="AC31">
        <f>IF(AC$1&lt;&gt;"",INDEX(Base!$G$1:$G$2500,$A31+AC$1+2),"")</f>
        <v>1.84</v>
      </c>
      <c r="AD31">
        <f>IF(AD$1&lt;&gt;"",INDEX(Base!$G$1:$G$2500,$A31+AD$1+2),"")</f>
        <v>14</v>
      </c>
      <c r="AE31">
        <f>IF(AE$1&lt;&gt;"",INDEX(Base!$G$1:$G$2500,$A31+AE$1+2),"")</f>
        <v>0.21</v>
      </c>
      <c r="AF31">
        <f>IF(AF$1&lt;&gt;"",INDEX(Base!$G$1:$G$2500,$A31+AF$1+2),"")</f>
        <v>1.66</v>
      </c>
      <c r="AG31">
        <f>IF(AG$1&lt;&gt;"",INDEX(Base!$G$1:$G$2500,$A31+AG$1+2),"")</f>
        <v>0.76</v>
      </c>
      <c r="AH31">
        <f>IF(AH$1&lt;&gt;"",INDEX(Base!$G$1:$G$2500,$A31+AH$1+2),"")</f>
        <v>3.46</v>
      </c>
      <c r="AI31">
        <f>IF(AI$1&lt;&gt;"",INDEX(Base!$G$1:$G$2500,$A31+AI$1+2),"")</f>
        <v>0.5</v>
      </c>
      <c r="AJ31">
        <f>IF(AJ$1&lt;&gt;"",INDEX(Base!$G$1:$G$2500,$A31+AJ$1+2),"")</f>
        <v>0.1</v>
      </c>
      <c r="AK31">
        <f>IF(AK$1&lt;&gt;"",INDEX(Base!$G$1:$G$2500,$A31+AK$1+2),"")</f>
        <v>1.56</v>
      </c>
      <c r="AL31">
        <f>IF(AL$1&lt;&gt;"",INDEX(Base!$G$1:$G$2500,$A31+AL$1+2),"")</f>
        <v>1.45</v>
      </c>
      <c r="AM31">
        <f>IF(AM$1&lt;&gt;"",INDEX(Base!$G$1:$G$2500,$A31+AM$1+2),"")</f>
        <v>1.5</v>
      </c>
      <c r="AN31">
        <f>IF(AN$1&lt;&gt;"",INDEX(Base!$G$1:$G$2500,$A31+AN$1+2),"")</f>
        <v>0.75</v>
      </c>
      <c r="AO31">
        <f>IF(AO$1&lt;&gt;"",INDEX(Base!$G$1:$G$2500,$A31+AO$1+2),"")</f>
        <v>0.4</v>
      </c>
      <c r="AP31">
        <f>IF(AP$1&lt;&gt;"",INDEX(Base!$G$1:$G$2500,$A31+AP$1+2),"")</f>
        <v>0.23</v>
      </c>
      <c r="AQ31">
        <f>IF(AQ$1&lt;&gt;"",INDEX(Base!$G$1:$G$2500,$A31+AQ$1+2),"")</f>
        <v>0.68</v>
      </c>
      <c r="AR31">
        <f>IF(AR$1&lt;&gt;"",INDEX(Base!$G$1:$G$2500,$A31+AR$1+2),"")</f>
        <v>0.11</v>
      </c>
      <c r="AS31">
        <f>IF(AS$1&lt;&gt;"",INDEX(Base!$G$1:$G$2500,$A31+AS$1+2),"")</f>
        <v>0.49</v>
      </c>
      <c r="AT31">
        <f>IF(AT$1&lt;&gt;"",INDEX(Base!$G$1:$G$2500,$A31+AT$1+2),"")</f>
        <v>0.26</v>
      </c>
      <c r="AU31">
        <f>IF(AU$1&lt;&gt;"",INDEX(Base!$G$1:$G$2500,$A31+AU$1+2),"")</f>
        <v>0.11</v>
      </c>
      <c r="AV31">
        <f>IF(AV$1&lt;&gt;"",INDEX(Base!$G$1:$G$2500,$A31+AV$1+2),"")</f>
        <v>0.72</v>
      </c>
      <c r="AW31" s="8">
        <f t="shared" si="0"/>
        <v>1</v>
      </c>
      <c r="AX31">
        <f>IF(AX$1&lt;&gt;"",INDEX(Base!$R$1:$R$2500,$E31+AX$1+2),"")</f>
        <v>4.2</v>
      </c>
      <c r="AY31">
        <f>IF(AY$1&lt;&gt;"",INDEX(Base!$R$1:$R$2500,$E31+AY$1+2),"")</f>
        <v>282.11</v>
      </c>
      <c r="AZ31">
        <f>IF(AZ$1&lt;&gt;"",INDEX(Base!$R$1:$R$2500,$E31+AZ$1+2),"")</f>
        <v>0.25</v>
      </c>
      <c r="BA31">
        <f>IF(BA$1&lt;&gt;"",INDEX(Base!$R$1:$R$2500,$E31+BA$1+2),"")</f>
        <v>0.86</v>
      </c>
      <c r="BB31">
        <f>IF(BB$1&lt;&gt;"",INDEX(Base!$R$1:$R$2500,$E31+BB$1+2),"")</f>
        <v>56.22</v>
      </c>
      <c r="BC31">
        <f>IF(BC$1&lt;&gt;"",INDEX(Base!$R$1:$R$2500,$E31+BC$1+2),"")</f>
        <v>2.1800000000000002</v>
      </c>
      <c r="BD31">
        <f>IF(BD$1&lt;&gt;"",INDEX(Base!$R$1:$R$2500,$E31+BD$1+2),"")</f>
        <v>3.38</v>
      </c>
      <c r="BE31">
        <f>IF(BE$1&lt;&gt;"",INDEX(Base!$R$1:$R$2500,$E31+BE$1+2),"")</f>
        <v>10.119999999999999</v>
      </c>
      <c r="BF31">
        <f>IF(BF$1&lt;&gt;"",INDEX(Base!$R$1:$R$2500,$E31+BF$1+2),"")</f>
        <v>7.0000000000000007E-2</v>
      </c>
      <c r="BG31">
        <f>IF(BG$1&lt;&gt;"",INDEX(Base!$R$1:$R$2500,$E31+BG$1+2),"")</f>
        <v>3.49</v>
      </c>
      <c r="BH31">
        <f>IF(BH$1&lt;&gt;"",INDEX(Base!$R$1:$R$2500,$E31+BH$1+2),"")</f>
        <v>0.21</v>
      </c>
      <c r="BI31">
        <f>IF(BI$1&lt;&gt;"",INDEX(Base!$R$1:$R$2500,$E31+BI$1+2),"")</f>
        <v>26.05</v>
      </c>
      <c r="BJ31">
        <f>IF(BJ$1&lt;&gt;"",INDEX(Base!$R$1:$R$2500,$E31+BJ$1+2),"")</f>
        <v>13.26</v>
      </c>
      <c r="BK31">
        <f>IF(BK$1&lt;&gt;"",INDEX(Base!$R$1:$R$2500,$E31+BK$1+2),"")</f>
        <v>9.5500000000000007</v>
      </c>
      <c r="BL31">
        <f>IF(BL$1&lt;&gt;"",INDEX(Base!$R$1:$R$2500,$E31+BL$1+2),"")</f>
        <v>7.39</v>
      </c>
      <c r="BM31">
        <f>IF(BM$1&lt;&gt;"",INDEX(Base!$R$1:$R$2500,$E31+BM$1+2),"")</f>
        <v>0.84</v>
      </c>
      <c r="BN31">
        <f>IF(BN$1&lt;&gt;"",INDEX(Base!$R$1:$R$2500,$E31+BN$1+2),"")</f>
        <v>0.11</v>
      </c>
      <c r="BO31">
        <f>IF(BO$1&lt;&gt;"",INDEX(Base!$R$1:$R$2500,$E31+BO$1+2),"")</f>
        <v>0.1</v>
      </c>
      <c r="BP31">
        <f>IF(BP$1&lt;&gt;"",INDEX(Base!$R$1:$R$2500,$E31+BP$1+2),"")</f>
        <v>1.41</v>
      </c>
      <c r="BQ31">
        <f>IF(BQ$1&lt;&gt;"",INDEX(Base!$R$1:$R$2500,$E31+BQ$1+2),"")</f>
        <v>0.3</v>
      </c>
      <c r="BR31">
        <f>IF(BR$1&lt;&gt;"",INDEX(Base!$R$1:$R$2500,$E31+BR$1+2),"")</f>
        <v>0.12</v>
      </c>
      <c r="BS31">
        <f>IF(BS$1&lt;&gt;"",INDEX(Base!$R$1:$R$2500,$E31+BS$1+2),"")</f>
        <v>2.27</v>
      </c>
      <c r="BT31">
        <f>IF(BT$1&lt;&gt;"",INDEX(Base!$R$1:$R$2500,$E31+BT$1+2),"")</f>
        <v>1.19</v>
      </c>
    </row>
    <row r="32" spans="1:72" x14ac:dyDescent="0.3">
      <c r="A32" s="2">
        <f t="shared" si="3"/>
        <v>1281</v>
      </c>
      <c r="B32" s="3" t="str">
        <f>IFERROR(MID(INDEX(Base!A$1:A$2500,Calcoli!A32),47,LEN(INDEX(Base!A$1:A$2500,Calcoli!A32))-41),"")</f>
        <v>DOZZO BRUNA</v>
      </c>
      <c r="C32" s="5" t="str">
        <f>MID(INDEX(Base!A$1:A$2500,Calcoli!$A32),42,4)</f>
        <v>1784</v>
      </c>
      <c r="D32" s="5" t="str">
        <f>MID(INDEX(Base!A$1:A$2500,Calcoli!A32),13,11)</f>
        <v xml:space="preserve"> 31_03_2025</v>
      </c>
      <c r="E32" s="4">
        <f t="shared" si="1"/>
        <v>904</v>
      </c>
      <c r="F32" s="3" t="str">
        <f>IFERROR(MID(INDEX(Base!L$1:L$2500,Calcoli!E32),47,LEN(INDEX(Base!L$1:L$2500,Calcoli!E32))-41),"")</f>
        <v>DOZZO BRUNA</v>
      </c>
      <c r="G32" s="5" t="str">
        <f>MID(INDEX(Base!L$1:L$2500,Calcoli!$E32),42,4)</f>
        <v>1784</v>
      </c>
      <c r="H32" s="5" t="str">
        <f>MID(INDEX(Base!L$1:L$2500,Calcoli!E32),13,11)</f>
        <v xml:space="preserve"> 01_04_2025</v>
      </c>
      <c r="I32" s="6" t="str">
        <f xml:space="preserve"> IFERROR(MID(INDEX(Base!$V$3:$AB$60,MATCH($F32,Base!$Z$3:$Z$160,0),1),1,14),"")</f>
        <v>1784 DOZZO BRU</v>
      </c>
      <c r="J32" s="6">
        <f xml:space="preserve"> IFERROR(INDEX(Base!$V$3:$AB$160,MATCH($F32,Base!$Z$3:$Z$160,0),2),"")</f>
        <v>71.764705882352928</v>
      </c>
      <c r="K32" s="6">
        <f xml:space="preserve"> IFERROR(INDEX(Base!$V$3:$AB$160,MATCH($F32,Base!$Z$3:$Z$160,0),3),"")</f>
        <v>2.6027534528778</v>
      </c>
      <c r="L32" s="28">
        <f xml:space="preserve"> IFERROR(INDEX(Base!$V$3:$AB$160,MATCH($F32,Base!$Z$3:$Z$160,0),4),"")</f>
        <v>32.536407766990294</v>
      </c>
      <c r="M32">
        <f>IF(M$1&lt;&gt;"",INDEX(Base!$G$1:$G$2500,$A32+M$1+2),"")</f>
        <v>29.74</v>
      </c>
      <c r="N32">
        <f>IF(N$1&lt;&gt;"",INDEX(Base!$G$1:$G$2500,$A32+N$1+2),"")</f>
        <v>5.1100000000000003</v>
      </c>
      <c r="O32">
        <f>IF(O$1&lt;&gt;"",INDEX(Base!$G$1:$G$2500,$A32+O$1+2),"")</f>
        <v>0.23</v>
      </c>
      <c r="P32">
        <f>IF(P$1&lt;&gt;"",INDEX(Base!$G$1:$G$2500,$A32+P$1+2),"")</f>
        <v>1.18</v>
      </c>
      <c r="Q32">
        <f>IF(Q$1&lt;&gt;"",INDEX(Base!$G$1:$G$2500,$A32+Q$1+2),"")</f>
        <v>0.1</v>
      </c>
      <c r="R32">
        <f>IF(R$1&lt;&gt;"",INDEX(Base!$G$1:$G$2500,$A32+R$1+2),"")</f>
        <v>1.85</v>
      </c>
      <c r="S32">
        <f>IF(S$1&lt;&gt;"",INDEX(Base!$G$1:$G$2500,$A32+S$1+2),"")</f>
        <v>0.08</v>
      </c>
      <c r="T32">
        <f>IF(T$1&lt;&gt;"",INDEX(Base!$G$1:$G$2500,$A32+T$1+2),"")</f>
        <v>40.049999999999997</v>
      </c>
      <c r="U32">
        <f>IF(U$1&lt;&gt;"",INDEX(Base!$G$1:$G$2500,$A32+U$1+2),"")</f>
        <v>1.79</v>
      </c>
      <c r="V32">
        <f>IF(V$1&lt;&gt;"",INDEX(Base!$G$1:$G$2500,$A32+V$1+2),"")</f>
        <v>0.24</v>
      </c>
      <c r="W32">
        <f>IF(W$1&lt;&gt;"",INDEX(Base!$G$1:$G$2500,$A32+W$1+2),"")</f>
        <v>1.95</v>
      </c>
      <c r="X32">
        <f>IF(X$1&lt;&gt;"",INDEX(Base!$G$1:$G$2500,$A32+X$1+2),"")</f>
        <v>1.26</v>
      </c>
      <c r="Y32">
        <f>IF(Y$1&lt;&gt;"",INDEX(Base!$G$1:$G$2500,$A32+Y$1+2),"")</f>
        <v>123.47</v>
      </c>
      <c r="Z32">
        <f>IF(Z$1&lt;&gt;"",INDEX(Base!$G$1:$G$2500,$A32+Z$1+2),"")</f>
        <v>3.5</v>
      </c>
      <c r="AA32">
        <f>IF(AA$1&lt;&gt;"",INDEX(Base!$G$1:$G$2500,$A32+AA$1+2),"")</f>
        <v>0.25</v>
      </c>
      <c r="AB32">
        <f>IF(AB$1&lt;&gt;"",INDEX(Base!$G$1:$G$2500,$A32+AB$1+2),"")</f>
        <v>1.03</v>
      </c>
      <c r="AC32">
        <f>IF(AC$1&lt;&gt;"",INDEX(Base!$G$1:$G$2500,$A32+AC$1+2),"")</f>
        <v>1.59</v>
      </c>
      <c r="AD32">
        <f>IF(AD$1&lt;&gt;"",INDEX(Base!$G$1:$G$2500,$A32+AD$1+2),"")</f>
        <v>10.17</v>
      </c>
      <c r="AE32">
        <f>IF(AE$1&lt;&gt;"",INDEX(Base!$G$1:$G$2500,$A32+AE$1+2),"")</f>
        <v>0.13</v>
      </c>
      <c r="AF32">
        <f>IF(AF$1&lt;&gt;"",INDEX(Base!$G$1:$G$2500,$A32+AF$1+2),"")</f>
        <v>1.39</v>
      </c>
      <c r="AG32">
        <f>IF(AG$1&lt;&gt;"",INDEX(Base!$G$1:$G$2500,$A32+AG$1+2),"")</f>
        <v>0.37</v>
      </c>
      <c r="AH32">
        <f>IF(AH$1&lt;&gt;"",INDEX(Base!$G$1:$G$2500,$A32+AH$1+2),"")</f>
        <v>2.67</v>
      </c>
      <c r="AI32">
        <f>IF(AI$1&lt;&gt;"",INDEX(Base!$G$1:$G$2500,$A32+AI$1+2),"")</f>
        <v>0.67</v>
      </c>
      <c r="AJ32">
        <f>IF(AJ$1&lt;&gt;"",INDEX(Base!$G$1:$G$2500,$A32+AJ$1+2),"")</f>
        <v>0.1</v>
      </c>
      <c r="AK32">
        <f>IF(AK$1&lt;&gt;"",INDEX(Base!$G$1:$G$2500,$A32+AK$1+2),"")</f>
        <v>4.46</v>
      </c>
      <c r="AL32">
        <f>IF(AL$1&lt;&gt;"",INDEX(Base!$G$1:$G$2500,$A32+AL$1+2),"")</f>
        <v>3.32</v>
      </c>
      <c r="AM32">
        <f>IF(AM$1&lt;&gt;"",INDEX(Base!$G$1:$G$2500,$A32+AM$1+2),"")</f>
        <v>0.1</v>
      </c>
      <c r="AN32">
        <f>IF(AN$1&lt;&gt;"",INDEX(Base!$G$1:$G$2500,$A32+AN$1+2),"")</f>
        <v>0.96</v>
      </c>
      <c r="AO32">
        <f>IF(AO$1&lt;&gt;"",INDEX(Base!$G$1:$G$2500,$A32+AO$1+2),"")</f>
        <v>1.1299999999999999</v>
      </c>
      <c r="AP32">
        <f>IF(AP$1&lt;&gt;"",INDEX(Base!$G$1:$G$2500,$A32+AP$1+2),"")</f>
        <v>0.13</v>
      </c>
      <c r="AQ32">
        <f>IF(AQ$1&lt;&gt;"",INDEX(Base!$G$1:$G$2500,$A32+AQ$1+2),"")</f>
        <v>0.15</v>
      </c>
      <c r="AR32">
        <f>IF(AR$1&lt;&gt;"",INDEX(Base!$G$1:$G$2500,$A32+AR$1+2),"")</f>
        <v>0.11</v>
      </c>
      <c r="AS32">
        <f>IF(AS$1&lt;&gt;"",INDEX(Base!$G$1:$G$2500,$A32+AS$1+2),"")</f>
        <v>1.02</v>
      </c>
      <c r="AT32">
        <f>IF(AT$1&lt;&gt;"",INDEX(Base!$G$1:$G$2500,$A32+AT$1+2),"")</f>
        <v>0.37</v>
      </c>
      <c r="AU32">
        <f>IF(AU$1&lt;&gt;"",INDEX(Base!$G$1:$G$2500,$A32+AU$1+2),"")</f>
        <v>0.11</v>
      </c>
      <c r="AV32">
        <f>IF(AV$1&lt;&gt;"",INDEX(Base!$G$1:$G$2500,$A32+AV$1+2),"")</f>
        <v>0.2</v>
      </c>
      <c r="AW32" s="8">
        <f t="shared" si="0"/>
        <v>3.3980582524271843</v>
      </c>
      <c r="AX32">
        <f>IF(AX$1&lt;&gt;"",INDEX(Base!$R$1:$R$2500,$E32+AX$1+2),"")</f>
        <v>56.95</v>
      </c>
      <c r="AY32">
        <f>IF(AY$1&lt;&gt;"",INDEX(Base!$R$1:$R$2500,$E32+AY$1+2),"")</f>
        <v>316.26</v>
      </c>
      <c r="AZ32">
        <f>IF(AZ$1&lt;&gt;"",INDEX(Base!$R$1:$R$2500,$E32+AZ$1+2),"")</f>
        <v>0.23</v>
      </c>
      <c r="BA32">
        <f>IF(BA$1&lt;&gt;"",INDEX(Base!$R$1:$R$2500,$E32+BA$1+2),"")</f>
        <v>0.78</v>
      </c>
      <c r="BB32">
        <f>IF(BB$1&lt;&gt;"",INDEX(Base!$R$1:$R$2500,$E32+BB$1+2),"")</f>
        <v>40.840000000000003</v>
      </c>
      <c r="BC32">
        <f>IF(BC$1&lt;&gt;"",INDEX(Base!$R$1:$R$2500,$E32+BC$1+2),"")</f>
        <v>4.24</v>
      </c>
      <c r="BD32">
        <f>IF(BD$1&lt;&gt;"",INDEX(Base!$R$1:$R$2500,$E32+BD$1+2),"")</f>
        <v>3.23</v>
      </c>
      <c r="BE32">
        <f>IF(BE$1&lt;&gt;"",INDEX(Base!$R$1:$R$2500,$E32+BE$1+2),"")</f>
        <v>30.45</v>
      </c>
      <c r="BF32">
        <f>IF(BF$1&lt;&gt;"",INDEX(Base!$R$1:$R$2500,$E32+BF$1+2),"")</f>
        <v>7.0000000000000007E-2</v>
      </c>
      <c r="BG32">
        <f>IF(BG$1&lt;&gt;"",INDEX(Base!$R$1:$R$2500,$E32+BG$1+2),"")</f>
        <v>0.49</v>
      </c>
      <c r="BH32">
        <f>IF(BH$1&lt;&gt;"",INDEX(Base!$R$1:$R$2500,$E32+BH$1+2),"")</f>
        <v>0.25</v>
      </c>
      <c r="BI32">
        <f>IF(BI$1&lt;&gt;"",INDEX(Base!$R$1:$R$2500,$E32+BI$1+2),"")</f>
        <v>12.56</v>
      </c>
      <c r="BJ32">
        <f>IF(BJ$1&lt;&gt;"",INDEX(Base!$R$1:$R$2500,$E32+BJ$1+2),"")</f>
        <v>12.94</v>
      </c>
      <c r="BK32">
        <f>IF(BK$1&lt;&gt;"",INDEX(Base!$R$1:$R$2500,$E32+BK$1+2),"")</f>
        <v>26.74</v>
      </c>
      <c r="BL32">
        <f>IF(BL$1&lt;&gt;"",INDEX(Base!$R$1:$R$2500,$E32+BL$1+2),"")</f>
        <v>4.97</v>
      </c>
      <c r="BM32">
        <f>IF(BM$1&lt;&gt;"",INDEX(Base!$R$1:$R$2500,$E32+BM$1+2),"")</f>
        <v>0.8</v>
      </c>
      <c r="BN32">
        <f>IF(BN$1&lt;&gt;"",INDEX(Base!$R$1:$R$2500,$E32+BN$1+2),"")</f>
        <v>0.1</v>
      </c>
      <c r="BO32">
        <f>IF(BO$1&lt;&gt;"",INDEX(Base!$R$1:$R$2500,$E32+BO$1+2),"")</f>
        <v>0.06</v>
      </c>
      <c r="BP32">
        <f>IF(BP$1&lt;&gt;"",INDEX(Base!$R$1:$R$2500,$E32+BP$1+2),"")</f>
        <v>0.76</v>
      </c>
      <c r="BQ32">
        <f>IF(BQ$1&lt;&gt;"",INDEX(Base!$R$1:$R$2500,$E32+BQ$1+2),"")</f>
        <v>0.34</v>
      </c>
      <c r="BR32">
        <f>IF(BR$1&lt;&gt;"",INDEX(Base!$R$1:$R$2500,$E32+BR$1+2),"")</f>
        <v>0.08</v>
      </c>
      <c r="BS32">
        <f>IF(BS$1&lt;&gt;"",INDEX(Base!$R$1:$R$2500,$E32+BS$1+2),"")</f>
        <v>2.2599999999999998</v>
      </c>
      <c r="BT32">
        <f>IF(BT$1&lt;&gt;"",INDEX(Base!$R$1:$R$2500,$E32+BT$1+2),"")</f>
        <v>1.49</v>
      </c>
    </row>
    <row r="33" spans="1:72" x14ac:dyDescent="0.3">
      <c r="A33" s="2">
        <f t="shared" si="3"/>
        <v>1325</v>
      </c>
      <c r="B33" s="3" t="str">
        <f>IFERROR(MID(INDEX(Base!A$1:A$2500,Calcoli!A33),47,LEN(INDEX(Base!A$1:A$2500,Calcoli!A33))-41),"")</f>
        <v>VALORI STEFANO</v>
      </c>
      <c r="C33" s="5" t="str">
        <f>MID(INDEX(Base!A$1:A$2500,Calcoli!$A33),42,4)</f>
        <v>1785</v>
      </c>
      <c r="D33" s="5" t="str">
        <f>MID(INDEX(Base!A$1:A$2500,Calcoli!A33),13,11)</f>
        <v xml:space="preserve"> 31_03_2025</v>
      </c>
      <c r="E33" s="4">
        <f t="shared" si="1"/>
        <v>935</v>
      </c>
      <c r="F33" s="3" t="str">
        <f>IFERROR(MID(INDEX(Base!L$1:L$2500,Calcoli!E33),47,LEN(INDEX(Base!L$1:L$2500,Calcoli!E33))-41),"")</f>
        <v>VALORI STEFANO</v>
      </c>
      <c r="G33" s="5" t="str">
        <f>MID(INDEX(Base!L$1:L$2500,Calcoli!$E33),42,4)</f>
        <v>1785</v>
      </c>
      <c r="H33" s="5" t="str">
        <f>MID(INDEX(Base!L$1:L$2500,Calcoli!E33),13,11)</f>
        <v xml:space="preserve"> 01_04_2025</v>
      </c>
      <c r="I33" s="6" t="str">
        <f xml:space="preserve"> IFERROR(MID(INDEX(Base!$V$3:$AB$60,MATCH($F33,Base!$Z$3:$Z$160,0),1),1,14),"")</f>
        <v>1785 VALORI ST</v>
      </c>
      <c r="J33" s="6">
        <f xml:space="preserve"> IFERROR(INDEX(Base!$V$3:$AB$160,MATCH($F33,Base!$Z$3:$Z$160,0),2),"")</f>
        <v>167.05882352941177</v>
      </c>
      <c r="K33" s="6">
        <f xml:space="preserve"> IFERROR(INDEX(Base!$V$3:$AB$160,MATCH($F33,Base!$Z$3:$Z$160,0),3),"")</f>
        <v>17.33030556123915</v>
      </c>
      <c r="L33" s="28">
        <f xml:space="preserve"> IFERROR(INDEX(Base!$V$3:$AB$160,MATCH($F33,Base!$Z$3:$Z$160,0),4),"")</f>
        <v>52.5</v>
      </c>
      <c r="M33">
        <f>IF(M$1&lt;&gt;"",INDEX(Base!$G$1:$G$2500,$A33+M$1+2),"")</f>
        <v>9.83</v>
      </c>
      <c r="N33">
        <f>IF(N$1&lt;&gt;"",INDEX(Base!$G$1:$G$2500,$A33+N$1+2),"")</f>
        <v>2.4300000000000002</v>
      </c>
      <c r="O33">
        <f>IF(O$1&lt;&gt;"",INDEX(Base!$G$1:$G$2500,$A33+O$1+2),"")</f>
        <v>0.32</v>
      </c>
      <c r="P33">
        <f>IF(P$1&lt;&gt;"",INDEX(Base!$G$1:$G$2500,$A33+P$1+2),"")</f>
        <v>0.82</v>
      </c>
      <c r="Q33">
        <f>IF(Q$1&lt;&gt;"",INDEX(Base!$G$1:$G$2500,$A33+Q$1+2),"")</f>
        <v>0.1</v>
      </c>
      <c r="R33">
        <f>IF(R$1&lt;&gt;"",INDEX(Base!$G$1:$G$2500,$A33+R$1+2),"")</f>
        <v>2.66</v>
      </c>
      <c r="S33">
        <f>IF(S$1&lt;&gt;"",INDEX(Base!$G$1:$G$2500,$A33+S$1+2),"")</f>
        <v>0.1</v>
      </c>
      <c r="T33">
        <f>IF(T$1&lt;&gt;"",INDEX(Base!$G$1:$G$2500,$A33+T$1+2),"")</f>
        <v>5.12</v>
      </c>
      <c r="U33">
        <f>IF(U$1&lt;&gt;"",INDEX(Base!$G$1:$G$2500,$A33+U$1+2),"")</f>
        <v>0.77</v>
      </c>
      <c r="V33">
        <f>IF(V$1&lt;&gt;"",INDEX(Base!$G$1:$G$2500,$A33+V$1+2),"")</f>
        <v>0.28000000000000003</v>
      </c>
      <c r="W33">
        <f>IF(W$1&lt;&gt;"",INDEX(Base!$G$1:$G$2500,$A33+W$1+2),"")</f>
        <v>1.4</v>
      </c>
      <c r="X33">
        <f>IF(X$1&lt;&gt;"",INDEX(Base!$G$1:$G$2500,$A33+X$1+2),"")</f>
        <v>1.54</v>
      </c>
      <c r="Y33">
        <f>IF(Y$1&lt;&gt;"",INDEX(Base!$G$1:$G$2500,$A33+Y$1+2),"")</f>
        <v>65.05</v>
      </c>
      <c r="Z33">
        <f>IF(Z$1&lt;&gt;"",INDEX(Base!$G$1:$G$2500,$A33+Z$1+2),"")</f>
        <v>0.7</v>
      </c>
      <c r="AA33">
        <f>IF(AA$1&lt;&gt;"",INDEX(Base!$G$1:$G$2500,$A33+AA$1+2),"")</f>
        <v>0.74</v>
      </c>
      <c r="AB33">
        <f>IF(AB$1&lt;&gt;"",INDEX(Base!$G$1:$G$2500,$A33+AB$1+2),"")</f>
        <v>0.67</v>
      </c>
      <c r="AC33">
        <f>IF(AC$1&lt;&gt;"",INDEX(Base!$G$1:$G$2500,$A33+AC$1+2),"")</f>
        <v>1.1299999999999999</v>
      </c>
      <c r="AD33">
        <f>IF(AD$1&lt;&gt;"",INDEX(Base!$G$1:$G$2500,$A33+AD$1+2),"")</f>
        <v>9.2200000000000006</v>
      </c>
      <c r="AE33">
        <f>IF(AE$1&lt;&gt;"",INDEX(Base!$G$1:$G$2500,$A33+AE$1+2),"")</f>
        <v>0.11</v>
      </c>
      <c r="AF33">
        <f>IF(AF$1&lt;&gt;"",INDEX(Base!$G$1:$G$2500,$A33+AF$1+2),"")</f>
        <v>2.09</v>
      </c>
      <c r="AG33">
        <f>IF(AG$1&lt;&gt;"",INDEX(Base!$G$1:$G$2500,$A33+AG$1+2),"")</f>
        <v>0.49</v>
      </c>
      <c r="AH33">
        <f>IF(AH$1&lt;&gt;"",INDEX(Base!$G$1:$G$2500,$A33+AH$1+2),"")</f>
        <v>2.99</v>
      </c>
      <c r="AI33">
        <f>IF(AI$1&lt;&gt;"",INDEX(Base!$G$1:$G$2500,$A33+AI$1+2),"")</f>
        <v>1.08</v>
      </c>
      <c r="AJ33">
        <f>IF(AJ$1&lt;&gt;"",INDEX(Base!$G$1:$G$2500,$A33+AJ$1+2),"")</f>
        <v>0.1</v>
      </c>
      <c r="AK33">
        <f>IF(AK$1&lt;&gt;"",INDEX(Base!$G$1:$G$2500,$A33+AK$1+2),"")</f>
        <v>2.7</v>
      </c>
      <c r="AL33">
        <f>IF(AL$1&lt;&gt;"",INDEX(Base!$G$1:$G$2500,$A33+AL$1+2),"")</f>
        <v>1.38</v>
      </c>
      <c r="AM33">
        <f>IF(AM$1&lt;&gt;"",INDEX(Base!$G$1:$G$2500,$A33+AM$1+2),"")</f>
        <v>0.1</v>
      </c>
      <c r="AN33">
        <f>IF(AN$1&lt;&gt;"",INDEX(Base!$G$1:$G$2500,$A33+AN$1+2),"")</f>
        <v>0.59</v>
      </c>
      <c r="AO33">
        <f>IF(AO$1&lt;&gt;"",INDEX(Base!$G$1:$G$2500,$A33+AO$1+2),"")</f>
        <v>0.57999999999999996</v>
      </c>
      <c r="AP33">
        <f>IF(AP$1&lt;&gt;"",INDEX(Base!$G$1:$G$2500,$A33+AP$1+2),"")</f>
        <v>0.12</v>
      </c>
      <c r="AQ33">
        <f>IF(AQ$1&lt;&gt;"",INDEX(Base!$G$1:$G$2500,$A33+AQ$1+2),"")</f>
        <v>0.33</v>
      </c>
      <c r="AR33">
        <f>IF(AR$1&lt;&gt;"",INDEX(Base!$G$1:$G$2500,$A33+AR$1+2),"")</f>
        <v>0.09</v>
      </c>
      <c r="AS33">
        <f>IF(AS$1&lt;&gt;"",INDEX(Base!$G$1:$G$2500,$A33+AS$1+2),"")</f>
        <v>0.98</v>
      </c>
      <c r="AT33">
        <f>IF(AT$1&lt;&gt;"",INDEX(Base!$G$1:$G$2500,$A33+AT$1+2),"")</f>
        <v>0.3</v>
      </c>
      <c r="AU33">
        <f>IF(AU$1&lt;&gt;"",INDEX(Base!$G$1:$G$2500,$A33+AU$1+2),"")</f>
        <v>0.11</v>
      </c>
      <c r="AV33">
        <f>IF(AV$1&lt;&gt;"",INDEX(Base!$G$1:$G$2500,$A33+AV$1+2),"")</f>
        <v>0.65</v>
      </c>
      <c r="AW33" s="8">
        <f t="shared" si="0"/>
        <v>1.044776119402985</v>
      </c>
      <c r="AX33">
        <f>IF(AX$1&lt;&gt;"",INDEX(Base!$R$1:$R$2500,$E33+AX$1+2),"")</f>
        <v>16.12</v>
      </c>
      <c r="AY33">
        <f>IF(AY$1&lt;&gt;"",INDEX(Base!$R$1:$R$2500,$E33+AY$1+2),"")</f>
        <v>267.12</v>
      </c>
      <c r="AZ33">
        <f>IF(AZ$1&lt;&gt;"",INDEX(Base!$R$1:$R$2500,$E33+AZ$1+2),"")</f>
        <v>0.15</v>
      </c>
      <c r="BA33">
        <f>IF(BA$1&lt;&gt;"",INDEX(Base!$R$1:$R$2500,$E33+BA$1+2),"")</f>
        <v>0.99</v>
      </c>
      <c r="BB33">
        <f>IF(BB$1&lt;&gt;"",INDEX(Base!$R$1:$R$2500,$E33+BB$1+2),"")</f>
        <v>31.73</v>
      </c>
      <c r="BC33">
        <f>IF(BC$1&lt;&gt;"",INDEX(Base!$R$1:$R$2500,$E33+BC$1+2),"")</f>
        <v>1.64</v>
      </c>
      <c r="BD33">
        <f>IF(BD$1&lt;&gt;"",INDEX(Base!$R$1:$R$2500,$E33+BD$1+2),"")</f>
        <v>2.42</v>
      </c>
      <c r="BE33">
        <f>IF(BE$1&lt;&gt;"",INDEX(Base!$R$1:$R$2500,$E33+BE$1+2),"")</f>
        <v>12.99</v>
      </c>
      <c r="BF33">
        <f>IF(BF$1&lt;&gt;"",INDEX(Base!$R$1:$R$2500,$E33+BF$1+2),"")</f>
        <v>0.09</v>
      </c>
      <c r="BG33">
        <f>IF(BG$1&lt;&gt;"",INDEX(Base!$R$1:$R$2500,$E33+BG$1+2),"")</f>
        <v>0.1</v>
      </c>
      <c r="BH33">
        <f>IF(BH$1&lt;&gt;"",INDEX(Base!$R$1:$R$2500,$E33+BH$1+2),"")</f>
        <v>0.21</v>
      </c>
      <c r="BI33">
        <f>IF(BI$1&lt;&gt;"",INDEX(Base!$R$1:$R$2500,$E33+BI$1+2),"")</f>
        <v>15.99</v>
      </c>
      <c r="BJ33">
        <f>IF(BJ$1&lt;&gt;"",INDEX(Base!$R$1:$R$2500,$E33+BJ$1+2),"")</f>
        <v>8.6999999999999993</v>
      </c>
      <c r="BK33">
        <f>IF(BK$1&lt;&gt;"",INDEX(Base!$R$1:$R$2500,$E33+BK$1+2),"")</f>
        <v>3.41</v>
      </c>
      <c r="BL33">
        <f>IF(BL$1&lt;&gt;"",INDEX(Base!$R$1:$R$2500,$E33+BL$1+2),"")</f>
        <v>2.77</v>
      </c>
      <c r="BM33">
        <f>IF(BM$1&lt;&gt;"",INDEX(Base!$R$1:$R$2500,$E33+BM$1+2),"")</f>
        <v>0.55000000000000004</v>
      </c>
      <c r="BN33">
        <f>IF(BN$1&lt;&gt;"",INDEX(Base!$R$1:$R$2500,$E33+BN$1+2),"")</f>
        <v>0.1</v>
      </c>
      <c r="BO33">
        <f>IF(BO$1&lt;&gt;"",INDEX(Base!$R$1:$R$2500,$E33+BO$1+2),"")</f>
        <v>0.12</v>
      </c>
      <c r="BP33">
        <f>IF(BP$1&lt;&gt;"",INDEX(Base!$R$1:$R$2500,$E33+BP$1+2),"")</f>
        <v>2.0499999999999998</v>
      </c>
      <c r="BQ33">
        <f>IF(BQ$1&lt;&gt;"",INDEX(Base!$R$1:$R$2500,$E33+BQ$1+2),"")</f>
        <v>0.28999999999999998</v>
      </c>
      <c r="BR33">
        <f>IF(BR$1&lt;&gt;"",INDEX(Base!$R$1:$R$2500,$E33+BR$1+2),"")</f>
        <v>0.05</v>
      </c>
      <c r="BS33">
        <f>IF(BS$1&lt;&gt;"",INDEX(Base!$R$1:$R$2500,$E33+BS$1+2),"")</f>
        <v>1.19</v>
      </c>
      <c r="BT33">
        <f>IF(BT$1&lt;&gt;"",INDEX(Base!$R$1:$R$2500,$E33+BT$1+2),"")</f>
        <v>0.98</v>
      </c>
    </row>
    <row r="34" spans="1:72" x14ac:dyDescent="0.3">
      <c r="A34" s="2">
        <f t="shared" si="3"/>
        <v>1369</v>
      </c>
      <c r="B34" s="3" t="str">
        <f>IFERROR(MID(INDEX(Base!A$1:A$2500,Calcoli!A34),47,LEN(INDEX(Base!A$1:A$2500,Calcoli!A34))-41),"")</f>
        <v>BIGLIARDI FEDERICO</v>
      </c>
      <c r="C34" s="5" t="str">
        <f>MID(INDEX(Base!A$1:A$2500,Calcoli!$A34),42,4)</f>
        <v>1787</v>
      </c>
      <c r="D34" s="5" t="str">
        <f>MID(INDEX(Base!A$1:A$2500,Calcoli!A34),13,11)</f>
        <v xml:space="preserve"> 31_03_2025</v>
      </c>
      <c r="E34" s="4">
        <f t="shared" si="1"/>
        <v>966</v>
      </c>
      <c r="F34" s="3" t="str">
        <f>IFERROR(MID(INDEX(Base!L$1:L$2500,Calcoli!E34),47,LEN(INDEX(Base!L$1:L$2500,Calcoli!E34))-41),"")</f>
        <v>BIGLIARDI FEDERICO</v>
      </c>
      <c r="G34" s="5" t="str">
        <f>MID(INDEX(Base!L$1:L$2500,Calcoli!$E34),42,4)</f>
        <v>1787</v>
      </c>
      <c r="H34" s="5" t="str">
        <f>MID(INDEX(Base!L$1:L$2500,Calcoli!E34),13,11)</f>
        <v xml:space="preserve"> 01_04_2025</v>
      </c>
      <c r="I34" s="6" t="str">
        <f xml:space="preserve"> IFERROR(MID(INDEX(Base!$V$3:$AB$60,MATCH($F34,Base!$Z$3:$Z$160,0),1),1,14),"")</f>
        <v>1787 BIGLIARDI</v>
      </c>
      <c r="J34" s="6">
        <f xml:space="preserve"> IFERROR(INDEX(Base!$V$3:$AB$160,MATCH($F34,Base!$Z$3:$Z$160,0),2),"")</f>
        <v>157.05882352941177</v>
      </c>
      <c r="K34" s="6">
        <f xml:space="preserve"> IFERROR(INDEX(Base!$V$3:$AB$160,MATCH($F34,Base!$Z$3:$Z$160,0),3),"")</f>
        <v>2.9731827832499205</v>
      </c>
      <c r="L34" s="28">
        <f xml:space="preserve"> IFERROR(INDEX(Base!$V$3:$AB$160,MATCH($F34,Base!$Z$3:$Z$160,0),4),"")</f>
        <v>88.944174757281544</v>
      </c>
      <c r="M34">
        <f>IF(M$1&lt;&gt;"",INDEX(Base!$G$1:$G$2500,$A34+M$1+2),"")</f>
        <v>34.99</v>
      </c>
      <c r="N34">
        <f>IF(N$1&lt;&gt;"",INDEX(Base!$G$1:$G$2500,$A34+N$1+2),"")</f>
        <v>5.71</v>
      </c>
      <c r="O34">
        <f>IF(O$1&lt;&gt;"",INDEX(Base!$G$1:$G$2500,$A34+O$1+2),"")</f>
        <v>0.14000000000000001</v>
      </c>
      <c r="P34">
        <f>IF(P$1&lt;&gt;"",INDEX(Base!$G$1:$G$2500,$A34+P$1+2),"")</f>
        <v>1.1599999999999999</v>
      </c>
      <c r="Q34">
        <f>IF(Q$1&lt;&gt;"",INDEX(Base!$G$1:$G$2500,$A34+Q$1+2),"")</f>
        <v>0.1</v>
      </c>
      <c r="R34">
        <f>IF(R$1&lt;&gt;"",INDEX(Base!$G$1:$G$2500,$A34+R$1+2),"")</f>
        <v>1.92</v>
      </c>
      <c r="S34">
        <f>IF(S$1&lt;&gt;"",INDEX(Base!$G$1:$G$2500,$A34+S$1+2),"")</f>
        <v>0.62</v>
      </c>
      <c r="T34">
        <f>IF(T$1&lt;&gt;"",INDEX(Base!$G$1:$G$2500,$A34+T$1+2),"")</f>
        <v>17.920000000000002</v>
      </c>
      <c r="U34">
        <f>IF(U$1&lt;&gt;"",INDEX(Base!$G$1:$G$2500,$A34+U$1+2),"")</f>
        <v>1.1200000000000001</v>
      </c>
      <c r="V34">
        <f>IF(V$1&lt;&gt;"",INDEX(Base!$G$1:$G$2500,$A34+V$1+2),"")</f>
        <v>0.22</v>
      </c>
      <c r="W34">
        <f>IF(W$1&lt;&gt;"",INDEX(Base!$G$1:$G$2500,$A34+W$1+2),"")</f>
        <v>3.45</v>
      </c>
      <c r="X34">
        <f>IF(X$1&lt;&gt;"",INDEX(Base!$G$1:$G$2500,$A34+X$1+2),"")</f>
        <v>3.15</v>
      </c>
      <c r="Y34">
        <f>IF(Y$1&lt;&gt;"",INDEX(Base!$G$1:$G$2500,$A34+Y$1+2),"")</f>
        <v>35.770000000000003</v>
      </c>
      <c r="Z34">
        <f>IF(Z$1&lt;&gt;"",INDEX(Base!$G$1:$G$2500,$A34+Z$1+2),"")</f>
        <v>1.77</v>
      </c>
      <c r="AA34">
        <f>IF(AA$1&lt;&gt;"",INDEX(Base!$G$1:$G$2500,$A34+AA$1+2),"")</f>
        <v>1.36</v>
      </c>
      <c r="AB34">
        <f>IF(AB$1&lt;&gt;"",INDEX(Base!$G$1:$G$2500,$A34+AB$1+2),"")</f>
        <v>1.62</v>
      </c>
      <c r="AC34">
        <f>IF(AC$1&lt;&gt;"",INDEX(Base!$G$1:$G$2500,$A34+AC$1+2),"")</f>
        <v>4.07</v>
      </c>
      <c r="AD34">
        <f>IF(AD$1&lt;&gt;"",INDEX(Base!$G$1:$G$2500,$A34+AD$1+2),"")</f>
        <v>15.71</v>
      </c>
      <c r="AE34">
        <f>IF(AE$1&lt;&gt;"",INDEX(Base!$G$1:$G$2500,$A34+AE$1+2),"")</f>
        <v>0.28999999999999998</v>
      </c>
      <c r="AF34">
        <f>IF(AF$1&lt;&gt;"",INDEX(Base!$G$1:$G$2500,$A34+AF$1+2),"")</f>
        <v>1.7</v>
      </c>
      <c r="AG34">
        <f>IF(AG$1&lt;&gt;"",INDEX(Base!$G$1:$G$2500,$A34+AG$1+2),"")</f>
        <v>0.43</v>
      </c>
      <c r="AH34">
        <f>IF(AH$1&lt;&gt;"",INDEX(Base!$G$1:$G$2500,$A34+AH$1+2),"")</f>
        <v>6.12</v>
      </c>
      <c r="AI34">
        <f>IF(AI$1&lt;&gt;"",INDEX(Base!$G$1:$G$2500,$A34+AI$1+2),"")</f>
        <v>0.9</v>
      </c>
      <c r="AJ34">
        <f>IF(AJ$1&lt;&gt;"",INDEX(Base!$G$1:$G$2500,$A34+AJ$1+2),"")</f>
        <v>0.11</v>
      </c>
      <c r="AK34">
        <f>IF(AK$1&lt;&gt;"",INDEX(Base!$G$1:$G$2500,$A34+AK$1+2),"")</f>
        <v>2.95</v>
      </c>
      <c r="AL34">
        <f>IF(AL$1&lt;&gt;"",INDEX(Base!$G$1:$G$2500,$A34+AL$1+2),"")</f>
        <v>6.76</v>
      </c>
      <c r="AM34">
        <f>IF(AM$1&lt;&gt;"",INDEX(Base!$G$1:$G$2500,$A34+AM$1+2),"")</f>
        <v>0.8</v>
      </c>
      <c r="AN34">
        <f>IF(AN$1&lt;&gt;"",INDEX(Base!$G$1:$G$2500,$A34+AN$1+2),"")</f>
        <v>0.76</v>
      </c>
      <c r="AO34">
        <f>IF(AO$1&lt;&gt;"",INDEX(Base!$G$1:$G$2500,$A34+AO$1+2),"")</f>
        <v>1.22</v>
      </c>
      <c r="AP34">
        <f>IF(AP$1&lt;&gt;"",INDEX(Base!$G$1:$G$2500,$A34+AP$1+2),"")</f>
        <v>0.13</v>
      </c>
      <c r="AQ34">
        <f>IF(AQ$1&lt;&gt;"",INDEX(Base!$G$1:$G$2500,$A34+AQ$1+2),"")</f>
        <v>0.12</v>
      </c>
      <c r="AR34">
        <f>IF(AR$1&lt;&gt;"",INDEX(Base!$G$1:$G$2500,$A34+AR$1+2),"")</f>
        <v>0.05</v>
      </c>
      <c r="AS34">
        <f>IF(AS$1&lt;&gt;"",INDEX(Base!$G$1:$G$2500,$A34+AS$1+2),"")</f>
        <v>0.76</v>
      </c>
      <c r="AT34">
        <f>IF(AT$1&lt;&gt;"",INDEX(Base!$G$1:$G$2500,$A34+AT$1+2),"")</f>
        <v>0.08</v>
      </c>
      <c r="AU34">
        <f>IF(AU$1&lt;&gt;"",INDEX(Base!$G$1:$G$2500,$A34+AU$1+2),"")</f>
        <v>0.1</v>
      </c>
      <c r="AV34">
        <f>IF(AV$1&lt;&gt;"",INDEX(Base!$G$1:$G$2500,$A34+AV$1+2),"")</f>
        <v>0.24</v>
      </c>
      <c r="AW34" s="8">
        <f t="shared" si="0"/>
        <v>1.0925925925925926</v>
      </c>
      <c r="AX34">
        <f>IF(AX$1&lt;&gt;"",INDEX(Base!$R$1:$R$2500,$E34+AX$1+2),"")</f>
        <v>6.31</v>
      </c>
      <c r="AY34">
        <f>IF(AY$1&lt;&gt;"",INDEX(Base!$R$1:$R$2500,$E34+AY$1+2),"")</f>
        <v>197.9</v>
      </c>
      <c r="AZ34">
        <f>IF(AZ$1&lt;&gt;"",INDEX(Base!$R$1:$R$2500,$E34+AZ$1+2),"")</f>
        <v>0.16</v>
      </c>
      <c r="BA34">
        <f>IF(BA$1&lt;&gt;"",INDEX(Base!$R$1:$R$2500,$E34+BA$1+2),"")</f>
        <v>0.54</v>
      </c>
      <c r="BB34">
        <f>IF(BB$1&lt;&gt;"",INDEX(Base!$R$1:$R$2500,$E34+BB$1+2),"")</f>
        <v>62.68</v>
      </c>
      <c r="BC34">
        <f>IF(BC$1&lt;&gt;"",INDEX(Base!$R$1:$R$2500,$E34+BC$1+2),"")</f>
        <v>2.02</v>
      </c>
      <c r="BD34">
        <f>IF(BD$1&lt;&gt;"",INDEX(Base!$R$1:$R$2500,$E34+BD$1+2),"")</f>
        <v>2.75</v>
      </c>
      <c r="BE34">
        <f>IF(BE$1&lt;&gt;"",INDEX(Base!$R$1:$R$2500,$E34+BE$1+2),"")</f>
        <v>13.06</v>
      </c>
      <c r="BF34">
        <f>IF(BF$1&lt;&gt;"",INDEX(Base!$R$1:$R$2500,$E34+BF$1+2),"")</f>
        <v>0.16</v>
      </c>
      <c r="BG34">
        <f>IF(BG$1&lt;&gt;"",INDEX(Base!$R$1:$R$2500,$E34+BG$1+2),"")</f>
        <v>1.58</v>
      </c>
      <c r="BH34">
        <f>IF(BH$1&lt;&gt;"",INDEX(Base!$R$1:$R$2500,$E34+BH$1+2),"")</f>
        <v>0.22</v>
      </c>
      <c r="BI34">
        <f>IF(BI$1&lt;&gt;"",INDEX(Base!$R$1:$R$2500,$E34+BI$1+2),"")</f>
        <v>27.54</v>
      </c>
      <c r="BJ34">
        <f>IF(BJ$1&lt;&gt;"",INDEX(Base!$R$1:$R$2500,$E34+BJ$1+2),"")</f>
        <v>12.75</v>
      </c>
      <c r="BK34">
        <f>IF(BK$1&lt;&gt;"",INDEX(Base!$R$1:$R$2500,$E34+BK$1+2),"")</f>
        <v>15.3</v>
      </c>
      <c r="BL34">
        <f>IF(BL$1&lt;&gt;"",INDEX(Base!$R$1:$R$2500,$E34+BL$1+2),"")</f>
        <v>6.49</v>
      </c>
      <c r="BM34">
        <f>IF(BM$1&lt;&gt;"",INDEX(Base!$R$1:$R$2500,$E34+BM$1+2),"")</f>
        <v>0.72</v>
      </c>
      <c r="BN34">
        <f>IF(BN$1&lt;&gt;"",INDEX(Base!$R$1:$R$2500,$E34+BN$1+2),"")</f>
        <v>0.1</v>
      </c>
      <c r="BO34">
        <f>IF(BO$1&lt;&gt;"",INDEX(Base!$R$1:$R$2500,$E34+BO$1+2),"")</f>
        <v>0.14000000000000001</v>
      </c>
      <c r="BP34">
        <f>IF(BP$1&lt;&gt;"",INDEX(Base!$R$1:$R$2500,$E34+BP$1+2),"")</f>
        <v>1.32</v>
      </c>
      <c r="BQ34">
        <f>IF(BQ$1&lt;&gt;"",INDEX(Base!$R$1:$R$2500,$E34+BQ$1+2),"")</f>
        <v>0.1</v>
      </c>
      <c r="BR34">
        <f>IF(BR$1&lt;&gt;"",INDEX(Base!$R$1:$R$2500,$E34+BR$1+2),"")</f>
        <v>0.06</v>
      </c>
      <c r="BS34">
        <f>IF(BS$1&lt;&gt;"",INDEX(Base!$R$1:$R$2500,$E34+BS$1+2),"")</f>
        <v>5.12</v>
      </c>
      <c r="BT34">
        <f>IF(BT$1&lt;&gt;"",INDEX(Base!$R$1:$R$2500,$E34+BT$1+2),"")</f>
        <v>2.2400000000000002</v>
      </c>
    </row>
    <row r="35" spans="1:72" x14ac:dyDescent="0.3">
      <c r="A35" s="2">
        <f t="shared" si="3"/>
        <v>1413</v>
      </c>
      <c r="B35" s="3" t="str">
        <f>IFERROR(MID(INDEX(Base!A$1:A$2500,Calcoli!A35),47,LEN(INDEX(Base!A$1:A$2500,Calcoli!A35))-41),"")</f>
        <v/>
      </c>
      <c r="C35" s="5" t="str">
        <f>MID(INDEX(Base!A$1:A$2500,Calcoli!$A35),42,4)</f>
        <v/>
      </c>
      <c r="D35" s="5" t="str">
        <f>MID(INDEX(Base!A$1:A$2500,Calcoli!A35),13,11)</f>
        <v xml:space="preserve"> 31_03_2025</v>
      </c>
      <c r="E35" s="4">
        <f t="shared" si="1"/>
        <v>997</v>
      </c>
      <c r="F35" s="3" t="str">
        <f>IFERROR(MID(INDEX(Base!L$1:L$2500,Calcoli!E35),47,LEN(INDEX(Base!L$1:L$2500,Calcoli!E35))-41),"")</f>
        <v/>
      </c>
      <c r="G35" s="5" t="str">
        <f>MID(INDEX(Base!L$1:L$2500,Calcoli!$E35),42,4)</f>
        <v/>
      </c>
      <c r="H35" s="5" t="str">
        <f>MID(INDEX(Base!L$1:L$2500,Calcoli!E35),13,11)</f>
        <v xml:space="preserve"> 01_04_2025</v>
      </c>
      <c r="I35" s="6" t="str">
        <f xml:space="preserve"> IFERROR(MID(INDEX(Base!$V$3:$AB$60,MATCH($F35,Base!$Z$3:$Z$160,0),1),1,14),"")</f>
        <v/>
      </c>
      <c r="J35" s="6" t="str">
        <f xml:space="preserve"> IFERROR(INDEX(Base!$V$3:$AB$160,MATCH($F35,Base!$Z$3:$Z$160,0),2),"")</f>
        <v/>
      </c>
      <c r="K35" s="6" t="str">
        <f xml:space="preserve"> IFERROR(INDEX(Base!$V$3:$AB$160,MATCH($F35,Base!$Z$3:$Z$160,0),3),"")</f>
        <v/>
      </c>
      <c r="L35" s="28" t="str">
        <f xml:space="preserve"> IFERROR(INDEX(Base!$V$3:$AB$160,MATCH($F35,Base!$Z$3:$Z$160,0),4),"")</f>
        <v/>
      </c>
      <c r="M35">
        <f>IF(M$1&lt;&gt;"",INDEX(Base!$G$1:$G$2500,$A35+M$1+2),"")</f>
        <v>0.1</v>
      </c>
      <c r="N35">
        <f>IF(N$1&lt;&gt;"",INDEX(Base!$G$1:$G$2500,$A35+N$1+2),"")</f>
        <v>9.2100000000000009</v>
      </c>
      <c r="O35">
        <f>IF(O$1&lt;&gt;"",INDEX(Base!$G$1:$G$2500,$A35+O$1+2),"")</f>
        <v>0.82</v>
      </c>
      <c r="P35">
        <f>IF(P$1&lt;&gt;"",INDEX(Base!$G$1:$G$2500,$A35+P$1+2),"")</f>
        <v>0.8</v>
      </c>
      <c r="Q35">
        <f>IF(Q$1&lt;&gt;"",INDEX(Base!$G$1:$G$2500,$A35+Q$1+2),"")</f>
        <v>0.1</v>
      </c>
      <c r="R35">
        <f>IF(R$1&lt;&gt;"",INDEX(Base!$G$1:$G$2500,$A35+R$1+2),"")</f>
        <v>2.2999999999999998</v>
      </c>
      <c r="S35">
        <f>IF(S$1&lt;&gt;"",INDEX(Base!$G$1:$G$2500,$A35+S$1+2),"")</f>
        <v>0.09</v>
      </c>
      <c r="T35">
        <f>IF(T$1&lt;&gt;"",INDEX(Base!$G$1:$G$2500,$A35+T$1+2),"")</f>
        <v>0.1</v>
      </c>
      <c r="U35">
        <f>IF(U$1&lt;&gt;"",INDEX(Base!$G$1:$G$2500,$A35+U$1+2),"")</f>
        <v>1.44</v>
      </c>
      <c r="V35">
        <f>IF(V$1&lt;&gt;"",INDEX(Base!$G$1:$G$2500,$A35+V$1+2),"")</f>
        <v>0.88</v>
      </c>
      <c r="W35">
        <f>IF(W$1&lt;&gt;"",INDEX(Base!$G$1:$G$2500,$A35+W$1+2),"")</f>
        <v>0.1</v>
      </c>
      <c r="X35">
        <f>IF(X$1&lt;&gt;"",INDEX(Base!$G$1:$G$2500,$A35+X$1+2),"")</f>
        <v>2.87</v>
      </c>
      <c r="Y35">
        <f>IF(Y$1&lt;&gt;"",INDEX(Base!$G$1:$G$2500,$A35+Y$1+2),"")</f>
        <v>0.1</v>
      </c>
      <c r="Z35">
        <f>IF(Z$1&lt;&gt;"",INDEX(Base!$G$1:$G$2500,$A35+Z$1+2),"")</f>
        <v>0.1</v>
      </c>
      <c r="AA35">
        <f>IF(AA$1&lt;&gt;"",INDEX(Base!$G$1:$G$2500,$A35+AA$1+2),"")</f>
        <v>1.67</v>
      </c>
      <c r="AB35">
        <f>IF(AB$1&lt;&gt;"",INDEX(Base!$G$1:$G$2500,$A35+AB$1+2),"")</f>
        <v>0.1</v>
      </c>
      <c r="AC35">
        <f>IF(AC$1&lt;&gt;"",INDEX(Base!$G$1:$G$2500,$A35+AC$1+2),"")</f>
        <v>3.27</v>
      </c>
      <c r="AD35">
        <f>IF(AD$1&lt;&gt;"",INDEX(Base!$G$1:$G$2500,$A35+AD$1+2),"")</f>
        <v>10.35</v>
      </c>
      <c r="AE35">
        <f>IF(AE$1&lt;&gt;"",INDEX(Base!$G$1:$G$2500,$A35+AE$1+2),"")</f>
        <v>0.3</v>
      </c>
      <c r="AF35">
        <f>IF(AF$1&lt;&gt;"",INDEX(Base!$G$1:$G$2500,$A35+AF$1+2),"")</f>
        <v>0.1</v>
      </c>
      <c r="AG35">
        <f>IF(AG$1&lt;&gt;"",INDEX(Base!$G$1:$G$2500,$A35+AG$1+2),"")</f>
        <v>0.22</v>
      </c>
      <c r="AH35">
        <f>IF(AH$1&lt;&gt;"",INDEX(Base!$G$1:$G$2500,$A35+AH$1+2),"")</f>
        <v>0.1</v>
      </c>
      <c r="AI35">
        <f>IF(AI$1&lt;&gt;"",INDEX(Base!$G$1:$G$2500,$A35+AI$1+2),"")</f>
        <v>0.1</v>
      </c>
      <c r="AJ35">
        <f>IF(AJ$1&lt;&gt;"",INDEX(Base!$G$1:$G$2500,$A35+AJ$1+2),"")</f>
        <v>0.1</v>
      </c>
      <c r="AK35">
        <f>IF(AK$1&lt;&gt;"",INDEX(Base!$G$1:$G$2500,$A35+AK$1+2),"")</f>
        <v>21.86</v>
      </c>
      <c r="AL35">
        <f>IF(AL$1&lt;&gt;"",INDEX(Base!$G$1:$G$2500,$A35+AL$1+2),"")</f>
        <v>0.1</v>
      </c>
      <c r="AM35">
        <f>IF(AM$1&lt;&gt;"",INDEX(Base!$G$1:$G$2500,$A35+AM$1+2),"")</f>
        <v>0.1</v>
      </c>
      <c r="AN35">
        <f>IF(AN$1&lt;&gt;"",INDEX(Base!$G$1:$G$2500,$A35+AN$1+2),"")</f>
        <v>1.8</v>
      </c>
      <c r="AO35">
        <f>IF(AO$1&lt;&gt;"",INDEX(Base!$G$1:$G$2500,$A35+AO$1+2),"")</f>
        <v>0.1</v>
      </c>
      <c r="AP35">
        <f>IF(AP$1&lt;&gt;"",INDEX(Base!$G$1:$G$2500,$A35+AP$1+2),"")</f>
        <v>0.17</v>
      </c>
      <c r="AQ35">
        <f>IF(AQ$1&lt;&gt;"",INDEX(Base!$G$1:$G$2500,$A35+AQ$1+2),"")</f>
        <v>0.1</v>
      </c>
      <c r="AR35">
        <f>IF(AR$1&lt;&gt;"",INDEX(Base!$G$1:$G$2500,$A35+AR$1+2),"")</f>
        <v>0.1</v>
      </c>
      <c r="AS35">
        <f>IF(AS$1&lt;&gt;"",INDEX(Base!$G$1:$G$2500,$A35+AS$1+2),"")</f>
        <v>3.35</v>
      </c>
      <c r="AT35">
        <f>IF(AT$1&lt;&gt;"",INDEX(Base!$G$1:$G$2500,$A35+AT$1+2),"")</f>
        <v>0.12</v>
      </c>
      <c r="AU35">
        <f>IF(AU$1&lt;&gt;"",INDEX(Base!$G$1:$G$2500,$A35+AU$1+2),"")</f>
        <v>0.1</v>
      </c>
      <c r="AV35">
        <f>IF(AV$1&lt;&gt;"",INDEX(Base!$G$1:$G$2500,$A35+AV$1+2),"")</f>
        <v>7.0000000000000007E-2</v>
      </c>
      <c r="AW35" s="8">
        <f t="shared" si="0"/>
        <v>1</v>
      </c>
      <c r="AX35">
        <f>IF(AX$1&lt;&gt;"",INDEX(Base!$R$1:$R$2500,$E35+AX$1+2),"")</f>
        <v>0.1</v>
      </c>
      <c r="AY35">
        <f>IF(AY$1&lt;&gt;"",INDEX(Base!$R$1:$R$2500,$E35+AY$1+2),"")</f>
        <v>427.75</v>
      </c>
      <c r="AZ35">
        <f>IF(AZ$1&lt;&gt;"",INDEX(Base!$R$1:$R$2500,$E35+AZ$1+2),"")</f>
        <v>0.1</v>
      </c>
      <c r="BA35">
        <f>IF(BA$1&lt;&gt;"",INDEX(Base!$R$1:$R$2500,$E35+BA$1+2),"")</f>
        <v>0.68</v>
      </c>
      <c r="BB35">
        <f>IF(BB$1&lt;&gt;"",INDEX(Base!$R$1:$R$2500,$E35+BB$1+2),"")</f>
        <v>45.96</v>
      </c>
      <c r="BC35">
        <f>IF(BC$1&lt;&gt;"",INDEX(Base!$R$1:$R$2500,$E35+BC$1+2),"")</f>
        <v>0.1</v>
      </c>
      <c r="BD35">
        <f>IF(BD$1&lt;&gt;"",INDEX(Base!$R$1:$R$2500,$E35+BD$1+2),"")</f>
        <v>0.1</v>
      </c>
      <c r="BE35">
        <f>IF(BE$1&lt;&gt;"",INDEX(Base!$R$1:$R$2500,$E35+BE$1+2),"")</f>
        <v>0.1</v>
      </c>
      <c r="BF35">
        <f>IF(BF$1&lt;&gt;"",INDEX(Base!$R$1:$R$2500,$E35+BF$1+2),"")</f>
        <v>0.12</v>
      </c>
      <c r="BG35">
        <f>IF(BG$1&lt;&gt;"",INDEX(Base!$R$1:$R$2500,$E35+BG$1+2),"")</f>
        <v>0.1</v>
      </c>
      <c r="BH35">
        <f>IF(BH$1&lt;&gt;"",INDEX(Base!$R$1:$R$2500,$E35+BH$1+2),"")</f>
        <v>0.1</v>
      </c>
      <c r="BI35">
        <f>IF(BI$1&lt;&gt;"",INDEX(Base!$R$1:$R$2500,$E35+BI$1+2),"")</f>
        <v>0.1</v>
      </c>
      <c r="BJ35">
        <f>IF(BJ$1&lt;&gt;"",INDEX(Base!$R$1:$R$2500,$E35+BJ$1+2),"")</f>
        <v>0.1</v>
      </c>
      <c r="BK35">
        <f>IF(BK$1&lt;&gt;"",INDEX(Base!$R$1:$R$2500,$E35+BK$1+2),"")</f>
        <v>0.1</v>
      </c>
      <c r="BL35">
        <f>IF(BL$1&lt;&gt;"",INDEX(Base!$R$1:$R$2500,$E35+BL$1+2),"")</f>
        <v>0.1</v>
      </c>
      <c r="BM35">
        <f>IF(BM$1&lt;&gt;"",INDEX(Base!$R$1:$R$2500,$E35+BM$1+2),"")</f>
        <v>0.1</v>
      </c>
      <c r="BN35">
        <f>IF(BN$1&lt;&gt;"",INDEX(Base!$R$1:$R$2500,$E35+BN$1+2),"")</f>
        <v>0.1</v>
      </c>
      <c r="BO35">
        <f>IF(BO$1&lt;&gt;"",INDEX(Base!$R$1:$R$2500,$E35+BO$1+2),"")</f>
        <v>0.1</v>
      </c>
      <c r="BP35">
        <f>IF(BP$1&lt;&gt;"",INDEX(Base!$R$1:$R$2500,$E35+BP$1+2),"")</f>
        <v>0.1</v>
      </c>
      <c r="BQ35">
        <f>IF(BQ$1&lt;&gt;"",INDEX(Base!$R$1:$R$2500,$E35+BQ$1+2),"")</f>
        <v>0.1</v>
      </c>
      <c r="BR35">
        <f>IF(BR$1&lt;&gt;"",INDEX(Base!$R$1:$R$2500,$E35+BR$1+2),"")</f>
        <v>0.1</v>
      </c>
      <c r="BS35">
        <f>IF(BS$1&lt;&gt;"",INDEX(Base!$R$1:$R$2500,$E35+BS$1+2),"")</f>
        <v>0.1</v>
      </c>
      <c r="BT35">
        <f>IF(BT$1&lt;&gt;"",INDEX(Base!$R$1:$R$2500,$E35+BT$1+2),"")</f>
        <v>2.1</v>
      </c>
    </row>
    <row r="36" spans="1:72" x14ac:dyDescent="0.3">
      <c r="A36" s="2">
        <f t="shared" si="3"/>
        <v>1457</v>
      </c>
      <c r="B36" s="3" t="str">
        <f>IFERROR(MID(INDEX(Base!A$1:A$2500,Calcoli!A36),47,LEN(INDEX(Base!A$1:A$2500,Calcoli!A36))-41),"")</f>
        <v>PAVAN SERGIO</v>
      </c>
      <c r="C36" s="5" t="str">
        <f>MID(INDEX(Base!A$1:A$2500,Calcoli!$A36),42,4)</f>
        <v>1822</v>
      </c>
      <c r="D36" s="5" t="str">
        <f>MID(INDEX(Base!A$1:A$2500,Calcoli!A36),13,11)</f>
        <v xml:space="preserve"> 31_03_2025</v>
      </c>
      <c r="E36" s="4">
        <f t="shared" si="1"/>
        <v>1028</v>
      </c>
      <c r="F36" s="3" t="str">
        <f>IFERROR(MID(INDEX(Base!L$1:L$2500,Calcoli!E36),47,LEN(INDEX(Base!L$1:L$2500,Calcoli!E36))-41),"")</f>
        <v xml:space="preserve">PAVAN SERGIO </v>
      </c>
      <c r="G36" s="5" t="str">
        <f>MID(INDEX(Base!L$1:L$2500,Calcoli!$E36),42,4)</f>
        <v>1822</v>
      </c>
      <c r="H36" s="5" t="str">
        <f>MID(INDEX(Base!L$1:L$2500,Calcoli!E36),13,11)</f>
        <v xml:space="preserve"> 01_04_2025</v>
      </c>
      <c r="I36" s="6" t="str">
        <f xml:space="preserve"> IFERROR(MID(INDEX(Base!$V$3:$AB$60,MATCH($F36,Base!$Z$3:$Z$160,0),1),1,14),"")</f>
        <v>1822 PAVAN SER</v>
      </c>
      <c r="J36" s="6">
        <f xml:space="preserve"> IFERROR(INDEX(Base!$V$3:$AB$160,MATCH($F36,Base!$Z$3:$Z$160,0),2),"")</f>
        <v>173.10344827586206</v>
      </c>
      <c r="K36" s="6">
        <f xml:space="preserve"> IFERROR(INDEX(Base!$V$3:$AB$160,MATCH($F36,Base!$Z$3:$Z$160,0),3),"")</f>
        <v>21.850594065467952</v>
      </c>
      <c r="L36" s="28">
        <f xml:space="preserve"> IFERROR(INDEX(Base!$V$3:$AB$160,MATCH($F36,Base!$Z$3:$Z$160,0),4),"")</f>
        <v>10.746359223300972</v>
      </c>
      <c r="M36">
        <f>IF(M$1&lt;&gt;"",INDEX(Base!$G$1:$G$2500,$A36+M$1+2),"")</f>
        <v>15.93</v>
      </c>
      <c r="N36">
        <f>IF(N$1&lt;&gt;"",INDEX(Base!$G$1:$G$2500,$A36+N$1+2),"")</f>
        <v>3.29</v>
      </c>
      <c r="O36">
        <f>IF(O$1&lt;&gt;"",INDEX(Base!$G$1:$G$2500,$A36+O$1+2),"")</f>
        <v>0.35</v>
      </c>
      <c r="P36">
        <f>IF(P$1&lt;&gt;"",INDEX(Base!$G$1:$G$2500,$A36+P$1+2),"")</f>
        <v>0.96</v>
      </c>
      <c r="Q36">
        <f>IF(Q$1&lt;&gt;"",INDEX(Base!$G$1:$G$2500,$A36+Q$1+2),"")</f>
        <v>0.1</v>
      </c>
      <c r="R36">
        <f>IF(R$1&lt;&gt;"",INDEX(Base!$G$1:$G$2500,$A36+R$1+2),"")</f>
        <v>2.41</v>
      </c>
      <c r="S36">
        <f>IF(S$1&lt;&gt;"",INDEX(Base!$G$1:$G$2500,$A36+S$1+2),"")</f>
        <v>0.14000000000000001</v>
      </c>
      <c r="T36">
        <f>IF(T$1&lt;&gt;"",INDEX(Base!$G$1:$G$2500,$A36+T$1+2),"")</f>
        <v>40.79</v>
      </c>
      <c r="U36">
        <f>IF(U$1&lt;&gt;"",INDEX(Base!$G$1:$G$2500,$A36+U$1+2),"")</f>
        <v>0.62</v>
      </c>
      <c r="V36">
        <f>IF(V$1&lt;&gt;"",INDEX(Base!$G$1:$G$2500,$A36+V$1+2),"")</f>
        <v>0.17</v>
      </c>
      <c r="W36">
        <f>IF(W$1&lt;&gt;"",INDEX(Base!$G$1:$G$2500,$A36+W$1+2),"")</f>
        <v>2.2400000000000002</v>
      </c>
      <c r="X36">
        <f>IF(X$1&lt;&gt;"",INDEX(Base!$G$1:$G$2500,$A36+X$1+2),"")</f>
        <v>1.28</v>
      </c>
      <c r="Y36">
        <f>IF(Y$1&lt;&gt;"",INDEX(Base!$G$1:$G$2500,$A36+Y$1+2),"")</f>
        <v>45.88</v>
      </c>
      <c r="Z36">
        <f>IF(Z$1&lt;&gt;"",INDEX(Base!$G$1:$G$2500,$A36+Z$1+2),"")</f>
        <v>3.98</v>
      </c>
      <c r="AA36">
        <f>IF(AA$1&lt;&gt;"",INDEX(Base!$G$1:$G$2500,$A36+AA$1+2),"")</f>
        <v>1.48</v>
      </c>
      <c r="AB36">
        <f>IF(AB$1&lt;&gt;"",INDEX(Base!$G$1:$G$2500,$A36+AB$1+2),"")</f>
        <v>1.1299999999999999</v>
      </c>
      <c r="AC36">
        <f>IF(AC$1&lt;&gt;"",INDEX(Base!$G$1:$G$2500,$A36+AC$1+2),"")</f>
        <v>1.17</v>
      </c>
      <c r="AD36">
        <f>IF(AD$1&lt;&gt;"",INDEX(Base!$G$1:$G$2500,$A36+AD$1+2),"")</f>
        <v>10.81</v>
      </c>
      <c r="AE36">
        <f>IF(AE$1&lt;&gt;"",INDEX(Base!$G$1:$G$2500,$A36+AE$1+2),"")</f>
        <v>7.0000000000000007E-2</v>
      </c>
      <c r="AF36">
        <f>IF(AF$1&lt;&gt;"",INDEX(Base!$G$1:$G$2500,$A36+AF$1+2),"")</f>
        <v>2.84</v>
      </c>
      <c r="AG36">
        <f>IF(AG$1&lt;&gt;"",INDEX(Base!$G$1:$G$2500,$A36+AG$1+2),"")</f>
        <v>0.93</v>
      </c>
      <c r="AH36">
        <f>IF(AH$1&lt;&gt;"",INDEX(Base!$G$1:$G$2500,$A36+AH$1+2),"")</f>
        <v>2.58</v>
      </c>
      <c r="AI36">
        <f>IF(AI$1&lt;&gt;"",INDEX(Base!$G$1:$G$2500,$A36+AI$1+2),"")</f>
        <v>0.65</v>
      </c>
      <c r="AJ36">
        <f>IF(AJ$1&lt;&gt;"",INDEX(Base!$G$1:$G$2500,$A36+AJ$1+2),"")</f>
        <v>0.12</v>
      </c>
      <c r="AK36">
        <f>IF(AK$1&lt;&gt;"",INDEX(Base!$G$1:$G$2500,$A36+AK$1+2),"")</f>
        <v>9.4700000000000006</v>
      </c>
      <c r="AL36">
        <f>IF(AL$1&lt;&gt;"",INDEX(Base!$G$1:$G$2500,$A36+AL$1+2),"")</f>
        <v>7.91</v>
      </c>
      <c r="AM36">
        <f>IF(AM$1&lt;&gt;"",INDEX(Base!$G$1:$G$2500,$A36+AM$1+2),"")</f>
        <v>0.68</v>
      </c>
      <c r="AN36">
        <f>IF(AN$1&lt;&gt;"",INDEX(Base!$G$1:$G$2500,$A36+AN$1+2),"")</f>
        <v>0.68</v>
      </c>
      <c r="AO36">
        <f>IF(AO$1&lt;&gt;"",INDEX(Base!$G$1:$G$2500,$A36+AO$1+2),"")</f>
        <v>0.9</v>
      </c>
      <c r="AP36">
        <f>IF(AP$1&lt;&gt;"",INDEX(Base!$G$1:$G$2500,$A36+AP$1+2),"")</f>
        <v>0.2</v>
      </c>
      <c r="AQ36">
        <f>IF(AQ$1&lt;&gt;"",INDEX(Base!$G$1:$G$2500,$A36+AQ$1+2),"")</f>
        <v>0.13</v>
      </c>
      <c r="AR36">
        <f>IF(AR$1&lt;&gt;"",INDEX(Base!$G$1:$G$2500,$A36+AR$1+2),"")</f>
        <v>0.12</v>
      </c>
      <c r="AS36">
        <f>IF(AS$1&lt;&gt;"",INDEX(Base!$G$1:$G$2500,$A36+AS$1+2),"")</f>
        <v>0.46</v>
      </c>
      <c r="AT36">
        <f>IF(AT$1&lt;&gt;"",INDEX(Base!$G$1:$G$2500,$A36+AT$1+2),"")</f>
        <v>0.12</v>
      </c>
      <c r="AU36">
        <f>IF(AU$1&lt;&gt;"",INDEX(Base!$G$1:$G$2500,$A36+AU$1+2),"")</f>
        <v>0.13</v>
      </c>
      <c r="AV36">
        <f>IF(AV$1&lt;&gt;"",INDEX(Base!$G$1:$G$2500,$A36+AV$1+2),"")</f>
        <v>1.24</v>
      </c>
      <c r="AW36" s="8">
        <f t="shared" si="0"/>
        <v>3.5221238938053099</v>
      </c>
      <c r="AX36">
        <f>IF(AX$1&lt;&gt;"",INDEX(Base!$R$1:$R$2500,$E36+AX$1+2),"")</f>
        <v>37.549999999999997</v>
      </c>
      <c r="AY36">
        <f>IF(AY$1&lt;&gt;"",INDEX(Base!$R$1:$R$2500,$E36+AY$1+2),"")</f>
        <v>173.49</v>
      </c>
      <c r="AZ36">
        <f>IF(AZ$1&lt;&gt;"",INDEX(Base!$R$1:$R$2500,$E36+AZ$1+2),"")</f>
        <v>0.3</v>
      </c>
      <c r="BA36">
        <f>IF(BA$1&lt;&gt;"",INDEX(Base!$R$1:$R$2500,$E36+BA$1+2),"")</f>
        <v>0.82</v>
      </c>
      <c r="BB36">
        <f>IF(BB$1&lt;&gt;"",INDEX(Base!$R$1:$R$2500,$E36+BB$1+2),"")</f>
        <v>57.26</v>
      </c>
      <c r="BC36">
        <f>IF(BC$1&lt;&gt;"",INDEX(Base!$R$1:$R$2500,$E36+BC$1+2),"")</f>
        <v>4</v>
      </c>
      <c r="BD36">
        <f>IF(BD$1&lt;&gt;"",INDEX(Base!$R$1:$R$2500,$E36+BD$1+2),"")</f>
        <v>2.94</v>
      </c>
      <c r="BE36">
        <f>IF(BE$1&lt;&gt;"",INDEX(Base!$R$1:$R$2500,$E36+BE$1+2),"")</f>
        <v>44.49</v>
      </c>
      <c r="BF36">
        <f>IF(BF$1&lt;&gt;"",INDEX(Base!$R$1:$R$2500,$E36+BF$1+2),"")</f>
        <v>0.14000000000000001</v>
      </c>
      <c r="BG36">
        <f>IF(BG$1&lt;&gt;"",INDEX(Base!$R$1:$R$2500,$E36+BG$1+2),"")</f>
        <v>0.68</v>
      </c>
      <c r="BH36">
        <f>IF(BH$1&lt;&gt;"",INDEX(Base!$R$1:$R$2500,$E36+BH$1+2),"")</f>
        <v>0.48</v>
      </c>
      <c r="BI36">
        <f>IF(BI$1&lt;&gt;"",INDEX(Base!$R$1:$R$2500,$E36+BI$1+2),"")</f>
        <v>28.55</v>
      </c>
      <c r="BJ36">
        <f>IF(BJ$1&lt;&gt;"",INDEX(Base!$R$1:$R$2500,$E36+BJ$1+2),"")</f>
        <v>6.35</v>
      </c>
      <c r="BK36">
        <f>IF(BK$1&lt;&gt;"",INDEX(Base!$R$1:$R$2500,$E36+BK$1+2),"")</f>
        <v>20.170000000000002</v>
      </c>
      <c r="BL36">
        <f>IF(BL$1&lt;&gt;"",INDEX(Base!$R$1:$R$2500,$E36+BL$1+2),"")</f>
        <v>5.62</v>
      </c>
      <c r="BM36">
        <f>IF(BM$1&lt;&gt;"",INDEX(Base!$R$1:$R$2500,$E36+BM$1+2),"")</f>
        <v>0.75</v>
      </c>
      <c r="BN36">
        <f>IF(BN$1&lt;&gt;"",INDEX(Base!$R$1:$R$2500,$E36+BN$1+2),"")</f>
        <v>0.1</v>
      </c>
      <c r="BO36">
        <f>IF(BO$1&lt;&gt;"",INDEX(Base!$R$1:$R$2500,$E36+BO$1+2),"")</f>
        <v>7.0000000000000007E-2</v>
      </c>
      <c r="BP36">
        <f>IF(BP$1&lt;&gt;"",INDEX(Base!$R$1:$R$2500,$E36+BP$1+2),"")</f>
        <v>1.37</v>
      </c>
      <c r="BQ36">
        <f>IF(BQ$1&lt;&gt;"",INDEX(Base!$R$1:$R$2500,$E36+BQ$1+2),"")</f>
        <v>0.46</v>
      </c>
      <c r="BR36">
        <f>IF(BR$1&lt;&gt;"",INDEX(Base!$R$1:$R$2500,$E36+BR$1+2),"")</f>
        <v>0.08</v>
      </c>
      <c r="BS36">
        <f>IF(BS$1&lt;&gt;"",INDEX(Base!$R$1:$R$2500,$E36+BS$1+2),"")</f>
        <v>1.03</v>
      </c>
      <c r="BT36">
        <f>IF(BT$1&lt;&gt;"",INDEX(Base!$R$1:$R$2500,$E36+BT$1+2),"")</f>
        <v>1.8</v>
      </c>
    </row>
    <row r="37" spans="1:72" x14ac:dyDescent="0.3">
      <c r="A37" s="2">
        <f t="shared" si="3"/>
        <v>1501</v>
      </c>
      <c r="B37" s="3" t="str">
        <f>IFERROR(MID(INDEX(Base!A$1:A$2500,Calcoli!A37),47,LEN(INDEX(Base!A$1:A$2500,Calcoli!A37))-41),"")</f>
        <v>GROPPI ADELE</v>
      </c>
      <c r="C37" s="5" t="str">
        <f>MID(INDEX(Base!A$1:A$2500,Calcoli!$A37),42,4)</f>
        <v>1824</v>
      </c>
      <c r="D37" s="5" t="str">
        <f>MID(INDEX(Base!A$1:A$2500,Calcoli!A37),13,11)</f>
        <v xml:space="preserve"> 31_03_2025</v>
      </c>
      <c r="E37" s="4">
        <f t="shared" si="1"/>
        <v>1059</v>
      </c>
      <c r="F37" s="3" t="str">
        <f>IFERROR(MID(INDEX(Base!L$1:L$2500,Calcoli!E37),47,LEN(INDEX(Base!L$1:L$2500,Calcoli!E37))-41),"")</f>
        <v>GROPPI ADELE</v>
      </c>
      <c r="G37" s="5" t="str">
        <f>MID(INDEX(Base!L$1:L$2500,Calcoli!$E37),42,4)</f>
        <v>1824</v>
      </c>
      <c r="H37" s="5" t="str">
        <f>MID(INDEX(Base!L$1:L$2500,Calcoli!E37),13,11)</f>
        <v xml:space="preserve"> 01_04_2025</v>
      </c>
      <c r="I37" s="6" t="str">
        <f xml:space="preserve"> IFERROR(MID(INDEX(Base!$V$3:$AB$60,MATCH($F37,Base!$Z$3:$Z$160,0),1),1,14),"")</f>
        <v>1824 GROPPI AD</v>
      </c>
      <c r="J37" s="6">
        <f xml:space="preserve"> IFERROR(INDEX(Base!$V$3:$AB$160,MATCH($F37,Base!$Z$3:$Z$160,0),2),"")</f>
        <v>102.06896551724137</v>
      </c>
      <c r="K37" s="6">
        <f xml:space="preserve"> IFERROR(INDEX(Base!$V$3:$AB$160,MATCH($F37,Base!$Z$3:$Z$160,0),3),"")</f>
        <v>43.004914613000572</v>
      </c>
      <c r="L37" s="28">
        <f xml:space="preserve"> IFERROR(INDEX(Base!$V$3:$AB$160,MATCH($F37,Base!$Z$3:$Z$160,0),4),"")</f>
        <v>17.882281553398059</v>
      </c>
      <c r="M37">
        <f>IF(M$1&lt;&gt;"",INDEX(Base!$G$1:$G$2500,$A37+M$1+2),"")</f>
        <v>24.74</v>
      </c>
      <c r="N37">
        <f>IF(N$1&lt;&gt;"",INDEX(Base!$G$1:$G$2500,$A37+N$1+2),"")</f>
        <v>4.7</v>
      </c>
      <c r="O37">
        <f>IF(O$1&lt;&gt;"",INDEX(Base!$G$1:$G$2500,$A37+O$1+2),"")</f>
        <v>0.15</v>
      </c>
      <c r="P37">
        <f>IF(P$1&lt;&gt;"",INDEX(Base!$G$1:$G$2500,$A37+P$1+2),"")</f>
        <v>2.76</v>
      </c>
      <c r="Q37">
        <f>IF(Q$1&lt;&gt;"",INDEX(Base!$G$1:$G$2500,$A37+Q$1+2),"")</f>
        <v>0.1</v>
      </c>
      <c r="R37">
        <f>IF(R$1&lt;&gt;"",INDEX(Base!$G$1:$G$2500,$A37+R$1+2),"")</f>
        <v>1.92</v>
      </c>
      <c r="S37">
        <f>IF(S$1&lt;&gt;"",INDEX(Base!$G$1:$G$2500,$A37+S$1+2),"")</f>
        <v>0.09</v>
      </c>
      <c r="T37">
        <f>IF(T$1&lt;&gt;"",INDEX(Base!$G$1:$G$2500,$A37+T$1+2),"")</f>
        <v>31.71</v>
      </c>
      <c r="U37">
        <f>IF(U$1&lt;&gt;"",INDEX(Base!$G$1:$G$2500,$A37+U$1+2),"")</f>
        <v>3.27</v>
      </c>
      <c r="V37">
        <f>IF(V$1&lt;&gt;"",INDEX(Base!$G$1:$G$2500,$A37+V$1+2),"")</f>
        <v>0.05</v>
      </c>
      <c r="W37">
        <f>IF(W$1&lt;&gt;"",INDEX(Base!$G$1:$G$2500,$A37+W$1+2),"")</f>
        <v>1.75</v>
      </c>
      <c r="X37">
        <f>IF(X$1&lt;&gt;"",INDEX(Base!$G$1:$G$2500,$A37+X$1+2),"")</f>
        <v>1.86</v>
      </c>
      <c r="Y37">
        <f>IF(Y$1&lt;&gt;"",INDEX(Base!$G$1:$G$2500,$A37+Y$1+2),"")</f>
        <v>63.37</v>
      </c>
      <c r="Z37">
        <f>IF(Z$1&lt;&gt;"",INDEX(Base!$G$1:$G$2500,$A37+Z$1+2),"")</f>
        <v>1.35</v>
      </c>
      <c r="AA37">
        <f>IF(AA$1&lt;&gt;"",INDEX(Base!$G$1:$G$2500,$A37+AA$1+2),"")</f>
        <v>0.52</v>
      </c>
      <c r="AB37">
        <f>IF(AB$1&lt;&gt;"",INDEX(Base!$G$1:$G$2500,$A37+AB$1+2),"")</f>
        <v>0.86</v>
      </c>
      <c r="AC37">
        <f>IF(AC$1&lt;&gt;"",INDEX(Base!$G$1:$G$2500,$A37+AC$1+2),"")</f>
        <v>3.85</v>
      </c>
      <c r="AD37">
        <f>IF(AD$1&lt;&gt;"",INDEX(Base!$G$1:$G$2500,$A37+AD$1+2),"")</f>
        <v>11.28</v>
      </c>
      <c r="AE37">
        <f>IF(AE$1&lt;&gt;"",INDEX(Base!$G$1:$G$2500,$A37+AE$1+2),"")</f>
        <v>0.37</v>
      </c>
      <c r="AF37">
        <f>IF(AF$1&lt;&gt;"",INDEX(Base!$G$1:$G$2500,$A37+AF$1+2),"")</f>
        <v>2.17</v>
      </c>
      <c r="AG37">
        <f>IF(AG$1&lt;&gt;"",INDEX(Base!$G$1:$G$2500,$A37+AG$1+2),"")</f>
        <v>0.56000000000000005</v>
      </c>
      <c r="AH37">
        <f>IF(AH$1&lt;&gt;"",INDEX(Base!$G$1:$G$2500,$A37+AH$1+2),"")</f>
        <v>3.62</v>
      </c>
      <c r="AI37">
        <f>IF(AI$1&lt;&gt;"",INDEX(Base!$G$1:$G$2500,$A37+AI$1+2),"")</f>
        <v>0.78</v>
      </c>
      <c r="AJ37">
        <f>IF(AJ$1&lt;&gt;"",INDEX(Base!$G$1:$G$2500,$A37+AJ$1+2),"")</f>
        <v>0.12</v>
      </c>
      <c r="AK37">
        <f>IF(AK$1&lt;&gt;"",INDEX(Base!$G$1:$G$2500,$A37+AK$1+2),"")</f>
        <v>3.33</v>
      </c>
      <c r="AL37">
        <f>IF(AL$1&lt;&gt;"",INDEX(Base!$G$1:$G$2500,$A37+AL$1+2),"")</f>
        <v>1.69</v>
      </c>
      <c r="AM37">
        <f>IF(AM$1&lt;&gt;"",INDEX(Base!$G$1:$G$2500,$A37+AM$1+2),"")</f>
        <v>0.55000000000000004</v>
      </c>
      <c r="AN37">
        <f>IF(AN$1&lt;&gt;"",INDEX(Base!$G$1:$G$2500,$A37+AN$1+2),"")</f>
        <v>2.2799999999999998</v>
      </c>
      <c r="AO37">
        <f>IF(AO$1&lt;&gt;"",INDEX(Base!$G$1:$G$2500,$A37+AO$1+2),"")</f>
        <v>1.55</v>
      </c>
      <c r="AP37">
        <f>IF(AP$1&lt;&gt;"",INDEX(Base!$G$1:$G$2500,$A37+AP$1+2),"")</f>
        <v>0.09</v>
      </c>
      <c r="AQ37">
        <f>IF(AQ$1&lt;&gt;"",INDEX(Base!$G$1:$G$2500,$A37+AQ$1+2),"")</f>
        <v>0.09</v>
      </c>
      <c r="AR37">
        <f>IF(AR$1&lt;&gt;"",INDEX(Base!$G$1:$G$2500,$A37+AR$1+2),"")</f>
        <v>0.08</v>
      </c>
      <c r="AS37">
        <f>IF(AS$1&lt;&gt;"",INDEX(Base!$G$1:$G$2500,$A37+AS$1+2),"")</f>
        <v>1.1100000000000001</v>
      </c>
      <c r="AT37">
        <f>IF(AT$1&lt;&gt;"",INDEX(Base!$G$1:$G$2500,$A37+AT$1+2),"")</f>
        <v>0.16</v>
      </c>
      <c r="AU37">
        <f>IF(AU$1&lt;&gt;"",INDEX(Base!$G$1:$G$2500,$A37+AU$1+2),"")</f>
        <v>0.11</v>
      </c>
      <c r="AV37">
        <f>IF(AV$1&lt;&gt;"",INDEX(Base!$G$1:$G$2500,$A37+AV$1+2),"")</f>
        <v>0.5</v>
      </c>
      <c r="AW37" s="8">
        <f t="shared" si="0"/>
        <v>1.5697674418604652</v>
      </c>
      <c r="AX37">
        <f>IF(AX$1&lt;&gt;"",INDEX(Base!$R$1:$R$2500,$E37+AX$1+2),"")</f>
        <v>11.37</v>
      </c>
      <c r="AY37">
        <f>IF(AY$1&lt;&gt;"",INDEX(Base!$R$1:$R$2500,$E37+AY$1+2),"")</f>
        <v>399.91</v>
      </c>
      <c r="AZ37">
        <f>IF(AZ$1&lt;&gt;"",INDEX(Base!$R$1:$R$2500,$E37+AZ$1+2),"")</f>
        <v>0.22</v>
      </c>
      <c r="BA37">
        <f>IF(BA$1&lt;&gt;"",INDEX(Base!$R$1:$R$2500,$E37+BA$1+2),"")</f>
        <v>0.61</v>
      </c>
      <c r="BB37">
        <f>IF(BB$1&lt;&gt;"",INDEX(Base!$R$1:$R$2500,$E37+BB$1+2),"")</f>
        <v>42.07</v>
      </c>
      <c r="BC37">
        <f>IF(BC$1&lt;&gt;"",INDEX(Base!$R$1:$R$2500,$E37+BC$1+2),"")</f>
        <v>1.61</v>
      </c>
      <c r="BD37">
        <f>IF(BD$1&lt;&gt;"",INDEX(Base!$R$1:$R$2500,$E37+BD$1+2),"")</f>
        <v>2.5</v>
      </c>
      <c r="BE37">
        <f>IF(BE$1&lt;&gt;"",INDEX(Base!$R$1:$R$2500,$E37+BE$1+2),"")</f>
        <v>20.149999999999999</v>
      </c>
      <c r="BF37">
        <f>IF(BF$1&lt;&gt;"",INDEX(Base!$R$1:$R$2500,$E37+BF$1+2),"")</f>
        <v>0.16</v>
      </c>
      <c r="BG37">
        <f>IF(BG$1&lt;&gt;"",INDEX(Base!$R$1:$R$2500,$E37+BG$1+2),"")</f>
        <v>0.37</v>
      </c>
      <c r="BH37">
        <f>IF(BH$1&lt;&gt;"",INDEX(Base!$R$1:$R$2500,$E37+BH$1+2),"")</f>
        <v>0.22</v>
      </c>
      <c r="BI37">
        <f>IF(BI$1&lt;&gt;"",INDEX(Base!$R$1:$R$2500,$E37+BI$1+2),"")</f>
        <v>24.84</v>
      </c>
      <c r="BJ37">
        <f>IF(BJ$1&lt;&gt;"",INDEX(Base!$R$1:$R$2500,$E37+BJ$1+2),"")</f>
        <v>12.88</v>
      </c>
      <c r="BK37">
        <f>IF(BK$1&lt;&gt;"",INDEX(Base!$R$1:$R$2500,$E37+BK$1+2),"")</f>
        <v>13.76</v>
      </c>
      <c r="BL37">
        <f>IF(BL$1&lt;&gt;"",INDEX(Base!$R$1:$R$2500,$E37+BL$1+2),"")</f>
        <v>4.62</v>
      </c>
      <c r="BM37">
        <f>IF(BM$1&lt;&gt;"",INDEX(Base!$R$1:$R$2500,$E37+BM$1+2),"")</f>
        <v>1.17</v>
      </c>
      <c r="BN37">
        <f>IF(BN$1&lt;&gt;"",INDEX(Base!$R$1:$R$2500,$E37+BN$1+2),"")</f>
        <v>0.1</v>
      </c>
      <c r="BO37">
        <f>IF(BO$1&lt;&gt;"",INDEX(Base!$R$1:$R$2500,$E37+BO$1+2),"")</f>
        <v>0.17</v>
      </c>
      <c r="BP37">
        <f>IF(BP$1&lt;&gt;"",INDEX(Base!$R$1:$R$2500,$E37+BP$1+2),"")</f>
        <v>1.43</v>
      </c>
      <c r="BQ37">
        <f>IF(BQ$1&lt;&gt;"",INDEX(Base!$R$1:$R$2500,$E37+BQ$1+2),"")</f>
        <v>0.23</v>
      </c>
      <c r="BR37">
        <f>IF(BR$1&lt;&gt;"",INDEX(Base!$R$1:$R$2500,$E37+BR$1+2),"")</f>
        <v>0.14000000000000001</v>
      </c>
      <c r="BS37">
        <f>IF(BS$1&lt;&gt;"",INDEX(Base!$R$1:$R$2500,$E37+BS$1+2),"")</f>
        <v>2.1800000000000002</v>
      </c>
      <c r="BT37">
        <f>IF(BT$1&lt;&gt;"",INDEX(Base!$R$1:$R$2500,$E37+BT$1+2),"")</f>
        <v>1.51</v>
      </c>
    </row>
    <row r="38" spans="1:72" x14ac:dyDescent="0.3">
      <c r="A38" s="2">
        <f t="shared" si="3"/>
        <v>1545</v>
      </c>
      <c r="B38" s="3" t="str">
        <f>IFERROR(MID(INDEX(Base!A$1:A$2500,Calcoli!A38),47,LEN(INDEX(Base!A$1:A$2500,Calcoli!A38))-41),"")</f>
        <v>BERSANETTI MAURA</v>
      </c>
      <c r="C38" s="5" t="str">
        <f>MID(INDEX(Base!A$1:A$2500,Calcoli!$A38),42,4)</f>
        <v>1825</v>
      </c>
      <c r="D38" s="5" t="str">
        <f>MID(INDEX(Base!A$1:A$2500,Calcoli!A38),13,11)</f>
        <v xml:space="preserve"> 31_03_2025</v>
      </c>
      <c r="E38" s="4">
        <f t="shared" si="1"/>
        <v>1090</v>
      </c>
      <c r="F38" s="3" t="str">
        <f>IFERROR(MID(INDEX(Base!L$1:L$2500,Calcoli!E38),47,LEN(INDEX(Base!L$1:L$2500,Calcoli!E38))-41),"")</f>
        <v>BERSANETTI MAURA</v>
      </c>
      <c r="G38" s="5" t="str">
        <f>MID(INDEX(Base!L$1:L$2500,Calcoli!$E38),42,4)</f>
        <v>1825</v>
      </c>
      <c r="H38" s="5" t="str">
        <f>MID(INDEX(Base!L$1:L$2500,Calcoli!E38),13,11)</f>
        <v xml:space="preserve"> 01_04_2025</v>
      </c>
      <c r="I38" s="6" t="str">
        <f xml:space="preserve"> IFERROR(MID(INDEX(Base!$V$3:$AB$60,MATCH($F38,Base!$Z$3:$Z$160,0),1),1,14),"")</f>
        <v>1825 BERSANETT</v>
      </c>
      <c r="J38" s="6">
        <f xml:space="preserve"> IFERROR(INDEX(Base!$V$3:$AB$160,MATCH($F38,Base!$Z$3:$Z$160,0),2),"")</f>
        <v>71.034482758620697</v>
      </c>
      <c r="K38" s="6">
        <f xml:space="preserve"> IFERROR(INDEX(Base!$V$3:$AB$160,MATCH($F38,Base!$Z$3:$Z$160,0),3),"")</f>
        <v>52.590186843413207</v>
      </c>
      <c r="L38" s="28">
        <f xml:space="preserve"> IFERROR(INDEX(Base!$V$3:$AB$160,MATCH($F38,Base!$Z$3:$Z$160,0),4),"")</f>
        <v>66.134708737864074</v>
      </c>
      <c r="M38">
        <f>IF(M$1&lt;&gt;"",INDEX(Base!$G$1:$G$2500,$A38+M$1+2),"")</f>
        <v>13.08</v>
      </c>
      <c r="N38">
        <f>IF(N$1&lt;&gt;"",INDEX(Base!$G$1:$G$2500,$A38+N$1+2),"")</f>
        <v>5.19</v>
      </c>
      <c r="O38">
        <f>IF(O$1&lt;&gt;"",INDEX(Base!$G$1:$G$2500,$A38+O$1+2),"")</f>
        <v>0.11</v>
      </c>
      <c r="P38">
        <f>IF(P$1&lt;&gt;"",INDEX(Base!$G$1:$G$2500,$A38+P$1+2),"")</f>
        <v>0.86</v>
      </c>
      <c r="Q38">
        <f>IF(Q$1&lt;&gt;"",INDEX(Base!$G$1:$G$2500,$A38+Q$1+2),"")</f>
        <v>0.1</v>
      </c>
      <c r="R38">
        <f>IF(R$1&lt;&gt;"",INDEX(Base!$G$1:$G$2500,$A38+R$1+2),"")</f>
        <v>3.32</v>
      </c>
      <c r="S38">
        <f>IF(S$1&lt;&gt;"",INDEX(Base!$G$1:$G$2500,$A38+S$1+2),"")</f>
        <v>0.42</v>
      </c>
      <c r="T38">
        <f>IF(T$1&lt;&gt;"",INDEX(Base!$G$1:$G$2500,$A38+T$1+2),"")</f>
        <v>14.83</v>
      </c>
      <c r="U38">
        <f>IF(U$1&lt;&gt;"",INDEX(Base!$G$1:$G$2500,$A38+U$1+2),"")</f>
        <v>1.7</v>
      </c>
      <c r="V38">
        <f>IF(V$1&lt;&gt;"",INDEX(Base!$G$1:$G$2500,$A38+V$1+2),"")</f>
        <v>7.0000000000000007E-2</v>
      </c>
      <c r="W38">
        <f>IF(W$1&lt;&gt;"",INDEX(Base!$G$1:$G$2500,$A38+W$1+2),"")</f>
        <v>1.47</v>
      </c>
      <c r="X38">
        <f>IF(X$1&lt;&gt;"",INDEX(Base!$G$1:$G$2500,$A38+X$1+2),"")</f>
        <v>2.2799999999999998</v>
      </c>
      <c r="Y38">
        <f>IF(Y$1&lt;&gt;"",INDEX(Base!$G$1:$G$2500,$A38+Y$1+2),"")</f>
        <v>29.63</v>
      </c>
      <c r="Z38">
        <f>IF(Z$1&lt;&gt;"",INDEX(Base!$G$1:$G$2500,$A38+Z$1+2),"")</f>
        <v>1.54</v>
      </c>
      <c r="AA38">
        <f>IF(AA$1&lt;&gt;"",INDEX(Base!$G$1:$G$2500,$A38+AA$1+2),"")</f>
        <v>0.64</v>
      </c>
      <c r="AB38">
        <f>IF(AB$1&lt;&gt;"",INDEX(Base!$G$1:$G$2500,$A38+AB$1+2),"")</f>
        <v>1.25</v>
      </c>
      <c r="AC38">
        <f>IF(AC$1&lt;&gt;"",INDEX(Base!$G$1:$G$2500,$A38+AC$1+2),"")</f>
        <v>3.68</v>
      </c>
      <c r="AD38">
        <f>IF(AD$1&lt;&gt;"",INDEX(Base!$G$1:$G$2500,$A38+AD$1+2),"")</f>
        <v>28.19</v>
      </c>
      <c r="AE38">
        <f>IF(AE$1&lt;&gt;"",INDEX(Base!$G$1:$G$2500,$A38+AE$1+2),"")</f>
        <v>11.42</v>
      </c>
      <c r="AF38">
        <f>IF(AF$1&lt;&gt;"",INDEX(Base!$G$1:$G$2500,$A38+AF$1+2),"")</f>
        <v>1.76</v>
      </c>
      <c r="AG38">
        <f>IF(AG$1&lt;&gt;"",INDEX(Base!$G$1:$G$2500,$A38+AG$1+2),"")</f>
        <v>0.4</v>
      </c>
      <c r="AH38">
        <f>IF(AH$1&lt;&gt;"",INDEX(Base!$G$1:$G$2500,$A38+AH$1+2),"")</f>
        <v>4.2699999999999996</v>
      </c>
      <c r="AI38">
        <f>IF(AI$1&lt;&gt;"",INDEX(Base!$G$1:$G$2500,$A38+AI$1+2),"")</f>
        <v>0.88</v>
      </c>
      <c r="AJ38">
        <f>IF(AJ$1&lt;&gt;"",INDEX(Base!$G$1:$G$2500,$A38+AJ$1+2),"")</f>
        <v>0.1</v>
      </c>
      <c r="AK38">
        <f>IF(AK$1&lt;&gt;"",INDEX(Base!$G$1:$G$2500,$A38+AK$1+2),"")</f>
        <v>4.03</v>
      </c>
      <c r="AL38">
        <f>IF(AL$1&lt;&gt;"",INDEX(Base!$G$1:$G$2500,$A38+AL$1+2),"")</f>
        <v>2.1800000000000002</v>
      </c>
      <c r="AM38">
        <f>IF(AM$1&lt;&gt;"",INDEX(Base!$G$1:$G$2500,$A38+AM$1+2),"")</f>
        <v>0.1</v>
      </c>
      <c r="AN38">
        <f>IF(AN$1&lt;&gt;"",INDEX(Base!$G$1:$G$2500,$A38+AN$1+2),"")</f>
        <v>0.41</v>
      </c>
      <c r="AO38">
        <f>IF(AO$1&lt;&gt;"",INDEX(Base!$G$1:$G$2500,$A38+AO$1+2),"")</f>
        <v>1.32</v>
      </c>
      <c r="AP38">
        <f>IF(AP$1&lt;&gt;"",INDEX(Base!$G$1:$G$2500,$A38+AP$1+2),"")</f>
        <v>0.24</v>
      </c>
      <c r="AQ38">
        <f>IF(AQ$1&lt;&gt;"",INDEX(Base!$G$1:$G$2500,$A38+AQ$1+2),"")</f>
        <v>0.09</v>
      </c>
      <c r="AR38">
        <f>IF(AR$1&lt;&gt;"",INDEX(Base!$G$1:$G$2500,$A38+AR$1+2),"")</f>
        <v>0.08</v>
      </c>
      <c r="AS38">
        <f>IF(AS$1&lt;&gt;"",INDEX(Base!$G$1:$G$2500,$A38+AS$1+2),"")</f>
        <v>0.87</v>
      </c>
      <c r="AT38">
        <f>IF(AT$1&lt;&gt;"",INDEX(Base!$G$1:$G$2500,$A38+AT$1+2),"")</f>
        <v>0.24</v>
      </c>
      <c r="AU38">
        <f>IF(AU$1&lt;&gt;"",INDEX(Base!$G$1:$G$2500,$A38+AU$1+2),"")</f>
        <v>0.1</v>
      </c>
      <c r="AV38">
        <f>IF(AV$1&lt;&gt;"",INDEX(Base!$G$1:$G$2500,$A38+AV$1+2),"")</f>
        <v>0.46</v>
      </c>
      <c r="AW38" s="8">
        <f t="shared" si="0"/>
        <v>1.232</v>
      </c>
      <c r="AX38">
        <f>IF(AX$1&lt;&gt;"",INDEX(Base!$R$1:$R$2500,$E38+AX$1+2),"")</f>
        <v>13.03</v>
      </c>
      <c r="AY38">
        <f>IF(AY$1&lt;&gt;"",INDEX(Base!$R$1:$R$2500,$E38+AY$1+2),"")</f>
        <v>326.8</v>
      </c>
      <c r="AZ38">
        <f>IF(AZ$1&lt;&gt;"",INDEX(Base!$R$1:$R$2500,$E38+AZ$1+2),"")</f>
        <v>0.23</v>
      </c>
      <c r="BA38">
        <f>IF(BA$1&lt;&gt;"",INDEX(Base!$R$1:$R$2500,$E38+BA$1+2),"")</f>
        <v>0.73</v>
      </c>
      <c r="BB38">
        <f>IF(BB$1&lt;&gt;"",INDEX(Base!$R$1:$R$2500,$E38+BB$1+2),"")</f>
        <v>24.74</v>
      </c>
      <c r="BC38">
        <f>IF(BC$1&lt;&gt;"",INDEX(Base!$R$1:$R$2500,$E38+BC$1+2),"")</f>
        <v>0.97</v>
      </c>
      <c r="BD38">
        <f>IF(BD$1&lt;&gt;"",INDEX(Base!$R$1:$R$2500,$E38+BD$1+2),"")</f>
        <v>1.08</v>
      </c>
      <c r="BE38">
        <f>IF(BE$1&lt;&gt;"",INDEX(Base!$R$1:$R$2500,$E38+BE$1+2),"")</f>
        <v>28.78</v>
      </c>
      <c r="BF38">
        <f>IF(BF$1&lt;&gt;"",INDEX(Base!$R$1:$R$2500,$E38+BF$1+2),"")</f>
        <v>0.17</v>
      </c>
      <c r="BG38">
        <f>IF(BG$1&lt;&gt;"",INDEX(Base!$R$1:$R$2500,$E38+BG$1+2),"")</f>
        <v>0.1</v>
      </c>
      <c r="BH38">
        <f>IF(BH$1&lt;&gt;"",INDEX(Base!$R$1:$R$2500,$E38+BH$1+2),"")</f>
        <v>0.17</v>
      </c>
      <c r="BI38">
        <f>IF(BI$1&lt;&gt;"",INDEX(Base!$R$1:$R$2500,$E38+BI$1+2),"")</f>
        <v>6.92</v>
      </c>
      <c r="BJ38">
        <f>IF(BJ$1&lt;&gt;"",INDEX(Base!$R$1:$R$2500,$E38+BJ$1+2),"")</f>
        <v>10.57</v>
      </c>
      <c r="BK38">
        <f>IF(BK$1&lt;&gt;"",INDEX(Base!$R$1:$R$2500,$E38+BK$1+2),"")</f>
        <v>9.2200000000000006</v>
      </c>
      <c r="BL38">
        <f>IF(BL$1&lt;&gt;"",INDEX(Base!$R$1:$R$2500,$E38+BL$1+2),"")</f>
        <v>4</v>
      </c>
      <c r="BM38">
        <f>IF(BM$1&lt;&gt;"",INDEX(Base!$R$1:$R$2500,$E38+BM$1+2),"")</f>
        <v>0.9</v>
      </c>
      <c r="BN38">
        <f>IF(BN$1&lt;&gt;"",INDEX(Base!$R$1:$R$2500,$E38+BN$1+2),"")</f>
        <v>0.1</v>
      </c>
      <c r="BO38">
        <f>IF(BO$1&lt;&gt;"",INDEX(Base!$R$1:$R$2500,$E38+BO$1+2),"")</f>
        <v>0.14000000000000001</v>
      </c>
      <c r="BP38">
        <f>IF(BP$1&lt;&gt;"",INDEX(Base!$R$1:$R$2500,$E38+BP$1+2),"")</f>
        <v>3.37</v>
      </c>
      <c r="BQ38">
        <f>IF(BQ$1&lt;&gt;"",INDEX(Base!$R$1:$R$2500,$E38+BQ$1+2),"")</f>
        <v>0.08</v>
      </c>
      <c r="BR38">
        <f>IF(BR$1&lt;&gt;"",INDEX(Base!$R$1:$R$2500,$E38+BR$1+2),"")</f>
        <v>0.28000000000000003</v>
      </c>
      <c r="BS38">
        <f>IF(BS$1&lt;&gt;"",INDEX(Base!$R$1:$R$2500,$E38+BS$1+2),"")</f>
        <v>0.49</v>
      </c>
      <c r="BT38">
        <f>IF(BT$1&lt;&gt;"",INDEX(Base!$R$1:$R$2500,$E38+BT$1+2),"")</f>
        <v>1.99</v>
      </c>
    </row>
    <row r="39" spans="1:72" x14ac:dyDescent="0.3">
      <c r="A39" s="2">
        <f t="shared" si="3"/>
        <v>1589</v>
      </c>
      <c r="B39" s="3" t="str">
        <f>IFERROR(MID(INDEX(Base!A$1:A$2500,Calcoli!A39),47,LEN(INDEX(Base!A$1:A$2500,Calcoli!A39))-41),"")</f>
        <v>ANGELILLIS LIBERA</v>
      </c>
      <c r="C39" s="5" t="str">
        <f>MID(INDEX(Base!A$1:A$2500,Calcoli!$A39),42,4)</f>
        <v>1826</v>
      </c>
      <c r="D39" s="5" t="str">
        <f>MID(INDEX(Base!A$1:A$2500,Calcoli!A39),13,11)</f>
        <v xml:space="preserve"> 31_03_2025</v>
      </c>
      <c r="E39" s="4">
        <f t="shared" si="1"/>
        <v>1121</v>
      </c>
      <c r="F39" s="3" t="str">
        <f>IFERROR(MID(INDEX(Base!L$1:L$2500,Calcoli!E39),47,LEN(INDEX(Base!L$1:L$2500,Calcoli!E39))-41),"")</f>
        <v>ANGELILLIS LIBERA</v>
      </c>
      <c r="G39" s="5" t="str">
        <f>MID(INDEX(Base!L$1:L$2500,Calcoli!$E39),42,4)</f>
        <v>1826</v>
      </c>
      <c r="H39" s="5" t="str">
        <f>MID(INDEX(Base!L$1:L$2500,Calcoli!E39),13,11)</f>
        <v xml:space="preserve"> 01_04_2025</v>
      </c>
      <c r="I39" s="6" t="str">
        <f xml:space="preserve"> IFERROR(MID(INDEX(Base!$V$3:$AB$60,MATCH($F39,Base!$Z$3:$Z$160,0),1),1,14),"")</f>
        <v>1826 ANGELILLI</v>
      </c>
      <c r="J39" s="6">
        <f xml:space="preserve"> IFERROR(INDEX(Base!$V$3:$AB$160,MATCH($F39,Base!$Z$3:$Z$160,0),2),"")</f>
        <v>95.172413793103431</v>
      </c>
      <c r="K39" s="6">
        <f xml:space="preserve"> IFERROR(INDEX(Base!$V$3:$AB$160,MATCH($F39,Base!$Z$3:$Z$160,0),3),"")</f>
        <v>4.9065119971662705</v>
      </c>
      <c r="L39" s="28">
        <f xml:space="preserve"> IFERROR(INDEX(Base!$V$3:$AB$160,MATCH($F39,Base!$Z$3:$Z$160,0),4),"")</f>
        <v>9.0473300970873787</v>
      </c>
      <c r="M39">
        <f>IF(M$1&lt;&gt;"",INDEX(Base!$G$1:$G$2500,$A39+M$1+2),"")</f>
        <v>3.77</v>
      </c>
      <c r="N39">
        <f>IF(N$1&lt;&gt;"",INDEX(Base!$G$1:$G$2500,$A39+N$1+2),"")</f>
        <v>1.47</v>
      </c>
      <c r="O39">
        <f>IF(O$1&lt;&gt;"",INDEX(Base!$G$1:$G$2500,$A39+O$1+2),"")</f>
        <v>0.14000000000000001</v>
      </c>
      <c r="P39">
        <f>IF(P$1&lt;&gt;"",INDEX(Base!$G$1:$G$2500,$A39+P$1+2),"")</f>
        <v>0.41</v>
      </c>
      <c r="Q39">
        <f>IF(Q$1&lt;&gt;"",INDEX(Base!$G$1:$G$2500,$A39+Q$1+2),"")</f>
        <v>0.1</v>
      </c>
      <c r="R39">
        <f>IF(R$1&lt;&gt;"",INDEX(Base!$G$1:$G$2500,$A39+R$1+2),"")</f>
        <v>0.55000000000000004</v>
      </c>
      <c r="S39">
        <f>IF(S$1&lt;&gt;"",INDEX(Base!$G$1:$G$2500,$A39+S$1+2),"")</f>
        <v>0.13</v>
      </c>
      <c r="T39">
        <f>IF(T$1&lt;&gt;"",INDEX(Base!$G$1:$G$2500,$A39+T$1+2),"")</f>
        <v>13.99</v>
      </c>
      <c r="U39">
        <f>IF(U$1&lt;&gt;"",INDEX(Base!$G$1:$G$2500,$A39+U$1+2),"")</f>
        <v>0.56999999999999995</v>
      </c>
      <c r="V39">
        <f>IF(V$1&lt;&gt;"",INDEX(Base!$G$1:$G$2500,$A39+V$1+2),"")</f>
        <v>0.14000000000000001</v>
      </c>
      <c r="W39">
        <f>IF(W$1&lt;&gt;"",INDEX(Base!$G$1:$G$2500,$A39+W$1+2),"")</f>
        <v>0.67</v>
      </c>
      <c r="X39">
        <f>IF(X$1&lt;&gt;"",INDEX(Base!$G$1:$G$2500,$A39+X$1+2),"")</f>
        <v>0.53</v>
      </c>
      <c r="Y39">
        <f>IF(Y$1&lt;&gt;"",INDEX(Base!$G$1:$G$2500,$A39+Y$1+2),"")</f>
        <v>53.71</v>
      </c>
      <c r="Z39">
        <f>IF(Z$1&lt;&gt;"",INDEX(Base!$G$1:$G$2500,$A39+Z$1+2),"")</f>
        <v>1.34</v>
      </c>
      <c r="AA39">
        <f>IF(AA$1&lt;&gt;"",INDEX(Base!$G$1:$G$2500,$A39+AA$1+2),"")</f>
        <v>0.53</v>
      </c>
      <c r="AB39">
        <f>IF(AB$1&lt;&gt;"",INDEX(Base!$G$1:$G$2500,$A39+AB$1+2),"")</f>
        <v>0.56999999999999995</v>
      </c>
      <c r="AC39">
        <f>IF(AC$1&lt;&gt;"",INDEX(Base!$G$1:$G$2500,$A39+AC$1+2),"")</f>
        <v>0.9</v>
      </c>
      <c r="AD39">
        <f>IF(AD$1&lt;&gt;"",INDEX(Base!$G$1:$G$2500,$A39+AD$1+2),"")</f>
        <v>3.78</v>
      </c>
      <c r="AE39">
        <f>IF(AE$1&lt;&gt;"",INDEX(Base!$G$1:$G$2500,$A39+AE$1+2),"")</f>
        <v>7.0000000000000007E-2</v>
      </c>
      <c r="AF39">
        <f>IF(AF$1&lt;&gt;"",INDEX(Base!$G$1:$G$2500,$A39+AF$1+2),"")</f>
        <v>0.79</v>
      </c>
      <c r="AG39">
        <f>IF(AG$1&lt;&gt;"",INDEX(Base!$G$1:$G$2500,$A39+AG$1+2),"")</f>
        <v>0.21</v>
      </c>
      <c r="AH39">
        <f>IF(AH$1&lt;&gt;"",INDEX(Base!$G$1:$G$2500,$A39+AH$1+2),"")</f>
        <v>1.1399999999999999</v>
      </c>
      <c r="AI39">
        <f>IF(AI$1&lt;&gt;"",INDEX(Base!$G$1:$G$2500,$A39+AI$1+2),"")</f>
        <v>0.39</v>
      </c>
      <c r="AJ39">
        <f>IF(AJ$1&lt;&gt;"",INDEX(Base!$G$1:$G$2500,$A39+AJ$1+2),"")</f>
        <v>0.1</v>
      </c>
      <c r="AK39">
        <f>IF(AK$1&lt;&gt;"",INDEX(Base!$G$1:$G$2500,$A39+AK$1+2),"")</f>
        <v>3.49</v>
      </c>
      <c r="AL39">
        <f>IF(AL$1&lt;&gt;"",INDEX(Base!$G$1:$G$2500,$A39+AL$1+2),"")</f>
        <v>0.93</v>
      </c>
      <c r="AM39">
        <f>IF(AM$1&lt;&gt;"",INDEX(Base!$G$1:$G$2500,$A39+AM$1+2),"")</f>
        <v>0.1</v>
      </c>
      <c r="AN39">
        <f>IF(AN$1&lt;&gt;"",INDEX(Base!$G$1:$G$2500,$A39+AN$1+2),"")</f>
        <v>0.24</v>
      </c>
      <c r="AO39">
        <f>IF(AO$1&lt;&gt;"",INDEX(Base!$G$1:$G$2500,$A39+AO$1+2),"")</f>
        <v>0.49</v>
      </c>
      <c r="AP39">
        <f>IF(AP$1&lt;&gt;"",INDEX(Base!$G$1:$G$2500,$A39+AP$1+2),"")</f>
        <v>0.14000000000000001</v>
      </c>
      <c r="AQ39">
        <f>IF(AQ$1&lt;&gt;"",INDEX(Base!$G$1:$G$2500,$A39+AQ$1+2),"")</f>
        <v>0.18</v>
      </c>
      <c r="AR39">
        <f>IF(AR$1&lt;&gt;"",INDEX(Base!$G$1:$G$2500,$A39+AR$1+2),"")</f>
        <v>0.05</v>
      </c>
      <c r="AS39">
        <f>IF(AS$1&lt;&gt;"",INDEX(Base!$G$1:$G$2500,$A39+AS$1+2),"")</f>
        <v>0.56000000000000005</v>
      </c>
      <c r="AT39">
        <f>IF(AT$1&lt;&gt;"",INDEX(Base!$G$1:$G$2500,$A39+AT$1+2),"")</f>
        <v>0.11</v>
      </c>
      <c r="AU39">
        <f>IF(AU$1&lt;&gt;"",INDEX(Base!$G$1:$G$2500,$A39+AU$1+2),"")</f>
        <v>0.1</v>
      </c>
      <c r="AV39">
        <f>IF(AV$1&lt;&gt;"",INDEX(Base!$G$1:$G$2500,$A39+AV$1+2),"")</f>
        <v>0.57999999999999996</v>
      </c>
      <c r="AW39" s="8">
        <f t="shared" si="0"/>
        <v>2.3508771929824563</v>
      </c>
      <c r="AX39">
        <f>IF(AX$1&lt;&gt;"",INDEX(Base!$R$1:$R$2500,$E39+AX$1+2),"")</f>
        <v>9.94</v>
      </c>
      <c r="AY39">
        <f>IF(AY$1&lt;&gt;"",INDEX(Base!$R$1:$R$2500,$E39+AY$1+2),"")</f>
        <v>116.34</v>
      </c>
      <c r="AZ39">
        <f>IF(AZ$1&lt;&gt;"",INDEX(Base!$R$1:$R$2500,$E39+AZ$1+2),"")</f>
        <v>0.12</v>
      </c>
      <c r="BA39">
        <f>IF(BA$1&lt;&gt;"",INDEX(Base!$R$1:$R$2500,$E39+BA$1+2),"")</f>
        <v>0.23</v>
      </c>
      <c r="BB39">
        <f>IF(BB$1&lt;&gt;"",INDEX(Base!$R$1:$R$2500,$E39+BB$1+2),"")</f>
        <v>12.67</v>
      </c>
      <c r="BC39">
        <f>IF(BC$1&lt;&gt;"",INDEX(Base!$R$1:$R$2500,$E39+BC$1+2),"")</f>
        <v>0.45</v>
      </c>
      <c r="BD39">
        <f>IF(BD$1&lt;&gt;"",INDEX(Base!$R$1:$R$2500,$E39+BD$1+2),"")</f>
        <v>1.2</v>
      </c>
      <c r="BE39">
        <f>IF(BE$1&lt;&gt;"",INDEX(Base!$R$1:$R$2500,$E39+BE$1+2),"")</f>
        <v>21.75</v>
      </c>
      <c r="BF39">
        <f>IF(BF$1&lt;&gt;"",INDEX(Base!$R$1:$R$2500,$E39+BF$1+2),"")</f>
        <v>0.05</v>
      </c>
      <c r="BG39">
        <f>IF(BG$1&lt;&gt;"",INDEX(Base!$R$1:$R$2500,$E39+BG$1+2),"")</f>
        <v>0.1</v>
      </c>
      <c r="BH39">
        <f>IF(BH$1&lt;&gt;"",INDEX(Base!$R$1:$R$2500,$E39+BH$1+2),"")</f>
        <v>0.13</v>
      </c>
      <c r="BI39">
        <f>IF(BI$1&lt;&gt;"",INDEX(Base!$R$1:$R$2500,$E39+BI$1+2),"")</f>
        <v>0.1</v>
      </c>
      <c r="BJ39">
        <f>IF(BJ$1&lt;&gt;"",INDEX(Base!$R$1:$R$2500,$E39+BJ$1+2),"")</f>
        <v>12.64</v>
      </c>
      <c r="BK39">
        <f>IF(BK$1&lt;&gt;"",INDEX(Base!$R$1:$R$2500,$E39+BK$1+2),"")</f>
        <v>4.53</v>
      </c>
      <c r="BL39">
        <f>IF(BL$1&lt;&gt;"",INDEX(Base!$R$1:$R$2500,$E39+BL$1+2),"")</f>
        <v>0.28999999999999998</v>
      </c>
      <c r="BM39">
        <f>IF(BM$1&lt;&gt;"",INDEX(Base!$R$1:$R$2500,$E39+BM$1+2),"")</f>
        <v>0.17</v>
      </c>
      <c r="BN39">
        <f>IF(BN$1&lt;&gt;"",INDEX(Base!$R$1:$R$2500,$E39+BN$1+2),"")</f>
        <v>0.06</v>
      </c>
      <c r="BO39">
        <f>IF(BO$1&lt;&gt;"",INDEX(Base!$R$1:$R$2500,$E39+BO$1+2),"")</f>
        <v>0.13</v>
      </c>
      <c r="BP39">
        <f>IF(BP$1&lt;&gt;"",INDEX(Base!$R$1:$R$2500,$E39+BP$1+2),"")</f>
        <v>0.72</v>
      </c>
      <c r="BQ39">
        <f>IF(BQ$1&lt;&gt;"",INDEX(Base!$R$1:$R$2500,$E39+BQ$1+2),"")</f>
        <v>0.12</v>
      </c>
      <c r="BR39">
        <f>IF(BR$1&lt;&gt;"",INDEX(Base!$R$1:$R$2500,$E39+BR$1+2),"")</f>
        <v>0.19</v>
      </c>
      <c r="BS39">
        <f>IF(BS$1&lt;&gt;"",INDEX(Base!$R$1:$R$2500,$E39+BS$1+2),"")</f>
        <v>12.75</v>
      </c>
      <c r="BT39">
        <f>IF(BT$1&lt;&gt;"",INDEX(Base!$R$1:$R$2500,$E39+BT$1+2),"")</f>
        <v>0.71</v>
      </c>
    </row>
    <row r="40" spans="1:72" x14ac:dyDescent="0.3">
      <c r="A40" s="2">
        <f t="shared" si="3"/>
        <v>1633</v>
      </c>
      <c r="B40" s="3" t="str">
        <f>IFERROR(MID(INDEX(Base!A$1:A$2500,Calcoli!A40),47,LEN(INDEX(Base!A$1:A$2500,Calcoli!A40))-41),"")</f>
        <v/>
      </c>
      <c r="C40" s="5" t="str">
        <f>MID(INDEX(Base!A$1:A$2500,Calcoli!$A40),42,4)</f>
        <v/>
      </c>
      <c r="D40" s="5" t="str">
        <f>MID(INDEX(Base!A$1:A$2500,Calcoli!A40),13,11)</f>
        <v xml:space="preserve"> 31_03_2025</v>
      </c>
      <c r="E40" s="4">
        <f t="shared" si="1"/>
        <v>1152</v>
      </c>
      <c r="F40" s="3" t="str">
        <f>IFERROR(MID(INDEX(Base!L$1:L$2500,Calcoli!E40),47,LEN(INDEX(Base!L$1:L$2500,Calcoli!E40))-41),"")</f>
        <v/>
      </c>
      <c r="G40" s="5" t="str">
        <f>MID(INDEX(Base!L$1:L$2500,Calcoli!$E40),42,4)</f>
        <v/>
      </c>
      <c r="H40" s="5" t="str">
        <f>MID(INDEX(Base!L$1:L$2500,Calcoli!E40),13,11)</f>
        <v xml:space="preserve"> 01_04_2025</v>
      </c>
      <c r="I40" s="6" t="str">
        <f xml:space="preserve"> IFERROR(MID(INDEX(Base!$V$3:$AB$60,MATCH($F40,Base!$Z$3:$Z$160,0),1),1,14),"")</f>
        <v/>
      </c>
      <c r="J40" s="6" t="str">
        <f xml:space="preserve"> IFERROR(INDEX(Base!$V$3:$AB$160,MATCH($F40,Base!$Z$3:$Z$160,0),2),"")</f>
        <v/>
      </c>
      <c r="K40" s="6" t="str">
        <f xml:space="preserve"> IFERROR(INDEX(Base!$V$3:$AB$160,MATCH($F40,Base!$Z$3:$Z$160,0),3),"")</f>
        <v/>
      </c>
      <c r="L40" s="28" t="str">
        <f xml:space="preserve"> IFERROR(INDEX(Base!$V$3:$AB$160,MATCH($F40,Base!$Z$3:$Z$160,0),4),"")</f>
        <v/>
      </c>
      <c r="M40">
        <f>IF(M$1&lt;&gt;"",INDEX(Base!$G$1:$G$2500,$A40+M$1+2),"")</f>
        <v>0.79</v>
      </c>
      <c r="N40">
        <f>IF(N$1&lt;&gt;"",INDEX(Base!$G$1:$G$2500,$A40+N$1+2),"")</f>
        <v>4.55</v>
      </c>
      <c r="O40">
        <f>IF(O$1&lt;&gt;"",INDEX(Base!$G$1:$G$2500,$A40+O$1+2),"")</f>
        <v>0.68</v>
      </c>
      <c r="P40">
        <f>IF(P$1&lt;&gt;"",INDEX(Base!$G$1:$G$2500,$A40+P$1+2),"")</f>
        <v>0.78</v>
      </c>
      <c r="Q40">
        <f>IF(Q$1&lt;&gt;"",INDEX(Base!$G$1:$G$2500,$A40+Q$1+2),"")</f>
        <v>0.61</v>
      </c>
      <c r="R40">
        <f>IF(R$1&lt;&gt;"",INDEX(Base!$G$1:$G$2500,$A40+R$1+2),"")</f>
        <v>2.2999999999999998</v>
      </c>
      <c r="S40">
        <f>IF(S$1&lt;&gt;"",INDEX(Base!$G$1:$G$2500,$A40+S$1+2),"")</f>
        <v>7.0000000000000007E-2</v>
      </c>
      <c r="T40">
        <f>IF(T$1&lt;&gt;"",INDEX(Base!$G$1:$G$2500,$A40+T$1+2),"")</f>
        <v>0.1</v>
      </c>
      <c r="U40">
        <f>IF(U$1&lt;&gt;"",INDEX(Base!$G$1:$G$2500,$A40+U$1+2),"")</f>
        <v>2.39</v>
      </c>
      <c r="V40">
        <f>IF(V$1&lt;&gt;"",INDEX(Base!$G$1:$G$2500,$A40+V$1+2),"")</f>
        <v>1.22</v>
      </c>
      <c r="W40">
        <f>IF(W$1&lt;&gt;"",INDEX(Base!$G$1:$G$2500,$A40+W$1+2),"")</f>
        <v>0.1</v>
      </c>
      <c r="X40">
        <f>IF(X$1&lt;&gt;"",INDEX(Base!$G$1:$G$2500,$A40+X$1+2),"")</f>
        <v>2.74</v>
      </c>
      <c r="Y40">
        <f>IF(Y$1&lt;&gt;"",INDEX(Base!$G$1:$G$2500,$A40+Y$1+2),"")</f>
        <v>0.1</v>
      </c>
      <c r="Z40">
        <f>IF(Z$1&lt;&gt;"",INDEX(Base!$G$1:$G$2500,$A40+Z$1+2),"")</f>
        <v>0.1</v>
      </c>
      <c r="AA40">
        <f>IF(AA$1&lt;&gt;"",INDEX(Base!$G$1:$G$2500,$A40+AA$1+2),"")</f>
        <v>1.82</v>
      </c>
      <c r="AB40">
        <f>IF(AB$1&lt;&gt;"",INDEX(Base!$G$1:$G$2500,$A40+AB$1+2),"")</f>
        <v>2.04</v>
      </c>
      <c r="AC40">
        <f>IF(AC$1&lt;&gt;"",INDEX(Base!$G$1:$G$2500,$A40+AC$1+2),"")</f>
        <v>3.23</v>
      </c>
      <c r="AD40">
        <f>IF(AD$1&lt;&gt;"",INDEX(Base!$G$1:$G$2500,$A40+AD$1+2),"")</f>
        <v>10.33</v>
      </c>
      <c r="AE40">
        <f>IF(AE$1&lt;&gt;"",INDEX(Base!$G$1:$G$2500,$A40+AE$1+2),"")</f>
        <v>0.3</v>
      </c>
      <c r="AF40">
        <f>IF(AF$1&lt;&gt;"",INDEX(Base!$G$1:$G$2500,$A40+AF$1+2),"")</f>
        <v>1.62</v>
      </c>
      <c r="AG40">
        <f>IF(AG$1&lt;&gt;"",INDEX(Base!$G$1:$G$2500,$A40+AG$1+2),"")</f>
        <v>0.09</v>
      </c>
      <c r="AH40">
        <f>IF(AH$1&lt;&gt;"",INDEX(Base!$G$1:$G$2500,$A40+AH$1+2),"")</f>
        <v>0.1</v>
      </c>
      <c r="AI40">
        <f>IF(AI$1&lt;&gt;"",INDEX(Base!$G$1:$G$2500,$A40+AI$1+2),"")</f>
        <v>0.1</v>
      </c>
      <c r="AJ40">
        <f>IF(AJ$1&lt;&gt;"",INDEX(Base!$G$1:$G$2500,$A40+AJ$1+2),"")</f>
        <v>0.1</v>
      </c>
      <c r="AK40">
        <f>IF(AK$1&lt;&gt;"",INDEX(Base!$G$1:$G$2500,$A40+AK$1+2),"")</f>
        <v>0.1</v>
      </c>
      <c r="AL40">
        <f>IF(AL$1&lt;&gt;"",INDEX(Base!$G$1:$G$2500,$A40+AL$1+2),"")</f>
        <v>0.1</v>
      </c>
      <c r="AM40">
        <f>IF(AM$1&lt;&gt;"",INDEX(Base!$G$1:$G$2500,$A40+AM$1+2),"")</f>
        <v>0.1</v>
      </c>
      <c r="AN40">
        <f>IF(AN$1&lt;&gt;"",INDEX(Base!$G$1:$G$2500,$A40+AN$1+2),"")</f>
        <v>1.8</v>
      </c>
      <c r="AO40">
        <f>IF(AO$1&lt;&gt;"",INDEX(Base!$G$1:$G$2500,$A40+AO$1+2),"")</f>
        <v>0.1</v>
      </c>
      <c r="AP40">
        <f>IF(AP$1&lt;&gt;"",INDEX(Base!$G$1:$G$2500,$A40+AP$1+2),"")</f>
        <v>0.15</v>
      </c>
      <c r="AQ40">
        <f>IF(AQ$1&lt;&gt;"",INDEX(Base!$G$1:$G$2500,$A40+AQ$1+2),"")</f>
        <v>0.1</v>
      </c>
      <c r="AR40">
        <f>IF(AR$1&lt;&gt;"",INDEX(Base!$G$1:$G$2500,$A40+AR$1+2),"")</f>
        <v>0.1</v>
      </c>
      <c r="AS40">
        <f>IF(AS$1&lt;&gt;"",INDEX(Base!$G$1:$G$2500,$A40+AS$1+2),"")</f>
        <v>3.35</v>
      </c>
      <c r="AT40">
        <f>IF(AT$1&lt;&gt;"",INDEX(Base!$G$1:$G$2500,$A40+AT$1+2),"")</f>
        <v>0.12</v>
      </c>
      <c r="AU40">
        <f>IF(AU$1&lt;&gt;"",INDEX(Base!$G$1:$G$2500,$A40+AU$1+2),"")</f>
        <v>0.1</v>
      </c>
      <c r="AV40">
        <f>IF(AV$1&lt;&gt;"",INDEX(Base!$G$1:$G$2500,$A40+AV$1+2),"")</f>
        <v>0.14000000000000001</v>
      </c>
      <c r="AW40" s="8">
        <f t="shared" ref="AW40:AW49" si="4">IFERROR(Z40/AB40,0)</f>
        <v>4.9019607843137254E-2</v>
      </c>
      <c r="AX40">
        <f>IF(AX$1&lt;&gt;"",INDEX(Base!$R$1:$R$2500,$E40+AX$1+2),"")</f>
        <v>0.1</v>
      </c>
      <c r="AY40">
        <f>IF(AY$1&lt;&gt;"",INDEX(Base!$R$1:$R$2500,$E40+AY$1+2),"")</f>
        <v>427.99</v>
      </c>
      <c r="AZ40">
        <f>IF(AZ$1&lt;&gt;"",INDEX(Base!$R$1:$R$2500,$E40+AZ$1+2),"")</f>
        <v>0.1</v>
      </c>
      <c r="BA40">
        <f>IF(BA$1&lt;&gt;"",INDEX(Base!$R$1:$R$2500,$E40+BA$1+2),"")</f>
        <v>0.76</v>
      </c>
      <c r="BB40">
        <f>IF(BB$1&lt;&gt;"",INDEX(Base!$R$1:$R$2500,$E40+BB$1+2),"")</f>
        <v>45.89</v>
      </c>
      <c r="BC40">
        <f>IF(BC$1&lt;&gt;"",INDEX(Base!$R$1:$R$2500,$E40+BC$1+2),"")</f>
        <v>0.1</v>
      </c>
      <c r="BD40">
        <f>IF(BD$1&lt;&gt;"",INDEX(Base!$R$1:$R$2500,$E40+BD$1+2),"")</f>
        <v>1.49</v>
      </c>
      <c r="BE40">
        <f>IF(BE$1&lt;&gt;"",INDEX(Base!$R$1:$R$2500,$E40+BE$1+2),"")</f>
        <v>0.1</v>
      </c>
      <c r="BF40">
        <f>IF(BF$1&lt;&gt;"",INDEX(Base!$R$1:$R$2500,$E40+BF$1+2),"")</f>
        <v>0.11</v>
      </c>
      <c r="BG40">
        <f>IF(BG$1&lt;&gt;"",INDEX(Base!$R$1:$R$2500,$E40+BG$1+2),"")</f>
        <v>0.1</v>
      </c>
      <c r="BH40">
        <f>IF(BH$1&lt;&gt;"",INDEX(Base!$R$1:$R$2500,$E40+BH$1+2),"")</f>
        <v>0.1</v>
      </c>
      <c r="BI40">
        <f>IF(BI$1&lt;&gt;"",INDEX(Base!$R$1:$R$2500,$E40+BI$1+2),"")</f>
        <v>0.1</v>
      </c>
      <c r="BJ40">
        <f>IF(BJ$1&lt;&gt;"",INDEX(Base!$R$1:$R$2500,$E40+BJ$1+2),"")</f>
        <v>0.1</v>
      </c>
      <c r="BK40">
        <f>IF(BK$1&lt;&gt;"",INDEX(Base!$R$1:$R$2500,$E40+BK$1+2),"")</f>
        <v>0.1</v>
      </c>
      <c r="BL40">
        <f>IF(BL$1&lt;&gt;"",INDEX(Base!$R$1:$R$2500,$E40+BL$1+2),"")</f>
        <v>0.1</v>
      </c>
      <c r="BM40">
        <f>IF(BM$1&lt;&gt;"",INDEX(Base!$R$1:$R$2500,$E40+BM$1+2),"")</f>
        <v>0.1</v>
      </c>
      <c r="BN40">
        <f>IF(BN$1&lt;&gt;"",INDEX(Base!$R$1:$R$2500,$E40+BN$1+2),"")</f>
        <v>0.1</v>
      </c>
      <c r="BO40">
        <f>IF(BO$1&lt;&gt;"",INDEX(Base!$R$1:$R$2500,$E40+BO$1+2),"")</f>
        <v>0.1</v>
      </c>
      <c r="BP40">
        <f>IF(BP$1&lt;&gt;"",INDEX(Base!$R$1:$R$2500,$E40+BP$1+2),"")</f>
        <v>0.1</v>
      </c>
      <c r="BQ40">
        <f>IF(BQ$1&lt;&gt;"",INDEX(Base!$R$1:$R$2500,$E40+BQ$1+2),"")</f>
        <v>0.1</v>
      </c>
      <c r="BR40">
        <f>IF(BR$1&lt;&gt;"",INDEX(Base!$R$1:$R$2500,$E40+BR$1+2),"")</f>
        <v>0.1</v>
      </c>
      <c r="BS40">
        <f>IF(BS$1&lt;&gt;"",INDEX(Base!$R$1:$R$2500,$E40+BS$1+2),"")</f>
        <v>0.1</v>
      </c>
      <c r="BT40">
        <f>IF(BT$1&lt;&gt;"",INDEX(Base!$R$1:$R$2500,$E40+BT$1+2),"")</f>
        <v>2</v>
      </c>
    </row>
    <row r="41" spans="1:72" x14ac:dyDescent="0.3">
      <c r="A41" s="2">
        <f t="shared" si="3"/>
        <v>1677</v>
      </c>
      <c r="B41" s="3" t="str">
        <f>IFERROR(MID(INDEX(Base!A$1:A$2500,Calcoli!A41),47,LEN(INDEX(Base!A$1:A$2500,Calcoli!A41))-41),"")</f>
        <v>RIZZI GRAZIA</v>
      </c>
      <c r="C41" s="5" t="str">
        <f>MID(INDEX(Base!A$1:A$2500,Calcoli!$A41),42,4)</f>
        <v>1827</v>
      </c>
      <c r="D41" s="5" t="str">
        <f>MID(INDEX(Base!A$1:A$2500,Calcoli!A41),13,11)</f>
        <v xml:space="preserve"> 31_03_2025</v>
      </c>
      <c r="E41" s="4">
        <f t="shared" si="1"/>
        <v>1183</v>
      </c>
      <c r="F41" s="3" t="str">
        <f>IFERROR(MID(INDEX(Base!L$1:L$2500,Calcoli!E41),47,LEN(INDEX(Base!L$1:L$2500,Calcoli!E41))-41),"")</f>
        <v>RIZZI GRAZIA</v>
      </c>
      <c r="G41" s="5" t="str">
        <f>MID(INDEX(Base!L$1:L$2500,Calcoli!$E41),42,4)</f>
        <v>1827</v>
      </c>
      <c r="H41" s="5" t="str">
        <f>MID(INDEX(Base!L$1:L$2500,Calcoli!E41),13,11)</f>
        <v xml:space="preserve"> 01_04_2025</v>
      </c>
      <c r="I41" s="6" t="str">
        <f xml:space="preserve"> IFERROR(MID(INDEX(Base!$V$3:$AB$60,MATCH($F41,Base!$Z$3:$Z$160,0),1),1,14),"")</f>
        <v>1827 RIZZI GRA</v>
      </c>
      <c r="J41" s="6">
        <f xml:space="preserve"> IFERROR(INDEX(Base!$V$3:$AB$160,MATCH($F41,Base!$Z$3:$Z$160,0),2),"")</f>
        <v>72.41379310344827</v>
      </c>
      <c r="K41" s="6">
        <f xml:space="preserve"> IFERROR(INDEX(Base!$V$3:$AB$160,MATCH($F41,Base!$Z$3:$Z$160,0),3),"")</f>
        <v>43.205342786475555</v>
      </c>
      <c r="L41" s="28">
        <f xml:space="preserve"> IFERROR(INDEX(Base!$V$3:$AB$160,MATCH($F41,Base!$Z$3:$Z$160,0),4),"")</f>
        <v>21.832524271844662</v>
      </c>
      <c r="M41">
        <f>IF(M$1&lt;&gt;"",INDEX(Base!$G$1:$G$2500,$A41+M$1+2),"")</f>
        <v>46.91</v>
      </c>
      <c r="N41">
        <f>IF(N$1&lt;&gt;"",INDEX(Base!$G$1:$G$2500,$A41+N$1+2),"")</f>
        <v>6.6</v>
      </c>
      <c r="O41">
        <f>IF(O$1&lt;&gt;"",INDEX(Base!$G$1:$G$2500,$A41+O$1+2),"")</f>
        <v>0.56999999999999995</v>
      </c>
      <c r="P41">
        <f>IF(P$1&lt;&gt;"",INDEX(Base!$G$1:$G$2500,$A41+P$1+2),"")</f>
        <v>1.49</v>
      </c>
      <c r="Q41">
        <f>IF(Q$1&lt;&gt;"",INDEX(Base!$G$1:$G$2500,$A41+Q$1+2),"")</f>
        <v>0.11</v>
      </c>
      <c r="R41">
        <f>IF(R$1&lt;&gt;"",INDEX(Base!$G$1:$G$2500,$A41+R$1+2),"")</f>
        <v>1.04</v>
      </c>
      <c r="S41">
        <f>IF(S$1&lt;&gt;"",INDEX(Base!$G$1:$G$2500,$A41+S$1+2),"")</f>
        <v>0.59</v>
      </c>
      <c r="T41">
        <f>IF(T$1&lt;&gt;"",INDEX(Base!$G$1:$G$2500,$A41+T$1+2),"")</f>
        <v>26.81</v>
      </c>
      <c r="U41">
        <f>IF(U$1&lt;&gt;"",INDEX(Base!$G$1:$G$2500,$A41+U$1+2),"")</f>
        <v>1.71</v>
      </c>
      <c r="V41">
        <f>IF(V$1&lt;&gt;"",INDEX(Base!$G$1:$G$2500,$A41+V$1+2),"")</f>
        <v>0.08</v>
      </c>
      <c r="W41">
        <f>IF(W$1&lt;&gt;"",INDEX(Base!$G$1:$G$2500,$A41+W$1+2),"")</f>
        <v>1.29</v>
      </c>
      <c r="X41">
        <f>IF(X$1&lt;&gt;"",INDEX(Base!$G$1:$G$2500,$A41+X$1+2),"")</f>
        <v>1.38</v>
      </c>
      <c r="Y41">
        <f>IF(Y$1&lt;&gt;"",INDEX(Base!$G$1:$G$2500,$A41+Y$1+2),"")</f>
        <v>79.52</v>
      </c>
      <c r="Z41">
        <f>IF(Z$1&lt;&gt;"",INDEX(Base!$G$1:$G$2500,$A41+Z$1+2),"")</f>
        <v>2.16</v>
      </c>
      <c r="AA41">
        <f>IF(AA$1&lt;&gt;"",INDEX(Base!$G$1:$G$2500,$A41+AA$1+2),"")</f>
        <v>0.8</v>
      </c>
      <c r="AB41">
        <f>IF(AB$1&lt;&gt;"",INDEX(Base!$G$1:$G$2500,$A41+AB$1+2),"")</f>
        <v>0.93</v>
      </c>
      <c r="AC41">
        <f>IF(AC$1&lt;&gt;"",INDEX(Base!$G$1:$G$2500,$A41+AC$1+2),"")</f>
        <v>4.07</v>
      </c>
      <c r="AD41">
        <f>IF(AD$1&lt;&gt;"",INDEX(Base!$G$1:$G$2500,$A41+AD$1+2),"")</f>
        <v>6.79</v>
      </c>
      <c r="AE41">
        <f>IF(AE$1&lt;&gt;"",INDEX(Base!$G$1:$G$2500,$A41+AE$1+2),"")</f>
        <v>0.1</v>
      </c>
      <c r="AF41">
        <f>IF(AF$1&lt;&gt;"",INDEX(Base!$G$1:$G$2500,$A41+AF$1+2),"")</f>
        <v>1.25</v>
      </c>
      <c r="AG41">
        <f>IF(AG$1&lt;&gt;"",INDEX(Base!$G$1:$G$2500,$A41+AG$1+2),"")</f>
        <v>0.42</v>
      </c>
      <c r="AH41">
        <f>IF(AH$1&lt;&gt;"",INDEX(Base!$G$1:$G$2500,$A41+AH$1+2),"")</f>
        <v>2.92</v>
      </c>
      <c r="AI41">
        <f>IF(AI$1&lt;&gt;"",INDEX(Base!$G$1:$G$2500,$A41+AI$1+2),"")</f>
        <v>0.75</v>
      </c>
      <c r="AJ41">
        <f>IF(AJ$1&lt;&gt;"",INDEX(Base!$G$1:$G$2500,$A41+AJ$1+2),"")</f>
        <v>0.1</v>
      </c>
      <c r="AK41">
        <f>IF(AK$1&lt;&gt;"",INDEX(Base!$G$1:$G$2500,$A41+AK$1+2),"")</f>
        <v>3.92</v>
      </c>
      <c r="AL41">
        <f>IF(AL$1&lt;&gt;"",INDEX(Base!$G$1:$G$2500,$A41+AL$1+2),"")</f>
        <v>4.49</v>
      </c>
      <c r="AM41">
        <f>IF(AM$1&lt;&gt;"",INDEX(Base!$G$1:$G$2500,$A41+AM$1+2),"")</f>
        <v>0.33</v>
      </c>
      <c r="AN41">
        <f>IF(AN$1&lt;&gt;"",INDEX(Base!$G$1:$G$2500,$A41+AN$1+2),"")</f>
        <v>0.62</v>
      </c>
      <c r="AO41">
        <f>IF(AO$1&lt;&gt;"",INDEX(Base!$G$1:$G$2500,$A41+AO$1+2),"")</f>
        <v>1.73</v>
      </c>
      <c r="AP41">
        <f>IF(AP$1&lt;&gt;"",INDEX(Base!$G$1:$G$2500,$A41+AP$1+2),"")</f>
        <v>0.09</v>
      </c>
      <c r="AQ41">
        <f>IF(AQ$1&lt;&gt;"",INDEX(Base!$G$1:$G$2500,$A41+AQ$1+2),"")</f>
        <v>0.1</v>
      </c>
      <c r="AR41">
        <f>IF(AR$1&lt;&gt;"",INDEX(Base!$G$1:$G$2500,$A41+AR$1+2),"")</f>
        <v>0.09</v>
      </c>
      <c r="AS41">
        <f>IF(AS$1&lt;&gt;"",INDEX(Base!$G$1:$G$2500,$A41+AS$1+2),"")</f>
        <v>1.2</v>
      </c>
      <c r="AT41">
        <f>IF(AT$1&lt;&gt;"",INDEX(Base!$G$1:$G$2500,$A41+AT$1+2),"")</f>
        <v>0.09</v>
      </c>
      <c r="AU41">
        <f>IF(AU$1&lt;&gt;"",INDEX(Base!$G$1:$G$2500,$A41+AU$1+2),"")</f>
        <v>7.0000000000000007E-2</v>
      </c>
      <c r="AV41">
        <f>IF(AV$1&lt;&gt;"",INDEX(Base!$G$1:$G$2500,$A41+AV$1+2),"")</f>
        <v>1.28</v>
      </c>
      <c r="AW41" s="8">
        <f t="shared" si="4"/>
        <v>2.3225806451612905</v>
      </c>
      <c r="AX41">
        <f>IF(AX$1&lt;&gt;"",INDEX(Base!$R$1:$R$2500,$E41+AX$1+2),"")</f>
        <v>12.92</v>
      </c>
      <c r="AY41">
        <f>IF(AY$1&lt;&gt;"",INDEX(Base!$R$1:$R$2500,$E41+AY$1+2),"")</f>
        <v>339.93</v>
      </c>
      <c r="AZ41">
        <f>IF(AZ$1&lt;&gt;"",INDEX(Base!$R$1:$R$2500,$E41+AZ$1+2),"")</f>
        <v>0.18</v>
      </c>
      <c r="BA41">
        <f>IF(BA$1&lt;&gt;"",INDEX(Base!$R$1:$R$2500,$E41+BA$1+2),"")</f>
        <v>1.07</v>
      </c>
      <c r="BB41">
        <f>IF(BB$1&lt;&gt;"",INDEX(Base!$R$1:$R$2500,$E41+BB$1+2),"")</f>
        <v>28.14</v>
      </c>
      <c r="BC41">
        <f>IF(BC$1&lt;&gt;"",INDEX(Base!$R$1:$R$2500,$E41+BC$1+2),"")</f>
        <v>1.43</v>
      </c>
      <c r="BD41">
        <f>IF(BD$1&lt;&gt;"",INDEX(Base!$R$1:$R$2500,$E41+BD$1+2),"")</f>
        <v>2.97</v>
      </c>
      <c r="BE41">
        <f>IF(BE$1&lt;&gt;"",INDEX(Base!$R$1:$R$2500,$E41+BE$1+2),"")</f>
        <v>32.119999999999997</v>
      </c>
      <c r="BF41">
        <f>IF(BF$1&lt;&gt;"",INDEX(Base!$R$1:$R$2500,$E41+BF$1+2),"")</f>
        <v>0.08</v>
      </c>
      <c r="BG41">
        <f>IF(BG$1&lt;&gt;"",INDEX(Base!$R$1:$R$2500,$E41+BG$1+2),"")</f>
        <v>0.09</v>
      </c>
      <c r="BH41">
        <f>IF(BH$1&lt;&gt;"",INDEX(Base!$R$1:$R$2500,$E41+BH$1+2),"")</f>
        <v>0.24</v>
      </c>
      <c r="BI41">
        <f>IF(BI$1&lt;&gt;"",INDEX(Base!$R$1:$R$2500,$E41+BI$1+2),"")</f>
        <v>13.97</v>
      </c>
      <c r="BJ41">
        <f>IF(BJ$1&lt;&gt;"",INDEX(Base!$R$1:$R$2500,$E41+BJ$1+2),"")</f>
        <v>13.97</v>
      </c>
      <c r="BK41">
        <f>IF(BK$1&lt;&gt;"",INDEX(Base!$R$1:$R$2500,$E41+BK$1+2),"")</f>
        <v>10.91</v>
      </c>
      <c r="BL41">
        <f>IF(BL$1&lt;&gt;"",INDEX(Base!$R$1:$R$2500,$E41+BL$1+2),"")</f>
        <v>2.77</v>
      </c>
      <c r="BM41">
        <f>IF(BM$1&lt;&gt;"",INDEX(Base!$R$1:$R$2500,$E41+BM$1+2),"")</f>
        <v>0.31</v>
      </c>
      <c r="BN41">
        <f>IF(BN$1&lt;&gt;"",INDEX(Base!$R$1:$R$2500,$E41+BN$1+2),"")</f>
        <v>0.1</v>
      </c>
      <c r="BO41">
        <f>IF(BO$1&lt;&gt;"",INDEX(Base!$R$1:$R$2500,$E41+BO$1+2),"")</f>
        <v>0.12</v>
      </c>
      <c r="BP41">
        <f>IF(BP$1&lt;&gt;"",INDEX(Base!$R$1:$R$2500,$E41+BP$1+2),"")</f>
        <v>0.1</v>
      </c>
      <c r="BQ41">
        <f>IF(BQ$1&lt;&gt;"",INDEX(Base!$R$1:$R$2500,$E41+BQ$1+2),"")</f>
        <v>0.27</v>
      </c>
      <c r="BR41">
        <f>IF(BR$1&lt;&gt;"",INDEX(Base!$R$1:$R$2500,$E41+BR$1+2),"")</f>
        <v>0.46</v>
      </c>
      <c r="BS41">
        <f>IF(BS$1&lt;&gt;"",INDEX(Base!$R$1:$R$2500,$E41+BS$1+2),"")</f>
        <v>4.57</v>
      </c>
      <c r="BT41">
        <f>IF(BT$1&lt;&gt;"",INDEX(Base!$R$1:$R$2500,$E41+BT$1+2),"")</f>
        <v>1.91</v>
      </c>
    </row>
    <row r="42" spans="1:72" x14ac:dyDescent="0.3">
      <c r="A42" s="2">
        <f t="shared" si="3"/>
        <v>1721</v>
      </c>
      <c r="B42" s="3" t="str">
        <f>IFERROR(MID(INDEX(Base!A$1:A$2500,Calcoli!A42),47,LEN(INDEX(Base!A$1:A$2500,Calcoli!A42))-41),"")</f>
        <v>ALESSI ANDREA</v>
      </c>
      <c r="C42" s="5" t="str">
        <f>MID(INDEX(Base!A$1:A$2500,Calcoli!$A42),42,4)</f>
        <v>1828</v>
      </c>
      <c r="D42" s="5" t="str">
        <f>MID(INDEX(Base!A$1:A$2500,Calcoli!A42),13,11)</f>
        <v xml:space="preserve"> 31_03_2025</v>
      </c>
      <c r="E42" s="4">
        <f t="shared" si="1"/>
        <v>1214</v>
      </c>
      <c r="F42" s="3" t="str">
        <f>IFERROR(MID(INDEX(Base!L$1:L$2500,Calcoli!E42),47,LEN(INDEX(Base!L$1:L$2500,Calcoli!E42))-41),"")</f>
        <v>ALESSI ANDREA</v>
      </c>
      <c r="G42" s="5" t="str">
        <f>MID(INDEX(Base!L$1:L$2500,Calcoli!$E42),42,4)</f>
        <v>1828</v>
      </c>
      <c r="H42" s="5" t="str">
        <f>MID(INDEX(Base!L$1:L$2500,Calcoli!E42),13,11)</f>
        <v xml:space="preserve"> 01_04_2025</v>
      </c>
      <c r="I42" s="6" t="str">
        <f xml:space="preserve"> IFERROR(MID(INDEX(Base!$V$3:$AB$60,MATCH($F42,Base!$Z$3:$Z$160,0),1),1,14),"")</f>
        <v>1828 ALESSI AN</v>
      </c>
      <c r="J42" s="6">
        <f xml:space="preserve"> IFERROR(INDEX(Base!$V$3:$AB$160,MATCH($F42,Base!$Z$3:$Z$160,0),2),"")</f>
        <v>138.62068965517241</v>
      </c>
      <c r="K42" s="6">
        <f xml:space="preserve"> IFERROR(INDEX(Base!$V$3:$AB$160,MATCH($F42,Base!$Z$3:$Z$160,0),3),"")</f>
        <v>38.065745315328762</v>
      </c>
      <c r="L42" s="28">
        <f xml:space="preserve"> IFERROR(INDEX(Base!$V$3:$AB$160,MATCH($F42,Base!$Z$3:$Z$160,0),4),"")</f>
        <v>49.739077669902919</v>
      </c>
      <c r="M42">
        <f>IF(M$1&lt;&gt;"",INDEX(Base!$G$1:$G$2500,$A42+M$1+2),"")</f>
        <v>17.72</v>
      </c>
      <c r="N42">
        <f>IF(N$1&lt;&gt;"",INDEX(Base!$G$1:$G$2500,$A42+N$1+2),"")</f>
        <v>4.28</v>
      </c>
      <c r="O42">
        <f>IF(O$1&lt;&gt;"",INDEX(Base!$G$1:$G$2500,$A42+O$1+2),"")</f>
        <v>0.06</v>
      </c>
      <c r="P42">
        <f>IF(P$1&lt;&gt;"",INDEX(Base!$G$1:$G$2500,$A42+P$1+2),"")</f>
        <v>0.62</v>
      </c>
      <c r="Q42">
        <f>IF(Q$1&lt;&gt;"",INDEX(Base!$G$1:$G$2500,$A42+Q$1+2),"")</f>
        <v>0.1</v>
      </c>
      <c r="R42">
        <f>IF(R$1&lt;&gt;"",INDEX(Base!$G$1:$G$2500,$A42+R$1+2),"")</f>
        <v>0.93</v>
      </c>
      <c r="S42">
        <f>IF(S$1&lt;&gt;"",INDEX(Base!$G$1:$G$2500,$A42+S$1+2),"")</f>
        <v>0.2</v>
      </c>
      <c r="T42">
        <f>IF(T$1&lt;&gt;"",INDEX(Base!$G$1:$G$2500,$A42+T$1+2),"")</f>
        <v>30.18</v>
      </c>
      <c r="U42">
        <f>IF(U$1&lt;&gt;"",INDEX(Base!$G$1:$G$2500,$A42+U$1+2),"")</f>
        <v>2.57</v>
      </c>
      <c r="V42">
        <f>IF(V$1&lt;&gt;"",INDEX(Base!$G$1:$G$2500,$A42+V$1+2),"")</f>
        <v>0.1</v>
      </c>
      <c r="W42">
        <f>IF(W$1&lt;&gt;"",INDEX(Base!$G$1:$G$2500,$A42+W$1+2),"")</f>
        <v>1.93</v>
      </c>
      <c r="X42">
        <f>IF(X$1&lt;&gt;"",INDEX(Base!$G$1:$G$2500,$A42+X$1+2),"")</f>
        <v>1.22</v>
      </c>
      <c r="Y42">
        <f>IF(Y$1&lt;&gt;"",INDEX(Base!$G$1:$G$2500,$A42+Y$1+2),"")</f>
        <v>161.91</v>
      </c>
      <c r="Z42">
        <f>IF(Z$1&lt;&gt;"",INDEX(Base!$G$1:$G$2500,$A42+Z$1+2),"")</f>
        <v>2.12</v>
      </c>
      <c r="AA42">
        <f>IF(AA$1&lt;&gt;"",INDEX(Base!$G$1:$G$2500,$A42+AA$1+2),"")</f>
        <v>0.82</v>
      </c>
      <c r="AB42">
        <f>IF(AB$1&lt;&gt;"",INDEX(Base!$G$1:$G$2500,$A42+AB$1+2),"")</f>
        <v>1.08</v>
      </c>
      <c r="AC42">
        <f>IF(AC$1&lt;&gt;"",INDEX(Base!$G$1:$G$2500,$A42+AC$1+2),"")</f>
        <v>3.16</v>
      </c>
      <c r="AD42">
        <f>IF(AD$1&lt;&gt;"",INDEX(Base!$G$1:$G$2500,$A42+AD$1+2),"")</f>
        <v>17.5</v>
      </c>
      <c r="AE42">
        <f>IF(AE$1&lt;&gt;"",INDEX(Base!$G$1:$G$2500,$A42+AE$1+2),"")</f>
        <v>0.19</v>
      </c>
      <c r="AF42">
        <f>IF(AF$1&lt;&gt;"",INDEX(Base!$G$1:$G$2500,$A42+AF$1+2),"")</f>
        <v>1.79</v>
      </c>
      <c r="AG42">
        <f>IF(AG$1&lt;&gt;"",INDEX(Base!$G$1:$G$2500,$A42+AG$1+2),"")</f>
        <v>0.39</v>
      </c>
      <c r="AH42">
        <f>IF(AH$1&lt;&gt;"",INDEX(Base!$G$1:$G$2500,$A42+AH$1+2),"")</f>
        <v>2.63</v>
      </c>
      <c r="AI42">
        <f>IF(AI$1&lt;&gt;"",INDEX(Base!$G$1:$G$2500,$A42+AI$1+2),"")</f>
        <v>1</v>
      </c>
      <c r="AJ42">
        <f>IF(AJ$1&lt;&gt;"",INDEX(Base!$G$1:$G$2500,$A42+AJ$1+2),"")</f>
        <v>0.1</v>
      </c>
      <c r="AK42">
        <f>IF(AK$1&lt;&gt;"",INDEX(Base!$G$1:$G$2500,$A42+AK$1+2),"")</f>
        <v>2.4900000000000002</v>
      </c>
      <c r="AL42">
        <f>IF(AL$1&lt;&gt;"",INDEX(Base!$G$1:$G$2500,$A42+AL$1+2),"")</f>
        <v>2.87</v>
      </c>
      <c r="AM42">
        <f>IF(AM$1&lt;&gt;"",INDEX(Base!$G$1:$G$2500,$A42+AM$1+2),"")</f>
        <v>4.04</v>
      </c>
      <c r="AN42">
        <f>IF(AN$1&lt;&gt;"",INDEX(Base!$G$1:$G$2500,$A42+AN$1+2),"")</f>
        <v>1.39</v>
      </c>
      <c r="AO42">
        <f>IF(AO$1&lt;&gt;"",INDEX(Base!$G$1:$G$2500,$A42+AO$1+2),"")</f>
        <v>0.77</v>
      </c>
      <c r="AP42">
        <f>IF(AP$1&lt;&gt;"",INDEX(Base!$G$1:$G$2500,$A42+AP$1+2),"")</f>
        <v>0.13</v>
      </c>
      <c r="AQ42">
        <f>IF(AQ$1&lt;&gt;"",INDEX(Base!$G$1:$G$2500,$A42+AQ$1+2),"")</f>
        <v>0.59</v>
      </c>
      <c r="AR42">
        <f>IF(AR$1&lt;&gt;"",INDEX(Base!$G$1:$G$2500,$A42+AR$1+2),"")</f>
        <v>0.08</v>
      </c>
      <c r="AS42">
        <f>IF(AS$1&lt;&gt;"",INDEX(Base!$G$1:$G$2500,$A42+AS$1+2),"")</f>
        <v>0.51</v>
      </c>
      <c r="AT42">
        <f>IF(AT$1&lt;&gt;"",INDEX(Base!$G$1:$G$2500,$A42+AT$1+2),"")</f>
        <v>0.46</v>
      </c>
      <c r="AU42">
        <f>IF(AU$1&lt;&gt;"",INDEX(Base!$G$1:$G$2500,$A42+AU$1+2),"")</f>
        <v>0.13</v>
      </c>
      <c r="AV42">
        <f>IF(AV$1&lt;&gt;"",INDEX(Base!$G$1:$G$2500,$A42+AV$1+2),"")</f>
        <v>0.21</v>
      </c>
      <c r="AW42" s="8">
        <f t="shared" si="4"/>
        <v>1.962962962962963</v>
      </c>
      <c r="AX42">
        <f>IF(AX$1&lt;&gt;"",INDEX(Base!$R$1:$R$2500,$E42+AX$1+2),"")</f>
        <v>7.94</v>
      </c>
      <c r="AY42">
        <f>IF(AY$1&lt;&gt;"",INDEX(Base!$R$1:$R$2500,$E42+AY$1+2),"")</f>
        <v>77.84</v>
      </c>
      <c r="AZ42">
        <f>IF(AZ$1&lt;&gt;"",INDEX(Base!$R$1:$R$2500,$E42+AZ$1+2),"")</f>
        <v>0.17</v>
      </c>
      <c r="BA42">
        <f>IF(BA$1&lt;&gt;"",INDEX(Base!$R$1:$R$2500,$E42+BA$1+2),"")</f>
        <v>0.33</v>
      </c>
      <c r="BB42">
        <f>IF(BB$1&lt;&gt;"",INDEX(Base!$R$1:$R$2500,$E42+BB$1+2),"")</f>
        <v>32.880000000000003</v>
      </c>
      <c r="BC42">
        <f>IF(BC$1&lt;&gt;"",INDEX(Base!$R$1:$R$2500,$E42+BC$1+2),"")</f>
        <v>1.06</v>
      </c>
      <c r="BD42">
        <f>IF(BD$1&lt;&gt;"",INDEX(Base!$R$1:$R$2500,$E42+BD$1+2),"")</f>
        <v>1.1000000000000001</v>
      </c>
      <c r="BE42">
        <f>IF(BE$1&lt;&gt;"",INDEX(Base!$R$1:$R$2500,$E42+BE$1+2),"")</f>
        <v>52.3</v>
      </c>
      <c r="BF42">
        <f>IF(BF$1&lt;&gt;"",INDEX(Base!$R$1:$R$2500,$E42+BF$1+2),"")</f>
        <v>0.13</v>
      </c>
      <c r="BG42">
        <f>IF(BG$1&lt;&gt;"",INDEX(Base!$R$1:$R$2500,$E42+BG$1+2),"")</f>
        <v>9.83</v>
      </c>
      <c r="BH42">
        <f>IF(BH$1&lt;&gt;"",INDEX(Base!$R$1:$R$2500,$E42+BH$1+2),"")</f>
        <v>0.16</v>
      </c>
      <c r="BI42">
        <f>IF(BI$1&lt;&gt;"",INDEX(Base!$R$1:$R$2500,$E42+BI$1+2),"")</f>
        <v>15.44</v>
      </c>
      <c r="BJ42">
        <f>IF(BJ$1&lt;&gt;"",INDEX(Base!$R$1:$R$2500,$E42+BJ$1+2),"")</f>
        <v>5.75</v>
      </c>
      <c r="BK42">
        <f>IF(BK$1&lt;&gt;"",INDEX(Base!$R$1:$R$2500,$E42+BK$1+2),"")</f>
        <v>17.13</v>
      </c>
      <c r="BL42">
        <f>IF(BL$1&lt;&gt;"",INDEX(Base!$R$1:$R$2500,$E42+BL$1+2),"")</f>
        <v>2.23</v>
      </c>
      <c r="BM42">
        <f>IF(BM$1&lt;&gt;"",INDEX(Base!$R$1:$R$2500,$E42+BM$1+2),"")</f>
        <v>1.1200000000000001</v>
      </c>
      <c r="BN42">
        <f>IF(BN$1&lt;&gt;"",INDEX(Base!$R$1:$R$2500,$E42+BN$1+2),"")</f>
        <v>0.1</v>
      </c>
      <c r="BO42">
        <f>IF(BO$1&lt;&gt;"",INDEX(Base!$R$1:$R$2500,$E42+BO$1+2),"")</f>
        <v>0.12</v>
      </c>
      <c r="BP42">
        <f>IF(BP$1&lt;&gt;"",INDEX(Base!$R$1:$R$2500,$E42+BP$1+2),"")</f>
        <v>2.0499999999999998</v>
      </c>
      <c r="BQ42">
        <f>IF(BQ$1&lt;&gt;"",INDEX(Base!$R$1:$R$2500,$E42+BQ$1+2),"")</f>
        <v>0.24</v>
      </c>
      <c r="BR42">
        <f>IF(BR$1&lt;&gt;"",INDEX(Base!$R$1:$R$2500,$E42+BR$1+2),"")</f>
        <v>0.05</v>
      </c>
      <c r="BS42">
        <f>IF(BS$1&lt;&gt;"",INDEX(Base!$R$1:$R$2500,$E42+BS$1+2),"")</f>
        <v>9.2799999999999994</v>
      </c>
      <c r="BT42">
        <f>IF(BT$1&lt;&gt;"",INDEX(Base!$R$1:$R$2500,$E42+BT$1+2),"")</f>
        <v>1.35</v>
      </c>
    </row>
    <row r="43" spans="1:72" x14ac:dyDescent="0.3">
      <c r="A43" s="2">
        <f t="shared" si="3"/>
        <v>1765</v>
      </c>
      <c r="B43" s="3" t="str">
        <f>IFERROR(MID(INDEX(Base!A$1:A$2500,Calcoli!A43),47,LEN(INDEX(Base!A$1:A$2500,Calcoli!A43))-41),"")</f>
        <v>GRANDINI ROBERTA</v>
      </c>
      <c r="C43" s="5" t="str">
        <f>MID(INDEX(Base!A$1:A$2500,Calcoli!$A43),42,4)</f>
        <v>1829</v>
      </c>
      <c r="D43" s="5" t="str">
        <f>MID(INDEX(Base!A$1:A$2500,Calcoli!A43),13,11)</f>
        <v xml:space="preserve"> 31_03_2025</v>
      </c>
      <c r="E43" s="4">
        <f t="shared" si="1"/>
        <v>1245</v>
      </c>
      <c r="F43" s="3" t="str">
        <f>IFERROR(MID(INDEX(Base!L$1:L$2500,Calcoli!E43),47,LEN(INDEX(Base!L$1:L$2500,Calcoli!E43))-41),"")</f>
        <v>GRANDINI ROBERTA</v>
      </c>
      <c r="G43" s="5" t="str">
        <f>MID(INDEX(Base!L$1:L$2500,Calcoli!$E43),42,4)</f>
        <v>1829</v>
      </c>
      <c r="H43" s="5" t="str">
        <f>MID(INDEX(Base!L$1:L$2500,Calcoli!E43),13,11)</f>
        <v xml:space="preserve"> 01_04_2025</v>
      </c>
      <c r="I43" s="6" t="str">
        <f xml:space="preserve"> IFERROR(MID(INDEX(Base!$V$3:$AB$60,MATCH($F43,Base!$Z$3:$Z$160,0),1),1,14),"")</f>
        <v xml:space="preserve">1829 GRANDINI </v>
      </c>
      <c r="J43" s="6">
        <f xml:space="preserve"> IFERROR(INDEX(Base!$V$3:$AB$160,MATCH($F43,Base!$Z$3:$Z$160,0),2),"")</f>
        <v>144.82758620689657</v>
      </c>
      <c r="K43" s="6">
        <f xml:space="preserve"> IFERROR(INDEX(Base!$V$3:$AB$160,MATCH($F43,Base!$Z$3:$Z$160,0),3),"")</f>
        <v>25.149378636903677</v>
      </c>
      <c r="L43" s="28">
        <f xml:space="preserve"> IFERROR(INDEX(Base!$V$3:$AB$160,MATCH($F43,Base!$Z$3:$Z$160,0),4),"")</f>
        <v>23.743932038834956</v>
      </c>
      <c r="M43">
        <f>IF(M$1&lt;&gt;"",INDEX(Base!$G$1:$G$2500,$A43+M$1+2),"")</f>
        <v>7.46</v>
      </c>
      <c r="N43">
        <f>IF(N$1&lt;&gt;"",INDEX(Base!$G$1:$G$2500,$A43+N$1+2),"")</f>
        <v>3.68</v>
      </c>
      <c r="O43">
        <f>IF(O$1&lt;&gt;"",INDEX(Base!$G$1:$G$2500,$A43+O$1+2),"")</f>
        <v>0.26</v>
      </c>
      <c r="P43">
        <f>IF(P$1&lt;&gt;"",INDEX(Base!$G$1:$G$2500,$A43+P$1+2),"")</f>
        <v>0.89</v>
      </c>
      <c r="Q43">
        <f>IF(Q$1&lt;&gt;"",INDEX(Base!$G$1:$G$2500,$A43+Q$1+2),"")</f>
        <v>0.1</v>
      </c>
      <c r="R43">
        <f>IF(R$1&lt;&gt;"",INDEX(Base!$G$1:$G$2500,$A43+R$1+2),"")</f>
        <v>1.17</v>
      </c>
      <c r="S43">
        <f>IF(S$1&lt;&gt;"",INDEX(Base!$G$1:$G$2500,$A43+S$1+2),"")</f>
        <v>0.26</v>
      </c>
      <c r="T43">
        <f>IF(T$1&lt;&gt;"",INDEX(Base!$G$1:$G$2500,$A43+T$1+2),"")</f>
        <v>29.98</v>
      </c>
      <c r="U43">
        <f>IF(U$1&lt;&gt;"",INDEX(Base!$G$1:$G$2500,$A43+U$1+2),"")</f>
        <v>0.8</v>
      </c>
      <c r="V43">
        <f>IF(V$1&lt;&gt;"",INDEX(Base!$G$1:$G$2500,$A43+V$1+2),"")</f>
        <v>0.05</v>
      </c>
      <c r="W43">
        <f>IF(W$1&lt;&gt;"",INDEX(Base!$G$1:$G$2500,$A43+W$1+2),"")</f>
        <v>1.56</v>
      </c>
      <c r="X43">
        <f>IF(X$1&lt;&gt;"",INDEX(Base!$G$1:$G$2500,$A43+X$1+2),"")</f>
        <v>1.24</v>
      </c>
      <c r="Y43">
        <f>IF(Y$1&lt;&gt;"",INDEX(Base!$G$1:$G$2500,$A43+Y$1+2),"")</f>
        <v>41.07</v>
      </c>
      <c r="Z43">
        <f>IF(Z$1&lt;&gt;"",INDEX(Base!$G$1:$G$2500,$A43+Z$1+2),"")</f>
        <v>1.02</v>
      </c>
      <c r="AA43">
        <f>IF(AA$1&lt;&gt;"",INDEX(Base!$G$1:$G$2500,$A43+AA$1+2),"")</f>
        <v>0.97</v>
      </c>
      <c r="AB43">
        <f>IF(AB$1&lt;&gt;"",INDEX(Base!$G$1:$G$2500,$A43+AB$1+2),"")</f>
        <v>0.88</v>
      </c>
      <c r="AC43">
        <f>IF(AC$1&lt;&gt;"",INDEX(Base!$G$1:$G$2500,$A43+AC$1+2),"")</f>
        <v>4.75</v>
      </c>
      <c r="AD43">
        <f>IF(AD$1&lt;&gt;"",INDEX(Base!$G$1:$G$2500,$A43+AD$1+2),"")</f>
        <v>9.1</v>
      </c>
      <c r="AE43">
        <f>IF(AE$1&lt;&gt;"",INDEX(Base!$G$1:$G$2500,$A43+AE$1+2),"")</f>
        <v>0.14000000000000001</v>
      </c>
      <c r="AF43">
        <f>IF(AF$1&lt;&gt;"",INDEX(Base!$G$1:$G$2500,$A43+AF$1+2),"")</f>
        <v>1.24</v>
      </c>
      <c r="AG43">
        <f>IF(AG$1&lt;&gt;"",INDEX(Base!$G$1:$G$2500,$A43+AG$1+2),"")</f>
        <v>0.43</v>
      </c>
      <c r="AH43">
        <f>IF(AH$1&lt;&gt;"",INDEX(Base!$G$1:$G$2500,$A43+AH$1+2),"")</f>
        <v>2.52</v>
      </c>
      <c r="AI43">
        <f>IF(AI$1&lt;&gt;"",INDEX(Base!$G$1:$G$2500,$A43+AI$1+2),"")</f>
        <v>0.93</v>
      </c>
      <c r="AJ43">
        <f>IF(AJ$1&lt;&gt;"",INDEX(Base!$G$1:$G$2500,$A43+AJ$1+2),"")</f>
        <v>0.1</v>
      </c>
      <c r="AK43">
        <f>IF(AK$1&lt;&gt;"",INDEX(Base!$G$1:$G$2500,$A43+AK$1+2),"")</f>
        <v>2.5299999999999998</v>
      </c>
      <c r="AL43">
        <f>IF(AL$1&lt;&gt;"",INDEX(Base!$G$1:$G$2500,$A43+AL$1+2),"")</f>
        <v>1.67</v>
      </c>
      <c r="AM43">
        <f>IF(AM$1&lt;&gt;"",INDEX(Base!$G$1:$G$2500,$A43+AM$1+2),"")</f>
        <v>0.1</v>
      </c>
      <c r="AN43">
        <f>IF(AN$1&lt;&gt;"",INDEX(Base!$G$1:$G$2500,$A43+AN$1+2),"")</f>
        <v>0.46</v>
      </c>
      <c r="AO43">
        <f>IF(AO$1&lt;&gt;"",INDEX(Base!$G$1:$G$2500,$A43+AO$1+2),"")</f>
        <v>0.56999999999999995</v>
      </c>
      <c r="AP43">
        <f>IF(AP$1&lt;&gt;"",INDEX(Base!$G$1:$G$2500,$A43+AP$1+2),"")</f>
        <v>0.13</v>
      </c>
      <c r="AQ43">
        <f>IF(AQ$1&lt;&gt;"",INDEX(Base!$G$1:$G$2500,$A43+AQ$1+2),"")</f>
        <v>0.17</v>
      </c>
      <c r="AR43">
        <f>IF(AR$1&lt;&gt;"",INDEX(Base!$G$1:$G$2500,$A43+AR$1+2),"")</f>
        <v>0.05</v>
      </c>
      <c r="AS43">
        <f>IF(AS$1&lt;&gt;"",INDEX(Base!$G$1:$G$2500,$A43+AS$1+2),"")</f>
        <v>0.59</v>
      </c>
      <c r="AT43">
        <f>IF(AT$1&lt;&gt;"",INDEX(Base!$G$1:$G$2500,$A43+AT$1+2),"")</f>
        <v>0.41</v>
      </c>
      <c r="AU43">
        <f>IF(AU$1&lt;&gt;"",INDEX(Base!$G$1:$G$2500,$A43+AU$1+2),"")</f>
        <v>0.11</v>
      </c>
      <c r="AV43">
        <f>IF(AV$1&lt;&gt;"",INDEX(Base!$G$1:$G$2500,$A43+AV$1+2),"")</f>
        <v>1.52</v>
      </c>
      <c r="AW43" s="8">
        <f t="shared" si="4"/>
        <v>1.1590909090909092</v>
      </c>
      <c r="AX43">
        <f>IF(AX$1&lt;&gt;"",INDEX(Base!$R$1:$R$2500,$E43+AX$1+2),"")</f>
        <v>6.62</v>
      </c>
      <c r="AY43">
        <f>IF(AY$1&lt;&gt;"",INDEX(Base!$R$1:$R$2500,$E43+AY$1+2),"")</f>
        <v>402.72</v>
      </c>
      <c r="AZ43">
        <f>IF(AZ$1&lt;&gt;"",INDEX(Base!$R$1:$R$2500,$E43+AZ$1+2),"")</f>
        <v>0.31</v>
      </c>
      <c r="BA43">
        <f>IF(BA$1&lt;&gt;"",INDEX(Base!$R$1:$R$2500,$E43+BA$1+2),"")</f>
        <v>1.49</v>
      </c>
      <c r="BB43">
        <f>IF(BB$1&lt;&gt;"",INDEX(Base!$R$1:$R$2500,$E43+BB$1+2),"")</f>
        <v>35.47</v>
      </c>
      <c r="BC43">
        <f>IF(BC$1&lt;&gt;"",INDEX(Base!$R$1:$R$2500,$E43+BC$1+2),"")</f>
        <v>1.48</v>
      </c>
      <c r="BD43">
        <f>IF(BD$1&lt;&gt;"",INDEX(Base!$R$1:$R$2500,$E43+BD$1+2),"")</f>
        <v>1.79</v>
      </c>
      <c r="BE43">
        <f>IF(BE$1&lt;&gt;"",INDEX(Base!$R$1:$R$2500,$E43+BE$1+2),"")</f>
        <v>14.16</v>
      </c>
      <c r="BF43">
        <f>IF(BF$1&lt;&gt;"",INDEX(Base!$R$1:$R$2500,$E43+BF$1+2),"")</f>
        <v>0.09</v>
      </c>
      <c r="BG43">
        <f>IF(BG$1&lt;&gt;"",INDEX(Base!$R$1:$R$2500,$E43+BG$1+2),"")</f>
        <v>0.1</v>
      </c>
      <c r="BH43">
        <f>IF(BH$1&lt;&gt;"",INDEX(Base!$R$1:$R$2500,$E43+BH$1+2),"")</f>
        <v>0.13</v>
      </c>
      <c r="BI43">
        <f>IF(BI$1&lt;&gt;"",INDEX(Base!$R$1:$R$2500,$E43+BI$1+2),"")</f>
        <v>17.329999999999998</v>
      </c>
      <c r="BJ43">
        <f>IF(BJ$1&lt;&gt;"",INDEX(Base!$R$1:$R$2500,$E43+BJ$1+2),"")</f>
        <v>12.56</v>
      </c>
      <c r="BK43">
        <f>IF(BK$1&lt;&gt;"",INDEX(Base!$R$1:$R$2500,$E43+BK$1+2),"")</f>
        <v>16.170000000000002</v>
      </c>
      <c r="BL43">
        <f>IF(BL$1&lt;&gt;"",INDEX(Base!$R$1:$R$2500,$E43+BL$1+2),"")</f>
        <v>5.47</v>
      </c>
      <c r="BM43">
        <f>IF(BM$1&lt;&gt;"",INDEX(Base!$R$1:$R$2500,$E43+BM$1+2),"")</f>
        <v>0.37</v>
      </c>
      <c r="BN43">
        <f>IF(BN$1&lt;&gt;"",INDEX(Base!$R$1:$R$2500,$E43+BN$1+2),"")</f>
        <v>0.1</v>
      </c>
      <c r="BO43">
        <f>IF(BO$1&lt;&gt;"",INDEX(Base!$R$1:$R$2500,$E43+BO$1+2),"")</f>
        <v>0.1</v>
      </c>
      <c r="BP43">
        <f>IF(BP$1&lt;&gt;"",INDEX(Base!$R$1:$R$2500,$E43+BP$1+2),"")</f>
        <v>0.91</v>
      </c>
      <c r="BQ43">
        <f>IF(BQ$1&lt;&gt;"",INDEX(Base!$R$1:$R$2500,$E43+BQ$1+2),"")</f>
        <v>0.22</v>
      </c>
      <c r="BR43">
        <f>IF(BR$1&lt;&gt;"",INDEX(Base!$R$1:$R$2500,$E43+BR$1+2),"")</f>
        <v>0.26</v>
      </c>
      <c r="BS43">
        <f>IF(BS$1&lt;&gt;"",INDEX(Base!$R$1:$R$2500,$E43+BS$1+2),"")</f>
        <v>6.97</v>
      </c>
      <c r="BT43">
        <f>IF(BT$1&lt;&gt;"",INDEX(Base!$R$1:$R$2500,$E43+BT$1+2),"")</f>
        <v>1.56</v>
      </c>
    </row>
    <row r="44" spans="1:72" x14ac:dyDescent="0.3">
      <c r="A44" s="2">
        <f t="shared" si="3"/>
        <v>1809</v>
      </c>
      <c r="B44" s="3" t="str">
        <f>IFERROR(MID(INDEX(Base!A$1:A$2500,Calcoli!A44),47,LEN(INDEX(Base!A$1:A$2500,Calcoli!A44))-41),"")</f>
        <v>DE MAJO ELVIRA</v>
      </c>
      <c r="C44" s="5" t="str">
        <f>MID(INDEX(Base!A$1:A$2500,Calcoli!$A44),42,4)</f>
        <v>1830</v>
      </c>
      <c r="D44" s="5" t="str">
        <f>MID(INDEX(Base!A$1:A$2500,Calcoli!A44),13,11)</f>
        <v xml:space="preserve"> 31_03_2025</v>
      </c>
      <c r="E44" s="4">
        <f t="shared" si="1"/>
        <v>1276</v>
      </c>
      <c r="F44" s="3" t="str">
        <f>IFERROR(MID(INDEX(Base!L$1:L$2500,Calcoli!E44),47,LEN(INDEX(Base!L$1:L$2500,Calcoli!E44))-41),"")</f>
        <v>DE MAJO ELVIRA</v>
      </c>
      <c r="G44" s="5" t="str">
        <f>MID(INDEX(Base!L$1:L$2500,Calcoli!$E44),42,4)</f>
        <v>1830</v>
      </c>
      <c r="H44" s="5" t="str">
        <f>MID(INDEX(Base!L$1:L$2500,Calcoli!E44),13,11)</f>
        <v xml:space="preserve"> 01_04_2025</v>
      </c>
      <c r="I44" s="6" t="str">
        <f xml:space="preserve"> IFERROR(MID(INDEX(Base!$V$3:$AB$60,MATCH($F44,Base!$Z$3:$Z$160,0),1),1,14),"")</f>
        <v>1830 DE MAJO E</v>
      </c>
      <c r="J44" s="6">
        <f xml:space="preserve"> IFERROR(INDEX(Base!$V$3:$AB$160,MATCH($F44,Base!$Z$3:$Z$160,0),2),"")</f>
        <v>71.034482758620683</v>
      </c>
      <c r="K44" s="6">
        <f xml:space="preserve"> IFERROR(INDEX(Base!$V$3:$AB$160,MATCH($F44,Base!$Z$3:$Z$160,0),3),"")</f>
        <v>30.896734770505269</v>
      </c>
      <c r="L44" s="28">
        <f xml:space="preserve"> IFERROR(INDEX(Base!$V$3:$AB$160,MATCH($F44,Base!$Z$3:$Z$160,0),4),"")</f>
        <v>10.321601941747574</v>
      </c>
      <c r="M44">
        <f>IF(M$1&lt;&gt;"",INDEX(Base!$G$1:$G$2500,$A44+M$1+2),"")</f>
        <v>3.8</v>
      </c>
      <c r="N44">
        <f>IF(N$1&lt;&gt;"",INDEX(Base!$G$1:$G$2500,$A44+N$1+2),"")</f>
        <v>5.6</v>
      </c>
      <c r="O44">
        <f>IF(O$1&lt;&gt;"",INDEX(Base!$G$1:$G$2500,$A44+O$1+2),"")</f>
        <v>0.09</v>
      </c>
      <c r="P44">
        <f>IF(P$1&lt;&gt;"",INDEX(Base!$G$1:$G$2500,$A44+P$1+2),"")</f>
        <v>0.47</v>
      </c>
      <c r="Q44">
        <f>IF(Q$1&lt;&gt;"",INDEX(Base!$G$1:$G$2500,$A44+Q$1+2),"")</f>
        <v>0.64</v>
      </c>
      <c r="R44">
        <f>IF(R$1&lt;&gt;"",INDEX(Base!$G$1:$G$2500,$A44+R$1+2),"")</f>
        <v>0.62</v>
      </c>
      <c r="S44">
        <f>IF(S$1&lt;&gt;"",INDEX(Base!$G$1:$G$2500,$A44+S$1+2),"")</f>
        <v>0.06</v>
      </c>
      <c r="T44">
        <f>IF(T$1&lt;&gt;"",INDEX(Base!$G$1:$G$2500,$A44+T$1+2),"")</f>
        <v>9.56</v>
      </c>
      <c r="U44">
        <f>IF(U$1&lt;&gt;"",INDEX(Base!$G$1:$G$2500,$A44+U$1+2),"")</f>
        <v>0.74</v>
      </c>
      <c r="V44">
        <f>IF(V$1&lt;&gt;"",INDEX(Base!$G$1:$G$2500,$A44+V$1+2),"")</f>
        <v>0.15</v>
      </c>
      <c r="W44">
        <f>IF(W$1&lt;&gt;"",INDEX(Base!$G$1:$G$2500,$A44+W$1+2),"")</f>
        <v>0.9</v>
      </c>
      <c r="X44">
        <f>IF(X$1&lt;&gt;"",INDEX(Base!$G$1:$G$2500,$A44+X$1+2),"")</f>
        <v>0.51</v>
      </c>
      <c r="Y44">
        <f>IF(Y$1&lt;&gt;"",INDEX(Base!$G$1:$G$2500,$A44+Y$1+2),"")</f>
        <v>103.96</v>
      </c>
      <c r="Z44">
        <f>IF(Z$1&lt;&gt;"",INDEX(Base!$G$1:$G$2500,$A44+Z$1+2),"")</f>
        <v>1.53</v>
      </c>
      <c r="AA44">
        <f>IF(AA$1&lt;&gt;"",INDEX(Base!$G$1:$G$2500,$A44+AA$1+2),"")</f>
        <v>0.17</v>
      </c>
      <c r="AB44">
        <f>IF(AB$1&lt;&gt;"",INDEX(Base!$G$1:$G$2500,$A44+AB$1+2),"")</f>
        <v>0.82</v>
      </c>
      <c r="AC44">
        <f>IF(AC$1&lt;&gt;"",INDEX(Base!$G$1:$G$2500,$A44+AC$1+2),"")</f>
        <v>0.86</v>
      </c>
      <c r="AD44">
        <f>IF(AD$1&lt;&gt;"",INDEX(Base!$G$1:$G$2500,$A44+AD$1+2),"")</f>
        <v>6.17</v>
      </c>
      <c r="AE44">
        <f>IF(AE$1&lt;&gt;"",INDEX(Base!$G$1:$G$2500,$A44+AE$1+2),"")</f>
        <v>0.13</v>
      </c>
      <c r="AF44">
        <f>IF(AF$1&lt;&gt;"",INDEX(Base!$G$1:$G$2500,$A44+AF$1+2),"")</f>
        <v>0.95</v>
      </c>
      <c r="AG44">
        <f>IF(AG$1&lt;&gt;"",INDEX(Base!$G$1:$G$2500,$A44+AG$1+2),"")</f>
        <v>0.17</v>
      </c>
      <c r="AH44">
        <f>IF(AH$1&lt;&gt;"",INDEX(Base!$G$1:$G$2500,$A44+AH$1+2),"")</f>
        <v>1.0900000000000001</v>
      </c>
      <c r="AI44">
        <f>IF(AI$1&lt;&gt;"",INDEX(Base!$G$1:$G$2500,$A44+AI$1+2),"")</f>
        <v>0.39</v>
      </c>
      <c r="AJ44">
        <f>IF(AJ$1&lt;&gt;"",INDEX(Base!$G$1:$G$2500,$A44+AJ$1+2),"")</f>
        <v>0.1</v>
      </c>
      <c r="AK44">
        <f>IF(AK$1&lt;&gt;"",INDEX(Base!$G$1:$G$2500,$A44+AK$1+2),"")</f>
        <v>4.7300000000000004</v>
      </c>
      <c r="AL44">
        <f>IF(AL$1&lt;&gt;"",INDEX(Base!$G$1:$G$2500,$A44+AL$1+2),"")</f>
        <v>5</v>
      </c>
      <c r="AM44">
        <f>IF(AM$1&lt;&gt;"",INDEX(Base!$G$1:$G$2500,$A44+AM$1+2),"")</f>
        <v>0.1</v>
      </c>
      <c r="AN44">
        <f>IF(AN$1&lt;&gt;"",INDEX(Base!$G$1:$G$2500,$A44+AN$1+2),"")</f>
        <v>0.6</v>
      </c>
      <c r="AO44">
        <f>IF(AO$1&lt;&gt;"",INDEX(Base!$G$1:$G$2500,$A44+AO$1+2),"")</f>
        <v>0.61</v>
      </c>
      <c r="AP44">
        <f>IF(AP$1&lt;&gt;"",INDEX(Base!$G$1:$G$2500,$A44+AP$1+2),"")</f>
        <v>0.14000000000000001</v>
      </c>
      <c r="AQ44">
        <f>IF(AQ$1&lt;&gt;"",INDEX(Base!$G$1:$G$2500,$A44+AQ$1+2),"")</f>
        <v>0.1</v>
      </c>
      <c r="AR44">
        <f>IF(AR$1&lt;&gt;"",INDEX(Base!$G$1:$G$2500,$A44+AR$1+2),"")</f>
        <v>7.0000000000000007E-2</v>
      </c>
      <c r="AS44">
        <f>IF(AS$1&lt;&gt;"",INDEX(Base!$G$1:$G$2500,$A44+AS$1+2),"")</f>
        <v>0.78</v>
      </c>
      <c r="AT44">
        <f>IF(AT$1&lt;&gt;"",INDEX(Base!$G$1:$G$2500,$A44+AT$1+2),"")</f>
        <v>0.08</v>
      </c>
      <c r="AU44">
        <f>IF(AU$1&lt;&gt;"",INDEX(Base!$G$1:$G$2500,$A44+AU$1+2),"")</f>
        <v>0.12</v>
      </c>
      <c r="AV44">
        <f>IF(AV$1&lt;&gt;"",INDEX(Base!$G$1:$G$2500,$A44+AV$1+2),"")</f>
        <v>0.09</v>
      </c>
      <c r="AW44" s="8">
        <f t="shared" si="4"/>
        <v>1.8658536585365855</v>
      </c>
      <c r="AX44">
        <f>IF(AX$1&lt;&gt;"",INDEX(Base!$R$1:$R$2500,$E44+AX$1+2),"")</f>
        <v>13.15</v>
      </c>
      <c r="AY44">
        <f>IF(AY$1&lt;&gt;"",INDEX(Base!$R$1:$R$2500,$E44+AY$1+2),"")</f>
        <v>75.47</v>
      </c>
      <c r="AZ44">
        <f>IF(AZ$1&lt;&gt;"",INDEX(Base!$R$1:$R$2500,$E44+AZ$1+2),"")</f>
        <v>0.17</v>
      </c>
      <c r="BA44">
        <f>IF(BA$1&lt;&gt;"",INDEX(Base!$R$1:$R$2500,$E44+BA$1+2),"")</f>
        <v>0.21</v>
      </c>
      <c r="BB44">
        <f>IF(BB$1&lt;&gt;"",INDEX(Base!$R$1:$R$2500,$E44+BB$1+2),"")</f>
        <v>18.64</v>
      </c>
      <c r="BC44">
        <f>IF(BC$1&lt;&gt;"",INDEX(Base!$R$1:$R$2500,$E44+BC$1+2),"")</f>
        <v>1.33</v>
      </c>
      <c r="BD44">
        <f>IF(BD$1&lt;&gt;"",INDEX(Base!$R$1:$R$2500,$E44+BD$1+2),"")</f>
        <v>1</v>
      </c>
      <c r="BE44">
        <f>IF(BE$1&lt;&gt;"",INDEX(Base!$R$1:$R$2500,$E44+BE$1+2),"")</f>
        <v>33.82</v>
      </c>
      <c r="BF44">
        <f>IF(BF$1&lt;&gt;"",INDEX(Base!$R$1:$R$2500,$E44+BF$1+2),"")</f>
        <v>0.13</v>
      </c>
      <c r="BG44">
        <f>IF(BG$1&lt;&gt;"",INDEX(Base!$R$1:$R$2500,$E44+BG$1+2),"")</f>
        <v>0.12</v>
      </c>
      <c r="BH44">
        <f>IF(BH$1&lt;&gt;"",INDEX(Base!$R$1:$R$2500,$E44+BH$1+2),"")</f>
        <v>0.27</v>
      </c>
      <c r="BI44">
        <f>IF(BI$1&lt;&gt;"",INDEX(Base!$R$1:$R$2500,$E44+BI$1+2),"")</f>
        <v>0.1</v>
      </c>
      <c r="BJ44">
        <f>IF(BJ$1&lt;&gt;"",INDEX(Base!$R$1:$R$2500,$E44+BJ$1+2),"")</f>
        <v>10.06</v>
      </c>
      <c r="BK44">
        <f>IF(BK$1&lt;&gt;"",INDEX(Base!$R$1:$R$2500,$E44+BK$1+2),"")</f>
        <v>7.22</v>
      </c>
      <c r="BL44">
        <f>IF(BL$1&lt;&gt;"",INDEX(Base!$R$1:$R$2500,$E44+BL$1+2),"")</f>
        <v>0.25</v>
      </c>
      <c r="BM44">
        <f>IF(BM$1&lt;&gt;"",INDEX(Base!$R$1:$R$2500,$E44+BM$1+2),"")</f>
        <v>0.11</v>
      </c>
      <c r="BN44">
        <f>IF(BN$1&lt;&gt;"",INDEX(Base!$R$1:$R$2500,$E44+BN$1+2),"")</f>
        <v>0.1</v>
      </c>
      <c r="BO44">
        <f>IF(BO$1&lt;&gt;"",INDEX(Base!$R$1:$R$2500,$E44+BO$1+2),"")</f>
        <v>0.11</v>
      </c>
      <c r="BP44">
        <f>IF(BP$1&lt;&gt;"",INDEX(Base!$R$1:$R$2500,$E44+BP$1+2),"")</f>
        <v>0.1</v>
      </c>
      <c r="BQ44">
        <f>IF(BQ$1&lt;&gt;"",INDEX(Base!$R$1:$R$2500,$E44+BQ$1+2),"")</f>
        <v>0.06</v>
      </c>
      <c r="BR44">
        <f>IF(BR$1&lt;&gt;"",INDEX(Base!$R$1:$R$2500,$E44+BR$1+2),"")</f>
        <v>0.12</v>
      </c>
      <c r="BS44">
        <f>IF(BS$1&lt;&gt;"",INDEX(Base!$R$1:$R$2500,$E44+BS$1+2),"")</f>
        <v>2.2999999999999998</v>
      </c>
      <c r="BT44">
        <f>IF(BT$1&lt;&gt;"",INDEX(Base!$R$1:$R$2500,$E44+BT$1+2),"")</f>
        <v>1.08</v>
      </c>
    </row>
    <row r="45" spans="1:72" x14ac:dyDescent="0.3">
      <c r="A45" s="2">
        <f t="shared" si="3"/>
        <v>1853</v>
      </c>
      <c r="B45" s="3" t="str">
        <f>IFERROR(MID(INDEX(Base!A$1:A$2500,Calcoli!A45),47,LEN(INDEX(Base!A$1:A$2500,Calcoli!A45))-41),"")</f>
        <v/>
      </c>
      <c r="C45" s="5" t="str">
        <f>MID(INDEX(Base!A$1:A$2500,Calcoli!$A45),42,4)</f>
        <v/>
      </c>
      <c r="D45" s="5" t="str">
        <f>MID(INDEX(Base!A$1:A$2500,Calcoli!A45),13,11)</f>
        <v xml:space="preserve"> 31_03_2025</v>
      </c>
      <c r="E45" s="4">
        <f t="shared" si="1"/>
        <v>1307</v>
      </c>
      <c r="F45" s="3" t="str">
        <f>IFERROR(MID(INDEX(Base!L$1:L$2500,Calcoli!E45),47,LEN(INDEX(Base!L$1:L$2500,Calcoli!E45))-41),"")</f>
        <v/>
      </c>
      <c r="G45" s="5" t="str">
        <f>MID(INDEX(Base!L$1:L$2500,Calcoli!$E45),42,4)</f>
        <v/>
      </c>
      <c r="H45" s="5" t="str">
        <f>MID(INDEX(Base!L$1:L$2500,Calcoli!E45),13,11)</f>
        <v xml:space="preserve"> 01_04_2025</v>
      </c>
      <c r="I45" s="6" t="str">
        <f xml:space="preserve"> IFERROR(MID(INDEX(Base!$V$3:$AB$60,MATCH($F45,Base!$Z$3:$Z$160,0),1),1,14),"")</f>
        <v/>
      </c>
      <c r="J45" s="6" t="str">
        <f xml:space="preserve"> IFERROR(INDEX(Base!$V$3:$AB$160,MATCH($F45,Base!$Z$3:$Z$160,0),2),"")</f>
        <v/>
      </c>
      <c r="K45" s="6" t="str">
        <f xml:space="preserve"> IFERROR(INDEX(Base!$V$3:$AB$160,MATCH($F45,Base!$Z$3:$Z$160,0),3),"")</f>
        <v/>
      </c>
      <c r="L45" s="28" t="str">
        <f xml:space="preserve"> IFERROR(INDEX(Base!$V$3:$AB$160,MATCH($F45,Base!$Z$3:$Z$160,0),4),"")</f>
        <v/>
      </c>
      <c r="M45">
        <f>IF(M$1&lt;&gt;"",INDEX(Base!$G$1:$G$2500,$A45+M$1+2),"")</f>
        <v>0.1</v>
      </c>
      <c r="N45">
        <f>IF(N$1&lt;&gt;"",INDEX(Base!$G$1:$G$2500,$A45+N$1+2),"")</f>
        <v>6.45</v>
      </c>
      <c r="O45">
        <f>IF(O$1&lt;&gt;"",INDEX(Base!$G$1:$G$2500,$A45+O$1+2),"")</f>
        <v>0.95</v>
      </c>
      <c r="P45">
        <f>IF(P$1&lt;&gt;"",INDEX(Base!$G$1:$G$2500,$A45+P$1+2),"")</f>
        <v>0.77</v>
      </c>
      <c r="Q45">
        <f>IF(Q$1&lt;&gt;"",INDEX(Base!$G$1:$G$2500,$A45+Q$1+2),"")</f>
        <v>1.67</v>
      </c>
      <c r="R45">
        <f>IF(R$1&lt;&gt;"",INDEX(Base!$G$1:$G$2500,$A45+R$1+2),"")</f>
        <v>2.2999999999999998</v>
      </c>
      <c r="S45">
        <f>IF(S$1&lt;&gt;"",INDEX(Base!$G$1:$G$2500,$A45+S$1+2),"")</f>
        <v>0.08</v>
      </c>
      <c r="T45">
        <f>IF(T$1&lt;&gt;"",INDEX(Base!$G$1:$G$2500,$A45+T$1+2),"")</f>
        <v>0.1</v>
      </c>
      <c r="U45">
        <f>IF(U$1&lt;&gt;"",INDEX(Base!$G$1:$G$2500,$A45+U$1+2),"")</f>
        <v>2.16</v>
      </c>
      <c r="V45">
        <f>IF(V$1&lt;&gt;"",INDEX(Base!$G$1:$G$2500,$A45+V$1+2),"")</f>
        <v>0.53</v>
      </c>
      <c r="W45">
        <f>IF(W$1&lt;&gt;"",INDEX(Base!$G$1:$G$2500,$A45+W$1+2),"")</f>
        <v>0.1</v>
      </c>
      <c r="X45">
        <f>IF(X$1&lt;&gt;"",INDEX(Base!$G$1:$G$2500,$A45+X$1+2),"")</f>
        <v>2.78</v>
      </c>
      <c r="Y45">
        <f>IF(Y$1&lt;&gt;"",INDEX(Base!$G$1:$G$2500,$A45+Y$1+2),"")</f>
        <v>0.1</v>
      </c>
      <c r="Z45">
        <f>IF(Z$1&lt;&gt;"",INDEX(Base!$G$1:$G$2500,$A45+Z$1+2),"")</f>
        <v>0.1</v>
      </c>
      <c r="AA45">
        <f>IF(AA$1&lt;&gt;"",INDEX(Base!$G$1:$G$2500,$A45+AA$1+2),"")</f>
        <v>1.4</v>
      </c>
      <c r="AB45">
        <f>IF(AB$1&lt;&gt;"",INDEX(Base!$G$1:$G$2500,$A45+AB$1+2),"")</f>
        <v>2.04</v>
      </c>
      <c r="AC45">
        <f>IF(AC$1&lt;&gt;"",INDEX(Base!$G$1:$G$2500,$A45+AC$1+2),"")</f>
        <v>3.26</v>
      </c>
      <c r="AD45">
        <f>IF(AD$1&lt;&gt;"",INDEX(Base!$G$1:$G$2500,$A45+AD$1+2),"")</f>
        <v>10.52</v>
      </c>
      <c r="AE45">
        <f>IF(AE$1&lt;&gt;"",INDEX(Base!$G$1:$G$2500,$A45+AE$1+2),"")</f>
        <v>0.3</v>
      </c>
      <c r="AF45">
        <f>IF(AF$1&lt;&gt;"",INDEX(Base!$G$1:$G$2500,$A45+AF$1+2),"")</f>
        <v>0.41</v>
      </c>
      <c r="AG45">
        <f>IF(AG$1&lt;&gt;"",INDEX(Base!$G$1:$G$2500,$A45+AG$1+2),"")</f>
        <v>0.11</v>
      </c>
      <c r="AH45">
        <f>IF(AH$1&lt;&gt;"",INDEX(Base!$G$1:$G$2500,$A45+AH$1+2),"")</f>
        <v>0.1</v>
      </c>
      <c r="AI45">
        <f>IF(AI$1&lt;&gt;"",INDEX(Base!$G$1:$G$2500,$A45+AI$1+2),"")</f>
        <v>0.1</v>
      </c>
      <c r="AJ45">
        <f>IF(AJ$1&lt;&gt;"",INDEX(Base!$G$1:$G$2500,$A45+AJ$1+2),"")</f>
        <v>0.1</v>
      </c>
      <c r="AK45">
        <f>IF(AK$1&lt;&gt;"",INDEX(Base!$G$1:$G$2500,$A45+AK$1+2),"")</f>
        <v>21.19</v>
      </c>
      <c r="AL45">
        <f>IF(AL$1&lt;&gt;"",INDEX(Base!$G$1:$G$2500,$A45+AL$1+2),"")</f>
        <v>0.1</v>
      </c>
      <c r="AM45">
        <f>IF(AM$1&lt;&gt;"",INDEX(Base!$G$1:$G$2500,$A45+AM$1+2),"")</f>
        <v>0.1</v>
      </c>
      <c r="AN45">
        <f>IF(AN$1&lt;&gt;"",INDEX(Base!$G$1:$G$2500,$A45+AN$1+2),"")</f>
        <v>0.1</v>
      </c>
      <c r="AO45">
        <f>IF(AO$1&lt;&gt;"",INDEX(Base!$G$1:$G$2500,$A45+AO$1+2),"")</f>
        <v>3.08</v>
      </c>
      <c r="AP45">
        <f>IF(AP$1&lt;&gt;"",INDEX(Base!$G$1:$G$2500,$A45+AP$1+2),"")</f>
        <v>0.14000000000000001</v>
      </c>
      <c r="AQ45">
        <f>IF(AQ$1&lt;&gt;"",INDEX(Base!$G$1:$G$2500,$A45+AQ$1+2),"")</f>
        <v>0.1</v>
      </c>
      <c r="AR45">
        <f>IF(AR$1&lt;&gt;"",INDEX(Base!$G$1:$G$2500,$A45+AR$1+2),"")</f>
        <v>0.1</v>
      </c>
      <c r="AS45">
        <f>IF(AS$1&lt;&gt;"",INDEX(Base!$G$1:$G$2500,$A45+AS$1+2),"")</f>
        <v>3.35</v>
      </c>
      <c r="AT45">
        <f>IF(AT$1&lt;&gt;"",INDEX(Base!$G$1:$G$2500,$A45+AT$1+2),"")</f>
        <v>0.11</v>
      </c>
      <c r="AU45">
        <f>IF(AU$1&lt;&gt;"",INDEX(Base!$G$1:$G$2500,$A45+AU$1+2),"")</f>
        <v>0.1</v>
      </c>
      <c r="AV45">
        <f>IF(AV$1&lt;&gt;"",INDEX(Base!$G$1:$G$2500,$A45+AV$1+2),"")</f>
        <v>0.08</v>
      </c>
      <c r="AW45" s="8">
        <f t="shared" si="4"/>
        <v>4.9019607843137254E-2</v>
      </c>
      <c r="AX45">
        <f>IF(AX$1&lt;&gt;"",INDEX(Base!$R$1:$R$2500,$E45+AX$1+2),"")</f>
        <v>81.99</v>
      </c>
      <c r="AY45">
        <f>IF(AY$1&lt;&gt;"",INDEX(Base!$R$1:$R$2500,$E45+AY$1+2),"")</f>
        <v>427.96</v>
      </c>
      <c r="AZ45">
        <f>IF(AZ$1&lt;&gt;"",INDEX(Base!$R$1:$R$2500,$E45+AZ$1+2),"")</f>
        <v>0.1</v>
      </c>
      <c r="BA45">
        <f>IF(BA$1&lt;&gt;"",INDEX(Base!$R$1:$R$2500,$E45+BA$1+2),"")</f>
        <v>0.72</v>
      </c>
      <c r="BB45">
        <f>IF(BB$1&lt;&gt;"",INDEX(Base!$R$1:$R$2500,$E45+BB$1+2),"")</f>
        <v>45.96</v>
      </c>
      <c r="BC45">
        <f>IF(BC$1&lt;&gt;"",INDEX(Base!$R$1:$R$2500,$E45+BC$1+2),"")</f>
        <v>0.1</v>
      </c>
      <c r="BD45">
        <f>IF(BD$1&lt;&gt;"",INDEX(Base!$R$1:$R$2500,$E45+BD$1+2),"")</f>
        <v>0.1</v>
      </c>
      <c r="BE45">
        <f>IF(BE$1&lt;&gt;"",INDEX(Base!$R$1:$R$2500,$E45+BE$1+2),"")</f>
        <v>0.1</v>
      </c>
      <c r="BF45">
        <f>IF(BF$1&lt;&gt;"",INDEX(Base!$R$1:$R$2500,$E45+BF$1+2),"")</f>
        <v>0.12</v>
      </c>
      <c r="BG45">
        <f>IF(BG$1&lt;&gt;"",INDEX(Base!$R$1:$R$2500,$E45+BG$1+2),"")</f>
        <v>0.1</v>
      </c>
      <c r="BH45">
        <f>IF(BH$1&lt;&gt;"",INDEX(Base!$R$1:$R$2500,$E45+BH$1+2),"")</f>
        <v>0.1</v>
      </c>
      <c r="BI45">
        <f>IF(BI$1&lt;&gt;"",INDEX(Base!$R$1:$R$2500,$E45+BI$1+2),"")</f>
        <v>0.1</v>
      </c>
      <c r="BJ45">
        <f>IF(BJ$1&lt;&gt;"",INDEX(Base!$R$1:$R$2500,$E45+BJ$1+2),"")</f>
        <v>0.1</v>
      </c>
      <c r="BK45">
        <f>IF(BK$1&lt;&gt;"",INDEX(Base!$R$1:$R$2500,$E45+BK$1+2),"")</f>
        <v>0.1</v>
      </c>
      <c r="BL45">
        <f>IF(BL$1&lt;&gt;"",INDEX(Base!$R$1:$R$2500,$E45+BL$1+2),"")</f>
        <v>0.1</v>
      </c>
      <c r="BM45">
        <f>IF(BM$1&lt;&gt;"",INDEX(Base!$R$1:$R$2500,$E45+BM$1+2),"")</f>
        <v>0.1</v>
      </c>
      <c r="BN45">
        <f>IF(BN$1&lt;&gt;"",INDEX(Base!$R$1:$R$2500,$E45+BN$1+2),"")</f>
        <v>0.1</v>
      </c>
      <c r="BO45">
        <f>IF(BO$1&lt;&gt;"",INDEX(Base!$R$1:$R$2500,$E45+BO$1+2),"")</f>
        <v>0.1</v>
      </c>
      <c r="BP45">
        <f>IF(BP$1&lt;&gt;"",INDEX(Base!$R$1:$R$2500,$E45+BP$1+2),"")</f>
        <v>0.1</v>
      </c>
      <c r="BQ45">
        <f>IF(BQ$1&lt;&gt;"",INDEX(Base!$R$1:$R$2500,$E45+BQ$1+2),"")</f>
        <v>0.1</v>
      </c>
      <c r="BR45">
        <f>IF(BR$1&lt;&gt;"",INDEX(Base!$R$1:$R$2500,$E45+BR$1+2),"")</f>
        <v>0.1</v>
      </c>
      <c r="BS45">
        <f>IF(BS$1&lt;&gt;"",INDEX(Base!$R$1:$R$2500,$E45+BS$1+2),"")</f>
        <v>0.1</v>
      </c>
      <c r="BT45">
        <f>IF(BT$1&lt;&gt;"",INDEX(Base!$R$1:$R$2500,$E45+BT$1+2),"")</f>
        <v>2.02</v>
      </c>
    </row>
    <row r="46" spans="1:72" x14ac:dyDescent="0.3">
      <c r="A46" s="2">
        <f t="shared" si="3"/>
        <v>1897</v>
      </c>
      <c r="B46" s="3" t="str">
        <f>IFERROR(MID(INDEX(Base!A$1:A$2500,Calcoli!A46),47,LEN(INDEX(Base!A$1:A$2500,Calcoli!A46))-41),"")</f>
        <v>PAGLIARI JESSICA</v>
      </c>
      <c r="C46" s="5" t="str">
        <f>MID(INDEX(Base!A$1:A$2500,Calcoli!$A46),42,4)</f>
        <v>1832</v>
      </c>
      <c r="D46" s="5" t="str">
        <f>MID(INDEX(Base!A$1:A$2500,Calcoli!A46),13,11)</f>
        <v xml:space="preserve"> 31_03_2025</v>
      </c>
      <c r="E46" s="4">
        <f t="shared" si="1"/>
        <v>1338</v>
      </c>
      <c r="F46" s="3" t="str">
        <f>IFERROR(MID(INDEX(Base!L$1:L$2500,Calcoli!E46),47,LEN(INDEX(Base!L$1:L$2500,Calcoli!E46))-41),"")</f>
        <v>PAGLIARI JESSICA</v>
      </c>
      <c r="G46" s="5" t="str">
        <f>MID(INDEX(Base!L$1:L$2500,Calcoli!$E46),42,4)</f>
        <v>1832</v>
      </c>
      <c r="H46" s="5" t="str">
        <f>MID(INDEX(Base!L$1:L$2500,Calcoli!E46),13,11)</f>
        <v xml:space="preserve"> 01_04_2025</v>
      </c>
      <c r="I46" s="6" t="str">
        <f xml:space="preserve"> IFERROR(MID(INDEX(Base!$V$3:$AB$60,MATCH($F46,Base!$Z$3:$Z$160,0),1),1,14),"")</f>
        <v xml:space="preserve">1832 PAGLIARI </v>
      </c>
      <c r="J46" s="6">
        <f xml:space="preserve"> IFERROR(INDEX(Base!$V$3:$AB$160,MATCH($F46,Base!$Z$3:$Z$160,0),2),"")</f>
        <v>65.517241379310335</v>
      </c>
      <c r="K46" s="6">
        <f xml:space="preserve"> IFERROR(INDEX(Base!$V$3:$AB$160,MATCH($F46,Base!$Z$3:$Z$160,0),3),"")</f>
        <v>44.902331898277424</v>
      </c>
      <c r="L46" s="28">
        <f xml:space="preserve"> IFERROR(INDEX(Base!$V$3:$AB$160,MATCH($F46,Base!$Z$3:$Z$160,0),4),"")</f>
        <v>10.958737864077671</v>
      </c>
      <c r="M46">
        <f>IF(M$1&lt;&gt;"",INDEX(Base!$G$1:$G$2500,$A46+M$1+2),"")</f>
        <v>17.239999999999998</v>
      </c>
      <c r="N46">
        <f>IF(N$1&lt;&gt;"",INDEX(Base!$G$1:$G$2500,$A46+N$1+2),"")</f>
        <v>32.81</v>
      </c>
      <c r="O46">
        <f>IF(O$1&lt;&gt;"",INDEX(Base!$G$1:$G$2500,$A46+O$1+2),"")</f>
        <v>0.19</v>
      </c>
      <c r="P46">
        <f>IF(P$1&lt;&gt;"",INDEX(Base!$G$1:$G$2500,$A46+P$1+2),"")</f>
        <v>1.34</v>
      </c>
      <c r="Q46">
        <f>IF(Q$1&lt;&gt;"",INDEX(Base!$G$1:$G$2500,$A46+Q$1+2),"")</f>
        <v>0.1</v>
      </c>
      <c r="R46">
        <f>IF(R$1&lt;&gt;"",INDEX(Base!$G$1:$G$2500,$A46+R$1+2),"")</f>
        <v>1.97</v>
      </c>
      <c r="S46">
        <f>IF(S$1&lt;&gt;"",INDEX(Base!$G$1:$G$2500,$A46+S$1+2),"")</f>
        <v>0.37</v>
      </c>
      <c r="T46">
        <f>IF(T$1&lt;&gt;"",INDEX(Base!$G$1:$G$2500,$A46+T$1+2),"")</f>
        <v>39.869999999999997</v>
      </c>
      <c r="U46">
        <f>IF(U$1&lt;&gt;"",INDEX(Base!$G$1:$G$2500,$A46+U$1+2),"")</f>
        <v>0.52</v>
      </c>
      <c r="V46">
        <f>IF(V$1&lt;&gt;"",INDEX(Base!$G$1:$G$2500,$A46+V$1+2),"")</f>
        <v>0.08</v>
      </c>
      <c r="W46">
        <f>IF(W$1&lt;&gt;"",INDEX(Base!$G$1:$G$2500,$A46+W$1+2),"")</f>
        <v>1.84</v>
      </c>
      <c r="X46">
        <f>IF(X$1&lt;&gt;"",INDEX(Base!$G$1:$G$2500,$A46+X$1+2),"")</f>
        <v>1.69</v>
      </c>
      <c r="Y46">
        <f>IF(Y$1&lt;&gt;"",INDEX(Base!$G$1:$G$2500,$A46+Y$1+2),"")</f>
        <v>3.33</v>
      </c>
      <c r="Z46">
        <f>IF(Z$1&lt;&gt;"",INDEX(Base!$G$1:$G$2500,$A46+Z$1+2),"")</f>
        <v>1.99</v>
      </c>
      <c r="AA46">
        <f>IF(AA$1&lt;&gt;"",INDEX(Base!$G$1:$G$2500,$A46+AA$1+2),"")</f>
        <v>0.83</v>
      </c>
      <c r="AB46">
        <f>IF(AB$1&lt;&gt;"",INDEX(Base!$G$1:$G$2500,$A46+AB$1+2),"")</f>
        <v>1.05</v>
      </c>
      <c r="AC46">
        <f>IF(AC$1&lt;&gt;"",INDEX(Base!$G$1:$G$2500,$A46+AC$1+2),"")</f>
        <v>3.13</v>
      </c>
      <c r="AD46">
        <f>IF(AD$1&lt;&gt;"",INDEX(Base!$G$1:$G$2500,$A46+AD$1+2),"")</f>
        <v>15.81</v>
      </c>
      <c r="AE46">
        <f>IF(AE$1&lt;&gt;"",INDEX(Base!$G$1:$G$2500,$A46+AE$1+2),"")</f>
        <v>0.34</v>
      </c>
      <c r="AF46">
        <f>IF(AF$1&lt;&gt;"",INDEX(Base!$G$1:$G$2500,$A46+AF$1+2),"")</f>
        <v>3.19</v>
      </c>
      <c r="AG46">
        <f>IF(AG$1&lt;&gt;"",INDEX(Base!$G$1:$G$2500,$A46+AG$1+2),"")</f>
        <v>1.51</v>
      </c>
      <c r="AH46">
        <f>IF(AH$1&lt;&gt;"",INDEX(Base!$G$1:$G$2500,$A46+AH$1+2),"")</f>
        <v>3.6</v>
      </c>
      <c r="AI46">
        <f>IF(AI$1&lt;&gt;"",INDEX(Base!$G$1:$G$2500,$A46+AI$1+2),"")</f>
        <v>1.66</v>
      </c>
      <c r="AJ46">
        <f>IF(AJ$1&lt;&gt;"",INDEX(Base!$G$1:$G$2500,$A46+AJ$1+2),"")</f>
        <v>0.12</v>
      </c>
      <c r="AK46">
        <f>IF(AK$1&lt;&gt;"",INDEX(Base!$G$1:$G$2500,$A46+AK$1+2),"")</f>
        <v>4.33</v>
      </c>
      <c r="AL46">
        <f>IF(AL$1&lt;&gt;"",INDEX(Base!$G$1:$G$2500,$A46+AL$1+2),"")</f>
        <v>13.48</v>
      </c>
      <c r="AM46">
        <f>IF(AM$1&lt;&gt;"",INDEX(Base!$G$1:$G$2500,$A46+AM$1+2),"")</f>
        <v>0.05</v>
      </c>
      <c r="AN46">
        <f>IF(AN$1&lt;&gt;"",INDEX(Base!$G$1:$G$2500,$A46+AN$1+2),"")</f>
        <v>0.65</v>
      </c>
      <c r="AO46">
        <f>IF(AO$1&lt;&gt;"",INDEX(Base!$G$1:$G$2500,$A46+AO$1+2),"")</f>
        <v>1.35</v>
      </c>
      <c r="AP46">
        <f>IF(AP$1&lt;&gt;"",INDEX(Base!$G$1:$G$2500,$A46+AP$1+2),"")</f>
        <v>0.06</v>
      </c>
      <c r="AQ46">
        <f>IF(AQ$1&lt;&gt;"",INDEX(Base!$G$1:$G$2500,$A46+AQ$1+2),"")</f>
        <v>0.18</v>
      </c>
      <c r="AR46">
        <f>IF(AR$1&lt;&gt;"",INDEX(Base!$G$1:$G$2500,$A46+AR$1+2),"")</f>
        <v>0.13</v>
      </c>
      <c r="AS46">
        <f>IF(AS$1&lt;&gt;"",INDEX(Base!$G$1:$G$2500,$A46+AS$1+2),"")</f>
        <v>1.08</v>
      </c>
      <c r="AT46">
        <f>IF(AT$1&lt;&gt;"",INDEX(Base!$G$1:$G$2500,$A46+AT$1+2),"")</f>
        <v>7.0000000000000007E-2</v>
      </c>
      <c r="AU46">
        <f>IF(AU$1&lt;&gt;"",INDEX(Base!$G$1:$G$2500,$A46+AU$1+2),"")</f>
        <v>0.1</v>
      </c>
      <c r="AV46">
        <f>IF(AV$1&lt;&gt;"",INDEX(Base!$G$1:$G$2500,$A46+AV$1+2),"")</f>
        <v>0.73</v>
      </c>
      <c r="AW46" s="8">
        <f t="shared" si="4"/>
        <v>1.8952380952380952</v>
      </c>
      <c r="AX46">
        <f>IF(AX$1&lt;&gt;"",INDEX(Base!$R$1:$R$2500,$E46+AX$1+2),"")</f>
        <v>14.23</v>
      </c>
      <c r="AY46">
        <f>IF(AY$1&lt;&gt;"",INDEX(Base!$R$1:$R$2500,$E46+AY$1+2),"")</f>
        <v>420.48</v>
      </c>
      <c r="AZ46">
        <f>IF(AZ$1&lt;&gt;"",INDEX(Base!$R$1:$R$2500,$E46+AZ$1+2),"")</f>
        <v>0.27</v>
      </c>
      <c r="BA46">
        <f>IF(BA$1&lt;&gt;"",INDEX(Base!$R$1:$R$2500,$E46+BA$1+2),"")</f>
        <v>0.99</v>
      </c>
      <c r="BB46">
        <f>IF(BB$1&lt;&gt;"",INDEX(Base!$R$1:$R$2500,$E46+BB$1+2),"")</f>
        <v>41.39</v>
      </c>
      <c r="BC46">
        <f>IF(BC$1&lt;&gt;"",INDEX(Base!$R$1:$R$2500,$E46+BC$1+2),"")</f>
        <v>1.66</v>
      </c>
      <c r="BD46">
        <f>IF(BD$1&lt;&gt;"",INDEX(Base!$R$1:$R$2500,$E46+BD$1+2),"")</f>
        <v>5.45</v>
      </c>
      <c r="BE46">
        <f>IF(BE$1&lt;&gt;"",INDEX(Base!$R$1:$R$2500,$E46+BE$1+2),"")</f>
        <v>33.68</v>
      </c>
      <c r="BF46">
        <f>IF(BF$1&lt;&gt;"",INDEX(Base!$R$1:$R$2500,$E46+BF$1+2),"")</f>
        <v>0.16</v>
      </c>
      <c r="BG46">
        <f>IF(BG$1&lt;&gt;"",INDEX(Base!$R$1:$R$2500,$E46+BG$1+2),"")</f>
        <v>0.1</v>
      </c>
      <c r="BH46">
        <f>IF(BH$1&lt;&gt;"",INDEX(Base!$R$1:$R$2500,$E46+BH$1+2),"")</f>
        <v>0.2</v>
      </c>
      <c r="BI46">
        <f>IF(BI$1&lt;&gt;"",INDEX(Base!$R$1:$R$2500,$E46+BI$1+2),"")</f>
        <v>16.18</v>
      </c>
      <c r="BJ46">
        <f>IF(BJ$1&lt;&gt;"",INDEX(Base!$R$1:$R$2500,$E46+BJ$1+2),"")</f>
        <v>11.23</v>
      </c>
      <c r="BK46">
        <f>IF(BK$1&lt;&gt;"",INDEX(Base!$R$1:$R$2500,$E46+BK$1+2),"")</f>
        <v>15.94</v>
      </c>
      <c r="BL46">
        <f>IF(BL$1&lt;&gt;"",INDEX(Base!$R$1:$R$2500,$E46+BL$1+2),"")</f>
        <v>3.47</v>
      </c>
      <c r="BM46">
        <f>IF(BM$1&lt;&gt;"",INDEX(Base!$R$1:$R$2500,$E46+BM$1+2),"")</f>
        <v>0.44</v>
      </c>
      <c r="BN46">
        <f>IF(BN$1&lt;&gt;"",INDEX(Base!$R$1:$R$2500,$E46+BN$1+2),"")</f>
        <v>0.16</v>
      </c>
      <c r="BO46">
        <f>IF(BO$1&lt;&gt;"",INDEX(Base!$R$1:$R$2500,$E46+BO$1+2),"")</f>
        <v>0.19</v>
      </c>
      <c r="BP46">
        <f>IF(BP$1&lt;&gt;"",INDEX(Base!$R$1:$R$2500,$E46+BP$1+2),"")</f>
        <v>3.08</v>
      </c>
      <c r="BQ46">
        <f>IF(BQ$1&lt;&gt;"",INDEX(Base!$R$1:$R$2500,$E46+BQ$1+2),"")</f>
        <v>0.35</v>
      </c>
      <c r="BR46">
        <f>IF(BR$1&lt;&gt;"",INDEX(Base!$R$1:$R$2500,$E46+BR$1+2),"")</f>
        <v>0.36</v>
      </c>
      <c r="BS46">
        <f>IF(BS$1&lt;&gt;"",INDEX(Base!$R$1:$R$2500,$E46+BS$1+2),"")</f>
        <v>6.78</v>
      </c>
      <c r="BT46">
        <f>IF(BT$1&lt;&gt;"",INDEX(Base!$R$1:$R$2500,$E46+BT$1+2),"")</f>
        <v>1.75</v>
      </c>
    </row>
    <row r="47" spans="1:72" x14ac:dyDescent="0.3">
      <c r="A47" s="2">
        <f t="shared" si="3"/>
        <v>1941</v>
      </c>
      <c r="B47" s="3" t="str">
        <f>IFERROR(MID(INDEX(Base!A$1:A$2500,Calcoli!A47),47,LEN(INDEX(Base!A$1:A$2500,Calcoli!A47))-41),"")</f>
        <v>TELESIO DI TORITTO ANNA</v>
      </c>
      <c r="C47" s="5" t="str">
        <f>MID(INDEX(Base!A$1:A$2500,Calcoli!$A47),42,4)</f>
        <v>1833</v>
      </c>
      <c r="D47" s="5" t="str">
        <f>MID(INDEX(Base!A$1:A$2500,Calcoli!A47),13,11)</f>
        <v xml:space="preserve"> 31_03_2025</v>
      </c>
      <c r="E47" s="4">
        <f t="shared" si="1"/>
        <v>1369</v>
      </c>
      <c r="F47" s="3" t="str">
        <f>IFERROR(MID(INDEX(Base!L$1:L$2500,Calcoli!E47),47,LEN(INDEX(Base!L$1:L$2500,Calcoli!E47))-41),"")</f>
        <v>TELESIO DI TORITTO ANNA</v>
      </c>
      <c r="G47" s="5" t="str">
        <f>MID(INDEX(Base!L$1:L$2500,Calcoli!$E47),42,4)</f>
        <v>1833</v>
      </c>
      <c r="H47" s="5" t="str">
        <f>MID(INDEX(Base!L$1:L$2500,Calcoli!E47),13,11)</f>
        <v xml:space="preserve"> 01_04_2025</v>
      </c>
      <c r="I47" s="6" t="str">
        <f xml:space="preserve"> IFERROR(MID(INDEX(Base!$V$3:$AB$60,MATCH($F47,Base!$Z$3:$Z$160,0),1),1,14),"")</f>
        <v>1833 TELESIO D</v>
      </c>
      <c r="J47" s="6">
        <f xml:space="preserve"> IFERROR(INDEX(Base!$V$3:$AB$160,MATCH($F47,Base!$Z$3:$Z$160,0),2),"")</f>
        <v>93.793103448275886</v>
      </c>
      <c r="K47" s="6">
        <f xml:space="preserve"> IFERROR(INDEX(Base!$V$3:$AB$160,MATCH($F47,Base!$Z$3:$Z$160,0),3),"")</f>
        <v>16.429599731687635</v>
      </c>
      <c r="L47" s="28">
        <f xml:space="preserve"> IFERROR(INDEX(Base!$V$3:$AB$160,MATCH($F47,Base!$Z$3:$Z$160,0),4),"")</f>
        <v>8.7075242718446599</v>
      </c>
      <c r="M47">
        <f>IF(M$1&lt;&gt;"",INDEX(Base!$G$1:$G$2500,$A47+M$1+2),"")</f>
        <v>15.21</v>
      </c>
      <c r="N47">
        <f>IF(N$1&lt;&gt;"",INDEX(Base!$G$1:$G$2500,$A47+N$1+2),"")</f>
        <v>3.59</v>
      </c>
      <c r="O47">
        <f>IF(O$1&lt;&gt;"",INDEX(Base!$G$1:$G$2500,$A47+O$1+2),"")</f>
        <v>0.11</v>
      </c>
      <c r="P47">
        <f>IF(P$1&lt;&gt;"",INDEX(Base!$G$1:$G$2500,$A47+P$1+2),"")</f>
        <v>0.91</v>
      </c>
      <c r="Q47">
        <f>IF(Q$1&lt;&gt;"",INDEX(Base!$G$1:$G$2500,$A47+Q$1+2),"")</f>
        <v>0.1</v>
      </c>
      <c r="R47">
        <f>IF(R$1&lt;&gt;"",INDEX(Base!$G$1:$G$2500,$A47+R$1+2),"")</f>
        <v>0.84</v>
      </c>
      <c r="S47">
        <f>IF(S$1&lt;&gt;"",INDEX(Base!$G$1:$G$2500,$A47+S$1+2),"")</f>
        <v>0.15</v>
      </c>
      <c r="T47">
        <f>IF(T$1&lt;&gt;"",INDEX(Base!$G$1:$G$2500,$A47+T$1+2),"")</f>
        <v>11.18</v>
      </c>
      <c r="U47">
        <f>IF(U$1&lt;&gt;"",INDEX(Base!$G$1:$G$2500,$A47+U$1+2),"")</f>
        <v>0.72</v>
      </c>
      <c r="V47">
        <f>IF(V$1&lt;&gt;"",INDEX(Base!$G$1:$G$2500,$A47+V$1+2),"")</f>
        <v>0.09</v>
      </c>
      <c r="W47">
        <f>IF(W$1&lt;&gt;"",INDEX(Base!$G$1:$G$2500,$A47+W$1+2),"")</f>
        <v>1.79</v>
      </c>
      <c r="X47">
        <f>IF(X$1&lt;&gt;"",INDEX(Base!$G$1:$G$2500,$A47+X$1+2),"")</f>
        <v>1.25</v>
      </c>
      <c r="Y47">
        <f>IF(Y$1&lt;&gt;"",INDEX(Base!$G$1:$G$2500,$A47+Y$1+2),"")</f>
        <v>0.1</v>
      </c>
      <c r="Z47">
        <f>IF(Z$1&lt;&gt;"",INDEX(Base!$G$1:$G$2500,$A47+Z$1+2),"")</f>
        <v>1.47</v>
      </c>
      <c r="AA47">
        <f>IF(AA$1&lt;&gt;"",INDEX(Base!$G$1:$G$2500,$A47+AA$1+2),"")</f>
        <v>0.84</v>
      </c>
      <c r="AB47">
        <f>IF(AB$1&lt;&gt;"",INDEX(Base!$G$1:$G$2500,$A47+AB$1+2),"")</f>
        <v>0.79</v>
      </c>
      <c r="AC47">
        <f>IF(AC$1&lt;&gt;"",INDEX(Base!$G$1:$G$2500,$A47+AC$1+2),"")</f>
        <v>0.93</v>
      </c>
      <c r="AD47">
        <f>IF(AD$1&lt;&gt;"",INDEX(Base!$G$1:$G$2500,$A47+AD$1+2),"")</f>
        <v>7.1</v>
      </c>
      <c r="AE47">
        <f>IF(AE$1&lt;&gt;"",INDEX(Base!$G$1:$G$2500,$A47+AE$1+2),"")</f>
        <v>0.16</v>
      </c>
      <c r="AF47">
        <f>IF(AF$1&lt;&gt;"",INDEX(Base!$G$1:$G$2500,$A47+AF$1+2),"")</f>
        <v>0.56000000000000005</v>
      </c>
      <c r="AG47">
        <f>IF(AG$1&lt;&gt;"",INDEX(Base!$G$1:$G$2500,$A47+AG$1+2),"")</f>
        <v>0.24</v>
      </c>
      <c r="AH47">
        <f>IF(AH$1&lt;&gt;"",INDEX(Base!$G$1:$G$2500,$A47+AH$1+2),"")</f>
        <v>2.42</v>
      </c>
      <c r="AI47">
        <f>IF(AI$1&lt;&gt;"",INDEX(Base!$G$1:$G$2500,$A47+AI$1+2),"")</f>
        <v>0.49</v>
      </c>
      <c r="AJ47">
        <f>IF(AJ$1&lt;&gt;"",INDEX(Base!$G$1:$G$2500,$A47+AJ$1+2),"")</f>
        <v>0.1</v>
      </c>
      <c r="AK47">
        <f>IF(AK$1&lt;&gt;"",INDEX(Base!$G$1:$G$2500,$A47+AK$1+2),"")</f>
        <v>3.34</v>
      </c>
      <c r="AL47">
        <f>IF(AL$1&lt;&gt;"",INDEX(Base!$G$1:$G$2500,$A47+AL$1+2),"")</f>
        <v>2.2799999999999998</v>
      </c>
      <c r="AM47">
        <f>IF(AM$1&lt;&gt;"",INDEX(Base!$G$1:$G$2500,$A47+AM$1+2),"")</f>
        <v>0.35</v>
      </c>
      <c r="AN47">
        <f>IF(AN$1&lt;&gt;"",INDEX(Base!$G$1:$G$2500,$A47+AN$1+2),"")</f>
        <v>0.63</v>
      </c>
      <c r="AO47">
        <f>IF(AO$1&lt;&gt;"",INDEX(Base!$G$1:$G$2500,$A47+AO$1+2),"")</f>
        <v>0.72</v>
      </c>
      <c r="AP47">
        <f>IF(AP$1&lt;&gt;"",INDEX(Base!$G$1:$G$2500,$A47+AP$1+2),"")</f>
        <v>0.13</v>
      </c>
      <c r="AQ47">
        <f>IF(AQ$1&lt;&gt;"",INDEX(Base!$G$1:$G$2500,$A47+AQ$1+2),"")</f>
        <v>0.12</v>
      </c>
      <c r="AR47">
        <f>IF(AR$1&lt;&gt;"",INDEX(Base!$G$1:$G$2500,$A47+AR$1+2),"")</f>
        <v>0.09</v>
      </c>
      <c r="AS47">
        <f>IF(AS$1&lt;&gt;"",INDEX(Base!$G$1:$G$2500,$A47+AS$1+2),"")</f>
        <v>0.48</v>
      </c>
      <c r="AT47">
        <f>IF(AT$1&lt;&gt;"",INDEX(Base!$G$1:$G$2500,$A47+AT$1+2),"")</f>
        <v>0.21</v>
      </c>
      <c r="AU47">
        <f>IF(AU$1&lt;&gt;"",INDEX(Base!$G$1:$G$2500,$A47+AU$1+2),"")</f>
        <v>0.1</v>
      </c>
      <c r="AV47">
        <f>IF(AV$1&lt;&gt;"",INDEX(Base!$G$1:$G$2500,$A47+AV$1+2),"")</f>
        <v>0.1</v>
      </c>
      <c r="AW47" s="8">
        <f t="shared" si="4"/>
        <v>1.860759493670886</v>
      </c>
      <c r="AX47">
        <f>IF(AX$1&lt;&gt;"",INDEX(Base!$R$1:$R$2500,$E47+AX$1+2),"")</f>
        <v>11.61</v>
      </c>
      <c r="AY47">
        <f>IF(AY$1&lt;&gt;"",INDEX(Base!$R$1:$R$2500,$E47+AY$1+2),"")</f>
        <v>135.78</v>
      </c>
      <c r="AZ47">
        <f>IF(AZ$1&lt;&gt;"",INDEX(Base!$R$1:$R$2500,$E47+AZ$1+2),"")</f>
        <v>0.14000000000000001</v>
      </c>
      <c r="BA47">
        <f>IF(BA$1&lt;&gt;"",INDEX(Base!$R$1:$R$2500,$E47+BA$1+2),"")</f>
        <v>0.34</v>
      </c>
      <c r="BB47">
        <f>IF(BB$1&lt;&gt;"",INDEX(Base!$R$1:$R$2500,$E47+BB$1+2),"")</f>
        <v>27.41</v>
      </c>
      <c r="BC47">
        <f>IF(BC$1&lt;&gt;"",INDEX(Base!$R$1:$R$2500,$E47+BC$1+2),"")</f>
        <v>0.94</v>
      </c>
      <c r="BD47">
        <f>IF(BD$1&lt;&gt;"",INDEX(Base!$R$1:$R$2500,$E47+BD$1+2),"")</f>
        <v>2.5099999999999998</v>
      </c>
      <c r="BE47">
        <f>IF(BE$1&lt;&gt;"",INDEX(Base!$R$1:$R$2500,$E47+BE$1+2),"")</f>
        <v>21.94</v>
      </c>
      <c r="BF47">
        <f>IF(BF$1&lt;&gt;"",INDEX(Base!$R$1:$R$2500,$E47+BF$1+2),"")</f>
        <v>7.0000000000000007E-2</v>
      </c>
      <c r="BG47">
        <f>IF(BG$1&lt;&gt;"",INDEX(Base!$R$1:$R$2500,$E47+BG$1+2),"")</f>
        <v>0.52</v>
      </c>
      <c r="BH47">
        <f>IF(BH$1&lt;&gt;"",INDEX(Base!$R$1:$R$2500,$E47+BH$1+2),"")</f>
        <v>0.17</v>
      </c>
      <c r="BI47">
        <f>IF(BI$1&lt;&gt;"",INDEX(Base!$R$1:$R$2500,$E47+BI$1+2),"")</f>
        <v>2.78</v>
      </c>
      <c r="BJ47">
        <f>IF(BJ$1&lt;&gt;"",INDEX(Base!$R$1:$R$2500,$E47+BJ$1+2),"")</f>
        <v>7.76</v>
      </c>
      <c r="BK47">
        <f>IF(BK$1&lt;&gt;"",INDEX(Base!$R$1:$R$2500,$E47+BK$1+2),"")</f>
        <v>14.27</v>
      </c>
      <c r="BL47">
        <f>IF(BL$1&lt;&gt;"",INDEX(Base!$R$1:$R$2500,$E47+BL$1+2),"")</f>
        <v>1.8</v>
      </c>
      <c r="BM47">
        <f>IF(BM$1&lt;&gt;"",INDEX(Base!$R$1:$R$2500,$E47+BM$1+2),"")</f>
        <v>0.52</v>
      </c>
      <c r="BN47">
        <f>IF(BN$1&lt;&gt;"",INDEX(Base!$R$1:$R$2500,$E47+BN$1+2),"")</f>
        <v>0.1</v>
      </c>
      <c r="BO47">
        <f>IF(BO$1&lt;&gt;"",INDEX(Base!$R$1:$R$2500,$E47+BO$1+2),"")</f>
        <v>0.13</v>
      </c>
      <c r="BP47">
        <f>IF(BP$1&lt;&gt;"",INDEX(Base!$R$1:$R$2500,$E47+BP$1+2),"")</f>
        <v>0.1</v>
      </c>
      <c r="BQ47">
        <f>IF(BQ$1&lt;&gt;"",INDEX(Base!$R$1:$R$2500,$E47+BQ$1+2),"")</f>
        <v>0.15</v>
      </c>
      <c r="BR47">
        <f>IF(BR$1&lt;&gt;"",INDEX(Base!$R$1:$R$2500,$E47+BR$1+2),"")</f>
        <v>0.26</v>
      </c>
      <c r="BS47">
        <f>IF(BS$1&lt;&gt;"",INDEX(Base!$R$1:$R$2500,$E47+BS$1+2),"")</f>
        <v>0.1</v>
      </c>
      <c r="BT47">
        <f>IF(BT$1&lt;&gt;"",INDEX(Base!$R$1:$R$2500,$E47+BT$1+2),"")</f>
        <v>1.23</v>
      </c>
    </row>
    <row r="48" spans="1:72" x14ac:dyDescent="0.3">
      <c r="A48" s="2">
        <f t="shared" si="3"/>
        <v>1985</v>
      </c>
      <c r="B48" s="3" t="str">
        <f>IFERROR(MID(INDEX(Base!A$1:A$2500,Calcoli!A48),47,LEN(INDEX(Base!A$1:A$2500,Calcoli!A48))-41),"")</f>
        <v/>
      </c>
      <c r="C48" s="5" t="str">
        <f>MID(INDEX(Base!A$1:A$2500,Calcoli!$A48),42,4)</f>
        <v/>
      </c>
      <c r="D48" s="5" t="str">
        <f>MID(INDEX(Base!A$1:A$2500,Calcoli!A48),13,11)</f>
        <v xml:space="preserve"> 31_03_2025</v>
      </c>
      <c r="E48" s="4">
        <f t="shared" si="1"/>
        <v>1400</v>
      </c>
      <c r="F48" s="3" t="str">
        <f>IFERROR(MID(INDEX(Base!L$1:L$2500,Calcoli!E48),47,LEN(INDEX(Base!L$1:L$2500,Calcoli!E48))-41),"")</f>
        <v/>
      </c>
      <c r="G48" s="5" t="str">
        <f>MID(INDEX(Base!L$1:L$2500,Calcoli!$E48),42,4)</f>
        <v/>
      </c>
      <c r="H48" s="5" t="str">
        <f>MID(INDEX(Base!L$1:L$2500,Calcoli!E48),13,11)</f>
        <v xml:space="preserve"> 01_04_2025</v>
      </c>
      <c r="I48" s="6" t="str">
        <f xml:space="preserve"> IFERROR(MID(INDEX(Base!$V$3:$AB$60,MATCH($F48,Base!$Z$3:$Z$160,0),1),1,14),"")</f>
        <v/>
      </c>
      <c r="J48" s="6" t="str">
        <f xml:space="preserve"> IFERROR(INDEX(Base!$V$3:$AB$160,MATCH($F48,Base!$Z$3:$Z$160,0),2),"")</f>
        <v/>
      </c>
      <c r="K48" s="6" t="str">
        <f xml:space="preserve"> IFERROR(INDEX(Base!$V$3:$AB$160,MATCH($F48,Base!$Z$3:$Z$160,0),3),"")</f>
        <v/>
      </c>
      <c r="L48" s="28" t="str">
        <f xml:space="preserve"> IFERROR(INDEX(Base!$V$3:$AB$160,MATCH($F48,Base!$Z$3:$Z$160,0),4),"")</f>
        <v/>
      </c>
      <c r="M48">
        <f>IF(M$1&lt;&gt;"",INDEX(Base!$G$1:$G$2500,$A48+M$1+2),"")</f>
        <v>0.63</v>
      </c>
      <c r="N48">
        <f>IF(N$1&lt;&gt;"",INDEX(Base!$G$1:$G$2500,$A48+N$1+2),"")</f>
        <v>5.37</v>
      </c>
      <c r="O48">
        <f>IF(O$1&lt;&gt;"",INDEX(Base!$G$1:$G$2500,$A48+O$1+2),"")</f>
        <v>0.31</v>
      </c>
      <c r="P48">
        <f>IF(P$1&lt;&gt;"",INDEX(Base!$G$1:$G$2500,$A48+P$1+2),"")</f>
        <v>0.76</v>
      </c>
      <c r="Q48">
        <f>IF(Q$1&lt;&gt;"",INDEX(Base!$G$1:$G$2500,$A48+Q$1+2),"")</f>
        <v>0.1</v>
      </c>
      <c r="R48">
        <f>IF(R$1&lt;&gt;"",INDEX(Base!$G$1:$G$2500,$A48+R$1+2),"")</f>
        <v>2.2999999999999998</v>
      </c>
      <c r="S48">
        <f>IF(S$1&lt;&gt;"",INDEX(Base!$G$1:$G$2500,$A48+S$1+2),"")</f>
        <v>7.0000000000000007E-2</v>
      </c>
      <c r="T48">
        <f>IF(T$1&lt;&gt;"",INDEX(Base!$G$1:$G$2500,$A48+T$1+2),"")</f>
        <v>0.1</v>
      </c>
      <c r="U48">
        <f>IF(U$1&lt;&gt;"",INDEX(Base!$G$1:$G$2500,$A48+U$1+2),"")</f>
        <v>1.37</v>
      </c>
      <c r="V48">
        <f>IF(V$1&lt;&gt;"",INDEX(Base!$G$1:$G$2500,$A48+V$1+2),"")</f>
        <v>0.37</v>
      </c>
      <c r="W48">
        <f>IF(W$1&lt;&gt;"",INDEX(Base!$G$1:$G$2500,$A48+W$1+2),"")</f>
        <v>1.63</v>
      </c>
      <c r="X48">
        <f>IF(X$1&lt;&gt;"",INDEX(Base!$G$1:$G$2500,$A48+X$1+2),"")</f>
        <v>2.93</v>
      </c>
      <c r="Y48">
        <f>IF(Y$1&lt;&gt;"",INDEX(Base!$G$1:$G$2500,$A48+Y$1+2),"")</f>
        <v>0.1</v>
      </c>
      <c r="Z48">
        <f>IF(Z$1&lt;&gt;"",INDEX(Base!$G$1:$G$2500,$A48+Z$1+2),"")</f>
        <v>0.1</v>
      </c>
      <c r="AA48">
        <f>IF(AA$1&lt;&gt;"",INDEX(Base!$G$1:$G$2500,$A48+AA$1+2),"")</f>
        <v>0.1</v>
      </c>
      <c r="AB48">
        <f>IF(AB$1&lt;&gt;"",INDEX(Base!$G$1:$G$2500,$A48+AB$1+2),"")</f>
        <v>0.1</v>
      </c>
      <c r="AC48">
        <f>IF(AC$1&lt;&gt;"",INDEX(Base!$G$1:$G$2500,$A48+AC$1+2),"")</f>
        <v>3.23</v>
      </c>
      <c r="AD48">
        <f>IF(AD$1&lt;&gt;"",INDEX(Base!$G$1:$G$2500,$A48+AD$1+2),"")</f>
        <v>10.29</v>
      </c>
      <c r="AE48">
        <f>IF(AE$1&lt;&gt;"",INDEX(Base!$G$1:$G$2500,$A48+AE$1+2),"")</f>
        <v>0.3</v>
      </c>
      <c r="AF48">
        <f>IF(AF$1&lt;&gt;"",INDEX(Base!$G$1:$G$2500,$A48+AF$1+2),"")</f>
        <v>0.27</v>
      </c>
      <c r="AG48">
        <f>IF(AG$1&lt;&gt;"",INDEX(Base!$G$1:$G$2500,$A48+AG$1+2),"")</f>
        <v>0.13</v>
      </c>
      <c r="AH48">
        <f>IF(AH$1&lt;&gt;"",INDEX(Base!$G$1:$G$2500,$A48+AH$1+2),"")</f>
        <v>0.1</v>
      </c>
      <c r="AI48">
        <f>IF(AI$1&lt;&gt;"",INDEX(Base!$G$1:$G$2500,$A48+AI$1+2),"")</f>
        <v>0.81</v>
      </c>
      <c r="AJ48">
        <f>IF(AJ$1&lt;&gt;"",INDEX(Base!$G$1:$G$2500,$A48+AJ$1+2),"")</f>
        <v>0.1</v>
      </c>
      <c r="AK48">
        <f>IF(AK$1&lt;&gt;"",INDEX(Base!$G$1:$G$2500,$A48+AK$1+2),"")</f>
        <v>24.56</v>
      </c>
      <c r="AL48">
        <f>IF(AL$1&lt;&gt;"",INDEX(Base!$G$1:$G$2500,$A48+AL$1+2),"")</f>
        <v>0.1</v>
      </c>
      <c r="AM48">
        <f>IF(AM$1&lt;&gt;"",INDEX(Base!$G$1:$G$2500,$A48+AM$1+2),"")</f>
        <v>0.1</v>
      </c>
      <c r="AN48">
        <f>IF(AN$1&lt;&gt;"",INDEX(Base!$G$1:$G$2500,$A48+AN$1+2),"")</f>
        <v>0.1</v>
      </c>
      <c r="AO48">
        <f>IF(AO$1&lt;&gt;"",INDEX(Base!$G$1:$G$2500,$A48+AO$1+2),"")</f>
        <v>3.12</v>
      </c>
      <c r="AP48">
        <f>IF(AP$1&lt;&gt;"",INDEX(Base!$G$1:$G$2500,$A48+AP$1+2),"")</f>
        <v>0.12</v>
      </c>
      <c r="AQ48">
        <f>IF(AQ$1&lt;&gt;"",INDEX(Base!$G$1:$G$2500,$A48+AQ$1+2),"")</f>
        <v>0.1</v>
      </c>
      <c r="AR48">
        <f>IF(AR$1&lt;&gt;"",INDEX(Base!$G$1:$G$2500,$A48+AR$1+2),"")</f>
        <v>0.1</v>
      </c>
      <c r="AS48">
        <f>IF(AS$1&lt;&gt;"",INDEX(Base!$G$1:$G$2500,$A48+AS$1+2),"")</f>
        <v>3.35</v>
      </c>
      <c r="AT48">
        <f>IF(AT$1&lt;&gt;"",INDEX(Base!$G$1:$G$2500,$A48+AT$1+2),"")</f>
        <v>0.12</v>
      </c>
      <c r="AU48">
        <f>IF(AU$1&lt;&gt;"",INDEX(Base!$G$1:$G$2500,$A48+AU$1+2),"")</f>
        <v>0.1</v>
      </c>
      <c r="AV48">
        <f>IF(AV$1&lt;&gt;"",INDEX(Base!$G$1:$G$2500,$A48+AV$1+2),"")</f>
        <v>0.06</v>
      </c>
      <c r="AW48" s="8">
        <f t="shared" si="4"/>
        <v>1</v>
      </c>
      <c r="AX48">
        <f>IF(AX$1&lt;&gt;"",INDEX(Base!$R$1:$R$2500,$E48+AX$1+2),"")</f>
        <v>0.1</v>
      </c>
      <c r="AY48">
        <f>IF(AY$1&lt;&gt;"",INDEX(Base!$R$1:$R$2500,$E48+AY$1+2),"")</f>
        <v>427.89</v>
      </c>
      <c r="AZ48">
        <f>IF(AZ$1&lt;&gt;"",INDEX(Base!$R$1:$R$2500,$E48+AZ$1+2),"")</f>
        <v>0.1</v>
      </c>
      <c r="BA48">
        <f>IF(BA$1&lt;&gt;"",INDEX(Base!$R$1:$R$2500,$E48+BA$1+2),"")</f>
        <v>0.77</v>
      </c>
      <c r="BB48">
        <f>IF(BB$1&lt;&gt;"",INDEX(Base!$R$1:$R$2500,$E48+BB$1+2),"")</f>
        <v>45.86</v>
      </c>
      <c r="BC48">
        <f>IF(BC$1&lt;&gt;"",INDEX(Base!$R$1:$R$2500,$E48+BC$1+2),"")</f>
        <v>0.1</v>
      </c>
      <c r="BD48">
        <f>IF(BD$1&lt;&gt;"",INDEX(Base!$R$1:$R$2500,$E48+BD$1+2),"")</f>
        <v>0.1</v>
      </c>
      <c r="BE48">
        <f>IF(BE$1&lt;&gt;"",INDEX(Base!$R$1:$R$2500,$E48+BE$1+2),"")</f>
        <v>0.1</v>
      </c>
      <c r="BF48">
        <f>IF(BF$1&lt;&gt;"",INDEX(Base!$R$1:$R$2500,$E48+BF$1+2),"")</f>
        <v>0.11</v>
      </c>
      <c r="BG48">
        <f>IF(BG$1&lt;&gt;"",INDEX(Base!$R$1:$R$2500,$E48+BG$1+2),"")</f>
        <v>0.1</v>
      </c>
      <c r="BH48">
        <f>IF(BH$1&lt;&gt;"",INDEX(Base!$R$1:$R$2500,$E48+BH$1+2),"")</f>
        <v>0.1</v>
      </c>
      <c r="BI48">
        <f>IF(BI$1&lt;&gt;"",INDEX(Base!$R$1:$R$2500,$E48+BI$1+2),"")</f>
        <v>0.1</v>
      </c>
      <c r="BJ48">
        <f>IF(BJ$1&lt;&gt;"",INDEX(Base!$R$1:$R$2500,$E48+BJ$1+2),"")</f>
        <v>0.1</v>
      </c>
      <c r="BK48">
        <f>IF(BK$1&lt;&gt;"",INDEX(Base!$R$1:$R$2500,$E48+BK$1+2),"")</f>
        <v>0.1</v>
      </c>
      <c r="BL48">
        <f>IF(BL$1&lt;&gt;"",INDEX(Base!$R$1:$R$2500,$E48+BL$1+2),"")</f>
        <v>0.1</v>
      </c>
      <c r="BM48">
        <f>IF(BM$1&lt;&gt;"",INDEX(Base!$R$1:$R$2500,$E48+BM$1+2),"")</f>
        <v>0.1</v>
      </c>
      <c r="BN48">
        <f>IF(BN$1&lt;&gt;"",INDEX(Base!$R$1:$R$2500,$E48+BN$1+2),"")</f>
        <v>0.1</v>
      </c>
      <c r="BO48">
        <f>IF(BO$1&lt;&gt;"",INDEX(Base!$R$1:$R$2500,$E48+BO$1+2),"")</f>
        <v>0.1</v>
      </c>
      <c r="BP48">
        <f>IF(BP$1&lt;&gt;"",INDEX(Base!$R$1:$R$2500,$E48+BP$1+2),"")</f>
        <v>0.1</v>
      </c>
      <c r="BQ48">
        <f>IF(BQ$1&lt;&gt;"",INDEX(Base!$R$1:$R$2500,$E48+BQ$1+2),"")</f>
        <v>0.1</v>
      </c>
      <c r="BR48">
        <f>IF(BR$1&lt;&gt;"",INDEX(Base!$R$1:$R$2500,$E48+BR$1+2),"")</f>
        <v>0.1</v>
      </c>
      <c r="BS48">
        <f>IF(BS$1&lt;&gt;"",INDEX(Base!$R$1:$R$2500,$E48+BS$1+2),"")</f>
        <v>0.1</v>
      </c>
      <c r="BT48">
        <f>IF(BT$1&lt;&gt;"",INDEX(Base!$R$1:$R$2500,$E48+BT$1+2),"")</f>
        <v>2</v>
      </c>
    </row>
    <row r="49" spans="1:72" s="21" customFormat="1" x14ac:dyDescent="0.3">
      <c r="A49" s="18">
        <f t="shared" si="3"/>
        <v>2029</v>
      </c>
      <c r="B49" s="19" t="str">
        <f>IFERROR(MID(INDEX(Base!A$1:A$2500,Calcoli!A49),47,LEN(INDEX(Base!A$1:A$2500,Calcoli!A49))-41),"")</f>
        <v>d 3 - 100325</v>
      </c>
      <c r="C49" s="20" t="str">
        <f>MID(INDEX(Base!A$1:A$2500,Calcoli!$A49),42,4)</f>
        <v>Qc S</v>
      </c>
      <c r="D49" s="20" t="str">
        <f>MID(INDEX(Base!A$1:A$2500,Calcoli!A49),13,11)</f>
        <v xml:space="preserve"> 31_03_2025</v>
      </c>
      <c r="E49" s="25">
        <f t="shared" si="1"/>
        <v>1431</v>
      </c>
      <c r="F49" s="19" t="str">
        <f>IFERROR(MID(INDEX(Base!L$1:L$2500,Calcoli!E49),47,LEN(INDEX(Base!L$1:L$2500,Calcoli!E49))-41),"")</f>
        <v>d 3 - 100325</v>
      </c>
      <c r="G49" s="20" t="str">
        <f>MID(INDEX(Base!L$1:L$2500,Calcoli!$E49),42,4)</f>
        <v>Qc S</v>
      </c>
      <c r="H49" s="20" t="str">
        <f>MID(INDEX(Base!L$1:L$2500,Calcoli!E49),13,11)</f>
        <v xml:space="preserve"> 01_04_2025</v>
      </c>
      <c r="I49" s="23" t="str">
        <f xml:space="preserve"> IFERROR(MID(INDEX(Base!$V$3:$AB$60,MATCH($F49,Base!$Z$3:$Z$160,0),1),1,14),"")</f>
        <v/>
      </c>
      <c r="J49" s="24" t="str">
        <f xml:space="preserve"> IFERROR(INDEX(Base!$V$3:$AB$160,MATCH($F49,Base!$Z$3:$Z$160,0),2),"")</f>
        <v/>
      </c>
      <c r="K49" s="24" t="str">
        <f xml:space="preserve"> IFERROR(INDEX(Base!$V$3:$AB$160,MATCH($F49,Base!$Z$3:$Z$160,0),3),"")</f>
        <v/>
      </c>
      <c r="L49" s="29" t="str">
        <f xml:space="preserve"> IFERROR(INDEX(Base!$V$3:$AB$160,MATCH($F49,Base!$Z$3:$Z$160,0),4),"")</f>
        <v/>
      </c>
      <c r="M49" s="21">
        <f>IF(M$1&lt;&gt;"",INDEX(Base!$G$1:$G$2500,$A49+M$1+2),"")</f>
        <v>416.35</v>
      </c>
      <c r="N49" s="21">
        <f>IF(N$1&lt;&gt;"",INDEX(Base!$G$1:$G$2500,$A49+N$1+2),"")</f>
        <v>114.56</v>
      </c>
      <c r="O49" s="21">
        <f>IF(O$1&lt;&gt;"",INDEX(Base!$G$1:$G$2500,$A49+O$1+2),"")</f>
        <v>9.93</v>
      </c>
      <c r="P49" s="21">
        <f>IF(P$1&lt;&gt;"",INDEX(Base!$G$1:$G$2500,$A49+P$1+2),"")</f>
        <v>28.62</v>
      </c>
      <c r="Q49" s="21">
        <f>IF(Q$1&lt;&gt;"",INDEX(Base!$G$1:$G$2500,$A49+Q$1+2),"")</f>
        <v>50.06</v>
      </c>
      <c r="R49" s="21">
        <f>IF(R$1&lt;&gt;"",INDEX(Base!$G$1:$G$2500,$A49+R$1+2),"")</f>
        <v>46.95</v>
      </c>
      <c r="S49" s="21">
        <f>IF(S$1&lt;&gt;"",INDEX(Base!$G$1:$G$2500,$A49+S$1+2),"")</f>
        <v>3.18</v>
      </c>
      <c r="T49" s="21">
        <f>IF(T$1&lt;&gt;"",INDEX(Base!$G$1:$G$2500,$A49+T$1+2),"")</f>
        <v>192.07</v>
      </c>
      <c r="U49" s="21">
        <f>IF(U$1&lt;&gt;"",INDEX(Base!$G$1:$G$2500,$A49+U$1+2),"")</f>
        <v>51.14</v>
      </c>
      <c r="V49" s="21">
        <f>IF(V$1&lt;&gt;"",INDEX(Base!$G$1:$G$2500,$A49+V$1+2),"")</f>
        <v>5.23</v>
      </c>
      <c r="W49" s="21">
        <f>IF(W$1&lt;&gt;"",INDEX(Base!$G$1:$G$2500,$A49+W$1+2),"")</f>
        <v>32.299999999999997</v>
      </c>
      <c r="X49" s="21">
        <f>IF(X$1&lt;&gt;"",INDEX(Base!$G$1:$G$2500,$A49+X$1+2),"")</f>
        <v>32.450000000000003</v>
      </c>
      <c r="Y49" s="21">
        <f>IF(Y$1&lt;&gt;"",INDEX(Base!$G$1:$G$2500,$A49+Y$1+2),"")</f>
        <v>983.22</v>
      </c>
      <c r="Z49" s="21">
        <f>IF(Z$1&lt;&gt;"",INDEX(Base!$G$1:$G$2500,$A49+Z$1+2),"")</f>
        <v>58.36</v>
      </c>
      <c r="AA49" s="21">
        <f>IF(AA$1&lt;&gt;"",INDEX(Base!$G$1:$G$2500,$A49+AA$1+2),"")</f>
        <v>30.11</v>
      </c>
      <c r="AB49" s="21">
        <f>IF(AB$1&lt;&gt;"",INDEX(Base!$G$1:$G$2500,$A49+AB$1+2),"")</f>
        <v>30.15</v>
      </c>
      <c r="AC49" s="21">
        <f>IF(AC$1&lt;&gt;"",INDEX(Base!$G$1:$G$2500,$A49+AC$1+2),"")</f>
        <v>60.05</v>
      </c>
      <c r="AD49" s="21">
        <f>IF(AD$1&lt;&gt;"",INDEX(Base!$G$1:$G$2500,$A49+AD$1+2),"")</f>
        <v>231.54</v>
      </c>
      <c r="AE49" s="21">
        <f>IF(AE$1&lt;&gt;"",INDEX(Base!$G$1:$G$2500,$A49+AE$1+2),"")</f>
        <v>8.32</v>
      </c>
      <c r="AF49" s="21">
        <f>IF(AF$1&lt;&gt;"",INDEX(Base!$G$1:$G$2500,$A49+AF$1+2),"")</f>
        <v>58.77</v>
      </c>
      <c r="AG49" s="21">
        <f>IF(AG$1&lt;&gt;"",INDEX(Base!$G$1:$G$2500,$A49+AG$1+2),"")</f>
        <v>12.15</v>
      </c>
      <c r="AH49" s="21">
        <f>IF(AH$1&lt;&gt;"",INDEX(Base!$G$1:$G$2500,$A49+AH$1+2),"")</f>
        <v>64.760000000000005</v>
      </c>
      <c r="AI49" s="21">
        <f>IF(AI$1&lt;&gt;"",INDEX(Base!$G$1:$G$2500,$A49+AI$1+2),"")</f>
        <v>11.3</v>
      </c>
      <c r="AJ49" s="21">
        <f>IF(AJ$1&lt;&gt;"",INDEX(Base!$G$1:$G$2500,$A49+AJ$1+2),"")</f>
        <v>1.0900000000000001</v>
      </c>
      <c r="AK49" s="21">
        <f>IF(AK$1&lt;&gt;"",INDEX(Base!$G$1:$G$2500,$A49+AK$1+2),"")</f>
        <v>54.02</v>
      </c>
      <c r="AL49" s="21">
        <f>IF(AL$1&lt;&gt;"",INDEX(Base!$G$1:$G$2500,$A49+AL$1+2),"")</f>
        <v>61.66</v>
      </c>
      <c r="AM49" s="21">
        <f>IF(AM$1&lt;&gt;"",INDEX(Base!$G$1:$G$2500,$A49+AM$1+2),"")</f>
        <v>8.8699999999999992</v>
      </c>
      <c r="AN49" s="21">
        <f>IF(AN$1&lt;&gt;"",INDEX(Base!$G$1:$G$2500,$A49+AN$1+2),"")</f>
        <v>30.13</v>
      </c>
      <c r="AO49" s="21">
        <f>IF(AO$1&lt;&gt;"",INDEX(Base!$G$1:$G$2500,$A49+AO$1+2),"")</f>
        <v>24.47</v>
      </c>
      <c r="AP49" s="21">
        <f>IF(AP$1&lt;&gt;"",INDEX(Base!$G$1:$G$2500,$A49+AP$1+2),"")</f>
        <v>2.4300000000000002</v>
      </c>
      <c r="AQ49" s="21">
        <f>IF(AQ$1&lt;&gt;"",INDEX(Base!$G$1:$G$2500,$A49+AQ$1+2),"")</f>
        <v>15.43</v>
      </c>
      <c r="AR49" s="21">
        <f>IF(AR$1&lt;&gt;"",INDEX(Base!$G$1:$G$2500,$A49+AR$1+2),"")</f>
        <v>2.5499999999999998</v>
      </c>
      <c r="AS49" s="21">
        <f>IF(AS$1&lt;&gt;"",INDEX(Base!$G$1:$G$2500,$A49+AS$1+2),"")</f>
        <v>20.82</v>
      </c>
      <c r="AT49" s="21">
        <f>IF(AT$1&lt;&gt;"",INDEX(Base!$G$1:$G$2500,$A49+AT$1+2),"")</f>
        <v>2.21</v>
      </c>
      <c r="AU49" s="21">
        <f>IF(AU$1&lt;&gt;"",INDEX(Base!$G$1:$G$2500,$A49+AU$1+2),"")</f>
        <v>1.27</v>
      </c>
      <c r="AV49" s="21">
        <f>IF(AV$1&lt;&gt;"",INDEX(Base!$G$1:$G$2500,$A49+AV$1+2),"")</f>
        <v>12.11</v>
      </c>
      <c r="AW49" s="22">
        <f t="shared" si="4"/>
        <v>1.9356550580431178</v>
      </c>
      <c r="AX49" s="21">
        <f>IF(AX$1&lt;&gt;"",INDEX(Base!$R$1:$R$2500,$E49+AX$1+2),"")</f>
        <v>665.55</v>
      </c>
      <c r="AY49" s="21">
        <f>IF(AY$1&lt;&gt;"",INDEX(Base!$R$1:$R$2500,$E49+AY$1+2),"")</f>
        <v>3377</v>
      </c>
      <c r="AZ49" s="21">
        <f>IF(AZ$1&lt;&gt;"",INDEX(Base!$R$1:$R$2500,$E49+AZ$1+2),"")</f>
        <v>12.81</v>
      </c>
      <c r="BA49" s="21">
        <f>IF(BA$1&lt;&gt;"",INDEX(Base!$R$1:$R$2500,$E49+BA$1+2),"")</f>
        <v>13.47</v>
      </c>
      <c r="BB49" s="21">
        <f>IF(BB$1&lt;&gt;"",INDEX(Base!$R$1:$R$2500,$E49+BB$1+2),"")</f>
        <v>417.34</v>
      </c>
      <c r="BC49" s="21">
        <f>IF(BC$1&lt;&gt;"",INDEX(Base!$R$1:$R$2500,$E49+BC$1+2),"")</f>
        <v>27.03</v>
      </c>
      <c r="BD49" s="21">
        <f>IF(BD$1&lt;&gt;"",INDEX(Base!$R$1:$R$2500,$E49+BD$1+2),"")</f>
        <v>56.3</v>
      </c>
      <c r="BE49" s="21">
        <f>IF(BE$1&lt;&gt;"",INDEX(Base!$R$1:$R$2500,$E49+BE$1+2),"")</f>
        <v>524.66</v>
      </c>
      <c r="BF49" s="21">
        <f>IF(BF$1&lt;&gt;"",INDEX(Base!$R$1:$R$2500,$E49+BF$1+2),"")</f>
        <v>5.04</v>
      </c>
      <c r="BG49" s="21">
        <f>IF(BG$1&lt;&gt;"",INDEX(Base!$R$1:$R$2500,$E49+BG$1+2),"")</f>
        <v>69.77</v>
      </c>
      <c r="BH49" s="21">
        <f>IF(BH$1&lt;&gt;"",INDEX(Base!$R$1:$R$2500,$E49+BH$1+2),"")</f>
        <v>5.08</v>
      </c>
      <c r="BI49" s="21">
        <f>IF(BI$1&lt;&gt;"",INDEX(Base!$R$1:$R$2500,$E49+BI$1+2),"")</f>
        <v>844.9</v>
      </c>
      <c r="BJ49" s="21">
        <f>IF(BJ$1&lt;&gt;"",INDEX(Base!$R$1:$R$2500,$E49+BJ$1+2),"")</f>
        <v>210.61</v>
      </c>
      <c r="BK49" s="21">
        <f>IF(BK$1&lt;&gt;"",INDEX(Base!$R$1:$R$2500,$E49+BK$1+2),"")</f>
        <v>292.26</v>
      </c>
      <c r="BL49" s="21">
        <f>IF(BL$1&lt;&gt;"",INDEX(Base!$R$1:$R$2500,$E49+BL$1+2),"")</f>
        <v>141.44999999999999</v>
      </c>
      <c r="BM49" s="21">
        <f>IF(BM$1&lt;&gt;"",INDEX(Base!$R$1:$R$2500,$E49+BM$1+2),"")</f>
        <v>23.21</v>
      </c>
      <c r="BN49" s="21">
        <f>IF(BN$1&lt;&gt;"",INDEX(Base!$R$1:$R$2500,$E49+BN$1+2),"")</f>
        <v>0.33</v>
      </c>
      <c r="BO49" s="21">
        <f>IF(BO$1&lt;&gt;"",INDEX(Base!$R$1:$R$2500,$E49+BO$1+2),"")</f>
        <v>0.94</v>
      </c>
      <c r="BP49" s="21">
        <f>IF(BP$1&lt;&gt;"",INDEX(Base!$R$1:$R$2500,$E49+BP$1+2),"")</f>
        <v>143.69999999999999</v>
      </c>
      <c r="BQ49" s="21">
        <f>IF(BQ$1&lt;&gt;"",INDEX(Base!$R$1:$R$2500,$E49+BQ$1+2),"")</f>
        <v>5.35</v>
      </c>
      <c r="BR49" s="21">
        <f>IF(BR$1&lt;&gt;"",INDEX(Base!$R$1:$R$2500,$E49+BR$1+2),"")</f>
        <v>1.01</v>
      </c>
      <c r="BS49" s="21">
        <f>IF(BS$1&lt;&gt;"",INDEX(Base!$R$1:$R$2500,$E49+BS$1+2),"")</f>
        <v>64.66</v>
      </c>
      <c r="BT49" s="21">
        <f>IF(BT$1&lt;&gt;"",INDEX(Base!$R$1:$R$2500,$E49+BT$1+2),"")</f>
        <v>51.8</v>
      </c>
    </row>
    <row r="50" spans="1:72" x14ac:dyDescent="0.3">
      <c r="A50" s="2">
        <f t="shared" si="3"/>
        <v>2073</v>
      </c>
      <c r="B50" s="3" t="str">
        <f>IFERROR(MID(INDEX(Base!A$1:A$5000,Calcoli!A50),47,LEN(INDEX(Base!A$1:A$5000,Calcoli!A50))-41),"")</f>
        <v/>
      </c>
      <c r="C50" s="5" t="str">
        <f>MID(INDEX(Base!A$1:A$5000,Calcoli!A50),42,4)</f>
        <v/>
      </c>
      <c r="D50" s="5" t="str">
        <f>MID(INDEX(Base!A$1:A$5000,Calcoli!A50),13,11)</f>
        <v xml:space="preserve"> 31_03_2025</v>
      </c>
      <c r="E50" s="4">
        <f t="shared" si="1"/>
        <v>1462</v>
      </c>
      <c r="F50" s="3" t="str">
        <f>IFERROR(MID(INDEX(Base!L$1:L$4000,Calcoli!E50),47,LEN(INDEX(Base!L$1:L$4000,Calcoli!E50))-41),"")</f>
        <v/>
      </c>
      <c r="G50" s="5" t="str">
        <f>MID(INDEX(Base!L$1:L$4000,Calcoli!$E50),42,4)</f>
        <v/>
      </c>
      <c r="H50" s="5" t="str">
        <f>MID(INDEX(Base!L$1:L$4000,Calcoli!E50),13,11)</f>
        <v xml:space="preserve"> 01_04_2025</v>
      </c>
      <c r="I50" s="6" t="str">
        <f xml:space="preserve"> IFERROR(MID(INDEX(Base!$V$3:$AB$60,MATCH($F50,Base!$Z$3:$Z$160,0),1),1,14),"")</f>
        <v/>
      </c>
      <c r="J50" s="6" t="str">
        <f xml:space="preserve"> IFERROR(INDEX(Base!$V$3:$AB$160,MATCH($F50,Base!$Z$3:$Z$160,0),2),"")</f>
        <v/>
      </c>
      <c r="K50" s="6" t="str">
        <f xml:space="preserve"> IFERROR(INDEX(Base!$V$3:$AB$160,MATCH($F50,Base!$Z$3:$Z$160,0),3),"")</f>
        <v/>
      </c>
      <c r="L50" s="28" t="str">
        <f xml:space="preserve"> IFERROR(INDEX(Base!$V$3:$AB$160,MATCH($F50,Base!$Z$3:$Z$160,0),4),"")</f>
        <v/>
      </c>
      <c r="M50">
        <f>IF(M$1&lt;&gt;"",INDEX(Base!$G$1:$G$5000,$A50+M$1+2),"")</f>
        <v>0.1</v>
      </c>
      <c r="N50">
        <f>IF(N$1&lt;&gt;"",INDEX(Base!$G$1:$G$5000,$A50+N$1+2),"")</f>
        <v>4.62</v>
      </c>
      <c r="O50">
        <f>IF(O$1&lt;&gt;"",INDEX(Base!$G$1:$G$5000,$A50+O$1+2),"")</f>
        <v>0.57999999999999996</v>
      </c>
      <c r="P50">
        <f>IF(P$1&lt;&gt;"",INDEX(Base!$G$1:$G$5000,$A50+P$1+2),"")</f>
        <v>0.77</v>
      </c>
      <c r="Q50">
        <f>IF(Q$1&lt;&gt;"",INDEX(Base!$G$1:$G$5000,$A50+Q$1+2),"")</f>
        <v>0.1</v>
      </c>
      <c r="R50">
        <f>IF(R$1&lt;&gt;"",INDEX(Base!$G$1:$G$5000,$A50+R$1+2),"")</f>
        <v>2.2999999999999998</v>
      </c>
      <c r="S50">
        <f>IF(S$1&lt;&gt;"",INDEX(Base!$G$1:$G$5000,$A50+S$1+2),"")</f>
        <v>7.0000000000000007E-2</v>
      </c>
      <c r="T50">
        <f>IF(T$1&lt;&gt;"",INDEX(Base!$G$1:$G$5000,$A50+T$1+2),"")</f>
        <v>0.1</v>
      </c>
      <c r="U50">
        <f>IF(U$1&lt;&gt;"",INDEX(Base!$G$1:$G$5000,$A50+U$1+2),"")</f>
        <v>1.42</v>
      </c>
      <c r="V50">
        <f>IF(V$1&lt;&gt;"",INDEX(Base!$G$1:$G$5000,$A50+V$1+2),"")</f>
        <v>1.91</v>
      </c>
      <c r="W50">
        <f>IF(W$1&lt;&gt;"",INDEX(Base!$G$1:$G$5000,$A50+W$1+2),"")</f>
        <v>0.1</v>
      </c>
      <c r="X50">
        <f>IF(X$1&lt;&gt;"",INDEX(Base!$G$1:$G$5000,$A50+X$1+2),"")</f>
        <v>2.82</v>
      </c>
      <c r="Y50">
        <f>IF(Y$1&lt;&gt;"",INDEX(Base!$G$1:$G$5000,$A50+Y$1+2),"")</f>
        <v>0.1</v>
      </c>
      <c r="Z50">
        <f>IF(Z$1&lt;&gt;"",INDEX(Base!$G$1:$G$5000,$A50+Z$1+2),"")</f>
        <v>0.1</v>
      </c>
      <c r="AA50">
        <f>IF(AA$1&lt;&gt;"",INDEX(Base!$G$1:$G$5000,$A50+AA$1+2),"")</f>
        <v>0.33</v>
      </c>
      <c r="AB50">
        <f>IF(AB$1&lt;&gt;"",INDEX(Base!$G$1:$G$5000,$A50+AB$1+2),"")</f>
        <v>0.1</v>
      </c>
      <c r="AC50">
        <f>IF(AC$1&lt;&gt;"",INDEX(Base!$G$1:$G$5000,$A50+AC$1+2),"")</f>
        <v>3.21</v>
      </c>
      <c r="AD50">
        <f>IF(AD$1&lt;&gt;"",INDEX(Base!$G$1:$G$5000,$A50+AD$1+2),"")</f>
        <v>10.66</v>
      </c>
      <c r="AE50">
        <f>IF(AE$1&lt;&gt;"",INDEX(Base!$G$1:$G$5000,$A50+AE$1+2),"")</f>
        <v>0.3</v>
      </c>
      <c r="AF50">
        <f>IF(AF$1&lt;&gt;"",INDEX(Base!$G$1:$G$5000,$A50+AF$1+2),"")</f>
        <v>0.11</v>
      </c>
      <c r="AG50">
        <f>IF(AG$1&lt;&gt;"",INDEX(Base!$G$1:$G$5000,$A50+AG$1+2),"")</f>
        <v>0.12</v>
      </c>
      <c r="AH50">
        <f>IF(AH$1&lt;&gt;"",INDEX(Base!$G$1:$G$5000,$A50+AH$1+2),"")</f>
        <v>0.1</v>
      </c>
      <c r="AI50">
        <f>IF(AI$1&lt;&gt;"",INDEX(Base!$G$1:$G$5000,$A50+AI$1+2),"")</f>
        <v>0.81</v>
      </c>
      <c r="AJ50">
        <f>IF(AJ$1&lt;&gt;"",INDEX(Base!$G$1:$G$5000,$A50+AJ$1+2),"")</f>
        <v>0.1</v>
      </c>
      <c r="AK50">
        <f>IF(AK$1&lt;&gt;"",INDEX(Base!$G$1:$G$5000,$A50+AK$1+2),"")</f>
        <v>21.23</v>
      </c>
      <c r="AL50">
        <f>IF(AL$1&lt;&gt;"",INDEX(Base!$G$1:$G$5000,$A50+AL$1+2),"")</f>
        <v>2.04</v>
      </c>
      <c r="AM50">
        <f>IF(AM$1&lt;&gt;"",INDEX(Base!$G$1:$G$5000,$A50+AM$1+2),"")</f>
        <v>0.1</v>
      </c>
      <c r="AN50">
        <f>IF(AN$1&lt;&gt;"",INDEX(Base!$G$1:$G$5000,$A50+AN$1+2),"")</f>
        <v>1.8</v>
      </c>
      <c r="AO50">
        <f>IF(AO$1&lt;&gt;"",INDEX(Base!$G$1:$G$5000,$A50+AO$1+2),"")</f>
        <v>0.1</v>
      </c>
      <c r="AP50">
        <f>IF(AP$1&lt;&gt;"",INDEX(Base!$G$1:$G$5000,$A50+AP$1+2),"")</f>
        <v>0.15</v>
      </c>
      <c r="AQ50">
        <f>IF(AQ$1&lt;&gt;"",INDEX(Base!$G$1:$G$5000,$A50+AQ$1+2),"")</f>
        <v>0.1</v>
      </c>
      <c r="AR50">
        <f>IF(AR$1&lt;&gt;"",INDEX(Base!$G$1:$G$5000,$A50+AR$1+2),"")</f>
        <v>0.1</v>
      </c>
      <c r="AS50">
        <f>IF(AS$1&lt;&gt;"",INDEX(Base!$G$1:$G$5000,$A50+AS$1+2),"")</f>
        <v>3.35</v>
      </c>
      <c r="AT50">
        <f>IF(AT$1&lt;&gt;"",INDEX(Base!$G$1:$G$5000,$A50+AT$1+2),"")</f>
        <v>0.11</v>
      </c>
      <c r="AU50">
        <f>IF(AU$1&lt;&gt;"",INDEX(Base!$G$1:$G$5000,$A50+AU$1+2),"")</f>
        <v>0.1</v>
      </c>
      <c r="AV50">
        <f>IF(AV$1&lt;&gt;"",INDEX(Base!$G$1:$G$5000,$A50+AV$1+2),"")</f>
        <v>0.14000000000000001</v>
      </c>
      <c r="AW50" s="8">
        <f>IFERROR(Z50/AB50,0)</f>
        <v>1</v>
      </c>
      <c r="AX50">
        <f>IF(AX$1&lt;&gt;"",INDEX(Base!$R$1:$R$4000,$E50+AX$1+2),"")</f>
        <v>82</v>
      </c>
      <c r="AY50">
        <f>IF(AY$1&lt;&gt;"",INDEX(Base!$R$1:$R$2500,$E50+AY$1+2),"")</f>
        <v>427.96</v>
      </c>
      <c r="AZ50">
        <f>IF(AZ$1&lt;&gt;"",INDEX(Base!$R$1:$R$2500,$E50+AZ$1+2),"")</f>
        <v>0.1</v>
      </c>
      <c r="BA50">
        <f>IF(BA$1&lt;&gt;"",INDEX(Base!$R$1:$R$2500,$E50+BA$1+2),"")</f>
        <v>1.2</v>
      </c>
      <c r="BB50">
        <f>IF(BB$1&lt;&gt;"",INDEX(Base!$R$1:$R$2500,$E50+BB$1+2),"")</f>
        <v>46.32</v>
      </c>
      <c r="BC50">
        <f>IF(BC$1&lt;&gt;"",INDEX(Base!$R$1:$R$2500,$E50+BC$1+2),"")</f>
        <v>0.1</v>
      </c>
      <c r="BD50">
        <f>IF(BD$1&lt;&gt;"",INDEX(Base!$R$1:$R$2500,$E50+BD$1+2),"")</f>
        <v>0.1</v>
      </c>
      <c r="BE50">
        <f>IF(BE$1&lt;&gt;"",INDEX(Base!$R$1:$R$2500,$E50+BE$1+2),"")</f>
        <v>0.1</v>
      </c>
      <c r="BF50">
        <f>IF(BF$1&lt;&gt;"",INDEX(Base!$R$1:$R$2500,$E50+BF$1+2),"")</f>
        <v>0.12</v>
      </c>
      <c r="BG50">
        <f>IF(BG$1&lt;&gt;"",INDEX(Base!$R$1:$R$2500,$E50+BG$1+2),"")</f>
        <v>0.1</v>
      </c>
      <c r="BH50">
        <f>IF(BH$1&lt;&gt;"",INDEX(Base!$R$1:$R$2500,$E50+BH$1+2),"")</f>
        <v>0.1</v>
      </c>
      <c r="BI50">
        <f>IF(BI$1&lt;&gt;"",INDEX(Base!$R$1:$R$2500,$E50+BI$1+2),"")</f>
        <v>0.1</v>
      </c>
      <c r="BJ50">
        <f>IF(BJ$1&lt;&gt;"",INDEX(Base!$R$1:$R$2500,$E50+BJ$1+2),"")</f>
        <v>0.1</v>
      </c>
      <c r="BK50">
        <f>IF(BK$1&lt;&gt;"",INDEX(Base!$R$1:$R$2500,$E50+BK$1+2),"")</f>
        <v>0.1</v>
      </c>
      <c r="BL50">
        <f>IF(BL$1&lt;&gt;"",INDEX(Base!$R$1:$R$2500,$E50+BL$1+2),"")</f>
        <v>0.1</v>
      </c>
      <c r="BM50">
        <f>IF(BM$1&lt;&gt;"",INDEX(Base!$R$1:$R$2500,$E50+BM$1+2),"")</f>
        <v>0.1</v>
      </c>
      <c r="BN50">
        <f>IF(BN$1&lt;&gt;"",INDEX(Base!$R$1:$R$2500,$E50+BN$1+2),"")</f>
        <v>0.1</v>
      </c>
      <c r="BO50">
        <f>IF(BO$1&lt;&gt;"",INDEX(Base!$R$1:$R$2500,$E50+BO$1+2),"")</f>
        <v>0.1</v>
      </c>
      <c r="BP50">
        <f>IF(BP$1&lt;&gt;"",INDEX(Base!$R$1:$R$2500,$E50+BP$1+2),"")</f>
        <v>0.1</v>
      </c>
      <c r="BQ50">
        <f>IF(BQ$1&lt;&gt;"",INDEX(Base!$R$1:$R$2500,$E50+BQ$1+2),"")</f>
        <v>0.1</v>
      </c>
      <c r="BR50">
        <f>IF(BR$1&lt;&gt;"",INDEX(Base!$R$1:$R$2500,$E50+BR$1+2),"")</f>
        <v>0.1</v>
      </c>
      <c r="BS50">
        <f>IF(BS$1&lt;&gt;"",INDEX(Base!$R$1:$R$2500,$E50+BS$1+2),"")</f>
        <v>0.1</v>
      </c>
      <c r="BT50">
        <f>IF(BT$1&lt;&gt;"",INDEX(Base!$R$1:$R$2500,$E50+BT$1+2),"")</f>
        <v>2.0299999999999998</v>
      </c>
    </row>
    <row r="51" spans="1:72" x14ac:dyDescent="0.3">
      <c r="A51" s="2">
        <f t="shared" si="3"/>
        <v>2117</v>
      </c>
      <c r="B51" s="3" t="str">
        <f>IFERROR(MID(INDEX(Base!A$1:A$5000,Calcoli!A51),47,LEN(INDEX(Base!A$1:A$5000,Calcoli!A51))-41),"")</f>
        <v>PINCOLINI VICTORIA</v>
      </c>
      <c r="C51" s="5" t="str">
        <f>MID(INDEX(Base!A$1:A$5000,Calcoli!A51),42,4)</f>
        <v>1834</v>
      </c>
      <c r="D51" s="5" t="str">
        <f>MID(INDEX(Base!A$1:A$5000,Calcoli!A51),13,11)</f>
        <v xml:space="preserve"> 31_03_2025</v>
      </c>
      <c r="E51" s="4">
        <f t="shared" si="1"/>
        <v>1493</v>
      </c>
      <c r="F51" s="3" t="str">
        <f>IFERROR(MID(INDEX(Base!L$1:L$4000,Calcoli!E51),47,LEN(INDEX(Base!L$1:L$4000,Calcoli!E51))-41),"")</f>
        <v>PINCOLINI VICTORIA</v>
      </c>
      <c r="G51" s="5" t="str">
        <f>MID(INDEX(Base!L$1:L$4000,Calcoli!$E51),42,4)</f>
        <v>1834</v>
      </c>
      <c r="H51" s="5" t="str">
        <f>MID(INDEX(Base!L$1:L$4000,Calcoli!E51),13,11)</f>
        <v xml:space="preserve"> 01_04_2025</v>
      </c>
      <c r="I51" s="6" t="str">
        <f xml:space="preserve"> IFERROR(MID(INDEX(Base!$V$3:$AB$60,MATCH($F51,Base!$Z$3:$Z$160,0),1),1,14),"")</f>
        <v>1834 PINCOLINI</v>
      </c>
      <c r="J51" s="6">
        <f xml:space="preserve"> IFERROR(INDEX(Base!$V$3:$AB$160,MATCH($F51,Base!$Z$3:$Z$160,0),2),"")</f>
        <v>121.37931034482759</v>
      </c>
      <c r="K51" s="6">
        <f xml:space="preserve"> IFERROR(INDEX(Base!$V$3:$AB$160,MATCH($F51,Base!$Z$3:$Z$160,0),3),"")</f>
        <v>39.62565995893258</v>
      </c>
      <c r="L51" s="28">
        <f xml:space="preserve"> IFERROR(INDEX(Base!$V$3:$AB$160,MATCH($F51,Base!$Z$3:$Z$160,0),4),"")</f>
        <v>10.236650485436893</v>
      </c>
      <c r="M51">
        <f>IF(M$1&lt;&gt;"",INDEX(Base!$G$1:$G$5000,$A51+M$1+2),"")</f>
        <v>42.56</v>
      </c>
      <c r="N51">
        <f>IF(N$1&lt;&gt;"",INDEX(Base!$G$1:$G$5000,$A51+N$1+2),"")</f>
        <v>4.9800000000000004</v>
      </c>
      <c r="O51">
        <f>IF(O$1&lt;&gt;"",INDEX(Base!$G$1:$G$5000,$A51+O$1+2),"")</f>
        <v>0.05</v>
      </c>
      <c r="P51">
        <f>IF(P$1&lt;&gt;"",INDEX(Base!$G$1:$G$5000,$A51+P$1+2),"")</f>
        <v>1.54</v>
      </c>
      <c r="Q51">
        <f>IF(Q$1&lt;&gt;"",INDEX(Base!$G$1:$G$5000,$A51+Q$1+2),"")</f>
        <v>0.14000000000000001</v>
      </c>
      <c r="R51">
        <f>IF(R$1&lt;&gt;"",INDEX(Base!$G$1:$G$5000,$A51+R$1+2),"")</f>
        <v>2.21</v>
      </c>
      <c r="S51">
        <f>IF(S$1&lt;&gt;"",INDEX(Base!$G$1:$G$5000,$A51+S$1+2),"")</f>
        <v>0.54</v>
      </c>
      <c r="T51">
        <f>IF(T$1&lt;&gt;"",INDEX(Base!$G$1:$G$5000,$A51+T$1+2),"")</f>
        <v>26.29</v>
      </c>
      <c r="U51">
        <f>IF(U$1&lt;&gt;"",INDEX(Base!$G$1:$G$5000,$A51+U$1+2),"")</f>
        <v>1.1100000000000001</v>
      </c>
      <c r="V51">
        <f>IF(V$1&lt;&gt;"",INDEX(Base!$G$1:$G$5000,$A51+V$1+2),"")</f>
        <v>0.22</v>
      </c>
      <c r="W51">
        <f>IF(W$1&lt;&gt;"",INDEX(Base!$G$1:$G$5000,$A51+W$1+2),"")</f>
        <v>4.87</v>
      </c>
      <c r="X51">
        <f>IF(X$1&lt;&gt;"",INDEX(Base!$G$1:$G$5000,$A51+X$1+2),"")</f>
        <v>3.3</v>
      </c>
      <c r="Y51">
        <f>IF(Y$1&lt;&gt;"",INDEX(Base!$G$1:$G$5000,$A51+Y$1+2),"")</f>
        <v>36.79</v>
      </c>
      <c r="Z51">
        <f>IF(Z$1&lt;&gt;"",INDEX(Base!$G$1:$G$5000,$A51+Z$1+2),"")</f>
        <v>2.09</v>
      </c>
      <c r="AA51">
        <f>IF(AA$1&lt;&gt;"",INDEX(Base!$G$1:$G$5000,$A51+AA$1+2),"")</f>
        <v>2.31</v>
      </c>
      <c r="AB51">
        <f>IF(AB$1&lt;&gt;"",INDEX(Base!$G$1:$G$5000,$A51+AB$1+2),"")</f>
        <v>2.5</v>
      </c>
      <c r="AC51">
        <f>IF(AC$1&lt;&gt;"",INDEX(Base!$G$1:$G$5000,$A51+AC$1+2),"")</f>
        <v>11.25</v>
      </c>
      <c r="AD51">
        <f>IF(AD$1&lt;&gt;"",INDEX(Base!$G$1:$G$5000,$A51+AD$1+2),"")</f>
        <v>15.9</v>
      </c>
      <c r="AE51">
        <f>IF(AE$1&lt;&gt;"",INDEX(Base!$G$1:$G$5000,$A51+AE$1+2),"")</f>
        <v>0.24</v>
      </c>
      <c r="AF51">
        <f>IF(AF$1&lt;&gt;"",INDEX(Base!$G$1:$G$5000,$A51+AF$1+2),"")</f>
        <v>3.7</v>
      </c>
      <c r="AG51">
        <f>IF(AG$1&lt;&gt;"",INDEX(Base!$G$1:$G$5000,$A51+AG$1+2),"")</f>
        <v>1.69</v>
      </c>
      <c r="AH51">
        <f>IF(AH$1&lt;&gt;"",INDEX(Base!$G$1:$G$5000,$A51+AH$1+2),"")</f>
        <v>6.97</v>
      </c>
      <c r="AI51">
        <f>IF(AI$1&lt;&gt;"",INDEX(Base!$G$1:$G$5000,$A51+AI$1+2),"")</f>
        <v>0.97</v>
      </c>
      <c r="AJ51">
        <f>IF(AJ$1&lt;&gt;"",INDEX(Base!$G$1:$G$5000,$A51+AJ$1+2),"")</f>
        <v>0.1</v>
      </c>
      <c r="AK51">
        <f>IF(AK$1&lt;&gt;"",INDEX(Base!$G$1:$G$5000,$A51+AK$1+2),"")</f>
        <v>3.95</v>
      </c>
      <c r="AL51">
        <f>IF(AL$1&lt;&gt;"",INDEX(Base!$G$1:$G$5000,$A51+AL$1+2),"")</f>
        <v>6.18</v>
      </c>
      <c r="AM51">
        <f>IF(AM$1&lt;&gt;"",INDEX(Base!$G$1:$G$5000,$A51+AM$1+2),"")</f>
        <v>0.33</v>
      </c>
      <c r="AN51">
        <f>IF(AN$1&lt;&gt;"",INDEX(Base!$G$1:$G$5000,$A51+AN$1+2),"")</f>
        <v>0.54</v>
      </c>
      <c r="AO51">
        <f>IF(AO$1&lt;&gt;"",INDEX(Base!$G$1:$G$5000,$A51+AO$1+2),"")</f>
        <v>1.38</v>
      </c>
      <c r="AP51">
        <f>IF(AP$1&lt;&gt;"",INDEX(Base!$G$1:$G$5000,$A51+AP$1+2),"")</f>
        <v>0.11</v>
      </c>
      <c r="AQ51">
        <f>IF(AQ$1&lt;&gt;"",INDEX(Base!$G$1:$G$5000,$A51+AQ$1+2),"")</f>
        <v>0.47</v>
      </c>
      <c r="AR51">
        <f>IF(AR$1&lt;&gt;"",INDEX(Base!$G$1:$G$5000,$A51+AR$1+2),"")</f>
        <v>0.11</v>
      </c>
      <c r="AS51">
        <f>IF(AS$1&lt;&gt;"",INDEX(Base!$G$1:$G$5000,$A51+AS$1+2),"")</f>
        <v>2.35</v>
      </c>
      <c r="AT51">
        <f>IF(AT$1&lt;&gt;"",INDEX(Base!$G$1:$G$5000,$A51+AT$1+2),"")</f>
        <v>0.34</v>
      </c>
      <c r="AU51">
        <f>IF(AU$1&lt;&gt;"",INDEX(Base!$G$1:$G$5000,$A51+AU$1+2),"")</f>
        <v>0.1</v>
      </c>
      <c r="AV51">
        <f>IF(AV$1&lt;&gt;"",INDEX(Base!$G$1:$G$5000,$A51+AV$1+2),"")</f>
        <v>0.66</v>
      </c>
      <c r="AW51" s="8">
        <f t="shared" si="0"/>
        <v>0.83599999999999997</v>
      </c>
      <c r="AX51">
        <f>IF(AX$1&lt;&gt;"",INDEX(Base!$R$1:$R$4000,$E51+AX$1+2),"")</f>
        <v>7.86</v>
      </c>
      <c r="AY51">
        <f>IF(AY$1&lt;&gt;"",INDEX(Base!$R$1:$R$2500,$E51+AY$1+2),"")</f>
        <v>130.03</v>
      </c>
      <c r="AZ51">
        <f>IF(AZ$1&lt;&gt;"",INDEX(Base!$R$1:$R$2500,$E51+AZ$1+2),"")</f>
        <v>0.24</v>
      </c>
      <c r="BA51">
        <f>IF(BA$1&lt;&gt;"",INDEX(Base!$R$1:$R$2500,$E51+BA$1+2),"")</f>
        <v>0.55000000000000004</v>
      </c>
      <c r="BB51">
        <f>IF(BB$1&lt;&gt;"",INDEX(Base!$R$1:$R$2500,$E51+BB$1+2),"")</f>
        <v>76.67</v>
      </c>
      <c r="BC51">
        <f>IF(BC$1&lt;&gt;"",INDEX(Base!$R$1:$R$2500,$E51+BC$1+2),"")</f>
        <v>1.67</v>
      </c>
      <c r="BD51">
        <f>IF(BD$1&lt;&gt;"",INDEX(Base!$R$1:$R$2500,$E51+BD$1+2),"")</f>
        <v>1.31</v>
      </c>
      <c r="BE51">
        <f>IF(BE$1&lt;&gt;"",INDEX(Base!$R$1:$R$2500,$E51+BE$1+2),"")</f>
        <v>47.64</v>
      </c>
      <c r="BF51">
        <f>IF(BF$1&lt;&gt;"",INDEX(Base!$R$1:$R$2500,$E51+BF$1+2),"")</f>
        <v>0.16</v>
      </c>
      <c r="BG51">
        <f>IF(BG$1&lt;&gt;"",INDEX(Base!$R$1:$R$2500,$E51+BG$1+2),"")</f>
        <v>0.18</v>
      </c>
      <c r="BH51">
        <f>IF(BH$1&lt;&gt;"",INDEX(Base!$R$1:$R$2500,$E51+BH$1+2),"")</f>
        <v>0.13</v>
      </c>
      <c r="BI51">
        <f>IF(BI$1&lt;&gt;"",INDEX(Base!$R$1:$R$2500,$E51+BI$1+2),"")</f>
        <v>37.479999999999997</v>
      </c>
      <c r="BJ51">
        <f>IF(BJ$1&lt;&gt;"",INDEX(Base!$R$1:$R$2500,$E51+BJ$1+2),"")</f>
        <v>8.0299999999999994</v>
      </c>
      <c r="BK51">
        <f>IF(BK$1&lt;&gt;"",INDEX(Base!$R$1:$R$2500,$E51+BK$1+2),"")</f>
        <v>16.190000000000001</v>
      </c>
      <c r="BL51">
        <f>IF(BL$1&lt;&gt;"",INDEX(Base!$R$1:$R$2500,$E51+BL$1+2),"")</f>
        <v>4.93</v>
      </c>
      <c r="BM51">
        <f>IF(BM$1&lt;&gt;"",INDEX(Base!$R$1:$R$2500,$E51+BM$1+2),"")</f>
        <v>1.1599999999999999</v>
      </c>
      <c r="BN51">
        <f>IF(BN$1&lt;&gt;"",INDEX(Base!$R$1:$R$2500,$E51+BN$1+2),"")</f>
        <v>0.1</v>
      </c>
      <c r="BO51">
        <f>IF(BO$1&lt;&gt;"",INDEX(Base!$R$1:$R$2500,$E51+BO$1+2),"")</f>
        <v>0.13</v>
      </c>
      <c r="BP51">
        <f>IF(BP$1&lt;&gt;"",INDEX(Base!$R$1:$R$2500,$E51+BP$1+2),"")</f>
        <v>0.23</v>
      </c>
      <c r="BQ51">
        <f>IF(BQ$1&lt;&gt;"",INDEX(Base!$R$1:$R$2500,$E51+BQ$1+2),"")</f>
        <v>0.34</v>
      </c>
      <c r="BR51">
        <f>IF(BR$1&lt;&gt;"",INDEX(Base!$R$1:$R$2500,$E51+BR$1+2),"")</f>
        <v>0.05</v>
      </c>
      <c r="BS51">
        <f>IF(BS$1&lt;&gt;"",INDEX(Base!$R$1:$R$2500,$E51+BS$1+2),"")</f>
        <v>2.81</v>
      </c>
      <c r="BT51">
        <f>IF(BT$1&lt;&gt;"",INDEX(Base!$R$1:$R$2500,$E51+BT$1+2),"")</f>
        <v>2.77</v>
      </c>
    </row>
    <row r="52" spans="1:72" x14ac:dyDescent="0.3">
      <c r="A52" s="2">
        <f t="shared" si="3"/>
        <v>2161</v>
      </c>
      <c r="B52" s="3" t="str">
        <f>IFERROR(MID(INDEX(Base!A$1:A$5000,Calcoli!A52),47,LEN(INDEX(Base!A$1:A$5000,Calcoli!A52))-41),"")</f>
        <v>BERTOLETTI GABRIELLA</v>
      </c>
      <c r="C52" s="5" t="str">
        <f>MID(INDEX(Base!A$1:A$5000,Calcoli!A52),42,4)</f>
        <v>1835</v>
      </c>
      <c r="D52" s="5" t="str">
        <f>MID(INDEX(Base!A$1:A$5000,Calcoli!A52),13,11)</f>
        <v xml:space="preserve"> 31_03_2025</v>
      </c>
      <c r="E52" s="4">
        <f t="shared" si="1"/>
        <v>1524</v>
      </c>
      <c r="F52" s="3" t="str">
        <f>IFERROR(MID(INDEX(Base!L$1:L$4000,Calcoli!E52),47,LEN(INDEX(Base!L$1:L$4000,Calcoli!E52))-41),"")</f>
        <v>BERTOLETTI GABRIELLA</v>
      </c>
      <c r="G52" s="5" t="str">
        <f>MID(INDEX(Base!L$1:L$4000,Calcoli!$E52),42,4)</f>
        <v>1835</v>
      </c>
      <c r="H52" s="5" t="str">
        <f>MID(INDEX(Base!L$1:L$4000,Calcoli!E52),13,11)</f>
        <v xml:space="preserve"> 01_04_2025</v>
      </c>
      <c r="I52" s="6" t="str">
        <f xml:space="preserve"> IFERROR(MID(INDEX(Base!$V$3:$AB$60,MATCH($F52,Base!$Z$3:$Z$160,0),1),1,14),"")</f>
        <v>1835 BERTOLETT</v>
      </c>
      <c r="J52" s="6">
        <f xml:space="preserve"> IFERROR(INDEX(Base!$V$3:$AB$160,MATCH($F52,Base!$Z$3:$Z$160,0),2),"")</f>
        <v>151.03448275862067</v>
      </c>
      <c r="K52" s="6">
        <f xml:space="preserve"> IFERROR(INDEX(Base!$V$3:$AB$160,MATCH($F52,Base!$Z$3:$Z$160,0),3),"")</f>
        <v>34.937053919548319</v>
      </c>
      <c r="L52" s="28">
        <f xml:space="preserve"> IFERROR(INDEX(Base!$V$3:$AB$160,MATCH($F52,Base!$Z$3:$Z$160,0),4),"")</f>
        <v>94.508495145631073</v>
      </c>
      <c r="M52">
        <f>IF(M$1&lt;&gt;"",INDEX(Base!$G$1:$G$5000,$A52+M$1+2),"")</f>
        <v>7.75</v>
      </c>
      <c r="N52">
        <f>IF(N$1&lt;&gt;"",INDEX(Base!$G$1:$G$5000,$A52+N$1+2),"")</f>
        <v>4.46</v>
      </c>
      <c r="O52">
        <f>IF(O$1&lt;&gt;"",INDEX(Base!$G$1:$G$5000,$A52+O$1+2),"")</f>
        <v>7.0000000000000007E-2</v>
      </c>
      <c r="P52">
        <f>IF(P$1&lt;&gt;"",INDEX(Base!$G$1:$G$5000,$A52+P$1+2),"")</f>
        <v>1.56</v>
      </c>
      <c r="Q52">
        <f>IF(Q$1&lt;&gt;"",INDEX(Base!$G$1:$G$5000,$A52+Q$1+2),"")</f>
        <v>0.1</v>
      </c>
      <c r="R52">
        <f>IF(R$1&lt;&gt;"",INDEX(Base!$G$1:$G$5000,$A52+R$1+2),"")</f>
        <v>2.06</v>
      </c>
      <c r="S52">
        <f>IF(S$1&lt;&gt;"",INDEX(Base!$G$1:$G$5000,$A52+S$1+2),"")</f>
        <v>0.33</v>
      </c>
      <c r="T52">
        <f>IF(T$1&lt;&gt;"",INDEX(Base!$G$1:$G$5000,$A52+T$1+2),"")</f>
        <v>37.65</v>
      </c>
      <c r="U52">
        <f>IF(U$1&lt;&gt;"",INDEX(Base!$G$1:$G$5000,$A52+U$1+2),"")</f>
        <v>3.66</v>
      </c>
      <c r="V52">
        <f>IF(V$1&lt;&gt;"",INDEX(Base!$G$1:$G$5000,$A52+V$1+2),"")</f>
        <v>0.13</v>
      </c>
      <c r="W52">
        <f>IF(W$1&lt;&gt;"",INDEX(Base!$G$1:$G$5000,$A52+W$1+2),"")</f>
        <v>2.66</v>
      </c>
      <c r="X52">
        <f>IF(X$1&lt;&gt;"",INDEX(Base!$G$1:$G$5000,$A52+X$1+2),"")</f>
        <v>2.41</v>
      </c>
      <c r="Y52">
        <f>IF(Y$1&lt;&gt;"",INDEX(Base!$G$1:$G$5000,$A52+Y$1+2),"")</f>
        <v>216.37</v>
      </c>
      <c r="Z52">
        <f>IF(Z$1&lt;&gt;"",INDEX(Base!$G$1:$G$5000,$A52+Z$1+2),"")</f>
        <v>2.2400000000000002</v>
      </c>
      <c r="AA52">
        <f>IF(AA$1&lt;&gt;"",INDEX(Base!$G$1:$G$5000,$A52+AA$1+2),"")</f>
        <v>1.77</v>
      </c>
      <c r="AB52">
        <f>IF(AB$1&lt;&gt;"",INDEX(Base!$G$1:$G$5000,$A52+AB$1+2),"")</f>
        <v>1.68</v>
      </c>
      <c r="AC52">
        <f>IF(AC$1&lt;&gt;"",INDEX(Base!$G$1:$G$5000,$A52+AC$1+2),"")</f>
        <v>16.37</v>
      </c>
      <c r="AD52">
        <f>IF(AD$1&lt;&gt;"",INDEX(Base!$G$1:$G$5000,$A52+AD$1+2),"")</f>
        <v>11.54</v>
      </c>
      <c r="AE52">
        <f>IF(AE$1&lt;&gt;"",INDEX(Base!$G$1:$G$5000,$A52+AE$1+2),"")</f>
        <v>0.59</v>
      </c>
      <c r="AF52">
        <f>IF(AF$1&lt;&gt;"",INDEX(Base!$G$1:$G$5000,$A52+AF$1+2),"")</f>
        <v>2.6</v>
      </c>
      <c r="AG52">
        <f>IF(AG$1&lt;&gt;"",INDEX(Base!$G$1:$G$5000,$A52+AG$1+2),"")</f>
        <v>0.75</v>
      </c>
      <c r="AH52">
        <f>IF(AH$1&lt;&gt;"",INDEX(Base!$G$1:$G$5000,$A52+AH$1+2),"")</f>
        <v>4.54</v>
      </c>
      <c r="AI52">
        <f>IF(AI$1&lt;&gt;"",INDEX(Base!$G$1:$G$5000,$A52+AI$1+2),"")</f>
        <v>2.38</v>
      </c>
      <c r="AJ52">
        <f>IF(AJ$1&lt;&gt;"",INDEX(Base!$G$1:$G$5000,$A52+AJ$1+2),"")</f>
        <v>0.11</v>
      </c>
      <c r="AK52">
        <f>IF(AK$1&lt;&gt;"",INDEX(Base!$G$1:$G$5000,$A52+AK$1+2),"")</f>
        <v>3.28</v>
      </c>
      <c r="AL52">
        <f>IF(AL$1&lt;&gt;"",INDEX(Base!$G$1:$G$5000,$A52+AL$1+2),"")</f>
        <v>4.3099999999999996</v>
      </c>
      <c r="AM52">
        <f>IF(AM$1&lt;&gt;"",INDEX(Base!$G$1:$G$5000,$A52+AM$1+2),"")</f>
        <v>0.1</v>
      </c>
      <c r="AN52">
        <f>IF(AN$1&lt;&gt;"",INDEX(Base!$G$1:$G$5000,$A52+AN$1+2),"")</f>
        <v>0.46</v>
      </c>
      <c r="AO52">
        <f>IF(AO$1&lt;&gt;"",INDEX(Base!$G$1:$G$5000,$A52+AO$1+2),"")</f>
        <v>0.93</v>
      </c>
      <c r="AP52">
        <f>IF(AP$1&lt;&gt;"",INDEX(Base!$G$1:$G$5000,$A52+AP$1+2),"")</f>
        <v>0.1</v>
      </c>
      <c r="AQ52">
        <f>IF(AQ$1&lt;&gt;"",INDEX(Base!$G$1:$G$5000,$A52+AQ$1+2),"")</f>
        <v>1.05</v>
      </c>
      <c r="AR52">
        <f>IF(AR$1&lt;&gt;"",INDEX(Base!$G$1:$G$5000,$A52+AR$1+2),"")</f>
        <v>0.06</v>
      </c>
      <c r="AS52">
        <f>IF(AS$1&lt;&gt;"",INDEX(Base!$G$1:$G$5000,$A52+AS$1+2),"")</f>
        <v>3.21</v>
      </c>
      <c r="AT52">
        <f>IF(AT$1&lt;&gt;"",INDEX(Base!$G$1:$G$5000,$A52+AT$1+2),"")</f>
        <v>0.26</v>
      </c>
      <c r="AU52">
        <f>IF(AU$1&lt;&gt;"",INDEX(Base!$G$1:$G$5000,$A52+AU$1+2),"")</f>
        <v>0.11</v>
      </c>
      <c r="AV52">
        <f>IF(AV$1&lt;&gt;"",INDEX(Base!$G$1:$G$5000,$A52+AV$1+2),"")</f>
        <v>66.33</v>
      </c>
      <c r="AW52" s="8">
        <f t="shared" si="0"/>
        <v>1.3333333333333335</v>
      </c>
      <c r="AX52">
        <f>IF(AX$1&lt;&gt;"",INDEX(Base!$R$1:$R$4000,$E52+AX$1+2),"")</f>
        <v>6.6</v>
      </c>
      <c r="AY52">
        <f>IF(AY$1&lt;&gt;"",INDEX(Base!$R$1:$R$2500,$E52+AY$1+2),"")</f>
        <v>511.06</v>
      </c>
      <c r="AZ52">
        <f>IF(AZ$1&lt;&gt;"",INDEX(Base!$R$1:$R$2500,$E52+AZ$1+2),"")</f>
        <v>0.52</v>
      </c>
      <c r="BA52">
        <f>IF(BA$1&lt;&gt;"",INDEX(Base!$R$1:$R$2500,$E52+BA$1+2),"")</f>
        <v>1.36</v>
      </c>
      <c r="BB52">
        <f>IF(BB$1&lt;&gt;"",INDEX(Base!$R$1:$R$2500,$E52+BB$1+2),"")</f>
        <v>57.15</v>
      </c>
      <c r="BC52">
        <f>IF(BC$1&lt;&gt;"",INDEX(Base!$R$1:$R$2500,$E52+BC$1+2),"")</f>
        <v>1.52</v>
      </c>
      <c r="BD52">
        <f>IF(BD$1&lt;&gt;"",INDEX(Base!$R$1:$R$2500,$E52+BD$1+2),"")</f>
        <v>0.47</v>
      </c>
      <c r="BE52">
        <f>IF(BE$1&lt;&gt;"",INDEX(Base!$R$1:$R$2500,$E52+BE$1+2),"")</f>
        <v>1133.31</v>
      </c>
      <c r="BF52">
        <f>IF(BF$1&lt;&gt;"",INDEX(Base!$R$1:$R$2500,$E52+BF$1+2),"")</f>
        <v>0.17</v>
      </c>
      <c r="BG52">
        <f>IF(BG$1&lt;&gt;"",INDEX(Base!$R$1:$R$2500,$E52+BG$1+2),"")</f>
        <v>0.1</v>
      </c>
      <c r="BH52">
        <f>IF(BH$1&lt;&gt;"",INDEX(Base!$R$1:$R$2500,$E52+BH$1+2),"")</f>
        <v>0.1</v>
      </c>
      <c r="BI52">
        <f>IF(BI$1&lt;&gt;"",INDEX(Base!$R$1:$R$2500,$E52+BI$1+2),"")</f>
        <v>33.04</v>
      </c>
      <c r="BJ52">
        <f>IF(BJ$1&lt;&gt;"",INDEX(Base!$R$1:$R$2500,$E52+BJ$1+2),"")</f>
        <v>4.1900000000000004</v>
      </c>
      <c r="BK52">
        <f>IF(BK$1&lt;&gt;"",INDEX(Base!$R$1:$R$2500,$E52+BK$1+2),"")</f>
        <v>15.59</v>
      </c>
      <c r="BL52">
        <f>IF(BL$1&lt;&gt;"",INDEX(Base!$R$1:$R$2500,$E52+BL$1+2),"")</f>
        <v>6.21</v>
      </c>
      <c r="BM52">
        <f>IF(BM$1&lt;&gt;"",INDEX(Base!$R$1:$R$2500,$E52+BM$1+2),"")</f>
        <v>0.39</v>
      </c>
      <c r="BN52">
        <f>IF(BN$1&lt;&gt;"",INDEX(Base!$R$1:$R$2500,$E52+BN$1+2),"")</f>
        <v>0.1</v>
      </c>
      <c r="BO52">
        <f>IF(BO$1&lt;&gt;"",INDEX(Base!$R$1:$R$2500,$E52+BO$1+2),"")</f>
        <v>0.17</v>
      </c>
      <c r="BP52">
        <f>IF(BP$1&lt;&gt;"",INDEX(Base!$R$1:$R$2500,$E52+BP$1+2),"")</f>
        <v>2.72</v>
      </c>
      <c r="BQ52">
        <f>IF(BQ$1&lt;&gt;"",INDEX(Base!$R$1:$R$2500,$E52+BQ$1+2),"")</f>
        <v>0.59</v>
      </c>
      <c r="BR52">
        <f>IF(BR$1&lt;&gt;"",INDEX(Base!$R$1:$R$2500,$E52+BR$1+2),"")</f>
        <v>0.14000000000000001</v>
      </c>
      <c r="BS52">
        <f>IF(BS$1&lt;&gt;"",INDEX(Base!$R$1:$R$2500,$E52+BS$1+2),"")</f>
        <v>7.1</v>
      </c>
      <c r="BT52">
        <f>IF(BT$1&lt;&gt;"",INDEX(Base!$R$1:$R$2500,$E52+BT$1+2),"")</f>
        <v>1.27</v>
      </c>
    </row>
    <row r="53" spans="1:72" x14ac:dyDescent="0.3">
      <c r="A53" s="2">
        <f t="shared" si="3"/>
        <v>2205</v>
      </c>
      <c r="B53" s="3" t="str">
        <f>IFERROR(MID(INDEX(Base!A$1:A$5000,Calcoli!A53),47,LEN(INDEX(Base!A$1:A$5000,Calcoli!A53))-41),"")</f>
        <v>CATIZZONE EMILIA</v>
      </c>
      <c r="C53" s="5" t="str">
        <f>MID(INDEX(Base!A$1:A$5000,Calcoli!A53),42,4)</f>
        <v>1836</v>
      </c>
      <c r="D53" s="5" t="str">
        <f>MID(INDEX(Base!A$1:A$5000,Calcoli!A53),13,11)</f>
        <v xml:space="preserve"> 31_03_2025</v>
      </c>
      <c r="E53" s="4">
        <f t="shared" si="1"/>
        <v>1555</v>
      </c>
      <c r="F53" s="3" t="str">
        <f>IFERROR(MID(INDEX(Base!L$1:L$4000,Calcoli!E53),47,LEN(INDEX(Base!L$1:L$4000,Calcoli!E53))-41),"")</f>
        <v>CATIZZONE EMILIA</v>
      </c>
      <c r="G53" s="5" t="str">
        <f>MID(INDEX(Base!L$1:L$4000,Calcoli!$E53),42,4)</f>
        <v>1836</v>
      </c>
      <c r="H53" s="5" t="str">
        <f>MID(INDEX(Base!L$1:L$4000,Calcoli!E53),13,11)</f>
        <v xml:space="preserve"> 01_04_2025</v>
      </c>
      <c r="I53" s="6" t="str">
        <f xml:space="preserve"> IFERROR(MID(INDEX(Base!$V$3:$AB$60,MATCH($F53,Base!$Z$3:$Z$160,0),1),1,14),"")</f>
        <v>1836 CATIZZONE</v>
      </c>
      <c r="J53" s="6">
        <f xml:space="preserve"> IFERROR(INDEX(Base!$V$3:$AB$160,MATCH($F53,Base!$Z$3:$Z$160,0),2),"")</f>
        <v>108.96551724137933</v>
      </c>
      <c r="K53" s="6">
        <f xml:space="preserve"> IFERROR(INDEX(Base!$V$3:$AB$160,MATCH($F53,Base!$Z$3:$Z$160,0),3),"")</f>
        <v>22.712803004603852</v>
      </c>
      <c r="L53" s="28">
        <f xml:space="preserve"> IFERROR(INDEX(Base!$V$3:$AB$160,MATCH($F53,Base!$Z$3:$Z$160,0),4),"")</f>
        <v>24.041262135922331</v>
      </c>
      <c r="M53">
        <f>IF(M$1&lt;&gt;"",INDEX(Base!$G$1:$G$5000,$A53+M$1+2),"")</f>
        <v>32.26</v>
      </c>
      <c r="N53">
        <f>IF(N$1&lt;&gt;"",INDEX(Base!$G$1:$G$5000,$A53+N$1+2),"")</f>
        <v>20.12</v>
      </c>
      <c r="O53">
        <f>IF(O$1&lt;&gt;"",INDEX(Base!$G$1:$G$5000,$A53+O$1+2),"")</f>
        <v>0.24</v>
      </c>
      <c r="P53">
        <f>IF(P$1&lt;&gt;"",INDEX(Base!$G$1:$G$5000,$A53+P$1+2),"")</f>
        <v>1.45</v>
      </c>
      <c r="Q53">
        <f>IF(Q$1&lt;&gt;"",INDEX(Base!$G$1:$G$5000,$A53+Q$1+2),"")</f>
        <v>0.3</v>
      </c>
      <c r="R53">
        <f>IF(R$1&lt;&gt;"",INDEX(Base!$G$1:$G$5000,$A53+R$1+2),"")</f>
        <v>3.05</v>
      </c>
      <c r="S53">
        <f>IF(S$1&lt;&gt;"",INDEX(Base!$G$1:$G$5000,$A53+S$1+2),"")</f>
        <v>0.23</v>
      </c>
      <c r="T53">
        <f>IF(T$1&lt;&gt;"",INDEX(Base!$G$1:$G$5000,$A53+T$1+2),"")</f>
        <v>54.62</v>
      </c>
      <c r="U53">
        <f>IF(U$1&lt;&gt;"",INDEX(Base!$G$1:$G$5000,$A53+U$1+2),"")</f>
        <v>2.2999999999999998</v>
      </c>
      <c r="V53">
        <f>IF(V$1&lt;&gt;"",INDEX(Base!$G$1:$G$5000,$A53+V$1+2),"")</f>
        <v>0.28000000000000003</v>
      </c>
      <c r="W53">
        <f>IF(W$1&lt;&gt;"",INDEX(Base!$G$1:$G$5000,$A53+W$1+2),"")</f>
        <v>4.97</v>
      </c>
      <c r="X53">
        <f>IF(X$1&lt;&gt;"",INDEX(Base!$G$1:$G$5000,$A53+X$1+2),"")</f>
        <v>1.98</v>
      </c>
      <c r="Y53">
        <f>IF(Y$1&lt;&gt;"",INDEX(Base!$G$1:$G$5000,$A53+Y$1+2),"")</f>
        <v>129.80000000000001</v>
      </c>
      <c r="Z53">
        <f>IF(Z$1&lt;&gt;"",INDEX(Base!$G$1:$G$5000,$A53+Z$1+2),"")</f>
        <v>1.66</v>
      </c>
      <c r="AA53">
        <f>IF(AA$1&lt;&gt;"",INDEX(Base!$G$1:$G$5000,$A53+AA$1+2),"")</f>
        <v>1.28</v>
      </c>
      <c r="AB53">
        <f>IF(AB$1&lt;&gt;"",INDEX(Base!$G$1:$G$5000,$A53+AB$1+2),"")</f>
        <v>1.4</v>
      </c>
      <c r="AC53">
        <f>IF(AC$1&lt;&gt;"",INDEX(Base!$G$1:$G$5000,$A53+AC$1+2),"")</f>
        <v>3.17</v>
      </c>
      <c r="AD53">
        <f>IF(AD$1&lt;&gt;"",INDEX(Base!$G$1:$G$5000,$A53+AD$1+2),"")</f>
        <v>14.17</v>
      </c>
      <c r="AE53">
        <f>IF(AE$1&lt;&gt;"",INDEX(Base!$G$1:$G$5000,$A53+AE$1+2),"")</f>
        <v>0.31</v>
      </c>
      <c r="AF53">
        <f>IF(AF$1&lt;&gt;"",INDEX(Base!$G$1:$G$5000,$A53+AF$1+2),"")</f>
        <v>2.16</v>
      </c>
      <c r="AG53">
        <f>IF(AG$1&lt;&gt;"",INDEX(Base!$G$1:$G$5000,$A53+AG$1+2),"")</f>
        <v>1.2</v>
      </c>
      <c r="AH53">
        <f>IF(AH$1&lt;&gt;"",INDEX(Base!$G$1:$G$5000,$A53+AH$1+2),"")</f>
        <v>4.4400000000000004</v>
      </c>
      <c r="AI53">
        <f>IF(AI$1&lt;&gt;"",INDEX(Base!$G$1:$G$5000,$A53+AI$1+2),"")</f>
        <v>1.34</v>
      </c>
      <c r="AJ53">
        <f>IF(AJ$1&lt;&gt;"",INDEX(Base!$G$1:$G$5000,$A53+AJ$1+2),"")</f>
        <v>0.12</v>
      </c>
      <c r="AK53">
        <f>IF(AK$1&lt;&gt;"",INDEX(Base!$G$1:$G$5000,$A53+AK$1+2),"")</f>
        <v>3.83</v>
      </c>
      <c r="AL53">
        <f>IF(AL$1&lt;&gt;"",INDEX(Base!$G$1:$G$5000,$A53+AL$1+2),"")</f>
        <v>14.9</v>
      </c>
      <c r="AM53">
        <f>IF(AM$1&lt;&gt;"",INDEX(Base!$G$1:$G$5000,$A53+AM$1+2),"")</f>
        <v>6.14</v>
      </c>
      <c r="AN53">
        <f>IF(AN$1&lt;&gt;"",INDEX(Base!$G$1:$G$5000,$A53+AN$1+2),"")</f>
        <v>4.82</v>
      </c>
      <c r="AO53">
        <f>IF(AO$1&lt;&gt;"",INDEX(Base!$G$1:$G$5000,$A53+AO$1+2),"")</f>
        <v>4.07</v>
      </c>
      <c r="AP53">
        <f>IF(AP$1&lt;&gt;"",INDEX(Base!$G$1:$G$5000,$A53+AP$1+2),"")</f>
        <v>0.12</v>
      </c>
      <c r="AQ53">
        <f>IF(AQ$1&lt;&gt;"",INDEX(Base!$G$1:$G$5000,$A53+AQ$1+2),"")</f>
        <v>0.24</v>
      </c>
      <c r="AR53">
        <f>IF(AR$1&lt;&gt;"",INDEX(Base!$G$1:$G$5000,$A53+AR$1+2),"")</f>
        <v>0.12</v>
      </c>
      <c r="AS53">
        <f>IF(AS$1&lt;&gt;"",INDEX(Base!$G$1:$G$5000,$A53+AS$1+2),"")</f>
        <v>1.7</v>
      </c>
      <c r="AT53">
        <f>IF(AT$1&lt;&gt;"",INDEX(Base!$G$1:$G$5000,$A53+AT$1+2),"")</f>
        <v>0.17</v>
      </c>
      <c r="AU53">
        <f>IF(AU$1&lt;&gt;"",INDEX(Base!$G$1:$G$5000,$A53+AU$1+2),"")</f>
        <v>7.0000000000000007E-2</v>
      </c>
      <c r="AV53">
        <f>IF(AV$1&lt;&gt;"",INDEX(Base!$G$1:$G$5000,$A53+AV$1+2),"")</f>
        <v>2.0699999999999998</v>
      </c>
      <c r="AW53" s="8">
        <f t="shared" si="0"/>
        <v>1.1857142857142857</v>
      </c>
      <c r="AX53">
        <f>IF(AX$1&lt;&gt;"",INDEX(Base!$R$1:$R$4000,$E53+AX$1+2),"")</f>
        <v>9.43</v>
      </c>
      <c r="AY53">
        <f>IF(AY$1&lt;&gt;"",INDEX(Base!$R$1:$R$2500,$E53+AY$1+2),"")</f>
        <v>495.07</v>
      </c>
      <c r="AZ53">
        <f>IF(AZ$1&lt;&gt;"",INDEX(Base!$R$1:$R$2500,$E53+AZ$1+2),"")</f>
        <v>0.54</v>
      </c>
      <c r="BA53">
        <f>IF(BA$1&lt;&gt;"",INDEX(Base!$R$1:$R$2500,$E53+BA$1+2),"")</f>
        <v>2.76</v>
      </c>
      <c r="BB53">
        <f>IF(BB$1&lt;&gt;"",INDEX(Base!$R$1:$R$2500,$E53+BB$1+2),"")</f>
        <v>61.76</v>
      </c>
      <c r="BC53">
        <f>IF(BC$1&lt;&gt;"",INDEX(Base!$R$1:$R$2500,$E53+BC$1+2),"")</f>
        <v>5.67</v>
      </c>
      <c r="BD53">
        <f>IF(BD$1&lt;&gt;"",INDEX(Base!$R$1:$R$2500,$E53+BD$1+2),"")</f>
        <v>4.6500000000000004</v>
      </c>
      <c r="BE53">
        <f>IF(BE$1&lt;&gt;"",INDEX(Base!$R$1:$R$2500,$E53+BE$1+2),"")</f>
        <v>18.88</v>
      </c>
      <c r="BF53">
        <f>IF(BF$1&lt;&gt;"",INDEX(Base!$R$1:$R$2500,$E53+BF$1+2),"")</f>
        <v>0.21</v>
      </c>
      <c r="BG53">
        <f>IF(BG$1&lt;&gt;"",INDEX(Base!$R$1:$R$2500,$E53+BG$1+2),"")</f>
        <v>3.6</v>
      </c>
      <c r="BH53">
        <f>IF(BH$1&lt;&gt;"",INDEX(Base!$R$1:$R$2500,$E53+BH$1+2),"")</f>
        <v>0.73</v>
      </c>
      <c r="BI53">
        <f>IF(BI$1&lt;&gt;"",INDEX(Base!$R$1:$R$2500,$E53+BI$1+2),"")</f>
        <v>40.11</v>
      </c>
      <c r="BJ53">
        <f>IF(BJ$1&lt;&gt;"",INDEX(Base!$R$1:$R$2500,$E53+BJ$1+2),"")</f>
        <v>22.12</v>
      </c>
      <c r="BK53">
        <f>IF(BK$1&lt;&gt;"",INDEX(Base!$R$1:$R$2500,$E53+BK$1+2),"")</f>
        <v>25.98</v>
      </c>
      <c r="BL53">
        <f>IF(BL$1&lt;&gt;"",INDEX(Base!$R$1:$R$2500,$E53+BL$1+2),"")</f>
        <v>7.51</v>
      </c>
      <c r="BM53">
        <f>IF(BM$1&lt;&gt;"",INDEX(Base!$R$1:$R$2500,$E53+BM$1+2),"")</f>
        <v>0.59</v>
      </c>
      <c r="BN53">
        <f>IF(BN$1&lt;&gt;"",INDEX(Base!$R$1:$R$2500,$E53+BN$1+2),"")</f>
        <v>0.1</v>
      </c>
      <c r="BO53">
        <f>IF(BO$1&lt;&gt;"",INDEX(Base!$R$1:$R$2500,$E53+BO$1+2),"")</f>
        <v>0.18</v>
      </c>
      <c r="BP53">
        <f>IF(BP$1&lt;&gt;"",INDEX(Base!$R$1:$R$2500,$E53+BP$1+2),"")</f>
        <v>1.52</v>
      </c>
      <c r="BQ53">
        <f>IF(BQ$1&lt;&gt;"",INDEX(Base!$R$1:$R$2500,$E53+BQ$1+2),"")</f>
        <v>0.35</v>
      </c>
      <c r="BR53">
        <f>IF(BR$1&lt;&gt;"",INDEX(Base!$R$1:$R$2500,$E53+BR$1+2),"")</f>
        <v>0.11</v>
      </c>
      <c r="BS53">
        <f>IF(BS$1&lt;&gt;"",INDEX(Base!$R$1:$R$2500,$E53+BS$1+2),"")</f>
        <v>8.27</v>
      </c>
      <c r="BT53">
        <f>IF(BT$1&lt;&gt;"",INDEX(Base!$R$1:$R$2500,$E53+BT$1+2),"")</f>
        <v>1.92</v>
      </c>
    </row>
    <row r="54" spans="1:72" x14ac:dyDescent="0.3">
      <c r="A54" s="2">
        <f t="shared" si="3"/>
        <v>2249</v>
      </c>
      <c r="B54" s="3" t="str">
        <f>IFERROR(MID(INDEX(Base!A$1:A$5000,Calcoli!A54),47,LEN(INDEX(Base!A$1:A$5000,Calcoli!A54))-41),"")</f>
        <v>ABATI CLAUDIO</v>
      </c>
      <c r="C54" s="5" t="str">
        <f>MID(INDEX(Base!A$1:A$5000,Calcoli!A54),42,4)</f>
        <v>1850</v>
      </c>
      <c r="D54" s="5" t="str">
        <f>MID(INDEX(Base!A$1:A$5000,Calcoli!A54),13,11)</f>
        <v xml:space="preserve"> 31_03_2025</v>
      </c>
      <c r="E54" s="4">
        <f t="shared" si="1"/>
        <v>1586</v>
      </c>
      <c r="F54" s="3" t="str">
        <f>IFERROR(MID(INDEX(Base!L$1:L$4000,Calcoli!E54),47,LEN(INDEX(Base!L$1:L$4000,Calcoli!E54))-41),"")</f>
        <v>ABATI CLAUDIO</v>
      </c>
      <c r="G54" s="5" t="str">
        <f>MID(INDEX(Base!L$1:L$4000,Calcoli!$E54),42,4)</f>
        <v>1850</v>
      </c>
      <c r="H54" s="5" t="str">
        <f>MID(INDEX(Base!L$1:L$4000,Calcoli!E54),13,11)</f>
        <v xml:space="preserve"> 01_04_2025</v>
      </c>
      <c r="I54" s="6" t="str">
        <f xml:space="preserve"> IFERROR(MID(INDEX(Base!$V$3:$AB$60,MATCH($F54,Base!$Z$3:$Z$160,0),1),1,14),"")</f>
        <v>1850 ABATI CLA</v>
      </c>
      <c r="J54" s="6">
        <f xml:space="preserve"> IFERROR(INDEX(Base!$V$3:$AB$160,MATCH($F54,Base!$Z$3:$Z$160,0),2),"")</f>
        <v>175.17241379310349</v>
      </c>
      <c r="K54" s="6">
        <f xml:space="preserve"> IFERROR(INDEX(Base!$V$3:$AB$160,MATCH($F54,Base!$Z$3:$Z$160,0),3),"")</f>
        <v>34.388081328170834</v>
      </c>
      <c r="L54" s="28">
        <f xml:space="preserve"> IFERROR(INDEX(Base!$V$3:$AB$160,MATCH($F54,Base!$Z$3:$Z$160,0),4),"")</f>
        <v>26.717233009708739</v>
      </c>
      <c r="M54">
        <f>IF(M$1&lt;&gt;"",INDEX(Base!$G$1:$G$5000,$A54+M$1+2),"")</f>
        <v>7.23</v>
      </c>
      <c r="N54">
        <f>IF(N$1&lt;&gt;"",INDEX(Base!$G$1:$G$5000,$A54+N$1+2),"")</f>
        <v>3.31</v>
      </c>
      <c r="O54">
        <f>IF(O$1&lt;&gt;"",INDEX(Base!$G$1:$G$5000,$A54+O$1+2),"")</f>
        <v>0.13</v>
      </c>
      <c r="P54">
        <f>IF(P$1&lt;&gt;"",INDEX(Base!$G$1:$G$5000,$A54+P$1+2),"")</f>
        <v>0.74</v>
      </c>
      <c r="Q54">
        <f>IF(Q$1&lt;&gt;"",INDEX(Base!$G$1:$G$5000,$A54+Q$1+2),"")</f>
        <v>0.09</v>
      </c>
      <c r="R54">
        <f>IF(R$1&lt;&gt;"",INDEX(Base!$G$1:$G$5000,$A54+R$1+2),"")</f>
        <v>1.46</v>
      </c>
      <c r="S54">
        <f>IF(S$1&lt;&gt;"",INDEX(Base!$G$1:$G$5000,$A54+S$1+2),"")</f>
        <v>0.06</v>
      </c>
      <c r="T54">
        <f>IF(T$1&lt;&gt;"",INDEX(Base!$G$1:$G$5000,$A54+T$1+2),"")</f>
        <v>28.84</v>
      </c>
      <c r="U54">
        <f>IF(U$1&lt;&gt;"",INDEX(Base!$G$1:$G$5000,$A54+U$1+2),"")</f>
        <v>1.1200000000000001</v>
      </c>
      <c r="V54">
        <f>IF(V$1&lt;&gt;"",INDEX(Base!$G$1:$G$5000,$A54+V$1+2),"")</f>
        <v>0.1</v>
      </c>
      <c r="W54">
        <f>IF(W$1&lt;&gt;"",INDEX(Base!$G$1:$G$5000,$A54+W$1+2),"")</f>
        <v>2.0499999999999998</v>
      </c>
      <c r="X54">
        <f>IF(X$1&lt;&gt;"",INDEX(Base!$G$1:$G$5000,$A54+X$1+2),"")</f>
        <v>0.95</v>
      </c>
      <c r="Y54">
        <f>IF(Y$1&lt;&gt;"",INDEX(Base!$G$1:$G$5000,$A54+Y$1+2),"")</f>
        <v>146.86000000000001</v>
      </c>
      <c r="Z54">
        <f>IF(Z$1&lt;&gt;"",INDEX(Base!$G$1:$G$5000,$A54+Z$1+2),"")</f>
        <v>1.81</v>
      </c>
      <c r="AA54">
        <f>IF(AA$1&lt;&gt;"",INDEX(Base!$G$1:$G$5000,$A54+AA$1+2),"")</f>
        <v>3.47</v>
      </c>
      <c r="AB54">
        <f>IF(AB$1&lt;&gt;"",INDEX(Base!$G$1:$G$5000,$A54+AB$1+2),"")</f>
        <v>1.47</v>
      </c>
      <c r="AC54">
        <f>IF(AC$1&lt;&gt;"",INDEX(Base!$G$1:$G$5000,$A54+AC$1+2),"")</f>
        <v>1.61</v>
      </c>
      <c r="AD54">
        <f>IF(AD$1&lt;&gt;"",INDEX(Base!$G$1:$G$5000,$A54+AD$1+2),"")</f>
        <v>10.039999999999999</v>
      </c>
      <c r="AE54">
        <f>IF(AE$1&lt;&gt;"",INDEX(Base!$G$1:$G$5000,$A54+AE$1+2),"")</f>
        <v>0.14000000000000001</v>
      </c>
      <c r="AF54">
        <f>IF(AF$1&lt;&gt;"",INDEX(Base!$G$1:$G$5000,$A54+AF$1+2),"")</f>
        <v>1.81</v>
      </c>
      <c r="AG54">
        <f>IF(AG$1&lt;&gt;"",INDEX(Base!$G$1:$G$5000,$A54+AG$1+2),"")</f>
        <v>0.56000000000000005</v>
      </c>
      <c r="AH54">
        <f>IF(AH$1&lt;&gt;"",INDEX(Base!$G$1:$G$5000,$A54+AH$1+2),"")</f>
        <v>2.0299999999999998</v>
      </c>
      <c r="AI54">
        <f>IF(AI$1&lt;&gt;"",INDEX(Base!$G$1:$G$5000,$A54+AI$1+2),"")</f>
        <v>1.07</v>
      </c>
      <c r="AJ54">
        <f>IF(AJ$1&lt;&gt;"",INDEX(Base!$G$1:$G$5000,$A54+AJ$1+2),"")</f>
        <v>0.1</v>
      </c>
      <c r="AK54">
        <f>IF(AK$1&lt;&gt;"",INDEX(Base!$G$1:$G$5000,$A54+AK$1+2),"")</f>
        <v>3.3</v>
      </c>
      <c r="AL54">
        <f>IF(AL$1&lt;&gt;"",INDEX(Base!$G$1:$G$5000,$A54+AL$1+2),"")</f>
        <v>7.62</v>
      </c>
      <c r="AM54">
        <f>IF(AM$1&lt;&gt;"",INDEX(Base!$G$1:$G$5000,$A54+AM$1+2),"")</f>
        <v>0.28000000000000003</v>
      </c>
      <c r="AN54">
        <f>IF(AN$1&lt;&gt;"",INDEX(Base!$G$1:$G$5000,$A54+AN$1+2),"")</f>
        <v>0.38</v>
      </c>
      <c r="AO54">
        <f>IF(AO$1&lt;&gt;"",INDEX(Base!$G$1:$G$5000,$A54+AO$1+2),"")</f>
        <v>0.55000000000000004</v>
      </c>
      <c r="AP54">
        <f>IF(AP$1&lt;&gt;"",INDEX(Base!$G$1:$G$5000,$A54+AP$1+2),"")</f>
        <v>0.11</v>
      </c>
      <c r="AQ54">
        <f>IF(AQ$1&lt;&gt;"",INDEX(Base!$G$1:$G$5000,$A54+AQ$1+2),"")</f>
        <v>0.43</v>
      </c>
      <c r="AR54">
        <f>IF(AR$1&lt;&gt;"",INDEX(Base!$G$1:$G$5000,$A54+AR$1+2),"")</f>
        <v>7.0000000000000007E-2</v>
      </c>
      <c r="AS54">
        <f>IF(AS$1&lt;&gt;"",INDEX(Base!$G$1:$G$5000,$A54+AS$1+2),"")</f>
        <v>1.52</v>
      </c>
      <c r="AT54">
        <f>IF(AT$1&lt;&gt;"",INDEX(Base!$G$1:$G$5000,$A54+AT$1+2),"")</f>
        <v>0.28999999999999998</v>
      </c>
      <c r="AU54">
        <f>IF(AU$1&lt;&gt;"",INDEX(Base!$G$1:$G$5000,$A54+AU$1+2),"")</f>
        <v>0.12</v>
      </c>
      <c r="AV54">
        <f>IF(AV$1&lt;&gt;"",INDEX(Base!$G$1:$G$5000,$A54+AV$1+2),"")</f>
        <v>1.46</v>
      </c>
      <c r="AW54" s="8">
        <f t="shared" si="0"/>
        <v>1.2312925170068028</v>
      </c>
      <c r="AX54">
        <f>IF(AX$1&lt;&gt;"",INDEX(Base!$R$1:$R$4000,$E54+AX$1+2),"")</f>
        <v>9.44</v>
      </c>
      <c r="AY54">
        <f>IF(AY$1&lt;&gt;"",INDEX(Base!$R$1:$R$2500,$E54+AY$1+2),"")</f>
        <v>117.6</v>
      </c>
      <c r="AZ54">
        <f>IF(AZ$1&lt;&gt;"",INDEX(Base!$R$1:$R$2500,$E54+AZ$1+2),"")</f>
        <v>0.23</v>
      </c>
      <c r="BA54">
        <f>IF(BA$1&lt;&gt;"",INDEX(Base!$R$1:$R$2500,$E54+BA$1+2),"")</f>
        <v>0.24</v>
      </c>
      <c r="BB54">
        <f>IF(BB$1&lt;&gt;"",INDEX(Base!$R$1:$R$2500,$E54+BB$1+2),"")</f>
        <v>51.73</v>
      </c>
      <c r="BC54">
        <f>IF(BC$1&lt;&gt;"",INDEX(Base!$R$1:$R$2500,$E54+BC$1+2),"")</f>
        <v>1.32</v>
      </c>
      <c r="BD54">
        <f>IF(BD$1&lt;&gt;"",INDEX(Base!$R$1:$R$2500,$E54+BD$1+2),"")</f>
        <v>1.32</v>
      </c>
      <c r="BE54">
        <f>IF(BE$1&lt;&gt;"",INDEX(Base!$R$1:$R$2500,$E54+BE$1+2),"")</f>
        <v>625.94000000000005</v>
      </c>
      <c r="BF54">
        <f>IF(BF$1&lt;&gt;"",INDEX(Base!$R$1:$R$2500,$E54+BF$1+2),"")</f>
        <v>0.13</v>
      </c>
      <c r="BG54">
        <f>IF(BG$1&lt;&gt;"",INDEX(Base!$R$1:$R$2500,$E54+BG$1+2),"")</f>
        <v>1.1399999999999999</v>
      </c>
      <c r="BH54">
        <f>IF(BH$1&lt;&gt;"",INDEX(Base!$R$1:$R$2500,$E54+BH$1+2),"")</f>
        <v>0.12</v>
      </c>
      <c r="BI54">
        <f>IF(BI$1&lt;&gt;"",INDEX(Base!$R$1:$R$2500,$E54+BI$1+2),"")</f>
        <v>22.03</v>
      </c>
      <c r="BJ54">
        <f>IF(BJ$1&lt;&gt;"",INDEX(Base!$R$1:$R$2500,$E54+BJ$1+2),"")</f>
        <v>4.0999999999999996</v>
      </c>
      <c r="BK54">
        <f>IF(BK$1&lt;&gt;"",INDEX(Base!$R$1:$R$2500,$E54+BK$1+2),"")</f>
        <v>11.57</v>
      </c>
      <c r="BL54">
        <f>IF(BL$1&lt;&gt;"",INDEX(Base!$R$1:$R$2500,$E54+BL$1+2),"")</f>
        <v>1.81</v>
      </c>
      <c r="BM54">
        <f>IF(BM$1&lt;&gt;"",INDEX(Base!$R$1:$R$2500,$E54+BM$1+2),"")</f>
        <v>0.44</v>
      </c>
      <c r="BN54">
        <f>IF(BN$1&lt;&gt;"",INDEX(Base!$R$1:$R$2500,$E54+BN$1+2),"")</f>
        <v>0.1</v>
      </c>
      <c r="BO54">
        <f>IF(BO$1&lt;&gt;"",INDEX(Base!$R$1:$R$2500,$E54+BO$1+2),"")</f>
        <v>0.11</v>
      </c>
      <c r="BP54">
        <f>IF(BP$1&lt;&gt;"",INDEX(Base!$R$1:$R$2500,$E54+BP$1+2),"")</f>
        <v>1.51</v>
      </c>
      <c r="BQ54">
        <f>IF(BQ$1&lt;&gt;"",INDEX(Base!$R$1:$R$2500,$E54+BQ$1+2),"")</f>
        <v>0.27</v>
      </c>
      <c r="BR54">
        <f>IF(BR$1&lt;&gt;"",INDEX(Base!$R$1:$R$2500,$E54+BR$1+2),"")</f>
        <v>0.14000000000000001</v>
      </c>
      <c r="BS54">
        <f>IF(BS$1&lt;&gt;"",INDEX(Base!$R$1:$R$2500,$E54+BS$1+2),"")</f>
        <v>13.26</v>
      </c>
      <c r="BT54">
        <f>IF(BT$1&lt;&gt;"",INDEX(Base!$R$1:$R$2500,$E54+BT$1+2),"")</f>
        <v>1.51</v>
      </c>
    </row>
    <row r="55" spans="1:72" x14ac:dyDescent="0.3">
      <c r="A55" s="2">
        <f t="shared" si="3"/>
        <v>2293</v>
      </c>
      <c r="B55" s="3" t="str">
        <f>IFERROR(MID(INDEX(Base!A$1:A$5000,Calcoli!A55),47,LEN(INDEX(Base!A$1:A$5000,Calcoli!A55))-41),"")</f>
        <v/>
      </c>
      <c r="C55" s="5" t="str">
        <f>MID(INDEX(Base!A$1:A$5000,Calcoli!A55),42,4)</f>
        <v/>
      </c>
      <c r="D55" s="5" t="str">
        <f>MID(INDEX(Base!A$1:A$5000,Calcoli!A55),13,11)</f>
        <v xml:space="preserve"> 31_03_2025</v>
      </c>
      <c r="E55" s="4">
        <f t="shared" si="1"/>
        <v>1617</v>
      </c>
      <c r="F55" s="3" t="str">
        <f>IFERROR(MID(INDEX(Base!L$1:L$4000,Calcoli!E55),47,LEN(INDEX(Base!L$1:L$4000,Calcoli!E55))-41),"")</f>
        <v/>
      </c>
      <c r="G55" s="5" t="str">
        <f>MID(INDEX(Base!L$1:L$4000,Calcoli!$E55),42,4)</f>
        <v/>
      </c>
      <c r="H55" s="5" t="str">
        <f>MID(INDEX(Base!L$1:L$4000,Calcoli!E55),13,11)</f>
        <v xml:space="preserve"> 01_04_2025</v>
      </c>
      <c r="I55" s="6" t="str">
        <f xml:space="preserve"> IFERROR(MID(INDEX(Base!$V$3:$AB$60,MATCH($F55,Base!$Z$3:$Z$160,0),1),1,14),"")</f>
        <v/>
      </c>
      <c r="J55" s="6" t="str">
        <f xml:space="preserve"> IFERROR(INDEX(Base!$V$3:$AB$160,MATCH($F55,Base!$Z$3:$Z$160,0),2),"")</f>
        <v/>
      </c>
      <c r="K55" s="6" t="str">
        <f xml:space="preserve"> IFERROR(INDEX(Base!$V$3:$AB$160,MATCH($F55,Base!$Z$3:$Z$160,0),3),"")</f>
        <v/>
      </c>
      <c r="L55" s="28" t="str">
        <f xml:space="preserve"> IFERROR(INDEX(Base!$V$3:$AB$160,MATCH($F55,Base!$Z$3:$Z$160,0),4),"")</f>
        <v/>
      </c>
      <c r="M55">
        <f>IF(M$1&lt;&gt;"",INDEX(Base!$G$1:$G$5000,$A55+M$1+2),"")</f>
        <v>0.1</v>
      </c>
      <c r="N55">
        <f>IF(N$1&lt;&gt;"",INDEX(Base!$G$1:$G$5000,$A55+N$1+2),"")</f>
        <v>6.16</v>
      </c>
      <c r="O55">
        <f>IF(O$1&lt;&gt;"",INDEX(Base!$G$1:$G$5000,$A55+O$1+2),"")</f>
        <v>1.04</v>
      </c>
      <c r="P55">
        <f>IF(P$1&lt;&gt;"",INDEX(Base!$G$1:$G$5000,$A55+P$1+2),"")</f>
        <v>0.83</v>
      </c>
      <c r="Q55">
        <f>IF(Q$1&lt;&gt;"",INDEX(Base!$G$1:$G$5000,$A55+Q$1+2),"")</f>
        <v>0.1</v>
      </c>
      <c r="R55">
        <f>IF(R$1&lt;&gt;"",INDEX(Base!$G$1:$G$5000,$A55+R$1+2),"")</f>
        <v>2.29</v>
      </c>
      <c r="S55">
        <f>IF(S$1&lt;&gt;"",INDEX(Base!$G$1:$G$5000,$A55+S$1+2),"")</f>
        <v>7.0000000000000007E-2</v>
      </c>
      <c r="T55">
        <f>IF(T$1&lt;&gt;"",INDEX(Base!$G$1:$G$5000,$A55+T$1+2),"")</f>
        <v>0.1</v>
      </c>
      <c r="U55">
        <f>IF(U$1&lt;&gt;"",INDEX(Base!$G$1:$G$5000,$A55+U$1+2),"")</f>
        <v>2.31</v>
      </c>
      <c r="V55">
        <f>IF(V$1&lt;&gt;"",INDEX(Base!$G$1:$G$5000,$A55+V$1+2),"")</f>
        <v>0.3</v>
      </c>
      <c r="W55">
        <f>IF(W$1&lt;&gt;"",INDEX(Base!$G$1:$G$5000,$A55+W$1+2),"")</f>
        <v>1.63</v>
      </c>
      <c r="X55">
        <f>IF(X$1&lt;&gt;"",INDEX(Base!$G$1:$G$5000,$A55+X$1+2),"")</f>
        <v>2.8</v>
      </c>
      <c r="Y55">
        <f>IF(Y$1&lt;&gt;"",INDEX(Base!$G$1:$G$5000,$A55+Y$1+2),"")</f>
        <v>0.1</v>
      </c>
      <c r="Z55">
        <f>IF(Z$1&lt;&gt;"",INDEX(Base!$G$1:$G$5000,$A55+Z$1+2),"")</f>
        <v>9.6999999999999993</v>
      </c>
      <c r="AA55">
        <f>IF(AA$1&lt;&gt;"",INDEX(Base!$G$1:$G$5000,$A55+AA$1+2),"")</f>
        <v>0.76</v>
      </c>
      <c r="AB55">
        <f>IF(AB$1&lt;&gt;"",INDEX(Base!$G$1:$G$5000,$A55+AB$1+2),"")</f>
        <v>0.1</v>
      </c>
      <c r="AC55">
        <f>IF(AC$1&lt;&gt;"",INDEX(Base!$G$1:$G$5000,$A55+AC$1+2),"")</f>
        <v>3.21</v>
      </c>
      <c r="AD55">
        <f>IF(AD$1&lt;&gt;"",INDEX(Base!$G$1:$G$5000,$A55+AD$1+2),"")</f>
        <v>10.47</v>
      </c>
      <c r="AE55">
        <f>IF(AE$1&lt;&gt;"",INDEX(Base!$G$1:$G$5000,$A55+AE$1+2),"")</f>
        <v>0.3</v>
      </c>
      <c r="AF55">
        <f>IF(AF$1&lt;&gt;"",INDEX(Base!$G$1:$G$5000,$A55+AF$1+2),"")</f>
        <v>0.1</v>
      </c>
      <c r="AG55">
        <f>IF(AG$1&lt;&gt;"",INDEX(Base!$G$1:$G$5000,$A55+AG$1+2),"")</f>
        <v>0.13</v>
      </c>
      <c r="AH55">
        <f>IF(AH$1&lt;&gt;"",INDEX(Base!$G$1:$G$5000,$A55+AH$1+2),"")</f>
        <v>0.1</v>
      </c>
      <c r="AI55">
        <f>IF(AI$1&lt;&gt;"",INDEX(Base!$G$1:$G$5000,$A55+AI$1+2),"")</f>
        <v>0.1</v>
      </c>
      <c r="AJ55">
        <f>IF(AJ$1&lt;&gt;"",INDEX(Base!$G$1:$G$5000,$A55+AJ$1+2),"")</f>
        <v>0.1</v>
      </c>
      <c r="AK55">
        <f>IF(AK$1&lt;&gt;"",INDEX(Base!$G$1:$G$5000,$A55+AK$1+2),"")</f>
        <v>22.83</v>
      </c>
      <c r="AL55">
        <f>IF(AL$1&lt;&gt;"",INDEX(Base!$G$1:$G$5000,$A55+AL$1+2),"")</f>
        <v>2.04</v>
      </c>
      <c r="AM55">
        <f>IF(AM$1&lt;&gt;"",INDEX(Base!$G$1:$G$5000,$A55+AM$1+2),"")</f>
        <v>0.1</v>
      </c>
      <c r="AN55">
        <f>IF(AN$1&lt;&gt;"",INDEX(Base!$G$1:$G$5000,$A55+AN$1+2),"")</f>
        <v>1.82</v>
      </c>
      <c r="AO55">
        <f>IF(AO$1&lt;&gt;"",INDEX(Base!$G$1:$G$5000,$A55+AO$1+2),"")</f>
        <v>3.11</v>
      </c>
      <c r="AP55">
        <f>IF(AP$1&lt;&gt;"",INDEX(Base!$G$1:$G$5000,$A55+AP$1+2),"")</f>
        <v>0.12</v>
      </c>
      <c r="AQ55">
        <f>IF(AQ$1&lt;&gt;"",INDEX(Base!$G$1:$G$5000,$A55+AQ$1+2),"")</f>
        <v>0.1</v>
      </c>
      <c r="AR55">
        <f>IF(AR$1&lt;&gt;"",INDEX(Base!$G$1:$G$5000,$A55+AR$1+2),"")</f>
        <v>0.1</v>
      </c>
      <c r="AS55">
        <f>IF(AS$1&lt;&gt;"",INDEX(Base!$G$1:$G$5000,$A55+AS$1+2),"")</f>
        <v>3.35</v>
      </c>
      <c r="AT55">
        <f>IF(AT$1&lt;&gt;"",INDEX(Base!$G$1:$G$5000,$A55+AT$1+2),"")</f>
        <v>0.13</v>
      </c>
      <c r="AU55">
        <f>IF(AU$1&lt;&gt;"",INDEX(Base!$G$1:$G$5000,$A55+AU$1+2),"")</f>
        <v>0.1</v>
      </c>
      <c r="AV55">
        <f>IF(AV$1&lt;&gt;"",INDEX(Base!$G$1:$G$5000,$A55+AV$1+2),"")</f>
        <v>0.2</v>
      </c>
      <c r="AW55" s="8">
        <f t="shared" si="0"/>
        <v>96.999999999999986</v>
      </c>
      <c r="AX55">
        <f>IF(AX$1&lt;&gt;"",INDEX(Base!$R$1:$R$4000,$E55+AX$1+2),"")</f>
        <v>0.1</v>
      </c>
      <c r="AY55">
        <f>IF(AY$1&lt;&gt;"",INDEX(Base!$R$1:$R$2500,$E55+AY$1+2),"")</f>
        <v>427.74</v>
      </c>
      <c r="AZ55">
        <f>IF(AZ$1&lt;&gt;"",INDEX(Base!$R$1:$R$2500,$E55+AZ$1+2),"")</f>
        <v>0.1</v>
      </c>
      <c r="BA55">
        <f>IF(BA$1&lt;&gt;"",INDEX(Base!$R$1:$R$2500,$E55+BA$1+2),"")</f>
        <v>1.27</v>
      </c>
      <c r="BB55">
        <f>IF(BB$1&lt;&gt;"",INDEX(Base!$R$1:$R$2500,$E55+BB$1+2),"")</f>
        <v>46.05</v>
      </c>
      <c r="BC55">
        <f>IF(BC$1&lt;&gt;"",INDEX(Base!$R$1:$R$2500,$E55+BC$1+2),"")</f>
        <v>0.1</v>
      </c>
      <c r="BD55">
        <f>IF(BD$1&lt;&gt;"",INDEX(Base!$R$1:$R$2500,$E55+BD$1+2),"")</f>
        <v>1.62</v>
      </c>
      <c r="BE55">
        <f>IF(BE$1&lt;&gt;"",INDEX(Base!$R$1:$R$2500,$E55+BE$1+2),"")</f>
        <v>0.1</v>
      </c>
      <c r="BF55">
        <f>IF(BF$1&lt;&gt;"",INDEX(Base!$R$1:$R$2500,$E55+BF$1+2),"")</f>
        <v>0.1</v>
      </c>
      <c r="BG55">
        <f>IF(BG$1&lt;&gt;"",INDEX(Base!$R$1:$R$2500,$E55+BG$1+2),"")</f>
        <v>0.1</v>
      </c>
      <c r="BH55">
        <f>IF(BH$1&lt;&gt;"",INDEX(Base!$R$1:$R$2500,$E55+BH$1+2),"")</f>
        <v>0.1</v>
      </c>
      <c r="BI55">
        <f>IF(BI$1&lt;&gt;"",INDEX(Base!$R$1:$R$2500,$E55+BI$1+2),"")</f>
        <v>0.1</v>
      </c>
      <c r="BJ55">
        <f>IF(BJ$1&lt;&gt;"",INDEX(Base!$R$1:$R$2500,$E55+BJ$1+2),"")</f>
        <v>0.1</v>
      </c>
      <c r="BK55">
        <f>IF(BK$1&lt;&gt;"",INDEX(Base!$R$1:$R$2500,$E55+BK$1+2),"")</f>
        <v>0.1</v>
      </c>
      <c r="BL55">
        <f>IF(BL$1&lt;&gt;"",INDEX(Base!$R$1:$R$2500,$E55+BL$1+2),"")</f>
        <v>0.1</v>
      </c>
      <c r="BM55">
        <f>IF(BM$1&lt;&gt;"",INDEX(Base!$R$1:$R$2500,$E55+BM$1+2),"")</f>
        <v>0.1</v>
      </c>
      <c r="BN55">
        <f>IF(BN$1&lt;&gt;"",INDEX(Base!$R$1:$R$2500,$E55+BN$1+2),"")</f>
        <v>0.1</v>
      </c>
      <c r="BO55">
        <f>IF(BO$1&lt;&gt;"",INDEX(Base!$R$1:$R$2500,$E55+BO$1+2),"")</f>
        <v>0.1</v>
      </c>
      <c r="BP55">
        <f>IF(BP$1&lt;&gt;"",INDEX(Base!$R$1:$R$2500,$E55+BP$1+2),"")</f>
        <v>0.1</v>
      </c>
      <c r="BQ55">
        <f>IF(BQ$1&lt;&gt;"",INDEX(Base!$R$1:$R$2500,$E55+BQ$1+2),"")</f>
        <v>0.1</v>
      </c>
      <c r="BR55">
        <f>IF(BR$1&lt;&gt;"",INDEX(Base!$R$1:$R$2500,$E55+BR$1+2),"")</f>
        <v>0.1</v>
      </c>
      <c r="BS55">
        <f>IF(BS$1&lt;&gt;"",INDEX(Base!$R$1:$R$2500,$E55+BS$1+2),"")</f>
        <v>0.1</v>
      </c>
      <c r="BT55">
        <f>IF(BT$1&lt;&gt;"",INDEX(Base!$R$1:$R$2500,$E55+BT$1+2),"")</f>
        <v>2.37</v>
      </c>
    </row>
    <row r="56" spans="1:72" x14ac:dyDescent="0.3">
      <c r="A56" s="2">
        <f t="shared" si="3"/>
        <v>2337</v>
      </c>
      <c r="B56" s="3" t="str">
        <f>IFERROR(MID(INDEX(Base!A$1:A$5000,Calcoli!A56),47,LEN(INDEX(Base!A$1:A$5000,Calcoli!A56))-41),"")</f>
        <v>MALATESTA DANIELA</v>
      </c>
      <c r="C56" s="5" t="str">
        <f>MID(INDEX(Base!A$1:A$5000,Calcoli!A56),42,4)</f>
        <v>1865</v>
      </c>
      <c r="D56" s="5" t="str">
        <f>MID(INDEX(Base!A$1:A$5000,Calcoli!A56),13,11)</f>
        <v xml:space="preserve"> 31_03_2025</v>
      </c>
      <c r="E56" s="4">
        <f t="shared" si="1"/>
        <v>1648</v>
      </c>
      <c r="F56" s="3" t="str">
        <f>IFERROR(MID(INDEX(Base!L$1:L$4000,Calcoli!E56),47,LEN(INDEX(Base!L$1:L$4000,Calcoli!E56))-41),"")</f>
        <v>MALATESTA DANIELA</v>
      </c>
      <c r="G56" s="5" t="str">
        <f>MID(INDEX(Base!L$1:L$4000,Calcoli!$E56),42,4)</f>
        <v>1865</v>
      </c>
      <c r="H56" s="5" t="str">
        <f>MID(INDEX(Base!L$1:L$4000,Calcoli!E56),13,11)</f>
        <v xml:space="preserve"> 01_04_2025</v>
      </c>
      <c r="I56" s="6" t="str">
        <f xml:space="preserve"> IFERROR(MID(INDEX(Base!$V$3:$AB$60,MATCH($F56,Base!$Z$3:$Z$160,0),1),1,14),"")</f>
        <v>1865 MALATESTA</v>
      </c>
      <c r="J56" s="6">
        <f xml:space="preserve"> IFERROR(INDEX(Base!$V$3:$AB$160,MATCH($F56,Base!$Z$3:$Z$160,0),2),"")</f>
        <v>59.999999999999993</v>
      </c>
      <c r="K56" s="6">
        <f xml:space="preserve"> IFERROR(INDEX(Base!$V$3:$AB$160,MATCH($F56,Base!$Z$3:$Z$160,0),3),"")</f>
        <v>84.831900530316133</v>
      </c>
      <c r="L56" s="28">
        <f xml:space="preserve"> IFERROR(INDEX(Base!$V$3:$AB$160,MATCH($F56,Base!$Z$3:$Z$160,0),4),"")</f>
        <v>20.898058252427187</v>
      </c>
      <c r="M56">
        <f>IF(M$1&lt;&gt;"",INDEX(Base!$G$1:$G$5000,$A56+M$1+2),"")</f>
        <v>9.32</v>
      </c>
      <c r="N56">
        <f>IF(N$1&lt;&gt;"",INDEX(Base!$G$1:$G$5000,$A56+N$1+2),"")</f>
        <v>4.08</v>
      </c>
      <c r="O56">
        <f>IF(O$1&lt;&gt;"",INDEX(Base!$G$1:$G$5000,$A56+O$1+2),"")</f>
        <v>0.26</v>
      </c>
      <c r="P56">
        <f>IF(P$1&lt;&gt;"",INDEX(Base!$G$1:$G$5000,$A56+P$1+2),"")</f>
        <v>1.57</v>
      </c>
      <c r="Q56">
        <f>IF(Q$1&lt;&gt;"",INDEX(Base!$G$1:$G$5000,$A56+Q$1+2),"")</f>
        <v>0.1</v>
      </c>
      <c r="R56">
        <f>IF(R$1&lt;&gt;"",INDEX(Base!$G$1:$G$5000,$A56+R$1+2),"")</f>
        <v>1.73</v>
      </c>
      <c r="S56">
        <f>IF(S$1&lt;&gt;"",INDEX(Base!$G$1:$G$5000,$A56+S$1+2),"")</f>
        <v>0.16</v>
      </c>
      <c r="T56">
        <f>IF(T$1&lt;&gt;"",INDEX(Base!$G$1:$G$5000,$A56+T$1+2),"")</f>
        <v>41.67</v>
      </c>
      <c r="U56">
        <f>IF(U$1&lt;&gt;"",INDEX(Base!$G$1:$G$5000,$A56+U$1+2),"")</f>
        <v>1.91</v>
      </c>
      <c r="V56">
        <f>IF(V$1&lt;&gt;"",INDEX(Base!$G$1:$G$5000,$A56+V$1+2),"")</f>
        <v>0.13</v>
      </c>
      <c r="W56">
        <f>IF(W$1&lt;&gt;"",INDEX(Base!$G$1:$G$5000,$A56+W$1+2),"")</f>
        <v>1.91</v>
      </c>
      <c r="X56">
        <f>IF(X$1&lt;&gt;"",INDEX(Base!$G$1:$G$5000,$A56+X$1+2),"")</f>
        <v>1.38</v>
      </c>
      <c r="Y56">
        <f>IF(Y$1&lt;&gt;"",INDEX(Base!$G$1:$G$5000,$A56+Y$1+2),"")</f>
        <v>134.36000000000001</v>
      </c>
      <c r="Z56">
        <f>IF(Z$1&lt;&gt;"",INDEX(Base!$G$1:$G$5000,$A56+Z$1+2),"")</f>
        <v>1.7</v>
      </c>
      <c r="AA56">
        <f>IF(AA$1&lt;&gt;"",INDEX(Base!$G$1:$G$5000,$A56+AA$1+2),"")</f>
        <v>1.43</v>
      </c>
      <c r="AB56">
        <f>IF(AB$1&lt;&gt;"",INDEX(Base!$G$1:$G$5000,$A56+AB$1+2),"")</f>
        <v>1.22</v>
      </c>
      <c r="AC56">
        <f>IF(AC$1&lt;&gt;"",INDEX(Base!$G$1:$G$5000,$A56+AC$1+2),"")</f>
        <v>1.52</v>
      </c>
      <c r="AD56">
        <f>IF(AD$1&lt;&gt;"",INDEX(Base!$G$1:$G$5000,$A56+AD$1+2),"")</f>
        <v>21.32</v>
      </c>
      <c r="AE56">
        <f>IF(AE$1&lt;&gt;"",INDEX(Base!$G$1:$G$5000,$A56+AE$1+2),"")</f>
        <v>0.23</v>
      </c>
      <c r="AF56">
        <f>IF(AF$1&lt;&gt;"",INDEX(Base!$G$1:$G$5000,$A56+AF$1+2),"")</f>
        <v>2.9</v>
      </c>
      <c r="AG56">
        <f>IF(AG$1&lt;&gt;"",INDEX(Base!$G$1:$G$5000,$A56+AG$1+2),"")</f>
        <v>0.8</v>
      </c>
      <c r="AH56">
        <f>IF(AH$1&lt;&gt;"",INDEX(Base!$G$1:$G$5000,$A56+AH$1+2),"")</f>
        <v>2.93</v>
      </c>
      <c r="AI56">
        <f>IF(AI$1&lt;&gt;"",INDEX(Base!$G$1:$G$5000,$A56+AI$1+2),"")</f>
        <v>2.2400000000000002</v>
      </c>
      <c r="AJ56">
        <f>IF(AJ$1&lt;&gt;"",INDEX(Base!$G$1:$G$5000,$A56+AJ$1+2),"")</f>
        <v>0.1</v>
      </c>
      <c r="AK56">
        <f>IF(AK$1&lt;&gt;"",INDEX(Base!$G$1:$G$5000,$A56+AK$1+2),"")</f>
        <v>5.01</v>
      </c>
      <c r="AL56">
        <f>IF(AL$1&lt;&gt;"",INDEX(Base!$G$1:$G$5000,$A56+AL$1+2),"")</f>
        <v>2.91</v>
      </c>
      <c r="AM56">
        <f>IF(AM$1&lt;&gt;"",INDEX(Base!$G$1:$G$5000,$A56+AM$1+2),"")</f>
        <v>0.72</v>
      </c>
      <c r="AN56">
        <f>IF(AN$1&lt;&gt;"",INDEX(Base!$G$1:$G$5000,$A56+AN$1+2),"")</f>
        <v>1.1200000000000001</v>
      </c>
      <c r="AO56">
        <f>IF(AO$1&lt;&gt;"",INDEX(Base!$G$1:$G$5000,$A56+AO$1+2),"")</f>
        <v>1.1599999999999999</v>
      </c>
      <c r="AP56">
        <f>IF(AP$1&lt;&gt;"",INDEX(Base!$G$1:$G$5000,$A56+AP$1+2),"")</f>
        <v>0.14000000000000001</v>
      </c>
      <c r="AQ56">
        <f>IF(AQ$1&lt;&gt;"",INDEX(Base!$G$1:$G$5000,$A56+AQ$1+2),"")</f>
        <v>0.38</v>
      </c>
      <c r="AR56">
        <f>IF(AR$1&lt;&gt;"",INDEX(Base!$G$1:$G$5000,$A56+AR$1+2),"")</f>
        <v>0.12</v>
      </c>
      <c r="AS56">
        <f>IF(AS$1&lt;&gt;"",INDEX(Base!$G$1:$G$5000,$A56+AS$1+2),"")</f>
        <v>1.37</v>
      </c>
      <c r="AT56">
        <f>IF(AT$1&lt;&gt;"",INDEX(Base!$G$1:$G$5000,$A56+AT$1+2),"")</f>
        <v>0.06</v>
      </c>
      <c r="AU56">
        <f>IF(AU$1&lt;&gt;"",INDEX(Base!$G$1:$G$5000,$A56+AU$1+2),"")</f>
        <v>0.14000000000000001</v>
      </c>
      <c r="AV56">
        <f>IF(AV$1&lt;&gt;"",INDEX(Base!$G$1:$G$5000,$A56+AV$1+2),"")</f>
        <v>1.07</v>
      </c>
      <c r="AW56" s="8">
        <f t="shared" si="0"/>
        <v>1.3934426229508197</v>
      </c>
      <c r="AX56">
        <f>IF(AX$1&lt;&gt;"",INDEX(Base!$R$1:$R$4000,$E56+AX$1+2),"")</f>
        <v>22.03</v>
      </c>
      <c r="AY56">
        <f>IF(AY$1&lt;&gt;"",INDEX(Base!$R$1:$R$2500,$E56+AY$1+2),"")</f>
        <v>470.81</v>
      </c>
      <c r="AZ56">
        <f>IF(AZ$1&lt;&gt;"",INDEX(Base!$R$1:$R$2500,$E56+AZ$1+2),"")</f>
        <v>0.35</v>
      </c>
      <c r="BA56">
        <f>IF(BA$1&lt;&gt;"",INDEX(Base!$R$1:$R$2500,$E56+BA$1+2),"")</f>
        <v>0.64</v>
      </c>
      <c r="BB56">
        <f>IF(BB$1&lt;&gt;"",INDEX(Base!$R$1:$R$2500,$E56+BB$1+2),"")</f>
        <v>44.46</v>
      </c>
      <c r="BC56">
        <f>IF(BC$1&lt;&gt;"",INDEX(Base!$R$1:$R$2500,$E56+BC$1+2),"")</f>
        <v>2</v>
      </c>
      <c r="BD56">
        <f>IF(BD$1&lt;&gt;"",INDEX(Base!$R$1:$R$2500,$E56+BD$1+2),"")</f>
        <v>2.35</v>
      </c>
      <c r="BE56">
        <f>IF(BE$1&lt;&gt;"",INDEX(Base!$R$1:$R$2500,$E56+BE$1+2),"")</f>
        <v>38.81</v>
      </c>
      <c r="BF56">
        <f>IF(BF$1&lt;&gt;"",INDEX(Base!$R$1:$R$2500,$E56+BF$1+2),"")</f>
        <v>0.11</v>
      </c>
      <c r="BG56">
        <f>IF(BG$1&lt;&gt;"",INDEX(Base!$R$1:$R$2500,$E56+BG$1+2),"")</f>
        <v>2.0099999999999998</v>
      </c>
      <c r="BH56">
        <f>IF(BH$1&lt;&gt;"",INDEX(Base!$R$1:$R$2500,$E56+BH$1+2),"")</f>
        <v>0.82</v>
      </c>
      <c r="BI56">
        <f>IF(BI$1&lt;&gt;"",INDEX(Base!$R$1:$R$2500,$E56+BI$1+2),"")</f>
        <v>22.48</v>
      </c>
      <c r="BJ56">
        <f>IF(BJ$1&lt;&gt;"",INDEX(Base!$R$1:$R$2500,$E56+BJ$1+2),"")</f>
        <v>11.51</v>
      </c>
      <c r="BK56">
        <f>IF(BK$1&lt;&gt;"",INDEX(Base!$R$1:$R$2500,$E56+BK$1+2),"")</f>
        <v>25.99</v>
      </c>
      <c r="BL56">
        <f>IF(BL$1&lt;&gt;"",INDEX(Base!$R$1:$R$2500,$E56+BL$1+2),"")</f>
        <v>1.84</v>
      </c>
      <c r="BM56">
        <f>IF(BM$1&lt;&gt;"",INDEX(Base!$R$1:$R$2500,$E56+BM$1+2),"")</f>
        <v>0.56999999999999995</v>
      </c>
      <c r="BN56">
        <f>IF(BN$1&lt;&gt;"",INDEX(Base!$R$1:$R$2500,$E56+BN$1+2),"")</f>
        <v>0.1</v>
      </c>
      <c r="BO56">
        <f>IF(BO$1&lt;&gt;"",INDEX(Base!$R$1:$R$2500,$E56+BO$1+2),"")</f>
        <v>0.11</v>
      </c>
      <c r="BP56">
        <f>IF(BP$1&lt;&gt;"",INDEX(Base!$R$1:$R$2500,$E56+BP$1+2),"")</f>
        <v>3.22</v>
      </c>
      <c r="BQ56">
        <f>IF(BQ$1&lt;&gt;"",INDEX(Base!$R$1:$R$2500,$E56+BQ$1+2),"")</f>
        <v>0.23</v>
      </c>
      <c r="BR56">
        <f>IF(BR$1&lt;&gt;"",INDEX(Base!$R$1:$R$2500,$E56+BR$1+2),"")</f>
        <v>0.46</v>
      </c>
      <c r="BS56">
        <f>IF(BS$1&lt;&gt;"",INDEX(Base!$R$1:$R$2500,$E56+BS$1+2),"")</f>
        <v>2.29</v>
      </c>
      <c r="BT56">
        <f>IF(BT$1&lt;&gt;"",INDEX(Base!$R$1:$R$2500,$E56+BT$1+2),"")</f>
        <v>1.62</v>
      </c>
    </row>
    <row r="57" spans="1:72" x14ac:dyDescent="0.3">
      <c r="A57" s="2">
        <f t="shared" si="3"/>
        <v>2381</v>
      </c>
      <c r="B57" s="3" t="str">
        <f>IFERROR(MID(INDEX(Base!A$1:A$5000,Calcoli!A57),47,LEN(INDEX(Base!A$1:A$5000,Calcoli!A57))-41),"")</f>
        <v>RUBINI MARIA LUISA</v>
      </c>
      <c r="C57" s="5" t="str">
        <f>MID(INDEX(Base!A$1:A$5000,Calcoli!A57),42,4)</f>
        <v>1867</v>
      </c>
      <c r="D57" s="5" t="str">
        <f>MID(INDEX(Base!A$1:A$5000,Calcoli!A57),13,11)</f>
        <v xml:space="preserve"> 31_03_2025</v>
      </c>
      <c r="E57" s="4">
        <f t="shared" si="1"/>
        <v>1679</v>
      </c>
      <c r="F57" s="3" t="str">
        <f>IFERROR(MID(INDEX(Base!L$1:L$4000,Calcoli!E57),47,LEN(INDEX(Base!L$1:L$4000,Calcoli!E57))-41),"")</f>
        <v>RUBINI MARIA LUISA</v>
      </c>
      <c r="G57" s="5" t="str">
        <f>MID(INDEX(Base!L$1:L$4000,Calcoli!$E57),42,4)</f>
        <v>1867</v>
      </c>
      <c r="H57" s="5" t="str">
        <f>MID(INDEX(Base!L$1:L$4000,Calcoli!E57),13,11)</f>
        <v xml:space="preserve"> 01_04_2025</v>
      </c>
      <c r="I57" s="6" t="str">
        <f xml:space="preserve"> IFERROR(MID(INDEX(Base!$V$3:$AB$60,MATCH($F57,Base!$Z$3:$Z$160,0),1),1,14),"")</f>
        <v>1867 RUBINI MA</v>
      </c>
      <c r="J57" s="6">
        <f xml:space="preserve"> IFERROR(INDEX(Base!$V$3:$AB$160,MATCH($F57,Base!$Z$3:$Z$160,0),2),"")</f>
        <v>54.482758620689623</v>
      </c>
      <c r="K57" s="6">
        <f xml:space="preserve"> IFERROR(INDEX(Base!$V$3:$AB$160,MATCH($F57,Base!$Z$3:$Z$160,0),3),"")</f>
        <v>10.285042870009301</v>
      </c>
      <c r="L57" s="28">
        <f xml:space="preserve"> IFERROR(INDEX(Base!$V$3:$AB$160,MATCH($F57,Base!$Z$3:$Z$160,0),4),"")</f>
        <v>16.140776699029125</v>
      </c>
      <c r="M57">
        <f>IF(M$1&lt;&gt;"",INDEX(Base!$G$1:$G$5000,$A57+M$1+2),"")</f>
        <v>5.16</v>
      </c>
      <c r="N57">
        <f>IF(N$1&lt;&gt;"",INDEX(Base!$G$1:$G$5000,$A57+N$1+2),"")</f>
        <v>31.5</v>
      </c>
      <c r="O57">
        <f>IF(O$1&lt;&gt;"",INDEX(Base!$G$1:$G$5000,$A57+O$1+2),"")</f>
        <v>0.8</v>
      </c>
      <c r="P57">
        <f>IF(P$1&lt;&gt;"",INDEX(Base!$G$1:$G$5000,$A57+P$1+2),"")</f>
        <v>0.78</v>
      </c>
      <c r="Q57">
        <f>IF(Q$1&lt;&gt;"",INDEX(Base!$G$1:$G$5000,$A57+Q$1+2),"")</f>
        <v>3.11</v>
      </c>
      <c r="R57">
        <f>IF(R$1&lt;&gt;"",INDEX(Base!$G$1:$G$5000,$A57+R$1+2),"")</f>
        <v>1.91</v>
      </c>
      <c r="S57">
        <f>IF(S$1&lt;&gt;"",INDEX(Base!$G$1:$G$5000,$A57+S$1+2),"")</f>
        <v>0.05</v>
      </c>
      <c r="T57">
        <f>IF(T$1&lt;&gt;"",INDEX(Base!$G$1:$G$5000,$A57+T$1+2),"")</f>
        <v>23.56</v>
      </c>
      <c r="U57">
        <f>IF(U$1&lt;&gt;"",INDEX(Base!$G$1:$G$5000,$A57+U$1+2),"")</f>
        <v>2.2000000000000002</v>
      </c>
      <c r="V57">
        <f>IF(V$1&lt;&gt;"",INDEX(Base!$G$1:$G$5000,$A57+V$1+2),"")</f>
        <v>0.12</v>
      </c>
      <c r="W57">
        <f>IF(W$1&lt;&gt;"",INDEX(Base!$G$1:$G$5000,$A57+W$1+2),"")</f>
        <v>2.42</v>
      </c>
      <c r="X57">
        <f>IF(X$1&lt;&gt;"",INDEX(Base!$G$1:$G$5000,$A57+X$1+2),"")</f>
        <v>1.1599999999999999</v>
      </c>
      <c r="Y57">
        <f>IF(Y$1&lt;&gt;"",INDEX(Base!$G$1:$G$5000,$A57+Y$1+2),"")</f>
        <v>70.87</v>
      </c>
      <c r="Z57">
        <f>IF(Z$1&lt;&gt;"",INDEX(Base!$G$1:$G$5000,$A57+Z$1+2),"")</f>
        <v>3.57</v>
      </c>
      <c r="AA57">
        <f>IF(AA$1&lt;&gt;"",INDEX(Base!$G$1:$G$5000,$A57+AA$1+2),"")</f>
        <v>1.1599999999999999</v>
      </c>
      <c r="AB57">
        <f>IF(AB$1&lt;&gt;"",INDEX(Base!$G$1:$G$5000,$A57+AB$1+2),"")</f>
        <v>1.52</v>
      </c>
      <c r="AC57">
        <f>IF(AC$1&lt;&gt;"",INDEX(Base!$G$1:$G$5000,$A57+AC$1+2),"")</f>
        <v>1.23</v>
      </c>
      <c r="AD57">
        <f>IF(AD$1&lt;&gt;"",INDEX(Base!$G$1:$G$5000,$A57+AD$1+2),"")</f>
        <v>11.34</v>
      </c>
      <c r="AE57">
        <f>IF(AE$1&lt;&gt;"",INDEX(Base!$G$1:$G$5000,$A57+AE$1+2),"")</f>
        <v>0.2</v>
      </c>
      <c r="AF57">
        <f>IF(AF$1&lt;&gt;"",INDEX(Base!$G$1:$G$5000,$A57+AF$1+2),"")</f>
        <v>1.73</v>
      </c>
      <c r="AG57">
        <f>IF(AG$1&lt;&gt;"",INDEX(Base!$G$1:$G$5000,$A57+AG$1+2),"")</f>
        <v>0.48</v>
      </c>
      <c r="AH57">
        <f>IF(AH$1&lt;&gt;"",INDEX(Base!$G$1:$G$5000,$A57+AH$1+2),"")</f>
        <v>2.2599999999999998</v>
      </c>
      <c r="AI57">
        <f>IF(AI$1&lt;&gt;"",INDEX(Base!$G$1:$G$5000,$A57+AI$1+2),"")</f>
        <v>1.81</v>
      </c>
      <c r="AJ57">
        <f>IF(AJ$1&lt;&gt;"",INDEX(Base!$G$1:$G$5000,$A57+AJ$1+2),"")</f>
        <v>0.14000000000000001</v>
      </c>
      <c r="AK57">
        <f>IF(AK$1&lt;&gt;"",INDEX(Base!$G$1:$G$5000,$A57+AK$1+2),"")</f>
        <v>6.64</v>
      </c>
      <c r="AL57">
        <f>IF(AL$1&lt;&gt;"",INDEX(Base!$G$1:$G$5000,$A57+AL$1+2),"")</f>
        <v>18.32</v>
      </c>
      <c r="AM57">
        <f>IF(AM$1&lt;&gt;"",INDEX(Base!$G$1:$G$5000,$A57+AM$1+2),"")</f>
        <v>0.53</v>
      </c>
      <c r="AN57">
        <f>IF(AN$1&lt;&gt;"",INDEX(Base!$G$1:$G$5000,$A57+AN$1+2),"")</f>
        <v>3.04</v>
      </c>
      <c r="AO57">
        <f>IF(AO$1&lt;&gt;"",INDEX(Base!$G$1:$G$5000,$A57+AO$1+2),"")</f>
        <v>0.88</v>
      </c>
      <c r="AP57">
        <f>IF(AP$1&lt;&gt;"",INDEX(Base!$G$1:$G$5000,$A57+AP$1+2),"")</f>
        <v>0.23</v>
      </c>
      <c r="AQ57">
        <f>IF(AQ$1&lt;&gt;"",INDEX(Base!$G$1:$G$5000,$A57+AQ$1+2),"")</f>
        <v>2</v>
      </c>
      <c r="AR57">
        <f>IF(AR$1&lt;&gt;"",INDEX(Base!$G$1:$G$5000,$A57+AR$1+2),"")</f>
        <v>0.16</v>
      </c>
      <c r="AS57">
        <f>IF(AS$1&lt;&gt;"",INDEX(Base!$G$1:$G$5000,$A57+AS$1+2),"")</f>
        <v>2.65</v>
      </c>
      <c r="AT57">
        <f>IF(AT$1&lt;&gt;"",INDEX(Base!$G$1:$G$5000,$A57+AT$1+2),"")</f>
        <v>0.25</v>
      </c>
      <c r="AU57">
        <f>IF(AU$1&lt;&gt;"",INDEX(Base!$G$1:$G$5000,$A57+AU$1+2),"")</f>
        <v>0.1</v>
      </c>
      <c r="AV57">
        <f>IF(AV$1&lt;&gt;"",INDEX(Base!$G$1:$G$5000,$A57+AV$1+2),"")</f>
        <v>0.13</v>
      </c>
      <c r="AW57" s="8">
        <f t="shared" si="0"/>
        <v>2.3486842105263155</v>
      </c>
      <c r="AX57">
        <f>IF(AX$1&lt;&gt;"",INDEX(Base!$R$1:$R$4000,$E57+AX$1+2),"")</f>
        <v>27.6</v>
      </c>
      <c r="AY57">
        <f>IF(AY$1&lt;&gt;"",INDEX(Base!$R$1:$R$2500,$E57+AY$1+2),"")</f>
        <v>313.77</v>
      </c>
      <c r="AZ57">
        <f>IF(AZ$1&lt;&gt;"",INDEX(Base!$R$1:$R$2500,$E57+AZ$1+2),"")</f>
        <v>0.28000000000000003</v>
      </c>
      <c r="BA57">
        <f>IF(BA$1&lt;&gt;"",INDEX(Base!$R$1:$R$2500,$E57+BA$1+2),"")</f>
        <v>0.69</v>
      </c>
      <c r="BB57">
        <f>IF(BB$1&lt;&gt;"",INDEX(Base!$R$1:$R$2500,$E57+BB$1+2),"")</f>
        <v>46.31</v>
      </c>
      <c r="BC57">
        <f>IF(BC$1&lt;&gt;"",INDEX(Base!$R$1:$R$2500,$E57+BC$1+2),"")</f>
        <v>3.09</v>
      </c>
      <c r="BD57">
        <f>IF(BD$1&lt;&gt;"",INDEX(Base!$R$1:$R$2500,$E57+BD$1+2),"")</f>
        <v>7.4</v>
      </c>
      <c r="BE57">
        <f>IF(BE$1&lt;&gt;"",INDEX(Base!$R$1:$R$2500,$E57+BE$1+2),"")</f>
        <v>43.77</v>
      </c>
      <c r="BF57">
        <f>IF(BF$1&lt;&gt;"",INDEX(Base!$R$1:$R$2500,$E57+BF$1+2),"")</f>
        <v>0.1</v>
      </c>
      <c r="BG57">
        <f>IF(BG$1&lt;&gt;"",INDEX(Base!$R$1:$R$2500,$E57+BG$1+2),"")</f>
        <v>2.2599999999999998</v>
      </c>
      <c r="BH57">
        <f>IF(BH$1&lt;&gt;"",INDEX(Base!$R$1:$R$2500,$E57+BH$1+2),"")</f>
        <v>0.28000000000000003</v>
      </c>
      <c r="BI57">
        <f>IF(BI$1&lt;&gt;"",INDEX(Base!$R$1:$R$2500,$E57+BI$1+2),"")</f>
        <v>12.96</v>
      </c>
      <c r="BJ57">
        <f>IF(BJ$1&lt;&gt;"",INDEX(Base!$R$1:$R$2500,$E57+BJ$1+2),"")</f>
        <v>7.66</v>
      </c>
      <c r="BK57">
        <f>IF(BK$1&lt;&gt;"",INDEX(Base!$R$1:$R$2500,$E57+BK$1+2),"")</f>
        <v>26.94</v>
      </c>
      <c r="BL57">
        <f>IF(BL$1&lt;&gt;"",INDEX(Base!$R$1:$R$2500,$E57+BL$1+2),"")</f>
        <v>2.98</v>
      </c>
      <c r="BM57">
        <f>IF(BM$1&lt;&gt;"",INDEX(Base!$R$1:$R$2500,$E57+BM$1+2),"")</f>
        <v>0.63</v>
      </c>
      <c r="BN57">
        <f>IF(BN$1&lt;&gt;"",INDEX(Base!$R$1:$R$2500,$E57+BN$1+2),"")</f>
        <v>0.1</v>
      </c>
      <c r="BO57">
        <f>IF(BO$1&lt;&gt;"",INDEX(Base!$R$1:$R$2500,$E57+BO$1+2),"")</f>
        <v>0.14000000000000001</v>
      </c>
      <c r="BP57">
        <f>IF(BP$1&lt;&gt;"",INDEX(Base!$R$1:$R$2500,$E57+BP$1+2),"")</f>
        <v>0.1</v>
      </c>
      <c r="BQ57">
        <f>IF(BQ$1&lt;&gt;"",INDEX(Base!$R$1:$R$2500,$E57+BQ$1+2),"")</f>
        <v>7.0000000000000007E-2</v>
      </c>
      <c r="BR57">
        <f>IF(BR$1&lt;&gt;"",INDEX(Base!$R$1:$R$2500,$E57+BR$1+2),"")</f>
        <v>0.1</v>
      </c>
      <c r="BS57">
        <f>IF(BS$1&lt;&gt;"",INDEX(Base!$R$1:$R$2500,$E57+BS$1+2),"")</f>
        <v>31.08</v>
      </c>
      <c r="BT57">
        <f>IF(BT$1&lt;&gt;"",INDEX(Base!$R$1:$R$2500,$E57+BT$1+2),"")</f>
        <v>2.29</v>
      </c>
    </row>
    <row r="58" spans="1:72" x14ac:dyDescent="0.3">
      <c r="A58" s="2">
        <f t="shared" si="3"/>
        <v>2425</v>
      </c>
      <c r="B58" s="3" t="str">
        <f>IFERROR(MID(INDEX(Base!A$1:A$5000,Calcoli!A58),47,LEN(INDEX(Base!A$1:A$5000,Calcoli!A58))-41),"")</f>
        <v>FOCACCI ANTONIO</v>
      </c>
      <c r="C58" s="5" t="str">
        <f>MID(INDEX(Base!A$1:A$5000,Calcoli!A58),42,4)</f>
        <v>1884</v>
      </c>
      <c r="D58" s="5" t="str">
        <f>MID(INDEX(Base!A$1:A$5000,Calcoli!A58),13,11)</f>
        <v xml:space="preserve"> 31_03_2025</v>
      </c>
      <c r="E58" s="4">
        <f t="shared" si="1"/>
        <v>1710</v>
      </c>
      <c r="F58" s="3" t="str">
        <f>IFERROR(MID(INDEX(Base!L$1:L$4000,Calcoli!E58),47,LEN(INDEX(Base!L$1:L$4000,Calcoli!E58))-41),"")</f>
        <v>FOCACCI ANTONIO</v>
      </c>
      <c r="G58" s="5" t="str">
        <f>MID(INDEX(Base!L$1:L$4000,Calcoli!$E58),42,4)</f>
        <v>1884</v>
      </c>
      <c r="H58" s="5" t="str">
        <f>MID(INDEX(Base!L$1:L$4000,Calcoli!E58),13,11)</f>
        <v xml:space="preserve"> 01_04_2025</v>
      </c>
      <c r="I58" s="6" t="str">
        <f xml:space="preserve"> IFERROR(MID(INDEX(Base!$V$3:$AB$60,MATCH($F58,Base!$Z$3:$Z$160,0),1),1,14),"")</f>
        <v>1884 FOCACCI A</v>
      </c>
      <c r="J58" s="6">
        <f xml:space="preserve"> IFERROR(INDEX(Base!$V$3:$AB$160,MATCH($F58,Base!$Z$3:$Z$160,0),2),"")</f>
        <v>104.66666666666666</v>
      </c>
      <c r="K58" s="6">
        <f xml:space="preserve"> IFERROR(INDEX(Base!$V$3:$AB$160,MATCH($F58,Base!$Z$3:$Z$160,0),3),"")</f>
        <v>44.168306768253174</v>
      </c>
      <c r="L58" s="28">
        <f xml:space="preserve"> IFERROR(INDEX(Base!$V$3:$AB$160,MATCH($F58,Base!$Z$3:$Z$160,0),4),"")</f>
        <v>55.345873786407765</v>
      </c>
      <c r="M58">
        <f>IF(M$1&lt;&gt;"",INDEX(Base!$G$1:$G$5000,$A58+M$1+2),"")</f>
        <v>12.24</v>
      </c>
      <c r="N58">
        <f>IF(N$1&lt;&gt;"",INDEX(Base!$G$1:$G$5000,$A58+N$1+2),"")</f>
        <v>2.13</v>
      </c>
      <c r="O58">
        <f>IF(O$1&lt;&gt;"",INDEX(Base!$G$1:$G$5000,$A58+O$1+2),"")</f>
        <v>0.1</v>
      </c>
      <c r="P58">
        <f>IF(P$1&lt;&gt;"",INDEX(Base!$G$1:$G$5000,$A58+P$1+2),"")</f>
        <v>1</v>
      </c>
      <c r="Q58">
        <f>IF(Q$1&lt;&gt;"",INDEX(Base!$G$1:$G$5000,$A58+Q$1+2),"")</f>
        <v>0.06</v>
      </c>
      <c r="R58">
        <f>IF(R$1&lt;&gt;"",INDEX(Base!$G$1:$G$5000,$A58+R$1+2),"")</f>
        <v>1.04</v>
      </c>
      <c r="S58">
        <f>IF(S$1&lt;&gt;"",INDEX(Base!$G$1:$G$5000,$A58+S$1+2),"")</f>
        <v>0.09</v>
      </c>
      <c r="T58">
        <f>IF(T$1&lt;&gt;"",INDEX(Base!$G$1:$G$5000,$A58+T$1+2),"")</f>
        <v>23.03</v>
      </c>
      <c r="U58">
        <f>IF(U$1&lt;&gt;"",INDEX(Base!$G$1:$G$5000,$A58+U$1+2),"")</f>
        <v>9.6</v>
      </c>
      <c r="V58">
        <f>IF(V$1&lt;&gt;"",INDEX(Base!$G$1:$G$5000,$A58+V$1+2),"")</f>
        <v>0.15</v>
      </c>
      <c r="W58">
        <f>IF(W$1&lt;&gt;"",INDEX(Base!$G$1:$G$5000,$A58+W$1+2),"")</f>
        <v>2.19</v>
      </c>
      <c r="X58">
        <f>IF(X$1&lt;&gt;"",INDEX(Base!$G$1:$G$5000,$A58+X$1+2),"")</f>
        <v>1.25</v>
      </c>
      <c r="Y58">
        <f>IF(Y$1&lt;&gt;"",INDEX(Base!$G$1:$G$5000,$A58+Y$1+2),"")</f>
        <v>123.54</v>
      </c>
      <c r="Z58">
        <f>IF(Z$1&lt;&gt;"",INDEX(Base!$G$1:$G$5000,$A58+Z$1+2),"")</f>
        <v>1</v>
      </c>
      <c r="AA58">
        <f>IF(AA$1&lt;&gt;"",INDEX(Base!$G$1:$G$5000,$A58+AA$1+2),"")</f>
        <v>1.99</v>
      </c>
      <c r="AB58">
        <f>IF(AB$1&lt;&gt;"",INDEX(Base!$G$1:$G$5000,$A58+AB$1+2),"")</f>
        <v>1.49</v>
      </c>
      <c r="AC58">
        <f>IF(AC$1&lt;&gt;"",INDEX(Base!$G$1:$G$5000,$A58+AC$1+2),"")</f>
        <v>2.41</v>
      </c>
      <c r="AD58">
        <f>IF(AD$1&lt;&gt;"",INDEX(Base!$G$1:$G$5000,$A58+AD$1+2),"")</f>
        <v>11.02</v>
      </c>
      <c r="AE58">
        <f>IF(AE$1&lt;&gt;"",INDEX(Base!$G$1:$G$5000,$A58+AE$1+2),"")</f>
        <v>0.2</v>
      </c>
      <c r="AF58">
        <f>IF(AF$1&lt;&gt;"",INDEX(Base!$G$1:$G$5000,$A58+AF$1+2),"")</f>
        <v>2.0099999999999998</v>
      </c>
      <c r="AG58">
        <f>IF(AG$1&lt;&gt;"",INDEX(Base!$G$1:$G$5000,$A58+AG$1+2),"")</f>
        <v>0.47</v>
      </c>
      <c r="AH58">
        <f>IF(AH$1&lt;&gt;"",INDEX(Base!$G$1:$G$5000,$A58+AH$1+2),"")</f>
        <v>2.63</v>
      </c>
      <c r="AI58">
        <f>IF(AI$1&lt;&gt;"",INDEX(Base!$G$1:$G$5000,$A58+AI$1+2),"")</f>
        <v>0.75</v>
      </c>
      <c r="AJ58">
        <f>IF(AJ$1&lt;&gt;"",INDEX(Base!$G$1:$G$5000,$A58+AJ$1+2),"")</f>
        <v>0.1</v>
      </c>
      <c r="AK58">
        <f>IF(AK$1&lt;&gt;"",INDEX(Base!$G$1:$G$5000,$A58+AK$1+2),"")</f>
        <v>2.92</v>
      </c>
      <c r="AL58">
        <f>IF(AL$1&lt;&gt;"",INDEX(Base!$G$1:$G$5000,$A58+AL$1+2),"")</f>
        <v>6.6</v>
      </c>
      <c r="AM58">
        <f>IF(AM$1&lt;&gt;"",INDEX(Base!$G$1:$G$5000,$A58+AM$1+2),"")</f>
        <v>0.11</v>
      </c>
      <c r="AN58">
        <f>IF(AN$1&lt;&gt;"",INDEX(Base!$G$1:$G$5000,$A58+AN$1+2),"")</f>
        <v>0.56000000000000005</v>
      </c>
      <c r="AO58">
        <f>IF(AO$1&lt;&gt;"",INDEX(Base!$G$1:$G$5000,$A58+AO$1+2),"")</f>
        <v>0.8</v>
      </c>
      <c r="AP58">
        <f>IF(AP$1&lt;&gt;"",INDEX(Base!$G$1:$G$5000,$A58+AP$1+2),"")</f>
        <v>0.32</v>
      </c>
      <c r="AQ58">
        <f>IF(AQ$1&lt;&gt;"",INDEX(Base!$G$1:$G$5000,$A58+AQ$1+2),"")</f>
        <v>0.81</v>
      </c>
      <c r="AR58">
        <f>IF(AR$1&lt;&gt;"",INDEX(Base!$G$1:$G$5000,$A58+AR$1+2),"")</f>
        <v>0.08</v>
      </c>
      <c r="AS58">
        <f>IF(AS$1&lt;&gt;"",INDEX(Base!$G$1:$G$5000,$A58+AS$1+2),"")</f>
        <v>1.01</v>
      </c>
      <c r="AT58">
        <f>IF(AT$1&lt;&gt;"",INDEX(Base!$G$1:$G$5000,$A58+AT$1+2),"")</f>
        <v>0.1</v>
      </c>
      <c r="AU58">
        <f>IF(AU$1&lt;&gt;"",INDEX(Base!$G$1:$G$5000,$A58+AU$1+2),"")</f>
        <v>0.12</v>
      </c>
      <c r="AV58">
        <f>IF(AV$1&lt;&gt;"",INDEX(Base!$G$1:$G$5000,$A58+AV$1+2),"")</f>
        <v>0.83</v>
      </c>
      <c r="AW58" s="8">
        <f t="shared" si="0"/>
        <v>0.67114093959731547</v>
      </c>
      <c r="AX58">
        <f>IF(AX$1&lt;&gt;"",INDEX(Base!$R$1:$R$4000,$E58+AX$1+2),"")</f>
        <v>8.82</v>
      </c>
      <c r="AY58">
        <f>IF(AY$1&lt;&gt;"",INDEX(Base!$R$1:$R$2500,$E58+AY$1+2),"")</f>
        <v>169.83</v>
      </c>
      <c r="AZ58">
        <f>IF(AZ$1&lt;&gt;"",INDEX(Base!$R$1:$R$2500,$E58+AZ$1+2),"")</f>
        <v>0.24</v>
      </c>
      <c r="BA58">
        <f>IF(BA$1&lt;&gt;"",INDEX(Base!$R$1:$R$2500,$E58+BA$1+2),"")</f>
        <v>0.35</v>
      </c>
      <c r="BB58">
        <f>IF(BB$1&lt;&gt;"",INDEX(Base!$R$1:$R$2500,$E58+BB$1+2),"")</f>
        <v>35.880000000000003</v>
      </c>
      <c r="BC58">
        <f>IF(BC$1&lt;&gt;"",INDEX(Base!$R$1:$R$2500,$E58+BC$1+2),"")</f>
        <v>1.04</v>
      </c>
      <c r="BD58">
        <f>IF(BD$1&lt;&gt;"",INDEX(Base!$R$1:$R$2500,$E58+BD$1+2),"")</f>
        <v>1.47</v>
      </c>
      <c r="BE58">
        <f>IF(BE$1&lt;&gt;"",INDEX(Base!$R$1:$R$2500,$E58+BE$1+2),"")</f>
        <v>759.52</v>
      </c>
      <c r="BF58">
        <f>IF(BF$1&lt;&gt;"",INDEX(Base!$R$1:$R$2500,$E58+BF$1+2),"")</f>
        <v>0.09</v>
      </c>
      <c r="BG58">
        <f>IF(BG$1&lt;&gt;"",INDEX(Base!$R$1:$R$2500,$E58+BG$1+2),"")</f>
        <v>0.39</v>
      </c>
      <c r="BH58">
        <f>IF(BH$1&lt;&gt;"",INDEX(Base!$R$1:$R$2500,$E58+BH$1+2),"")</f>
        <v>0.2</v>
      </c>
      <c r="BI58">
        <f>IF(BI$1&lt;&gt;"",INDEX(Base!$R$1:$R$2500,$E58+BI$1+2),"")</f>
        <v>22.37</v>
      </c>
      <c r="BJ58">
        <f>IF(BJ$1&lt;&gt;"",INDEX(Base!$R$1:$R$2500,$E58+BJ$1+2),"")</f>
        <v>4.66</v>
      </c>
      <c r="BK58">
        <f>IF(BK$1&lt;&gt;"",INDEX(Base!$R$1:$R$2500,$E58+BK$1+2),"")</f>
        <v>14.27</v>
      </c>
      <c r="BL58">
        <f>IF(BL$1&lt;&gt;"",INDEX(Base!$R$1:$R$2500,$E58+BL$1+2),"")</f>
        <v>2.89</v>
      </c>
      <c r="BM58">
        <f>IF(BM$1&lt;&gt;"",INDEX(Base!$R$1:$R$2500,$E58+BM$1+2),"")</f>
        <v>0.89</v>
      </c>
      <c r="BN58">
        <f>IF(BN$1&lt;&gt;"",INDEX(Base!$R$1:$R$2500,$E58+BN$1+2),"")</f>
        <v>0.11</v>
      </c>
      <c r="BO58">
        <f>IF(BO$1&lt;&gt;"",INDEX(Base!$R$1:$R$2500,$E58+BO$1+2),"")</f>
        <v>0.09</v>
      </c>
      <c r="BP58">
        <f>IF(BP$1&lt;&gt;"",INDEX(Base!$R$1:$R$2500,$E58+BP$1+2),"")</f>
        <v>1.67</v>
      </c>
      <c r="BQ58">
        <f>IF(BQ$1&lt;&gt;"",INDEX(Base!$R$1:$R$2500,$E58+BQ$1+2),"")</f>
        <v>0.27</v>
      </c>
      <c r="BR58">
        <f>IF(BR$1&lt;&gt;"",INDEX(Base!$R$1:$R$2500,$E58+BR$1+2),"")</f>
        <v>7.0000000000000007E-2</v>
      </c>
      <c r="BS58">
        <f>IF(BS$1&lt;&gt;"",INDEX(Base!$R$1:$R$2500,$E58+BS$1+2),"")</f>
        <v>4.43</v>
      </c>
      <c r="BT58">
        <f>IF(BT$1&lt;&gt;"",INDEX(Base!$R$1:$R$2500,$E58+BT$1+2),"")</f>
        <v>1.66</v>
      </c>
    </row>
    <row r="59" spans="1:72" x14ac:dyDescent="0.3">
      <c r="A59" s="2">
        <f t="shared" si="3"/>
        <v>2469</v>
      </c>
      <c r="B59" s="3" t="str">
        <f>IFERROR(MID(INDEX(Base!A$1:A$5000,Calcoli!A59),47,LEN(INDEX(Base!A$1:A$5000,Calcoli!A59))-41),"")</f>
        <v>ZEPPILLI ROBERTA</v>
      </c>
      <c r="C59" s="5" t="str">
        <f>MID(INDEX(Base!A$1:A$5000,Calcoli!A59),42,4)</f>
        <v>1887</v>
      </c>
      <c r="D59" s="5" t="str">
        <f>MID(INDEX(Base!A$1:A$5000,Calcoli!A59),13,11)</f>
        <v xml:space="preserve"> 31_03_2025</v>
      </c>
      <c r="E59" s="4">
        <f t="shared" si="1"/>
        <v>1741</v>
      </c>
      <c r="F59" s="3" t="str">
        <f>IFERROR(MID(INDEX(Base!L$1:L$4000,Calcoli!E59),47,LEN(INDEX(Base!L$1:L$4000,Calcoli!E59))-41),"")</f>
        <v>ZEPPILLI ROBERTA</v>
      </c>
      <c r="G59" s="5" t="str">
        <f>MID(INDEX(Base!L$1:L$4000,Calcoli!$E59),42,4)</f>
        <v>1887</v>
      </c>
      <c r="H59" s="5" t="str">
        <f>MID(INDEX(Base!L$1:L$4000,Calcoli!E59),13,11)</f>
        <v xml:space="preserve"> 01_04_2025</v>
      </c>
      <c r="I59" s="6" t="str">
        <f xml:space="preserve"> IFERROR(MID(INDEX(Base!$V$3:$AB$60,MATCH($F59,Base!$Z$3:$Z$160,0),1),1,14),"")</f>
        <v xml:space="preserve">1887 ZEPPILLI </v>
      </c>
      <c r="J59" s="6">
        <f xml:space="preserve"> IFERROR(INDEX(Base!$V$3:$AB$160,MATCH($F59,Base!$Z$3:$Z$160,0),2),"")</f>
        <v>49.090909090909079</v>
      </c>
      <c r="K59" s="6">
        <f xml:space="preserve"> IFERROR(INDEX(Base!$V$3:$AB$160,MATCH($F59,Base!$Z$3:$Z$160,0),3),"")</f>
        <v>92.268744001883078</v>
      </c>
      <c r="L59" s="28">
        <f xml:space="preserve"> IFERROR(INDEX(Base!$V$3:$AB$160,MATCH($F59,Base!$Z$3:$Z$160,0),4),"")</f>
        <v>33.853155339805831</v>
      </c>
      <c r="M59">
        <f>IF(M$1&lt;&gt;"",INDEX(Base!$G$1:$G$5000,$A59+M$1+2),"")</f>
        <v>5.18</v>
      </c>
      <c r="N59">
        <f>IF(N$1&lt;&gt;"",INDEX(Base!$G$1:$G$5000,$A59+N$1+2),"")</f>
        <v>7.28</v>
      </c>
      <c r="O59">
        <f>IF(O$1&lt;&gt;"",INDEX(Base!$G$1:$G$5000,$A59+O$1+2),"")</f>
        <v>0.08</v>
      </c>
      <c r="P59">
        <f>IF(P$1&lt;&gt;"",INDEX(Base!$G$1:$G$5000,$A59+P$1+2),"")</f>
        <v>1.06</v>
      </c>
      <c r="Q59">
        <f>IF(Q$1&lt;&gt;"",INDEX(Base!$G$1:$G$5000,$A59+Q$1+2),"")</f>
        <v>0.1</v>
      </c>
      <c r="R59">
        <f>IF(R$1&lt;&gt;"",INDEX(Base!$G$1:$G$5000,$A59+R$1+2),"")</f>
        <v>0.9</v>
      </c>
      <c r="S59">
        <f>IF(S$1&lt;&gt;"",INDEX(Base!$G$1:$G$5000,$A59+S$1+2),"")</f>
        <v>0.06</v>
      </c>
      <c r="T59">
        <f>IF(T$1&lt;&gt;"",INDEX(Base!$G$1:$G$5000,$A59+T$1+2),"")</f>
        <v>17.39</v>
      </c>
      <c r="U59">
        <f>IF(U$1&lt;&gt;"",INDEX(Base!$G$1:$G$5000,$A59+U$1+2),"")</f>
        <v>1.56</v>
      </c>
      <c r="V59">
        <f>IF(V$1&lt;&gt;"",INDEX(Base!$G$1:$G$5000,$A59+V$1+2),"")</f>
        <v>0.1</v>
      </c>
      <c r="W59">
        <f>IF(W$1&lt;&gt;"",INDEX(Base!$G$1:$G$5000,$A59+W$1+2),"")</f>
        <v>1.48</v>
      </c>
      <c r="X59">
        <f>IF(X$1&lt;&gt;"",INDEX(Base!$G$1:$G$5000,$A59+X$1+2),"")</f>
        <v>1.59</v>
      </c>
      <c r="Y59">
        <f>IF(Y$1&lt;&gt;"",INDEX(Base!$G$1:$G$5000,$A59+Y$1+2),"")</f>
        <v>128.4</v>
      </c>
      <c r="Z59">
        <f>IF(Z$1&lt;&gt;"",INDEX(Base!$G$1:$G$5000,$A59+Z$1+2),"")</f>
        <v>3.16</v>
      </c>
      <c r="AA59">
        <f>IF(AA$1&lt;&gt;"",INDEX(Base!$G$1:$G$5000,$A59+AA$1+2),"")</f>
        <v>0.71</v>
      </c>
      <c r="AB59">
        <f>IF(AB$1&lt;&gt;"",INDEX(Base!$G$1:$G$5000,$A59+AB$1+2),"")</f>
        <v>0.86</v>
      </c>
      <c r="AC59">
        <f>IF(AC$1&lt;&gt;"",INDEX(Base!$G$1:$G$5000,$A59+AC$1+2),"")</f>
        <v>1.67</v>
      </c>
      <c r="AD59">
        <f>IF(AD$1&lt;&gt;"",INDEX(Base!$G$1:$G$5000,$A59+AD$1+2),"")</f>
        <v>7.99</v>
      </c>
      <c r="AE59">
        <f>IF(AE$1&lt;&gt;"",INDEX(Base!$G$1:$G$5000,$A59+AE$1+2),"")</f>
        <v>0.37</v>
      </c>
      <c r="AF59">
        <f>IF(AF$1&lt;&gt;"",INDEX(Base!$G$1:$G$5000,$A59+AF$1+2),"")</f>
        <v>1.84</v>
      </c>
      <c r="AG59">
        <f>IF(AG$1&lt;&gt;"",INDEX(Base!$G$1:$G$5000,$A59+AG$1+2),"")</f>
        <v>0.21</v>
      </c>
      <c r="AH59">
        <f>IF(AH$1&lt;&gt;"",INDEX(Base!$G$1:$G$5000,$A59+AH$1+2),"")</f>
        <v>3.15</v>
      </c>
      <c r="AI59">
        <f>IF(AI$1&lt;&gt;"",INDEX(Base!$G$1:$G$5000,$A59+AI$1+2),"")</f>
        <v>0.59</v>
      </c>
      <c r="AJ59">
        <f>IF(AJ$1&lt;&gt;"",INDEX(Base!$G$1:$G$5000,$A59+AJ$1+2),"")</f>
        <v>0.1</v>
      </c>
      <c r="AK59">
        <f>IF(AK$1&lt;&gt;"",INDEX(Base!$G$1:$G$5000,$A59+AK$1+2),"")</f>
        <v>5.21</v>
      </c>
      <c r="AL59">
        <f>IF(AL$1&lt;&gt;"",INDEX(Base!$G$1:$G$5000,$A59+AL$1+2),"")</f>
        <v>1.35</v>
      </c>
      <c r="AM59">
        <f>IF(AM$1&lt;&gt;"",INDEX(Base!$G$1:$G$5000,$A59+AM$1+2),"")</f>
        <v>0.1</v>
      </c>
      <c r="AN59">
        <f>IF(AN$1&lt;&gt;"",INDEX(Base!$G$1:$G$5000,$A59+AN$1+2),"")</f>
        <v>0.63</v>
      </c>
      <c r="AO59">
        <f>IF(AO$1&lt;&gt;"",INDEX(Base!$G$1:$G$5000,$A59+AO$1+2),"")</f>
        <v>1.02</v>
      </c>
      <c r="AP59">
        <f>IF(AP$1&lt;&gt;"",INDEX(Base!$G$1:$G$5000,$A59+AP$1+2),"")</f>
        <v>7.0000000000000007E-2</v>
      </c>
      <c r="AQ59">
        <f>IF(AQ$1&lt;&gt;"",INDEX(Base!$G$1:$G$5000,$A59+AQ$1+2),"")</f>
        <v>0.12</v>
      </c>
      <c r="AR59">
        <f>IF(AR$1&lt;&gt;"",INDEX(Base!$G$1:$G$5000,$A59+AR$1+2),"")</f>
        <v>0.12</v>
      </c>
      <c r="AS59">
        <f>IF(AS$1&lt;&gt;"",INDEX(Base!$G$1:$G$5000,$A59+AS$1+2),"")</f>
        <v>0.93</v>
      </c>
      <c r="AT59">
        <f>IF(AT$1&lt;&gt;"",INDEX(Base!$G$1:$G$5000,$A59+AT$1+2),"")</f>
        <v>0.16</v>
      </c>
      <c r="AU59">
        <f>IF(AU$1&lt;&gt;"",INDEX(Base!$G$1:$G$5000,$A59+AU$1+2),"")</f>
        <v>0.1</v>
      </c>
      <c r="AV59">
        <f>IF(AV$1&lt;&gt;"",INDEX(Base!$G$1:$G$5000,$A59+AV$1+2),"")</f>
        <v>0.41</v>
      </c>
      <c r="AW59" s="8">
        <f t="shared" si="0"/>
        <v>3.6744186046511631</v>
      </c>
      <c r="AX59">
        <f>IF(AX$1&lt;&gt;"",INDEX(Base!$R$1:$R$4000,$E59+AX$1+2),"")</f>
        <v>19.25</v>
      </c>
      <c r="AY59">
        <f>IF(AY$1&lt;&gt;"",INDEX(Base!$R$1:$R$2500,$E59+AY$1+2),"")</f>
        <v>258.33999999999997</v>
      </c>
      <c r="AZ59">
        <f>IF(AZ$1&lt;&gt;"",INDEX(Base!$R$1:$R$2500,$E59+AZ$1+2),"")</f>
        <v>0.23</v>
      </c>
      <c r="BA59">
        <f>IF(BA$1&lt;&gt;"",INDEX(Base!$R$1:$R$2500,$E59+BA$1+2),"")</f>
        <v>0.66</v>
      </c>
      <c r="BB59">
        <f>IF(BB$1&lt;&gt;"",INDEX(Base!$R$1:$R$2500,$E59+BB$1+2),"")</f>
        <v>23.18</v>
      </c>
      <c r="BC59">
        <f>IF(BC$1&lt;&gt;"",INDEX(Base!$R$1:$R$2500,$E59+BC$1+2),"")</f>
        <v>1.1299999999999999</v>
      </c>
      <c r="BD59">
        <f>IF(BD$1&lt;&gt;"",INDEX(Base!$R$1:$R$2500,$E59+BD$1+2),"")</f>
        <v>1.81</v>
      </c>
      <c r="BE59">
        <f>IF(BE$1&lt;&gt;"",INDEX(Base!$R$1:$R$2500,$E59+BE$1+2),"")</f>
        <v>42.17</v>
      </c>
      <c r="BF59">
        <f>IF(BF$1&lt;&gt;"",INDEX(Base!$R$1:$R$2500,$E59+BF$1+2),"")</f>
        <v>0.08</v>
      </c>
      <c r="BG59">
        <f>IF(BG$1&lt;&gt;"",INDEX(Base!$R$1:$R$2500,$E59+BG$1+2),"")</f>
        <v>0.1</v>
      </c>
      <c r="BH59">
        <f>IF(BH$1&lt;&gt;"",INDEX(Base!$R$1:$R$2500,$E59+BH$1+2),"")</f>
        <v>0.28000000000000003</v>
      </c>
      <c r="BI59">
        <f>IF(BI$1&lt;&gt;"",INDEX(Base!$R$1:$R$2500,$E59+BI$1+2),"")</f>
        <v>0.1</v>
      </c>
      <c r="BJ59">
        <f>IF(BJ$1&lt;&gt;"",INDEX(Base!$R$1:$R$2500,$E59+BJ$1+2),"")</f>
        <v>15.26</v>
      </c>
      <c r="BK59">
        <f>IF(BK$1&lt;&gt;"",INDEX(Base!$R$1:$R$2500,$E59+BK$1+2),"")</f>
        <v>9.42</v>
      </c>
      <c r="BL59">
        <f>IF(BL$1&lt;&gt;"",INDEX(Base!$R$1:$R$2500,$E59+BL$1+2),"")</f>
        <v>1.44</v>
      </c>
      <c r="BM59">
        <f>IF(BM$1&lt;&gt;"",INDEX(Base!$R$1:$R$2500,$E59+BM$1+2),"")</f>
        <v>0.27</v>
      </c>
      <c r="BN59">
        <f>IF(BN$1&lt;&gt;"",INDEX(Base!$R$1:$R$2500,$E59+BN$1+2),"")</f>
        <v>0.1</v>
      </c>
      <c r="BO59">
        <f>IF(BO$1&lt;&gt;"",INDEX(Base!$R$1:$R$2500,$E59+BO$1+2),"")</f>
        <v>0.08</v>
      </c>
      <c r="BP59">
        <f>IF(BP$1&lt;&gt;"",INDEX(Base!$R$1:$R$2500,$E59+BP$1+2),"")</f>
        <v>2.76</v>
      </c>
      <c r="BQ59">
        <f>IF(BQ$1&lt;&gt;"",INDEX(Base!$R$1:$R$2500,$E59+BQ$1+2),"")</f>
        <v>0.08</v>
      </c>
      <c r="BR59">
        <f>IF(BR$1&lt;&gt;"",INDEX(Base!$R$1:$R$2500,$E59+BR$1+2),"")</f>
        <v>0.19</v>
      </c>
      <c r="BS59">
        <f>IF(BS$1&lt;&gt;"",INDEX(Base!$R$1:$R$2500,$E59+BS$1+2),"")</f>
        <v>1.77</v>
      </c>
      <c r="BT59">
        <f>IF(BT$1&lt;&gt;"",INDEX(Base!$R$1:$R$2500,$E59+BT$1+2),"")</f>
        <v>1.48</v>
      </c>
    </row>
    <row r="60" spans="1:72" x14ac:dyDescent="0.3">
      <c r="A60" s="2">
        <f t="shared" si="3"/>
        <v>2513</v>
      </c>
      <c r="B60" s="3" t="str">
        <f>IFERROR(MID(INDEX(Base!A$1:A$5000,Calcoli!A60),47,LEN(INDEX(Base!A$1:A$5000,Calcoli!A60))-41),"")</f>
        <v/>
      </c>
      <c r="C60" s="5" t="str">
        <f>MID(INDEX(Base!A$1:A$5000,Calcoli!A60),42,4)</f>
        <v/>
      </c>
      <c r="D60" s="5" t="str">
        <f>MID(INDEX(Base!A$1:A$5000,Calcoli!A60),13,11)</f>
        <v xml:space="preserve"> 31_03_2025</v>
      </c>
      <c r="E60" s="4">
        <f t="shared" si="1"/>
        <v>1772</v>
      </c>
      <c r="F60" s="3" t="str">
        <f>IFERROR(MID(INDEX(Base!L$1:L$4000,Calcoli!E60),47,LEN(INDEX(Base!L$1:L$4000,Calcoli!E60))-41),"")</f>
        <v/>
      </c>
      <c r="G60" s="5" t="str">
        <f>MID(INDEX(Base!L$1:L$4000,Calcoli!$E60),42,4)</f>
        <v/>
      </c>
      <c r="H60" s="5" t="str">
        <f>MID(INDEX(Base!L$1:L$4000,Calcoli!E60),13,11)</f>
        <v xml:space="preserve"> 01_04_2025</v>
      </c>
      <c r="I60" s="6" t="str">
        <f xml:space="preserve"> IFERROR(MID(INDEX(Base!$V$3:$AB$60,MATCH($F60,Base!$Z$3:$Z$160,0),1),1,14),"")</f>
        <v/>
      </c>
      <c r="J60" s="6" t="str">
        <f xml:space="preserve"> IFERROR(INDEX(Base!$V$3:$AB$160,MATCH($F60,Base!$Z$3:$Z$160,0),2),"")</f>
        <v/>
      </c>
      <c r="K60" s="6" t="str">
        <f xml:space="preserve"> IFERROR(INDEX(Base!$V$3:$AB$160,MATCH($F60,Base!$Z$3:$Z$160,0),3),"")</f>
        <v/>
      </c>
      <c r="L60" s="28" t="str">
        <f xml:space="preserve"> IFERROR(INDEX(Base!$V$3:$AB$160,MATCH($F60,Base!$Z$3:$Z$160,0),4),"")</f>
        <v/>
      </c>
      <c r="M60">
        <f>IF(M$1&lt;&gt;"",INDEX(Base!$G$1:$G$5000,$A60+M$1+2),"")</f>
        <v>0.1</v>
      </c>
      <c r="N60">
        <f>IF(N$1&lt;&gt;"",INDEX(Base!$G$1:$G$5000,$A60+N$1+2),"")</f>
        <v>5.17</v>
      </c>
      <c r="O60">
        <f>IF(O$1&lt;&gt;"",INDEX(Base!$G$1:$G$5000,$A60+O$1+2),"")</f>
        <v>0.37</v>
      </c>
      <c r="P60">
        <f>IF(P$1&lt;&gt;"",INDEX(Base!$G$1:$G$5000,$A60+P$1+2),"")</f>
        <v>0.84</v>
      </c>
      <c r="Q60">
        <f>IF(Q$1&lt;&gt;"",INDEX(Base!$G$1:$G$5000,$A60+Q$1+2),"")</f>
        <v>0.1</v>
      </c>
      <c r="R60">
        <f>IF(R$1&lt;&gt;"",INDEX(Base!$G$1:$G$5000,$A60+R$1+2),"")</f>
        <v>2.2999999999999998</v>
      </c>
      <c r="S60">
        <f>IF(S$1&lt;&gt;"",INDEX(Base!$G$1:$G$5000,$A60+S$1+2),"")</f>
        <v>0.08</v>
      </c>
      <c r="T60">
        <f>IF(T$1&lt;&gt;"",INDEX(Base!$G$1:$G$5000,$A60+T$1+2),"")</f>
        <v>0.1</v>
      </c>
      <c r="U60">
        <f>IF(U$1&lt;&gt;"",INDEX(Base!$G$1:$G$5000,$A60+U$1+2),"")</f>
        <v>2.33</v>
      </c>
      <c r="V60">
        <f>IF(V$1&lt;&gt;"",INDEX(Base!$G$1:$G$5000,$A60+V$1+2),"")</f>
        <v>1.01</v>
      </c>
      <c r="W60">
        <f>IF(W$1&lt;&gt;"",INDEX(Base!$G$1:$G$5000,$A60+W$1+2),"")</f>
        <v>0.1</v>
      </c>
      <c r="X60">
        <f>IF(X$1&lt;&gt;"",INDEX(Base!$G$1:$G$5000,$A60+X$1+2),"")</f>
        <v>2.76</v>
      </c>
      <c r="Y60">
        <f>IF(Y$1&lt;&gt;"",INDEX(Base!$G$1:$G$5000,$A60+Y$1+2),"")</f>
        <v>0.1</v>
      </c>
      <c r="Z60">
        <f>IF(Z$1&lt;&gt;"",INDEX(Base!$G$1:$G$5000,$A60+Z$1+2),"")</f>
        <v>0.1</v>
      </c>
      <c r="AA60">
        <f>IF(AA$1&lt;&gt;"",INDEX(Base!$G$1:$G$5000,$A60+AA$1+2),"")</f>
        <v>0.1</v>
      </c>
      <c r="AB60">
        <f>IF(AB$1&lt;&gt;"",INDEX(Base!$G$1:$G$5000,$A60+AB$1+2),"")</f>
        <v>0.1</v>
      </c>
      <c r="AC60">
        <f>IF(AC$1&lt;&gt;"",INDEX(Base!$G$1:$G$5000,$A60+AC$1+2),"")</f>
        <v>3.24</v>
      </c>
      <c r="AD60">
        <f>IF(AD$1&lt;&gt;"",INDEX(Base!$G$1:$G$5000,$A60+AD$1+2),"")</f>
        <v>10.32</v>
      </c>
      <c r="AE60">
        <f>IF(AE$1&lt;&gt;"",INDEX(Base!$G$1:$G$5000,$A60+AE$1+2),"")</f>
        <v>0.3</v>
      </c>
      <c r="AF60">
        <f>IF(AF$1&lt;&gt;"",INDEX(Base!$G$1:$G$5000,$A60+AF$1+2),"")</f>
        <v>1.1299999999999999</v>
      </c>
      <c r="AG60">
        <f>IF(AG$1&lt;&gt;"",INDEX(Base!$G$1:$G$5000,$A60+AG$1+2),"")</f>
        <v>7.0000000000000007E-2</v>
      </c>
      <c r="AH60">
        <f>IF(AH$1&lt;&gt;"",INDEX(Base!$G$1:$G$5000,$A60+AH$1+2),"")</f>
        <v>5.83</v>
      </c>
      <c r="AI60">
        <f>IF(AI$1&lt;&gt;"",INDEX(Base!$G$1:$G$5000,$A60+AI$1+2),"")</f>
        <v>0.81</v>
      </c>
      <c r="AJ60">
        <f>IF(AJ$1&lt;&gt;"",INDEX(Base!$G$1:$G$5000,$A60+AJ$1+2),"")</f>
        <v>0.1</v>
      </c>
      <c r="AK60">
        <f>IF(AK$1&lt;&gt;"",INDEX(Base!$G$1:$G$5000,$A60+AK$1+2),"")</f>
        <v>23.71</v>
      </c>
      <c r="AL60">
        <f>IF(AL$1&lt;&gt;"",INDEX(Base!$G$1:$G$5000,$A60+AL$1+2),"")</f>
        <v>0.1</v>
      </c>
      <c r="AM60">
        <f>IF(AM$1&lt;&gt;"",INDEX(Base!$G$1:$G$5000,$A60+AM$1+2),"")</f>
        <v>0.1</v>
      </c>
      <c r="AN60">
        <f>IF(AN$1&lt;&gt;"",INDEX(Base!$G$1:$G$5000,$A60+AN$1+2),"")</f>
        <v>0.1</v>
      </c>
      <c r="AO60">
        <f>IF(AO$1&lt;&gt;"",INDEX(Base!$G$1:$G$5000,$A60+AO$1+2),"")</f>
        <v>0.1</v>
      </c>
      <c r="AP60">
        <f>IF(AP$1&lt;&gt;"",INDEX(Base!$G$1:$G$5000,$A60+AP$1+2),"")</f>
        <v>0.15</v>
      </c>
      <c r="AQ60">
        <f>IF(AQ$1&lt;&gt;"",INDEX(Base!$G$1:$G$5000,$A60+AQ$1+2),"")</f>
        <v>0.1</v>
      </c>
      <c r="AR60">
        <f>IF(AR$1&lt;&gt;"",INDEX(Base!$G$1:$G$5000,$A60+AR$1+2),"")</f>
        <v>0.1</v>
      </c>
      <c r="AS60">
        <f>IF(AS$1&lt;&gt;"",INDEX(Base!$G$1:$G$5000,$A60+AS$1+2),"")</f>
        <v>3.36</v>
      </c>
      <c r="AT60">
        <f>IF(AT$1&lt;&gt;"",INDEX(Base!$G$1:$G$5000,$A60+AT$1+2),"")</f>
        <v>0.12</v>
      </c>
      <c r="AU60">
        <f>IF(AU$1&lt;&gt;"",INDEX(Base!$G$1:$G$5000,$A60+AU$1+2),"")</f>
        <v>0.1</v>
      </c>
      <c r="AV60">
        <f>IF(AV$1&lt;&gt;"",INDEX(Base!$G$1:$G$5000,$A60+AV$1+2),"")</f>
        <v>7.0000000000000007E-2</v>
      </c>
      <c r="AW60" s="8">
        <f t="shared" si="0"/>
        <v>1</v>
      </c>
      <c r="AX60">
        <f>IF(AX$1&lt;&gt;"",INDEX(Base!$R$1:$R$4000,$E60+AX$1+2),"")</f>
        <v>0.1</v>
      </c>
      <c r="AY60">
        <f>IF(AY$1&lt;&gt;"",INDEX(Base!$R$1:$R$2500,$E60+AY$1+2),"")</f>
        <v>427.82</v>
      </c>
      <c r="AZ60">
        <f>IF(AZ$1&lt;&gt;"",INDEX(Base!$R$1:$R$2500,$E60+AZ$1+2),"")</f>
        <v>0.1</v>
      </c>
      <c r="BA60">
        <f>IF(BA$1&lt;&gt;"",INDEX(Base!$R$1:$R$2500,$E60+BA$1+2),"")</f>
        <v>0.85</v>
      </c>
      <c r="BB60">
        <f>IF(BB$1&lt;&gt;"",INDEX(Base!$R$1:$R$2500,$E60+BB$1+2),"")</f>
        <v>45.93</v>
      </c>
      <c r="BC60">
        <f>IF(BC$1&lt;&gt;"",INDEX(Base!$R$1:$R$2500,$E60+BC$1+2),"")</f>
        <v>0.1</v>
      </c>
      <c r="BD60">
        <f>IF(BD$1&lt;&gt;"",INDEX(Base!$R$1:$R$2500,$E60+BD$1+2),"")</f>
        <v>0.1</v>
      </c>
      <c r="BE60">
        <f>IF(BE$1&lt;&gt;"",INDEX(Base!$R$1:$R$2500,$E60+BE$1+2),"")</f>
        <v>0.1</v>
      </c>
      <c r="BF60">
        <f>IF(BF$1&lt;&gt;"",INDEX(Base!$R$1:$R$2500,$E60+BF$1+2),"")</f>
        <v>0.11</v>
      </c>
      <c r="BG60">
        <f>IF(BG$1&lt;&gt;"",INDEX(Base!$R$1:$R$2500,$E60+BG$1+2),"")</f>
        <v>0.1</v>
      </c>
      <c r="BH60">
        <f>IF(BH$1&lt;&gt;"",INDEX(Base!$R$1:$R$2500,$E60+BH$1+2),"")</f>
        <v>0.1</v>
      </c>
      <c r="BI60">
        <f>IF(BI$1&lt;&gt;"",INDEX(Base!$R$1:$R$2500,$E60+BI$1+2),"")</f>
        <v>0.1</v>
      </c>
      <c r="BJ60">
        <f>IF(BJ$1&lt;&gt;"",INDEX(Base!$R$1:$R$2500,$E60+BJ$1+2),"")</f>
        <v>0.1</v>
      </c>
      <c r="BK60">
        <f>IF(BK$1&lt;&gt;"",INDEX(Base!$R$1:$R$2500,$E60+BK$1+2),"")</f>
        <v>0.1</v>
      </c>
      <c r="BL60">
        <f>IF(BL$1&lt;&gt;"",INDEX(Base!$R$1:$R$2500,$E60+BL$1+2),"")</f>
        <v>0.1</v>
      </c>
      <c r="BM60">
        <f>IF(BM$1&lt;&gt;"",INDEX(Base!$R$1:$R$2500,$E60+BM$1+2),"")</f>
        <v>0.1</v>
      </c>
      <c r="BN60">
        <f>IF(BN$1&lt;&gt;"",INDEX(Base!$R$1:$R$2500,$E60+BN$1+2),"")</f>
        <v>0.1</v>
      </c>
      <c r="BO60">
        <f>IF(BO$1&lt;&gt;"",INDEX(Base!$R$1:$R$2500,$E60+BO$1+2),"")</f>
        <v>0.1</v>
      </c>
      <c r="BP60">
        <f>IF(BP$1&lt;&gt;"",INDEX(Base!$R$1:$R$2500,$E60+BP$1+2),"")</f>
        <v>0.1</v>
      </c>
      <c r="BQ60">
        <f>IF(BQ$1&lt;&gt;"",INDEX(Base!$R$1:$R$2500,$E60+BQ$1+2),"")</f>
        <v>0.1</v>
      </c>
      <c r="BR60">
        <f>IF(BR$1&lt;&gt;"",INDEX(Base!$R$1:$R$2500,$E60+BR$1+2),"")</f>
        <v>0.1</v>
      </c>
      <c r="BS60">
        <f>IF(BS$1&lt;&gt;"",INDEX(Base!$R$1:$R$2500,$E60+BS$1+2),"")</f>
        <v>0.1</v>
      </c>
      <c r="BT60">
        <f>IF(BT$1&lt;&gt;"",INDEX(Base!$R$1:$R$2500,$E60+BT$1+2),"")</f>
        <v>2.13</v>
      </c>
    </row>
    <row r="61" spans="1:72" x14ac:dyDescent="0.3">
      <c r="A61" s="2">
        <f t="shared" si="3"/>
        <v>2557</v>
      </c>
      <c r="B61" s="3" t="str">
        <f>IFERROR(MID(INDEX(Base!A$1:A$5000,Calcoli!A61),47,LEN(INDEX(Base!A$1:A$5000,Calcoli!A61))-41),"")</f>
        <v>ROSSI ELENA</v>
      </c>
      <c r="C61" s="5" t="str">
        <f>MID(INDEX(Base!A$1:A$5000,Calcoli!A61),42,4)</f>
        <v>1890</v>
      </c>
      <c r="D61" s="5" t="str">
        <f>MID(INDEX(Base!A$1:A$5000,Calcoli!A61),13,11)</f>
        <v xml:space="preserve"> 31_03_2025</v>
      </c>
      <c r="E61" s="4">
        <f t="shared" si="1"/>
        <v>1803</v>
      </c>
      <c r="F61" s="3" t="str">
        <f>IFERROR(MID(INDEX(Base!L$1:L$4000,Calcoli!E61),47,LEN(INDEX(Base!L$1:L$4000,Calcoli!E61))-41),"")</f>
        <v>ROSSI ELENA</v>
      </c>
      <c r="G61" s="5" t="str">
        <f>MID(INDEX(Base!L$1:L$4000,Calcoli!$E61),42,4)</f>
        <v>1890</v>
      </c>
      <c r="H61" s="5" t="str">
        <f>MID(INDEX(Base!L$1:L$4000,Calcoli!E61),13,11)</f>
        <v xml:space="preserve"> 01_04_2025</v>
      </c>
      <c r="I61" s="6" t="str">
        <f xml:space="preserve"> IFERROR(MID(INDEX(Base!$V$3:$AB$60,MATCH($F61,Base!$Z$3:$Z$160,0),1),1,14),"")</f>
        <v>1890 ROSSI ELE</v>
      </c>
      <c r="J61" s="6">
        <f xml:space="preserve"> IFERROR(INDEX(Base!$V$3:$AB$160,MATCH($F61,Base!$Z$3:$Z$160,0),2),"")</f>
        <v>171.51515151515153</v>
      </c>
      <c r="K61" s="6">
        <f xml:space="preserve"> IFERROR(INDEX(Base!$V$3:$AB$160,MATCH($F61,Base!$Z$3:$Z$160,0),3),"")</f>
        <v>21.508422019891796</v>
      </c>
      <c r="L61" s="28">
        <f xml:space="preserve"> IFERROR(INDEX(Base!$V$3:$AB$160,MATCH($F61,Base!$Z$3:$Z$160,0),4),"")</f>
        <v>33.555825242718448</v>
      </c>
      <c r="M61">
        <f>IF(M$1&lt;&gt;"",INDEX(Base!$G$1:$G$5000,$A61+M$1+2),"")</f>
        <v>27.2</v>
      </c>
      <c r="N61">
        <f>IF(N$1&lt;&gt;"",INDEX(Base!$G$1:$G$5000,$A61+N$1+2),"")</f>
        <v>12.03</v>
      </c>
      <c r="O61">
        <f>IF(O$1&lt;&gt;"",INDEX(Base!$G$1:$G$5000,$A61+O$1+2),"")</f>
        <v>0.14000000000000001</v>
      </c>
      <c r="P61">
        <f>IF(P$1&lt;&gt;"",INDEX(Base!$G$1:$G$5000,$A61+P$1+2),"")</f>
        <v>1.4</v>
      </c>
      <c r="Q61">
        <f>IF(Q$1&lt;&gt;"",INDEX(Base!$G$1:$G$5000,$A61+Q$1+2),"")</f>
        <v>0.06</v>
      </c>
      <c r="R61">
        <f>IF(R$1&lt;&gt;"",INDEX(Base!$G$1:$G$5000,$A61+R$1+2),"")</f>
        <v>4.62</v>
      </c>
      <c r="S61">
        <f>IF(S$1&lt;&gt;"",INDEX(Base!$G$1:$G$5000,$A61+S$1+2),"")</f>
        <v>0.18</v>
      </c>
      <c r="T61">
        <f>IF(T$1&lt;&gt;"",INDEX(Base!$G$1:$G$5000,$A61+T$1+2),"")</f>
        <v>23.39</v>
      </c>
      <c r="U61">
        <f>IF(U$1&lt;&gt;"",INDEX(Base!$G$1:$G$5000,$A61+U$1+2),"")</f>
        <v>0.49</v>
      </c>
      <c r="V61">
        <f>IF(V$1&lt;&gt;"",INDEX(Base!$G$1:$G$5000,$A61+V$1+2),"")</f>
        <v>0.09</v>
      </c>
      <c r="W61">
        <f>IF(W$1&lt;&gt;"",INDEX(Base!$G$1:$G$5000,$A61+W$1+2),"")</f>
        <v>2.37</v>
      </c>
      <c r="X61">
        <f>IF(X$1&lt;&gt;"",INDEX(Base!$G$1:$G$5000,$A61+X$1+2),"")</f>
        <v>1.77</v>
      </c>
      <c r="Y61">
        <f>IF(Y$1&lt;&gt;"",INDEX(Base!$G$1:$G$5000,$A61+Y$1+2),"")</f>
        <v>4.99</v>
      </c>
      <c r="Z61">
        <f>IF(Z$1&lt;&gt;"",INDEX(Base!$G$1:$G$5000,$A61+Z$1+2),"")</f>
        <v>1.31</v>
      </c>
      <c r="AA61">
        <f>IF(AA$1&lt;&gt;"",INDEX(Base!$G$1:$G$5000,$A61+AA$1+2),"")</f>
        <v>1.83</v>
      </c>
      <c r="AB61">
        <f>IF(AB$1&lt;&gt;"",INDEX(Base!$G$1:$G$5000,$A61+AB$1+2),"")</f>
        <v>2.3199999999999998</v>
      </c>
      <c r="AC61">
        <f>IF(AC$1&lt;&gt;"",INDEX(Base!$G$1:$G$5000,$A61+AC$1+2),"")</f>
        <v>2.52</v>
      </c>
      <c r="AD61">
        <f>IF(AD$1&lt;&gt;"",INDEX(Base!$G$1:$G$5000,$A61+AD$1+2),"")</f>
        <v>14.25</v>
      </c>
      <c r="AE61">
        <f>IF(AE$1&lt;&gt;"",INDEX(Base!$G$1:$G$5000,$A61+AE$1+2),"")</f>
        <v>0.06</v>
      </c>
      <c r="AF61">
        <f>IF(AF$1&lt;&gt;"",INDEX(Base!$G$1:$G$5000,$A61+AF$1+2),"")</f>
        <v>7.85</v>
      </c>
      <c r="AG61">
        <f>IF(AG$1&lt;&gt;"",INDEX(Base!$G$1:$G$5000,$A61+AG$1+2),"")</f>
        <v>0.74</v>
      </c>
      <c r="AH61">
        <f>IF(AH$1&lt;&gt;"",INDEX(Base!$G$1:$G$5000,$A61+AH$1+2),"")</f>
        <v>4</v>
      </c>
      <c r="AI61">
        <f>IF(AI$1&lt;&gt;"",INDEX(Base!$G$1:$G$5000,$A61+AI$1+2),"")</f>
        <v>1.41</v>
      </c>
      <c r="AJ61">
        <f>IF(AJ$1&lt;&gt;"",INDEX(Base!$G$1:$G$5000,$A61+AJ$1+2),"")</f>
        <v>0.12</v>
      </c>
      <c r="AK61">
        <f>IF(AK$1&lt;&gt;"",INDEX(Base!$G$1:$G$5000,$A61+AK$1+2),"")</f>
        <v>2.5099999999999998</v>
      </c>
      <c r="AL61">
        <f>IF(AL$1&lt;&gt;"",INDEX(Base!$G$1:$G$5000,$A61+AL$1+2),"")</f>
        <v>21.48</v>
      </c>
      <c r="AM61">
        <f>IF(AM$1&lt;&gt;"",INDEX(Base!$G$1:$G$5000,$A61+AM$1+2),"")</f>
        <v>0.3</v>
      </c>
      <c r="AN61">
        <f>IF(AN$1&lt;&gt;"",INDEX(Base!$G$1:$G$5000,$A61+AN$1+2),"")</f>
        <v>1.44</v>
      </c>
      <c r="AO61">
        <f>IF(AO$1&lt;&gt;"",INDEX(Base!$G$1:$G$5000,$A61+AO$1+2),"")</f>
        <v>2.41</v>
      </c>
      <c r="AP61">
        <f>IF(AP$1&lt;&gt;"",INDEX(Base!$G$1:$G$5000,$A61+AP$1+2),"")</f>
        <v>0.28000000000000003</v>
      </c>
      <c r="AQ61">
        <f>IF(AQ$1&lt;&gt;"",INDEX(Base!$G$1:$G$5000,$A61+AQ$1+2),"")</f>
        <v>0.5</v>
      </c>
      <c r="AR61">
        <f>IF(AR$1&lt;&gt;"",INDEX(Base!$G$1:$G$5000,$A61+AR$1+2),"")</f>
        <v>0.11</v>
      </c>
      <c r="AS61">
        <f>IF(AS$1&lt;&gt;"",INDEX(Base!$G$1:$G$5000,$A61+AS$1+2),"")</f>
        <v>0.47</v>
      </c>
      <c r="AT61">
        <f>IF(AT$1&lt;&gt;"",INDEX(Base!$G$1:$G$5000,$A61+AT$1+2),"")</f>
        <v>0.3</v>
      </c>
      <c r="AU61">
        <f>IF(AU$1&lt;&gt;"",INDEX(Base!$G$1:$G$5000,$A61+AU$1+2),"")</f>
        <v>0.12</v>
      </c>
      <c r="AV61">
        <f>IF(AV$1&lt;&gt;"",INDEX(Base!$G$1:$G$5000,$A61+AV$1+2),"")</f>
        <v>1.81</v>
      </c>
      <c r="AW61" s="8">
        <f t="shared" si="0"/>
        <v>0.56465517241379315</v>
      </c>
      <c r="AX61">
        <f>IF(AX$1&lt;&gt;"",INDEX(Base!$R$1:$R$4000,$E61+AX$1+2),"")</f>
        <v>5.92</v>
      </c>
      <c r="AY61">
        <f>IF(AY$1&lt;&gt;"",INDEX(Base!$R$1:$R$2500,$E61+AY$1+2),"")</f>
        <v>199.35</v>
      </c>
      <c r="AZ61">
        <f>IF(AZ$1&lt;&gt;"",INDEX(Base!$R$1:$R$2500,$E61+AZ$1+2),"")</f>
        <v>0.28000000000000003</v>
      </c>
      <c r="BA61">
        <f>IF(BA$1&lt;&gt;"",INDEX(Base!$R$1:$R$2500,$E61+BA$1+2),"")</f>
        <v>0.91</v>
      </c>
      <c r="BB61">
        <f>IF(BB$1&lt;&gt;"",INDEX(Base!$R$1:$R$2500,$E61+BB$1+2),"")</f>
        <v>51.7</v>
      </c>
      <c r="BC61">
        <f>IF(BC$1&lt;&gt;"",INDEX(Base!$R$1:$R$2500,$E61+BC$1+2),"")</f>
        <v>2.23</v>
      </c>
      <c r="BD61">
        <f>IF(BD$1&lt;&gt;"",INDEX(Base!$R$1:$R$2500,$E61+BD$1+2),"")</f>
        <v>5.27</v>
      </c>
      <c r="BE61">
        <f>IF(BE$1&lt;&gt;"",INDEX(Base!$R$1:$R$2500,$E61+BE$1+2),"")</f>
        <v>13.64</v>
      </c>
      <c r="BF61">
        <f>IF(BF$1&lt;&gt;"",INDEX(Base!$R$1:$R$2500,$E61+BF$1+2),"")</f>
        <v>0.28000000000000003</v>
      </c>
      <c r="BG61">
        <f>IF(BG$1&lt;&gt;"",INDEX(Base!$R$1:$R$2500,$E61+BG$1+2),"")</f>
        <v>0.28999999999999998</v>
      </c>
      <c r="BH61">
        <f>IF(BH$1&lt;&gt;"",INDEX(Base!$R$1:$R$2500,$E61+BH$1+2),"")</f>
        <v>0.28000000000000003</v>
      </c>
      <c r="BI61">
        <f>IF(BI$1&lt;&gt;"",INDEX(Base!$R$1:$R$2500,$E61+BI$1+2),"")</f>
        <v>31.36</v>
      </c>
      <c r="BJ61">
        <f>IF(BJ$1&lt;&gt;"",INDEX(Base!$R$1:$R$2500,$E61+BJ$1+2),"")</f>
        <v>13.96</v>
      </c>
      <c r="BK61">
        <f>IF(BK$1&lt;&gt;"",INDEX(Base!$R$1:$R$2500,$E61+BK$1+2),"")</f>
        <v>7.47</v>
      </c>
      <c r="BL61">
        <f>IF(BL$1&lt;&gt;"",INDEX(Base!$R$1:$R$2500,$E61+BL$1+2),"")</f>
        <v>3.39</v>
      </c>
      <c r="BM61">
        <f>IF(BM$1&lt;&gt;"",INDEX(Base!$R$1:$R$2500,$E61+BM$1+2),"")</f>
        <v>1.1100000000000001</v>
      </c>
      <c r="BN61">
        <f>IF(BN$1&lt;&gt;"",INDEX(Base!$R$1:$R$2500,$E61+BN$1+2),"")</f>
        <v>0.12</v>
      </c>
      <c r="BO61">
        <f>IF(BO$1&lt;&gt;"",INDEX(Base!$R$1:$R$2500,$E61+BO$1+2),"")</f>
        <v>0.17</v>
      </c>
      <c r="BP61">
        <f>IF(BP$1&lt;&gt;"",INDEX(Base!$R$1:$R$2500,$E61+BP$1+2),"")</f>
        <v>1.65</v>
      </c>
      <c r="BQ61">
        <f>IF(BQ$1&lt;&gt;"",INDEX(Base!$R$1:$R$2500,$E61+BQ$1+2),"")</f>
        <v>0.34</v>
      </c>
      <c r="BR61">
        <f>IF(BR$1&lt;&gt;"",INDEX(Base!$R$1:$R$2500,$E61+BR$1+2),"")</f>
        <v>0.13</v>
      </c>
      <c r="BS61">
        <f>IF(BS$1&lt;&gt;"",INDEX(Base!$R$1:$R$2500,$E61+BS$1+2),"")</f>
        <v>1.1000000000000001</v>
      </c>
      <c r="BT61">
        <f>IF(BT$1&lt;&gt;"",INDEX(Base!$R$1:$R$2500,$E61+BT$1+2),"")</f>
        <v>2.92</v>
      </c>
    </row>
    <row r="62" spans="1:72" x14ac:dyDescent="0.3">
      <c r="A62" s="2">
        <f t="shared" si="3"/>
        <v>2601</v>
      </c>
      <c r="B62" s="3" t="str">
        <f>IFERROR(MID(INDEX(Base!A$1:A$5000,Calcoli!A62),47,LEN(INDEX(Base!A$1:A$5000,Calcoli!A62))-41),"")</f>
        <v>PEDRONI PACCHIONI BEATRICE</v>
      </c>
      <c r="C62" s="5" t="str">
        <f>MID(INDEX(Base!A$1:A$5000,Calcoli!A62),42,4)</f>
        <v>1908</v>
      </c>
      <c r="D62" s="5" t="str">
        <f>MID(INDEX(Base!A$1:A$5000,Calcoli!A62),13,11)</f>
        <v xml:space="preserve"> 31_03_2025</v>
      </c>
      <c r="E62" s="4">
        <f t="shared" si="1"/>
        <v>1834</v>
      </c>
      <c r="F62" s="3" t="str">
        <f>IFERROR(MID(INDEX(Base!L$1:L$4000,Calcoli!E62),47,LEN(INDEX(Base!L$1:L$4000,Calcoli!E62))-41),"")</f>
        <v>PEDRONI PACCHIONI BEATRICE</v>
      </c>
      <c r="G62" s="5" t="str">
        <f>MID(INDEX(Base!L$1:L$4000,Calcoli!$E62),42,4)</f>
        <v>1908</v>
      </c>
      <c r="H62" s="5" t="str">
        <f>MID(INDEX(Base!L$1:L$4000,Calcoli!E62),13,11)</f>
        <v xml:space="preserve"> 01_04_2025</v>
      </c>
      <c r="I62" s="6" t="str">
        <f xml:space="preserve"> IFERROR(MID(INDEX(Base!$V$3:$AB$60,MATCH($F62,Base!$Z$3:$Z$160,0),1),1,14),"")</f>
        <v>1908 PEDRONI P</v>
      </c>
      <c r="J62" s="6">
        <f xml:space="preserve"> IFERROR(INDEX(Base!$V$3:$AB$160,MATCH($F62,Base!$Z$3:$Z$160,0),2),"")</f>
        <v>82.58064516129032</v>
      </c>
      <c r="K62" s="6">
        <f xml:space="preserve"> IFERROR(INDEX(Base!$V$3:$AB$160,MATCH($F62,Base!$Z$3:$Z$160,0),3),"")</f>
        <v>38.451615463999367</v>
      </c>
      <c r="L62" s="28">
        <f xml:space="preserve"> IFERROR(INDEX(Base!$V$3:$AB$160,MATCH($F62,Base!$Z$3:$Z$160,0),4),"")</f>
        <v>51.140776699029125</v>
      </c>
      <c r="M62">
        <f>IF(M$1&lt;&gt;"",INDEX(Base!$G$1:$G$5000,$A62+M$1+2),"")</f>
        <v>60.77</v>
      </c>
      <c r="N62">
        <f>IF(N$1&lt;&gt;"",INDEX(Base!$G$1:$G$5000,$A62+N$1+2),"")</f>
        <v>5.54</v>
      </c>
      <c r="O62">
        <f>IF(O$1&lt;&gt;"",INDEX(Base!$G$1:$G$5000,$A62+O$1+2),"")</f>
        <v>0.49</v>
      </c>
      <c r="P62">
        <f>IF(P$1&lt;&gt;"",INDEX(Base!$G$1:$G$5000,$A62+P$1+2),"")</f>
        <v>0.96</v>
      </c>
      <c r="Q62">
        <f>IF(Q$1&lt;&gt;"",INDEX(Base!$G$1:$G$5000,$A62+Q$1+2),"")</f>
        <v>0.1</v>
      </c>
      <c r="R62">
        <f>IF(R$1&lt;&gt;"",INDEX(Base!$G$1:$G$5000,$A62+R$1+2),"")</f>
        <v>2.33</v>
      </c>
      <c r="S62">
        <f>IF(S$1&lt;&gt;"",INDEX(Base!$G$1:$G$5000,$A62+S$1+2),"")</f>
        <v>0.5</v>
      </c>
      <c r="T62">
        <f>IF(T$1&lt;&gt;"",INDEX(Base!$G$1:$G$5000,$A62+T$1+2),"")</f>
        <v>37.03</v>
      </c>
      <c r="U62">
        <f>IF(U$1&lt;&gt;"",INDEX(Base!$G$1:$G$5000,$A62+U$1+2),"")</f>
        <v>0.98</v>
      </c>
      <c r="V62">
        <f>IF(V$1&lt;&gt;"",INDEX(Base!$G$1:$G$5000,$A62+V$1+2),"")</f>
        <v>0.1</v>
      </c>
      <c r="W62">
        <f>IF(W$1&lt;&gt;"",INDEX(Base!$G$1:$G$5000,$A62+W$1+2),"")</f>
        <v>3.07</v>
      </c>
      <c r="X62">
        <f>IF(X$1&lt;&gt;"",INDEX(Base!$G$1:$G$5000,$A62+X$1+2),"")</f>
        <v>2.76</v>
      </c>
      <c r="Y62">
        <f>IF(Y$1&lt;&gt;"",INDEX(Base!$G$1:$G$5000,$A62+Y$1+2),"")</f>
        <v>6.57</v>
      </c>
      <c r="Z62">
        <f>IF(Z$1&lt;&gt;"",INDEX(Base!$G$1:$G$5000,$A62+Z$1+2),"")</f>
        <v>2.35</v>
      </c>
      <c r="AA62">
        <f>IF(AA$1&lt;&gt;"",INDEX(Base!$G$1:$G$5000,$A62+AA$1+2),"")</f>
        <v>2.13</v>
      </c>
      <c r="AB62">
        <f>IF(AB$1&lt;&gt;"",INDEX(Base!$G$1:$G$5000,$A62+AB$1+2),"")</f>
        <v>1.57</v>
      </c>
      <c r="AC62">
        <f>IF(AC$1&lt;&gt;"",INDEX(Base!$G$1:$G$5000,$A62+AC$1+2),"")</f>
        <v>4.54</v>
      </c>
      <c r="AD62">
        <f>IF(AD$1&lt;&gt;"",INDEX(Base!$G$1:$G$5000,$A62+AD$1+2),"")</f>
        <v>16.190000000000001</v>
      </c>
      <c r="AE62">
        <f>IF(AE$1&lt;&gt;"",INDEX(Base!$G$1:$G$5000,$A62+AE$1+2),"")</f>
        <v>0.14000000000000001</v>
      </c>
      <c r="AF62">
        <f>IF(AF$1&lt;&gt;"",INDEX(Base!$G$1:$G$5000,$A62+AF$1+2),"")</f>
        <v>2.57</v>
      </c>
      <c r="AG62">
        <f>IF(AG$1&lt;&gt;"",INDEX(Base!$G$1:$G$5000,$A62+AG$1+2),"")</f>
        <v>0.5</v>
      </c>
      <c r="AH62">
        <f>IF(AH$1&lt;&gt;"",INDEX(Base!$G$1:$G$5000,$A62+AH$1+2),"")</f>
        <v>6.09</v>
      </c>
      <c r="AI62">
        <f>IF(AI$1&lt;&gt;"",INDEX(Base!$G$1:$G$5000,$A62+AI$1+2),"")</f>
        <v>1.53</v>
      </c>
      <c r="AJ62">
        <f>IF(AJ$1&lt;&gt;"",INDEX(Base!$G$1:$G$5000,$A62+AJ$1+2),"")</f>
        <v>0.1</v>
      </c>
      <c r="AK62">
        <f>IF(AK$1&lt;&gt;"",INDEX(Base!$G$1:$G$5000,$A62+AK$1+2),"")</f>
        <v>4.33</v>
      </c>
      <c r="AL62">
        <f>IF(AL$1&lt;&gt;"",INDEX(Base!$G$1:$G$5000,$A62+AL$1+2),"")</f>
        <v>5.72</v>
      </c>
      <c r="AM62">
        <f>IF(AM$1&lt;&gt;"",INDEX(Base!$G$1:$G$5000,$A62+AM$1+2),"")</f>
        <v>0.1</v>
      </c>
      <c r="AN62">
        <f>IF(AN$1&lt;&gt;"",INDEX(Base!$G$1:$G$5000,$A62+AN$1+2),"")</f>
        <v>0.28000000000000003</v>
      </c>
      <c r="AO62">
        <f>IF(AO$1&lt;&gt;"",INDEX(Base!$G$1:$G$5000,$A62+AO$1+2),"")</f>
        <v>1.89</v>
      </c>
      <c r="AP62">
        <f>IF(AP$1&lt;&gt;"",INDEX(Base!$G$1:$G$5000,$A62+AP$1+2),"")</f>
        <v>0.06</v>
      </c>
      <c r="AQ62">
        <f>IF(AQ$1&lt;&gt;"",INDEX(Base!$G$1:$G$5000,$A62+AQ$1+2),"")</f>
        <v>0.51</v>
      </c>
      <c r="AR62">
        <f>IF(AR$1&lt;&gt;"",INDEX(Base!$G$1:$G$5000,$A62+AR$1+2),"")</f>
        <v>0.1</v>
      </c>
      <c r="AS62">
        <f>IF(AS$1&lt;&gt;"",INDEX(Base!$G$1:$G$5000,$A62+AS$1+2),"")</f>
        <v>0.88</v>
      </c>
      <c r="AT62">
        <f>IF(AT$1&lt;&gt;"",INDEX(Base!$G$1:$G$5000,$A62+AT$1+2),"")</f>
        <v>0.09</v>
      </c>
      <c r="AU62">
        <f>IF(AU$1&lt;&gt;"",INDEX(Base!$G$1:$G$5000,$A62+AU$1+2),"")</f>
        <v>0.13</v>
      </c>
      <c r="AV62">
        <f>IF(AV$1&lt;&gt;"",INDEX(Base!$G$1:$G$5000,$A62+AV$1+2),"")</f>
        <v>2.0499999999999998</v>
      </c>
      <c r="AW62" s="8">
        <f t="shared" si="0"/>
        <v>1.4968152866242037</v>
      </c>
      <c r="AX62">
        <f>IF(AX$1&lt;&gt;"",INDEX(Base!$R$1:$R$4000,$E62+AX$1+2),"")</f>
        <v>11.41</v>
      </c>
      <c r="AY62">
        <f>IF(AY$1&lt;&gt;"",INDEX(Base!$R$1:$R$2500,$E62+AY$1+2),"")</f>
        <v>367.43</v>
      </c>
      <c r="AZ62">
        <f>IF(AZ$1&lt;&gt;"",INDEX(Base!$R$1:$R$2500,$E62+AZ$1+2),"")</f>
        <v>0.27</v>
      </c>
      <c r="BA62">
        <f>IF(BA$1&lt;&gt;"",INDEX(Base!$R$1:$R$2500,$E62+BA$1+2),"")</f>
        <v>1.75</v>
      </c>
      <c r="BB62">
        <f>IF(BB$1&lt;&gt;"",INDEX(Base!$R$1:$R$2500,$E62+BB$1+2),"")</f>
        <v>89.91</v>
      </c>
      <c r="BC62">
        <f>IF(BC$1&lt;&gt;"",INDEX(Base!$R$1:$R$2500,$E62+BC$1+2),"")</f>
        <v>1.41</v>
      </c>
      <c r="BD62">
        <f>IF(BD$1&lt;&gt;"",INDEX(Base!$R$1:$R$2500,$E62+BD$1+2),"")</f>
        <v>3.6</v>
      </c>
      <c r="BE62">
        <f>IF(BE$1&lt;&gt;"",INDEX(Base!$R$1:$R$2500,$E62+BE$1+2),"")</f>
        <v>24.87</v>
      </c>
      <c r="BF62">
        <f>IF(BF$1&lt;&gt;"",INDEX(Base!$R$1:$R$2500,$E62+BF$1+2),"")</f>
        <v>0.35</v>
      </c>
      <c r="BG62">
        <f>IF(BG$1&lt;&gt;"",INDEX(Base!$R$1:$R$2500,$E62+BG$1+2),"")</f>
        <v>0.1</v>
      </c>
      <c r="BH62">
        <f>IF(BH$1&lt;&gt;"",INDEX(Base!$R$1:$R$2500,$E62+BH$1+2),"")</f>
        <v>0.57999999999999996</v>
      </c>
      <c r="BI62">
        <f>IF(BI$1&lt;&gt;"",INDEX(Base!$R$1:$R$2500,$E62+BI$1+2),"")</f>
        <v>54.28</v>
      </c>
      <c r="BJ62">
        <f>IF(BJ$1&lt;&gt;"",INDEX(Base!$R$1:$R$2500,$E62+BJ$1+2),"")</f>
        <v>25.75</v>
      </c>
      <c r="BK62">
        <f>IF(BK$1&lt;&gt;"",INDEX(Base!$R$1:$R$2500,$E62+BK$1+2),"")</f>
        <v>18.059999999999999</v>
      </c>
      <c r="BL62">
        <f>IF(BL$1&lt;&gt;"",INDEX(Base!$R$1:$R$2500,$E62+BL$1+2),"")</f>
        <v>5.97</v>
      </c>
      <c r="BM62">
        <f>IF(BM$1&lt;&gt;"",INDEX(Base!$R$1:$R$2500,$E62+BM$1+2),"")</f>
        <v>1.64</v>
      </c>
      <c r="BN62">
        <f>IF(BN$1&lt;&gt;"",INDEX(Base!$R$1:$R$2500,$E62+BN$1+2),"")</f>
        <v>0.1</v>
      </c>
      <c r="BO62">
        <f>IF(BO$1&lt;&gt;"",INDEX(Base!$R$1:$R$2500,$E62+BO$1+2),"")</f>
        <v>0.14000000000000001</v>
      </c>
      <c r="BP62">
        <f>IF(BP$1&lt;&gt;"",INDEX(Base!$R$1:$R$2500,$E62+BP$1+2),"")</f>
        <v>1.06</v>
      </c>
      <c r="BQ62">
        <f>IF(BQ$1&lt;&gt;"",INDEX(Base!$R$1:$R$2500,$E62+BQ$1+2),"")</f>
        <v>0.73</v>
      </c>
      <c r="BR62">
        <f>IF(BR$1&lt;&gt;"",INDEX(Base!$R$1:$R$2500,$E62+BR$1+2),"")</f>
        <v>7.0000000000000007E-2</v>
      </c>
      <c r="BS62">
        <f>IF(BS$1&lt;&gt;"",INDEX(Base!$R$1:$R$2500,$E62+BS$1+2),"")</f>
        <v>8.42</v>
      </c>
      <c r="BT62">
        <f>IF(BT$1&lt;&gt;"",INDEX(Base!$R$1:$R$2500,$E62+BT$1+2),"")</f>
        <v>6.56</v>
      </c>
    </row>
    <row r="63" spans="1:72" x14ac:dyDescent="0.3">
      <c r="A63" s="2">
        <f t="shared" si="3"/>
        <v>2645</v>
      </c>
      <c r="B63" s="3" t="str">
        <f>IFERROR(MID(INDEX(Base!A$1:A$5000,Calcoli!A63),47,LEN(INDEX(Base!A$1:A$5000,Calcoli!A63))-41),"")</f>
        <v>SERRI ANDREA</v>
      </c>
      <c r="C63" s="5" t="str">
        <f>MID(INDEX(Base!A$1:A$5000,Calcoli!A63),42,4)</f>
        <v>1912</v>
      </c>
      <c r="D63" s="5" t="str">
        <f>MID(INDEX(Base!A$1:A$5000,Calcoli!A63),13,11)</f>
        <v xml:space="preserve"> 31_03_2025</v>
      </c>
      <c r="E63" s="4">
        <f t="shared" si="1"/>
        <v>1865</v>
      </c>
      <c r="F63" s="3" t="str">
        <f>IFERROR(MID(INDEX(Base!L$1:L$4000,Calcoli!E63),47,LEN(INDEX(Base!L$1:L$4000,Calcoli!E63))-41),"")</f>
        <v>SERRI ANDREA</v>
      </c>
      <c r="G63" s="5" t="str">
        <f>MID(INDEX(Base!L$1:L$4000,Calcoli!$E63),42,4)</f>
        <v>1912</v>
      </c>
      <c r="H63" s="5" t="str">
        <f>MID(INDEX(Base!L$1:L$4000,Calcoli!E63),13,11)</f>
        <v xml:space="preserve"> 01_04_2025</v>
      </c>
      <c r="I63" s="6" t="str">
        <f xml:space="preserve"> IFERROR(MID(INDEX(Base!$V$3:$AB$60,MATCH($F63,Base!$Z$3:$Z$160,0),1),1,14),"")</f>
        <v>1912 SERRI AND</v>
      </c>
      <c r="J63" s="6">
        <f xml:space="preserve"> IFERROR(INDEX(Base!$V$3:$AB$160,MATCH($F63,Base!$Z$3:$Z$160,0),2),"")</f>
        <v>164.51612903225805</v>
      </c>
      <c r="K63" s="6">
        <f xml:space="preserve"> IFERROR(INDEX(Base!$V$3:$AB$160,MATCH($F63,Base!$Z$3:$Z$160,0),3),"")</f>
        <v>4.5414595426915056</v>
      </c>
      <c r="L63" s="28">
        <f xml:space="preserve"> IFERROR(INDEX(Base!$V$3:$AB$160,MATCH($F63,Base!$Z$3:$Z$160,0),4),"")</f>
        <v>25.273058252427184</v>
      </c>
      <c r="M63">
        <f>IF(M$1&lt;&gt;"",INDEX(Base!$G$1:$G$5000,$A63+M$1+2),"")</f>
        <v>12.42</v>
      </c>
      <c r="N63">
        <f>IF(N$1&lt;&gt;"",INDEX(Base!$G$1:$G$5000,$A63+N$1+2),"")</f>
        <v>2.12</v>
      </c>
      <c r="O63">
        <f>IF(O$1&lt;&gt;"",INDEX(Base!$G$1:$G$5000,$A63+O$1+2),"")</f>
        <v>0.14000000000000001</v>
      </c>
      <c r="P63">
        <f>IF(P$1&lt;&gt;"",INDEX(Base!$G$1:$G$5000,$A63+P$1+2),"")</f>
        <v>0.46</v>
      </c>
      <c r="Q63">
        <f>IF(Q$1&lt;&gt;"",INDEX(Base!$G$1:$G$5000,$A63+Q$1+2),"")</f>
        <v>0.12</v>
      </c>
      <c r="R63">
        <f>IF(R$1&lt;&gt;"",INDEX(Base!$G$1:$G$5000,$A63+R$1+2),"")</f>
        <v>0.97</v>
      </c>
      <c r="S63">
        <f>IF(S$1&lt;&gt;"",INDEX(Base!$G$1:$G$5000,$A63+S$1+2),"")</f>
        <v>0.06</v>
      </c>
      <c r="T63">
        <f>IF(T$1&lt;&gt;"",INDEX(Base!$G$1:$G$5000,$A63+T$1+2),"")</f>
        <v>15.66</v>
      </c>
      <c r="U63">
        <f>IF(U$1&lt;&gt;"",INDEX(Base!$G$1:$G$5000,$A63+U$1+2),"")</f>
        <v>0.71</v>
      </c>
      <c r="V63">
        <f>IF(V$1&lt;&gt;"",INDEX(Base!$G$1:$G$5000,$A63+V$1+2),"")</f>
        <v>0.17</v>
      </c>
      <c r="W63">
        <f>IF(W$1&lt;&gt;"",INDEX(Base!$G$1:$G$5000,$A63+W$1+2),"")</f>
        <v>1.68</v>
      </c>
      <c r="X63">
        <f>IF(X$1&lt;&gt;"",INDEX(Base!$G$1:$G$5000,$A63+X$1+2),"")</f>
        <v>1.45</v>
      </c>
      <c r="Y63">
        <f>IF(Y$1&lt;&gt;"",INDEX(Base!$G$1:$G$5000,$A63+Y$1+2),"")</f>
        <v>175.03</v>
      </c>
      <c r="Z63">
        <f>IF(Z$1&lt;&gt;"",INDEX(Base!$G$1:$G$5000,$A63+Z$1+2),"")</f>
        <v>1.1599999999999999</v>
      </c>
      <c r="AA63">
        <f>IF(AA$1&lt;&gt;"",INDEX(Base!$G$1:$G$5000,$A63+AA$1+2),"")</f>
        <v>1.1100000000000001</v>
      </c>
      <c r="AB63">
        <f>IF(AB$1&lt;&gt;"",INDEX(Base!$G$1:$G$5000,$A63+AB$1+2),"")</f>
        <v>0.91</v>
      </c>
      <c r="AC63">
        <f>IF(AC$1&lt;&gt;"",INDEX(Base!$G$1:$G$5000,$A63+AC$1+2),"")</f>
        <v>0.51</v>
      </c>
      <c r="AD63">
        <f>IF(AD$1&lt;&gt;"",INDEX(Base!$G$1:$G$5000,$A63+AD$1+2),"")</f>
        <v>11.27</v>
      </c>
      <c r="AE63">
        <f>IF(AE$1&lt;&gt;"",INDEX(Base!$G$1:$G$5000,$A63+AE$1+2),"")</f>
        <v>0.2</v>
      </c>
      <c r="AF63">
        <f>IF(AF$1&lt;&gt;"",INDEX(Base!$G$1:$G$5000,$A63+AF$1+2),"")</f>
        <v>1</v>
      </c>
      <c r="AG63">
        <f>IF(AG$1&lt;&gt;"",INDEX(Base!$G$1:$G$5000,$A63+AG$1+2),"")</f>
        <v>0.3</v>
      </c>
      <c r="AH63">
        <f>IF(AH$1&lt;&gt;"",INDEX(Base!$G$1:$G$5000,$A63+AH$1+2),"")</f>
        <v>2.72</v>
      </c>
      <c r="AI63">
        <f>IF(AI$1&lt;&gt;"",INDEX(Base!$G$1:$G$5000,$A63+AI$1+2),"")</f>
        <v>0.52</v>
      </c>
      <c r="AJ63">
        <f>IF(AJ$1&lt;&gt;"",INDEX(Base!$G$1:$G$5000,$A63+AJ$1+2),"")</f>
        <v>0.1</v>
      </c>
      <c r="AK63">
        <f>IF(AK$1&lt;&gt;"",INDEX(Base!$G$1:$G$5000,$A63+AK$1+2),"")</f>
        <v>3.25</v>
      </c>
      <c r="AL63">
        <f>IF(AL$1&lt;&gt;"",INDEX(Base!$G$1:$G$5000,$A63+AL$1+2),"")</f>
        <v>7.76</v>
      </c>
      <c r="AM63">
        <f>IF(AM$1&lt;&gt;"",INDEX(Base!$G$1:$G$5000,$A63+AM$1+2),"")</f>
        <v>0.75</v>
      </c>
      <c r="AN63">
        <f>IF(AN$1&lt;&gt;"",INDEX(Base!$G$1:$G$5000,$A63+AN$1+2),"")</f>
        <v>0.62</v>
      </c>
      <c r="AO63">
        <f>IF(AO$1&lt;&gt;"",INDEX(Base!$G$1:$G$5000,$A63+AO$1+2),"")</f>
        <v>0.57999999999999996</v>
      </c>
      <c r="AP63">
        <f>IF(AP$1&lt;&gt;"",INDEX(Base!$G$1:$G$5000,$A63+AP$1+2),"")</f>
        <v>0.09</v>
      </c>
      <c r="AQ63">
        <f>IF(AQ$1&lt;&gt;"",INDEX(Base!$G$1:$G$5000,$A63+AQ$1+2),"")</f>
        <v>0.67</v>
      </c>
      <c r="AR63">
        <f>IF(AR$1&lt;&gt;"",INDEX(Base!$G$1:$G$5000,$A63+AR$1+2),"")</f>
        <v>7.0000000000000007E-2</v>
      </c>
      <c r="AS63">
        <f>IF(AS$1&lt;&gt;"",INDEX(Base!$G$1:$G$5000,$A63+AS$1+2),"")</f>
        <v>0.51</v>
      </c>
      <c r="AT63">
        <f>IF(AT$1&lt;&gt;"",INDEX(Base!$G$1:$G$5000,$A63+AT$1+2),"")</f>
        <v>0.34</v>
      </c>
      <c r="AU63">
        <f>IF(AU$1&lt;&gt;"",INDEX(Base!$G$1:$G$5000,$A63+AU$1+2),"")</f>
        <v>0.11</v>
      </c>
      <c r="AV63">
        <f>IF(AV$1&lt;&gt;"",INDEX(Base!$G$1:$G$5000,$A63+AV$1+2),"")</f>
        <v>0.12</v>
      </c>
      <c r="AW63" s="8">
        <f t="shared" si="0"/>
        <v>1.2747252747252746</v>
      </c>
      <c r="AX63">
        <f>IF(AX$1&lt;&gt;"",INDEX(Base!$R$1:$R$4000,$E63+AX$1+2),"")</f>
        <v>5.7</v>
      </c>
      <c r="AY63">
        <f>IF(AY$1&lt;&gt;"",INDEX(Base!$R$1:$R$2500,$E63+AY$1+2),"")</f>
        <v>69.069999999999993</v>
      </c>
      <c r="AZ63">
        <f>IF(AZ$1&lt;&gt;"",INDEX(Base!$R$1:$R$2500,$E63+AZ$1+2),"")</f>
        <v>0.09</v>
      </c>
      <c r="BA63">
        <f>IF(BA$1&lt;&gt;"",INDEX(Base!$R$1:$R$2500,$E63+BA$1+2),"")</f>
        <v>0.2</v>
      </c>
      <c r="BB63">
        <f>IF(BB$1&lt;&gt;"",INDEX(Base!$R$1:$R$2500,$E63+BB$1+2),"")</f>
        <v>31.2</v>
      </c>
      <c r="BC63">
        <f>IF(BC$1&lt;&gt;"",INDEX(Base!$R$1:$R$2500,$E63+BC$1+2),"")</f>
        <v>1.66</v>
      </c>
      <c r="BD63">
        <f>IF(BD$1&lt;&gt;"",INDEX(Base!$R$1:$R$2500,$E63+BD$1+2),"")</f>
        <v>3.57</v>
      </c>
      <c r="BE63">
        <f>IF(BE$1&lt;&gt;"",INDEX(Base!$R$1:$R$2500,$E63+BE$1+2),"")</f>
        <v>12.51</v>
      </c>
      <c r="BF63">
        <f>IF(BF$1&lt;&gt;"",INDEX(Base!$R$1:$R$2500,$E63+BF$1+2),"")</f>
        <v>0.1</v>
      </c>
      <c r="BG63">
        <f>IF(BG$1&lt;&gt;"",INDEX(Base!$R$1:$R$2500,$E63+BG$1+2),"")</f>
        <v>2.82</v>
      </c>
      <c r="BH63">
        <f>IF(BH$1&lt;&gt;"",INDEX(Base!$R$1:$R$2500,$E63+BH$1+2),"")</f>
        <v>0.15</v>
      </c>
      <c r="BI63">
        <f>IF(BI$1&lt;&gt;"",INDEX(Base!$R$1:$R$2500,$E63+BI$1+2),"")</f>
        <v>15.56</v>
      </c>
      <c r="BJ63">
        <f>IF(BJ$1&lt;&gt;"",INDEX(Base!$R$1:$R$2500,$E63+BJ$1+2),"")</f>
        <v>4.3499999999999996</v>
      </c>
      <c r="BK63">
        <f>IF(BK$1&lt;&gt;"",INDEX(Base!$R$1:$R$2500,$E63+BK$1+2),"")</f>
        <v>8.5</v>
      </c>
      <c r="BL63">
        <f>IF(BL$1&lt;&gt;"",INDEX(Base!$R$1:$R$2500,$E63+BL$1+2),"")</f>
        <v>1.27</v>
      </c>
      <c r="BM63">
        <f>IF(BM$1&lt;&gt;"",INDEX(Base!$R$1:$R$2500,$E63+BM$1+2),"")</f>
        <v>1.38</v>
      </c>
      <c r="BN63">
        <f>IF(BN$1&lt;&gt;"",INDEX(Base!$R$1:$R$2500,$E63+BN$1+2),"")</f>
        <v>0.1</v>
      </c>
      <c r="BO63">
        <f>IF(BO$1&lt;&gt;"",INDEX(Base!$R$1:$R$2500,$E63+BO$1+2),"")</f>
        <v>0.06</v>
      </c>
      <c r="BP63">
        <f>IF(BP$1&lt;&gt;"",INDEX(Base!$R$1:$R$2500,$E63+BP$1+2),"")</f>
        <v>1.04</v>
      </c>
      <c r="BQ63">
        <f>IF(BQ$1&lt;&gt;"",INDEX(Base!$R$1:$R$2500,$E63+BQ$1+2),"")</f>
        <v>0.11</v>
      </c>
      <c r="BR63">
        <f>IF(BR$1&lt;&gt;"",INDEX(Base!$R$1:$R$2500,$E63+BR$1+2),"")</f>
        <v>0.13</v>
      </c>
      <c r="BS63">
        <f>IF(BS$1&lt;&gt;"",INDEX(Base!$R$1:$R$2500,$E63+BS$1+2),"")</f>
        <v>14.23</v>
      </c>
      <c r="BT63">
        <f>IF(BT$1&lt;&gt;"",INDEX(Base!$R$1:$R$2500,$E63+BT$1+2),"")</f>
        <v>1.24</v>
      </c>
    </row>
    <row r="64" spans="1:72" x14ac:dyDescent="0.3">
      <c r="A64" s="2">
        <f t="shared" si="3"/>
        <v>2689</v>
      </c>
      <c r="B64" s="3" t="str">
        <f>IFERROR(MID(INDEX(Base!A$1:A$5000,Calcoli!A64),47,LEN(INDEX(Base!A$1:A$5000,Calcoli!A64))-41),"")</f>
        <v>MORONI TOMMASO</v>
      </c>
      <c r="C64" s="5" t="str">
        <f>MID(INDEX(Base!A$1:A$5000,Calcoli!A64),42,4)</f>
        <v>1915</v>
      </c>
      <c r="D64" s="5" t="str">
        <f>MID(INDEX(Base!A$1:A$5000,Calcoli!A64),13,11)</f>
        <v xml:space="preserve"> 31_03_2025</v>
      </c>
      <c r="E64" s="4">
        <f t="shared" si="1"/>
        <v>1896</v>
      </c>
      <c r="F64" s="3" t="str">
        <f>IFERROR(MID(INDEX(Base!L$1:L$4000,Calcoli!E64),47,LEN(INDEX(Base!L$1:L$4000,Calcoli!E64))-41),"")</f>
        <v>MORONI TOMMASO</v>
      </c>
      <c r="G64" s="5" t="str">
        <f>MID(INDEX(Base!L$1:L$4000,Calcoli!$E64),42,4)</f>
        <v>1915</v>
      </c>
      <c r="H64" s="5" t="str">
        <f>MID(INDEX(Base!L$1:L$4000,Calcoli!E64),13,11)</f>
        <v xml:space="preserve"> 01_04_2025</v>
      </c>
      <c r="I64" s="6" t="str">
        <f xml:space="preserve"> IFERROR(MID(INDEX(Base!$V$3:$AB$60,MATCH($F64,Base!$Z$3:$Z$160,0),1),1,14),"")</f>
        <v/>
      </c>
      <c r="J64" s="6" t="str">
        <f xml:space="preserve"> IFERROR(INDEX(Base!$V$3:$AB$160,MATCH($F64,Base!$Z$3:$Z$160,0),2),"")</f>
        <v/>
      </c>
      <c r="K64" s="6" t="str">
        <f xml:space="preserve"> IFERROR(INDEX(Base!$V$3:$AB$160,MATCH($F64,Base!$Z$3:$Z$160,0),3),"")</f>
        <v/>
      </c>
      <c r="L64" s="28" t="str">
        <f xml:space="preserve"> IFERROR(INDEX(Base!$V$3:$AB$160,MATCH($F64,Base!$Z$3:$Z$160,0),4),"")</f>
        <v/>
      </c>
      <c r="M64">
        <f>IF(M$1&lt;&gt;"",INDEX(Base!$G$1:$G$5000,$A64+M$1+2),"")</f>
        <v>27.12</v>
      </c>
      <c r="N64">
        <f>IF(N$1&lt;&gt;"",INDEX(Base!$G$1:$G$5000,$A64+N$1+2),"")</f>
        <v>16.78</v>
      </c>
      <c r="O64">
        <f>IF(O$1&lt;&gt;"",INDEX(Base!$G$1:$G$5000,$A64+O$1+2),"")</f>
        <v>0.11</v>
      </c>
      <c r="P64">
        <f>IF(P$1&lt;&gt;"",INDEX(Base!$G$1:$G$5000,$A64+P$1+2),"")</f>
        <v>1.81</v>
      </c>
      <c r="Q64">
        <f>IF(Q$1&lt;&gt;"",INDEX(Base!$G$1:$G$5000,$A64+Q$1+2),"")</f>
        <v>0.1</v>
      </c>
      <c r="R64">
        <f>IF(R$1&lt;&gt;"",INDEX(Base!$G$1:$G$5000,$A64+R$1+2),"")</f>
        <v>2.2799999999999998</v>
      </c>
      <c r="S64">
        <f>IF(S$1&lt;&gt;"",INDEX(Base!$G$1:$G$5000,$A64+S$1+2),"")</f>
        <v>0.44</v>
      </c>
      <c r="T64">
        <f>IF(T$1&lt;&gt;"",INDEX(Base!$G$1:$G$5000,$A64+T$1+2),"")</f>
        <v>42.19</v>
      </c>
      <c r="U64">
        <f>IF(U$1&lt;&gt;"",INDEX(Base!$G$1:$G$5000,$A64+U$1+2),"")</f>
        <v>1.77</v>
      </c>
      <c r="V64">
        <f>IF(V$1&lt;&gt;"",INDEX(Base!$G$1:$G$5000,$A64+V$1+2),"")</f>
        <v>0.36</v>
      </c>
      <c r="W64">
        <f>IF(W$1&lt;&gt;"",INDEX(Base!$G$1:$G$5000,$A64+W$1+2),"")</f>
        <v>3.53</v>
      </c>
      <c r="X64">
        <f>IF(X$1&lt;&gt;"",INDEX(Base!$G$1:$G$5000,$A64+X$1+2),"")</f>
        <v>1.93</v>
      </c>
      <c r="Y64">
        <f>IF(Y$1&lt;&gt;"",INDEX(Base!$G$1:$G$5000,$A64+Y$1+2),"")</f>
        <v>84.12</v>
      </c>
      <c r="Z64">
        <f>IF(Z$1&lt;&gt;"",INDEX(Base!$G$1:$G$5000,$A64+Z$1+2),"")</f>
        <v>2.34</v>
      </c>
      <c r="AA64">
        <f>IF(AA$1&lt;&gt;"",INDEX(Base!$G$1:$G$5000,$A64+AA$1+2),"")</f>
        <v>2.1</v>
      </c>
      <c r="AB64">
        <f>IF(AB$1&lt;&gt;"",INDEX(Base!$G$1:$G$5000,$A64+AB$1+2),"")</f>
        <v>2.79</v>
      </c>
      <c r="AC64">
        <f>IF(AC$1&lt;&gt;"",INDEX(Base!$G$1:$G$5000,$A64+AC$1+2),"")</f>
        <v>2.46</v>
      </c>
      <c r="AD64">
        <f>IF(AD$1&lt;&gt;"",INDEX(Base!$G$1:$G$5000,$A64+AD$1+2),"")</f>
        <v>21.39</v>
      </c>
      <c r="AE64">
        <f>IF(AE$1&lt;&gt;"",INDEX(Base!$G$1:$G$5000,$A64+AE$1+2),"")</f>
        <v>0.31</v>
      </c>
      <c r="AF64">
        <f>IF(AF$1&lt;&gt;"",INDEX(Base!$G$1:$G$5000,$A64+AF$1+2),"")</f>
        <v>2.54</v>
      </c>
      <c r="AG64">
        <f>IF(AG$1&lt;&gt;"",INDEX(Base!$G$1:$G$5000,$A64+AG$1+2),"")</f>
        <v>0.7</v>
      </c>
      <c r="AH64">
        <f>IF(AH$1&lt;&gt;"",INDEX(Base!$G$1:$G$5000,$A64+AH$1+2),"")</f>
        <v>5.16</v>
      </c>
      <c r="AI64">
        <f>IF(AI$1&lt;&gt;"",INDEX(Base!$G$1:$G$5000,$A64+AI$1+2),"")</f>
        <v>1.59</v>
      </c>
      <c r="AJ64">
        <f>IF(AJ$1&lt;&gt;"",INDEX(Base!$G$1:$G$5000,$A64+AJ$1+2),"")</f>
        <v>0.11</v>
      </c>
      <c r="AK64">
        <f>IF(AK$1&lt;&gt;"",INDEX(Base!$G$1:$G$5000,$A64+AK$1+2),"")</f>
        <v>5.14</v>
      </c>
      <c r="AL64">
        <f>IF(AL$1&lt;&gt;"",INDEX(Base!$G$1:$G$5000,$A64+AL$1+2),"")</f>
        <v>13.83</v>
      </c>
      <c r="AM64">
        <f>IF(AM$1&lt;&gt;"",INDEX(Base!$G$1:$G$5000,$A64+AM$1+2),"")</f>
        <v>2.78</v>
      </c>
      <c r="AN64">
        <f>IF(AN$1&lt;&gt;"",INDEX(Base!$G$1:$G$5000,$A64+AN$1+2),"")</f>
        <v>1.4</v>
      </c>
      <c r="AO64">
        <f>IF(AO$1&lt;&gt;"",INDEX(Base!$G$1:$G$5000,$A64+AO$1+2),"")</f>
        <v>1.8</v>
      </c>
      <c r="AP64">
        <f>IF(AP$1&lt;&gt;"",INDEX(Base!$G$1:$G$5000,$A64+AP$1+2),"")</f>
        <v>0.22</v>
      </c>
      <c r="AQ64">
        <f>IF(AQ$1&lt;&gt;"",INDEX(Base!$G$1:$G$5000,$A64+AQ$1+2),"")</f>
        <v>0.32</v>
      </c>
      <c r="AR64">
        <f>IF(AR$1&lt;&gt;"",INDEX(Base!$G$1:$G$5000,$A64+AR$1+2),"")</f>
        <v>0.13</v>
      </c>
      <c r="AS64">
        <f>IF(AS$1&lt;&gt;"",INDEX(Base!$G$1:$G$5000,$A64+AS$1+2),"")</f>
        <v>2.97</v>
      </c>
      <c r="AT64">
        <f>IF(AT$1&lt;&gt;"",INDEX(Base!$G$1:$G$5000,$A64+AT$1+2),"")</f>
        <v>0.12</v>
      </c>
      <c r="AU64">
        <f>IF(AU$1&lt;&gt;"",INDEX(Base!$G$1:$G$5000,$A64+AU$1+2),"")</f>
        <v>0.14000000000000001</v>
      </c>
      <c r="AV64">
        <f>IF(AV$1&lt;&gt;"",INDEX(Base!$G$1:$G$5000,$A64+AV$1+2),"")</f>
        <v>0.43</v>
      </c>
      <c r="AW64" s="8">
        <f t="shared" si="0"/>
        <v>0.83870967741935476</v>
      </c>
      <c r="AX64">
        <f>IF(AX$1&lt;&gt;"",INDEX(Base!$R$1:$R$4000,$E64+AX$1+2),"")</f>
        <v>10.029999999999999</v>
      </c>
      <c r="AY64">
        <f>IF(AY$1&lt;&gt;"",INDEX(Base!$R$1:$R$2500,$E64+AY$1+2),"")</f>
        <v>312.23</v>
      </c>
      <c r="AZ64">
        <f>IF(AZ$1&lt;&gt;"",INDEX(Base!$R$1:$R$2500,$E64+AZ$1+2),"")</f>
        <v>0.34</v>
      </c>
      <c r="BA64">
        <f>IF(BA$1&lt;&gt;"",INDEX(Base!$R$1:$R$2500,$E64+BA$1+2),"")</f>
        <v>0.89</v>
      </c>
      <c r="BB64">
        <f>IF(BB$1&lt;&gt;"",INDEX(Base!$R$1:$R$2500,$E64+BB$1+2),"")</f>
        <v>69.75</v>
      </c>
      <c r="BC64">
        <f>IF(BC$1&lt;&gt;"",INDEX(Base!$R$1:$R$2500,$E64+BC$1+2),"")</f>
        <v>4.97</v>
      </c>
      <c r="BD64">
        <f>IF(BD$1&lt;&gt;"",INDEX(Base!$R$1:$R$2500,$E64+BD$1+2),"")</f>
        <v>6.27</v>
      </c>
      <c r="BE64">
        <f>IF(BE$1&lt;&gt;"",INDEX(Base!$R$1:$R$2500,$E64+BE$1+2),"")</f>
        <v>22.11</v>
      </c>
      <c r="BF64">
        <f>IF(BF$1&lt;&gt;"",INDEX(Base!$R$1:$R$2500,$E64+BF$1+2),"")</f>
        <v>0.59</v>
      </c>
      <c r="BG64">
        <f>IF(BG$1&lt;&gt;"",INDEX(Base!$R$1:$R$2500,$E64+BG$1+2),"")</f>
        <v>0.8</v>
      </c>
      <c r="BH64">
        <f>IF(BH$1&lt;&gt;"",INDEX(Base!$R$1:$R$2500,$E64+BH$1+2),"")</f>
        <v>0.33</v>
      </c>
      <c r="BI64">
        <f>IF(BI$1&lt;&gt;"",INDEX(Base!$R$1:$R$2500,$E64+BI$1+2),"")</f>
        <v>55.89</v>
      </c>
      <c r="BJ64">
        <f>IF(BJ$1&lt;&gt;"",INDEX(Base!$R$1:$R$2500,$E64+BJ$1+2),"")</f>
        <v>8.1999999999999993</v>
      </c>
      <c r="BK64">
        <f>IF(BK$1&lt;&gt;"",INDEX(Base!$R$1:$R$2500,$E64+BK$1+2),"")</f>
        <v>25.59</v>
      </c>
      <c r="BL64">
        <f>IF(BL$1&lt;&gt;"",INDEX(Base!$R$1:$R$2500,$E64+BL$1+2),"")</f>
        <v>6.47</v>
      </c>
      <c r="BM64">
        <f>IF(BM$1&lt;&gt;"",INDEX(Base!$R$1:$R$2500,$E64+BM$1+2),"")</f>
        <v>2.15</v>
      </c>
      <c r="BN64">
        <f>IF(BN$1&lt;&gt;"",INDEX(Base!$R$1:$R$2500,$E64+BN$1+2),"")</f>
        <v>0.1</v>
      </c>
      <c r="BO64">
        <f>IF(BO$1&lt;&gt;"",INDEX(Base!$R$1:$R$2500,$E64+BO$1+2),"")</f>
        <v>0.27</v>
      </c>
      <c r="BP64">
        <f>IF(BP$1&lt;&gt;"",INDEX(Base!$R$1:$R$2500,$E64+BP$1+2),"")</f>
        <v>3.58</v>
      </c>
      <c r="BQ64">
        <f>IF(BQ$1&lt;&gt;"",INDEX(Base!$R$1:$R$2500,$E64+BQ$1+2),"")</f>
        <v>0.36</v>
      </c>
      <c r="BR64">
        <f>IF(BR$1&lt;&gt;"",INDEX(Base!$R$1:$R$2500,$E64+BR$1+2),"")</f>
        <v>1.1000000000000001</v>
      </c>
      <c r="BS64">
        <f>IF(BS$1&lt;&gt;"",INDEX(Base!$R$1:$R$2500,$E64+BS$1+2),"")</f>
        <v>19.95</v>
      </c>
      <c r="BT64">
        <f>IF(BT$1&lt;&gt;"",INDEX(Base!$R$1:$R$2500,$E64+BT$1+2),"")</f>
        <v>2.54</v>
      </c>
    </row>
    <row r="65" spans="1:72" x14ac:dyDescent="0.3">
      <c r="A65" s="2">
        <f t="shared" si="3"/>
        <v>2733</v>
      </c>
      <c r="B65" s="3" t="str">
        <f>IFERROR(MID(INDEX(Base!A$1:A$5000,Calcoli!A65),47,LEN(INDEX(Base!A$1:A$5000,Calcoli!A65))-41),"")</f>
        <v/>
      </c>
      <c r="C65" s="5" t="str">
        <f>MID(INDEX(Base!A$1:A$5000,Calcoli!A65),42,4)</f>
        <v/>
      </c>
      <c r="D65" s="5" t="str">
        <f>MID(INDEX(Base!A$1:A$5000,Calcoli!A65),13,11)</f>
        <v xml:space="preserve"> 31_03_2025</v>
      </c>
      <c r="E65" s="4">
        <f t="shared" si="1"/>
        <v>1927</v>
      </c>
      <c r="F65" s="3" t="str">
        <f>IFERROR(MID(INDEX(Base!L$1:L$4000,Calcoli!E65),47,LEN(INDEX(Base!L$1:L$4000,Calcoli!E65))-41),"")</f>
        <v/>
      </c>
      <c r="G65" s="5" t="str">
        <f>MID(INDEX(Base!L$1:L$4000,Calcoli!$E65),42,4)</f>
        <v/>
      </c>
      <c r="H65" s="5" t="str">
        <f>MID(INDEX(Base!L$1:L$4000,Calcoli!E65),13,11)</f>
        <v xml:space="preserve"> 01_04_2025</v>
      </c>
      <c r="I65" s="6" t="str">
        <f xml:space="preserve"> IFERROR(MID(INDEX(Base!$V$3:$AB$60,MATCH($F65,Base!$Z$3:$Z$160,0),1),1,14),"")</f>
        <v/>
      </c>
      <c r="J65" s="6" t="str">
        <f xml:space="preserve"> IFERROR(INDEX(Base!$V$3:$AB$160,MATCH($F65,Base!$Z$3:$Z$160,0),2),"")</f>
        <v/>
      </c>
      <c r="K65" s="6" t="str">
        <f xml:space="preserve"> IFERROR(INDEX(Base!$V$3:$AB$160,MATCH($F65,Base!$Z$3:$Z$160,0),3),"")</f>
        <v/>
      </c>
      <c r="L65" s="28" t="str">
        <f xml:space="preserve"> IFERROR(INDEX(Base!$V$3:$AB$160,MATCH($F65,Base!$Z$3:$Z$160,0),4),"")</f>
        <v/>
      </c>
      <c r="M65">
        <f>IF(M$1&lt;&gt;"",INDEX(Base!$G$1:$G$5000,$A65+M$1+2),"")</f>
        <v>0.1</v>
      </c>
      <c r="N65">
        <f>IF(N$1&lt;&gt;"",INDEX(Base!$G$1:$G$5000,$A65+N$1+2),"")</f>
        <v>8.09</v>
      </c>
      <c r="O65">
        <f>IF(O$1&lt;&gt;"",INDEX(Base!$G$1:$G$5000,$A65+O$1+2),"")</f>
        <v>1.52</v>
      </c>
      <c r="P65">
        <f>IF(P$1&lt;&gt;"",INDEX(Base!$G$1:$G$5000,$A65+P$1+2),"")</f>
        <v>0.83</v>
      </c>
      <c r="Q65">
        <f>IF(Q$1&lt;&gt;"",INDEX(Base!$G$1:$G$5000,$A65+Q$1+2),"")</f>
        <v>0.1</v>
      </c>
      <c r="R65">
        <f>IF(R$1&lt;&gt;"",INDEX(Base!$G$1:$G$5000,$A65+R$1+2),"")</f>
        <v>2.29</v>
      </c>
      <c r="S65">
        <f>IF(S$1&lt;&gt;"",INDEX(Base!$G$1:$G$5000,$A65+S$1+2),"")</f>
        <v>7.0000000000000007E-2</v>
      </c>
      <c r="T65">
        <f>IF(T$1&lt;&gt;"",INDEX(Base!$G$1:$G$5000,$A65+T$1+2),"")</f>
        <v>0.1</v>
      </c>
      <c r="U65">
        <f>IF(U$1&lt;&gt;"",INDEX(Base!$G$1:$G$5000,$A65+U$1+2),"")</f>
        <v>1.34</v>
      </c>
      <c r="V65">
        <f>IF(V$1&lt;&gt;"",INDEX(Base!$G$1:$G$5000,$A65+V$1+2),"")</f>
        <v>0.99</v>
      </c>
      <c r="W65">
        <f>IF(W$1&lt;&gt;"",INDEX(Base!$G$1:$G$5000,$A65+W$1+2),"")</f>
        <v>0.1</v>
      </c>
      <c r="X65">
        <f>IF(X$1&lt;&gt;"",INDEX(Base!$G$1:$G$5000,$A65+X$1+2),"")</f>
        <v>2.82</v>
      </c>
      <c r="Y65">
        <f>IF(Y$1&lt;&gt;"",INDEX(Base!$G$1:$G$5000,$A65+Y$1+2),"")</f>
        <v>0.1</v>
      </c>
      <c r="Z65">
        <f>IF(Z$1&lt;&gt;"",INDEX(Base!$G$1:$G$5000,$A65+Z$1+2),"")</f>
        <v>0.1</v>
      </c>
      <c r="AA65">
        <f>IF(AA$1&lt;&gt;"",INDEX(Base!$G$1:$G$5000,$A65+AA$1+2),"")</f>
        <v>0.85</v>
      </c>
      <c r="AB65">
        <f>IF(AB$1&lt;&gt;"",INDEX(Base!$G$1:$G$5000,$A65+AB$1+2),"")</f>
        <v>2.04</v>
      </c>
      <c r="AC65">
        <f>IF(AC$1&lt;&gt;"",INDEX(Base!$G$1:$G$5000,$A65+AC$1+2),"")</f>
        <v>3.25</v>
      </c>
      <c r="AD65">
        <f>IF(AD$1&lt;&gt;"",INDEX(Base!$G$1:$G$5000,$A65+AD$1+2),"")</f>
        <v>10.43</v>
      </c>
      <c r="AE65">
        <f>IF(AE$1&lt;&gt;"",INDEX(Base!$G$1:$G$5000,$A65+AE$1+2),"")</f>
        <v>0.3</v>
      </c>
      <c r="AF65">
        <f>IF(AF$1&lt;&gt;"",INDEX(Base!$G$1:$G$5000,$A65+AF$1+2),"")</f>
        <v>0.1</v>
      </c>
      <c r="AG65">
        <f>IF(AG$1&lt;&gt;"",INDEX(Base!$G$1:$G$5000,$A65+AG$1+2),"")</f>
        <v>0.19</v>
      </c>
      <c r="AH65">
        <f>IF(AH$1&lt;&gt;"",INDEX(Base!$G$1:$G$5000,$A65+AH$1+2),"")</f>
        <v>0.1</v>
      </c>
      <c r="AI65">
        <f>IF(AI$1&lt;&gt;"",INDEX(Base!$G$1:$G$5000,$A65+AI$1+2),"")</f>
        <v>0.1</v>
      </c>
      <c r="AJ65">
        <f>IF(AJ$1&lt;&gt;"",INDEX(Base!$G$1:$G$5000,$A65+AJ$1+2),"")</f>
        <v>0.1</v>
      </c>
      <c r="AK65">
        <f>IF(AK$1&lt;&gt;"",INDEX(Base!$G$1:$G$5000,$A65+AK$1+2),"")</f>
        <v>24.91</v>
      </c>
      <c r="AL65">
        <f>IF(AL$1&lt;&gt;"",INDEX(Base!$G$1:$G$5000,$A65+AL$1+2),"")</f>
        <v>0.1</v>
      </c>
      <c r="AM65">
        <f>IF(AM$1&lt;&gt;"",INDEX(Base!$G$1:$G$5000,$A65+AM$1+2),"")</f>
        <v>0.1</v>
      </c>
      <c r="AN65">
        <f>IF(AN$1&lt;&gt;"",INDEX(Base!$G$1:$G$5000,$A65+AN$1+2),"")</f>
        <v>1.8</v>
      </c>
      <c r="AO65">
        <f>IF(AO$1&lt;&gt;"",INDEX(Base!$G$1:$G$5000,$A65+AO$1+2),"")</f>
        <v>0.1</v>
      </c>
      <c r="AP65">
        <f>IF(AP$1&lt;&gt;"",INDEX(Base!$G$1:$G$5000,$A65+AP$1+2),"")</f>
        <v>0.13</v>
      </c>
      <c r="AQ65">
        <f>IF(AQ$1&lt;&gt;"",INDEX(Base!$G$1:$G$5000,$A65+AQ$1+2),"")</f>
        <v>0.1</v>
      </c>
      <c r="AR65">
        <f>IF(AR$1&lt;&gt;"",INDEX(Base!$G$1:$G$5000,$A65+AR$1+2),"")</f>
        <v>0.1</v>
      </c>
      <c r="AS65">
        <f>IF(AS$1&lt;&gt;"",INDEX(Base!$G$1:$G$5000,$A65+AS$1+2),"")</f>
        <v>3.35</v>
      </c>
      <c r="AT65">
        <f>IF(AT$1&lt;&gt;"",INDEX(Base!$G$1:$G$5000,$A65+AT$1+2),"")</f>
        <v>0.12</v>
      </c>
      <c r="AU65">
        <f>IF(AU$1&lt;&gt;"",INDEX(Base!$G$1:$G$5000,$A65+AU$1+2),"")</f>
        <v>0.1</v>
      </c>
      <c r="AV65">
        <f>IF(AV$1&lt;&gt;"",INDEX(Base!$G$1:$G$5000,$A65+AV$1+2),"")</f>
        <v>0.13</v>
      </c>
      <c r="AW65" s="8">
        <f t="shared" si="0"/>
        <v>4.9019607843137254E-2</v>
      </c>
      <c r="AX65">
        <f>IF(AX$1&lt;&gt;"",INDEX(Base!$R$1:$R$4000,$E65+AX$1+2),"")</f>
        <v>0.1</v>
      </c>
      <c r="AY65">
        <f>IF(AY$1&lt;&gt;"",INDEX(Base!$R$1:$R$2500,$E65+AY$1+2),"")</f>
        <v>427.77</v>
      </c>
      <c r="AZ65">
        <f>IF(AZ$1&lt;&gt;"",INDEX(Base!$R$1:$R$2500,$E65+AZ$1+2),"")</f>
        <v>0.1</v>
      </c>
      <c r="BA65">
        <f>IF(BA$1&lt;&gt;"",INDEX(Base!$R$1:$R$2500,$E65+BA$1+2),"")</f>
        <v>0.68</v>
      </c>
      <c r="BB65">
        <f>IF(BB$1&lt;&gt;"",INDEX(Base!$R$1:$R$2500,$E65+BB$1+2),"")</f>
        <v>45.94</v>
      </c>
      <c r="BC65">
        <f>IF(BC$1&lt;&gt;"",INDEX(Base!$R$1:$R$2500,$E65+BC$1+2),"")</f>
        <v>0.1</v>
      </c>
      <c r="BD65">
        <f>IF(BD$1&lt;&gt;"",INDEX(Base!$R$1:$R$2500,$E65+BD$1+2),"")</f>
        <v>0.1</v>
      </c>
      <c r="BE65">
        <f>IF(BE$1&lt;&gt;"",INDEX(Base!$R$1:$R$2500,$E65+BE$1+2),"")</f>
        <v>0.1</v>
      </c>
      <c r="BF65">
        <f>IF(BF$1&lt;&gt;"",INDEX(Base!$R$1:$R$2500,$E65+BF$1+2),"")</f>
        <v>0.11</v>
      </c>
      <c r="BG65">
        <f>IF(BG$1&lt;&gt;"",INDEX(Base!$R$1:$R$2500,$E65+BG$1+2),"")</f>
        <v>0.1</v>
      </c>
      <c r="BH65">
        <f>IF(BH$1&lt;&gt;"",INDEX(Base!$R$1:$R$2500,$E65+BH$1+2),"")</f>
        <v>0.1</v>
      </c>
      <c r="BI65">
        <f>IF(BI$1&lt;&gt;"",INDEX(Base!$R$1:$R$2500,$E65+BI$1+2),"")</f>
        <v>0.1</v>
      </c>
      <c r="BJ65">
        <f>IF(BJ$1&lt;&gt;"",INDEX(Base!$R$1:$R$2500,$E65+BJ$1+2),"")</f>
        <v>0.1</v>
      </c>
      <c r="BK65">
        <f>IF(BK$1&lt;&gt;"",INDEX(Base!$R$1:$R$2500,$E65+BK$1+2),"")</f>
        <v>0.1</v>
      </c>
      <c r="BL65">
        <f>IF(BL$1&lt;&gt;"",INDEX(Base!$R$1:$R$2500,$E65+BL$1+2),"")</f>
        <v>0.1</v>
      </c>
      <c r="BM65">
        <f>IF(BM$1&lt;&gt;"",INDEX(Base!$R$1:$R$2500,$E65+BM$1+2),"")</f>
        <v>0.1</v>
      </c>
      <c r="BN65">
        <f>IF(BN$1&lt;&gt;"",INDEX(Base!$R$1:$R$2500,$E65+BN$1+2),"")</f>
        <v>0.1</v>
      </c>
      <c r="BO65">
        <f>IF(BO$1&lt;&gt;"",INDEX(Base!$R$1:$R$2500,$E65+BO$1+2),"")</f>
        <v>0.1</v>
      </c>
      <c r="BP65">
        <f>IF(BP$1&lt;&gt;"",INDEX(Base!$R$1:$R$2500,$E65+BP$1+2),"")</f>
        <v>0.1</v>
      </c>
      <c r="BQ65">
        <f>IF(BQ$1&lt;&gt;"",INDEX(Base!$R$1:$R$2500,$E65+BQ$1+2),"")</f>
        <v>0.1</v>
      </c>
      <c r="BR65">
        <f>IF(BR$1&lt;&gt;"",INDEX(Base!$R$1:$R$2500,$E65+BR$1+2),"")</f>
        <v>0.1</v>
      </c>
      <c r="BS65">
        <f>IF(BS$1&lt;&gt;"",INDEX(Base!$R$1:$R$2500,$E65+BS$1+2),"")</f>
        <v>0.1</v>
      </c>
      <c r="BT65">
        <f>IF(BT$1&lt;&gt;"",INDEX(Base!$R$1:$R$2500,$E65+BT$1+2),"")</f>
        <v>2.1</v>
      </c>
    </row>
    <row r="66" spans="1:72" x14ac:dyDescent="0.3">
      <c r="A66" s="2">
        <f t="shared" si="3"/>
        <v>2777</v>
      </c>
      <c r="B66" s="3" t="str">
        <f>IFERROR(MID(INDEX(Base!A$1:A$5000,Calcoli!A66),47,LEN(INDEX(Base!A$1:A$5000,Calcoli!A66))-41),"")</f>
        <v>MARSELLA ELISABETTA</v>
      </c>
      <c r="C66" s="5" t="str">
        <f>MID(INDEX(Base!A$1:A$5000,Calcoli!A66),42,4)</f>
        <v>1923</v>
      </c>
      <c r="D66" s="5" t="str">
        <f>MID(INDEX(Base!A$1:A$5000,Calcoli!A66),13,11)</f>
        <v xml:space="preserve"> 31_03_2025</v>
      </c>
      <c r="E66" s="4">
        <f t="shared" si="1"/>
        <v>1958</v>
      </c>
      <c r="F66" s="3" t="str">
        <f>IFERROR(MID(INDEX(Base!L$1:L$4000,Calcoli!E66),47,LEN(INDEX(Base!L$1:L$4000,Calcoli!E66))-41),"")</f>
        <v>MARSELLA ELISABETTA</v>
      </c>
      <c r="G66" s="5" t="str">
        <f>MID(INDEX(Base!L$1:L$4000,Calcoli!$E66),42,4)</f>
        <v>1923</v>
      </c>
      <c r="H66" s="5" t="str">
        <f>MID(INDEX(Base!L$1:L$4000,Calcoli!E66),13,11)</f>
        <v xml:space="preserve"> 01_04_2025</v>
      </c>
      <c r="I66" s="6" t="str">
        <f xml:space="preserve"> IFERROR(MID(INDEX(Base!$V$3:$AB$60,MATCH($F66,Base!$Z$3:$Z$160,0),1),1,14),"")</f>
        <v/>
      </c>
      <c r="J66" s="6" t="str">
        <f xml:space="preserve"> IFERROR(INDEX(Base!$V$3:$AB$160,MATCH($F66,Base!$Z$3:$Z$160,0),2),"")</f>
        <v/>
      </c>
      <c r="K66" s="6" t="str">
        <f xml:space="preserve"> IFERROR(INDEX(Base!$V$3:$AB$160,MATCH($F66,Base!$Z$3:$Z$160,0),3),"")</f>
        <v/>
      </c>
      <c r="L66" s="28" t="str">
        <f xml:space="preserve"> IFERROR(INDEX(Base!$V$3:$AB$160,MATCH($F66,Base!$Z$3:$Z$160,0),4),"")</f>
        <v/>
      </c>
      <c r="M66">
        <f>IF(M$1&lt;&gt;"",INDEX(Base!$G$1:$G$5000,$A66+M$1+2),"")</f>
        <v>21.72</v>
      </c>
      <c r="N66">
        <f>IF(N$1&lt;&gt;"",INDEX(Base!$G$1:$G$5000,$A66+N$1+2),"")</f>
        <v>3.37</v>
      </c>
      <c r="O66">
        <f>IF(O$1&lt;&gt;"",INDEX(Base!$G$1:$G$5000,$A66+O$1+2),"")</f>
        <v>0.08</v>
      </c>
      <c r="P66">
        <f>IF(P$1&lt;&gt;"",INDEX(Base!$G$1:$G$5000,$A66+P$1+2),"")</f>
        <v>1.1299999999999999</v>
      </c>
      <c r="Q66">
        <f>IF(Q$1&lt;&gt;"",INDEX(Base!$G$1:$G$5000,$A66+Q$1+2),"")</f>
        <v>0.1</v>
      </c>
      <c r="R66">
        <f>IF(R$1&lt;&gt;"",INDEX(Base!$G$1:$G$5000,$A66+R$1+2),"")</f>
        <v>1.62</v>
      </c>
      <c r="S66">
        <f>IF(S$1&lt;&gt;"",INDEX(Base!$G$1:$G$5000,$A66+S$1+2),"")</f>
        <v>0.05</v>
      </c>
      <c r="T66">
        <f>IF(T$1&lt;&gt;"",INDEX(Base!$G$1:$G$5000,$A66+T$1+2),"")</f>
        <v>17.46</v>
      </c>
      <c r="U66">
        <f>IF(U$1&lt;&gt;"",INDEX(Base!$G$1:$G$5000,$A66+U$1+2),"")</f>
        <v>2.46</v>
      </c>
      <c r="V66">
        <f>IF(V$1&lt;&gt;"",INDEX(Base!$G$1:$G$5000,$A66+V$1+2),"")</f>
        <v>0.09</v>
      </c>
      <c r="W66">
        <f>IF(W$1&lt;&gt;"",INDEX(Base!$G$1:$G$5000,$A66+W$1+2),"")</f>
        <v>2.97</v>
      </c>
      <c r="X66">
        <f>IF(X$1&lt;&gt;"",INDEX(Base!$G$1:$G$5000,$A66+X$1+2),"")</f>
        <v>1.0900000000000001</v>
      </c>
      <c r="Y66">
        <f>IF(Y$1&lt;&gt;"",INDEX(Base!$G$1:$G$5000,$A66+Y$1+2),"")</f>
        <v>31.65</v>
      </c>
      <c r="Z66">
        <f>IF(Z$1&lt;&gt;"",INDEX(Base!$G$1:$G$5000,$A66+Z$1+2),"")</f>
        <v>1.2</v>
      </c>
      <c r="AA66">
        <f>IF(AA$1&lt;&gt;"",INDEX(Base!$G$1:$G$5000,$A66+AA$1+2),"")</f>
        <v>3.32</v>
      </c>
      <c r="AB66">
        <f>IF(AB$1&lt;&gt;"",INDEX(Base!$G$1:$G$5000,$A66+AB$1+2),"")</f>
        <v>1.03</v>
      </c>
      <c r="AC66">
        <f>IF(AC$1&lt;&gt;"",INDEX(Base!$G$1:$G$5000,$A66+AC$1+2),"")</f>
        <v>1.7</v>
      </c>
      <c r="AD66">
        <f>IF(AD$1&lt;&gt;"",INDEX(Base!$G$1:$G$5000,$A66+AD$1+2),"")</f>
        <v>10.84</v>
      </c>
      <c r="AE66">
        <f>IF(AE$1&lt;&gt;"",INDEX(Base!$G$1:$G$5000,$A66+AE$1+2),"")</f>
        <v>0.14000000000000001</v>
      </c>
      <c r="AF66">
        <f>IF(AF$1&lt;&gt;"",INDEX(Base!$G$1:$G$5000,$A66+AF$1+2),"")</f>
        <v>1.1200000000000001</v>
      </c>
      <c r="AG66">
        <f>IF(AG$1&lt;&gt;"",INDEX(Base!$G$1:$G$5000,$A66+AG$1+2),"")</f>
        <v>0.44</v>
      </c>
      <c r="AH66">
        <f>IF(AH$1&lt;&gt;"",INDEX(Base!$G$1:$G$5000,$A66+AH$1+2),"")</f>
        <v>2.21</v>
      </c>
      <c r="AI66">
        <f>IF(AI$1&lt;&gt;"",INDEX(Base!$G$1:$G$5000,$A66+AI$1+2),"")</f>
        <v>0.36</v>
      </c>
      <c r="AJ66">
        <f>IF(AJ$1&lt;&gt;"",INDEX(Base!$G$1:$G$5000,$A66+AJ$1+2),"")</f>
        <v>0.1</v>
      </c>
      <c r="AK66">
        <f>IF(AK$1&lt;&gt;"",INDEX(Base!$G$1:$G$5000,$A66+AK$1+2),"")</f>
        <v>2.13</v>
      </c>
      <c r="AL66">
        <f>IF(AL$1&lt;&gt;"",INDEX(Base!$G$1:$G$5000,$A66+AL$1+2),"")</f>
        <v>2.0299999999999998</v>
      </c>
      <c r="AM66">
        <f>IF(AM$1&lt;&gt;"",INDEX(Base!$G$1:$G$5000,$A66+AM$1+2),"")</f>
        <v>0.28000000000000003</v>
      </c>
      <c r="AN66">
        <f>IF(AN$1&lt;&gt;"",INDEX(Base!$G$1:$G$5000,$A66+AN$1+2),"")</f>
        <v>0.77</v>
      </c>
      <c r="AO66">
        <f>IF(AO$1&lt;&gt;"",INDEX(Base!$G$1:$G$5000,$A66+AO$1+2),"")</f>
        <v>0.72</v>
      </c>
      <c r="AP66">
        <f>IF(AP$1&lt;&gt;"",INDEX(Base!$G$1:$G$5000,$A66+AP$1+2),"")</f>
        <v>0.05</v>
      </c>
      <c r="AQ66">
        <f>IF(AQ$1&lt;&gt;"",INDEX(Base!$G$1:$G$5000,$A66+AQ$1+2),"")</f>
        <v>0.9</v>
      </c>
      <c r="AR66">
        <f>IF(AR$1&lt;&gt;"",INDEX(Base!$G$1:$G$5000,$A66+AR$1+2),"")</f>
        <v>0.1</v>
      </c>
      <c r="AS66">
        <f>IF(AS$1&lt;&gt;"",INDEX(Base!$G$1:$G$5000,$A66+AS$1+2),"")</f>
        <v>0.37</v>
      </c>
      <c r="AT66">
        <f>IF(AT$1&lt;&gt;"",INDEX(Base!$G$1:$G$5000,$A66+AT$1+2),"")</f>
        <v>0.26</v>
      </c>
      <c r="AU66">
        <f>IF(AU$1&lt;&gt;"",INDEX(Base!$G$1:$G$5000,$A66+AU$1+2),"")</f>
        <v>0.1</v>
      </c>
      <c r="AV66">
        <f>IF(AV$1&lt;&gt;"",INDEX(Base!$G$1:$G$5000,$A66+AV$1+2),"")</f>
        <v>0.2</v>
      </c>
      <c r="AW66" s="8">
        <f t="shared" si="0"/>
        <v>1.1650485436893203</v>
      </c>
      <c r="AX66">
        <f>IF(AX$1&lt;&gt;"",INDEX(Base!$R$1:$R$4000,$E66+AX$1+2),"")</f>
        <v>13</v>
      </c>
      <c r="AY66">
        <f>IF(AY$1&lt;&gt;"",INDEX(Base!$R$1:$R$2500,$E66+AY$1+2),"")</f>
        <v>188.59</v>
      </c>
      <c r="AZ66">
        <f>IF(AZ$1&lt;&gt;"",INDEX(Base!$R$1:$R$2500,$E66+AZ$1+2),"")</f>
        <v>0.16</v>
      </c>
      <c r="BA66">
        <f>IF(BA$1&lt;&gt;"",INDEX(Base!$R$1:$R$2500,$E66+BA$1+2),"")</f>
        <v>0.4</v>
      </c>
      <c r="BB66">
        <f>IF(BB$1&lt;&gt;"",INDEX(Base!$R$1:$R$2500,$E66+BB$1+2),"")</f>
        <v>42.95</v>
      </c>
      <c r="BC66">
        <f>IF(BC$1&lt;&gt;"",INDEX(Base!$R$1:$R$2500,$E66+BC$1+2),"")</f>
        <v>1.36</v>
      </c>
      <c r="BD66">
        <f>IF(BD$1&lt;&gt;"",INDEX(Base!$R$1:$R$2500,$E66+BD$1+2),"")</f>
        <v>3.82</v>
      </c>
      <c r="BE66">
        <f>IF(BE$1&lt;&gt;"",INDEX(Base!$R$1:$R$2500,$E66+BE$1+2),"")</f>
        <v>12.79</v>
      </c>
      <c r="BF66">
        <f>IF(BF$1&lt;&gt;"",INDEX(Base!$R$1:$R$2500,$E66+BF$1+2),"")</f>
        <v>0.09</v>
      </c>
      <c r="BG66">
        <f>IF(BG$1&lt;&gt;"",INDEX(Base!$R$1:$R$2500,$E66+BG$1+2),"")</f>
        <v>0.8</v>
      </c>
      <c r="BH66">
        <f>IF(BH$1&lt;&gt;"",INDEX(Base!$R$1:$R$2500,$E66+BH$1+2),"")</f>
        <v>0.12</v>
      </c>
      <c r="BI66">
        <f>IF(BI$1&lt;&gt;"",INDEX(Base!$R$1:$R$2500,$E66+BI$1+2),"")</f>
        <v>25.38</v>
      </c>
      <c r="BJ66">
        <f>IF(BJ$1&lt;&gt;"",INDEX(Base!$R$1:$R$2500,$E66+BJ$1+2),"")</f>
        <v>9.4</v>
      </c>
      <c r="BK66">
        <f>IF(BK$1&lt;&gt;"",INDEX(Base!$R$1:$R$2500,$E66+BK$1+2),"")</f>
        <v>13.77</v>
      </c>
      <c r="BL66">
        <f>IF(BL$1&lt;&gt;"",INDEX(Base!$R$1:$R$2500,$E66+BL$1+2),"")</f>
        <v>2.56</v>
      </c>
      <c r="BM66">
        <f>IF(BM$1&lt;&gt;"",INDEX(Base!$R$1:$R$2500,$E66+BM$1+2),"")</f>
        <v>0.98</v>
      </c>
      <c r="BN66">
        <f>IF(BN$1&lt;&gt;"",INDEX(Base!$R$1:$R$2500,$E66+BN$1+2),"")</f>
        <v>0.1</v>
      </c>
      <c r="BO66">
        <f>IF(BO$1&lt;&gt;"",INDEX(Base!$R$1:$R$2500,$E66+BO$1+2),"")</f>
        <v>0.14000000000000001</v>
      </c>
      <c r="BP66">
        <f>IF(BP$1&lt;&gt;"",INDEX(Base!$R$1:$R$2500,$E66+BP$1+2),"")</f>
        <v>0.38</v>
      </c>
      <c r="BQ66">
        <f>IF(BQ$1&lt;&gt;"",INDEX(Base!$R$1:$R$2500,$E66+BQ$1+2),"")</f>
        <v>0.28000000000000003</v>
      </c>
      <c r="BR66">
        <f>IF(BR$1&lt;&gt;"",INDEX(Base!$R$1:$R$2500,$E66+BR$1+2),"")</f>
        <v>0.14000000000000001</v>
      </c>
      <c r="BS66">
        <f>IF(BS$1&lt;&gt;"",INDEX(Base!$R$1:$R$2500,$E66+BS$1+2),"")</f>
        <v>1.39</v>
      </c>
      <c r="BT66">
        <f>IF(BT$1&lt;&gt;"",INDEX(Base!$R$1:$R$2500,$E66+BT$1+2),"")</f>
        <v>3.09</v>
      </c>
    </row>
    <row r="67" spans="1:72" x14ac:dyDescent="0.3">
      <c r="A67" s="2">
        <f t="shared" si="3"/>
        <v>2821</v>
      </c>
      <c r="B67" s="3" t="str">
        <f>IFERROR(MID(INDEX(Base!A$1:A$5000,Calcoli!A67),47,LEN(INDEX(Base!A$1:A$5000,Calcoli!A67))-41),"")</f>
        <v>MANCINI DANIELA</v>
      </c>
      <c r="C67" s="5" t="str">
        <f>MID(INDEX(Base!A$1:A$5000,Calcoli!A67),42,4)</f>
        <v>1924</v>
      </c>
      <c r="D67" s="5" t="str">
        <f>MID(INDEX(Base!A$1:A$5000,Calcoli!A67),13,11)</f>
        <v xml:space="preserve"> 31_03_2025</v>
      </c>
      <c r="E67" s="4">
        <f t="shared" si="1"/>
        <v>1989</v>
      </c>
      <c r="F67" s="3" t="str">
        <f>IFERROR(MID(INDEX(Base!L$1:L$4000,Calcoli!E67),47,LEN(INDEX(Base!L$1:L$4000,Calcoli!E67))-41),"")</f>
        <v>MANCINI DANIELA</v>
      </c>
      <c r="G67" s="5" t="str">
        <f>MID(INDEX(Base!L$1:L$4000,Calcoli!$E67),42,4)</f>
        <v>1924</v>
      </c>
      <c r="H67" s="5" t="str">
        <f>MID(INDEX(Base!L$1:L$4000,Calcoli!E67),13,11)</f>
        <v xml:space="preserve"> 01_04_2025</v>
      </c>
      <c r="I67" s="6" t="str">
        <f xml:space="preserve"> IFERROR(MID(INDEX(Base!$V$3:$AB$60,MATCH($F67,Base!$Z$3:$Z$160,0),1),1,14),"")</f>
        <v/>
      </c>
      <c r="J67" s="6" t="str">
        <f xml:space="preserve"> IFERROR(INDEX(Base!$V$3:$AB$160,MATCH($F67,Base!$Z$3:$Z$160,0),2),"")</f>
        <v/>
      </c>
      <c r="K67" s="6" t="str">
        <f xml:space="preserve"> IFERROR(INDEX(Base!$V$3:$AB$160,MATCH($F67,Base!$Z$3:$Z$160,0),3),"")</f>
        <v/>
      </c>
      <c r="L67" s="28" t="str">
        <f xml:space="preserve"> IFERROR(INDEX(Base!$V$3:$AB$160,MATCH($F67,Base!$Z$3:$Z$160,0),4),"")</f>
        <v/>
      </c>
      <c r="M67">
        <f>IF(M$1&lt;&gt;"",INDEX(Base!$G$1:$G$5000,$A67+M$1+2),"")</f>
        <v>11.2</v>
      </c>
      <c r="N67">
        <f>IF(N$1&lt;&gt;"",INDEX(Base!$G$1:$G$5000,$A67+N$1+2),"")</f>
        <v>17.850000000000001</v>
      </c>
      <c r="O67">
        <f>IF(O$1&lt;&gt;"",INDEX(Base!$G$1:$G$5000,$A67+O$1+2),"")</f>
        <v>0.16</v>
      </c>
      <c r="P67">
        <f>IF(P$1&lt;&gt;"",INDEX(Base!$G$1:$G$5000,$A67+P$1+2),"")</f>
        <v>4.3499999999999996</v>
      </c>
      <c r="Q67">
        <f>IF(Q$1&lt;&gt;"",INDEX(Base!$G$1:$G$5000,$A67+Q$1+2),"")</f>
        <v>0.1</v>
      </c>
      <c r="R67">
        <f>IF(R$1&lt;&gt;"",INDEX(Base!$G$1:$G$5000,$A67+R$1+2),"")</f>
        <v>1.72</v>
      </c>
      <c r="S67">
        <f>IF(S$1&lt;&gt;"",INDEX(Base!$G$1:$G$5000,$A67+S$1+2),"")</f>
        <v>0.1</v>
      </c>
      <c r="T67">
        <f>IF(T$1&lt;&gt;"",INDEX(Base!$G$1:$G$5000,$A67+T$1+2),"")</f>
        <v>31.84</v>
      </c>
      <c r="U67">
        <f>IF(U$1&lt;&gt;"",INDEX(Base!$G$1:$G$5000,$A67+U$1+2),"")</f>
        <v>1.85</v>
      </c>
      <c r="V67">
        <f>IF(V$1&lt;&gt;"",INDEX(Base!$G$1:$G$5000,$A67+V$1+2),"")</f>
        <v>0.34</v>
      </c>
      <c r="W67">
        <f>IF(W$1&lt;&gt;"",INDEX(Base!$G$1:$G$5000,$A67+W$1+2),"")</f>
        <v>0.95</v>
      </c>
      <c r="X67">
        <f>IF(X$1&lt;&gt;"",INDEX(Base!$G$1:$G$5000,$A67+X$1+2),"")</f>
        <v>0.9</v>
      </c>
      <c r="Y67">
        <f>IF(Y$1&lt;&gt;"",INDEX(Base!$G$1:$G$5000,$A67+Y$1+2),"")</f>
        <v>72.42</v>
      </c>
      <c r="Z67">
        <f>IF(Z$1&lt;&gt;"",INDEX(Base!$G$1:$G$5000,$A67+Z$1+2),"")</f>
        <v>0.1</v>
      </c>
      <c r="AA67">
        <f>IF(AA$1&lt;&gt;"",INDEX(Base!$G$1:$G$5000,$A67+AA$1+2),"")</f>
        <v>0.59</v>
      </c>
      <c r="AB67">
        <f>IF(AB$1&lt;&gt;"",INDEX(Base!$G$1:$G$5000,$A67+AB$1+2),"")</f>
        <v>0.68</v>
      </c>
      <c r="AC67">
        <f>IF(AC$1&lt;&gt;"",INDEX(Base!$G$1:$G$5000,$A67+AC$1+2),"")</f>
        <v>7</v>
      </c>
      <c r="AD67">
        <f>IF(AD$1&lt;&gt;"",INDEX(Base!$G$1:$G$5000,$A67+AD$1+2),"")</f>
        <v>10.47</v>
      </c>
      <c r="AE67">
        <f>IF(AE$1&lt;&gt;"",INDEX(Base!$G$1:$G$5000,$A67+AE$1+2),"")</f>
        <v>0.26</v>
      </c>
      <c r="AF67">
        <f>IF(AF$1&lt;&gt;"",INDEX(Base!$G$1:$G$5000,$A67+AF$1+2),"")</f>
        <v>2.08</v>
      </c>
      <c r="AG67">
        <f>IF(AG$1&lt;&gt;"",INDEX(Base!$G$1:$G$5000,$A67+AG$1+2),"")</f>
        <v>1.43</v>
      </c>
      <c r="AH67">
        <f>IF(AH$1&lt;&gt;"",INDEX(Base!$G$1:$G$5000,$A67+AH$1+2),"")</f>
        <v>2.06</v>
      </c>
      <c r="AI67">
        <f>IF(AI$1&lt;&gt;"",INDEX(Base!$G$1:$G$5000,$A67+AI$1+2),"")</f>
        <v>0.38</v>
      </c>
      <c r="AJ67">
        <f>IF(AJ$1&lt;&gt;"",INDEX(Base!$G$1:$G$5000,$A67+AJ$1+2),"")</f>
        <v>0.14000000000000001</v>
      </c>
      <c r="AK67">
        <f>IF(AK$1&lt;&gt;"",INDEX(Base!$G$1:$G$5000,$A67+AK$1+2),"")</f>
        <v>5.5</v>
      </c>
      <c r="AL67">
        <f>IF(AL$1&lt;&gt;"",INDEX(Base!$G$1:$G$5000,$A67+AL$1+2),"")</f>
        <v>2.5499999999999998</v>
      </c>
      <c r="AM67">
        <f>IF(AM$1&lt;&gt;"",INDEX(Base!$G$1:$G$5000,$A67+AM$1+2),"")</f>
        <v>3.47</v>
      </c>
      <c r="AN67">
        <f>IF(AN$1&lt;&gt;"",INDEX(Base!$G$1:$G$5000,$A67+AN$1+2),"")</f>
        <v>2.87</v>
      </c>
      <c r="AO67">
        <f>IF(AO$1&lt;&gt;"",INDEX(Base!$G$1:$G$5000,$A67+AO$1+2),"")</f>
        <v>1.1200000000000001</v>
      </c>
      <c r="AP67">
        <f>IF(AP$1&lt;&gt;"",INDEX(Base!$G$1:$G$5000,$A67+AP$1+2),"")</f>
        <v>0.21</v>
      </c>
      <c r="AQ67">
        <f>IF(AQ$1&lt;&gt;"",INDEX(Base!$G$1:$G$5000,$A67+AQ$1+2),"")</f>
        <v>0.1</v>
      </c>
      <c r="AR67">
        <f>IF(AR$1&lt;&gt;"",INDEX(Base!$G$1:$G$5000,$A67+AR$1+2),"")</f>
        <v>0.09</v>
      </c>
      <c r="AS67">
        <f>IF(AS$1&lt;&gt;"",INDEX(Base!$G$1:$G$5000,$A67+AS$1+2),"")</f>
        <v>1.04</v>
      </c>
      <c r="AT67">
        <f>IF(AT$1&lt;&gt;"",INDEX(Base!$G$1:$G$5000,$A67+AT$1+2),"")</f>
        <v>0.11</v>
      </c>
      <c r="AU67">
        <f>IF(AU$1&lt;&gt;"",INDEX(Base!$G$1:$G$5000,$A67+AU$1+2),"")</f>
        <v>0.1</v>
      </c>
      <c r="AV67">
        <f>IF(AV$1&lt;&gt;"",INDEX(Base!$G$1:$G$5000,$A67+AV$1+2),"")</f>
        <v>0.68</v>
      </c>
      <c r="AW67" s="8">
        <f t="shared" si="0"/>
        <v>0.14705882352941177</v>
      </c>
      <c r="AX67">
        <f>IF(AX$1&lt;&gt;"",INDEX(Base!$R$1:$R$4000,$E67+AX$1+2),"")</f>
        <v>22.11</v>
      </c>
      <c r="AY67">
        <f>IF(AY$1&lt;&gt;"",INDEX(Base!$R$1:$R$2500,$E67+AY$1+2),"")</f>
        <v>315.94</v>
      </c>
      <c r="AZ67">
        <f>IF(AZ$1&lt;&gt;"",INDEX(Base!$R$1:$R$2500,$E67+AZ$1+2),"")</f>
        <v>0.3</v>
      </c>
      <c r="BA67">
        <f>IF(BA$1&lt;&gt;"",INDEX(Base!$R$1:$R$2500,$E67+BA$1+2),"")</f>
        <v>1.24</v>
      </c>
      <c r="BB67">
        <f>IF(BB$1&lt;&gt;"",INDEX(Base!$R$1:$R$2500,$E67+BB$1+2),"")</f>
        <v>39.9</v>
      </c>
      <c r="BC67">
        <f>IF(BC$1&lt;&gt;"",INDEX(Base!$R$1:$R$2500,$E67+BC$1+2),"")</f>
        <v>1.87</v>
      </c>
      <c r="BD67">
        <f>IF(BD$1&lt;&gt;"",INDEX(Base!$R$1:$R$2500,$E67+BD$1+2),"")</f>
        <v>1.49</v>
      </c>
      <c r="BE67">
        <f>IF(BE$1&lt;&gt;"",INDEX(Base!$R$1:$R$2500,$E67+BE$1+2),"")</f>
        <v>37.79</v>
      </c>
      <c r="BF67">
        <f>IF(BF$1&lt;&gt;"",INDEX(Base!$R$1:$R$2500,$E67+BF$1+2),"")</f>
        <v>0.14000000000000001</v>
      </c>
      <c r="BG67">
        <f>IF(BG$1&lt;&gt;"",INDEX(Base!$R$1:$R$2500,$E67+BG$1+2),"")</f>
        <v>5.21</v>
      </c>
      <c r="BH67">
        <f>IF(BH$1&lt;&gt;"",INDEX(Base!$R$1:$R$2500,$E67+BH$1+2),"")</f>
        <v>0.28999999999999998</v>
      </c>
      <c r="BI67">
        <f>IF(BI$1&lt;&gt;"",INDEX(Base!$R$1:$R$2500,$E67+BI$1+2),"")</f>
        <v>14.16</v>
      </c>
      <c r="BJ67">
        <f>IF(BJ$1&lt;&gt;"",INDEX(Base!$R$1:$R$2500,$E67+BJ$1+2),"")</f>
        <v>5.28</v>
      </c>
      <c r="BK67">
        <f>IF(BK$1&lt;&gt;"",INDEX(Base!$R$1:$R$2500,$E67+BK$1+2),"")</f>
        <v>22.62</v>
      </c>
      <c r="BL67">
        <f>IF(BL$1&lt;&gt;"",INDEX(Base!$R$1:$R$2500,$E67+BL$1+2),"")</f>
        <v>2.85</v>
      </c>
      <c r="BM67">
        <f>IF(BM$1&lt;&gt;"",INDEX(Base!$R$1:$R$2500,$E67+BM$1+2),"")</f>
        <v>0.67</v>
      </c>
      <c r="BN67">
        <f>IF(BN$1&lt;&gt;"",INDEX(Base!$R$1:$R$2500,$E67+BN$1+2),"")</f>
        <v>0.1</v>
      </c>
      <c r="BO67">
        <f>IF(BO$1&lt;&gt;"",INDEX(Base!$R$1:$R$2500,$E67+BO$1+2),"")</f>
        <v>0.06</v>
      </c>
      <c r="BP67">
        <f>IF(BP$1&lt;&gt;"",INDEX(Base!$R$1:$R$2500,$E67+BP$1+2),"")</f>
        <v>0.1</v>
      </c>
      <c r="BQ67">
        <f>IF(BQ$1&lt;&gt;"",INDEX(Base!$R$1:$R$2500,$E67+BQ$1+2),"")</f>
        <v>0.19</v>
      </c>
      <c r="BR67">
        <f>IF(BR$1&lt;&gt;"",INDEX(Base!$R$1:$R$2500,$E67+BR$1+2),"")</f>
        <v>0.42</v>
      </c>
      <c r="BS67">
        <f>IF(BS$1&lt;&gt;"",INDEX(Base!$R$1:$R$2500,$E67+BS$1+2),"")</f>
        <v>5.84</v>
      </c>
      <c r="BT67">
        <f>IF(BT$1&lt;&gt;"",INDEX(Base!$R$1:$R$2500,$E67+BT$1+2),"")</f>
        <v>2.4900000000000002</v>
      </c>
    </row>
    <row r="68" spans="1:72" x14ac:dyDescent="0.3">
      <c r="A68" s="2">
        <f t="shared" si="3"/>
        <v>2865</v>
      </c>
      <c r="B68" s="3" t="str">
        <f>IFERROR(MID(INDEX(Base!A$1:A$5000,Calcoli!A68),47,LEN(INDEX(Base!A$1:A$5000,Calcoli!A68))-41),"")</f>
        <v>MONACO ROSSANA</v>
      </c>
      <c r="C68" s="5" t="str">
        <f>MID(INDEX(Base!A$1:A$5000,Calcoli!A68),42,4)</f>
        <v>1929</v>
      </c>
      <c r="D68" s="5" t="str">
        <f>MID(INDEX(Base!A$1:A$5000,Calcoli!A68),13,11)</f>
        <v xml:space="preserve"> 31_03_2025</v>
      </c>
      <c r="E68" s="4">
        <f t="shared" si="1"/>
        <v>2020</v>
      </c>
      <c r="F68" s="3" t="str">
        <f>IFERROR(MID(INDEX(Base!L$1:L$4000,Calcoli!E68),47,LEN(INDEX(Base!L$1:L$4000,Calcoli!E68))-41),"")</f>
        <v>MONACO ROSSANA</v>
      </c>
      <c r="G68" s="5" t="str">
        <f>MID(INDEX(Base!L$1:L$4000,Calcoli!$E68),42,4)</f>
        <v>1929</v>
      </c>
      <c r="H68" s="5" t="str">
        <f>MID(INDEX(Base!L$1:L$4000,Calcoli!E68),13,11)</f>
        <v xml:space="preserve"> 01_04_2025</v>
      </c>
      <c r="I68" s="6" t="str">
        <f xml:space="preserve"> IFERROR(MID(INDEX(Base!$V$3:$AB$60,MATCH($F68,Base!$Z$3:$Z$160,0),1),1,14),"")</f>
        <v/>
      </c>
      <c r="J68" s="6" t="str">
        <f xml:space="preserve"> IFERROR(INDEX(Base!$V$3:$AB$160,MATCH($F68,Base!$Z$3:$Z$160,0),2),"")</f>
        <v/>
      </c>
      <c r="K68" s="6" t="str">
        <f xml:space="preserve"> IFERROR(INDEX(Base!$V$3:$AB$160,MATCH($F68,Base!$Z$3:$Z$160,0),3),"")</f>
        <v/>
      </c>
      <c r="L68" s="28" t="str">
        <f xml:space="preserve"> IFERROR(INDEX(Base!$V$3:$AB$160,MATCH($F68,Base!$Z$3:$Z$160,0),4),"")</f>
        <v/>
      </c>
      <c r="M68">
        <f>IF(M$1&lt;&gt;"",INDEX(Base!$G$1:$G$5000,$A68+M$1+2),"")</f>
        <v>48.53</v>
      </c>
      <c r="N68">
        <f>IF(N$1&lt;&gt;"",INDEX(Base!$G$1:$G$5000,$A68+N$1+2),"")</f>
        <v>10.93</v>
      </c>
      <c r="O68">
        <f>IF(O$1&lt;&gt;"",INDEX(Base!$G$1:$G$5000,$A68+O$1+2),"")</f>
        <v>0.2</v>
      </c>
      <c r="P68">
        <f>IF(P$1&lt;&gt;"",INDEX(Base!$G$1:$G$5000,$A68+P$1+2),"")</f>
        <v>1.82</v>
      </c>
      <c r="Q68">
        <f>IF(Q$1&lt;&gt;"",INDEX(Base!$G$1:$G$5000,$A68+Q$1+2),"")</f>
        <v>1.68</v>
      </c>
      <c r="R68">
        <f>IF(R$1&lt;&gt;"",INDEX(Base!$G$1:$G$5000,$A68+R$1+2),"")</f>
        <v>2.94</v>
      </c>
      <c r="S68">
        <f>IF(S$1&lt;&gt;"",INDEX(Base!$G$1:$G$5000,$A68+S$1+2),"")</f>
        <v>0.09</v>
      </c>
      <c r="T68">
        <f>IF(T$1&lt;&gt;"",INDEX(Base!$G$1:$G$5000,$A68+T$1+2),"")</f>
        <v>29.05</v>
      </c>
      <c r="U68">
        <f>IF(U$1&lt;&gt;"",INDEX(Base!$G$1:$G$5000,$A68+U$1+2),"")</f>
        <v>0.97</v>
      </c>
      <c r="V68">
        <f>IF(V$1&lt;&gt;"",INDEX(Base!$G$1:$G$5000,$A68+V$1+2),"")</f>
        <v>0.16</v>
      </c>
      <c r="W68">
        <f>IF(W$1&lt;&gt;"",INDEX(Base!$G$1:$G$5000,$A68+W$1+2),"")</f>
        <v>2.41</v>
      </c>
      <c r="X68">
        <f>IF(X$1&lt;&gt;"",INDEX(Base!$G$1:$G$5000,$A68+X$1+2),"")</f>
        <v>1.88</v>
      </c>
      <c r="Y68">
        <f>IF(Y$1&lt;&gt;"",INDEX(Base!$G$1:$G$5000,$A68+Y$1+2),"")</f>
        <v>52.6</v>
      </c>
      <c r="Z68">
        <f>IF(Z$1&lt;&gt;"",INDEX(Base!$G$1:$G$5000,$A68+Z$1+2),"")</f>
        <v>2.13</v>
      </c>
      <c r="AA68">
        <f>IF(AA$1&lt;&gt;"",INDEX(Base!$G$1:$G$5000,$A68+AA$1+2),"")</f>
        <v>1.23</v>
      </c>
      <c r="AB68">
        <f>IF(AB$1&lt;&gt;"",INDEX(Base!$G$1:$G$5000,$A68+AB$1+2),"")</f>
        <v>1.3</v>
      </c>
      <c r="AC68">
        <f>IF(AC$1&lt;&gt;"",INDEX(Base!$G$1:$G$5000,$A68+AC$1+2),"")</f>
        <v>2.16</v>
      </c>
      <c r="AD68">
        <f>IF(AD$1&lt;&gt;"",INDEX(Base!$G$1:$G$5000,$A68+AD$1+2),"")</f>
        <v>15.18</v>
      </c>
      <c r="AE68">
        <f>IF(AE$1&lt;&gt;"",INDEX(Base!$G$1:$G$5000,$A68+AE$1+2),"")</f>
        <v>0.11</v>
      </c>
      <c r="AF68">
        <f>IF(AF$1&lt;&gt;"",INDEX(Base!$G$1:$G$5000,$A68+AF$1+2),"")</f>
        <v>2.63</v>
      </c>
      <c r="AG68">
        <f>IF(AG$1&lt;&gt;"",INDEX(Base!$G$1:$G$5000,$A68+AG$1+2),"")</f>
        <v>0.36</v>
      </c>
      <c r="AH68">
        <f>IF(AH$1&lt;&gt;"",INDEX(Base!$G$1:$G$5000,$A68+AH$1+2),"")</f>
        <v>3.52</v>
      </c>
      <c r="AI68">
        <f>IF(AI$1&lt;&gt;"",INDEX(Base!$G$1:$G$5000,$A68+AI$1+2),"")</f>
        <v>1.21</v>
      </c>
      <c r="AJ68">
        <f>IF(AJ$1&lt;&gt;"",INDEX(Base!$G$1:$G$5000,$A68+AJ$1+2),"")</f>
        <v>0.1</v>
      </c>
      <c r="AK68">
        <f>IF(AK$1&lt;&gt;"",INDEX(Base!$G$1:$G$5000,$A68+AK$1+2),"")</f>
        <v>2.63</v>
      </c>
      <c r="AL68">
        <f>IF(AL$1&lt;&gt;"",INDEX(Base!$G$1:$G$5000,$A68+AL$1+2),"")</f>
        <v>1.82</v>
      </c>
      <c r="AM68">
        <f>IF(AM$1&lt;&gt;"",INDEX(Base!$G$1:$G$5000,$A68+AM$1+2),"")</f>
        <v>0.06</v>
      </c>
      <c r="AN68">
        <f>IF(AN$1&lt;&gt;"",INDEX(Base!$G$1:$G$5000,$A68+AN$1+2),"")</f>
        <v>0.44</v>
      </c>
      <c r="AO68">
        <f>IF(AO$1&lt;&gt;"",INDEX(Base!$G$1:$G$5000,$A68+AO$1+2),"")</f>
        <v>1.08</v>
      </c>
      <c r="AP68">
        <f>IF(AP$1&lt;&gt;"",INDEX(Base!$G$1:$G$5000,$A68+AP$1+2),"")</f>
        <v>0.17</v>
      </c>
      <c r="AQ68">
        <f>IF(AQ$1&lt;&gt;"",INDEX(Base!$G$1:$G$5000,$A68+AQ$1+2),"")</f>
        <v>0.19</v>
      </c>
      <c r="AR68">
        <f>IF(AR$1&lt;&gt;"",INDEX(Base!$G$1:$G$5000,$A68+AR$1+2),"")</f>
        <v>0.11</v>
      </c>
      <c r="AS68">
        <f>IF(AS$1&lt;&gt;"",INDEX(Base!$G$1:$G$5000,$A68+AS$1+2),"")</f>
        <v>0.56999999999999995</v>
      </c>
      <c r="AT68">
        <f>IF(AT$1&lt;&gt;"",INDEX(Base!$G$1:$G$5000,$A68+AT$1+2),"")</f>
        <v>0.09</v>
      </c>
      <c r="AU68">
        <f>IF(AU$1&lt;&gt;"",INDEX(Base!$G$1:$G$5000,$A68+AU$1+2),"")</f>
        <v>0.1</v>
      </c>
      <c r="AV68">
        <f>IF(AV$1&lt;&gt;"",INDEX(Base!$G$1:$G$5000,$A68+AV$1+2),"")</f>
        <v>0.32</v>
      </c>
      <c r="AW68" s="8">
        <f t="shared" ref="AW68:AW115" si="5">IFERROR(Z68/AB68,0)</f>
        <v>1.6384615384615384</v>
      </c>
      <c r="AX68">
        <f>IF(AX$1&lt;&gt;"",INDEX(Base!$R$1:$R$4000,$E68+AX$1+2),"")</f>
        <v>7.4</v>
      </c>
      <c r="AY68">
        <f>IF(AY$1&lt;&gt;"",INDEX(Base!$R$1:$R$2500,$E68+AY$1+2),"")</f>
        <v>290.41000000000003</v>
      </c>
      <c r="AZ68">
        <f>IF(AZ$1&lt;&gt;"",INDEX(Base!$R$1:$R$2500,$E68+AZ$1+2),"")</f>
        <v>0.28000000000000003</v>
      </c>
      <c r="BA68">
        <f>IF(BA$1&lt;&gt;"",INDEX(Base!$R$1:$R$2500,$E68+BA$1+2),"")</f>
        <v>0.67</v>
      </c>
      <c r="BB68">
        <f>IF(BB$1&lt;&gt;"",INDEX(Base!$R$1:$R$2500,$E68+BB$1+2),"")</f>
        <v>47.24</v>
      </c>
      <c r="BC68">
        <f>IF(BC$1&lt;&gt;"",INDEX(Base!$R$1:$R$2500,$E68+BC$1+2),"")</f>
        <v>3.37</v>
      </c>
      <c r="BD68">
        <f>IF(BD$1&lt;&gt;"",INDEX(Base!$R$1:$R$2500,$E68+BD$1+2),"")</f>
        <v>6.35</v>
      </c>
      <c r="BE68">
        <f>IF(BE$1&lt;&gt;"",INDEX(Base!$R$1:$R$2500,$E68+BE$1+2),"")</f>
        <v>14.37</v>
      </c>
      <c r="BF68">
        <f>IF(BF$1&lt;&gt;"",INDEX(Base!$R$1:$R$2500,$E68+BF$1+2),"")</f>
        <v>0.24</v>
      </c>
      <c r="BG68">
        <f>IF(BG$1&lt;&gt;"",INDEX(Base!$R$1:$R$2500,$E68+BG$1+2),"")</f>
        <v>0.19</v>
      </c>
      <c r="BH68">
        <f>IF(BH$1&lt;&gt;"",INDEX(Base!$R$1:$R$2500,$E68+BH$1+2),"")</f>
        <v>0.26</v>
      </c>
      <c r="BI68">
        <f>IF(BI$1&lt;&gt;"",INDEX(Base!$R$1:$R$2500,$E68+BI$1+2),"")</f>
        <v>31.88</v>
      </c>
      <c r="BJ68">
        <f>IF(BJ$1&lt;&gt;"",INDEX(Base!$R$1:$R$2500,$E68+BJ$1+2),"")</f>
        <v>9.4600000000000009</v>
      </c>
      <c r="BK68">
        <f>IF(BK$1&lt;&gt;"",INDEX(Base!$R$1:$R$2500,$E68+BK$1+2),"")</f>
        <v>21.42</v>
      </c>
      <c r="BL68">
        <f>IF(BL$1&lt;&gt;"",INDEX(Base!$R$1:$R$2500,$E68+BL$1+2),"")</f>
        <v>2.5</v>
      </c>
      <c r="BM68">
        <f>IF(BM$1&lt;&gt;"",INDEX(Base!$R$1:$R$2500,$E68+BM$1+2),"")</f>
        <v>0.89</v>
      </c>
      <c r="BN68">
        <f>IF(BN$1&lt;&gt;"",INDEX(Base!$R$1:$R$2500,$E68+BN$1+2),"")</f>
        <v>0.13</v>
      </c>
      <c r="BO68">
        <f>IF(BO$1&lt;&gt;"",INDEX(Base!$R$1:$R$2500,$E68+BO$1+2),"")</f>
        <v>0.2</v>
      </c>
      <c r="BP68">
        <f>IF(BP$1&lt;&gt;"",INDEX(Base!$R$1:$R$2500,$E68+BP$1+2),"")</f>
        <v>5.04</v>
      </c>
      <c r="BQ68">
        <f>IF(BQ$1&lt;&gt;"",INDEX(Base!$R$1:$R$2500,$E68+BQ$1+2),"")</f>
        <v>0.47</v>
      </c>
      <c r="BR68">
        <f>IF(BR$1&lt;&gt;"",INDEX(Base!$R$1:$R$2500,$E68+BR$1+2),"")</f>
        <v>0.14000000000000001</v>
      </c>
      <c r="BS68">
        <f>IF(BS$1&lt;&gt;"",INDEX(Base!$R$1:$R$2500,$E68+BS$1+2),"")</f>
        <v>3.03</v>
      </c>
      <c r="BT68">
        <f>IF(BT$1&lt;&gt;"",INDEX(Base!$R$1:$R$2500,$E68+BT$1+2),"")</f>
        <v>1.87</v>
      </c>
    </row>
    <row r="69" spans="1:72" x14ac:dyDescent="0.3">
      <c r="A69" s="2">
        <f t="shared" si="3"/>
        <v>2909</v>
      </c>
      <c r="B69" s="3" t="str">
        <f>IFERROR(MID(INDEX(Base!A$1:A$5000,Calcoli!A69),47,LEN(INDEX(Base!A$1:A$5000,Calcoli!A69))-41),"")</f>
        <v>DE STEFANO NICOLA</v>
      </c>
      <c r="C69" s="5" t="str">
        <f>MID(INDEX(Base!A$1:A$5000,Calcoli!A69),42,4)</f>
        <v>1945</v>
      </c>
      <c r="D69" s="5" t="str">
        <f>MID(INDEX(Base!A$1:A$5000,Calcoli!A69),13,11)</f>
        <v xml:space="preserve"> 31_03_2025</v>
      </c>
      <c r="E69" s="4">
        <f t="shared" si="1"/>
        <v>2051</v>
      </c>
      <c r="F69" s="3" t="str">
        <f>IFERROR(MID(INDEX(Base!L$1:L$4000,Calcoli!E69),47,LEN(INDEX(Base!L$1:L$4000,Calcoli!E69))-41),"")</f>
        <v>DE STEFANO NICOLA</v>
      </c>
      <c r="G69" s="5" t="str">
        <f>MID(INDEX(Base!L$1:L$4000,Calcoli!$E69),42,4)</f>
        <v>1945</v>
      </c>
      <c r="H69" s="5" t="str">
        <f>MID(INDEX(Base!L$1:L$4000,Calcoli!E69),13,11)</f>
        <v xml:space="preserve"> 01_04_2025</v>
      </c>
      <c r="I69" s="6" t="str">
        <f xml:space="preserve"> IFERROR(MID(INDEX(Base!$V$3:$AB$60,MATCH($F69,Base!$Z$3:$Z$160,0),1),1,14),"")</f>
        <v/>
      </c>
      <c r="J69" s="6" t="str">
        <f xml:space="preserve"> IFERROR(INDEX(Base!$V$3:$AB$160,MATCH($F69,Base!$Z$3:$Z$160,0),2),"")</f>
        <v/>
      </c>
      <c r="K69" s="6" t="str">
        <f xml:space="preserve"> IFERROR(INDEX(Base!$V$3:$AB$160,MATCH($F69,Base!$Z$3:$Z$160,0),3),"")</f>
        <v/>
      </c>
      <c r="L69" s="28" t="str">
        <f xml:space="preserve"> IFERROR(INDEX(Base!$V$3:$AB$160,MATCH($F69,Base!$Z$3:$Z$160,0),4),"")</f>
        <v/>
      </c>
      <c r="M69">
        <f>IF(M$1&lt;&gt;"",INDEX(Base!$G$1:$G$5000,$A69+M$1+2),"")</f>
        <v>8.27</v>
      </c>
      <c r="N69">
        <f>IF(N$1&lt;&gt;"",INDEX(Base!$G$1:$G$5000,$A69+N$1+2),"")</f>
        <v>2.68</v>
      </c>
      <c r="O69">
        <f>IF(O$1&lt;&gt;"",INDEX(Base!$G$1:$G$5000,$A69+O$1+2),"")</f>
        <v>0.05</v>
      </c>
      <c r="P69">
        <f>IF(P$1&lt;&gt;"",INDEX(Base!$G$1:$G$5000,$A69+P$1+2),"")</f>
        <v>0.75</v>
      </c>
      <c r="Q69">
        <f>IF(Q$1&lt;&gt;"",INDEX(Base!$G$1:$G$5000,$A69+Q$1+2),"")</f>
        <v>0.1</v>
      </c>
      <c r="R69">
        <f>IF(R$1&lt;&gt;"",INDEX(Base!$G$1:$G$5000,$A69+R$1+2),"")</f>
        <v>1.25</v>
      </c>
      <c r="S69">
        <f>IF(S$1&lt;&gt;"",INDEX(Base!$G$1:$G$5000,$A69+S$1+2),"")</f>
        <v>0.26</v>
      </c>
      <c r="T69">
        <f>IF(T$1&lt;&gt;"",INDEX(Base!$G$1:$G$5000,$A69+T$1+2),"")</f>
        <v>22.42</v>
      </c>
      <c r="U69">
        <f>IF(U$1&lt;&gt;"",INDEX(Base!$G$1:$G$5000,$A69+U$1+2),"")</f>
        <v>0.83</v>
      </c>
      <c r="V69">
        <f>IF(V$1&lt;&gt;"",INDEX(Base!$G$1:$G$5000,$A69+V$1+2),"")</f>
        <v>0.09</v>
      </c>
      <c r="W69">
        <f>IF(W$1&lt;&gt;"",INDEX(Base!$G$1:$G$5000,$A69+W$1+2),"")</f>
        <v>1.48</v>
      </c>
      <c r="X69">
        <f>IF(X$1&lt;&gt;"",INDEX(Base!$G$1:$G$5000,$A69+X$1+2),"")</f>
        <v>1.1299999999999999</v>
      </c>
      <c r="Y69">
        <f>IF(Y$1&lt;&gt;"",INDEX(Base!$G$1:$G$5000,$A69+Y$1+2),"")</f>
        <v>49.91</v>
      </c>
      <c r="Z69">
        <f>IF(Z$1&lt;&gt;"",INDEX(Base!$G$1:$G$5000,$A69+Z$1+2),"")</f>
        <v>1.01</v>
      </c>
      <c r="AA69">
        <f>IF(AA$1&lt;&gt;"",INDEX(Base!$G$1:$G$5000,$A69+AA$1+2),"")</f>
        <v>0.71</v>
      </c>
      <c r="AB69">
        <f>IF(AB$1&lt;&gt;"",INDEX(Base!$G$1:$G$5000,$A69+AB$1+2),"")</f>
        <v>0.66</v>
      </c>
      <c r="AC69">
        <f>IF(AC$1&lt;&gt;"",INDEX(Base!$G$1:$G$5000,$A69+AC$1+2),"")</f>
        <v>2.13</v>
      </c>
      <c r="AD69">
        <f>IF(AD$1&lt;&gt;"",INDEX(Base!$G$1:$G$5000,$A69+AD$1+2),"")</f>
        <v>7.37</v>
      </c>
      <c r="AE69">
        <f>IF(AE$1&lt;&gt;"",INDEX(Base!$G$1:$G$5000,$A69+AE$1+2),"")</f>
        <v>0.09</v>
      </c>
      <c r="AF69">
        <f>IF(AF$1&lt;&gt;"",INDEX(Base!$G$1:$G$5000,$A69+AF$1+2),"")</f>
        <v>1.22</v>
      </c>
      <c r="AG69">
        <f>IF(AG$1&lt;&gt;"",INDEX(Base!$G$1:$G$5000,$A69+AG$1+2),"")</f>
        <v>0.23</v>
      </c>
      <c r="AH69">
        <f>IF(AH$1&lt;&gt;"",INDEX(Base!$G$1:$G$5000,$A69+AH$1+2),"")</f>
        <v>2.56</v>
      </c>
      <c r="AI69">
        <f>IF(AI$1&lt;&gt;"",INDEX(Base!$G$1:$G$5000,$A69+AI$1+2),"")</f>
        <v>0.75</v>
      </c>
      <c r="AJ69">
        <f>IF(AJ$1&lt;&gt;"",INDEX(Base!$G$1:$G$5000,$A69+AJ$1+2),"")</f>
        <v>0.1</v>
      </c>
      <c r="AK69">
        <f>IF(AK$1&lt;&gt;"",INDEX(Base!$G$1:$G$5000,$A69+AK$1+2),"")</f>
        <v>2.92</v>
      </c>
      <c r="AL69">
        <f>IF(AL$1&lt;&gt;"",INDEX(Base!$G$1:$G$5000,$A69+AL$1+2),"")</f>
        <v>3.63</v>
      </c>
      <c r="AM69">
        <f>IF(AM$1&lt;&gt;"",INDEX(Base!$G$1:$G$5000,$A69+AM$1+2),"")</f>
        <v>0.1</v>
      </c>
      <c r="AN69">
        <f>IF(AN$1&lt;&gt;"",INDEX(Base!$G$1:$G$5000,$A69+AN$1+2),"")</f>
        <v>0.32</v>
      </c>
      <c r="AO69">
        <f>IF(AO$1&lt;&gt;"",INDEX(Base!$G$1:$G$5000,$A69+AO$1+2),"")</f>
        <v>0.55000000000000004</v>
      </c>
      <c r="AP69">
        <f>IF(AP$1&lt;&gt;"",INDEX(Base!$G$1:$G$5000,$A69+AP$1+2),"")</f>
        <v>7.0000000000000007E-2</v>
      </c>
      <c r="AQ69">
        <f>IF(AQ$1&lt;&gt;"",INDEX(Base!$G$1:$G$5000,$A69+AQ$1+2),"")</f>
        <v>0.26</v>
      </c>
      <c r="AR69">
        <f>IF(AR$1&lt;&gt;"",INDEX(Base!$G$1:$G$5000,$A69+AR$1+2),"")</f>
        <v>0.06</v>
      </c>
      <c r="AS69">
        <f>IF(AS$1&lt;&gt;"",INDEX(Base!$G$1:$G$5000,$A69+AS$1+2),"")</f>
        <v>0.95</v>
      </c>
      <c r="AT69">
        <f>IF(AT$1&lt;&gt;"",INDEX(Base!$G$1:$G$5000,$A69+AT$1+2),"")</f>
        <v>0.15</v>
      </c>
      <c r="AU69">
        <f>IF(AU$1&lt;&gt;"",INDEX(Base!$G$1:$G$5000,$A69+AU$1+2),"")</f>
        <v>0.1</v>
      </c>
      <c r="AV69">
        <f>IF(AV$1&lt;&gt;"",INDEX(Base!$G$1:$G$5000,$A69+AV$1+2),"")</f>
        <v>0.11</v>
      </c>
      <c r="AW69" s="8">
        <f t="shared" si="5"/>
        <v>1.5303030303030303</v>
      </c>
      <c r="AX69">
        <f>IF(AX$1&lt;&gt;"",INDEX(Base!$R$1:$R$4000,$E69+AX$1+2),"")</f>
        <v>7.63</v>
      </c>
      <c r="AY69">
        <f>IF(AY$1&lt;&gt;"",INDEX(Base!$R$1:$R$2500,$E69+AY$1+2),"")</f>
        <v>133.4</v>
      </c>
      <c r="AZ69">
        <f>IF(AZ$1&lt;&gt;"",INDEX(Base!$R$1:$R$2500,$E69+AZ$1+2),"")</f>
        <v>0.12</v>
      </c>
      <c r="BA69">
        <f>IF(BA$1&lt;&gt;"",INDEX(Base!$R$1:$R$2500,$E69+BA$1+2),"")</f>
        <v>0.2</v>
      </c>
      <c r="BB69">
        <f>IF(BB$1&lt;&gt;"",INDEX(Base!$R$1:$R$2500,$E69+BB$1+2),"")</f>
        <v>22.63</v>
      </c>
      <c r="BC69">
        <f>IF(BC$1&lt;&gt;"",INDEX(Base!$R$1:$R$2500,$E69+BC$1+2),"")</f>
        <v>1.1599999999999999</v>
      </c>
      <c r="BD69">
        <f>IF(BD$1&lt;&gt;"",INDEX(Base!$R$1:$R$2500,$E69+BD$1+2),"")</f>
        <v>2.19</v>
      </c>
      <c r="BE69">
        <f>IF(BE$1&lt;&gt;"",INDEX(Base!$R$1:$R$2500,$E69+BE$1+2),"")</f>
        <v>155.07</v>
      </c>
      <c r="BF69">
        <f>IF(BF$1&lt;&gt;"",INDEX(Base!$R$1:$R$2500,$E69+BF$1+2),"")</f>
        <v>0.14000000000000001</v>
      </c>
      <c r="BG69">
        <f>IF(BG$1&lt;&gt;"",INDEX(Base!$R$1:$R$2500,$E69+BG$1+2),"")</f>
        <v>0.23</v>
      </c>
      <c r="BH69">
        <f>IF(BH$1&lt;&gt;"",INDEX(Base!$R$1:$R$2500,$E69+BH$1+2),"")</f>
        <v>0.12</v>
      </c>
      <c r="BI69">
        <f>IF(BI$1&lt;&gt;"",INDEX(Base!$R$1:$R$2500,$E69+BI$1+2),"")</f>
        <v>6.65</v>
      </c>
      <c r="BJ69">
        <f>IF(BJ$1&lt;&gt;"",INDEX(Base!$R$1:$R$2500,$E69+BJ$1+2),"")</f>
        <v>3.58</v>
      </c>
      <c r="BK69">
        <f>IF(BK$1&lt;&gt;"",INDEX(Base!$R$1:$R$2500,$E69+BK$1+2),"")</f>
        <v>13.86</v>
      </c>
      <c r="BL69">
        <f>IF(BL$1&lt;&gt;"",INDEX(Base!$R$1:$R$2500,$E69+BL$1+2),"")</f>
        <v>2.04</v>
      </c>
      <c r="BM69">
        <f>IF(BM$1&lt;&gt;"",INDEX(Base!$R$1:$R$2500,$E69+BM$1+2),"")</f>
        <v>0.48</v>
      </c>
      <c r="BN69">
        <f>IF(BN$1&lt;&gt;"",INDEX(Base!$R$1:$R$2500,$E69+BN$1+2),"")</f>
        <v>0.1</v>
      </c>
      <c r="BO69">
        <f>IF(BO$1&lt;&gt;"",INDEX(Base!$R$1:$R$2500,$E69+BO$1+2),"")</f>
        <v>0.11</v>
      </c>
      <c r="BP69">
        <f>IF(BP$1&lt;&gt;"",INDEX(Base!$R$1:$R$2500,$E69+BP$1+2),"")</f>
        <v>3.04</v>
      </c>
      <c r="BQ69">
        <f>IF(BQ$1&lt;&gt;"",INDEX(Base!$R$1:$R$2500,$E69+BQ$1+2),"")</f>
        <v>0.14000000000000001</v>
      </c>
      <c r="BR69">
        <f>IF(BR$1&lt;&gt;"",INDEX(Base!$R$1:$R$2500,$E69+BR$1+2),"")</f>
        <v>0.57999999999999996</v>
      </c>
      <c r="BS69">
        <f>IF(BS$1&lt;&gt;"",INDEX(Base!$R$1:$R$2500,$E69+BS$1+2),"")</f>
        <v>2.95</v>
      </c>
      <c r="BT69">
        <f>IF(BT$1&lt;&gt;"",INDEX(Base!$R$1:$R$2500,$E69+BT$1+2),"")</f>
        <v>0.9</v>
      </c>
    </row>
    <row r="70" spans="1:72" x14ac:dyDescent="0.3">
      <c r="A70" s="2">
        <f t="shared" si="3"/>
        <v>2953</v>
      </c>
      <c r="B70" s="3" t="str">
        <f>IFERROR(MID(INDEX(Base!A$1:A$5000,Calcoli!A70),47,LEN(INDEX(Base!A$1:A$5000,Calcoli!A70))-41),"")</f>
        <v/>
      </c>
      <c r="C70" s="5" t="str">
        <f>MID(INDEX(Base!A$1:A$5000,Calcoli!A70),42,4)</f>
        <v/>
      </c>
      <c r="D70" s="5" t="str">
        <f>MID(INDEX(Base!A$1:A$5000,Calcoli!A70),13,11)</f>
        <v xml:space="preserve"> 31_03_2025</v>
      </c>
      <c r="E70" s="4">
        <f t="shared" ref="E70:E115" si="6">+E69+31</f>
        <v>2082</v>
      </c>
      <c r="F70" s="3" t="str">
        <f>IFERROR(MID(INDEX(Base!L$1:L$4000,Calcoli!E70),47,LEN(INDEX(Base!L$1:L$4000,Calcoli!E70))-41),"")</f>
        <v/>
      </c>
      <c r="G70" s="5" t="str">
        <f>MID(INDEX(Base!L$1:L$4000,Calcoli!$E70),42,4)</f>
        <v/>
      </c>
      <c r="H70" s="5" t="str">
        <f>MID(INDEX(Base!L$1:L$4000,Calcoli!E70),13,11)</f>
        <v xml:space="preserve"> 01_04_2025</v>
      </c>
      <c r="I70" s="6" t="str">
        <f xml:space="preserve"> IFERROR(MID(INDEX(Base!$V$3:$AB$60,MATCH($F70,Base!$Z$3:$Z$160,0),1),1,14),"")</f>
        <v/>
      </c>
      <c r="J70" s="6" t="str">
        <f xml:space="preserve"> IFERROR(INDEX(Base!$V$3:$AB$160,MATCH($F70,Base!$Z$3:$Z$160,0),2),"")</f>
        <v/>
      </c>
      <c r="K70" s="6" t="str">
        <f xml:space="preserve"> IFERROR(INDEX(Base!$V$3:$AB$160,MATCH($F70,Base!$Z$3:$Z$160,0),3),"")</f>
        <v/>
      </c>
      <c r="L70" s="28" t="str">
        <f xml:space="preserve"> IFERROR(INDEX(Base!$V$3:$AB$160,MATCH($F70,Base!$Z$3:$Z$160,0),4),"")</f>
        <v/>
      </c>
      <c r="M70">
        <f>IF(M$1&lt;&gt;"",INDEX(Base!$G$1:$G$5000,$A70+M$1+2),"")</f>
        <v>0.1</v>
      </c>
      <c r="N70">
        <f>IF(N$1&lt;&gt;"",INDEX(Base!$G$1:$G$5000,$A70+N$1+2),"")</f>
        <v>5.48</v>
      </c>
      <c r="O70">
        <f>IF(O$1&lt;&gt;"",INDEX(Base!$G$1:$G$5000,$A70+O$1+2),"")</f>
        <v>0.59</v>
      </c>
      <c r="P70">
        <f>IF(P$1&lt;&gt;"",INDEX(Base!$G$1:$G$5000,$A70+P$1+2),"")</f>
        <v>0.82</v>
      </c>
      <c r="Q70">
        <f>IF(Q$1&lt;&gt;"",INDEX(Base!$G$1:$G$5000,$A70+Q$1+2),"")</f>
        <v>0.08</v>
      </c>
      <c r="R70">
        <f>IF(R$1&lt;&gt;"",INDEX(Base!$G$1:$G$5000,$A70+R$1+2),"")</f>
        <v>2.2999999999999998</v>
      </c>
      <c r="S70">
        <f>IF(S$1&lt;&gt;"",INDEX(Base!$G$1:$G$5000,$A70+S$1+2),"")</f>
        <v>0.09</v>
      </c>
      <c r="T70">
        <f>IF(T$1&lt;&gt;"",INDEX(Base!$G$1:$G$5000,$A70+T$1+2),"")</f>
        <v>0.1</v>
      </c>
      <c r="U70">
        <f>IF(U$1&lt;&gt;"",INDEX(Base!$G$1:$G$5000,$A70+U$1+2),"")</f>
        <v>2.25</v>
      </c>
      <c r="V70">
        <f>IF(V$1&lt;&gt;"",INDEX(Base!$G$1:$G$5000,$A70+V$1+2),"")</f>
        <v>0.46</v>
      </c>
      <c r="W70">
        <f>IF(W$1&lt;&gt;"",INDEX(Base!$G$1:$G$5000,$A70+W$1+2),"")</f>
        <v>0.1</v>
      </c>
      <c r="X70">
        <f>IF(X$1&lt;&gt;"",INDEX(Base!$G$1:$G$5000,$A70+X$1+2),"")</f>
        <v>2.85</v>
      </c>
      <c r="Y70">
        <f>IF(Y$1&lt;&gt;"",INDEX(Base!$G$1:$G$5000,$A70+Y$1+2),"")</f>
        <v>0.1</v>
      </c>
      <c r="Z70">
        <f>IF(Z$1&lt;&gt;"",INDEX(Base!$G$1:$G$5000,$A70+Z$1+2),"")</f>
        <v>10.88</v>
      </c>
      <c r="AA70">
        <f>IF(AA$1&lt;&gt;"",INDEX(Base!$G$1:$G$5000,$A70+AA$1+2),"")</f>
        <v>0.79</v>
      </c>
      <c r="AB70">
        <f>IF(AB$1&lt;&gt;"",INDEX(Base!$G$1:$G$5000,$A70+AB$1+2),"")</f>
        <v>2.04</v>
      </c>
      <c r="AC70">
        <f>IF(AC$1&lt;&gt;"",INDEX(Base!$G$1:$G$5000,$A70+AC$1+2),"")</f>
        <v>3.2</v>
      </c>
      <c r="AD70">
        <f>IF(AD$1&lt;&gt;"",INDEX(Base!$G$1:$G$5000,$A70+AD$1+2),"")</f>
        <v>10.33</v>
      </c>
      <c r="AE70">
        <f>IF(AE$1&lt;&gt;"",INDEX(Base!$G$1:$G$5000,$A70+AE$1+2),"")</f>
        <v>0.3</v>
      </c>
      <c r="AF70">
        <f>IF(AF$1&lt;&gt;"",INDEX(Base!$G$1:$G$5000,$A70+AF$1+2),"")</f>
        <v>0.1</v>
      </c>
      <c r="AG70">
        <f>IF(AG$1&lt;&gt;"",INDEX(Base!$G$1:$G$5000,$A70+AG$1+2),"")</f>
        <v>0.11</v>
      </c>
      <c r="AH70">
        <f>IF(AH$1&lt;&gt;"",INDEX(Base!$G$1:$G$5000,$A70+AH$1+2),"")</f>
        <v>0.1</v>
      </c>
      <c r="AI70">
        <f>IF(AI$1&lt;&gt;"",INDEX(Base!$G$1:$G$5000,$A70+AI$1+2),"")</f>
        <v>0.1</v>
      </c>
      <c r="AJ70">
        <f>IF(AJ$1&lt;&gt;"",INDEX(Base!$G$1:$G$5000,$A70+AJ$1+2),"")</f>
        <v>0.1</v>
      </c>
      <c r="AK70">
        <f>IF(AK$1&lt;&gt;"",INDEX(Base!$G$1:$G$5000,$A70+AK$1+2),"")</f>
        <v>25.08</v>
      </c>
      <c r="AL70">
        <f>IF(AL$1&lt;&gt;"",INDEX(Base!$G$1:$G$5000,$A70+AL$1+2),"")</f>
        <v>2.04</v>
      </c>
      <c r="AM70">
        <f>IF(AM$1&lt;&gt;"",INDEX(Base!$G$1:$G$5000,$A70+AM$1+2),"")</f>
        <v>0.1</v>
      </c>
      <c r="AN70">
        <f>IF(AN$1&lt;&gt;"",INDEX(Base!$G$1:$G$5000,$A70+AN$1+2),"")</f>
        <v>1.8</v>
      </c>
      <c r="AO70">
        <f>IF(AO$1&lt;&gt;"",INDEX(Base!$G$1:$G$5000,$A70+AO$1+2),"")</f>
        <v>3.13</v>
      </c>
      <c r="AP70">
        <f>IF(AP$1&lt;&gt;"",INDEX(Base!$G$1:$G$5000,$A70+AP$1+2),"")</f>
        <v>0.14000000000000001</v>
      </c>
      <c r="AQ70">
        <f>IF(AQ$1&lt;&gt;"",INDEX(Base!$G$1:$G$5000,$A70+AQ$1+2),"")</f>
        <v>0.1</v>
      </c>
      <c r="AR70">
        <f>IF(AR$1&lt;&gt;"",INDEX(Base!$G$1:$G$5000,$A70+AR$1+2),"")</f>
        <v>0.1</v>
      </c>
      <c r="AS70">
        <f>IF(AS$1&lt;&gt;"",INDEX(Base!$G$1:$G$5000,$A70+AS$1+2),"")</f>
        <v>3.35</v>
      </c>
      <c r="AT70">
        <f>IF(AT$1&lt;&gt;"",INDEX(Base!$G$1:$G$5000,$A70+AT$1+2),"")</f>
        <v>0.11</v>
      </c>
      <c r="AU70">
        <f>IF(AU$1&lt;&gt;"",INDEX(Base!$G$1:$G$5000,$A70+AU$1+2),"")</f>
        <v>0.1</v>
      </c>
      <c r="AV70">
        <f>IF(AV$1&lt;&gt;"",INDEX(Base!$G$1:$G$5000,$A70+AV$1+2),"")</f>
        <v>0.17</v>
      </c>
      <c r="AW70" s="8">
        <f t="shared" si="5"/>
        <v>5.3333333333333339</v>
      </c>
      <c r="AX70">
        <f>IF(AX$1&lt;&gt;"",INDEX(Base!$R$1:$R$4000,$E70+AX$1+2),"")</f>
        <v>0.1</v>
      </c>
      <c r="AY70">
        <f>IF(AY$1&lt;&gt;"",INDEX(Base!$R$1:$R$2500,$E70+AY$1+2),"")</f>
        <v>427.91</v>
      </c>
      <c r="AZ70">
        <f>IF(AZ$1&lt;&gt;"",INDEX(Base!$R$1:$R$2500,$E70+AZ$1+2),"")</f>
        <v>0.1</v>
      </c>
      <c r="BA70">
        <f>IF(BA$1&lt;&gt;"",INDEX(Base!$R$1:$R$2500,$E70+BA$1+2),"")</f>
        <v>1.05</v>
      </c>
      <c r="BB70">
        <f>IF(BB$1&lt;&gt;"",INDEX(Base!$R$1:$R$2500,$E70+BB$1+2),"")</f>
        <v>45.89</v>
      </c>
      <c r="BC70">
        <f>IF(BC$1&lt;&gt;"",INDEX(Base!$R$1:$R$2500,$E70+BC$1+2),"")</f>
        <v>0.1</v>
      </c>
      <c r="BD70">
        <f>IF(BD$1&lt;&gt;"",INDEX(Base!$R$1:$R$2500,$E70+BD$1+2),"")</f>
        <v>1.49</v>
      </c>
      <c r="BE70">
        <f>IF(BE$1&lt;&gt;"",INDEX(Base!$R$1:$R$2500,$E70+BE$1+2),"")</f>
        <v>0.1</v>
      </c>
      <c r="BF70">
        <f>IF(BF$1&lt;&gt;"",INDEX(Base!$R$1:$R$2500,$E70+BF$1+2),"")</f>
        <v>0.12</v>
      </c>
      <c r="BG70">
        <f>IF(BG$1&lt;&gt;"",INDEX(Base!$R$1:$R$2500,$E70+BG$1+2),"")</f>
        <v>0.1</v>
      </c>
      <c r="BH70">
        <f>IF(BH$1&lt;&gt;"",INDEX(Base!$R$1:$R$2500,$E70+BH$1+2),"")</f>
        <v>0.1</v>
      </c>
      <c r="BI70">
        <f>IF(BI$1&lt;&gt;"",INDEX(Base!$R$1:$R$2500,$E70+BI$1+2),"")</f>
        <v>0.1</v>
      </c>
      <c r="BJ70">
        <f>IF(BJ$1&lt;&gt;"",INDEX(Base!$R$1:$R$2500,$E70+BJ$1+2),"")</f>
        <v>0.1</v>
      </c>
      <c r="BK70">
        <f>IF(BK$1&lt;&gt;"",INDEX(Base!$R$1:$R$2500,$E70+BK$1+2),"")</f>
        <v>0.1</v>
      </c>
      <c r="BL70">
        <f>IF(BL$1&lt;&gt;"",INDEX(Base!$R$1:$R$2500,$E70+BL$1+2),"")</f>
        <v>0.1</v>
      </c>
      <c r="BM70">
        <f>IF(BM$1&lt;&gt;"",INDEX(Base!$R$1:$R$2500,$E70+BM$1+2),"")</f>
        <v>0.1</v>
      </c>
      <c r="BN70">
        <f>IF(BN$1&lt;&gt;"",INDEX(Base!$R$1:$R$2500,$E70+BN$1+2),"")</f>
        <v>0.1</v>
      </c>
      <c r="BO70">
        <f>IF(BO$1&lt;&gt;"",INDEX(Base!$R$1:$R$2500,$E70+BO$1+2),"")</f>
        <v>0.1</v>
      </c>
      <c r="BP70">
        <f>IF(BP$1&lt;&gt;"",INDEX(Base!$R$1:$R$2500,$E70+BP$1+2),"")</f>
        <v>0.1</v>
      </c>
      <c r="BQ70">
        <f>IF(BQ$1&lt;&gt;"",INDEX(Base!$R$1:$R$2500,$E70+BQ$1+2),"")</f>
        <v>0.1</v>
      </c>
      <c r="BR70">
        <f>IF(BR$1&lt;&gt;"",INDEX(Base!$R$1:$R$2500,$E70+BR$1+2),"")</f>
        <v>0.1</v>
      </c>
      <c r="BS70">
        <f>IF(BS$1&lt;&gt;"",INDEX(Base!$R$1:$R$2500,$E70+BS$1+2),"")</f>
        <v>0.1</v>
      </c>
      <c r="BT70">
        <f>IF(BT$1&lt;&gt;"",INDEX(Base!$R$1:$R$2500,$E70+BT$1+2),"")</f>
        <v>2.02</v>
      </c>
    </row>
    <row r="71" spans="1:72" x14ac:dyDescent="0.3">
      <c r="A71" s="2">
        <f t="shared" si="3"/>
        <v>2997</v>
      </c>
      <c r="B71" s="3" t="str">
        <f>IFERROR(MID(INDEX(Base!A$1:A$5000,Calcoli!A71),47,LEN(INDEX(Base!A$1:A$5000,Calcoli!A71))-41),"")</f>
        <v>FESTA MARIA EDITH</v>
      </c>
      <c r="C71" s="5" t="str">
        <f>MID(INDEX(Base!A$1:A$5000,Calcoli!A71),42,4)</f>
        <v>1946</v>
      </c>
      <c r="D71" s="5" t="str">
        <f>MID(INDEX(Base!A$1:A$5000,Calcoli!A71),13,11)</f>
        <v xml:space="preserve"> 31_03_2025</v>
      </c>
      <c r="E71" s="4">
        <f t="shared" si="6"/>
        <v>2113</v>
      </c>
      <c r="F71" s="3" t="str">
        <f>IFERROR(MID(INDEX(Base!L$1:L$4000,Calcoli!E71),47,LEN(INDEX(Base!L$1:L$4000,Calcoli!E71))-41),"")</f>
        <v>FESTA MARIA EDITH</v>
      </c>
      <c r="G71" s="5" t="str">
        <f>MID(INDEX(Base!L$1:L$4000,Calcoli!$E71),42,4)</f>
        <v>1946</v>
      </c>
      <c r="H71" s="5" t="str">
        <f>MID(INDEX(Base!L$1:L$4000,Calcoli!E71),13,11)</f>
        <v xml:space="preserve"> 01_04_2025</v>
      </c>
      <c r="I71" s="6" t="str">
        <f xml:space="preserve"> IFERROR(MID(INDEX(Base!$V$3:$AB$60,MATCH($F71,Base!$Z$3:$Z$160,0),1),1,14),"")</f>
        <v/>
      </c>
      <c r="J71" s="6" t="str">
        <f xml:space="preserve"> IFERROR(INDEX(Base!$V$3:$AB$160,MATCH($F71,Base!$Z$3:$Z$160,0),2),"")</f>
        <v/>
      </c>
      <c r="K71" s="6" t="str">
        <f xml:space="preserve"> IFERROR(INDEX(Base!$V$3:$AB$160,MATCH($F71,Base!$Z$3:$Z$160,0),3),"")</f>
        <v/>
      </c>
      <c r="L71" s="28" t="str">
        <f xml:space="preserve"> IFERROR(INDEX(Base!$V$3:$AB$160,MATCH($F71,Base!$Z$3:$Z$160,0),4),"")</f>
        <v/>
      </c>
      <c r="M71">
        <f>IF(M$1&lt;&gt;"",INDEX(Base!$G$1:$G$5000,$A71+M$1+2),"")</f>
        <v>8.7100000000000009</v>
      </c>
      <c r="N71">
        <f>IF(N$1&lt;&gt;"",INDEX(Base!$G$1:$G$5000,$A71+N$1+2),"")</f>
        <v>3.06</v>
      </c>
      <c r="O71">
        <f>IF(O$1&lt;&gt;"",INDEX(Base!$G$1:$G$5000,$A71+O$1+2),"")</f>
        <v>0.3</v>
      </c>
      <c r="P71">
        <f>IF(P$1&lt;&gt;"",INDEX(Base!$G$1:$G$5000,$A71+P$1+2),"")</f>
        <v>1.1000000000000001</v>
      </c>
      <c r="Q71">
        <f>IF(Q$1&lt;&gt;"",INDEX(Base!$G$1:$G$5000,$A71+Q$1+2),"")</f>
        <v>0.1</v>
      </c>
      <c r="R71">
        <f>IF(R$1&lt;&gt;"",INDEX(Base!$G$1:$G$5000,$A71+R$1+2),"")</f>
        <v>1.96</v>
      </c>
      <c r="S71">
        <f>IF(S$1&lt;&gt;"",INDEX(Base!$G$1:$G$5000,$A71+S$1+2),"")</f>
        <v>0.13</v>
      </c>
      <c r="T71">
        <f>IF(T$1&lt;&gt;"",INDEX(Base!$G$1:$G$5000,$A71+T$1+2),"")</f>
        <v>28.87</v>
      </c>
      <c r="U71">
        <f>IF(U$1&lt;&gt;"",INDEX(Base!$G$1:$G$5000,$A71+U$1+2),"")</f>
        <v>3.06</v>
      </c>
      <c r="V71">
        <f>IF(V$1&lt;&gt;"",INDEX(Base!$G$1:$G$5000,$A71+V$1+2),"")</f>
        <v>0.16</v>
      </c>
      <c r="W71">
        <f>IF(W$1&lt;&gt;"",INDEX(Base!$G$1:$G$5000,$A71+W$1+2),"")</f>
        <v>1.3</v>
      </c>
      <c r="X71">
        <f>IF(X$1&lt;&gt;"",INDEX(Base!$G$1:$G$5000,$A71+X$1+2),"")</f>
        <v>1.46</v>
      </c>
      <c r="Y71">
        <f>IF(Y$1&lt;&gt;"",INDEX(Base!$G$1:$G$5000,$A71+Y$1+2),"")</f>
        <v>234.84</v>
      </c>
      <c r="Z71">
        <f>IF(Z$1&lt;&gt;"",INDEX(Base!$G$1:$G$5000,$A71+Z$1+2),"")</f>
        <v>1.58</v>
      </c>
      <c r="AA71">
        <f>IF(AA$1&lt;&gt;"",INDEX(Base!$G$1:$G$5000,$A71+AA$1+2),"")</f>
        <v>1.57</v>
      </c>
      <c r="AB71">
        <f>IF(AB$1&lt;&gt;"",INDEX(Base!$G$1:$G$5000,$A71+AB$1+2),"")</f>
        <v>0.97</v>
      </c>
      <c r="AC71">
        <f>IF(AC$1&lt;&gt;"",INDEX(Base!$G$1:$G$5000,$A71+AC$1+2),"")</f>
        <v>4.6900000000000004</v>
      </c>
      <c r="AD71">
        <f>IF(AD$1&lt;&gt;"",INDEX(Base!$G$1:$G$5000,$A71+AD$1+2),"")</f>
        <v>7.31</v>
      </c>
      <c r="AE71">
        <f>IF(AE$1&lt;&gt;"",INDEX(Base!$G$1:$G$5000,$A71+AE$1+2),"")</f>
        <v>0.26</v>
      </c>
      <c r="AF71">
        <f>IF(AF$1&lt;&gt;"",INDEX(Base!$G$1:$G$5000,$A71+AF$1+2),"")</f>
        <v>1.73</v>
      </c>
      <c r="AG71">
        <f>IF(AG$1&lt;&gt;"",INDEX(Base!$G$1:$G$5000,$A71+AG$1+2),"")</f>
        <v>0.82</v>
      </c>
      <c r="AH71">
        <f>IF(AH$1&lt;&gt;"",INDEX(Base!$G$1:$G$5000,$A71+AH$1+2),"")</f>
        <v>3.02</v>
      </c>
      <c r="AI71">
        <f>IF(AI$1&lt;&gt;"",INDEX(Base!$G$1:$G$5000,$A71+AI$1+2),"")</f>
        <v>0.51</v>
      </c>
      <c r="AJ71">
        <f>IF(AJ$1&lt;&gt;"",INDEX(Base!$G$1:$G$5000,$A71+AJ$1+2),"")</f>
        <v>0.1</v>
      </c>
      <c r="AK71">
        <f>IF(AK$1&lt;&gt;"",INDEX(Base!$G$1:$G$5000,$A71+AK$1+2),"")</f>
        <v>4.43</v>
      </c>
      <c r="AL71">
        <f>IF(AL$1&lt;&gt;"",INDEX(Base!$G$1:$G$5000,$A71+AL$1+2),"")</f>
        <v>4.08</v>
      </c>
      <c r="AM71">
        <f>IF(AM$1&lt;&gt;"",INDEX(Base!$G$1:$G$5000,$A71+AM$1+2),"")</f>
        <v>0.24</v>
      </c>
      <c r="AN71">
        <f>IF(AN$1&lt;&gt;"",INDEX(Base!$G$1:$G$5000,$A71+AN$1+2),"")</f>
        <v>0.5</v>
      </c>
      <c r="AO71">
        <f>IF(AO$1&lt;&gt;"",INDEX(Base!$G$1:$G$5000,$A71+AO$1+2),"")</f>
        <v>1.45</v>
      </c>
      <c r="AP71">
        <f>IF(AP$1&lt;&gt;"",INDEX(Base!$G$1:$G$5000,$A71+AP$1+2),"")</f>
        <v>0.15</v>
      </c>
      <c r="AQ71">
        <f>IF(AQ$1&lt;&gt;"",INDEX(Base!$G$1:$G$5000,$A71+AQ$1+2),"")</f>
        <v>0.05</v>
      </c>
      <c r="AR71">
        <f>IF(AR$1&lt;&gt;"",INDEX(Base!$G$1:$G$5000,$A71+AR$1+2),"")</f>
        <v>0.11</v>
      </c>
      <c r="AS71">
        <f>IF(AS$1&lt;&gt;"",INDEX(Base!$G$1:$G$5000,$A71+AS$1+2),"")</f>
        <v>1.39</v>
      </c>
      <c r="AT71">
        <f>IF(AT$1&lt;&gt;"",INDEX(Base!$G$1:$G$5000,$A71+AT$1+2),"")</f>
        <v>0.12</v>
      </c>
      <c r="AU71">
        <f>IF(AU$1&lt;&gt;"",INDEX(Base!$G$1:$G$5000,$A71+AU$1+2),"")</f>
        <v>0.05</v>
      </c>
      <c r="AV71">
        <f>IF(AV$1&lt;&gt;"",INDEX(Base!$G$1:$G$5000,$A71+AV$1+2),"")</f>
        <v>0.42</v>
      </c>
      <c r="AW71" s="8">
        <f t="shared" si="5"/>
        <v>1.6288659793814435</v>
      </c>
      <c r="AX71">
        <f>IF(AX$1&lt;&gt;"",INDEX(Base!$R$1:$R$4000,$E71+AX$1+2),"")</f>
        <v>14.64</v>
      </c>
      <c r="AY71">
        <f>IF(AY$1&lt;&gt;"",INDEX(Base!$R$1:$R$2500,$E71+AY$1+2),"")</f>
        <v>371.51</v>
      </c>
      <c r="AZ71">
        <f>IF(AZ$1&lt;&gt;"",INDEX(Base!$R$1:$R$2500,$E71+AZ$1+2),"")</f>
        <v>0.23</v>
      </c>
      <c r="BA71">
        <f>IF(BA$1&lt;&gt;"",INDEX(Base!$R$1:$R$2500,$E71+BA$1+2),"")</f>
        <v>0.75</v>
      </c>
      <c r="BB71">
        <f>IF(BB$1&lt;&gt;"",INDEX(Base!$R$1:$R$2500,$E71+BB$1+2),"")</f>
        <v>33.79</v>
      </c>
      <c r="BC71">
        <f>IF(BC$1&lt;&gt;"",INDEX(Base!$R$1:$R$2500,$E71+BC$1+2),"")</f>
        <v>1.45</v>
      </c>
      <c r="BD71">
        <f>IF(BD$1&lt;&gt;"",INDEX(Base!$R$1:$R$2500,$E71+BD$1+2),"")</f>
        <v>2.0699999999999998</v>
      </c>
      <c r="BE71">
        <f>IF(BE$1&lt;&gt;"",INDEX(Base!$R$1:$R$2500,$E71+BE$1+2),"")</f>
        <v>53.11</v>
      </c>
      <c r="BF71">
        <f>IF(BF$1&lt;&gt;"",INDEX(Base!$R$1:$R$2500,$E71+BF$1+2),"")</f>
        <v>7.0000000000000007E-2</v>
      </c>
      <c r="BG71">
        <f>IF(BG$1&lt;&gt;"",INDEX(Base!$R$1:$R$2500,$E71+BG$1+2),"")</f>
        <v>0.44</v>
      </c>
      <c r="BH71">
        <f>IF(BH$1&lt;&gt;"",INDEX(Base!$R$1:$R$2500,$E71+BH$1+2),"")</f>
        <v>0.4</v>
      </c>
      <c r="BI71">
        <f>IF(BI$1&lt;&gt;"",INDEX(Base!$R$1:$R$2500,$E71+BI$1+2),"")</f>
        <v>14.37</v>
      </c>
      <c r="BJ71">
        <f>IF(BJ$1&lt;&gt;"",INDEX(Base!$R$1:$R$2500,$E71+BJ$1+2),"")</f>
        <v>8.89</v>
      </c>
      <c r="BK71">
        <f>IF(BK$1&lt;&gt;"",INDEX(Base!$R$1:$R$2500,$E71+BK$1+2),"")</f>
        <v>11.04</v>
      </c>
      <c r="BL71">
        <f>IF(BL$1&lt;&gt;"",INDEX(Base!$R$1:$R$2500,$E71+BL$1+2),"")</f>
        <v>2.67</v>
      </c>
      <c r="BM71">
        <f>IF(BM$1&lt;&gt;"",INDEX(Base!$R$1:$R$2500,$E71+BM$1+2),"")</f>
        <v>0.31</v>
      </c>
      <c r="BN71">
        <f>IF(BN$1&lt;&gt;"",INDEX(Base!$R$1:$R$2500,$E71+BN$1+2),"")</f>
        <v>0.08</v>
      </c>
      <c r="BO71">
        <f>IF(BO$1&lt;&gt;"",INDEX(Base!$R$1:$R$2500,$E71+BO$1+2),"")</f>
        <v>0.05</v>
      </c>
      <c r="BP71">
        <f>IF(BP$1&lt;&gt;"",INDEX(Base!$R$1:$R$2500,$E71+BP$1+2),"")</f>
        <v>0.19</v>
      </c>
      <c r="BQ71">
        <f>IF(BQ$1&lt;&gt;"",INDEX(Base!$R$1:$R$2500,$E71+BQ$1+2),"")</f>
        <v>0.11</v>
      </c>
      <c r="BR71">
        <f>IF(BR$1&lt;&gt;"",INDEX(Base!$R$1:$R$2500,$E71+BR$1+2),"")</f>
        <v>0.41</v>
      </c>
      <c r="BS71">
        <f>IF(BS$1&lt;&gt;"",INDEX(Base!$R$1:$R$2500,$E71+BS$1+2),"")</f>
        <v>2.8</v>
      </c>
      <c r="BT71">
        <f>IF(BT$1&lt;&gt;"",INDEX(Base!$R$1:$R$2500,$E71+BT$1+2),"")</f>
        <v>1.6</v>
      </c>
    </row>
    <row r="72" spans="1:72" x14ac:dyDescent="0.3">
      <c r="A72" s="2">
        <f t="shared" si="3"/>
        <v>3041</v>
      </c>
      <c r="B72" s="3" t="str">
        <f>IFERROR(MID(INDEX(Base!A$1:A$5000,Calcoli!A72),47,LEN(INDEX(Base!A$1:A$5000,Calcoli!A72))-41),"")</f>
        <v>DE CAPITANI LETIZIA</v>
      </c>
      <c r="C72" s="5" t="str">
        <f>MID(INDEX(Base!A$1:A$5000,Calcoli!A72),42,4)</f>
        <v>1966</v>
      </c>
      <c r="D72" s="5" t="str">
        <f>MID(INDEX(Base!A$1:A$5000,Calcoli!A72),13,11)</f>
        <v xml:space="preserve"> 31_03_2025</v>
      </c>
      <c r="E72" s="4">
        <f t="shared" si="6"/>
        <v>2144</v>
      </c>
      <c r="F72" s="3" t="str">
        <f>IFERROR(MID(INDEX(Base!L$1:L$4000,Calcoli!E72),47,LEN(INDEX(Base!L$1:L$4000,Calcoli!E72))-41),"")</f>
        <v>DE CAPITANI LETIZIA</v>
      </c>
      <c r="G72" s="5" t="str">
        <f>MID(INDEX(Base!L$1:L$4000,Calcoli!$E72),42,4)</f>
        <v>1966</v>
      </c>
      <c r="H72" s="5" t="str">
        <f>MID(INDEX(Base!L$1:L$4000,Calcoli!E72),13,11)</f>
        <v xml:space="preserve"> 01_04_2025</v>
      </c>
      <c r="I72" s="6" t="str">
        <f xml:space="preserve"> IFERROR(MID(INDEX(Base!$V$3:$AB$60,MATCH($F72,Base!$Z$3:$Z$160,0),1),1,14),"")</f>
        <v/>
      </c>
      <c r="J72" s="6" t="str">
        <f xml:space="preserve"> IFERROR(INDEX(Base!$V$3:$AB$160,MATCH($F72,Base!$Z$3:$Z$160,0),2),"")</f>
        <v/>
      </c>
      <c r="K72" s="6" t="str">
        <f xml:space="preserve"> IFERROR(INDEX(Base!$V$3:$AB$160,MATCH($F72,Base!$Z$3:$Z$160,0),3),"")</f>
        <v/>
      </c>
      <c r="L72" s="28" t="str">
        <f xml:space="preserve"> IFERROR(INDEX(Base!$V$3:$AB$160,MATCH($F72,Base!$Z$3:$Z$160,0),4),"")</f>
        <v/>
      </c>
      <c r="M72">
        <f>IF(M$1&lt;&gt;"",INDEX(Base!$G$1:$G$5000,$A72+M$1+2),"")</f>
        <v>5.28</v>
      </c>
      <c r="N72">
        <f>IF(N$1&lt;&gt;"",INDEX(Base!$G$1:$G$5000,$A72+N$1+2),"")</f>
        <v>2.88</v>
      </c>
      <c r="O72">
        <f>IF(O$1&lt;&gt;"",INDEX(Base!$G$1:$G$5000,$A72+O$1+2),"")</f>
        <v>0.06</v>
      </c>
      <c r="P72">
        <f>IF(P$1&lt;&gt;"",INDEX(Base!$G$1:$G$5000,$A72+P$1+2),"")</f>
        <v>0.66</v>
      </c>
      <c r="Q72">
        <f>IF(Q$1&lt;&gt;"",INDEX(Base!$G$1:$G$5000,$A72+Q$1+2),"")</f>
        <v>0.12</v>
      </c>
      <c r="R72">
        <f>IF(R$1&lt;&gt;"",INDEX(Base!$G$1:$G$5000,$A72+R$1+2),"")</f>
        <v>1.04</v>
      </c>
      <c r="S72">
        <f>IF(S$1&lt;&gt;"",INDEX(Base!$G$1:$G$5000,$A72+S$1+2),"")</f>
        <v>7.0000000000000007E-2</v>
      </c>
      <c r="T72">
        <f>IF(T$1&lt;&gt;"",INDEX(Base!$G$1:$G$5000,$A72+T$1+2),"")</f>
        <v>21.78</v>
      </c>
      <c r="U72">
        <f>IF(U$1&lt;&gt;"",INDEX(Base!$G$1:$G$5000,$A72+U$1+2),"")</f>
        <v>1.23</v>
      </c>
      <c r="V72">
        <f>IF(V$1&lt;&gt;"",INDEX(Base!$G$1:$G$5000,$A72+V$1+2),"")</f>
        <v>0.09</v>
      </c>
      <c r="W72">
        <f>IF(W$1&lt;&gt;"",INDEX(Base!$G$1:$G$5000,$A72+W$1+2),"")</f>
        <v>1.84</v>
      </c>
      <c r="X72">
        <f>IF(X$1&lt;&gt;"",INDEX(Base!$G$1:$G$5000,$A72+X$1+2),"")</f>
        <v>1.58</v>
      </c>
      <c r="Y72">
        <f>IF(Y$1&lt;&gt;"",INDEX(Base!$G$1:$G$5000,$A72+Y$1+2),"")</f>
        <v>99.75</v>
      </c>
      <c r="Z72">
        <f>IF(Z$1&lt;&gt;"",INDEX(Base!$G$1:$G$5000,$A72+Z$1+2),"")</f>
        <v>1.32</v>
      </c>
      <c r="AA72">
        <f>IF(AA$1&lt;&gt;"",INDEX(Base!$G$1:$G$5000,$A72+AA$1+2),"")</f>
        <v>1.19</v>
      </c>
      <c r="AB72">
        <f>IF(AB$1&lt;&gt;"",INDEX(Base!$G$1:$G$5000,$A72+AB$1+2),"")</f>
        <v>1.1200000000000001</v>
      </c>
      <c r="AC72">
        <f>IF(AC$1&lt;&gt;"",INDEX(Base!$G$1:$G$5000,$A72+AC$1+2),"")</f>
        <v>2.71</v>
      </c>
      <c r="AD72">
        <f>IF(AD$1&lt;&gt;"",INDEX(Base!$G$1:$G$5000,$A72+AD$1+2),"")</f>
        <v>9.39</v>
      </c>
      <c r="AE72">
        <f>IF(AE$1&lt;&gt;"",INDEX(Base!$G$1:$G$5000,$A72+AE$1+2),"")</f>
        <v>0.4</v>
      </c>
      <c r="AF72">
        <f>IF(AF$1&lt;&gt;"",INDEX(Base!$G$1:$G$5000,$A72+AF$1+2),"")</f>
        <v>2.66</v>
      </c>
      <c r="AG72">
        <f>IF(AG$1&lt;&gt;"",INDEX(Base!$G$1:$G$5000,$A72+AG$1+2),"")</f>
        <v>0.28000000000000003</v>
      </c>
      <c r="AH72">
        <f>IF(AH$1&lt;&gt;"",INDEX(Base!$G$1:$G$5000,$A72+AH$1+2),"")</f>
        <v>3.33</v>
      </c>
      <c r="AI72">
        <f>IF(AI$1&lt;&gt;"",INDEX(Base!$G$1:$G$5000,$A72+AI$1+2),"")</f>
        <v>0.72</v>
      </c>
      <c r="AJ72">
        <f>IF(AJ$1&lt;&gt;"",INDEX(Base!$G$1:$G$5000,$A72+AJ$1+2),"")</f>
        <v>0.1</v>
      </c>
      <c r="AK72">
        <f>IF(AK$1&lt;&gt;"",INDEX(Base!$G$1:$G$5000,$A72+AK$1+2),"")</f>
        <v>3.37</v>
      </c>
      <c r="AL72">
        <f>IF(AL$1&lt;&gt;"",INDEX(Base!$G$1:$G$5000,$A72+AL$1+2),"")</f>
        <v>1.66</v>
      </c>
      <c r="AM72">
        <f>IF(AM$1&lt;&gt;"",INDEX(Base!$G$1:$G$5000,$A72+AM$1+2),"")</f>
        <v>0.1</v>
      </c>
      <c r="AN72">
        <f>IF(AN$1&lt;&gt;"",INDEX(Base!$G$1:$G$5000,$A72+AN$1+2),"")</f>
        <v>0.31</v>
      </c>
      <c r="AO72">
        <f>IF(AO$1&lt;&gt;"",INDEX(Base!$G$1:$G$5000,$A72+AO$1+2),"")</f>
        <v>0.65</v>
      </c>
      <c r="AP72">
        <f>IF(AP$1&lt;&gt;"",INDEX(Base!$G$1:$G$5000,$A72+AP$1+2),"")</f>
        <v>0.09</v>
      </c>
      <c r="AQ72">
        <f>IF(AQ$1&lt;&gt;"",INDEX(Base!$G$1:$G$5000,$A72+AQ$1+2),"")</f>
        <v>0.11</v>
      </c>
      <c r="AR72">
        <f>IF(AR$1&lt;&gt;"",INDEX(Base!$G$1:$G$5000,$A72+AR$1+2),"")</f>
        <v>7.0000000000000007E-2</v>
      </c>
      <c r="AS72">
        <f>IF(AS$1&lt;&gt;"",INDEX(Base!$G$1:$G$5000,$A72+AS$1+2),"")</f>
        <v>0.82</v>
      </c>
      <c r="AT72">
        <f>IF(AT$1&lt;&gt;"",INDEX(Base!$G$1:$G$5000,$A72+AT$1+2),"")</f>
        <v>0.27</v>
      </c>
      <c r="AU72">
        <f>IF(AU$1&lt;&gt;"",INDEX(Base!$G$1:$G$5000,$A72+AU$1+2),"")</f>
        <v>0.11</v>
      </c>
      <c r="AV72">
        <f>IF(AV$1&lt;&gt;"",INDEX(Base!$G$1:$G$5000,$A72+AV$1+2),"")</f>
        <v>0.19</v>
      </c>
      <c r="AW72" s="8">
        <f t="shared" si="5"/>
        <v>1.1785714285714286</v>
      </c>
      <c r="AX72">
        <f>IF(AX$1&lt;&gt;"",INDEX(Base!$R$1:$R$4000,$E72+AX$1+2),"")</f>
        <v>12.54</v>
      </c>
      <c r="AY72">
        <f>IF(AY$1&lt;&gt;"",INDEX(Base!$R$1:$R$4000,$E72+AY$1+2),"")</f>
        <v>245.12</v>
      </c>
      <c r="AZ72">
        <f>IF(AZ$1&lt;&gt;"",INDEX(Base!$R$1:$R$4000,$E72+AZ$1+2),"")</f>
        <v>0.14000000000000001</v>
      </c>
      <c r="BA72">
        <f>IF(BA$1&lt;&gt;"",INDEX(Base!$R$1:$R$4000,$E72+BA$1+2),"")</f>
        <v>0.43</v>
      </c>
      <c r="BB72">
        <f>IF(BB$1&lt;&gt;"",INDEX(Base!$R$1:$R$4000,$E72+BB$1+2),"")</f>
        <v>31.08</v>
      </c>
      <c r="BC72">
        <f>IF(BC$1&lt;&gt;"",INDEX(Base!$R$1:$R$4000,$E72+BC$1+2),"")</f>
        <v>1.35</v>
      </c>
      <c r="BD72">
        <f>IF(BD$1&lt;&gt;"",INDEX(Base!$R$1:$R$4000,$E72+BD$1+2),"")</f>
        <v>2.4900000000000002</v>
      </c>
      <c r="BE72">
        <f>IF(BE$1&lt;&gt;"",INDEX(Base!$R$1:$R$4000,$E72+BE$1+2),"")</f>
        <v>23.04</v>
      </c>
      <c r="BF72">
        <f>IF(BF$1&lt;&gt;"",INDEX(Base!$R$1:$R$4000,$E72+BF$1+2),"")</f>
        <v>0.08</v>
      </c>
      <c r="BG72">
        <f>IF(BG$1&lt;&gt;"",INDEX(Base!$R$1:$R$4000,$E72+BG$1+2),"")</f>
        <v>0.1</v>
      </c>
      <c r="BH72">
        <f>IF(BH$1&lt;&gt;"",INDEX(Base!$R$1:$R$4000,$E72+BH$1+2),"")</f>
        <v>0.14000000000000001</v>
      </c>
      <c r="BI72">
        <f>IF(BI$1&lt;&gt;"",INDEX(Base!$R$1:$R$4000,$E72+BI$1+2),"")</f>
        <v>12.19</v>
      </c>
      <c r="BJ72">
        <f>IF(BJ$1&lt;&gt;"",INDEX(Base!$R$1:$R$4000,$E72+BJ$1+2),"")</f>
        <v>15.29</v>
      </c>
      <c r="BK72">
        <f>IF(BK$1&lt;&gt;"",INDEX(Base!$R$1:$R$4000,$E72+BK$1+2),"")</f>
        <v>17.25</v>
      </c>
      <c r="BL72">
        <f>IF(BL$1&lt;&gt;"",INDEX(Base!$R$1:$R$4000,$E72+BL$1+2),"")</f>
        <v>3.32</v>
      </c>
      <c r="BM72">
        <f>IF(BM$1&lt;&gt;"",INDEX(Base!$R$1:$R$4000,$E72+BM$1+2),"")</f>
        <v>0.34</v>
      </c>
      <c r="BN72">
        <f>IF(BN$1&lt;&gt;"",INDEX(Base!$R$1:$R$4000,$E72+BN$1+2),"")</f>
        <v>0.1</v>
      </c>
      <c r="BO72">
        <f>IF(BO$1&lt;&gt;"",INDEX(Base!$R$1:$R$4000,$E72+BO$1+2),"")</f>
        <v>0.08</v>
      </c>
      <c r="BP72">
        <f>IF(BP$1&lt;&gt;"",INDEX(Base!$R$1:$R$4000,$E72+BP$1+2),"")</f>
        <v>2.2999999999999998</v>
      </c>
      <c r="BQ72">
        <f>IF(BQ$1&lt;&gt;"",INDEX(Base!$R$1:$R$4000,$E72+BQ$1+2),"")</f>
        <v>0.09</v>
      </c>
      <c r="BR72">
        <f>IF(BR$1&lt;&gt;"",INDEX(Base!$R$1:$R$4000,$E72+BR$1+2),"")</f>
        <v>0.4</v>
      </c>
      <c r="BS72">
        <f>IF(BS$1&lt;&gt;"",INDEX(Base!$R$1:$R$4000,$E72+BS$1+2),"")</f>
        <v>3.02</v>
      </c>
      <c r="BT72">
        <f>IF(BT$1&lt;&gt;"",INDEX(Base!$R$1:$R$4000,$E72+BT$1+2),"")</f>
        <v>1.53</v>
      </c>
    </row>
    <row r="73" spans="1:72" x14ac:dyDescent="0.3">
      <c r="A73" s="2">
        <f t="shared" si="3"/>
        <v>3085</v>
      </c>
      <c r="B73" s="3" t="str">
        <f>IFERROR(MID(INDEX(Base!A$1:A$5000,Calcoli!A73),47,LEN(INDEX(Base!A$1:A$5000,Calcoli!A73))-41),"")</f>
        <v>GARBAGNATI MARIA NADIA</v>
      </c>
      <c r="C73" s="5" t="str">
        <f>MID(INDEX(Base!A$1:A$5000,Calcoli!A73),42,4)</f>
        <v>1995</v>
      </c>
      <c r="D73" s="5" t="str">
        <f>MID(INDEX(Base!A$1:A$5000,Calcoli!A73),13,11)</f>
        <v xml:space="preserve"> 31_03_2025</v>
      </c>
      <c r="E73" s="4">
        <f t="shared" si="6"/>
        <v>2175</v>
      </c>
      <c r="F73" s="3" t="str">
        <f>IFERROR(MID(INDEX(Base!L$1:L$4000,Calcoli!E73),47,LEN(INDEX(Base!L$1:L$4000,Calcoli!E73))-41),"")</f>
        <v>GARBAGNATI MARIA NADIA</v>
      </c>
      <c r="G73" s="5" t="str">
        <f>MID(INDEX(Base!L$1:L$4000,Calcoli!$E73),42,4)</f>
        <v>1995</v>
      </c>
      <c r="H73" s="5" t="str">
        <f>MID(INDEX(Base!L$1:L$4000,Calcoli!E73),13,11)</f>
        <v xml:space="preserve"> 01_04_2025</v>
      </c>
      <c r="I73" s="6" t="str">
        <f xml:space="preserve"> IFERROR(MID(INDEX(Base!$V$3:$AB$60,MATCH($F73,Base!$Z$3:$Z$160,0),1),1,14),"")</f>
        <v/>
      </c>
      <c r="J73" s="6" t="str">
        <f xml:space="preserve"> IFERROR(INDEX(Base!$V$3:$AB$160,MATCH($F73,Base!$Z$3:$Z$160,0),2),"")</f>
        <v/>
      </c>
      <c r="K73" s="6" t="str">
        <f xml:space="preserve"> IFERROR(INDEX(Base!$V$3:$AB$160,MATCH($F73,Base!$Z$3:$Z$160,0),3),"")</f>
        <v/>
      </c>
      <c r="L73" s="28" t="str">
        <f xml:space="preserve"> IFERROR(INDEX(Base!$V$3:$AB$160,MATCH($F73,Base!$Z$3:$Z$160,0),4),"")</f>
        <v/>
      </c>
      <c r="M73">
        <f>IF(M$1&lt;&gt;"",INDEX(Base!$G$1:$G$5000,$A73+M$1+2),"")</f>
        <v>11.96</v>
      </c>
      <c r="N73">
        <f>IF(N$1&lt;&gt;"",INDEX(Base!$G$1:$G$5000,$A73+N$1+2),"")</f>
        <v>4.21</v>
      </c>
      <c r="O73">
        <f>IF(O$1&lt;&gt;"",INDEX(Base!$G$1:$G$5000,$A73+O$1+2),"")</f>
        <v>0.3</v>
      </c>
      <c r="P73">
        <f>IF(P$1&lt;&gt;"",INDEX(Base!$G$1:$G$5000,$A73+P$1+2),"")</f>
        <v>1.33</v>
      </c>
      <c r="Q73">
        <f>IF(Q$1&lt;&gt;"",INDEX(Base!$G$1:$G$5000,$A73+Q$1+2),"")</f>
        <v>0.55000000000000004</v>
      </c>
      <c r="R73">
        <f>IF(R$1&lt;&gt;"",INDEX(Base!$G$1:$G$5000,$A73+R$1+2),"")</f>
        <v>1.65</v>
      </c>
      <c r="S73">
        <f>IF(S$1&lt;&gt;"",INDEX(Base!$G$1:$G$5000,$A73+S$1+2),"")</f>
        <v>0.15</v>
      </c>
      <c r="T73">
        <f>IF(T$1&lt;&gt;"",INDEX(Base!$G$1:$G$5000,$A73+T$1+2),"")</f>
        <v>44.5</v>
      </c>
      <c r="U73">
        <f>IF(U$1&lt;&gt;"",INDEX(Base!$G$1:$G$5000,$A73+U$1+2),"")</f>
        <v>1.81</v>
      </c>
      <c r="V73">
        <f>IF(V$1&lt;&gt;"",INDEX(Base!$G$1:$G$5000,$A73+V$1+2),"")</f>
        <v>0.1</v>
      </c>
      <c r="W73">
        <f>IF(W$1&lt;&gt;"",INDEX(Base!$G$1:$G$5000,$A73+W$1+2),"")</f>
        <v>3</v>
      </c>
      <c r="X73">
        <f>IF(X$1&lt;&gt;"",INDEX(Base!$G$1:$G$5000,$A73+X$1+2),"")</f>
        <v>2.35</v>
      </c>
      <c r="Y73">
        <f>IF(Y$1&lt;&gt;"",INDEX(Base!$G$1:$G$5000,$A73+Y$1+2),"")</f>
        <v>332.73</v>
      </c>
      <c r="Z73">
        <f>IF(Z$1&lt;&gt;"",INDEX(Base!$G$1:$G$5000,$A73+Z$1+2),"")</f>
        <v>2.25</v>
      </c>
      <c r="AA73">
        <f>IF(AA$1&lt;&gt;"",INDEX(Base!$G$1:$G$5000,$A73+AA$1+2),"")</f>
        <v>72.099999999999994</v>
      </c>
      <c r="AB73">
        <f>IF(AB$1&lt;&gt;"",INDEX(Base!$G$1:$G$5000,$A73+AB$1+2),"")</f>
        <v>1.78</v>
      </c>
      <c r="AC73">
        <f>IF(AC$1&lt;&gt;"",INDEX(Base!$G$1:$G$5000,$A73+AC$1+2),"")</f>
        <v>5.71</v>
      </c>
      <c r="AD73">
        <f>IF(AD$1&lt;&gt;"",INDEX(Base!$G$1:$G$5000,$A73+AD$1+2),"")</f>
        <v>11.6</v>
      </c>
      <c r="AE73">
        <f>IF(AE$1&lt;&gt;"",INDEX(Base!$G$1:$G$5000,$A73+AE$1+2),"")</f>
        <v>0.23</v>
      </c>
      <c r="AF73">
        <f>IF(AF$1&lt;&gt;"",INDEX(Base!$G$1:$G$5000,$A73+AF$1+2),"")</f>
        <v>2.0699999999999998</v>
      </c>
      <c r="AG73">
        <f>IF(AG$1&lt;&gt;"",INDEX(Base!$G$1:$G$5000,$A73+AG$1+2),"")</f>
        <v>0.44</v>
      </c>
      <c r="AH73">
        <f>IF(AH$1&lt;&gt;"",INDEX(Base!$G$1:$G$5000,$A73+AH$1+2),"")</f>
        <v>4.67</v>
      </c>
      <c r="AI73">
        <f>IF(AI$1&lt;&gt;"",INDEX(Base!$G$1:$G$5000,$A73+AI$1+2),"")</f>
        <v>0.83</v>
      </c>
      <c r="AJ73">
        <f>IF(AJ$1&lt;&gt;"",INDEX(Base!$G$1:$G$5000,$A73+AJ$1+2),"")</f>
        <v>0.1</v>
      </c>
      <c r="AK73">
        <f>IF(AK$1&lt;&gt;"",INDEX(Base!$G$1:$G$5000,$A73+AK$1+2),"")</f>
        <v>6.79</v>
      </c>
      <c r="AL73">
        <f>IF(AL$1&lt;&gt;"",INDEX(Base!$G$1:$G$5000,$A73+AL$1+2),"")</f>
        <v>8.14</v>
      </c>
      <c r="AM73">
        <f>IF(AM$1&lt;&gt;"",INDEX(Base!$G$1:$G$5000,$A73+AM$1+2),"")</f>
        <v>0.46</v>
      </c>
      <c r="AN73">
        <f>IF(AN$1&lt;&gt;"",INDEX(Base!$G$1:$G$5000,$A73+AN$1+2),"")</f>
        <v>1.07</v>
      </c>
      <c r="AO73">
        <f>IF(AO$1&lt;&gt;"",INDEX(Base!$G$1:$G$5000,$A73+AO$1+2),"")</f>
        <v>1.38</v>
      </c>
      <c r="AP73">
        <f>IF(AP$1&lt;&gt;"",INDEX(Base!$G$1:$G$5000,$A73+AP$1+2),"")</f>
        <v>0.14000000000000001</v>
      </c>
      <c r="AQ73">
        <f>IF(AQ$1&lt;&gt;"",INDEX(Base!$G$1:$G$5000,$A73+AQ$1+2),"")</f>
        <v>0.09</v>
      </c>
      <c r="AR73">
        <f>IF(AR$1&lt;&gt;"",INDEX(Base!$G$1:$G$5000,$A73+AR$1+2),"")</f>
        <v>0.25</v>
      </c>
      <c r="AS73">
        <f>IF(AS$1&lt;&gt;"",INDEX(Base!$G$1:$G$5000,$A73+AS$1+2),"")</f>
        <v>6.4</v>
      </c>
      <c r="AT73">
        <f>IF(AT$1&lt;&gt;"",INDEX(Base!$G$1:$G$5000,$A73+AT$1+2),"")</f>
        <v>0.32</v>
      </c>
      <c r="AU73">
        <f>IF(AU$1&lt;&gt;"",INDEX(Base!$G$1:$G$5000,$A73+AU$1+2),"")</f>
        <v>0.12</v>
      </c>
      <c r="AV73">
        <f>IF(AV$1&lt;&gt;"",INDEX(Base!$G$1:$G$5000,$A73+AV$1+2),"")</f>
        <v>0.75</v>
      </c>
      <c r="AW73" s="8">
        <f t="shared" si="5"/>
        <v>1.2640449438202248</v>
      </c>
      <c r="AX73">
        <f>IF(AX$1&lt;&gt;"",INDEX(Base!$R$1:$R$4000,$E73+AX$1+2),"")</f>
        <v>17.350000000000001</v>
      </c>
      <c r="AY73">
        <f>IF(AY$1&lt;&gt;"",INDEX(Base!$R$1:$R$4000,$E73+AY$1+2),"")</f>
        <v>522.25</v>
      </c>
      <c r="AZ73">
        <f>IF(AZ$1&lt;&gt;"",INDEX(Base!$R$1:$R$4000,$E73+AZ$1+2),"")</f>
        <v>0.26</v>
      </c>
      <c r="BA73">
        <f>IF(BA$1&lt;&gt;"",INDEX(Base!$R$1:$R$4000,$E73+BA$1+2),"")</f>
        <v>1</v>
      </c>
      <c r="BB73">
        <f>IF(BB$1&lt;&gt;"",INDEX(Base!$R$1:$R$4000,$E73+BB$1+2),"")</f>
        <v>47.31</v>
      </c>
      <c r="BC73">
        <f>IF(BC$1&lt;&gt;"",INDEX(Base!$R$1:$R$4000,$E73+BC$1+2),"")</f>
        <v>1.54</v>
      </c>
      <c r="BD73">
        <f>IF(BD$1&lt;&gt;"",INDEX(Base!$R$1:$R$4000,$E73+BD$1+2),"")</f>
        <v>1.99</v>
      </c>
      <c r="BE73">
        <f>IF(BE$1&lt;&gt;"",INDEX(Base!$R$1:$R$4000,$E73+BE$1+2),"")</f>
        <v>66.849999999999994</v>
      </c>
      <c r="BF73">
        <f>IF(BF$1&lt;&gt;"",INDEX(Base!$R$1:$R$4000,$E73+BF$1+2),"")</f>
        <v>0.16</v>
      </c>
      <c r="BG73">
        <f>IF(BG$1&lt;&gt;"",INDEX(Base!$R$1:$R$4000,$E73+BG$1+2),"")</f>
        <v>1.69</v>
      </c>
      <c r="BH73">
        <f>IF(BH$1&lt;&gt;"",INDEX(Base!$R$1:$R$4000,$E73+BH$1+2),"")</f>
        <v>0.42</v>
      </c>
      <c r="BI73">
        <f>IF(BI$1&lt;&gt;"",INDEX(Base!$R$1:$R$4000,$E73+BI$1+2),"")</f>
        <v>11.45</v>
      </c>
      <c r="BJ73">
        <f>IF(BJ$1&lt;&gt;"",INDEX(Base!$R$1:$R$4000,$E73+BJ$1+2),"")</f>
        <v>13.71</v>
      </c>
      <c r="BK73">
        <f>IF(BK$1&lt;&gt;"",INDEX(Base!$R$1:$R$4000,$E73+BK$1+2),"")</f>
        <v>24.49</v>
      </c>
      <c r="BL73">
        <f>IF(BL$1&lt;&gt;"",INDEX(Base!$R$1:$R$4000,$E73+BL$1+2),"")</f>
        <v>4.42</v>
      </c>
      <c r="BM73">
        <f>IF(BM$1&lt;&gt;"",INDEX(Base!$R$1:$R$4000,$E73+BM$1+2),"")</f>
        <v>0.45</v>
      </c>
      <c r="BN73">
        <f>IF(BN$1&lt;&gt;"",INDEX(Base!$R$1:$R$4000,$E73+BN$1+2),"")</f>
        <v>0.1</v>
      </c>
      <c r="BO73">
        <f>IF(BO$1&lt;&gt;"",INDEX(Base!$R$1:$R$4000,$E73+BO$1+2),"")</f>
        <v>0.1</v>
      </c>
      <c r="BP73">
        <f>IF(BP$1&lt;&gt;"",INDEX(Base!$R$1:$R$4000,$E73+BP$1+2),"")</f>
        <v>2.99</v>
      </c>
      <c r="BQ73">
        <f>IF(BQ$1&lt;&gt;"",INDEX(Base!$R$1:$R$4000,$E73+BQ$1+2),"")</f>
        <v>0.38</v>
      </c>
      <c r="BR73">
        <f>IF(BR$1&lt;&gt;"",INDEX(Base!$R$1:$R$4000,$E73+BR$1+2),"")</f>
        <v>0.61</v>
      </c>
      <c r="BS73">
        <f>IF(BS$1&lt;&gt;"",INDEX(Base!$R$1:$R$4000,$E73+BS$1+2),"")</f>
        <v>23.96</v>
      </c>
      <c r="BT73">
        <f>IF(BT$1&lt;&gt;"",INDEX(Base!$R$1:$R$4000,$E73+BT$1+2),"")</f>
        <v>2.29</v>
      </c>
    </row>
    <row r="74" spans="1:72" x14ac:dyDescent="0.3">
      <c r="A74" s="2">
        <f t="shared" ref="A74:A115" si="7">+A73+44</f>
        <v>3129</v>
      </c>
      <c r="B74" s="3" t="str">
        <f>IFERROR(MID(INDEX(Base!A$1:A$5000,Calcoli!A74),47,LEN(INDEX(Base!A$1:A$5000,Calcoli!A74))-41),"")</f>
        <v>STIZZA LAURA</v>
      </c>
      <c r="C74" s="5" t="str">
        <f>MID(INDEX(Base!A$1:A$5000,Calcoli!A74),42,4)</f>
        <v>1997</v>
      </c>
      <c r="D74" s="5" t="str">
        <f>MID(INDEX(Base!A$1:A$5000,Calcoli!A74),13,11)</f>
        <v xml:space="preserve"> 31_03_2025</v>
      </c>
      <c r="E74" s="4">
        <f t="shared" si="6"/>
        <v>2206</v>
      </c>
      <c r="F74" s="3" t="str">
        <f>IFERROR(MID(INDEX(Base!L$1:L$4000,Calcoli!E74),47,LEN(INDEX(Base!L$1:L$4000,Calcoli!E74))-41),"")</f>
        <v>STIZZA LAURA</v>
      </c>
      <c r="G74" s="5" t="str">
        <f>MID(INDEX(Base!L$1:L$4000,Calcoli!$E74),42,4)</f>
        <v>1997</v>
      </c>
      <c r="H74" s="5" t="str">
        <f>MID(INDEX(Base!L$1:L$4000,Calcoli!E74),13,11)</f>
        <v xml:space="preserve"> 01_04_2025</v>
      </c>
      <c r="I74" s="6" t="str">
        <f xml:space="preserve"> IFERROR(MID(INDEX(Base!$V$3:$AB$60,MATCH($F74,Base!$Z$3:$Z$160,0),1),1,14),"")</f>
        <v/>
      </c>
      <c r="J74" s="6" t="str">
        <f xml:space="preserve"> IFERROR(INDEX(Base!$V$3:$AB$160,MATCH($F74,Base!$Z$3:$Z$160,0),2),"")</f>
        <v/>
      </c>
      <c r="K74" s="6" t="str">
        <f xml:space="preserve"> IFERROR(INDEX(Base!$V$3:$AB$160,MATCH($F74,Base!$Z$3:$Z$160,0),3),"")</f>
        <v/>
      </c>
      <c r="L74" s="28" t="str">
        <f xml:space="preserve"> IFERROR(INDEX(Base!$V$3:$AB$160,MATCH($F74,Base!$Z$3:$Z$160,0),4),"")</f>
        <v/>
      </c>
      <c r="M74">
        <f>IF(M$1&lt;&gt;"",INDEX(Base!$G$1:$G$5000,$A74+M$1+2),"")</f>
        <v>22.73</v>
      </c>
      <c r="N74">
        <f>IF(N$1&lt;&gt;"",INDEX(Base!$G$1:$G$5000,$A74+N$1+2),"")</f>
        <v>7.54</v>
      </c>
      <c r="O74">
        <f>IF(O$1&lt;&gt;"",INDEX(Base!$G$1:$G$5000,$A74+O$1+2),"")</f>
        <v>0.21</v>
      </c>
      <c r="P74">
        <f>IF(P$1&lt;&gt;"",INDEX(Base!$G$1:$G$5000,$A74+P$1+2),"")</f>
        <v>5.88</v>
      </c>
      <c r="Q74">
        <f>IF(Q$1&lt;&gt;"",INDEX(Base!$G$1:$G$5000,$A74+Q$1+2),"")</f>
        <v>0.26</v>
      </c>
      <c r="R74">
        <f>IF(R$1&lt;&gt;"",INDEX(Base!$G$1:$G$5000,$A74+R$1+2),"")</f>
        <v>2.04</v>
      </c>
      <c r="S74">
        <f>IF(S$1&lt;&gt;"",INDEX(Base!$G$1:$G$5000,$A74+S$1+2),"")</f>
        <v>0.11</v>
      </c>
      <c r="T74">
        <f>IF(T$1&lt;&gt;"",INDEX(Base!$G$1:$G$5000,$A74+T$1+2),"")</f>
        <v>44.35</v>
      </c>
      <c r="U74">
        <f>IF(U$1&lt;&gt;"",INDEX(Base!$G$1:$G$5000,$A74+U$1+2),"")</f>
        <v>8.6199999999999992</v>
      </c>
      <c r="V74">
        <f>IF(V$1&lt;&gt;"",INDEX(Base!$G$1:$G$5000,$A74+V$1+2),"")</f>
        <v>0.15</v>
      </c>
      <c r="W74">
        <f>IF(W$1&lt;&gt;"",INDEX(Base!$G$1:$G$5000,$A74+W$1+2),"")</f>
        <v>2.39</v>
      </c>
      <c r="X74">
        <f>IF(X$1&lt;&gt;"",INDEX(Base!$G$1:$G$5000,$A74+X$1+2),"")</f>
        <v>2.25</v>
      </c>
      <c r="Y74">
        <f>IF(Y$1&lt;&gt;"",INDEX(Base!$G$1:$G$5000,$A74+Y$1+2),"")</f>
        <v>406.58</v>
      </c>
      <c r="Z74">
        <f>IF(Z$1&lt;&gt;"",INDEX(Base!$G$1:$G$5000,$A74+Z$1+2),"")</f>
        <v>2.57</v>
      </c>
      <c r="AA74">
        <f>IF(AA$1&lt;&gt;"",INDEX(Base!$G$1:$G$5000,$A74+AA$1+2),"")</f>
        <v>1.28</v>
      </c>
      <c r="AB74">
        <f>IF(AB$1&lt;&gt;"",INDEX(Base!$G$1:$G$5000,$A74+AB$1+2),"")</f>
        <v>1.85</v>
      </c>
      <c r="AC74">
        <f>IF(AC$1&lt;&gt;"",INDEX(Base!$G$1:$G$5000,$A74+AC$1+2),"")</f>
        <v>2.15</v>
      </c>
      <c r="AD74">
        <f>IF(AD$1&lt;&gt;"",INDEX(Base!$G$1:$G$5000,$A74+AD$1+2),"")</f>
        <v>12.74</v>
      </c>
      <c r="AE74">
        <f>IF(AE$1&lt;&gt;"",INDEX(Base!$G$1:$G$5000,$A74+AE$1+2),"")</f>
        <v>0.47</v>
      </c>
      <c r="AF74">
        <f>IF(AF$1&lt;&gt;"",INDEX(Base!$G$1:$G$5000,$A74+AF$1+2),"")</f>
        <v>3.51</v>
      </c>
      <c r="AG74">
        <f>IF(AG$1&lt;&gt;"",INDEX(Base!$G$1:$G$5000,$A74+AG$1+2),"")</f>
        <v>0.66</v>
      </c>
      <c r="AH74">
        <f>IF(AH$1&lt;&gt;"",INDEX(Base!$G$1:$G$5000,$A74+AH$1+2),"")</f>
        <v>5.4</v>
      </c>
      <c r="AI74">
        <f>IF(AI$1&lt;&gt;"",INDEX(Base!$G$1:$G$5000,$A74+AI$1+2),"")</f>
        <v>1.22</v>
      </c>
      <c r="AJ74">
        <f>IF(AJ$1&lt;&gt;"",INDEX(Base!$G$1:$G$5000,$A74+AJ$1+2),"")</f>
        <v>0.1</v>
      </c>
      <c r="AK74">
        <f>IF(AK$1&lt;&gt;"",INDEX(Base!$G$1:$G$5000,$A74+AK$1+2),"")</f>
        <v>5.44</v>
      </c>
      <c r="AL74">
        <f>IF(AL$1&lt;&gt;"",INDEX(Base!$G$1:$G$5000,$A74+AL$1+2),"")</f>
        <v>4.9800000000000004</v>
      </c>
      <c r="AM74">
        <f>IF(AM$1&lt;&gt;"",INDEX(Base!$G$1:$G$5000,$A74+AM$1+2),"")</f>
        <v>0.1</v>
      </c>
      <c r="AN74">
        <f>IF(AN$1&lt;&gt;"",INDEX(Base!$G$1:$G$5000,$A74+AN$1+2),"")</f>
        <v>0.56999999999999995</v>
      </c>
      <c r="AO74">
        <f>IF(AO$1&lt;&gt;"",INDEX(Base!$G$1:$G$5000,$A74+AO$1+2),"")</f>
        <v>2.3199999999999998</v>
      </c>
      <c r="AP74">
        <f>IF(AP$1&lt;&gt;"",INDEX(Base!$G$1:$G$5000,$A74+AP$1+2),"")</f>
        <v>0.08</v>
      </c>
      <c r="AQ74">
        <f>IF(AQ$1&lt;&gt;"",INDEX(Base!$G$1:$G$5000,$A74+AQ$1+2),"")</f>
        <v>0.23</v>
      </c>
      <c r="AR74">
        <f>IF(AR$1&lt;&gt;"",INDEX(Base!$G$1:$G$5000,$A74+AR$1+2),"")</f>
        <v>0.19</v>
      </c>
      <c r="AS74">
        <f>IF(AS$1&lt;&gt;"",INDEX(Base!$G$1:$G$5000,$A74+AS$1+2),"")</f>
        <v>1.56</v>
      </c>
      <c r="AT74">
        <f>IF(AT$1&lt;&gt;"",INDEX(Base!$G$1:$G$5000,$A74+AT$1+2),"")</f>
        <v>0.15</v>
      </c>
      <c r="AU74">
        <f>IF(AU$1&lt;&gt;"",INDEX(Base!$G$1:$G$5000,$A74+AU$1+2),"")</f>
        <v>0.14000000000000001</v>
      </c>
      <c r="AV74">
        <f>IF(AV$1&lt;&gt;"",INDEX(Base!$G$1:$G$5000,$A74+AV$1+2),"")</f>
        <v>0.97</v>
      </c>
      <c r="AW74" s="8">
        <f t="shared" si="5"/>
        <v>1.389189189189189</v>
      </c>
      <c r="AX74">
        <f>IF(AX$1&lt;&gt;"",INDEX(Base!$R$1:$R$4000,$E74+AX$1+2),"")</f>
        <v>19.34</v>
      </c>
      <c r="AY74">
        <f>IF(AY$1&lt;&gt;"",INDEX(Base!$R$1:$R$4000,$E74+AY$1+2),"")</f>
        <v>801.19</v>
      </c>
      <c r="AZ74">
        <f>IF(AZ$1&lt;&gt;"",INDEX(Base!$R$1:$R$4000,$E74+AZ$1+2),"")</f>
        <v>0.33</v>
      </c>
      <c r="BA74">
        <f>IF(BA$1&lt;&gt;"",INDEX(Base!$R$1:$R$4000,$E74+BA$1+2),"")</f>
        <v>1.59</v>
      </c>
      <c r="BB74">
        <f>IF(BB$1&lt;&gt;"",INDEX(Base!$R$1:$R$4000,$E74+BB$1+2),"")</f>
        <v>71.69</v>
      </c>
      <c r="BC74">
        <f>IF(BC$1&lt;&gt;"",INDEX(Base!$R$1:$R$4000,$E74+BC$1+2),"")</f>
        <v>3.86</v>
      </c>
      <c r="BD74">
        <f>IF(BD$1&lt;&gt;"",INDEX(Base!$R$1:$R$4000,$E74+BD$1+2),"")</f>
        <v>4.78</v>
      </c>
      <c r="BE74">
        <f>IF(BE$1&lt;&gt;"",INDEX(Base!$R$1:$R$4000,$E74+BE$1+2),"")</f>
        <v>42.26</v>
      </c>
      <c r="BF74">
        <f>IF(BF$1&lt;&gt;"",INDEX(Base!$R$1:$R$4000,$E74+BF$1+2),"")</f>
        <v>0.18</v>
      </c>
      <c r="BG74">
        <f>IF(BG$1&lt;&gt;"",INDEX(Base!$R$1:$R$4000,$E74+BG$1+2),"")</f>
        <v>0.1</v>
      </c>
      <c r="BH74">
        <f>IF(BH$1&lt;&gt;"",INDEX(Base!$R$1:$R$4000,$E74+BH$1+2),"")</f>
        <v>0.36</v>
      </c>
      <c r="BI74">
        <f>IF(BI$1&lt;&gt;"",INDEX(Base!$R$1:$R$4000,$E74+BI$1+2),"")</f>
        <v>37.85</v>
      </c>
      <c r="BJ74">
        <f>IF(BJ$1&lt;&gt;"",INDEX(Base!$R$1:$R$4000,$E74+BJ$1+2),"")</f>
        <v>17.62</v>
      </c>
      <c r="BK74">
        <f>IF(BK$1&lt;&gt;"",INDEX(Base!$R$1:$R$4000,$E74+BK$1+2),"")</f>
        <v>26.88</v>
      </c>
      <c r="BL74">
        <f>IF(BL$1&lt;&gt;"",INDEX(Base!$R$1:$R$4000,$E74+BL$1+2),"")</f>
        <v>6.28</v>
      </c>
      <c r="BM74">
        <f>IF(BM$1&lt;&gt;"",INDEX(Base!$R$1:$R$4000,$E74+BM$1+2),"")</f>
        <v>0.73</v>
      </c>
      <c r="BN74">
        <f>IF(BN$1&lt;&gt;"",INDEX(Base!$R$1:$R$4000,$E74+BN$1+2),"")</f>
        <v>0.1</v>
      </c>
      <c r="BO74">
        <f>IF(BO$1&lt;&gt;"",INDEX(Base!$R$1:$R$4000,$E74+BO$1+2),"")</f>
        <v>0.24</v>
      </c>
      <c r="BP74">
        <f>IF(BP$1&lt;&gt;"",INDEX(Base!$R$1:$R$4000,$E74+BP$1+2),"")</f>
        <v>5.63</v>
      </c>
      <c r="BQ74">
        <f>IF(BQ$1&lt;&gt;"",INDEX(Base!$R$1:$R$4000,$E74+BQ$1+2),"")</f>
        <v>0.19</v>
      </c>
      <c r="BR74">
        <f>IF(BR$1&lt;&gt;"",INDEX(Base!$R$1:$R$4000,$E74+BR$1+2),"")</f>
        <v>0.16</v>
      </c>
      <c r="BS74">
        <f>IF(BS$1&lt;&gt;"",INDEX(Base!$R$1:$R$4000,$E74+BS$1+2),"")</f>
        <v>3.35</v>
      </c>
      <c r="BT74">
        <f>IF(BT$1&lt;&gt;"",INDEX(Base!$R$1:$R$4000,$E74+BT$1+2),"")</f>
        <v>2.63</v>
      </c>
    </row>
    <row r="75" spans="1:72" x14ac:dyDescent="0.3">
      <c r="A75" s="2">
        <f t="shared" si="7"/>
        <v>3173</v>
      </c>
      <c r="B75" s="3" t="str">
        <f>IFERROR(MID(INDEX(Base!A$1:A$5000,Calcoli!A75),47,LEN(INDEX(Base!A$1:A$5000,Calcoli!A75))-41),"")</f>
        <v/>
      </c>
      <c r="C75" s="5" t="str">
        <f>MID(INDEX(Base!A$1:A$5000,Calcoli!A75),42,4)</f>
        <v/>
      </c>
      <c r="D75" s="5" t="str">
        <f>MID(INDEX(Base!A$1:A$5000,Calcoli!A75),13,11)</f>
        <v xml:space="preserve"> 31_03_2025</v>
      </c>
      <c r="E75" s="4">
        <f t="shared" si="6"/>
        <v>2237</v>
      </c>
      <c r="F75" s="3" t="str">
        <f>IFERROR(MID(INDEX(Base!L$1:L$4000,Calcoli!E75),47,LEN(INDEX(Base!L$1:L$4000,Calcoli!E75))-41),"")</f>
        <v/>
      </c>
      <c r="G75" s="5" t="str">
        <f>MID(INDEX(Base!L$1:L$4000,Calcoli!$E75),42,4)</f>
        <v/>
      </c>
      <c r="H75" s="5" t="str">
        <f>MID(INDEX(Base!L$1:L$4000,Calcoli!E75),13,11)</f>
        <v xml:space="preserve"> 01_04_2025</v>
      </c>
      <c r="I75" s="6" t="str">
        <f xml:space="preserve"> IFERROR(MID(INDEX(Base!$V$3:$AB$60,MATCH($F75,Base!$Z$3:$Z$160,0),1),1,14),"")</f>
        <v/>
      </c>
      <c r="J75" s="6" t="str">
        <f xml:space="preserve"> IFERROR(INDEX(Base!$V$3:$AB$160,MATCH($F75,Base!$Z$3:$Z$160,0),2),"")</f>
        <v/>
      </c>
      <c r="K75" s="6" t="str">
        <f xml:space="preserve"> IFERROR(INDEX(Base!$V$3:$AB$160,MATCH($F75,Base!$Z$3:$Z$160,0),3),"")</f>
        <v/>
      </c>
      <c r="L75" s="28" t="str">
        <f xml:space="preserve"> IFERROR(INDEX(Base!$V$3:$AB$160,MATCH($F75,Base!$Z$3:$Z$160,0),4),"")</f>
        <v/>
      </c>
      <c r="M75">
        <f>IF(M$1&lt;&gt;"",INDEX(Base!$G$1:$G$5000,$A75+M$1+2),"")</f>
        <v>0.1</v>
      </c>
      <c r="N75">
        <f>IF(N$1&lt;&gt;"",INDEX(Base!$G$1:$G$5000,$A75+N$1+2),"")</f>
        <v>5.79</v>
      </c>
      <c r="O75">
        <f>IF(O$1&lt;&gt;"",INDEX(Base!$G$1:$G$5000,$A75+O$1+2),"")</f>
        <v>0.42</v>
      </c>
      <c r="P75">
        <f>IF(P$1&lt;&gt;"",INDEX(Base!$G$1:$G$5000,$A75+P$1+2),"")</f>
        <v>0.77</v>
      </c>
      <c r="Q75">
        <f>IF(Q$1&lt;&gt;"",INDEX(Base!$G$1:$G$5000,$A75+Q$1+2),"")</f>
        <v>0.1</v>
      </c>
      <c r="R75">
        <f>IF(R$1&lt;&gt;"",INDEX(Base!$G$1:$G$5000,$A75+R$1+2),"")</f>
        <v>2.29</v>
      </c>
      <c r="S75">
        <f>IF(S$1&lt;&gt;"",INDEX(Base!$G$1:$G$5000,$A75+S$1+2),"")</f>
        <v>0.11</v>
      </c>
      <c r="T75">
        <f>IF(T$1&lt;&gt;"",INDEX(Base!$G$1:$G$5000,$A75+T$1+2),"")</f>
        <v>0.1</v>
      </c>
      <c r="U75">
        <f>IF(U$1&lt;&gt;"",INDEX(Base!$G$1:$G$5000,$A75+U$1+2),"")</f>
        <v>3.48</v>
      </c>
      <c r="V75">
        <f>IF(V$1&lt;&gt;"",INDEX(Base!$G$1:$G$5000,$A75+V$1+2),"")</f>
        <v>0.97</v>
      </c>
      <c r="W75">
        <f>IF(W$1&lt;&gt;"",INDEX(Base!$G$1:$G$5000,$A75+W$1+2),"")</f>
        <v>0.1</v>
      </c>
      <c r="X75">
        <f>IF(X$1&lt;&gt;"",INDEX(Base!$G$1:$G$5000,$A75+X$1+2),"")</f>
        <v>2.99</v>
      </c>
      <c r="Y75">
        <f>IF(Y$1&lt;&gt;"",INDEX(Base!$G$1:$G$5000,$A75+Y$1+2),"")</f>
        <v>0.1</v>
      </c>
      <c r="Z75">
        <f>IF(Z$1&lt;&gt;"",INDEX(Base!$G$1:$G$5000,$A75+Z$1+2),"")</f>
        <v>0.1</v>
      </c>
      <c r="AA75">
        <f>IF(AA$1&lt;&gt;"",INDEX(Base!$G$1:$G$5000,$A75+AA$1+2),"")</f>
        <v>0.86</v>
      </c>
      <c r="AB75">
        <f>IF(AB$1&lt;&gt;"",INDEX(Base!$G$1:$G$5000,$A75+AB$1+2),"")</f>
        <v>0.1</v>
      </c>
      <c r="AC75">
        <f>IF(AC$1&lt;&gt;"",INDEX(Base!$G$1:$G$5000,$A75+AC$1+2),"")</f>
        <v>3.33</v>
      </c>
      <c r="AD75">
        <f>IF(AD$1&lt;&gt;"",INDEX(Base!$G$1:$G$5000,$A75+AD$1+2),"")</f>
        <v>10.49</v>
      </c>
      <c r="AE75">
        <f>IF(AE$1&lt;&gt;"",INDEX(Base!$G$1:$G$5000,$A75+AE$1+2),"")</f>
        <v>0.3</v>
      </c>
      <c r="AF75">
        <f>IF(AF$1&lt;&gt;"",INDEX(Base!$G$1:$G$5000,$A75+AF$1+2),"")</f>
        <v>1.7</v>
      </c>
      <c r="AG75">
        <f>IF(AG$1&lt;&gt;"",INDEX(Base!$G$1:$G$5000,$A75+AG$1+2),"")</f>
        <v>0.14000000000000001</v>
      </c>
      <c r="AH75">
        <f>IF(AH$1&lt;&gt;"",INDEX(Base!$G$1:$G$5000,$A75+AH$1+2),"")</f>
        <v>0.1</v>
      </c>
      <c r="AI75">
        <f>IF(AI$1&lt;&gt;"",INDEX(Base!$G$1:$G$5000,$A75+AI$1+2),"")</f>
        <v>0.1</v>
      </c>
      <c r="AJ75">
        <f>IF(AJ$1&lt;&gt;"",INDEX(Base!$G$1:$G$5000,$A75+AJ$1+2),"")</f>
        <v>0.1</v>
      </c>
      <c r="AK75">
        <f>IF(AK$1&lt;&gt;"",INDEX(Base!$G$1:$G$5000,$A75+AK$1+2),"")</f>
        <v>22.53</v>
      </c>
      <c r="AL75">
        <f>IF(AL$1&lt;&gt;"",INDEX(Base!$G$1:$G$5000,$A75+AL$1+2),"")</f>
        <v>0.1</v>
      </c>
      <c r="AM75">
        <f>IF(AM$1&lt;&gt;"",INDEX(Base!$G$1:$G$5000,$A75+AM$1+2),"")</f>
        <v>0.1</v>
      </c>
      <c r="AN75">
        <f>IF(AN$1&lt;&gt;"",INDEX(Base!$G$1:$G$5000,$A75+AN$1+2),"")</f>
        <v>1.8</v>
      </c>
      <c r="AO75">
        <f>IF(AO$1&lt;&gt;"",INDEX(Base!$G$1:$G$5000,$A75+AO$1+2),"")</f>
        <v>3.12</v>
      </c>
      <c r="AP75">
        <f>IF(AP$1&lt;&gt;"",INDEX(Base!$G$1:$G$5000,$A75+AP$1+2),"")</f>
        <v>0.12</v>
      </c>
      <c r="AQ75">
        <f>IF(AQ$1&lt;&gt;"",INDEX(Base!$G$1:$G$5000,$A75+AQ$1+2),"")</f>
        <v>0.1</v>
      </c>
      <c r="AR75">
        <f>IF(AR$1&lt;&gt;"",INDEX(Base!$G$1:$G$5000,$A75+AR$1+2),"")</f>
        <v>0.1</v>
      </c>
      <c r="AS75">
        <f>IF(AS$1&lt;&gt;"",INDEX(Base!$G$1:$G$5000,$A75+AS$1+2),"")</f>
        <v>3.35</v>
      </c>
      <c r="AT75">
        <f>IF(AT$1&lt;&gt;"",INDEX(Base!$G$1:$G$5000,$A75+AT$1+2),"")</f>
        <v>0.13</v>
      </c>
      <c r="AU75">
        <f>IF(AU$1&lt;&gt;"",INDEX(Base!$G$1:$G$5000,$A75+AU$1+2),"")</f>
        <v>0.1</v>
      </c>
      <c r="AV75">
        <f>IF(AV$1&lt;&gt;"",INDEX(Base!$G$1:$G$5000,$A75+AV$1+2),"")</f>
        <v>0.14000000000000001</v>
      </c>
      <c r="AW75" s="8">
        <f t="shared" si="5"/>
        <v>1</v>
      </c>
      <c r="AX75">
        <f>IF(AX$1&lt;&gt;"",INDEX(Base!$R$1:$R$4000,$E75+AX$1+2),"")</f>
        <v>81.93</v>
      </c>
      <c r="AY75">
        <f>IF(AY$1&lt;&gt;"",INDEX(Base!$R$1:$R$4000,$E75+AY$1+2),"")</f>
        <v>427.87</v>
      </c>
      <c r="AZ75">
        <f>IF(AZ$1&lt;&gt;"",INDEX(Base!$R$1:$R$4000,$E75+AZ$1+2),"")</f>
        <v>0.1</v>
      </c>
      <c r="BA75">
        <f>IF(BA$1&lt;&gt;"",INDEX(Base!$R$1:$R$4000,$E75+BA$1+2),"")</f>
        <v>0.87</v>
      </c>
      <c r="BB75">
        <f>IF(BB$1&lt;&gt;"",INDEX(Base!$R$1:$R$4000,$E75+BB$1+2),"")</f>
        <v>45.82</v>
      </c>
      <c r="BC75">
        <f>IF(BC$1&lt;&gt;"",INDEX(Base!$R$1:$R$4000,$E75+BC$1+2),"")</f>
        <v>0.1</v>
      </c>
      <c r="BD75">
        <f>IF(BD$1&lt;&gt;"",INDEX(Base!$R$1:$R$4000,$E75+BD$1+2),"")</f>
        <v>0.1</v>
      </c>
      <c r="BE75">
        <f>IF(BE$1&lt;&gt;"",INDEX(Base!$R$1:$R$4000,$E75+BE$1+2),"")</f>
        <v>0.1</v>
      </c>
      <c r="BF75">
        <f>IF(BF$1&lt;&gt;"",INDEX(Base!$R$1:$R$4000,$E75+BF$1+2),"")</f>
        <v>0.12</v>
      </c>
      <c r="BG75">
        <f>IF(BG$1&lt;&gt;"",INDEX(Base!$R$1:$R$4000,$E75+BG$1+2),"")</f>
        <v>0.1</v>
      </c>
      <c r="BH75">
        <f>IF(BH$1&lt;&gt;"",INDEX(Base!$R$1:$R$4000,$E75+BH$1+2),"")</f>
        <v>0.1</v>
      </c>
      <c r="BI75">
        <f>IF(BI$1&lt;&gt;"",INDEX(Base!$R$1:$R$4000,$E75+BI$1+2),"")</f>
        <v>0.1</v>
      </c>
      <c r="BJ75">
        <f>IF(BJ$1&lt;&gt;"",INDEX(Base!$R$1:$R$4000,$E75+BJ$1+2),"")</f>
        <v>0.1</v>
      </c>
      <c r="BK75">
        <f>IF(BK$1&lt;&gt;"",INDEX(Base!$R$1:$R$4000,$E75+BK$1+2),"")</f>
        <v>0.1</v>
      </c>
      <c r="BL75">
        <f>IF(BL$1&lt;&gt;"",INDEX(Base!$R$1:$R$4000,$E75+BL$1+2),"")</f>
        <v>0.1</v>
      </c>
      <c r="BM75">
        <f>IF(BM$1&lt;&gt;"",INDEX(Base!$R$1:$R$4000,$E75+BM$1+2),"")</f>
        <v>0.1</v>
      </c>
      <c r="BN75">
        <f>IF(BN$1&lt;&gt;"",INDEX(Base!$R$1:$R$4000,$E75+BN$1+2),"")</f>
        <v>0.1</v>
      </c>
      <c r="BO75">
        <f>IF(BO$1&lt;&gt;"",INDEX(Base!$R$1:$R$4000,$E75+BO$1+2),"")</f>
        <v>0.1</v>
      </c>
      <c r="BP75">
        <f>IF(BP$1&lt;&gt;"",INDEX(Base!$R$1:$R$4000,$E75+BP$1+2),"")</f>
        <v>0.1</v>
      </c>
      <c r="BQ75">
        <f>IF(BQ$1&lt;&gt;"",INDEX(Base!$R$1:$R$4000,$E75+BQ$1+2),"")</f>
        <v>0.1</v>
      </c>
      <c r="BR75">
        <f>IF(BR$1&lt;&gt;"",INDEX(Base!$R$1:$R$4000,$E75+BR$1+2),"")</f>
        <v>0.1</v>
      </c>
      <c r="BS75">
        <f>IF(BS$1&lt;&gt;"",INDEX(Base!$R$1:$R$4000,$E75+BS$1+2),"")</f>
        <v>0.1</v>
      </c>
      <c r="BT75">
        <f>IF(BT$1&lt;&gt;"",INDEX(Base!$R$1:$R$4000,$E75+BT$1+2),"")</f>
        <v>2.0499999999999998</v>
      </c>
    </row>
    <row r="76" spans="1:72" x14ac:dyDescent="0.3">
      <c r="A76" s="2">
        <f t="shared" si="7"/>
        <v>3217</v>
      </c>
      <c r="B76" s="3" t="str">
        <f>IFERROR(MID(INDEX(Base!A$1:A$5000,Calcoli!A76),47,LEN(INDEX(Base!A$1:A$5000,Calcoli!A76))-41),"")</f>
        <v>GIRARDI PATRIZIA</v>
      </c>
      <c r="C76" s="5" t="str">
        <f>MID(INDEX(Base!A$1:A$5000,Calcoli!A76),42,4)</f>
        <v>1999</v>
      </c>
      <c r="D76" s="5" t="str">
        <f>MID(INDEX(Base!A$1:A$5000,Calcoli!A76),13,11)</f>
        <v xml:space="preserve"> 31_03_2025</v>
      </c>
      <c r="E76" s="4">
        <f t="shared" si="6"/>
        <v>2268</v>
      </c>
      <c r="F76" s="3" t="str">
        <f>IFERROR(MID(INDEX(Base!L$1:L$4000,Calcoli!E76),47,LEN(INDEX(Base!L$1:L$4000,Calcoli!E76))-41),"")</f>
        <v>GIRARDI PATRIZIA</v>
      </c>
      <c r="G76" s="5" t="str">
        <f>MID(INDEX(Base!L$1:L$4000,Calcoli!$E76),42,4)</f>
        <v>1999</v>
      </c>
      <c r="H76" s="5" t="str">
        <f>MID(INDEX(Base!L$1:L$4000,Calcoli!E76),13,11)</f>
        <v xml:space="preserve"> 01_04_2025</v>
      </c>
      <c r="I76" s="6" t="str">
        <f xml:space="preserve"> IFERROR(MID(INDEX(Base!$V$3:$AB$60,MATCH($F76,Base!$Z$3:$Z$160,0),1),1,14),"")</f>
        <v/>
      </c>
      <c r="J76" s="6" t="str">
        <f xml:space="preserve"> IFERROR(INDEX(Base!$V$3:$AB$160,MATCH($F76,Base!$Z$3:$Z$160,0),2),"")</f>
        <v/>
      </c>
      <c r="K76" s="6" t="str">
        <f xml:space="preserve"> IFERROR(INDEX(Base!$V$3:$AB$160,MATCH($F76,Base!$Z$3:$Z$160,0),3),"")</f>
        <v/>
      </c>
      <c r="L76" s="28" t="str">
        <f xml:space="preserve"> IFERROR(INDEX(Base!$V$3:$AB$160,MATCH($F76,Base!$Z$3:$Z$160,0),4),"")</f>
        <v/>
      </c>
      <c r="M76">
        <f>IF(M$1&lt;&gt;"",INDEX(Base!$G$1:$G$5000,$A76+M$1+2),"")</f>
        <v>20.68</v>
      </c>
      <c r="N76">
        <f>IF(N$1&lt;&gt;"",INDEX(Base!$G$1:$G$5000,$A76+N$1+2),"")</f>
        <v>13.64</v>
      </c>
      <c r="O76">
        <f>IF(O$1&lt;&gt;"",INDEX(Base!$G$1:$G$5000,$A76+O$1+2),"")</f>
        <v>0.27</v>
      </c>
      <c r="P76">
        <f>IF(P$1&lt;&gt;"",INDEX(Base!$G$1:$G$5000,$A76+P$1+2),"")</f>
        <v>2.3199999999999998</v>
      </c>
      <c r="Q76">
        <f>IF(Q$1&lt;&gt;"",INDEX(Base!$G$1:$G$5000,$A76+Q$1+2),"")</f>
        <v>0.59</v>
      </c>
      <c r="R76">
        <f>IF(R$1&lt;&gt;"",INDEX(Base!$G$1:$G$5000,$A76+R$1+2),"")</f>
        <v>1.22</v>
      </c>
      <c r="S76">
        <f>IF(S$1&lt;&gt;"",INDEX(Base!$G$1:$G$5000,$A76+S$1+2),"")</f>
        <v>0.08</v>
      </c>
      <c r="T76">
        <f>IF(T$1&lt;&gt;"",INDEX(Base!$G$1:$G$5000,$A76+T$1+2),"")</f>
        <v>46.91</v>
      </c>
      <c r="U76">
        <f>IF(U$1&lt;&gt;"",INDEX(Base!$G$1:$G$5000,$A76+U$1+2),"")</f>
        <v>5.37</v>
      </c>
      <c r="V76">
        <f>IF(V$1&lt;&gt;"",INDEX(Base!$G$1:$G$5000,$A76+V$1+2),"")</f>
        <v>0.35</v>
      </c>
      <c r="W76">
        <f>IF(W$1&lt;&gt;"",INDEX(Base!$G$1:$G$5000,$A76+W$1+2),"")</f>
        <v>1.65</v>
      </c>
      <c r="X76">
        <f>IF(X$1&lt;&gt;"",INDEX(Base!$G$1:$G$5000,$A76+X$1+2),"")</f>
        <v>1.39</v>
      </c>
      <c r="Y76">
        <f>IF(Y$1&lt;&gt;"",INDEX(Base!$G$1:$G$5000,$A76+Y$1+2),"")</f>
        <v>242.82</v>
      </c>
      <c r="Z76">
        <f>IF(Z$1&lt;&gt;"",INDEX(Base!$G$1:$G$5000,$A76+Z$1+2),"")</f>
        <v>2.52</v>
      </c>
      <c r="AA76">
        <f>IF(AA$1&lt;&gt;"",INDEX(Base!$G$1:$G$5000,$A76+AA$1+2),"")</f>
        <v>2.95</v>
      </c>
      <c r="AB76">
        <f>IF(AB$1&lt;&gt;"",INDEX(Base!$G$1:$G$5000,$A76+AB$1+2),"")</f>
        <v>1.87</v>
      </c>
      <c r="AC76">
        <f>IF(AC$1&lt;&gt;"",INDEX(Base!$G$1:$G$5000,$A76+AC$1+2),"")</f>
        <v>1.55</v>
      </c>
      <c r="AD76">
        <f>IF(AD$1&lt;&gt;"",INDEX(Base!$G$1:$G$5000,$A76+AD$1+2),"")</f>
        <v>13.2</v>
      </c>
      <c r="AE76">
        <f>IF(AE$1&lt;&gt;"",INDEX(Base!$G$1:$G$5000,$A76+AE$1+2),"")</f>
        <v>0.23</v>
      </c>
      <c r="AF76">
        <f>IF(AF$1&lt;&gt;"",INDEX(Base!$G$1:$G$5000,$A76+AF$1+2),"")</f>
        <v>1.42</v>
      </c>
      <c r="AG76">
        <f>IF(AG$1&lt;&gt;"",INDEX(Base!$G$1:$G$5000,$A76+AG$1+2),"")</f>
        <v>0.45</v>
      </c>
      <c r="AH76">
        <f>IF(AH$1&lt;&gt;"",INDEX(Base!$G$1:$G$5000,$A76+AH$1+2),"")</f>
        <v>2.9</v>
      </c>
      <c r="AI76">
        <f>IF(AI$1&lt;&gt;"",INDEX(Base!$G$1:$G$5000,$A76+AI$1+2),"")</f>
        <v>0.97</v>
      </c>
      <c r="AJ76">
        <f>IF(AJ$1&lt;&gt;"",INDEX(Base!$G$1:$G$5000,$A76+AJ$1+2),"")</f>
        <v>0.1</v>
      </c>
      <c r="AK76">
        <f>IF(AK$1&lt;&gt;"",INDEX(Base!$G$1:$G$5000,$A76+AK$1+2),"")</f>
        <v>6.87</v>
      </c>
      <c r="AL76">
        <f>IF(AL$1&lt;&gt;"",INDEX(Base!$G$1:$G$5000,$A76+AL$1+2),"")</f>
        <v>4.12</v>
      </c>
      <c r="AM76">
        <f>IF(AM$1&lt;&gt;"",INDEX(Base!$G$1:$G$5000,$A76+AM$1+2),"")</f>
        <v>0.1</v>
      </c>
      <c r="AN76">
        <f>IF(AN$1&lt;&gt;"",INDEX(Base!$G$1:$G$5000,$A76+AN$1+2),"")</f>
        <v>0.91</v>
      </c>
      <c r="AO76">
        <f>IF(AO$1&lt;&gt;"",INDEX(Base!$G$1:$G$5000,$A76+AO$1+2),"")</f>
        <v>1.5</v>
      </c>
      <c r="AP76">
        <f>IF(AP$1&lt;&gt;"",INDEX(Base!$G$1:$G$5000,$A76+AP$1+2),"")</f>
        <v>0.14000000000000001</v>
      </c>
      <c r="AQ76">
        <f>IF(AQ$1&lt;&gt;"",INDEX(Base!$G$1:$G$5000,$A76+AQ$1+2),"")</f>
        <v>0.21</v>
      </c>
      <c r="AR76">
        <f>IF(AR$1&lt;&gt;"",INDEX(Base!$G$1:$G$5000,$A76+AR$1+2),"")</f>
        <v>0.21</v>
      </c>
      <c r="AS76">
        <f>IF(AS$1&lt;&gt;"",INDEX(Base!$G$1:$G$5000,$A76+AS$1+2),"")</f>
        <v>4.83</v>
      </c>
      <c r="AT76">
        <f>IF(AT$1&lt;&gt;"",INDEX(Base!$G$1:$G$5000,$A76+AT$1+2),"")</f>
        <v>0.27</v>
      </c>
      <c r="AU76">
        <f>IF(AU$1&lt;&gt;"",INDEX(Base!$G$1:$G$5000,$A76+AU$1+2),"")</f>
        <v>0.11</v>
      </c>
      <c r="AV76">
        <f>IF(AV$1&lt;&gt;"",INDEX(Base!$G$1:$G$5000,$A76+AV$1+2),"")</f>
        <v>1.1299999999999999</v>
      </c>
      <c r="AW76" s="8">
        <f t="shared" si="5"/>
        <v>1.3475935828877004</v>
      </c>
      <c r="AX76">
        <f>IF(AX$1&lt;&gt;"",INDEX(Base!$R$1:$R$4000,$E76+AX$1+2),"")</f>
        <v>17.25</v>
      </c>
      <c r="AY76">
        <f>IF(AY$1&lt;&gt;"",INDEX(Base!$R$1:$R$4000,$E76+AY$1+2),"")</f>
        <v>446.77</v>
      </c>
      <c r="AZ76">
        <f>IF(AZ$1&lt;&gt;"",INDEX(Base!$R$1:$R$4000,$E76+AZ$1+2),"")</f>
        <v>0.35</v>
      </c>
      <c r="BA76">
        <f>IF(BA$1&lt;&gt;"",INDEX(Base!$R$1:$R$4000,$E76+BA$1+2),"")</f>
        <v>0.89</v>
      </c>
      <c r="BB76">
        <f>IF(BB$1&lt;&gt;"",INDEX(Base!$R$1:$R$4000,$E76+BB$1+2),"")</f>
        <v>41.11</v>
      </c>
      <c r="BC76">
        <f>IF(BC$1&lt;&gt;"",INDEX(Base!$R$1:$R$4000,$E76+BC$1+2),"")</f>
        <v>1.93</v>
      </c>
      <c r="BD76">
        <f>IF(BD$1&lt;&gt;"",INDEX(Base!$R$1:$R$4000,$E76+BD$1+2),"")</f>
        <v>3.28</v>
      </c>
      <c r="BE76">
        <f>IF(BE$1&lt;&gt;"",INDEX(Base!$R$1:$R$4000,$E76+BE$1+2),"")</f>
        <v>34.92</v>
      </c>
      <c r="BF76">
        <f>IF(BF$1&lt;&gt;"",INDEX(Base!$R$1:$R$4000,$E76+BF$1+2),"")</f>
        <v>0.2</v>
      </c>
      <c r="BG76">
        <f>IF(BG$1&lt;&gt;"",INDEX(Base!$R$1:$R$4000,$E76+BG$1+2),"")</f>
        <v>0.1</v>
      </c>
      <c r="BH76">
        <f>IF(BH$1&lt;&gt;"",INDEX(Base!$R$1:$R$4000,$E76+BH$1+2),"")</f>
        <v>0.38</v>
      </c>
      <c r="BI76">
        <f>IF(BI$1&lt;&gt;"",INDEX(Base!$R$1:$R$4000,$E76+BI$1+2),"")</f>
        <v>12.61</v>
      </c>
      <c r="BJ76">
        <f>IF(BJ$1&lt;&gt;"",INDEX(Base!$R$1:$R$4000,$E76+BJ$1+2),"")</f>
        <v>15.14</v>
      </c>
      <c r="BK76">
        <f>IF(BK$1&lt;&gt;"",INDEX(Base!$R$1:$R$4000,$E76+BK$1+2),"")</f>
        <v>21.25</v>
      </c>
      <c r="BL76">
        <f>IF(BL$1&lt;&gt;"",INDEX(Base!$R$1:$R$4000,$E76+BL$1+2),"")</f>
        <v>2.48</v>
      </c>
      <c r="BM76">
        <f>IF(BM$1&lt;&gt;"",INDEX(Base!$R$1:$R$4000,$E76+BM$1+2),"")</f>
        <v>0.94</v>
      </c>
      <c r="BN76">
        <f>IF(BN$1&lt;&gt;"",INDEX(Base!$R$1:$R$4000,$E76+BN$1+2),"")</f>
        <v>0.12</v>
      </c>
      <c r="BO76">
        <f>IF(BO$1&lt;&gt;"",INDEX(Base!$R$1:$R$4000,$E76+BO$1+2),"")</f>
        <v>0.2</v>
      </c>
      <c r="BP76">
        <f>IF(BP$1&lt;&gt;"",INDEX(Base!$R$1:$R$4000,$E76+BP$1+2),"")</f>
        <v>4.7699999999999996</v>
      </c>
      <c r="BQ76">
        <f>IF(BQ$1&lt;&gt;"",INDEX(Base!$R$1:$R$4000,$E76+BQ$1+2),"")</f>
        <v>0.24</v>
      </c>
      <c r="BR76">
        <f>IF(BR$1&lt;&gt;"",INDEX(Base!$R$1:$R$4000,$E76+BR$1+2),"")</f>
        <v>0.06</v>
      </c>
      <c r="BS76">
        <f>IF(BS$1&lt;&gt;"",INDEX(Base!$R$1:$R$4000,$E76+BS$1+2),"")</f>
        <v>2.57</v>
      </c>
      <c r="BT76">
        <f>IF(BT$1&lt;&gt;"",INDEX(Base!$R$1:$R$4000,$E76+BT$1+2),"")</f>
        <v>2.35</v>
      </c>
    </row>
    <row r="77" spans="1:72" x14ac:dyDescent="0.3">
      <c r="A77" s="2">
        <f t="shared" si="7"/>
        <v>3261</v>
      </c>
      <c r="B77" s="3" t="str">
        <f>IFERROR(MID(INDEX(Base!A$1:A$5000,Calcoli!A77),47,LEN(INDEX(Base!A$1:A$5000,Calcoli!A77))-41),"")</f>
        <v>FABIANO PATRIZIA</v>
      </c>
      <c r="C77" s="5" t="str">
        <f>MID(INDEX(Base!A$1:A$5000,Calcoli!A77),42,4)</f>
        <v>2000</v>
      </c>
      <c r="D77" s="5" t="str">
        <f>MID(INDEX(Base!A$1:A$5000,Calcoli!A77),13,11)</f>
        <v xml:space="preserve"> 31_03_2025</v>
      </c>
      <c r="E77" s="4">
        <f t="shared" si="6"/>
        <v>2299</v>
      </c>
      <c r="F77" s="3" t="str">
        <f>IFERROR(MID(INDEX(Base!L$1:L$4000,Calcoli!E77),47,LEN(INDEX(Base!L$1:L$4000,Calcoli!E77))-41),"")</f>
        <v>FABIANO PATRIZIA</v>
      </c>
      <c r="G77" s="5" t="str">
        <f>MID(INDEX(Base!L$1:L$4000,Calcoli!$E77),42,4)</f>
        <v>2000</v>
      </c>
      <c r="H77" s="5" t="str">
        <f>MID(INDEX(Base!L$1:L$4000,Calcoli!E77),13,11)</f>
        <v xml:space="preserve"> 01_04_2025</v>
      </c>
      <c r="I77" s="6" t="str">
        <f xml:space="preserve"> IFERROR(MID(INDEX(Base!$V$3:$AB$60,MATCH($F77,Base!$Z$3:$Z$160,0),1),1,14),"")</f>
        <v/>
      </c>
      <c r="J77" s="6" t="str">
        <f xml:space="preserve"> IFERROR(INDEX(Base!$V$3:$AB$160,MATCH($F77,Base!$Z$3:$Z$160,0),2),"")</f>
        <v/>
      </c>
      <c r="K77" s="6" t="str">
        <f xml:space="preserve"> IFERROR(INDEX(Base!$V$3:$AB$160,MATCH($F77,Base!$Z$3:$Z$160,0),3),"")</f>
        <v/>
      </c>
      <c r="L77" s="28" t="str">
        <f xml:space="preserve"> IFERROR(INDEX(Base!$V$3:$AB$160,MATCH($F77,Base!$Z$3:$Z$160,0),4),"")</f>
        <v/>
      </c>
      <c r="M77">
        <f>IF(M$1&lt;&gt;"",INDEX(Base!$G$1:$G$5000,$A77+M$1+2),"")</f>
        <v>20.55</v>
      </c>
      <c r="N77">
        <f>IF(N$1&lt;&gt;"",INDEX(Base!$G$1:$G$5000,$A77+N$1+2),"")</f>
        <v>6.09</v>
      </c>
      <c r="O77">
        <f>IF(O$1&lt;&gt;"",INDEX(Base!$G$1:$G$5000,$A77+O$1+2),"")</f>
        <v>0.21</v>
      </c>
      <c r="P77">
        <f>IF(P$1&lt;&gt;"",INDEX(Base!$G$1:$G$5000,$A77+P$1+2),"")</f>
        <v>1.1100000000000001</v>
      </c>
      <c r="Q77">
        <f>IF(Q$1&lt;&gt;"",INDEX(Base!$G$1:$G$5000,$A77+Q$1+2),"")</f>
        <v>0.1</v>
      </c>
      <c r="R77">
        <f>IF(R$1&lt;&gt;"",INDEX(Base!$G$1:$G$5000,$A77+R$1+2),"")</f>
        <v>2.2999999999999998</v>
      </c>
      <c r="S77">
        <f>IF(S$1&lt;&gt;"",INDEX(Base!$G$1:$G$5000,$A77+S$1+2),"")</f>
        <v>0.16</v>
      </c>
      <c r="T77">
        <f>IF(T$1&lt;&gt;"",INDEX(Base!$G$1:$G$5000,$A77+T$1+2),"")</f>
        <v>34.29</v>
      </c>
      <c r="U77">
        <f>IF(U$1&lt;&gt;"",INDEX(Base!$G$1:$G$5000,$A77+U$1+2),"")</f>
        <v>3.16</v>
      </c>
      <c r="V77">
        <f>IF(V$1&lt;&gt;"",INDEX(Base!$G$1:$G$5000,$A77+V$1+2),"")</f>
        <v>0.22</v>
      </c>
      <c r="W77">
        <f>IF(W$1&lt;&gt;"",INDEX(Base!$G$1:$G$5000,$A77+W$1+2),"")</f>
        <v>3.43</v>
      </c>
      <c r="X77">
        <f>IF(X$1&lt;&gt;"",INDEX(Base!$G$1:$G$5000,$A77+X$1+2),"")</f>
        <v>2.39</v>
      </c>
      <c r="Y77">
        <f>IF(Y$1&lt;&gt;"",INDEX(Base!$G$1:$G$5000,$A77+Y$1+2),"")</f>
        <v>250.52</v>
      </c>
      <c r="Z77">
        <f>IF(Z$1&lt;&gt;"",INDEX(Base!$G$1:$G$5000,$A77+Z$1+2),"")</f>
        <v>2.23</v>
      </c>
      <c r="AA77">
        <f>IF(AA$1&lt;&gt;"",INDEX(Base!$G$1:$G$5000,$A77+AA$1+2),"")</f>
        <v>1.72</v>
      </c>
      <c r="AB77">
        <f>IF(AB$1&lt;&gt;"",INDEX(Base!$G$1:$G$5000,$A77+AB$1+2),"")</f>
        <v>2.6</v>
      </c>
      <c r="AC77">
        <f>IF(AC$1&lt;&gt;"",INDEX(Base!$G$1:$G$5000,$A77+AC$1+2),"")</f>
        <v>4.76</v>
      </c>
      <c r="AD77">
        <f>IF(AD$1&lt;&gt;"",INDEX(Base!$G$1:$G$5000,$A77+AD$1+2),"")</f>
        <v>15.89</v>
      </c>
      <c r="AE77">
        <f>IF(AE$1&lt;&gt;"",INDEX(Base!$G$1:$G$5000,$A77+AE$1+2),"")</f>
        <v>0.28000000000000003</v>
      </c>
      <c r="AF77">
        <f>IF(AF$1&lt;&gt;"",INDEX(Base!$G$1:$G$5000,$A77+AF$1+2),"")</f>
        <v>2.81</v>
      </c>
      <c r="AG77">
        <f>IF(AG$1&lt;&gt;"",INDEX(Base!$G$1:$G$5000,$A77+AG$1+2),"")</f>
        <v>0.91</v>
      </c>
      <c r="AH77">
        <f>IF(AH$1&lt;&gt;"",INDEX(Base!$G$1:$G$5000,$A77+AH$1+2),"")</f>
        <v>5.14</v>
      </c>
      <c r="AI77">
        <f>IF(AI$1&lt;&gt;"",INDEX(Base!$G$1:$G$5000,$A77+AI$1+2),"")</f>
        <v>2.71</v>
      </c>
      <c r="AJ77">
        <f>IF(AJ$1&lt;&gt;"",INDEX(Base!$G$1:$G$5000,$A77+AJ$1+2),"")</f>
        <v>0.1</v>
      </c>
      <c r="AK77">
        <f>IF(AK$1&lt;&gt;"",INDEX(Base!$G$1:$G$5000,$A77+AK$1+2),"")</f>
        <v>4.22</v>
      </c>
      <c r="AL77">
        <f>IF(AL$1&lt;&gt;"",INDEX(Base!$G$1:$G$5000,$A77+AL$1+2),"")</f>
        <v>5.07</v>
      </c>
      <c r="AM77">
        <f>IF(AM$1&lt;&gt;"",INDEX(Base!$G$1:$G$5000,$A77+AM$1+2),"")</f>
        <v>1.85</v>
      </c>
      <c r="AN77">
        <f>IF(AN$1&lt;&gt;"",INDEX(Base!$G$1:$G$5000,$A77+AN$1+2),"")</f>
        <v>2.65</v>
      </c>
      <c r="AO77">
        <f>IF(AO$1&lt;&gt;"",INDEX(Base!$G$1:$G$5000,$A77+AO$1+2),"")</f>
        <v>1.49</v>
      </c>
      <c r="AP77">
        <f>IF(AP$1&lt;&gt;"",INDEX(Base!$G$1:$G$5000,$A77+AP$1+2),"")</f>
        <v>0.24</v>
      </c>
      <c r="AQ77">
        <f>IF(AQ$1&lt;&gt;"",INDEX(Base!$G$1:$G$5000,$A77+AQ$1+2),"")</f>
        <v>0.45</v>
      </c>
      <c r="AR77">
        <f>IF(AR$1&lt;&gt;"",INDEX(Base!$G$1:$G$5000,$A77+AR$1+2),"")</f>
        <v>0.21</v>
      </c>
      <c r="AS77">
        <f>IF(AS$1&lt;&gt;"",INDEX(Base!$G$1:$G$5000,$A77+AS$1+2),"")</f>
        <v>1.74</v>
      </c>
      <c r="AT77">
        <f>IF(AT$1&lt;&gt;"",INDEX(Base!$G$1:$G$5000,$A77+AT$1+2),"")</f>
        <v>7.0000000000000007E-2</v>
      </c>
      <c r="AU77">
        <f>IF(AU$1&lt;&gt;"",INDEX(Base!$G$1:$G$5000,$A77+AU$1+2),"")</f>
        <v>0.1</v>
      </c>
      <c r="AV77">
        <f>IF(AV$1&lt;&gt;"",INDEX(Base!$G$1:$G$5000,$A77+AV$1+2),"")</f>
        <v>0.77</v>
      </c>
      <c r="AW77" s="8">
        <f t="shared" si="5"/>
        <v>0.85769230769230764</v>
      </c>
      <c r="AX77">
        <f>IF(AX$1&lt;&gt;"",INDEX(Base!$R$1:$R$4000,$E77+AX$1+2),"")</f>
        <v>27.29</v>
      </c>
      <c r="AY77">
        <f>IF(AY$1&lt;&gt;"",INDEX(Base!$R$1:$R$4000,$E77+AY$1+2),"")</f>
        <v>316.58</v>
      </c>
      <c r="AZ77">
        <f>IF(AZ$1&lt;&gt;"",INDEX(Base!$R$1:$R$4000,$E77+AZ$1+2),"")</f>
        <v>0.28999999999999998</v>
      </c>
      <c r="BA77">
        <f>IF(BA$1&lt;&gt;"",INDEX(Base!$R$1:$R$4000,$E77+BA$1+2),"")</f>
        <v>1.03</v>
      </c>
      <c r="BB77">
        <f>IF(BB$1&lt;&gt;"",INDEX(Base!$R$1:$R$4000,$E77+BB$1+2),"")</f>
        <v>96.54</v>
      </c>
      <c r="BC77">
        <f>IF(BC$1&lt;&gt;"",INDEX(Base!$R$1:$R$4000,$E77+BC$1+2),"")</f>
        <v>2.4500000000000002</v>
      </c>
      <c r="BD77">
        <f>IF(BD$1&lt;&gt;"",INDEX(Base!$R$1:$R$4000,$E77+BD$1+2),"")</f>
        <v>4.9800000000000004</v>
      </c>
      <c r="BE77">
        <f>IF(BE$1&lt;&gt;"",INDEX(Base!$R$1:$R$4000,$E77+BE$1+2),"")</f>
        <v>16.190000000000001</v>
      </c>
      <c r="BF77">
        <f>IF(BF$1&lt;&gt;"",INDEX(Base!$R$1:$R$4000,$E77+BF$1+2),"")</f>
        <v>0.14000000000000001</v>
      </c>
      <c r="BG77">
        <f>IF(BG$1&lt;&gt;"",INDEX(Base!$R$1:$R$4000,$E77+BG$1+2),"")</f>
        <v>3.03</v>
      </c>
      <c r="BH77">
        <f>IF(BH$1&lt;&gt;"",INDEX(Base!$R$1:$R$4000,$E77+BH$1+2),"")</f>
        <v>0.71</v>
      </c>
      <c r="BI77">
        <f>IF(BI$1&lt;&gt;"",INDEX(Base!$R$1:$R$4000,$E77+BI$1+2),"")</f>
        <v>46.13</v>
      </c>
      <c r="BJ77">
        <f>IF(BJ$1&lt;&gt;"",INDEX(Base!$R$1:$R$4000,$E77+BJ$1+2),"")</f>
        <v>10.88</v>
      </c>
      <c r="BK77">
        <f>IF(BK$1&lt;&gt;"",INDEX(Base!$R$1:$R$4000,$E77+BK$1+2),"")</f>
        <v>16.989999999999998</v>
      </c>
      <c r="BL77">
        <f>IF(BL$1&lt;&gt;"",INDEX(Base!$R$1:$R$4000,$E77+BL$1+2),"")</f>
        <v>4.57</v>
      </c>
      <c r="BM77">
        <f>IF(BM$1&lt;&gt;"",INDEX(Base!$R$1:$R$4000,$E77+BM$1+2),"")</f>
        <v>0.98</v>
      </c>
      <c r="BN77">
        <f>IF(BN$1&lt;&gt;"",INDEX(Base!$R$1:$R$4000,$E77+BN$1+2),"")</f>
        <v>0.1</v>
      </c>
      <c r="BO77">
        <f>IF(BO$1&lt;&gt;"",INDEX(Base!$R$1:$R$4000,$E77+BO$1+2),"")</f>
        <v>0.11</v>
      </c>
      <c r="BP77">
        <f>IF(BP$1&lt;&gt;"",INDEX(Base!$R$1:$R$4000,$E77+BP$1+2),"")</f>
        <v>1.1100000000000001</v>
      </c>
      <c r="BQ77">
        <f>IF(BQ$1&lt;&gt;"",INDEX(Base!$R$1:$R$4000,$E77+BQ$1+2),"")</f>
        <v>0.2</v>
      </c>
      <c r="BR77">
        <f>IF(BR$1&lt;&gt;"",INDEX(Base!$R$1:$R$4000,$E77+BR$1+2),"")</f>
        <v>0.09</v>
      </c>
      <c r="BS77">
        <f>IF(BS$1&lt;&gt;"",INDEX(Base!$R$1:$R$4000,$E77+BS$1+2),"")</f>
        <v>5.77</v>
      </c>
      <c r="BT77">
        <f>IF(BT$1&lt;&gt;"",INDEX(Base!$R$1:$R$4000,$E77+BT$1+2),"")</f>
        <v>2.0499999999999998</v>
      </c>
    </row>
    <row r="78" spans="1:72" x14ac:dyDescent="0.3">
      <c r="A78" s="2">
        <f t="shared" si="7"/>
        <v>3305</v>
      </c>
      <c r="B78" s="3" t="str">
        <f>IFERROR(MID(INDEX(Base!A$1:A$5000,Calcoli!A78),47,LEN(INDEX(Base!A$1:A$5000,Calcoli!A78))-41),"")</f>
        <v>SCOTTI ELISABETTA</v>
      </c>
      <c r="C78" s="5" t="str">
        <f>MID(INDEX(Base!A$1:A$5000,Calcoli!A78),42,4)</f>
        <v>2001</v>
      </c>
      <c r="D78" s="5" t="str">
        <f>MID(INDEX(Base!A$1:A$5000,Calcoli!A78),13,11)</f>
        <v xml:space="preserve"> 31_03_2025</v>
      </c>
      <c r="E78" s="4">
        <f t="shared" si="6"/>
        <v>2330</v>
      </c>
      <c r="F78" s="3" t="str">
        <f>IFERROR(MID(INDEX(Base!L$1:L$4000,Calcoli!E78),47,LEN(INDEX(Base!L$1:L$4000,Calcoli!E78))-41),"")</f>
        <v>SCOTTI ELISABETTA</v>
      </c>
      <c r="G78" s="5" t="str">
        <f>MID(INDEX(Base!L$1:L$4000,Calcoli!$E78),42,4)</f>
        <v>2001</v>
      </c>
      <c r="H78" s="5" t="str">
        <f>MID(INDEX(Base!L$1:L$4000,Calcoli!E78),13,11)</f>
        <v xml:space="preserve"> 01_04_2025</v>
      </c>
      <c r="I78" s="6" t="str">
        <f xml:space="preserve"> IFERROR(MID(INDEX(Base!$V$3:$AB$60,MATCH($F78,Base!$Z$3:$Z$160,0),1),1,14),"")</f>
        <v/>
      </c>
      <c r="J78" s="6" t="str">
        <f xml:space="preserve"> IFERROR(INDEX(Base!$V$3:$AB$160,MATCH($F78,Base!$Z$3:$Z$160,0),2),"")</f>
        <v/>
      </c>
      <c r="K78" s="6" t="str">
        <f xml:space="preserve"> IFERROR(INDEX(Base!$V$3:$AB$160,MATCH($F78,Base!$Z$3:$Z$160,0),3),"")</f>
        <v/>
      </c>
      <c r="L78" s="28" t="str">
        <f xml:space="preserve"> IFERROR(INDEX(Base!$V$3:$AB$160,MATCH($F78,Base!$Z$3:$Z$160,0),4),"")</f>
        <v/>
      </c>
      <c r="M78">
        <f>IF(M$1&lt;&gt;"",INDEX(Base!$G$1:$G$5000,$A78+M$1+2),"")</f>
        <v>9.4</v>
      </c>
      <c r="N78">
        <f>IF(N$1&lt;&gt;"",INDEX(Base!$G$1:$G$5000,$A78+N$1+2),"")</f>
        <v>4.4800000000000004</v>
      </c>
      <c r="O78">
        <f>IF(O$1&lt;&gt;"",INDEX(Base!$G$1:$G$5000,$A78+O$1+2),"")</f>
        <v>0.05</v>
      </c>
      <c r="P78">
        <f>IF(P$1&lt;&gt;"",INDEX(Base!$G$1:$G$5000,$A78+P$1+2),"")</f>
        <v>0.85</v>
      </c>
      <c r="Q78">
        <f>IF(Q$1&lt;&gt;"",INDEX(Base!$G$1:$G$5000,$A78+Q$1+2),"")</f>
        <v>0.1</v>
      </c>
      <c r="R78">
        <f>IF(R$1&lt;&gt;"",INDEX(Base!$G$1:$G$5000,$A78+R$1+2),"")</f>
        <v>2.5</v>
      </c>
      <c r="S78">
        <f>IF(S$1&lt;&gt;"",INDEX(Base!$G$1:$G$5000,$A78+S$1+2),"")</f>
        <v>0.15</v>
      </c>
      <c r="T78">
        <f>IF(T$1&lt;&gt;"",INDEX(Base!$G$1:$G$5000,$A78+T$1+2),"")</f>
        <v>17.22</v>
      </c>
      <c r="U78">
        <f>IF(U$1&lt;&gt;"",INDEX(Base!$G$1:$G$5000,$A78+U$1+2),"")</f>
        <v>1.27</v>
      </c>
      <c r="V78">
        <f>IF(V$1&lt;&gt;"",INDEX(Base!$G$1:$G$5000,$A78+V$1+2),"")</f>
        <v>0.14000000000000001</v>
      </c>
      <c r="W78">
        <f>IF(W$1&lt;&gt;"",INDEX(Base!$G$1:$G$5000,$A78+W$1+2),"")</f>
        <v>2.0499999999999998</v>
      </c>
      <c r="X78">
        <f>IF(X$1&lt;&gt;"",INDEX(Base!$G$1:$G$5000,$A78+X$1+2),"")</f>
        <v>1.2</v>
      </c>
      <c r="Y78">
        <f>IF(Y$1&lt;&gt;"",INDEX(Base!$G$1:$G$5000,$A78+Y$1+2),"")</f>
        <v>33.950000000000003</v>
      </c>
      <c r="Z78">
        <f>IF(Z$1&lt;&gt;"",INDEX(Base!$G$1:$G$5000,$A78+Z$1+2),"")</f>
        <v>2.12</v>
      </c>
      <c r="AA78">
        <f>IF(AA$1&lt;&gt;"",INDEX(Base!$G$1:$G$5000,$A78+AA$1+2),"")</f>
        <v>1.69</v>
      </c>
      <c r="AB78">
        <f>IF(AB$1&lt;&gt;"",INDEX(Base!$G$1:$G$5000,$A78+AB$1+2),"")</f>
        <v>0.86</v>
      </c>
      <c r="AC78">
        <f>IF(AC$1&lt;&gt;"",INDEX(Base!$G$1:$G$5000,$A78+AC$1+2),"")</f>
        <v>5.55</v>
      </c>
      <c r="AD78">
        <f>IF(AD$1&lt;&gt;"",INDEX(Base!$G$1:$G$5000,$A78+AD$1+2),"")</f>
        <v>11.29</v>
      </c>
      <c r="AE78">
        <f>IF(AE$1&lt;&gt;"",INDEX(Base!$G$1:$G$5000,$A78+AE$1+2),"")</f>
        <v>0.5</v>
      </c>
      <c r="AF78">
        <f>IF(AF$1&lt;&gt;"",INDEX(Base!$G$1:$G$5000,$A78+AF$1+2),"")</f>
        <v>2.2400000000000002</v>
      </c>
      <c r="AG78">
        <f>IF(AG$1&lt;&gt;"",INDEX(Base!$G$1:$G$5000,$A78+AG$1+2),"")</f>
        <v>3.07</v>
      </c>
      <c r="AH78">
        <f>IF(AH$1&lt;&gt;"",INDEX(Base!$G$1:$G$5000,$A78+AH$1+2),"")</f>
        <v>2.33</v>
      </c>
      <c r="AI78">
        <f>IF(AI$1&lt;&gt;"",INDEX(Base!$G$1:$G$5000,$A78+AI$1+2),"")</f>
        <v>1.7</v>
      </c>
      <c r="AJ78">
        <f>IF(AJ$1&lt;&gt;"",INDEX(Base!$G$1:$G$5000,$A78+AJ$1+2),"")</f>
        <v>0.1</v>
      </c>
      <c r="AK78">
        <f>IF(AK$1&lt;&gt;"",INDEX(Base!$G$1:$G$5000,$A78+AK$1+2),"")</f>
        <v>2.2400000000000002</v>
      </c>
      <c r="AL78">
        <f>IF(AL$1&lt;&gt;"",INDEX(Base!$G$1:$G$5000,$A78+AL$1+2),"")</f>
        <v>3.96</v>
      </c>
      <c r="AM78">
        <f>IF(AM$1&lt;&gt;"",INDEX(Base!$G$1:$G$5000,$A78+AM$1+2),"")</f>
        <v>0.28000000000000003</v>
      </c>
      <c r="AN78">
        <f>IF(AN$1&lt;&gt;"",INDEX(Base!$G$1:$G$5000,$A78+AN$1+2),"")</f>
        <v>0.32</v>
      </c>
      <c r="AO78">
        <f>IF(AO$1&lt;&gt;"",INDEX(Base!$G$1:$G$5000,$A78+AO$1+2),"")</f>
        <v>0.52</v>
      </c>
      <c r="AP78">
        <f>IF(AP$1&lt;&gt;"",INDEX(Base!$G$1:$G$5000,$A78+AP$1+2),"")</f>
        <v>0.06</v>
      </c>
      <c r="AQ78">
        <f>IF(AQ$1&lt;&gt;"",INDEX(Base!$G$1:$G$5000,$A78+AQ$1+2),"")</f>
        <v>1.38</v>
      </c>
      <c r="AR78">
        <f>IF(AR$1&lt;&gt;"",INDEX(Base!$G$1:$G$5000,$A78+AR$1+2),"")</f>
        <v>0.09</v>
      </c>
      <c r="AS78">
        <f>IF(AS$1&lt;&gt;"",INDEX(Base!$G$1:$G$5000,$A78+AS$1+2),"")</f>
        <v>0.7</v>
      </c>
      <c r="AT78">
        <f>IF(AT$1&lt;&gt;"",INDEX(Base!$G$1:$G$5000,$A78+AT$1+2),"")</f>
        <v>0.45</v>
      </c>
      <c r="AU78">
        <f>IF(AU$1&lt;&gt;"",INDEX(Base!$G$1:$G$5000,$A78+AU$1+2),"")</f>
        <v>0.1</v>
      </c>
      <c r="AV78">
        <f>IF(AV$1&lt;&gt;"",INDEX(Base!$G$1:$G$5000,$A78+AV$1+2),"")</f>
        <v>1.65</v>
      </c>
      <c r="AW78" s="8">
        <f t="shared" si="5"/>
        <v>2.4651162790697678</v>
      </c>
      <c r="AX78">
        <f>IF(AX$1&lt;&gt;"",INDEX(Base!$R$1:$R$4000,$E78+AX$1+2),"")</f>
        <v>6.11</v>
      </c>
      <c r="AY78">
        <f>IF(AY$1&lt;&gt;"",INDEX(Base!$R$1:$R$4000,$E78+AY$1+2),"")</f>
        <v>210.71</v>
      </c>
      <c r="AZ78">
        <f>IF(AZ$1&lt;&gt;"",INDEX(Base!$R$1:$R$4000,$E78+AZ$1+2),"")</f>
        <v>1.04</v>
      </c>
      <c r="BA78">
        <f>IF(BA$1&lt;&gt;"",INDEX(Base!$R$1:$R$4000,$E78+BA$1+2),"")</f>
        <v>0.6</v>
      </c>
      <c r="BB78">
        <f>IF(BB$1&lt;&gt;"",INDEX(Base!$R$1:$R$4000,$E78+BB$1+2),"")</f>
        <v>43.03</v>
      </c>
      <c r="BC78">
        <f>IF(BC$1&lt;&gt;"",INDEX(Base!$R$1:$R$4000,$E78+BC$1+2),"")</f>
        <v>1.76</v>
      </c>
      <c r="BD78">
        <f>IF(BD$1&lt;&gt;"",INDEX(Base!$R$1:$R$4000,$E78+BD$1+2),"")</f>
        <v>1.23</v>
      </c>
      <c r="BE78">
        <f>IF(BE$1&lt;&gt;"",INDEX(Base!$R$1:$R$4000,$E78+BE$1+2),"")</f>
        <v>1728.36</v>
      </c>
      <c r="BF78">
        <f>IF(BF$1&lt;&gt;"",INDEX(Base!$R$1:$R$4000,$E78+BF$1+2),"")</f>
        <v>0.19</v>
      </c>
      <c r="BG78">
        <f>IF(BG$1&lt;&gt;"",INDEX(Base!$R$1:$R$4000,$E78+BG$1+2),"")</f>
        <v>1.83</v>
      </c>
      <c r="BH78">
        <f>IF(BH$1&lt;&gt;"",INDEX(Base!$R$1:$R$4000,$E78+BH$1+2),"")</f>
        <v>0.14000000000000001</v>
      </c>
      <c r="BI78">
        <f>IF(BI$1&lt;&gt;"",INDEX(Base!$R$1:$R$4000,$E78+BI$1+2),"")</f>
        <v>20.76</v>
      </c>
      <c r="BJ78">
        <f>IF(BJ$1&lt;&gt;"",INDEX(Base!$R$1:$R$4000,$E78+BJ$1+2),"")</f>
        <v>6.58</v>
      </c>
      <c r="BK78">
        <f>IF(BK$1&lt;&gt;"",INDEX(Base!$R$1:$R$4000,$E78+BK$1+2),"")</f>
        <v>5.24</v>
      </c>
      <c r="BL78">
        <f>IF(BL$1&lt;&gt;"",INDEX(Base!$R$1:$R$4000,$E78+BL$1+2),"")</f>
        <v>2.21</v>
      </c>
      <c r="BM78">
        <f>IF(BM$1&lt;&gt;"",INDEX(Base!$R$1:$R$4000,$E78+BM$1+2),"")</f>
        <v>0.67</v>
      </c>
      <c r="BN78">
        <f>IF(BN$1&lt;&gt;"",INDEX(Base!$R$1:$R$4000,$E78+BN$1+2),"")</f>
        <v>0.1</v>
      </c>
      <c r="BO78">
        <f>IF(BO$1&lt;&gt;"",INDEX(Base!$R$1:$R$4000,$E78+BO$1+2),"")</f>
        <v>0.15</v>
      </c>
      <c r="BP78">
        <f>IF(BP$1&lt;&gt;"",INDEX(Base!$R$1:$R$4000,$E78+BP$1+2),"")</f>
        <v>0.44</v>
      </c>
      <c r="BQ78">
        <f>IF(BQ$1&lt;&gt;"",INDEX(Base!$R$1:$R$4000,$E78+BQ$1+2),"")</f>
        <v>0.5</v>
      </c>
      <c r="BR78">
        <f>IF(BR$1&lt;&gt;"",INDEX(Base!$R$1:$R$4000,$E78+BR$1+2),"")</f>
        <v>0.06</v>
      </c>
      <c r="BS78">
        <f>IF(BS$1&lt;&gt;"",INDEX(Base!$R$1:$R$4000,$E78+BS$1+2),"")</f>
        <v>4.4800000000000004</v>
      </c>
      <c r="BT78">
        <f>IF(BT$1&lt;&gt;"",INDEX(Base!$R$1:$R$4000,$E78+BT$1+2),"")</f>
        <v>1.3</v>
      </c>
    </row>
    <row r="79" spans="1:72" x14ac:dyDescent="0.3">
      <c r="A79" s="2">
        <f t="shared" si="7"/>
        <v>3349</v>
      </c>
      <c r="B79" s="3" t="str">
        <f>IFERROR(MID(INDEX(Base!A$1:A$5000,Calcoli!A79),47,LEN(INDEX(Base!A$1:A$5000,Calcoli!A79))-41),"")</f>
        <v>GRIOLI ERNESTO</v>
      </c>
      <c r="C79" s="5" t="str">
        <f>MID(INDEX(Base!A$1:A$5000,Calcoli!A79),42,4)</f>
        <v>2003</v>
      </c>
      <c r="D79" s="5" t="str">
        <f>MID(INDEX(Base!A$1:A$5000,Calcoli!A79),13,11)</f>
        <v xml:space="preserve"> 31_03_2025</v>
      </c>
      <c r="E79" s="4">
        <f t="shared" si="6"/>
        <v>2361</v>
      </c>
      <c r="F79" s="3" t="str">
        <f>IFERROR(MID(INDEX(Base!L$1:L$4000,Calcoli!E79),47,LEN(INDEX(Base!L$1:L$4000,Calcoli!E79))-41),"")</f>
        <v>GRIOLI ERNESTO</v>
      </c>
      <c r="G79" s="5" t="str">
        <f>MID(INDEX(Base!L$1:L$4000,Calcoli!$E79),42,4)</f>
        <v>2003</v>
      </c>
      <c r="H79" s="5" t="str">
        <f>MID(INDEX(Base!L$1:L$4000,Calcoli!E79),13,11)</f>
        <v xml:space="preserve"> 01_04_2025</v>
      </c>
      <c r="I79" s="6" t="str">
        <f xml:space="preserve"> IFERROR(MID(INDEX(Base!$V$3:$AB$60,MATCH($F79,Base!$Z$3:$Z$160,0),1),1,14),"")</f>
        <v/>
      </c>
      <c r="J79" s="6" t="str">
        <f xml:space="preserve"> IFERROR(INDEX(Base!$V$3:$AB$160,MATCH($F79,Base!$Z$3:$Z$160,0),2),"")</f>
        <v/>
      </c>
      <c r="K79" s="6" t="str">
        <f xml:space="preserve"> IFERROR(INDEX(Base!$V$3:$AB$160,MATCH($F79,Base!$Z$3:$Z$160,0),3),"")</f>
        <v/>
      </c>
      <c r="L79" s="28" t="str">
        <f xml:space="preserve"> IFERROR(INDEX(Base!$V$3:$AB$160,MATCH($F79,Base!$Z$3:$Z$160,0),4),"")</f>
        <v/>
      </c>
      <c r="M79">
        <f>IF(M$1&lt;&gt;"",INDEX(Base!$G$1:$G$5000,$A79+M$1+2),"")</f>
        <v>17.14</v>
      </c>
      <c r="N79">
        <f>IF(N$1&lt;&gt;"",INDEX(Base!$G$1:$G$5000,$A79+N$1+2),"")</f>
        <v>4.6100000000000003</v>
      </c>
      <c r="O79">
        <f>IF(O$1&lt;&gt;"",INDEX(Base!$G$1:$G$5000,$A79+O$1+2),"")</f>
        <v>0.18</v>
      </c>
      <c r="P79">
        <f>IF(P$1&lt;&gt;"",INDEX(Base!$G$1:$G$5000,$A79+P$1+2),"")</f>
        <v>1.27</v>
      </c>
      <c r="Q79">
        <f>IF(Q$1&lt;&gt;"",INDEX(Base!$G$1:$G$5000,$A79+Q$1+2),"")</f>
        <v>0.1</v>
      </c>
      <c r="R79">
        <f>IF(R$1&lt;&gt;"",INDEX(Base!$G$1:$G$5000,$A79+R$1+2),"")</f>
        <v>1.98</v>
      </c>
      <c r="S79">
        <f>IF(S$1&lt;&gt;"",INDEX(Base!$G$1:$G$5000,$A79+S$1+2),"")</f>
        <v>0.15</v>
      </c>
      <c r="T79">
        <f>IF(T$1&lt;&gt;"",INDEX(Base!$G$1:$G$5000,$A79+T$1+2),"")</f>
        <v>47.57</v>
      </c>
      <c r="U79">
        <f>IF(U$1&lt;&gt;"",INDEX(Base!$G$1:$G$5000,$A79+U$1+2),"")</f>
        <v>1.02</v>
      </c>
      <c r="V79">
        <f>IF(V$1&lt;&gt;"",INDEX(Base!$G$1:$G$5000,$A79+V$1+2),"")</f>
        <v>0.19</v>
      </c>
      <c r="W79">
        <f>IF(W$1&lt;&gt;"",INDEX(Base!$G$1:$G$5000,$A79+W$1+2),"")</f>
        <v>1.95</v>
      </c>
      <c r="X79">
        <f>IF(X$1&lt;&gt;"",INDEX(Base!$G$1:$G$5000,$A79+X$1+2),"")</f>
        <v>0.98</v>
      </c>
      <c r="Y79">
        <f>IF(Y$1&lt;&gt;"",INDEX(Base!$G$1:$G$5000,$A79+Y$1+2),"")</f>
        <v>213.41</v>
      </c>
      <c r="Z79">
        <f>IF(Z$1&lt;&gt;"",INDEX(Base!$G$1:$G$5000,$A79+Z$1+2),"")</f>
        <v>1.89</v>
      </c>
      <c r="AA79">
        <f>IF(AA$1&lt;&gt;"",INDEX(Base!$G$1:$G$5000,$A79+AA$1+2),"")</f>
        <v>1.68</v>
      </c>
      <c r="AB79">
        <f>IF(AB$1&lt;&gt;"",INDEX(Base!$G$1:$G$5000,$A79+AB$1+2),"")</f>
        <v>1.1299999999999999</v>
      </c>
      <c r="AC79">
        <f>IF(AC$1&lt;&gt;"",INDEX(Base!$G$1:$G$5000,$A79+AC$1+2),"")</f>
        <v>4.97</v>
      </c>
      <c r="AD79">
        <f>IF(AD$1&lt;&gt;"",INDEX(Base!$G$1:$G$5000,$A79+AD$1+2),"")</f>
        <v>13.26</v>
      </c>
      <c r="AE79">
        <f>IF(AE$1&lt;&gt;"",INDEX(Base!$G$1:$G$5000,$A79+AE$1+2),"")</f>
        <v>0.21</v>
      </c>
      <c r="AF79">
        <f>IF(AF$1&lt;&gt;"",INDEX(Base!$G$1:$G$5000,$A79+AF$1+2),"")</f>
        <v>2.72</v>
      </c>
      <c r="AG79">
        <f>IF(AG$1&lt;&gt;"",INDEX(Base!$G$1:$G$5000,$A79+AG$1+2),"")</f>
        <v>1.31</v>
      </c>
      <c r="AH79">
        <f>IF(AH$1&lt;&gt;"",INDEX(Base!$G$1:$G$5000,$A79+AH$1+2),"")</f>
        <v>2.46</v>
      </c>
      <c r="AI79">
        <f>IF(AI$1&lt;&gt;"",INDEX(Base!$G$1:$G$5000,$A79+AI$1+2),"")</f>
        <v>0.89</v>
      </c>
      <c r="AJ79">
        <f>IF(AJ$1&lt;&gt;"",INDEX(Base!$G$1:$G$5000,$A79+AJ$1+2),"")</f>
        <v>0.11</v>
      </c>
      <c r="AK79">
        <f>IF(AK$1&lt;&gt;"",INDEX(Base!$G$1:$G$5000,$A79+AK$1+2),"")</f>
        <v>12.13</v>
      </c>
      <c r="AL79">
        <f>IF(AL$1&lt;&gt;"",INDEX(Base!$G$1:$G$5000,$A79+AL$1+2),"")</f>
        <v>3.41</v>
      </c>
      <c r="AM79">
        <f>IF(AM$1&lt;&gt;"",INDEX(Base!$G$1:$G$5000,$A79+AM$1+2),"")</f>
        <v>2.2799999999999998</v>
      </c>
      <c r="AN79">
        <f>IF(AN$1&lt;&gt;"",INDEX(Base!$G$1:$G$5000,$A79+AN$1+2),"")</f>
        <v>1.95</v>
      </c>
      <c r="AO79">
        <f>IF(AO$1&lt;&gt;"",INDEX(Base!$G$1:$G$5000,$A79+AO$1+2),"")</f>
        <v>1.1299999999999999</v>
      </c>
      <c r="AP79">
        <f>IF(AP$1&lt;&gt;"",INDEX(Base!$G$1:$G$5000,$A79+AP$1+2),"")</f>
        <v>0.16</v>
      </c>
      <c r="AQ79">
        <f>IF(AQ$1&lt;&gt;"",INDEX(Base!$G$1:$G$5000,$A79+AQ$1+2),"")</f>
        <v>0.14000000000000001</v>
      </c>
      <c r="AR79">
        <f>IF(AR$1&lt;&gt;"",INDEX(Base!$G$1:$G$5000,$A79+AR$1+2),"")</f>
        <v>0.09</v>
      </c>
      <c r="AS79">
        <f>IF(AS$1&lt;&gt;"",INDEX(Base!$G$1:$G$5000,$A79+AS$1+2),"")</f>
        <v>0.57999999999999996</v>
      </c>
      <c r="AT79">
        <f>IF(AT$1&lt;&gt;"",INDEX(Base!$G$1:$G$5000,$A79+AT$1+2),"")</f>
        <v>0.13</v>
      </c>
      <c r="AU79">
        <f>IF(AU$1&lt;&gt;"",INDEX(Base!$G$1:$G$5000,$A79+AU$1+2),"")</f>
        <v>0.14000000000000001</v>
      </c>
      <c r="AV79">
        <f>IF(AV$1&lt;&gt;"",INDEX(Base!$G$1:$G$5000,$A79+AV$1+2),"")</f>
        <v>0.72</v>
      </c>
      <c r="AW79" s="8">
        <f t="shared" si="5"/>
        <v>1.6725663716814161</v>
      </c>
      <c r="AX79">
        <f>IF(AX$1&lt;&gt;"",INDEX(Base!$R$1:$R$4000,$E79+AX$1+2),"")</f>
        <v>38.53</v>
      </c>
      <c r="AY79">
        <f>IF(AY$1&lt;&gt;"",INDEX(Base!$R$1:$R$4000,$E79+AY$1+2),"")</f>
        <v>327.68</v>
      </c>
      <c r="AZ79">
        <f>IF(AZ$1&lt;&gt;"",INDEX(Base!$R$1:$R$4000,$E79+AZ$1+2),"")</f>
        <v>0.41</v>
      </c>
      <c r="BA79">
        <f>IF(BA$1&lt;&gt;"",INDEX(Base!$R$1:$R$4000,$E79+BA$1+2),"")</f>
        <v>0.78</v>
      </c>
      <c r="BB79">
        <f>IF(BB$1&lt;&gt;"",INDEX(Base!$R$1:$R$4000,$E79+BB$1+2),"")</f>
        <v>62.44</v>
      </c>
      <c r="BC79">
        <f>IF(BC$1&lt;&gt;"",INDEX(Base!$R$1:$R$4000,$E79+BC$1+2),"")</f>
        <v>3.4</v>
      </c>
      <c r="BD79">
        <f>IF(BD$1&lt;&gt;"",INDEX(Base!$R$1:$R$4000,$E79+BD$1+2),"")</f>
        <v>1.08</v>
      </c>
      <c r="BE79">
        <f>IF(BE$1&lt;&gt;"",INDEX(Base!$R$1:$R$4000,$E79+BE$1+2),"")</f>
        <v>16.309999999999999</v>
      </c>
      <c r="BF79">
        <f>IF(BF$1&lt;&gt;"",INDEX(Base!$R$1:$R$4000,$E79+BF$1+2),"")</f>
        <v>0.13</v>
      </c>
      <c r="BG79">
        <f>IF(BG$1&lt;&gt;"",INDEX(Base!$R$1:$R$4000,$E79+BG$1+2),"")</f>
        <v>1.9</v>
      </c>
      <c r="BH79">
        <f>IF(BH$1&lt;&gt;"",INDEX(Base!$R$1:$R$4000,$E79+BH$1+2),"")</f>
        <v>0.32</v>
      </c>
      <c r="BI79">
        <f>IF(BI$1&lt;&gt;"",INDEX(Base!$R$1:$R$4000,$E79+BI$1+2),"")</f>
        <v>34.78</v>
      </c>
      <c r="BJ79">
        <f>IF(BJ$1&lt;&gt;"",INDEX(Base!$R$1:$R$4000,$E79+BJ$1+2),"")</f>
        <v>7.78</v>
      </c>
      <c r="BK79">
        <f>IF(BK$1&lt;&gt;"",INDEX(Base!$R$1:$R$4000,$E79+BK$1+2),"")</f>
        <v>19.53</v>
      </c>
      <c r="BL79">
        <f>IF(BL$1&lt;&gt;"",INDEX(Base!$R$1:$R$4000,$E79+BL$1+2),"")</f>
        <v>4.1900000000000004</v>
      </c>
      <c r="BM79">
        <f>IF(BM$1&lt;&gt;"",INDEX(Base!$R$1:$R$4000,$E79+BM$1+2),"")</f>
        <v>0.7</v>
      </c>
      <c r="BN79">
        <f>IF(BN$1&lt;&gt;"",INDEX(Base!$R$1:$R$4000,$E79+BN$1+2),"")</f>
        <v>0.1</v>
      </c>
      <c r="BO79">
        <f>IF(BO$1&lt;&gt;"",INDEX(Base!$R$1:$R$4000,$E79+BO$1+2),"")</f>
        <v>0.09</v>
      </c>
      <c r="BP79">
        <f>IF(BP$1&lt;&gt;"",INDEX(Base!$R$1:$R$4000,$E79+BP$1+2),"")</f>
        <v>0.94</v>
      </c>
      <c r="BQ79">
        <f>IF(BQ$1&lt;&gt;"",INDEX(Base!$R$1:$R$4000,$E79+BQ$1+2),"")</f>
        <v>0.27</v>
      </c>
      <c r="BR79">
        <f>IF(BR$1&lt;&gt;"",INDEX(Base!$R$1:$R$4000,$E79+BR$1+2),"")</f>
        <v>0.13</v>
      </c>
      <c r="BS79">
        <f>IF(BS$1&lt;&gt;"",INDEX(Base!$R$1:$R$4000,$E79+BS$1+2),"")</f>
        <v>7.51</v>
      </c>
      <c r="BT79">
        <f>IF(BT$1&lt;&gt;"",INDEX(Base!$R$1:$R$4000,$E79+BT$1+2),"")</f>
        <v>1.47</v>
      </c>
    </row>
    <row r="80" spans="1:72" x14ac:dyDescent="0.3">
      <c r="A80" s="2">
        <f t="shared" si="7"/>
        <v>3393</v>
      </c>
      <c r="B80" s="3" t="str">
        <f>IFERROR(MID(INDEX(Base!A$1:A$5000,Calcoli!A80),47,LEN(INDEX(Base!A$1:A$5000,Calcoli!A80))-41),"")</f>
        <v/>
      </c>
      <c r="C80" s="5" t="str">
        <f>MID(INDEX(Base!A$1:A$5000,Calcoli!A80),42,4)</f>
        <v/>
      </c>
      <c r="D80" s="5" t="str">
        <f>MID(INDEX(Base!A$1:A$5000,Calcoli!A80),13,11)</f>
        <v xml:space="preserve"> 31_03_2025</v>
      </c>
      <c r="E80" s="4">
        <f t="shared" si="6"/>
        <v>2392</v>
      </c>
      <c r="F80" s="3" t="str">
        <f>IFERROR(MID(INDEX(Base!L$1:L$4000,Calcoli!E80),47,LEN(INDEX(Base!L$1:L$4000,Calcoli!E80))-41),"")</f>
        <v/>
      </c>
      <c r="G80" s="5" t="str">
        <f>MID(INDEX(Base!L$1:L$4000,Calcoli!$E80),42,4)</f>
        <v/>
      </c>
      <c r="H80" s="5" t="str">
        <f>MID(INDEX(Base!L$1:L$4000,Calcoli!E80),13,11)</f>
        <v xml:space="preserve"> 01_04_2025</v>
      </c>
      <c r="I80" s="6" t="str">
        <f xml:space="preserve"> IFERROR(MID(INDEX(Base!$V$3:$AB$60,MATCH($F80,Base!$Z$3:$Z$160,0),1),1,14),"")</f>
        <v/>
      </c>
      <c r="J80" s="6" t="str">
        <f xml:space="preserve"> IFERROR(INDEX(Base!$V$3:$AB$160,MATCH($F80,Base!$Z$3:$Z$160,0),2),"")</f>
        <v/>
      </c>
      <c r="K80" s="6" t="str">
        <f xml:space="preserve"> IFERROR(INDEX(Base!$V$3:$AB$160,MATCH($F80,Base!$Z$3:$Z$160,0),3),"")</f>
        <v/>
      </c>
      <c r="L80" s="28" t="str">
        <f xml:space="preserve"> IFERROR(INDEX(Base!$V$3:$AB$160,MATCH($F80,Base!$Z$3:$Z$160,0),4),"")</f>
        <v/>
      </c>
      <c r="M80">
        <f>IF(M$1&lt;&gt;"",INDEX(Base!$G$1:$G$5000,$A80+M$1+2),"")</f>
        <v>0.1</v>
      </c>
      <c r="N80">
        <f>IF(N$1&lt;&gt;"",INDEX(Base!$G$1:$G$5000,$A80+N$1+2),"")</f>
        <v>0.1</v>
      </c>
      <c r="O80">
        <f>IF(O$1&lt;&gt;"",INDEX(Base!$G$1:$G$5000,$A80+O$1+2),"")</f>
        <v>0.42</v>
      </c>
      <c r="P80">
        <f>IF(P$1&lt;&gt;"",INDEX(Base!$G$1:$G$5000,$A80+P$1+2),"")</f>
        <v>0.78</v>
      </c>
      <c r="Q80">
        <f>IF(Q$1&lt;&gt;"",INDEX(Base!$G$1:$G$5000,$A80+Q$1+2),"")</f>
        <v>0.1</v>
      </c>
      <c r="R80">
        <f>IF(R$1&lt;&gt;"",INDEX(Base!$G$1:$G$5000,$A80+R$1+2),"")</f>
        <v>2.2999999999999998</v>
      </c>
      <c r="S80">
        <f>IF(S$1&lt;&gt;"",INDEX(Base!$G$1:$G$5000,$A80+S$1+2),"")</f>
        <v>0.06</v>
      </c>
      <c r="T80">
        <f>IF(T$1&lt;&gt;"",INDEX(Base!$G$1:$G$5000,$A80+T$1+2),"")</f>
        <v>0.1</v>
      </c>
      <c r="U80">
        <f>IF(U$1&lt;&gt;"",INDEX(Base!$G$1:$G$5000,$A80+U$1+2),"")</f>
        <v>3.07</v>
      </c>
      <c r="V80">
        <f>IF(V$1&lt;&gt;"",INDEX(Base!$G$1:$G$5000,$A80+V$1+2),"")</f>
        <v>0.37</v>
      </c>
      <c r="W80">
        <f>IF(W$1&lt;&gt;"",INDEX(Base!$G$1:$G$5000,$A80+W$1+2),"")</f>
        <v>1.63</v>
      </c>
      <c r="X80">
        <f>IF(X$1&lt;&gt;"",INDEX(Base!$G$1:$G$5000,$A80+X$1+2),"")</f>
        <v>3</v>
      </c>
      <c r="Y80">
        <f>IF(Y$1&lt;&gt;"",INDEX(Base!$G$1:$G$5000,$A80+Y$1+2),"")</f>
        <v>0.1</v>
      </c>
      <c r="Z80">
        <f>IF(Z$1&lt;&gt;"",INDEX(Base!$G$1:$G$5000,$A80+Z$1+2),"")</f>
        <v>0.1</v>
      </c>
      <c r="AA80">
        <f>IF(AA$1&lt;&gt;"",INDEX(Base!$G$1:$G$5000,$A80+AA$1+2),"")</f>
        <v>0.83</v>
      </c>
      <c r="AB80">
        <f>IF(AB$1&lt;&gt;"",INDEX(Base!$G$1:$G$5000,$A80+AB$1+2),"")</f>
        <v>0.1</v>
      </c>
      <c r="AC80">
        <f>IF(AC$1&lt;&gt;"",INDEX(Base!$G$1:$G$5000,$A80+AC$1+2),"")</f>
        <v>3.22</v>
      </c>
      <c r="AD80">
        <f>IF(AD$1&lt;&gt;"",INDEX(Base!$G$1:$G$5000,$A80+AD$1+2),"")</f>
        <v>10.33</v>
      </c>
      <c r="AE80">
        <f>IF(AE$1&lt;&gt;"",INDEX(Base!$G$1:$G$5000,$A80+AE$1+2),"")</f>
        <v>0.3</v>
      </c>
      <c r="AF80">
        <f>IF(AF$1&lt;&gt;"",INDEX(Base!$G$1:$G$5000,$A80+AF$1+2),"")</f>
        <v>0.44</v>
      </c>
      <c r="AG80">
        <f>IF(AG$1&lt;&gt;"",INDEX(Base!$G$1:$G$5000,$A80+AG$1+2),"")</f>
        <v>0.33</v>
      </c>
      <c r="AH80">
        <f>IF(AH$1&lt;&gt;"",INDEX(Base!$G$1:$G$5000,$A80+AH$1+2),"")</f>
        <v>0.1</v>
      </c>
      <c r="AI80">
        <f>IF(AI$1&lt;&gt;"",INDEX(Base!$G$1:$G$5000,$A80+AI$1+2),"")</f>
        <v>0.1</v>
      </c>
      <c r="AJ80">
        <f>IF(AJ$1&lt;&gt;"",INDEX(Base!$G$1:$G$5000,$A80+AJ$1+2),"")</f>
        <v>0.1</v>
      </c>
      <c r="AK80">
        <f>IF(AK$1&lt;&gt;"",INDEX(Base!$G$1:$G$5000,$A80+AK$1+2),"")</f>
        <v>22.36</v>
      </c>
      <c r="AL80">
        <f>IF(AL$1&lt;&gt;"",INDEX(Base!$G$1:$G$5000,$A80+AL$1+2),"")</f>
        <v>2.0299999999999998</v>
      </c>
      <c r="AM80">
        <f>IF(AM$1&lt;&gt;"",INDEX(Base!$G$1:$G$5000,$A80+AM$1+2),"")</f>
        <v>0.1</v>
      </c>
      <c r="AN80">
        <f>IF(AN$1&lt;&gt;"",INDEX(Base!$G$1:$G$5000,$A80+AN$1+2),"")</f>
        <v>1.8</v>
      </c>
      <c r="AO80">
        <f>IF(AO$1&lt;&gt;"",INDEX(Base!$G$1:$G$5000,$A80+AO$1+2),"")</f>
        <v>0.1</v>
      </c>
      <c r="AP80">
        <f>IF(AP$1&lt;&gt;"",INDEX(Base!$G$1:$G$5000,$A80+AP$1+2),"")</f>
        <v>0.13</v>
      </c>
      <c r="AQ80">
        <f>IF(AQ$1&lt;&gt;"",INDEX(Base!$G$1:$G$5000,$A80+AQ$1+2),"")</f>
        <v>0.1</v>
      </c>
      <c r="AR80">
        <f>IF(AR$1&lt;&gt;"",INDEX(Base!$G$1:$G$5000,$A80+AR$1+2),"")</f>
        <v>0.1</v>
      </c>
      <c r="AS80">
        <f>IF(AS$1&lt;&gt;"",INDEX(Base!$G$1:$G$5000,$A80+AS$1+2),"")</f>
        <v>3.35</v>
      </c>
      <c r="AT80">
        <f>IF(AT$1&lt;&gt;"",INDEX(Base!$G$1:$G$5000,$A80+AT$1+2),"")</f>
        <v>0.14000000000000001</v>
      </c>
      <c r="AU80">
        <f>IF(AU$1&lt;&gt;"",INDEX(Base!$G$1:$G$5000,$A80+AU$1+2),"")</f>
        <v>0.1</v>
      </c>
      <c r="AV80">
        <f>IF(AV$1&lt;&gt;"",INDEX(Base!$G$1:$G$5000,$A80+AV$1+2),"")</f>
        <v>0.06</v>
      </c>
      <c r="AW80" s="8">
        <f t="shared" si="5"/>
        <v>1</v>
      </c>
      <c r="AX80">
        <f>IF(AX$1&lt;&gt;"",INDEX(Base!$R$1:$R$4000,$E80+AX$1+2),"")</f>
        <v>81.93</v>
      </c>
      <c r="AY80">
        <f>IF(AY$1&lt;&gt;"",INDEX(Base!$R$1:$R$4000,$E80+AY$1+2),"")</f>
        <v>427.99</v>
      </c>
      <c r="AZ80">
        <f>IF(AZ$1&lt;&gt;"",INDEX(Base!$R$1:$R$4000,$E80+AZ$1+2),"")</f>
        <v>0.1</v>
      </c>
      <c r="BA80">
        <f>IF(BA$1&lt;&gt;"",INDEX(Base!$R$1:$R$4000,$E80+BA$1+2),"")</f>
        <v>0.64</v>
      </c>
      <c r="BB80">
        <f>IF(BB$1&lt;&gt;"",INDEX(Base!$R$1:$R$4000,$E80+BB$1+2),"")</f>
        <v>45.82</v>
      </c>
      <c r="BC80">
        <f>IF(BC$1&lt;&gt;"",INDEX(Base!$R$1:$R$4000,$E80+BC$1+2),"")</f>
        <v>0.1</v>
      </c>
      <c r="BD80">
        <f>IF(BD$1&lt;&gt;"",INDEX(Base!$R$1:$R$4000,$E80+BD$1+2),"")</f>
        <v>1.55</v>
      </c>
      <c r="BE80">
        <f>IF(BE$1&lt;&gt;"",INDEX(Base!$R$1:$R$4000,$E80+BE$1+2),"")</f>
        <v>0.1</v>
      </c>
      <c r="BF80">
        <f>IF(BF$1&lt;&gt;"",INDEX(Base!$R$1:$R$4000,$E80+BF$1+2),"")</f>
        <v>0.12</v>
      </c>
      <c r="BG80">
        <f>IF(BG$1&lt;&gt;"",INDEX(Base!$R$1:$R$4000,$E80+BG$1+2),"")</f>
        <v>0.1</v>
      </c>
      <c r="BH80">
        <f>IF(BH$1&lt;&gt;"",INDEX(Base!$R$1:$R$4000,$E80+BH$1+2),"")</f>
        <v>0.1</v>
      </c>
      <c r="BI80">
        <f>IF(BI$1&lt;&gt;"",INDEX(Base!$R$1:$R$4000,$E80+BI$1+2),"")</f>
        <v>0.1</v>
      </c>
      <c r="BJ80">
        <f>IF(BJ$1&lt;&gt;"",INDEX(Base!$R$1:$R$4000,$E80+BJ$1+2),"")</f>
        <v>0.1</v>
      </c>
      <c r="BK80">
        <f>IF(BK$1&lt;&gt;"",INDEX(Base!$R$1:$R$4000,$E80+BK$1+2),"")</f>
        <v>0.1</v>
      </c>
      <c r="BL80">
        <f>IF(BL$1&lt;&gt;"",INDEX(Base!$R$1:$R$4000,$E80+BL$1+2),"")</f>
        <v>0.1</v>
      </c>
      <c r="BM80">
        <f>IF(BM$1&lt;&gt;"",INDEX(Base!$R$1:$R$4000,$E80+BM$1+2),"")</f>
        <v>0.1</v>
      </c>
      <c r="BN80">
        <f>IF(BN$1&lt;&gt;"",INDEX(Base!$R$1:$R$4000,$E80+BN$1+2),"")</f>
        <v>0.1</v>
      </c>
      <c r="BO80">
        <f>IF(BO$1&lt;&gt;"",INDEX(Base!$R$1:$R$4000,$E80+BO$1+2),"")</f>
        <v>0.1</v>
      </c>
      <c r="BP80">
        <f>IF(BP$1&lt;&gt;"",INDEX(Base!$R$1:$R$4000,$E80+BP$1+2),"")</f>
        <v>0.1</v>
      </c>
      <c r="BQ80">
        <f>IF(BQ$1&lt;&gt;"",INDEX(Base!$R$1:$R$4000,$E80+BQ$1+2),"")</f>
        <v>0.1</v>
      </c>
      <c r="BR80">
        <f>IF(BR$1&lt;&gt;"",INDEX(Base!$R$1:$R$4000,$E80+BR$1+2),"")</f>
        <v>0.1</v>
      </c>
      <c r="BS80">
        <f>IF(BS$1&lt;&gt;"",INDEX(Base!$R$1:$R$4000,$E80+BS$1+2),"")</f>
        <v>0.1</v>
      </c>
      <c r="BT80">
        <f>IF(BT$1&lt;&gt;"",INDEX(Base!$R$1:$R$4000,$E80+BT$1+2),"")</f>
        <v>2.02</v>
      </c>
    </row>
    <row r="81" spans="1:72" x14ac:dyDescent="0.3">
      <c r="A81" s="2">
        <f t="shared" si="7"/>
        <v>3437</v>
      </c>
      <c r="B81" s="3" t="str">
        <f>IFERROR(MID(INDEX(Base!A$1:A$5000,Calcoli!A81),47,LEN(INDEX(Base!A$1:A$5000,Calcoli!A81))-41),"")</f>
        <v>PONZINIBI FILIPPO</v>
      </c>
      <c r="C81" s="5" t="str">
        <f>MID(INDEX(Base!A$1:A$5000,Calcoli!A81),42,4)</f>
        <v>2016</v>
      </c>
      <c r="D81" s="5" t="str">
        <f>MID(INDEX(Base!A$1:A$5000,Calcoli!A81),13,11)</f>
        <v xml:space="preserve"> 31_03_2025</v>
      </c>
      <c r="E81" s="4">
        <f t="shared" si="6"/>
        <v>2423</v>
      </c>
      <c r="F81" s="3" t="str">
        <f>IFERROR(MID(INDEX(Base!L$1:L$4000,Calcoli!E81),47,LEN(INDEX(Base!L$1:L$4000,Calcoli!E81))-41),"")</f>
        <v>PONZINIBI FILIPPO</v>
      </c>
      <c r="G81" s="5" t="str">
        <f>MID(INDEX(Base!L$1:L$4000,Calcoli!$E81),42,4)</f>
        <v>2016</v>
      </c>
      <c r="H81" s="5" t="str">
        <f>MID(INDEX(Base!L$1:L$4000,Calcoli!E81),13,11)</f>
        <v xml:space="preserve"> 01_04_2025</v>
      </c>
      <c r="I81" s="6" t="str">
        <f xml:space="preserve"> IFERROR(MID(INDEX(Base!$V$3:$AB$60,MATCH($F81,Base!$Z$3:$Z$160,0),1),1,14),"")</f>
        <v/>
      </c>
      <c r="J81" s="6" t="str">
        <f xml:space="preserve"> IFERROR(INDEX(Base!$V$3:$AB$160,MATCH($F81,Base!$Z$3:$Z$160,0),2),"")</f>
        <v/>
      </c>
      <c r="K81" s="6" t="str">
        <f xml:space="preserve"> IFERROR(INDEX(Base!$V$3:$AB$160,MATCH($F81,Base!$Z$3:$Z$160,0),3),"")</f>
        <v/>
      </c>
      <c r="L81" s="28" t="str">
        <f xml:space="preserve"> IFERROR(INDEX(Base!$V$3:$AB$160,MATCH($F81,Base!$Z$3:$Z$160,0),4),"")</f>
        <v/>
      </c>
      <c r="M81">
        <f>IF(M$1&lt;&gt;"",INDEX(Base!$G$1:$G$5000,$A81+M$1+2),"")</f>
        <v>32.89</v>
      </c>
      <c r="N81">
        <f>IF(N$1&lt;&gt;"",INDEX(Base!$G$1:$G$5000,$A81+N$1+2),"")</f>
        <v>4.58</v>
      </c>
      <c r="O81">
        <f>IF(O$1&lt;&gt;"",INDEX(Base!$G$1:$G$5000,$A81+O$1+2),"")</f>
        <v>0.14000000000000001</v>
      </c>
      <c r="P81">
        <f>IF(P$1&lt;&gt;"",INDEX(Base!$G$1:$G$5000,$A81+P$1+2),"")</f>
        <v>1.06</v>
      </c>
      <c r="Q81">
        <f>IF(Q$1&lt;&gt;"",INDEX(Base!$G$1:$G$5000,$A81+Q$1+2),"")</f>
        <v>0.1</v>
      </c>
      <c r="R81">
        <f>IF(R$1&lt;&gt;"",INDEX(Base!$G$1:$G$5000,$A81+R$1+2),"")</f>
        <v>1.59</v>
      </c>
      <c r="S81">
        <f>IF(S$1&lt;&gt;"",INDEX(Base!$G$1:$G$5000,$A81+S$1+2),"")</f>
        <v>0.09</v>
      </c>
      <c r="T81">
        <f>IF(T$1&lt;&gt;"",INDEX(Base!$G$1:$G$5000,$A81+T$1+2),"")</f>
        <v>15.7</v>
      </c>
      <c r="U81">
        <f>IF(U$1&lt;&gt;"",INDEX(Base!$G$1:$G$5000,$A81+U$1+2),"")</f>
        <v>0.59</v>
      </c>
      <c r="V81">
        <f>IF(V$1&lt;&gt;"",INDEX(Base!$G$1:$G$5000,$A81+V$1+2),"")</f>
        <v>0.12</v>
      </c>
      <c r="W81">
        <f>IF(W$1&lt;&gt;"",INDEX(Base!$G$1:$G$5000,$A81+W$1+2),"")</f>
        <v>1.7</v>
      </c>
      <c r="X81">
        <f>IF(X$1&lt;&gt;"",INDEX(Base!$G$1:$G$5000,$A81+X$1+2),"")</f>
        <v>1.48</v>
      </c>
      <c r="Y81">
        <f>IF(Y$1&lt;&gt;"",INDEX(Base!$G$1:$G$5000,$A81+Y$1+2),"")</f>
        <v>60.88</v>
      </c>
      <c r="Z81">
        <f>IF(Z$1&lt;&gt;"",INDEX(Base!$G$1:$G$5000,$A81+Z$1+2),"")</f>
        <v>1.29</v>
      </c>
      <c r="AA81">
        <f>IF(AA$1&lt;&gt;"",INDEX(Base!$G$1:$G$5000,$A81+AA$1+2),"")</f>
        <v>0.6</v>
      </c>
      <c r="AB81">
        <f>IF(AB$1&lt;&gt;"",INDEX(Base!$G$1:$G$5000,$A81+AB$1+2),"")</f>
        <v>1.35</v>
      </c>
      <c r="AC81">
        <f>IF(AC$1&lt;&gt;"",INDEX(Base!$G$1:$G$5000,$A81+AC$1+2),"")</f>
        <v>1.51</v>
      </c>
      <c r="AD81">
        <f>IF(AD$1&lt;&gt;"",INDEX(Base!$G$1:$G$5000,$A81+AD$1+2),"")</f>
        <v>14.72</v>
      </c>
      <c r="AE81">
        <f>IF(AE$1&lt;&gt;"",INDEX(Base!$G$1:$G$5000,$A81+AE$1+2),"")</f>
        <v>0.15</v>
      </c>
      <c r="AF81">
        <f>IF(AF$1&lt;&gt;"",INDEX(Base!$G$1:$G$5000,$A81+AF$1+2),"")</f>
        <v>1.22</v>
      </c>
      <c r="AG81">
        <f>IF(AG$1&lt;&gt;"",INDEX(Base!$G$1:$G$5000,$A81+AG$1+2),"")</f>
        <v>0.44</v>
      </c>
      <c r="AH81">
        <f>IF(AH$1&lt;&gt;"",INDEX(Base!$G$1:$G$5000,$A81+AH$1+2),"")</f>
        <v>2.96</v>
      </c>
      <c r="AI81">
        <f>IF(AI$1&lt;&gt;"",INDEX(Base!$G$1:$G$5000,$A81+AI$1+2),"")</f>
        <v>0.28999999999999998</v>
      </c>
      <c r="AJ81">
        <f>IF(AJ$1&lt;&gt;"",INDEX(Base!$G$1:$G$5000,$A81+AJ$1+2),"")</f>
        <v>0.13</v>
      </c>
      <c r="AK81">
        <f>IF(AK$1&lt;&gt;"",INDEX(Base!$G$1:$G$5000,$A81+AK$1+2),"")</f>
        <v>2.59</v>
      </c>
      <c r="AL81">
        <f>IF(AL$1&lt;&gt;"",INDEX(Base!$G$1:$G$5000,$A81+AL$1+2),"")</f>
        <v>1.75</v>
      </c>
      <c r="AM81">
        <f>IF(AM$1&lt;&gt;"",INDEX(Base!$G$1:$G$5000,$A81+AM$1+2),"")</f>
        <v>0.88</v>
      </c>
      <c r="AN81">
        <f>IF(AN$1&lt;&gt;"",INDEX(Base!$G$1:$G$5000,$A81+AN$1+2),"")</f>
        <v>0.6</v>
      </c>
      <c r="AO81">
        <f>IF(AO$1&lt;&gt;"",INDEX(Base!$G$1:$G$5000,$A81+AO$1+2),"")</f>
        <v>1.07</v>
      </c>
      <c r="AP81">
        <f>IF(AP$1&lt;&gt;"",INDEX(Base!$G$1:$G$5000,$A81+AP$1+2),"")</f>
        <v>0.09</v>
      </c>
      <c r="AQ81">
        <f>IF(AQ$1&lt;&gt;"",INDEX(Base!$G$1:$G$5000,$A81+AQ$1+2),"")</f>
        <v>0.19</v>
      </c>
      <c r="AR81">
        <f>IF(AR$1&lt;&gt;"",INDEX(Base!$G$1:$G$5000,$A81+AR$1+2),"")</f>
        <v>0.08</v>
      </c>
      <c r="AS81">
        <f>IF(AS$1&lt;&gt;"",INDEX(Base!$G$1:$G$5000,$A81+AS$1+2),"")</f>
        <v>1.29</v>
      </c>
      <c r="AT81">
        <f>IF(AT$1&lt;&gt;"",INDEX(Base!$G$1:$G$5000,$A81+AT$1+2),"")</f>
        <v>0.18</v>
      </c>
      <c r="AU81">
        <f>IF(AU$1&lt;&gt;"",INDEX(Base!$G$1:$G$5000,$A81+AU$1+2),"")</f>
        <v>0.1</v>
      </c>
      <c r="AV81">
        <f>IF(AV$1&lt;&gt;"",INDEX(Base!$G$1:$G$5000,$A81+AV$1+2),"")</f>
        <v>0.26</v>
      </c>
      <c r="AW81" s="8">
        <f t="shared" si="5"/>
        <v>0.95555555555555549</v>
      </c>
      <c r="AX81">
        <f>IF(AX$1&lt;&gt;"",INDEX(Base!$R$1:$R$4000,$E81+AX$1+2),"")</f>
        <v>3.73</v>
      </c>
      <c r="AY81">
        <f>IF(AY$1&lt;&gt;"",INDEX(Base!$R$1:$R$4000,$E81+AY$1+2),"")</f>
        <v>64.97</v>
      </c>
      <c r="AZ81">
        <f>IF(AZ$1&lt;&gt;"",INDEX(Base!$R$1:$R$4000,$E81+AZ$1+2),"")</f>
        <v>0.12</v>
      </c>
      <c r="BA81">
        <f>IF(BA$1&lt;&gt;"",INDEX(Base!$R$1:$R$4000,$E81+BA$1+2),"")</f>
        <v>0.39</v>
      </c>
      <c r="BB81">
        <f>IF(BB$1&lt;&gt;"",INDEX(Base!$R$1:$R$4000,$E81+BB$1+2),"")</f>
        <v>42.08</v>
      </c>
      <c r="BC81">
        <f>IF(BC$1&lt;&gt;"",INDEX(Base!$R$1:$R$4000,$E81+BC$1+2),"")</f>
        <v>1.2</v>
      </c>
      <c r="BD81">
        <f>IF(BD$1&lt;&gt;"",INDEX(Base!$R$1:$R$4000,$E81+BD$1+2),"")</f>
        <v>4.12</v>
      </c>
      <c r="BE81">
        <f>IF(BE$1&lt;&gt;"",INDEX(Base!$R$1:$R$4000,$E81+BE$1+2),"")</f>
        <v>8.1</v>
      </c>
      <c r="BF81">
        <f>IF(BF$1&lt;&gt;"",INDEX(Base!$R$1:$R$4000,$E81+BF$1+2),"")</f>
        <v>0.1</v>
      </c>
      <c r="BG81">
        <f>IF(BG$1&lt;&gt;"",INDEX(Base!$R$1:$R$4000,$E81+BG$1+2),"")</f>
        <v>1.1200000000000001</v>
      </c>
      <c r="BH81">
        <f>IF(BH$1&lt;&gt;"",INDEX(Base!$R$1:$R$4000,$E81+BH$1+2),"")</f>
        <v>0.23</v>
      </c>
      <c r="BI81">
        <f>IF(BI$1&lt;&gt;"",INDEX(Base!$R$1:$R$4000,$E81+BI$1+2),"")</f>
        <v>20.83</v>
      </c>
      <c r="BJ81">
        <f>IF(BJ$1&lt;&gt;"",INDEX(Base!$R$1:$R$4000,$E81+BJ$1+2),"")</f>
        <v>5.01</v>
      </c>
      <c r="BK81">
        <f>IF(BK$1&lt;&gt;"",INDEX(Base!$R$1:$R$4000,$E81+BK$1+2),"")</f>
        <v>6.91</v>
      </c>
      <c r="BL81">
        <f>IF(BL$1&lt;&gt;"",INDEX(Base!$R$1:$R$4000,$E81+BL$1+2),"")</f>
        <v>1.83</v>
      </c>
      <c r="BM81">
        <f>IF(BM$1&lt;&gt;"",INDEX(Base!$R$1:$R$4000,$E81+BM$1+2),"")</f>
        <v>0.72</v>
      </c>
      <c r="BN81">
        <f>IF(BN$1&lt;&gt;"",INDEX(Base!$R$1:$R$4000,$E81+BN$1+2),"")</f>
        <v>0.12</v>
      </c>
      <c r="BO81">
        <f>IF(BO$1&lt;&gt;"",INDEX(Base!$R$1:$R$4000,$E81+BO$1+2),"")</f>
        <v>0.1</v>
      </c>
      <c r="BP81">
        <f>IF(BP$1&lt;&gt;"",INDEX(Base!$R$1:$R$4000,$E81+BP$1+2),"")</f>
        <v>0.64</v>
      </c>
      <c r="BQ81">
        <f>IF(BQ$1&lt;&gt;"",INDEX(Base!$R$1:$R$4000,$E81+BQ$1+2),"")</f>
        <v>0.09</v>
      </c>
      <c r="BR81">
        <f>IF(BR$1&lt;&gt;"",INDEX(Base!$R$1:$R$4000,$E81+BR$1+2),"")</f>
        <v>0.12</v>
      </c>
      <c r="BS81">
        <f>IF(BS$1&lt;&gt;"",INDEX(Base!$R$1:$R$4000,$E81+BS$1+2),"")</f>
        <v>8.0399999999999991</v>
      </c>
      <c r="BT81">
        <f>IF(BT$1&lt;&gt;"",INDEX(Base!$R$1:$R$4000,$E81+BT$1+2),"")</f>
        <v>1.0900000000000001</v>
      </c>
    </row>
    <row r="82" spans="1:72" x14ac:dyDescent="0.3">
      <c r="A82" s="2">
        <f t="shared" si="7"/>
        <v>3481</v>
      </c>
      <c r="B82" s="3" t="str">
        <f>IFERROR(MID(INDEX(Base!A$1:A$5000,Calcoli!A82),47,LEN(INDEX(Base!A$1:A$5000,Calcoli!A82))-41),"")</f>
        <v>PARMESANI ANNAMARIA</v>
      </c>
      <c r="C82" s="5" t="str">
        <f>MID(INDEX(Base!A$1:A$5000,Calcoli!A82),42,4)</f>
        <v>2017</v>
      </c>
      <c r="D82" s="5" t="str">
        <f>MID(INDEX(Base!A$1:A$5000,Calcoli!A82),13,11)</f>
        <v xml:space="preserve"> 31_03_2025</v>
      </c>
      <c r="E82" s="4">
        <f t="shared" si="6"/>
        <v>2454</v>
      </c>
      <c r="F82" s="3" t="str">
        <f>IFERROR(MID(INDEX(Base!L$1:L$4000,Calcoli!E82),47,LEN(INDEX(Base!L$1:L$4000,Calcoli!E82))-41),"")</f>
        <v>PARMESANI ANNAMARIA</v>
      </c>
      <c r="G82" s="5" t="str">
        <f>MID(INDEX(Base!L$1:L$4000,Calcoli!$E82),42,4)</f>
        <v>2017</v>
      </c>
      <c r="H82" s="5" t="str">
        <f>MID(INDEX(Base!L$1:L$4000,Calcoli!E82),13,11)</f>
        <v xml:space="preserve"> 01_04_2025</v>
      </c>
      <c r="I82" s="6" t="str">
        <f xml:space="preserve"> IFERROR(MID(INDEX(Base!$V$3:$AB$60,MATCH($F82,Base!$Z$3:$Z$160,0),1),1,14),"")</f>
        <v/>
      </c>
      <c r="J82" s="6" t="str">
        <f xml:space="preserve"> IFERROR(INDEX(Base!$V$3:$AB$160,MATCH($F82,Base!$Z$3:$Z$160,0),2),"")</f>
        <v/>
      </c>
      <c r="K82" s="6" t="str">
        <f xml:space="preserve"> IFERROR(INDEX(Base!$V$3:$AB$160,MATCH($F82,Base!$Z$3:$Z$160,0),3),"")</f>
        <v/>
      </c>
      <c r="L82" s="28" t="str">
        <f xml:space="preserve"> IFERROR(INDEX(Base!$V$3:$AB$160,MATCH($F82,Base!$Z$3:$Z$160,0),4),"")</f>
        <v/>
      </c>
      <c r="M82">
        <f>IF(M$1&lt;&gt;"",INDEX(Base!$G$1:$G$5000,$A82+M$1+2),"")</f>
        <v>18.32</v>
      </c>
      <c r="N82">
        <f>IF(N$1&lt;&gt;"",INDEX(Base!$G$1:$G$5000,$A82+N$1+2),"")</f>
        <v>3.05</v>
      </c>
      <c r="O82">
        <f>IF(O$1&lt;&gt;"",INDEX(Base!$G$1:$G$5000,$A82+O$1+2),"")</f>
        <v>0.16</v>
      </c>
      <c r="P82">
        <f>IF(P$1&lt;&gt;"",INDEX(Base!$G$1:$G$5000,$A82+P$1+2),"")</f>
        <v>0.57999999999999996</v>
      </c>
      <c r="Q82">
        <f>IF(Q$1&lt;&gt;"",INDEX(Base!$G$1:$G$5000,$A82+Q$1+2),"")</f>
        <v>0.1</v>
      </c>
      <c r="R82">
        <f>IF(R$1&lt;&gt;"",INDEX(Base!$G$1:$G$5000,$A82+R$1+2),"")</f>
        <v>1.4</v>
      </c>
      <c r="S82">
        <f>IF(S$1&lt;&gt;"",INDEX(Base!$G$1:$G$5000,$A82+S$1+2),"")</f>
        <v>0.05</v>
      </c>
      <c r="T82">
        <f>IF(T$1&lt;&gt;"",INDEX(Base!$G$1:$G$5000,$A82+T$1+2),"")</f>
        <v>12.61</v>
      </c>
      <c r="U82">
        <f>IF(U$1&lt;&gt;"",INDEX(Base!$G$1:$G$5000,$A82+U$1+2),"")</f>
        <v>0.83</v>
      </c>
      <c r="V82">
        <f>IF(V$1&lt;&gt;"",INDEX(Base!$G$1:$G$5000,$A82+V$1+2),"")</f>
        <v>0.13</v>
      </c>
      <c r="W82">
        <f>IF(W$1&lt;&gt;"",INDEX(Base!$G$1:$G$5000,$A82+W$1+2),"")</f>
        <v>0.8</v>
      </c>
      <c r="X82">
        <f>IF(X$1&lt;&gt;"",INDEX(Base!$G$1:$G$5000,$A82+X$1+2),"")</f>
        <v>0.8</v>
      </c>
      <c r="Y82">
        <f>IF(Y$1&lt;&gt;"",INDEX(Base!$G$1:$G$5000,$A82+Y$1+2),"")</f>
        <v>45.65</v>
      </c>
      <c r="Z82">
        <f>IF(Z$1&lt;&gt;"",INDEX(Base!$G$1:$G$5000,$A82+Z$1+2),"")</f>
        <v>1.51</v>
      </c>
      <c r="AA82">
        <f>IF(AA$1&lt;&gt;"",INDEX(Base!$G$1:$G$5000,$A82+AA$1+2),"")</f>
        <v>1.08</v>
      </c>
      <c r="AB82">
        <f>IF(AB$1&lt;&gt;"",INDEX(Base!$G$1:$G$5000,$A82+AB$1+2),"")</f>
        <v>0.8</v>
      </c>
      <c r="AC82">
        <f>IF(AC$1&lt;&gt;"",INDEX(Base!$G$1:$G$5000,$A82+AC$1+2),"")</f>
        <v>1.21</v>
      </c>
      <c r="AD82">
        <f>IF(AD$1&lt;&gt;"",INDEX(Base!$G$1:$G$5000,$A82+AD$1+2),"")</f>
        <v>6.49</v>
      </c>
      <c r="AE82">
        <f>IF(AE$1&lt;&gt;"",INDEX(Base!$G$1:$G$5000,$A82+AE$1+2),"")</f>
        <v>0.08</v>
      </c>
      <c r="AF82">
        <f>IF(AF$1&lt;&gt;"",INDEX(Base!$G$1:$G$5000,$A82+AF$1+2),"")</f>
        <v>1.17</v>
      </c>
      <c r="AG82">
        <f>IF(AG$1&lt;&gt;"",INDEX(Base!$G$1:$G$5000,$A82+AG$1+2),"")</f>
        <v>0.32</v>
      </c>
      <c r="AH82">
        <f>IF(AH$1&lt;&gt;"",INDEX(Base!$G$1:$G$5000,$A82+AH$1+2),"")</f>
        <v>1.74</v>
      </c>
      <c r="AI82">
        <f>IF(AI$1&lt;&gt;"",INDEX(Base!$G$1:$G$5000,$A82+AI$1+2),"")</f>
        <v>0.28000000000000003</v>
      </c>
      <c r="AJ82">
        <f>IF(AJ$1&lt;&gt;"",INDEX(Base!$G$1:$G$5000,$A82+AJ$1+2),"")</f>
        <v>0.1</v>
      </c>
      <c r="AK82">
        <f>IF(AK$1&lt;&gt;"",INDEX(Base!$G$1:$G$5000,$A82+AK$1+2),"")</f>
        <v>4.3899999999999997</v>
      </c>
      <c r="AL82">
        <f>IF(AL$1&lt;&gt;"",INDEX(Base!$G$1:$G$5000,$A82+AL$1+2),"")</f>
        <v>2.25</v>
      </c>
      <c r="AM82">
        <f>IF(AM$1&lt;&gt;"",INDEX(Base!$G$1:$G$5000,$A82+AM$1+2),"")</f>
        <v>0.11</v>
      </c>
      <c r="AN82">
        <f>IF(AN$1&lt;&gt;"",INDEX(Base!$G$1:$G$5000,$A82+AN$1+2),"")</f>
        <v>1.1200000000000001</v>
      </c>
      <c r="AO82">
        <f>IF(AO$1&lt;&gt;"",INDEX(Base!$G$1:$G$5000,$A82+AO$1+2),"")</f>
        <v>0.92</v>
      </c>
      <c r="AP82">
        <f>IF(AP$1&lt;&gt;"",INDEX(Base!$G$1:$G$5000,$A82+AP$1+2),"")</f>
        <v>0.12</v>
      </c>
      <c r="AQ82">
        <f>IF(AQ$1&lt;&gt;"",INDEX(Base!$G$1:$G$5000,$A82+AQ$1+2),"")</f>
        <v>1.1200000000000001</v>
      </c>
      <c r="AR82">
        <f>IF(AR$1&lt;&gt;"",INDEX(Base!$G$1:$G$5000,$A82+AR$1+2),"")</f>
        <v>7.0000000000000007E-2</v>
      </c>
      <c r="AS82">
        <f>IF(AS$1&lt;&gt;"",INDEX(Base!$G$1:$G$5000,$A82+AS$1+2),"")</f>
        <v>1.39</v>
      </c>
      <c r="AT82">
        <f>IF(AT$1&lt;&gt;"",INDEX(Base!$G$1:$G$5000,$A82+AT$1+2),"")</f>
        <v>0.14000000000000001</v>
      </c>
      <c r="AU82">
        <f>IF(AU$1&lt;&gt;"",INDEX(Base!$G$1:$G$5000,$A82+AU$1+2),"")</f>
        <v>0.1</v>
      </c>
      <c r="AV82">
        <f>IF(AV$1&lt;&gt;"",INDEX(Base!$G$1:$G$5000,$A82+AV$1+2),"")</f>
        <v>3</v>
      </c>
      <c r="AW82" s="8">
        <f t="shared" si="5"/>
        <v>1.8875</v>
      </c>
      <c r="AX82">
        <f>IF(AX$1&lt;&gt;"",INDEX(Base!$R$1:$R$4000,$E82+AX$1+2),"")</f>
        <v>14.79</v>
      </c>
      <c r="AY82">
        <f>IF(AY$1&lt;&gt;"",INDEX(Base!$R$1:$R$4000,$E82+AY$1+2),"")</f>
        <v>185.29</v>
      </c>
      <c r="AZ82">
        <f>IF(AZ$1&lt;&gt;"",INDEX(Base!$R$1:$R$4000,$E82+AZ$1+2),"")</f>
        <v>0.19</v>
      </c>
      <c r="BA82">
        <f>IF(BA$1&lt;&gt;"",INDEX(Base!$R$1:$R$4000,$E82+BA$1+2),"")</f>
        <v>0.42</v>
      </c>
      <c r="BB82">
        <f>IF(BB$1&lt;&gt;"",INDEX(Base!$R$1:$R$4000,$E82+BB$1+2),"")</f>
        <v>26.71</v>
      </c>
      <c r="BC82">
        <f>IF(BC$1&lt;&gt;"",INDEX(Base!$R$1:$R$4000,$E82+BC$1+2),"")</f>
        <v>0.94</v>
      </c>
      <c r="BD82">
        <f>IF(BD$1&lt;&gt;"",INDEX(Base!$R$1:$R$4000,$E82+BD$1+2),"")</f>
        <v>2.06</v>
      </c>
      <c r="BE82">
        <f>IF(BE$1&lt;&gt;"",INDEX(Base!$R$1:$R$4000,$E82+BE$1+2),"")</f>
        <v>30.73</v>
      </c>
      <c r="BF82">
        <f>IF(BF$1&lt;&gt;"",INDEX(Base!$R$1:$R$4000,$E82+BF$1+2),"")</f>
        <v>0.06</v>
      </c>
      <c r="BG82">
        <f>IF(BG$1&lt;&gt;"",INDEX(Base!$R$1:$R$4000,$E82+BG$1+2),"")</f>
        <v>0.27</v>
      </c>
      <c r="BH82">
        <f>IF(BH$1&lt;&gt;"",INDEX(Base!$R$1:$R$4000,$E82+BH$1+2),"")</f>
        <v>0.24</v>
      </c>
      <c r="BI82">
        <f>IF(BI$1&lt;&gt;"",INDEX(Base!$R$1:$R$4000,$E82+BI$1+2),"")</f>
        <v>8.48</v>
      </c>
      <c r="BJ82">
        <f>IF(BJ$1&lt;&gt;"",INDEX(Base!$R$1:$R$4000,$E82+BJ$1+2),"")</f>
        <v>7.1</v>
      </c>
      <c r="BK82">
        <f>IF(BK$1&lt;&gt;"",INDEX(Base!$R$1:$R$4000,$E82+BK$1+2),"")</f>
        <v>10.25</v>
      </c>
      <c r="BL82">
        <f>IF(BL$1&lt;&gt;"",INDEX(Base!$R$1:$R$4000,$E82+BL$1+2),"")</f>
        <v>1.03</v>
      </c>
      <c r="BM82">
        <f>IF(BM$1&lt;&gt;"",INDEX(Base!$R$1:$R$4000,$E82+BM$1+2),"")</f>
        <v>0.28000000000000003</v>
      </c>
      <c r="BN82">
        <f>IF(BN$1&lt;&gt;"",INDEX(Base!$R$1:$R$4000,$E82+BN$1+2),"")</f>
        <v>0.1</v>
      </c>
      <c r="BO82">
        <f>IF(BO$1&lt;&gt;"",INDEX(Base!$R$1:$R$4000,$E82+BO$1+2),"")</f>
        <v>0.05</v>
      </c>
      <c r="BP82">
        <f>IF(BP$1&lt;&gt;"",INDEX(Base!$R$1:$R$4000,$E82+BP$1+2),"")</f>
        <v>0.55000000000000004</v>
      </c>
      <c r="BQ82">
        <f>IF(BQ$1&lt;&gt;"",INDEX(Base!$R$1:$R$4000,$E82+BQ$1+2),"")</f>
        <v>0.19</v>
      </c>
      <c r="BR82">
        <f>IF(BR$1&lt;&gt;"",INDEX(Base!$R$1:$R$4000,$E82+BR$1+2),"")</f>
        <v>0.05</v>
      </c>
      <c r="BS82">
        <f>IF(BS$1&lt;&gt;"",INDEX(Base!$R$1:$R$4000,$E82+BS$1+2),"")</f>
        <v>2.68</v>
      </c>
      <c r="BT82">
        <f>IF(BT$1&lt;&gt;"",INDEX(Base!$R$1:$R$4000,$E82+BT$1+2),"")</f>
        <v>1.65</v>
      </c>
    </row>
    <row r="83" spans="1:72" x14ac:dyDescent="0.3">
      <c r="A83" s="2">
        <f t="shared" si="7"/>
        <v>3525</v>
      </c>
      <c r="B83" s="3" t="str">
        <f>IFERROR(MID(INDEX(Base!A$1:A$5000,Calcoli!A83),47,LEN(INDEX(Base!A$1:A$5000,Calcoli!A83))-41),"")</f>
        <v>FISCELLA MARIA</v>
      </c>
      <c r="C83" s="5" t="str">
        <f>MID(INDEX(Base!A$1:A$5000,Calcoli!A83),42,4)</f>
        <v>2035</v>
      </c>
      <c r="D83" s="5" t="str">
        <f>MID(INDEX(Base!A$1:A$5000,Calcoli!A83),13,11)</f>
        <v xml:space="preserve"> 31_03_2025</v>
      </c>
      <c r="E83" s="4">
        <f t="shared" si="6"/>
        <v>2485</v>
      </c>
      <c r="F83" s="3" t="str">
        <f>IFERROR(MID(INDEX(Base!L$1:L$4000,Calcoli!E83),47,LEN(INDEX(Base!L$1:L$4000,Calcoli!E83))-41),"")</f>
        <v>FISCELLA MARIA</v>
      </c>
      <c r="G83" s="5" t="str">
        <f>MID(INDEX(Base!L$1:L$4000,Calcoli!$E83),42,4)</f>
        <v>2035</v>
      </c>
      <c r="H83" s="5" t="str">
        <f>MID(INDEX(Base!L$1:L$4000,Calcoli!E83),13,11)</f>
        <v xml:space="preserve"> 01_04_2025</v>
      </c>
      <c r="I83" s="6" t="str">
        <f xml:space="preserve"> IFERROR(MID(INDEX(Base!$V$3:$AB$60,MATCH($F83,Base!$Z$3:$Z$160,0),1),1,14),"")</f>
        <v/>
      </c>
      <c r="J83" s="6" t="str">
        <f xml:space="preserve"> IFERROR(INDEX(Base!$V$3:$AB$160,MATCH($F83,Base!$Z$3:$Z$160,0),2),"")</f>
        <v/>
      </c>
      <c r="K83" s="6" t="str">
        <f xml:space="preserve"> IFERROR(INDEX(Base!$V$3:$AB$160,MATCH($F83,Base!$Z$3:$Z$160,0),3),"")</f>
        <v/>
      </c>
      <c r="L83" s="28" t="str">
        <f xml:space="preserve"> IFERROR(INDEX(Base!$V$3:$AB$160,MATCH($F83,Base!$Z$3:$Z$160,0),4),"")</f>
        <v/>
      </c>
      <c r="M83">
        <f>IF(M$1&lt;&gt;"",INDEX(Base!$G$1:$G$5000,$A83+M$1+2),"")</f>
        <v>52.64</v>
      </c>
      <c r="N83">
        <f>IF(N$1&lt;&gt;"",INDEX(Base!$G$1:$G$5000,$A83+N$1+2),"")</f>
        <v>11.84</v>
      </c>
      <c r="O83">
        <f>IF(O$1&lt;&gt;"",INDEX(Base!$G$1:$G$5000,$A83+O$1+2),"")</f>
        <v>0.36</v>
      </c>
      <c r="P83">
        <f>IF(P$1&lt;&gt;"",INDEX(Base!$G$1:$G$5000,$A83+P$1+2),"")</f>
        <v>2.65</v>
      </c>
      <c r="Q83">
        <f>IF(Q$1&lt;&gt;"",INDEX(Base!$G$1:$G$5000,$A83+Q$1+2),"")</f>
        <v>0.11</v>
      </c>
      <c r="R83">
        <f>IF(R$1&lt;&gt;"",INDEX(Base!$G$1:$G$5000,$A83+R$1+2),"")</f>
        <v>4.26</v>
      </c>
      <c r="S83">
        <f>IF(S$1&lt;&gt;"",INDEX(Base!$G$1:$G$5000,$A83+S$1+2),"")</f>
        <v>0.47</v>
      </c>
      <c r="T83">
        <f>IF(T$1&lt;&gt;"",INDEX(Base!$G$1:$G$5000,$A83+T$1+2),"")</f>
        <v>36.700000000000003</v>
      </c>
      <c r="U83">
        <f>IF(U$1&lt;&gt;"",INDEX(Base!$G$1:$G$5000,$A83+U$1+2),"")</f>
        <v>0.91</v>
      </c>
      <c r="V83">
        <f>IF(V$1&lt;&gt;"",INDEX(Base!$G$1:$G$5000,$A83+V$1+2),"")</f>
        <v>0.34</v>
      </c>
      <c r="W83">
        <f>IF(W$1&lt;&gt;"",INDEX(Base!$G$1:$G$5000,$A83+W$1+2),"")</f>
        <v>3.89</v>
      </c>
      <c r="X83">
        <f>IF(X$1&lt;&gt;"",INDEX(Base!$G$1:$G$5000,$A83+X$1+2),"")</f>
        <v>4.29</v>
      </c>
      <c r="Y83">
        <f>IF(Y$1&lt;&gt;"",INDEX(Base!$G$1:$G$5000,$A83+Y$1+2),"")</f>
        <v>43.57</v>
      </c>
      <c r="Z83">
        <f>IF(Z$1&lt;&gt;"",INDEX(Base!$G$1:$G$5000,$A83+Z$1+2),"")</f>
        <v>2.4700000000000002</v>
      </c>
      <c r="AA83">
        <f>IF(AA$1&lt;&gt;"",INDEX(Base!$G$1:$G$5000,$A83+AA$1+2),"")</f>
        <v>1.56</v>
      </c>
      <c r="AB83">
        <f>IF(AB$1&lt;&gt;"",INDEX(Base!$G$1:$G$5000,$A83+AB$1+2),"")</f>
        <v>2.2000000000000002</v>
      </c>
      <c r="AC83">
        <f>IF(AC$1&lt;&gt;"",INDEX(Base!$G$1:$G$5000,$A83+AC$1+2),"")</f>
        <v>7.72</v>
      </c>
      <c r="AD83">
        <f>IF(AD$1&lt;&gt;"",INDEX(Base!$G$1:$G$5000,$A83+AD$1+2),"")</f>
        <v>21.43</v>
      </c>
      <c r="AE83">
        <f>IF(AE$1&lt;&gt;"",INDEX(Base!$G$1:$G$5000,$A83+AE$1+2),"")</f>
        <v>0.28999999999999998</v>
      </c>
      <c r="AF83">
        <f>IF(AF$1&lt;&gt;"",INDEX(Base!$G$1:$G$5000,$A83+AF$1+2),"")</f>
        <v>2.8</v>
      </c>
      <c r="AG83">
        <f>IF(AG$1&lt;&gt;"",INDEX(Base!$G$1:$G$5000,$A83+AG$1+2),"")</f>
        <v>3.8</v>
      </c>
      <c r="AH83">
        <f>IF(AH$1&lt;&gt;"",INDEX(Base!$G$1:$G$5000,$A83+AH$1+2),"")</f>
        <v>8.39</v>
      </c>
      <c r="AI83">
        <f>IF(AI$1&lt;&gt;"",INDEX(Base!$G$1:$G$5000,$A83+AI$1+2),"")</f>
        <v>2.4300000000000002</v>
      </c>
      <c r="AJ83">
        <f>IF(AJ$1&lt;&gt;"",INDEX(Base!$G$1:$G$5000,$A83+AJ$1+2),"")</f>
        <v>0.1</v>
      </c>
      <c r="AK83">
        <f>IF(AK$1&lt;&gt;"",INDEX(Base!$G$1:$G$5000,$A83+AK$1+2),"")</f>
        <v>4.33</v>
      </c>
      <c r="AL83">
        <f>IF(AL$1&lt;&gt;"",INDEX(Base!$G$1:$G$5000,$A83+AL$1+2),"")</f>
        <v>3.68</v>
      </c>
      <c r="AM83">
        <f>IF(AM$1&lt;&gt;"",INDEX(Base!$G$1:$G$5000,$A83+AM$1+2),"")</f>
        <v>3.92</v>
      </c>
      <c r="AN83">
        <f>IF(AN$1&lt;&gt;"",INDEX(Base!$G$1:$G$5000,$A83+AN$1+2),"")</f>
        <v>4.46</v>
      </c>
      <c r="AO83">
        <f>IF(AO$1&lt;&gt;"",INDEX(Base!$G$1:$G$5000,$A83+AO$1+2),"")</f>
        <v>2.89</v>
      </c>
      <c r="AP83">
        <f>IF(AP$1&lt;&gt;"",INDEX(Base!$G$1:$G$5000,$A83+AP$1+2),"")</f>
        <v>0.27</v>
      </c>
      <c r="AQ83">
        <f>IF(AQ$1&lt;&gt;"",INDEX(Base!$G$1:$G$5000,$A83+AQ$1+2),"")</f>
        <v>0.11</v>
      </c>
      <c r="AR83">
        <f>IF(AR$1&lt;&gt;"",INDEX(Base!$G$1:$G$5000,$A83+AR$1+2),"")</f>
        <v>0.1</v>
      </c>
      <c r="AS83">
        <f>IF(AS$1&lt;&gt;"",INDEX(Base!$G$1:$G$5000,$A83+AS$1+2),"")</f>
        <v>0.84</v>
      </c>
      <c r="AT83">
        <f>IF(AT$1&lt;&gt;"",INDEX(Base!$G$1:$G$5000,$A83+AT$1+2),"")</f>
        <v>0.44</v>
      </c>
      <c r="AU83">
        <f>IF(AU$1&lt;&gt;"",INDEX(Base!$G$1:$G$5000,$A83+AU$1+2),"")</f>
        <v>0.14000000000000001</v>
      </c>
      <c r="AV83">
        <f>IF(AV$1&lt;&gt;"",INDEX(Base!$G$1:$G$5000,$A83+AV$1+2),"")</f>
        <v>0.6</v>
      </c>
      <c r="AW83" s="8">
        <f t="shared" si="5"/>
        <v>1.1227272727272728</v>
      </c>
      <c r="AX83">
        <f>IF(AX$1&lt;&gt;"",INDEX(Base!$R$1:$R$4000,$E83+AX$1+2),"")</f>
        <v>9.39</v>
      </c>
      <c r="AY83">
        <f>IF(AY$1&lt;&gt;"",INDEX(Base!$R$1:$R$4000,$E83+AY$1+2),"")</f>
        <v>641.57000000000005</v>
      </c>
      <c r="AZ83">
        <f>IF(AZ$1&lt;&gt;"",INDEX(Base!$R$1:$R$4000,$E83+AZ$1+2),"")</f>
        <v>0.5</v>
      </c>
      <c r="BA83">
        <f>IF(BA$1&lt;&gt;"",INDEX(Base!$R$1:$R$4000,$E83+BA$1+2),"")</f>
        <v>2.2200000000000002</v>
      </c>
      <c r="BB83">
        <f>IF(BB$1&lt;&gt;"",INDEX(Base!$R$1:$R$4000,$E83+BB$1+2),"")</f>
        <v>103.2</v>
      </c>
      <c r="BC83">
        <f>IF(BC$1&lt;&gt;"",INDEX(Base!$R$1:$R$4000,$E83+BC$1+2),"")</f>
        <v>2.66</v>
      </c>
      <c r="BD83">
        <f>IF(BD$1&lt;&gt;"",INDEX(Base!$R$1:$R$4000,$E83+BD$1+2),"")</f>
        <v>4.67</v>
      </c>
      <c r="BE83">
        <f>IF(BE$1&lt;&gt;"",INDEX(Base!$R$1:$R$4000,$E83+BE$1+2),"")</f>
        <v>20.61</v>
      </c>
      <c r="BF83">
        <f>IF(BF$1&lt;&gt;"",INDEX(Base!$R$1:$R$4000,$E83+BF$1+2),"")</f>
        <v>0.64</v>
      </c>
      <c r="BG83">
        <f>IF(BG$1&lt;&gt;"",INDEX(Base!$R$1:$R$4000,$E83+BG$1+2),"")</f>
        <v>3.97</v>
      </c>
      <c r="BH83">
        <f>IF(BH$1&lt;&gt;"",INDEX(Base!$R$1:$R$4000,$E83+BH$1+2),"")</f>
        <v>0.51</v>
      </c>
      <c r="BI83">
        <f>IF(BI$1&lt;&gt;"",INDEX(Base!$R$1:$R$4000,$E83+BI$1+2),"")</f>
        <v>51.83</v>
      </c>
      <c r="BJ83">
        <f>IF(BJ$1&lt;&gt;"",INDEX(Base!$R$1:$R$4000,$E83+BJ$1+2),"")</f>
        <v>35.380000000000003</v>
      </c>
      <c r="BK83">
        <f>IF(BK$1&lt;&gt;"",INDEX(Base!$R$1:$R$4000,$E83+BK$1+2),"")</f>
        <v>17.41</v>
      </c>
      <c r="BL83">
        <f>IF(BL$1&lt;&gt;"",INDEX(Base!$R$1:$R$4000,$E83+BL$1+2),"")</f>
        <v>12.27</v>
      </c>
      <c r="BM83">
        <f>IF(BM$1&lt;&gt;"",INDEX(Base!$R$1:$R$4000,$E83+BM$1+2),"")</f>
        <v>1.45</v>
      </c>
      <c r="BN83">
        <f>IF(BN$1&lt;&gt;"",INDEX(Base!$R$1:$R$4000,$E83+BN$1+2),"")</f>
        <v>0.1</v>
      </c>
      <c r="BO83">
        <f>IF(BO$1&lt;&gt;"",INDEX(Base!$R$1:$R$4000,$E83+BO$1+2),"")</f>
        <v>0.28000000000000003</v>
      </c>
      <c r="BP83">
        <f>IF(BP$1&lt;&gt;"",INDEX(Base!$R$1:$R$4000,$E83+BP$1+2),"")</f>
        <v>1.19</v>
      </c>
      <c r="BQ83">
        <f>IF(BQ$1&lt;&gt;"",INDEX(Base!$R$1:$R$4000,$E83+BQ$1+2),"")</f>
        <v>0.2</v>
      </c>
      <c r="BR83">
        <f>IF(BR$1&lt;&gt;"",INDEX(Base!$R$1:$R$4000,$E83+BR$1+2),"")</f>
        <v>0.09</v>
      </c>
      <c r="BS83">
        <f>IF(BS$1&lt;&gt;"",INDEX(Base!$R$1:$R$4000,$E83+BS$1+2),"")</f>
        <v>0.59</v>
      </c>
      <c r="BT83">
        <f>IF(BT$1&lt;&gt;"",INDEX(Base!$R$1:$R$4000,$E83+BT$1+2),"")</f>
        <v>2.8</v>
      </c>
    </row>
    <row r="84" spans="1:72" x14ac:dyDescent="0.3">
      <c r="A84" s="2">
        <f t="shared" si="7"/>
        <v>3569</v>
      </c>
      <c r="B84" s="3" t="str">
        <f>IFERROR(MID(INDEX(Base!A$1:A$5000,Calcoli!A84),47,LEN(INDEX(Base!A$1:A$5000,Calcoli!A84))-41),"")</f>
        <v>GAROFOLI JORDAN</v>
      </c>
      <c r="C84" s="5" t="str">
        <f>MID(INDEX(Base!A$1:A$5000,Calcoli!A84),42,4)</f>
        <v>2036</v>
      </c>
      <c r="D84" s="5" t="str">
        <f>MID(INDEX(Base!A$1:A$5000,Calcoli!A84),13,11)</f>
        <v xml:space="preserve"> 31_03_2025</v>
      </c>
      <c r="E84" s="4">
        <f t="shared" si="6"/>
        <v>2516</v>
      </c>
      <c r="F84" s="3" t="str">
        <f>IFERROR(MID(INDEX(Base!L$1:L$4000,Calcoli!E84),47,LEN(INDEX(Base!L$1:L$4000,Calcoli!E84))-41),"")</f>
        <v>GAROFOLI JORDAN</v>
      </c>
      <c r="G84" s="5" t="str">
        <f>MID(INDEX(Base!L$1:L$4000,Calcoli!$E84),42,4)</f>
        <v>2036</v>
      </c>
      <c r="H84" s="5" t="str">
        <f>MID(INDEX(Base!L$1:L$4000,Calcoli!E84),13,11)</f>
        <v xml:space="preserve"> 01_04_2025</v>
      </c>
      <c r="I84" s="6" t="str">
        <f xml:space="preserve"> IFERROR(MID(INDEX(Base!$V$3:$AB$60,MATCH($F84,Base!$Z$3:$Z$160,0),1),1,14),"")</f>
        <v/>
      </c>
      <c r="J84" s="6" t="str">
        <f xml:space="preserve"> IFERROR(INDEX(Base!$V$3:$AB$160,MATCH($F84,Base!$Z$3:$Z$160,0),2),"")</f>
        <v/>
      </c>
      <c r="K84" s="6" t="str">
        <f xml:space="preserve"> IFERROR(INDEX(Base!$V$3:$AB$160,MATCH($F84,Base!$Z$3:$Z$160,0),3),"")</f>
        <v/>
      </c>
      <c r="L84" s="28" t="str">
        <f xml:space="preserve"> IFERROR(INDEX(Base!$V$3:$AB$160,MATCH($F84,Base!$Z$3:$Z$160,0),4),"")</f>
        <v/>
      </c>
      <c r="M84">
        <f>IF(M$1&lt;&gt;"",INDEX(Base!$G$1:$G$5000,$A84+M$1+2),"")</f>
        <v>45.26</v>
      </c>
      <c r="N84">
        <f>IF(N$1&lt;&gt;"",INDEX(Base!$G$1:$G$5000,$A84+N$1+2),"")</f>
        <v>11.01</v>
      </c>
      <c r="O84">
        <f>IF(O$1&lt;&gt;"",INDEX(Base!$G$1:$G$5000,$A84+O$1+2),"")</f>
        <v>0.19</v>
      </c>
      <c r="P84">
        <f>IF(P$1&lt;&gt;"",INDEX(Base!$G$1:$G$5000,$A84+P$1+2),"")</f>
        <v>1.67</v>
      </c>
      <c r="Q84">
        <f>IF(Q$1&lt;&gt;"",INDEX(Base!$G$1:$G$5000,$A84+Q$1+2),"")</f>
        <v>3.29</v>
      </c>
      <c r="R84">
        <f>IF(R$1&lt;&gt;"",INDEX(Base!$G$1:$G$5000,$A84+R$1+2),"")</f>
        <v>9.83</v>
      </c>
      <c r="S84">
        <f>IF(S$1&lt;&gt;"",INDEX(Base!$G$1:$G$5000,$A84+S$1+2),"")</f>
        <v>0.49</v>
      </c>
      <c r="T84">
        <f>IF(T$1&lt;&gt;"",INDEX(Base!$G$1:$G$5000,$A84+T$1+2),"")</f>
        <v>70.09</v>
      </c>
      <c r="U84">
        <f>IF(U$1&lt;&gt;"",INDEX(Base!$G$1:$G$5000,$A84+U$1+2),"")</f>
        <v>0.66</v>
      </c>
      <c r="V84">
        <f>IF(V$1&lt;&gt;"",INDEX(Base!$G$1:$G$5000,$A84+V$1+2),"")</f>
        <v>0.18</v>
      </c>
      <c r="W84">
        <f>IF(W$1&lt;&gt;"",INDEX(Base!$G$1:$G$5000,$A84+W$1+2),"")</f>
        <v>5.53</v>
      </c>
      <c r="X84">
        <f>IF(X$1&lt;&gt;"",INDEX(Base!$G$1:$G$5000,$A84+X$1+2),"")</f>
        <v>6.47</v>
      </c>
      <c r="Y84">
        <f>IF(Y$1&lt;&gt;"",INDEX(Base!$G$1:$G$5000,$A84+Y$1+2),"")</f>
        <v>79.760000000000005</v>
      </c>
      <c r="Z84">
        <f>IF(Z$1&lt;&gt;"",INDEX(Base!$G$1:$G$5000,$A84+Z$1+2),"")</f>
        <v>12.1</v>
      </c>
      <c r="AA84">
        <f>IF(AA$1&lt;&gt;"",INDEX(Base!$G$1:$G$5000,$A84+AA$1+2),"")</f>
        <v>4.58</v>
      </c>
      <c r="AB84">
        <f>IF(AB$1&lt;&gt;"",INDEX(Base!$G$1:$G$5000,$A84+AB$1+2),"")</f>
        <v>3.4</v>
      </c>
      <c r="AC84">
        <f>IF(AC$1&lt;&gt;"",INDEX(Base!$G$1:$G$5000,$A84+AC$1+2),"")</f>
        <v>14.95</v>
      </c>
      <c r="AD84">
        <f>IF(AD$1&lt;&gt;"",INDEX(Base!$G$1:$G$5000,$A84+AD$1+2),"")</f>
        <v>28.96</v>
      </c>
      <c r="AE84">
        <f>IF(AE$1&lt;&gt;"",INDEX(Base!$G$1:$G$5000,$A84+AE$1+2),"")</f>
        <v>0.38</v>
      </c>
      <c r="AF84">
        <f>IF(AF$1&lt;&gt;"",INDEX(Base!$G$1:$G$5000,$A84+AF$1+2),"")</f>
        <v>5.48</v>
      </c>
      <c r="AG84">
        <f>IF(AG$1&lt;&gt;"",INDEX(Base!$G$1:$G$5000,$A84+AG$1+2),"")</f>
        <v>1.8</v>
      </c>
      <c r="AH84">
        <f>IF(AH$1&lt;&gt;"",INDEX(Base!$G$1:$G$5000,$A84+AH$1+2),"")</f>
        <v>12.95</v>
      </c>
      <c r="AI84">
        <f>IF(AI$1&lt;&gt;"",INDEX(Base!$G$1:$G$5000,$A84+AI$1+2),"")</f>
        <v>4.5599999999999996</v>
      </c>
      <c r="AJ84">
        <f>IF(AJ$1&lt;&gt;"",INDEX(Base!$G$1:$G$5000,$A84+AJ$1+2),"")</f>
        <v>0.1</v>
      </c>
      <c r="AK84">
        <f>IF(AK$1&lt;&gt;"",INDEX(Base!$G$1:$G$5000,$A84+AK$1+2),"")</f>
        <v>8.17</v>
      </c>
      <c r="AL84">
        <f>IF(AL$1&lt;&gt;"",INDEX(Base!$G$1:$G$5000,$A84+AL$1+2),"")</f>
        <v>21.42</v>
      </c>
      <c r="AM84">
        <f>IF(AM$1&lt;&gt;"",INDEX(Base!$G$1:$G$5000,$A84+AM$1+2),"")</f>
        <v>0.1</v>
      </c>
      <c r="AN84">
        <f>IF(AN$1&lt;&gt;"",INDEX(Base!$G$1:$G$5000,$A84+AN$1+2),"")</f>
        <v>0.45</v>
      </c>
      <c r="AO84">
        <f>IF(AO$1&lt;&gt;"",INDEX(Base!$G$1:$G$5000,$A84+AO$1+2),"")</f>
        <v>2.2999999999999998</v>
      </c>
      <c r="AP84">
        <f>IF(AP$1&lt;&gt;"",INDEX(Base!$G$1:$G$5000,$A84+AP$1+2),"")</f>
        <v>0.1</v>
      </c>
      <c r="AQ84">
        <f>IF(AQ$1&lt;&gt;"",INDEX(Base!$G$1:$G$5000,$A84+AQ$1+2),"")</f>
        <v>0.87</v>
      </c>
      <c r="AR84">
        <f>IF(AR$1&lt;&gt;"",INDEX(Base!$G$1:$G$5000,$A84+AR$1+2),"")</f>
        <v>0.12</v>
      </c>
      <c r="AS84">
        <f>IF(AS$1&lt;&gt;"",INDEX(Base!$G$1:$G$5000,$A84+AS$1+2),"")</f>
        <v>5.26</v>
      </c>
      <c r="AT84">
        <f>IF(AT$1&lt;&gt;"",INDEX(Base!$G$1:$G$5000,$A84+AT$1+2),"")</f>
        <v>0.68</v>
      </c>
      <c r="AU84">
        <f>IF(AU$1&lt;&gt;"",INDEX(Base!$G$1:$G$5000,$A84+AU$1+2),"")</f>
        <v>0.17</v>
      </c>
      <c r="AV84">
        <f>IF(AV$1&lt;&gt;"",INDEX(Base!$G$1:$G$5000,$A84+AV$1+2),"")</f>
        <v>2.14</v>
      </c>
      <c r="AW84" s="8">
        <f t="shared" si="5"/>
        <v>3.5588235294117645</v>
      </c>
      <c r="AX84">
        <f>IF(AX$1&lt;&gt;"",INDEX(Base!$R$1:$R$4000,$E84+AX$1+2),"")</f>
        <v>11.71</v>
      </c>
      <c r="AY84">
        <f>IF(AY$1&lt;&gt;"",INDEX(Base!$R$1:$R$4000,$E84+AY$1+2),"")</f>
        <v>235.64</v>
      </c>
      <c r="AZ84">
        <f>IF(AZ$1&lt;&gt;"",INDEX(Base!$R$1:$R$4000,$E84+AZ$1+2),"")</f>
        <v>0.7</v>
      </c>
      <c r="BA84">
        <f>IF(BA$1&lt;&gt;"",INDEX(Base!$R$1:$R$4000,$E84+BA$1+2),"")</f>
        <v>1.31</v>
      </c>
      <c r="BB84">
        <f>IF(BB$1&lt;&gt;"",INDEX(Base!$R$1:$R$4000,$E84+BB$1+2),"")</f>
        <v>145.31</v>
      </c>
      <c r="BC84">
        <f>IF(BC$1&lt;&gt;"",INDEX(Base!$R$1:$R$4000,$E84+BC$1+2),"")</f>
        <v>6.09</v>
      </c>
      <c r="BD84">
        <f>IF(BD$1&lt;&gt;"",INDEX(Base!$R$1:$R$4000,$E84+BD$1+2),"")</f>
        <v>4.3</v>
      </c>
      <c r="BE84">
        <f>IF(BE$1&lt;&gt;"",INDEX(Base!$R$1:$R$4000,$E84+BE$1+2),"")</f>
        <v>77.989999999999995</v>
      </c>
      <c r="BF84">
        <f>IF(BF$1&lt;&gt;"",INDEX(Base!$R$1:$R$4000,$E84+BF$1+2),"")</f>
        <v>0.27</v>
      </c>
      <c r="BG84">
        <f>IF(BG$1&lt;&gt;"",INDEX(Base!$R$1:$R$4000,$E84+BG$1+2),"")</f>
        <v>0.1</v>
      </c>
      <c r="BH84">
        <f>IF(BH$1&lt;&gt;"",INDEX(Base!$R$1:$R$4000,$E84+BH$1+2),"")</f>
        <v>0.53</v>
      </c>
      <c r="BI84">
        <f>IF(BI$1&lt;&gt;"",INDEX(Base!$R$1:$R$4000,$E84+BI$1+2),"")</f>
        <v>67.290000000000006</v>
      </c>
      <c r="BJ84">
        <f>IF(BJ$1&lt;&gt;"",INDEX(Base!$R$1:$R$4000,$E84+BJ$1+2),"")</f>
        <v>34.58</v>
      </c>
      <c r="BK84">
        <f>IF(BK$1&lt;&gt;"",INDEX(Base!$R$1:$R$4000,$E84+BK$1+2),"")</f>
        <v>26.51</v>
      </c>
      <c r="BL84">
        <f>IF(BL$1&lt;&gt;"",INDEX(Base!$R$1:$R$4000,$E84+BL$1+2),"")</f>
        <v>11.72</v>
      </c>
      <c r="BM84">
        <f>IF(BM$1&lt;&gt;"",INDEX(Base!$R$1:$R$4000,$E84+BM$1+2),"")</f>
        <v>1.88</v>
      </c>
      <c r="BN84">
        <f>IF(BN$1&lt;&gt;"",INDEX(Base!$R$1:$R$4000,$E84+BN$1+2),"")</f>
        <v>0.13</v>
      </c>
      <c r="BO84">
        <f>IF(BO$1&lt;&gt;"",INDEX(Base!$R$1:$R$4000,$E84+BO$1+2),"")</f>
        <v>0.4</v>
      </c>
      <c r="BP84">
        <f>IF(BP$1&lt;&gt;"",INDEX(Base!$R$1:$R$4000,$E84+BP$1+2),"")</f>
        <v>7.25</v>
      </c>
      <c r="BQ84">
        <f>IF(BQ$1&lt;&gt;"",INDEX(Base!$R$1:$R$4000,$E84+BQ$1+2),"")</f>
        <v>0.84</v>
      </c>
      <c r="BR84">
        <f>IF(BR$1&lt;&gt;"",INDEX(Base!$R$1:$R$4000,$E84+BR$1+2),"")</f>
        <v>0.13</v>
      </c>
      <c r="BS84">
        <f>IF(BS$1&lt;&gt;"",INDEX(Base!$R$1:$R$4000,$E84+BS$1+2),"")</f>
        <v>15.58</v>
      </c>
      <c r="BT84">
        <f>IF(BT$1&lt;&gt;"",INDEX(Base!$R$1:$R$4000,$E84+BT$1+2),"")</f>
        <v>4.03</v>
      </c>
    </row>
    <row r="85" spans="1:72" x14ac:dyDescent="0.3">
      <c r="A85" s="2">
        <f t="shared" si="7"/>
        <v>3613</v>
      </c>
      <c r="B85" s="3" t="str">
        <f>IFERROR(MID(INDEX(Base!A$1:A$5000,Calcoli!A85),47,LEN(INDEX(Base!A$1:A$5000,Calcoli!A85))-41),"")</f>
        <v/>
      </c>
      <c r="C85" s="5" t="str">
        <f>MID(INDEX(Base!A$1:A$5000,Calcoli!A85),42,4)</f>
        <v/>
      </c>
      <c r="D85" s="5" t="str">
        <f>MID(INDEX(Base!A$1:A$5000,Calcoli!A85),13,11)</f>
        <v xml:space="preserve"> 31_03_2025</v>
      </c>
      <c r="E85" s="4">
        <f t="shared" si="6"/>
        <v>2547</v>
      </c>
      <c r="F85" s="3" t="str">
        <f>IFERROR(MID(INDEX(Base!L$1:L$4000,Calcoli!E85),47,LEN(INDEX(Base!L$1:L$4000,Calcoli!E85))-41),"")</f>
        <v/>
      </c>
      <c r="G85" s="5" t="str">
        <f>MID(INDEX(Base!L$1:L$4000,Calcoli!$E85),42,4)</f>
        <v/>
      </c>
      <c r="H85" s="5" t="str">
        <f>MID(INDEX(Base!L$1:L$4000,Calcoli!E85),13,11)</f>
        <v xml:space="preserve"> 01_04_2025</v>
      </c>
      <c r="I85" s="6" t="str">
        <f xml:space="preserve"> IFERROR(MID(INDEX(Base!$V$3:$AB$60,MATCH($F85,Base!$Z$3:$Z$160,0),1),1,14),"")</f>
        <v/>
      </c>
      <c r="J85" s="6" t="str">
        <f xml:space="preserve"> IFERROR(INDEX(Base!$V$3:$AB$160,MATCH($F85,Base!$Z$3:$Z$160,0),2),"")</f>
        <v/>
      </c>
      <c r="K85" s="6" t="str">
        <f xml:space="preserve"> IFERROR(INDEX(Base!$V$3:$AB$160,MATCH($F85,Base!$Z$3:$Z$160,0),3),"")</f>
        <v/>
      </c>
      <c r="L85" s="28" t="str">
        <f xml:space="preserve"> IFERROR(INDEX(Base!$V$3:$AB$160,MATCH($F85,Base!$Z$3:$Z$160,0),4),"")</f>
        <v/>
      </c>
      <c r="M85">
        <f>IF(M$1&lt;&gt;"",INDEX(Base!$G$1:$G$5000,$A85+M$1+2),"")</f>
        <v>0.1</v>
      </c>
      <c r="N85">
        <f>IF(N$1&lt;&gt;"",INDEX(Base!$G$1:$G$5000,$A85+N$1+2),"")</f>
        <v>6.83</v>
      </c>
      <c r="O85">
        <f>IF(O$1&lt;&gt;"",INDEX(Base!$G$1:$G$5000,$A85+O$1+2),"")</f>
        <v>0.96</v>
      </c>
      <c r="P85">
        <f>IF(P$1&lt;&gt;"",INDEX(Base!$G$1:$G$5000,$A85+P$1+2),"")</f>
        <v>0.79</v>
      </c>
      <c r="Q85">
        <f>IF(Q$1&lt;&gt;"",INDEX(Base!$G$1:$G$5000,$A85+Q$1+2),"")</f>
        <v>0.1</v>
      </c>
      <c r="R85">
        <f>IF(R$1&lt;&gt;"",INDEX(Base!$G$1:$G$5000,$A85+R$1+2),"")</f>
        <v>2.29</v>
      </c>
      <c r="S85">
        <f>IF(S$1&lt;&gt;"",INDEX(Base!$G$1:$G$5000,$A85+S$1+2),"")</f>
        <v>0.14000000000000001</v>
      </c>
      <c r="T85">
        <f>IF(T$1&lt;&gt;"",INDEX(Base!$G$1:$G$5000,$A85+T$1+2),"")</f>
        <v>0.1</v>
      </c>
      <c r="U85">
        <f>IF(U$1&lt;&gt;"",INDEX(Base!$G$1:$G$5000,$A85+U$1+2),"")</f>
        <v>1.25</v>
      </c>
      <c r="V85">
        <f>IF(V$1&lt;&gt;"",INDEX(Base!$G$1:$G$5000,$A85+V$1+2),"")</f>
        <v>1.18</v>
      </c>
      <c r="W85">
        <f>IF(W$1&lt;&gt;"",INDEX(Base!$G$1:$G$5000,$A85+W$1+2),"")</f>
        <v>1.63</v>
      </c>
      <c r="X85">
        <f>IF(X$1&lt;&gt;"",INDEX(Base!$G$1:$G$5000,$A85+X$1+2),"")</f>
        <v>2.75</v>
      </c>
      <c r="Y85">
        <f>IF(Y$1&lt;&gt;"",INDEX(Base!$G$1:$G$5000,$A85+Y$1+2),"")</f>
        <v>0.1</v>
      </c>
      <c r="Z85">
        <f>IF(Z$1&lt;&gt;"",INDEX(Base!$G$1:$G$5000,$A85+Z$1+2),"")</f>
        <v>0.1</v>
      </c>
      <c r="AA85">
        <f>IF(AA$1&lt;&gt;"",INDEX(Base!$G$1:$G$5000,$A85+AA$1+2),"")</f>
        <v>2.42</v>
      </c>
      <c r="AB85">
        <f>IF(AB$1&lt;&gt;"",INDEX(Base!$G$1:$G$5000,$A85+AB$1+2),"")</f>
        <v>0.1</v>
      </c>
      <c r="AC85">
        <f>IF(AC$1&lt;&gt;"",INDEX(Base!$G$1:$G$5000,$A85+AC$1+2),"")</f>
        <v>3.35</v>
      </c>
      <c r="AD85">
        <f>IF(AD$1&lt;&gt;"",INDEX(Base!$G$1:$G$5000,$A85+AD$1+2),"")</f>
        <v>10.36</v>
      </c>
      <c r="AE85">
        <f>IF(AE$1&lt;&gt;"",INDEX(Base!$G$1:$G$5000,$A85+AE$1+2),"")</f>
        <v>0.31</v>
      </c>
      <c r="AF85">
        <f>IF(AF$1&lt;&gt;"",INDEX(Base!$G$1:$G$5000,$A85+AF$1+2),"")</f>
        <v>0.68</v>
      </c>
      <c r="AG85">
        <f>IF(AG$1&lt;&gt;"",INDEX(Base!$G$1:$G$5000,$A85+AG$1+2),"")</f>
        <v>0.14000000000000001</v>
      </c>
      <c r="AH85">
        <f>IF(AH$1&lt;&gt;"",INDEX(Base!$G$1:$G$5000,$A85+AH$1+2),"")</f>
        <v>0.1</v>
      </c>
      <c r="AI85">
        <f>IF(AI$1&lt;&gt;"",INDEX(Base!$G$1:$G$5000,$A85+AI$1+2),"")</f>
        <v>0.1</v>
      </c>
      <c r="AJ85">
        <f>IF(AJ$1&lt;&gt;"",INDEX(Base!$G$1:$G$5000,$A85+AJ$1+2),"")</f>
        <v>0.1</v>
      </c>
      <c r="AK85">
        <f>IF(AK$1&lt;&gt;"",INDEX(Base!$G$1:$G$5000,$A85+AK$1+2),"")</f>
        <v>25.75</v>
      </c>
      <c r="AL85">
        <f>IF(AL$1&lt;&gt;"",INDEX(Base!$G$1:$G$5000,$A85+AL$1+2),"")</f>
        <v>2.0299999999999998</v>
      </c>
      <c r="AM85">
        <f>IF(AM$1&lt;&gt;"",INDEX(Base!$G$1:$G$5000,$A85+AM$1+2),"")</f>
        <v>0.1</v>
      </c>
      <c r="AN85">
        <f>IF(AN$1&lt;&gt;"",INDEX(Base!$G$1:$G$5000,$A85+AN$1+2),"")</f>
        <v>1.8</v>
      </c>
      <c r="AO85">
        <f>IF(AO$1&lt;&gt;"",INDEX(Base!$G$1:$G$5000,$A85+AO$1+2),"")</f>
        <v>3.15</v>
      </c>
      <c r="AP85">
        <f>IF(AP$1&lt;&gt;"",INDEX(Base!$G$1:$G$5000,$A85+AP$1+2),"")</f>
        <v>0.12</v>
      </c>
      <c r="AQ85">
        <f>IF(AQ$1&lt;&gt;"",INDEX(Base!$G$1:$G$5000,$A85+AQ$1+2),"")</f>
        <v>0.1</v>
      </c>
      <c r="AR85">
        <f>IF(AR$1&lt;&gt;"",INDEX(Base!$G$1:$G$5000,$A85+AR$1+2),"")</f>
        <v>0.1</v>
      </c>
      <c r="AS85">
        <f>IF(AS$1&lt;&gt;"",INDEX(Base!$G$1:$G$5000,$A85+AS$1+2),"")</f>
        <v>3.35</v>
      </c>
      <c r="AT85">
        <f>IF(AT$1&lt;&gt;"",INDEX(Base!$G$1:$G$5000,$A85+AT$1+2),"")</f>
        <v>0.13</v>
      </c>
      <c r="AU85">
        <f>IF(AU$1&lt;&gt;"",INDEX(Base!$G$1:$G$5000,$A85+AU$1+2),"")</f>
        <v>0.1</v>
      </c>
      <c r="AV85">
        <f>IF(AV$1&lt;&gt;"",INDEX(Base!$G$1:$G$5000,$A85+AV$1+2),"")</f>
        <v>0.13</v>
      </c>
      <c r="AW85" s="8">
        <f t="shared" si="5"/>
        <v>1</v>
      </c>
      <c r="AX85">
        <f>IF(AX$1&lt;&gt;"",INDEX(Base!$R$1:$R$4000,$E85+AX$1+2),"")</f>
        <v>82</v>
      </c>
      <c r="AY85">
        <f>IF(AY$1&lt;&gt;"",INDEX(Base!$R$1:$R$4000,$E85+AY$1+2),"")</f>
        <v>427.76</v>
      </c>
      <c r="AZ85">
        <f>IF(AZ$1&lt;&gt;"",INDEX(Base!$R$1:$R$4000,$E85+AZ$1+2),"")</f>
        <v>0.1</v>
      </c>
      <c r="BA85">
        <f>IF(BA$1&lt;&gt;"",INDEX(Base!$R$1:$R$4000,$E85+BA$1+2),"")</f>
        <v>0.93</v>
      </c>
      <c r="BB85">
        <f>IF(BB$1&lt;&gt;"",INDEX(Base!$R$1:$R$4000,$E85+BB$1+2),"")</f>
        <v>46.12</v>
      </c>
      <c r="BC85">
        <f>IF(BC$1&lt;&gt;"",INDEX(Base!$R$1:$R$4000,$E85+BC$1+2),"")</f>
        <v>0.1</v>
      </c>
      <c r="BD85">
        <f>IF(BD$1&lt;&gt;"",INDEX(Base!$R$1:$R$4000,$E85+BD$1+2),"")</f>
        <v>0.1</v>
      </c>
      <c r="BE85">
        <f>IF(BE$1&lt;&gt;"",INDEX(Base!$R$1:$R$4000,$E85+BE$1+2),"")</f>
        <v>0.1</v>
      </c>
      <c r="BF85">
        <f>IF(BF$1&lt;&gt;"",INDEX(Base!$R$1:$R$4000,$E85+BF$1+2),"")</f>
        <v>0.11</v>
      </c>
      <c r="BG85">
        <f>IF(BG$1&lt;&gt;"",INDEX(Base!$R$1:$R$4000,$E85+BG$1+2),"")</f>
        <v>0.1</v>
      </c>
      <c r="BH85">
        <f>IF(BH$1&lt;&gt;"",INDEX(Base!$R$1:$R$4000,$E85+BH$1+2),"")</f>
        <v>0.1</v>
      </c>
      <c r="BI85">
        <f>IF(BI$1&lt;&gt;"",INDEX(Base!$R$1:$R$4000,$E85+BI$1+2),"")</f>
        <v>0.1</v>
      </c>
      <c r="BJ85">
        <f>IF(BJ$1&lt;&gt;"",INDEX(Base!$R$1:$R$4000,$E85+BJ$1+2),"")</f>
        <v>0.1</v>
      </c>
      <c r="BK85">
        <f>IF(BK$1&lt;&gt;"",INDEX(Base!$R$1:$R$4000,$E85+BK$1+2),"")</f>
        <v>0.1</v>
      </c>
      <c r="BL85">
        <f>IF(BL$1&lt;&gt;"",INDEX(Base!$R$1:$R$4000,$E85+BL$1+2),"")</f>
        <v>0.1</v>
      </c>
      <c r="BM85">
        <f>IF(BM$1&lt;&gt;"",INDEX(Base!$R$1:$R$4000,$E85+BM$1+2),"")</f>
        <v>0.1</v>
      </c>
      <c r="BN85">
        <f>IF(BN$1&lt;&gt;"",INDEX(Base!$R$1:$R$4000,$E85+BN$1+2),"")</f>
        <v>0.1</v>
      </c>
      <c r="BO85">
        <f>IF(BO$1&lt;&gt;"",INDEX(Base!$R$1:$R$4000,$E85+BO$1+2),"")</f>
        <v>0.1</v>
      </c>
      <c r="BP85">
        <f>IF(BP$1&lt;&gt;"",INDEX(Base!$R$1:$R$4000,$E85+BP$1+2),"")</f>
        <v>0.1</v>
      </c>
      <c r="BQ85">
        <f>IF(BQ$1&lt;&gt;"",INDEX(Base!$R$1:$R$4000,$E85+BQ$1+2),"")</f>
        <v>0.1</v>
      </c>
      <c r="BR85">
        <f>IF(BR$1&lt;&gt;"",INDEX(Base!$R$1:$R$4000,$E85+BR$1+2),"")</f>
        <v>0.1</v>
      </c>
      <c r="BS85">
        <f>IF(BS$1&lt;&gt;"",INDEX(Base!$R$1:$R$4000,$E85+BS$1+2),"")</f>
        <v>0.1</v>
      </c>
      <c r="BT85">
        <f>IF(BT$1&lt;&gt;"",INDEX(Base!$R$1:$R$4000,$E85+BT$1+2),"")</f>
        <v>2.12</v>
      </c>
    </row>
    <row r="86" spans="1:72" x14ac:dyDescent="0.3">
      <c r="A86" s="2">
        <f t="shared" si="7"/>
        <v>3657</v>
      </c>
      <c r="B86" s="3" t="str">
        <f>IFERROR(MID(INDEX(Base!A$1:A$5000,Calcoli!A86),47,LEN(INDEX(Base!A$1:A$5000,Calcoli!A86))-41),"")</f>
        <v>d 3 - 100325</v>
      </c>
      <c r="C86" s="5" t="str">
        <f>MID(INDEX(Base!A$1:A$5000,Calcoli!A86),42,4)</f>
        <v>Qc S</v>
      </c>
      <c r="D86" s="5" t="str">
        <f>MID(INDEX(Base!A$1:A$5000,Calcoli!A86),13,11)</f>
        <v xml:space="preserve"> 31_03_2025</v>
      </c>
      <c r="E86" s="4">
        <f t="shared" si="6"/>
        <v>2578</v>
      </c>
      <c r="F86" s="3" t="str">
        <f>IFERROR(MID(INDEX(Base!L$1:L$4000,Calcoli!E86),47,LEN(INDEX(Base!L$1:L$4000,Calcoli!E86))-41),"")</f>
        <v>d 3 - 100325</v>
      </c>
      <c r="G86" s="5" t="str">
        <f>MID(INDEX(Base!L$1:L$4000,Calcoli!$E86),42,4)</f>
        <v>Qc S</v>
      </c>
      <c r="H86" s="5" t="str">
        <f>MID(INDEX(Base!L$1:L$4000,Calcoli!E86),13,11)</f>
        <v xml:space="preserve"> 01_04_2025</v>
      </c>
      <c r="I86" s="6" t="str">
        <f xml:space="preserve"> IFERROR(MID(INDEX(Base!$V$3:$AB$60,MATCH($F86,Base!$Z$3:$Z$160,0),1),1,14),"")</f>
        <v/>
      </c>
      <c r="J86" s="6" t="str">
        <f xml:space="preserve"> IFERROR(INDEX(Base!$V$3:$AB$160,MATCH($F86,Base!$Z$3:$Z$160,0),2),"")</f>
        <v/>
      </c>
      <c r="K86" s="6" t="str">
        <f xml:space="preserve"> IFERROR(INDEX(Base!$V$3:$AB$160,MATCH($F86,Base!$Z$3:$Z$160,0),3),"")</f>
        <v/>
      </c>
      <c r="L86" s="28" t="str">
        <f xml:space="preserve"> IFERROR(INDEX(Base!$V$3:$AB$160,MATCH($F86,Base!$Z$3:$Z$160,0),4),"")</f>
        <v/>
      </c>
      <c r="M86">
        <f>IF(M$1&lt;&gt;"",INDEX(Base!$G$1:$G$5000,$A86+M$1+2),"")</f>
        <v>407.18</v>
      </c>
      <c r="N86">
        <f>IF(N$1&lt;&gt;"",INDEX(Base!$G$1:$G$5000,$A86+N$1+2),"")</f>
        <v>106.67</v>
      </c>
      <c r="O86">
        <f>IF(O$1&lt;&gt;"",INDEX(Base!$G$1:$G$5000,$A86+O$1+2),"")</f>
        <v>9.61</v>
      </c>
      <c r="P86">
        <f>IF(P$1&lt;&gt;"",INDEX(Base!$G$1:$G$5000,$A86+P$1+2),"")</f>
        <v>27.1</v>
      </c>
      <c r="Q86">
        <f>IF(Q$1&lt;&gt;"",INDEX(Base!$G$1:$G$5000,$A86+Q$1+2),"")</f>
        <v>54.92</v>
      </c>
      <c r="R86">
        <f>IF(R$1&lt;&gt;"",INDEX(Base!$G$1:$G$5000,$A86+R$1+2),"")</f>
        <v>64.790000000000006</v>
      </c>
      <c r="S86">
        <f>IF(S$1&lt;&gt;"",INDEX(Base!$G$1:$G$5000,$A86+S$1+2),"")</f>
        <v>2.61</v>
      </c>
      <c r="T86">
        <f>IF(T$1&lt;&gt;"",INDEX(Base!$G$1:$G$5000,$A86+T$1+2),"")</f>
        <v>211.73</v>
      </c>
      <c r="U86">
        <f>IF(U$1&lt;&gt;"",INDEX(Base!$G$1:$G$5000,$A86+U$1+2),"")</f>
        <v>43.12</v>
      </c>
      <c r="V86">
        <f>IF(V$1&lt;&gt;"",INDEX(Base!$G$1:$G$5000,$A86+V$1+2),"")</f>
        <v>5.62</v>
      </c>
      <c r="W86">
        <f>IF(W$1&lt;&gt;"",INDEX(Base!$G$1:$G$5000,$A86+W$1+2),"")</f>
        <v>25.05</v>
      </c>
      <c r="X86">
        <f>IF(X$1&lt;&gt;"",INDEX(Base!$G$1:$G$5000,$A86+X$1+2),"")</f>
        <v>28.05</v>
      </c>
      <c r="Y86">
        <f>IF(Y$1&lt;&gt;"",INDEX(Base!$G$1:$G$5000,$A86+Y$1+2),"")</f>
        <v>860.31</v>
      </c>
      <c r="Z86">
        <f>IF(Z$1&lt;&gt;"",INDEX(Base!$G$1:$G$5000,$A86+Z$1+2),"")</f>
        <v>44.9</v>
      </c>
      <c r="AA86">
        <f>IF(AA$1&lt;&gt;"",INDEX(Base!$G$1:$G$5000,$A86+AA$1+2),"")</f>
        <v>21.85</v>
      </c>
      <c r="AB86">
        <f>IF(AB$1&lt;&gt;"",INDEX(Base!$G$1:$G$5000,$A86+AB$1+2),"")</f>
        <v>22.12</v>
      </c>
      <c r="AC86">
        <f>IF(AC$1&lt;&gt;"",INDEX(Base!$G$1:$G$5000,$A86+AC$1+2),"")</f>
        <v>62.12</v>
      </c>
      <c r="AD86">
        <f>IF(AD$1&lt;&gt;"",INDEX(Base!$G$1:$G$5000,$A86+AD$1+2),"")</f>
        <v>230.95</v>
      </c>
      <c r="AE86">
        <f>IF(AE$1&lt;&gt;"",INDEX(Base!$G$1:$G$5000,$A86+AE$1+2),"")</f>
        <v>5.05</v>
      </c>
      <c r="AF86">
        <f>IF(AF$1&lt;&gt;"",INDEX(Base!$G$1:$G$5000,$A86+AF$1+2),"")</f>
        <v>48.9</v>
      </c>
      <c r="AG86">
        <f>IF(AG$1&lt;&gt;"",INDEX(Base!$G$1:$G$5000,$A86+AG$1+2),"")</f>
        <v>11.04</v>
      </c>
      <c r="AH86">
        <f>IF(AH$1&lt;&gt;"",INDEX(Base!$G$1:$G$5000,$A86+AH$1+2),"")</f>
        <v>50.96</v>
      </c>
      <c r="AI86">
        <f>IF(AI$1&lt;&gt;"",INDEX(Base!$G$1:$G$5000,$A86+AI$1+2),"")</f>
        <v>8.39</v>
      </c>
      <c r="AJ86">
        <f>IF(AJ$1&lt;&gt;"",INDEX(Base!$G$1:$G$5000,$A86+AJ$1+2),"")</f>
        <v>1.08</v>
      </c>
      <c r="AK86">
        <f>IF(AK$1&lt;&gt;"",INDEX(Base!$G$1:$G$5000,$A86+AK$1+2),"")</f>
        <v>39.83</v>
      </c>
      <c r="AL86">
        <f>IF(AL$1&lt;&gt;"",INDEX(Base!$G$1:$G$5000,$A86+AL$1+2),"")</f>
        <v>47.59</v>
      </c>
      <c r="AM86">
        <f>IF(AM$1&lt;&gt;"",INDEX(Base!$G$1:$G$5000,$A86+AM$1+2),"")</f>
        <v>11.4</v>
      </c>
      <c r="AN86">
        <f>IF(AN$1&lt;&gt;"",INDEX(Base!$G$1:$G$5000,$A86+AN$1+2),"")</f>
        <v>28.21</v>
      </c>
      <c r="AO86">
        <f>IF(AO$1&lt;&gt;"",INDEX(Base!$G$1:$G$5000,$A86+AO$1+2),"")</f>
        <v>25.01</v>
      </c>
      <c r="AP86">
        <f>IF(AP$1&lt;&gt;"",INDEX(Base!$G$1:$G$5000,$A86+AP$1+2),"")</f>
        <v>2.78</v>
      </c>
      <c r="AQ86">
        <f>IF(AQ$1&lt;&gt;"",INDEX(Base!$G$1:$G$5000,$A86+AQ$1+2),"")</f>
        <v>13.37</v>
      </c>
      <c r="AR86">
        <f>IF(AR$1&lt;&gt;"",INDEX(Base!$G$1:$G$5000,$A86+AR$1+2),"")</f>
        <v>2.2999999999999998</v>
      </c>
      <c r="AS86">
        <f>IF(AS$1&lt;&gt;"",INDEX(Base!$G$1:$G$5000,$A86+AS$1+2),"")</f>
        <v>31.2</v>
      </c>
      <c r="AT86">
        <f>IF(AT$1&lt;&gt;"",INDEX(Base!$G$1:$G$5000,$A86+AT$1+2),"")</f>
        <v>1.95</v>
      </c>
      <c r="AU86">
        <f>IF(AU$1&lt;&gt;"",INDEX(Base!$G$1:$G$5000,$A86+AU$1+2),"")</f>
        <v>0.84</v>
      </c>
      <c r="AV86">
        <f>IF(AV$1&lt;&gt;"",INDEX(Base!$G$1:$G$5000,$A86+AV$1+2),"")</f>
        <v>10.81</v>
      </c>
      <c r="AW86" s="8">
        <f t="shared" si="5"/>
        <v>2.0298372513562386</v>
      </c>
      <c r="AX86">
        <f>IF(AX$1&lt;&gt;"",INDEX(Base!$R$1:$R$4000,$E86+AX$1+2),"")</f>
        <v>611.07000000000005</v>
      </c>
      <c r="AY86">
        <f>IF(AY$1&lt;&gt;"",INDEX(Base!$R$1:$R$4000,$E86+AY$1+2),"")</f>
        <v>3495.1</v>
      </c>
      <c r="AZ86">
        <f>IF(AZ$1&lt;&gt;"",INDEX(Base!$R$1:$R$4000,$E86+AZ$1+2),"")</f>
        <v>12.91</v>
      </c>
      <c r="BA86">
        <f>IF(BA$1&lt;&gt;"",INDEX(Base!$R$1:$R$4000,$E86+BA$1+2),"")</f>
        <v>13.54</v>
      </c>
      <c r="BB86">
        <f>IF(BB$1&lt;&gt;"",INDEX(Base!$R$1:$R$4000,$E86+BB$1+2),"")</f>
        <v>449.19</v>
      </c>
      <c r="BC86">
        <f>IF(BC$1&lt;&gt;"",INDEX(Base!$R$1:$R$4000,$E86+BC$1+2),"")</f>
        <v>29.12</v>
      </c>
      <c r="BD86">
        <f>IF(BD$1&lt;&gt;"",INDEX(Base!$R$1:$R$4000,$E86+BD$1+2),"")</f>
        <v>57.04</v>
      </c>
      <c r="BE86">
        <f>IF(BE$1&lt;&gt;"",INDEX(Base!$R$1:$R$4000,$E86+BE$1+2),"")</f>
        <v>634.04999999999995</v>
      </c>
      <c r="BF86">
        <f>IF(BF$1&lt;&gt;"",INDEX(Base!$R$1:$R$4000,$E86+BF$1+2),"")</f>
        <v>5.46</v>
      </c>
      <c r="BG86">
        <f>IF(BG$1&lt;&gt;"",INDEX(Base!$R$1:$R$4000,$E86+BG$1+2),"")</f>
        <v>72.739999999999995</v>
      </c>
      <c r="BH86">
        <f>IF(BH$1&lt;&gt;"",INDEX(Base!$R$1:$R$4000,$E86+BH$1+2),"")</f>
        <v>5.78</v>
      </c>
      <c r="BI86">
        <f>IF(BI$1&lt;&gt;"",INDEX(Base!$R$1:$R$4000,$E86+BI$1+2),"")</f>
        <v>968.91</v>
      </c>
      <c r="BJ86">
        <f>IF(BJ$1&lt;&gt;"",INDEX(Base!$R$1:$R$4000,$E86+BJ$1+2),"")</f>
        <v>219.66</v>
      </c>
      <c r="BK86">
        <f>IF(BK$1&lt;&gt;"",INDEX(Base!$R$1:$R$4000,$E86+BK$1+2),"")</f>
        <v>300.56</v>
      </c>
      <c r="BL86">
        <f>IF(BL$1&lt;&gt;"",INDEX(Base!$R$1:$R$4000,$E86+BL$1+2),"")</f>
        <v>147.34</v>
      </c>
      <c r="BM86">
        <f>IF(BM$1&lt;&gt;"",INDEX(Base!$R$1:$R$4000,$E86+BM$1+2),"")</f>
        <v>23.15</v>
      </c>
      <c r="BN86">
        <f>IF(BN$1&lt;&gt;"",INDEX(Base!$R$1:$R$4000,$E86+BN$1+2),"")</f>
        <v>0.43</v>
      </c>
      <c r="BO86">
        <f>IF(BO$1&lt;&gt;"",INDEX(Base!$R$1:$R$4000,$E86+BO$1+2),"")</f>
        <v>0.84</v>
      </c>
      <c r="BP86">
        <f>IF(BP$1&lt;&gt;"",INDEX(Base!$R$1:$R$4000,$E86+BP$1+2),"")</f>
        <v>138.94999999999999</v>
      </c>
      <c r="BQ86">
        <f>IF(BQ$1&lt;&gt;"",INDEX(Base!$R$1:$R$4000,$E86+BQ$1+2),"")</f>
        <v>5.56</v>
      </c>
      <c r="BR86">
        <f>IF(BR$1&lt;&gt;"",INDEX(Base!$R$1:$R$4000,$E86+BR$1+2),"")</f>
        <v>1.02</v>
      </c>
      <c r="BS86">
        <f>IF(BS$1&lt;&gt;"",INDEX(Base!$R$1:$R$4000,$E86+BS$1+2),"")</f>
        <v>68.61</v>
      </c>
      <c r="BT86">
        <f>IF(BT$1&lt;&gt;"",INDEX(Base!$R$1:$R$4000,$E86+BT$1+2),"")</f>
        <v>52.67</v>
      </c>
    </row>
    <row r="87" spans="1:72" x14ac:dyDescent="0.3">
      <c r="A87" s="2">
        <f t="shared" si="7"/>
        <v>3701</v>
      </c>
      <c r="B87" s="3" t="str">
        <f>IFERROR(MID(INDEX(Base!A$1:A$5000,Calcoli!A87),47,LEN(INDEX(Base!A$1:A$5000,Calcoli!A87))-41),"")</f>
        <v/>
      </c>
      <c r="C87" s="5" t="str">
        <f>MID(INDEX(Base!A$1:A$5000,Calcoli!A87),42,4)</f>
        <v/>
      </c>
      <c r="D87" s="5" t="str">
        <f>MID(INDEX(Base!A$1:A$5000,Calcoli!A87),13,11)</f>
        <v/>
      </c>
      <c r="E87" s="4">
        <f t="shared" si="6"/>
        <v>2609</v>
      </c>
      <c r="F87" s="3" t="str">
        <f>IFERROR(MID(INDEX(Base!L$1:L$4000,Calcoli!E87),47,LEN(INDEX(Base!L$1:L$4000,Calcoli!E87))-41),"")</f>
        <v/>
      </c>
      <c r="G87" s="5" t="str">
        <f>MID(INDEX(Base!L$1:L$4000,Calcoli!$E87),42,4)</f>
        <v/>
      </c>
      <c r="H87" s="5" t="str">
        <f>MID(INDEX(Base!L$1:L$4000,Calcoli!E87),13,11)</f>
        <v/>
      </c>
      <c r="I87" s="6" t="str">
        <f xml:space="preserve"> IFERROR(MID(INDEX(Base!$V$3:$AB$60,MATCH($F87,Base!$Z$3:$Z$160,0),1),1,14),"")</f>
        <v/>
      </c>
      <c r="J87" s="6" t="str">
        <f xml:space="preserve"> IFERROR(INDEX(Base!$V$3:$AB$160,MATCH($F87,Base!$Z$3:$Z$160,0),2),"")</f>
        <v/>
      </c>
      <c r="K87" s="6" t="str">
        <f xml:space="preserve"> IFERROR(INDEX(Base!$V$3:$AB$160,MATCH($F87,Base!$Z$3:$Z$160,0),3),"")</f>
        <v/>
      </c>
      <c r="L87" s="28" t="str">
        <f xml:space="preserve"> IFERROR(INDEX(Base!$V$3:$AB$160,MATCH($F87,Base!$Z$3:$Z$160,0),4),"")</f>
        <v/>
      </c>
      <c r="M87">
        <f>IF(M$1&lt;&gt;"",INDEX(Base!$G$1:$G$5000,$A87+M$1+2),"")</f>
        <v>0</v>
      </c>
      <c r="N87">
        <f>IF(N$1&lt;&gt;"",INDEX(Base!$G$1:$G$5000,$A87+N$1+2),"")</f>
        <v>0</v>
      </c>
      <c r="O87">
        <f>IF(O$1&lt;&gt;"",INDEX(Base!$G$1:$G$5000,$A87+O$1+2),"")</f>
        <v>0</v>
      </c>
      <c r="P87">
        <f>IF(P$1&lt;&gt;"",INDEX(Base!$G$1:$G$5000,$A87+P$1+2),"")</f>
        <v>0</v>
      </c>
      <c r="Q87">
        <f>IF(Q$1&lt;&gt;"",INDEX(Base!$G$1:$G$5000,$A87+Q$1+2),"")</f>
        <v>0</v>
      </c>
      <c r="R87">
        <f>IF(R$1&lt;&gt;"",INDEX(Base!$G$1:$G$5000,$A87+R$1+2),"")</f>
        <v>0</v>
      </c>
      <c r="S87">
        <f>IF(S$1&lt;&gt;"",INDEX(Base!$G$1:$G$5000,$A87+S$1+2),"")</f>
        <v>0</v>
      </c>
      <c r="T87">
        <f>IF(T$1&lt;&gt;"",INDEX(Base!$G$1:$G$5000,$A87+T$1+2),"")</f>
        <v>0</v>
      </c>
      <c r="U87">
        <f>IF(U$1&lt;&gt;"",INDEX(Base!$G$1:$G$5000,$A87+U$1+2),"")</f>
        <v>0</v>
      </c>
      <c r="V87">
        <f>IF(V$1&lt;&gt;"",INDEX(Base!$G$1:$G$5000,$A87+V$1+2),"")</f>
        <v>0</v>
      </c>
      <c r="W87">
        <f>IF(W$1&lt;&gt;"",INDEX(Base!$G$1:$G$5000,$A87+W$1+2),"")</f>
        <v>0</v>
      </c>
      <c r="X87">
        <f>IF(X$1&lt;&gt;"",INDEX(Base!$G$1:$G$5000,$A87+X$1+2),"")</f>
        <v>0</v>
      </c>
      <c r="Y87">
        <f>IF(Y$1&lt;&gt;"",INDEX(Base!$G$1:$G$5000,$A87+Y$1+2),"")</f>
        <v>0</v>
      </c>
      <c r="Z87">
        <f>IF(Z$1&lt;&gt;"",INDEX(Base!$G$1:$G$5000,$A87+Z$1+2),"")</f>
        <v>0</v>
      </c>
      <c r="AA87">
        <f>IF(AA$1&lt;&gt;"",INDEX(Base!$G$1:$G$5000,$A87+AA$1+2),"")</f>
        <v>0</v>
      </c>
      <c r="AB87">
        <f>IF(AB$1&lt;&gt;"",INDEX(Base!$G$1:$G$5000,$A87+AB$1+2),"")</f>
        <v>0</v>
      </c>
      <c r="AC87">
        <f>IF(AC$1&lt;&gt;"",INDEX(Base!$G$1:$G$5000,$A87+AC$1+2),"")</f>
        <v>0</v>
      </c>
      <c r="AD87">
        <f>IF(AD$1&lt;&gt;"",INDEX(Base!$G$1:$G$5000,$A87+AD$1+2),"")</f>
        <v>0</v>
      </c>
      <c r="AE87">
        <f>IF(AE$1&lt;&gt;"",INDEX(Base!$G$1:$G$5000,$A87+AE$1+2),"")</f>
        <v>0</v>
      </c>
      <c r="AF87">
        <f>IF(AF$1&lt;&gt;"",INDEX(Base!$G$1:$G$5000,$A87+AF$1+2),"")</f>
        <v>0</v>
      </c>
      <c r="AG87">
        <f>IF(AG$1&lt;&gt;"",INDEX(Base!$G$1:$G$5000,$A87+AG$1+2),"")</f>
        <v>0</v>
      </c>
      <c r="AH87">
        <f>IF(AH$1&lt;&gt;"",INDEX(Base!$G$1:$G$5000,$A87+AH$1+2),"")</f>
        <v>0</v>
      </c>
      <c r="AI87">
        <f>IF(AI$1&lt;&gt;"",INDEX(Base!$G$1:$G$5000,$A87+AI$1+2),"")</f>
        <v>0</v>
      </c>
      <c r="AJ87">
        <f>IF(AJ$1&lt;&gt;"",INDEX(Base!$G$1:$G$5000,$A87+AJ$1+2),"")</f>
        <v>0</v>
      </c>
      <c r="AK87">
        <f>IF(AK$1&lt;&gt;"",INDEX(Base!$G$1:$G$5000,$A87+AK$1+2),"")</f>
        <v>0</v>
      </c>
      <c r="AL87">
        <f>IF(AL$1&lt;&gt;"",INDEX(Base!$G$1:$G$5000,$A87+AL$1+2),"")</f>
        <v>0</v>
      </c>
      <c r="AM87">
        <f>IF(AM$1&lt;&gt;"",INDEX(Base!$G$1:$G$5000,$A87+AM$1+2),"")</f>
        <v>0</v>
      </c>
      <c r="AN87">
        <f>IF(AN$1&lt;&gt;"",INDEX(Base!$G$1:$G$5000,$A87+AN$1+2),"")</f>
        <v>0</v>
      </c>
      <c r="AO87">
        <f>IF(AO$1&lt;&gt;"",INDEX(Base!$G$1:$G$5000,$A87+AO$1+2),"")</f>
        <v>0</v>
      </c>
      <c r="AP87">
        <f>IF(AP$1&lt;&gt;"",INDEX(Base!$G$1:$G$5000,$A87+AP$1+2),"")</f>
        <v>0</v>
      </c>
      <c r="AQ87">
        <f>IF(AQ$1&lt;&gt;"",INDEX(Base!$G$1:$G$5000,$A87+AQ$1+2),"")</f>
        <v>0</v>
      </c>
      <c r="AR87">
        <f>IF(AR$1&lt;&gt;"",INDEX(Base!$G$1:$G$5000,$A87+AR$1+2),"")</f>
        <v>0</v>
      </c>
      <c r="AS87">
        <f>IF(AS$1&lt;&gt;"",INDEX(Base!$G$1:$G$5000,$A87+AS$1+2),"")</f>
        <v>0</v>
      </c>
      <c r="AT87">
        <f>IF(AT$1&lt;&gt;"",INDEX(Base!$G$1:$G$5000,$A87+AT$1+2),"")</f>
        <v>0</v>
      </c>
      <c r="AU87">
        <f>IF(AU$1&lt;&gt;"",INDEX(Base!$G$1:$G$5000,$A87+AU$1+2),"")</f>
        <v>0</v>
      </c>
      <c r="AV87">
        <f>IF(AV$1&lt;&gt;"",INDEX(Base!$G$1:$G$5000,$A87+AV$1+2),"")</f>
        <v>0</v>
      </c>
      <c r="AW87" s="8">
        <f t="shared" si="5"/>
        <v>0</v>
      </c>
      <c r="AX87">
        <f>IF(AX$1&lt;&gt;"",INDEX(Base!$R$1:$R$4000,$E87+AX$1+2),"")</f>
        <v>0</v>
      </c>
      <c r="AY87">
        <f>IF(AY$1&lt;&gt;"",INDEX(Base!$R$1:$R$4000,$E87+AY$1+2),"")</f>
        <v>0</v>
      </c>
      <c r="AZ87">
        <f>IF(AZ$1&lt;&gt;"",INDEX(Base!$R$1:$R$4000,$E87+AZ$1+2),"")</f>
        <v>0</v>
      </c>
      <c r="BA87">
        <f>IF(BA$1&lt;&gt;"",INDEX(Base!$R$1:$R$4000,$E87+BA$1+2),"")</f>
        <v>0</v>
      </c>
      <c r="BB87">
        <f>IF(BB$1&lt;&gt;"",INDEX(Base!$R$1:$R$4000,$E87+BB$1+2),"")</f>
        <v>0</v>
      </c>
      <c r="BC87">
        <f>IF(BC$1&lt;&gt;"",INDEX(Base!$R$1:$R$4000,$E87+BC$1+2),"")</f>
        <v>0</v>
      </c>
      <c r="BD87">
        <f>IF(BD$1&lt;&gt;"",INDEX(Base!$R$1:$R$4000,$E87+BD$1+2),"")</f>
        <v>0</v>
      </c>
      <c r="BE87">
        <f>IF(BE$1&lt;&gt;"",INDEX(Base!$R$1:$R$4000,$E87+BE$1+2),"")</f>
        <v>0</v>
      </c>
      <c r="BF87">
        <f>IF(BF$1&lt;&gt;"",INDEX(Base!$R$1:$R$4000,$E87+BF$1+2),"")</f>
        <v>0</v>
      </c>
      <c r="BG87">
        <f>IF(BG$1&lt;&gt;"",INDEX(Base!$R$1:$R$4000,$E87+BG$1+2),"")</f>
        <v>0</v>
      </c>
      <c r="BH87">
        <f>IF(BH$1&lt;&gt;"",INDEX(Base!$R$1:$R$4000,$E87+BH$1+2),"")</f>
        <v>0</v>
      </c>
      <c r="BI87">
        <f>IF(BI$1&lt;&gt;"",INDEX(Base!$R$1:$R$4000,$E87+BI$1+2),"")</f>
        <v>0</v>
      </c>
      <c r="BJ87">
        <f>IF(BJ$1&lt;&gt;"",INDEX(Base!$R$1:$R$4000,$E87+BJ$1+2),"")</f>
        <v>0</v>
      </c>
      <c r="BK87">
        <f>IF(BK$1&lt;&gt;"",INDEX(Base!$R$1:$R$4000,$E87+BK$1+2),"")</f>
        <v>0</v>
      </c>
      <c r="BL87">
        <f>IF(BL$1&lt;&gt;"",INDEX(Base!$R$1:$R$4000,$E87+BL$1+2),"")</f>
        <v>0</v>
      </c>
      <c r="BM87">
        <f>IF(BM$1&lt;&gt;"",INDEX(Base!$R$1:$R$4000,$E87+BM$1+2),"")</f>
        <v>0</v>
      </c>
      <c r="BN87">
        <f>IF(BN$1&lt;&gt;"",INDEX(Base!$R$1:$R$4000,$E87+BN$1+2),"")</f>
        <v>0</v>
      </c>
      <c r="BO87">
        <f>IF(BO$1&lt;&gt;"",INDEX(Base!$R$1:$R$4000,$E87+BO$1+2),"")</f>
        <v>0</v>
      </c>
      <c r="BP87">
        <f>IF(BP$1&lt;&gt;"",INDEX(Base!$R$1:$R$4000,$E87+BP$1+2),"")</f>
        <v>0</v>
      </c>
      <c r="BQ87">
        <f>IF(BQ$1&lt;&gt;"",INDEX(Base!$R$1:$R$4000,$E87+BQ$1+2),"")</f>
        <v>0</v>
      </c>
      <c r="BR87">
        <f>IF(BR$1&lt;&gt;"",INDEX(Base!$R$1:$R$4000,$E87+BR$1+2),"")</f>
        <v>0</v>
      </c>
      <c r="BS87">
        <f>IF(BS$1&lt;&gt;"",INDEX(Base!$R$1:$R$4000,$E87+BS$1+2),"")</f>
        <v>0</v>
      </c>
      <c r="BT87">
        <f>IF(BT$1&lt;&gt;"",INDEX(Base!$R$1:$R$4000,$E87+BT$1+2),"")</f>
        <v>0</v>
      </c>
    </row>
    <row r="88" spans="1:72" x14ac:dyDescent="0.3">
      <c r="A88" s="2">
        <f t="shared" si="7"/>
        <v>3745</v>
      </c>
      <c r="B88" s="3" t="str">
        <f>IFERROR(MID(INDEX(Base!A$1:A$5000,Calcoli!A88),47,LEN(INDEX(Base!A$1:A$5000,Calcoli!A88))-41),"")</f>
        <v/>
      </c>
      <c r="C88" s="5" t="str">
        <f>MID(INDEX(Base!A$1:A$5000,Calcoli!A88),42,4)</f>
        <v/>
      </c>
      <c r="D88" s="5" t="str">
        <f>MID(INDEX(Base!A$1:A$5000,Calcoli!A88),13,11)</f>
        <v/>
      </c>
      <c r="E88" s="4">
        <f t="shared" si="6"/>
        <v>2640</v>
      </c>
      <c r="F88" s="3" t="str">
        <f>IFERROR(MID(INDEX(Base!L$1:L$4000,Calcoli!E88),47,LEN(INDEX(Base!L$1:L$4000,Calcoli!E88))-41),"")</f>
        <v/>
      </c>
      <c r="G88" s="5" t="str">
        <f>MID(INDEX(Base!L$1:L$4000,Calcoli!$E88),42,4)</f>
        <v/>
      </c>
      <c r="H88" s="5" t="str">
        <f>MID(INDEX(Base!L$1:L$4000,Calcoli!E88),13,11)</f>
        <v/>
      </c>
      <c r="I88" s="6" t="str">
        <f xml:space="preserve"> IFERROR(MID(INDEX(Base!$V$3:$AB$60,MATCH($F88,Base!$Z$3:$Z$160,0),1),1,14),"")</f>
        <v/>
      </c>
      <c r="J88" s="6" t="str">
        <f xml:space="preserve"> IFERROR(INDEX(Base!$V$3:$AB$160,MATCH($F88,Base!$Z$3:$Z$160,0),2),"")</f>
        <v/>
      </c>
      <c r="K88" s="6" t="str">
        <f xml:space="preserve"> IFERROR(INDEX(Base!$V$3:$AB$160,MATCH($F88,Base!$Z$3:$Z$160,0),3),"")</f>
        <v/>
      </c>
      <c r="L88" s="28" t="str">
        <f xml:space="preserve"> IFERROR(INDEX(Base!$V$3:$AB$160,MATCH($F88,Base!$Z$3:$Z$160,0),4),"")</f>
        <v/>
      </c>
      <c r="M88">
        <f>IF(M$1&lt;&gt;"",INDEX(Base!$G$1:$G$5000,$A88+M$1+2),"")</f>
        <v>0</v>
      </c>
      <c r="N88">
        <f>IF(N$1&lt;&gt;"",INDEX(Base!$G$1:$G$5000,$A88+N$1+2),"")</f>
        <v>0</v>
      </c>
      <c r="O88">
        <f>IF(O$1&lt;&gt;"",INDEX(Base!$G$1:$G$5000,$A88+O$1+2),"")</f>
        <v>0</v>
      </c>
      <c r="P88">
        <f>IF(P$1&lt;&gt;"",INDEX(Base!$G$1:$G$5000,$A88+P$1+2),"")</f>
        <v>0</v>
      </c>
      <c r="Q88">
        <f>IF(Q$1&lt;&gt;"",INDEX(Base!$G$1:$G$5000,$A88+Q$1+2),"")</f>
        <v>0</v>
      </c>
      <c r="R88">
        <f>IF(R$1&lt;&gt;"",INDEX(Base!$G$1:$G$5000,$A88+R$1+2),"")</f>
        <v>0</v>
      </c>
      <c r="S88">
        <f>IF(S$1&lt;&gt;"",INDEX(Base!$G$1:$G$5000,$A88+S$1+2),"")</f>
        <v>0</v>
      </c>
      <c r="T88">
        <f>IF(T$1&lt;&gt;"",INDEX(Base!$G$1:$G$5000,$A88+T$1+2),"")</f>
        <v>0</v>
      </c>
      <c r="U88">
        <f>IF(U$1&lt;&gt;"",INDEX(Base!$G$1:$G$5000,$A88+U$1+2),"")</f>
        <v>0</v>
      </c>
      <c r="V88">
        <f>IF(V$1&lt;&gt;"",INDEX(Base!$G$1:$G$5000,$A88+V$1+2),"")</f>
        <v>0</v>
      </c>
      <c r="W88">
        <f>IF(W$1&lt;&gt;"",INDEX(Base!$G$1:$G$5000,$A88+W$1+2),"")</f>
        <v>0</v>
      </c>
      <c r="X88">
        <f>IF(X$1&lt;&gt;"",INDEX(Base!$G$1:$G$5000,$A88+X$1+2),"")</f>
        <v>0</v>
      </c>
      <c r="Y88">
        <f>IF(Y$1&lt;&gt;"",INDEX(Base!$G$1:$G$5000,$A88+Y$1+2),"")</f>
        <v>0</v>
      </c>
      <c r="Z88">
        <f>IF(Z$1&lt;&gt;"",INDEX(Base!$G$1:$G$5000,$A88+Z$1+2),"")</f>
        <v>0</v>
      </c>
      <c r="AA88">
        <f>IF(AA$1&lt;&gt;"",INDEX(Base!$G$1:$G$5000,$A88+AA$1+2),"")</f>
        <v>0</v>
      </c>
      <c r="AB88">
        <f>IF(AB$1&lt;&gt;"",INDEX(Base!$G$1:$G$5000,$A88+AB$1+2),"")</f>
        <v>0</v>
      </c>
      <c r="AC88">
        <f>IF(AC$1&lt;&gt;"",INDEX(Base!$G$1:$G$5000,$A88+AC$1+2),"")</f>
        <v>0</v>
      </c>
      <c r="AD88">
        <f>IF(AD$1&lt;&gt;"",INDEX(Base!$G$1:$G$5000,$A88+AD$1+2),"")</f>
        <v>0</v>
      </c>
      <c r="AE88">
        <f>IF(AE$1&lt;&gt;"",INDEX(Base!$G$1:$G$5000,$A88+AE$1+2),"")</f>
        <v>0</v>
      </c>
      <c r="AF88">
        <f>IF(AF$1&lt;&gt;"",INDEX(Base!$G$1:$G$5000,$A88+AF$1+2),"")</f>
        <v>0</v>
      </c>
      <c r="AG88">
        <f>IF(AG$1&lt;&gt;"",INDEX(Base!$G$1:$G$5000,$A88+AG$1+2),"")</f>
        <v>0</v>
      </c>
      <c r="AH88">
        <f>IF(AH$1&lt;&gt;"",INDEX(Base!$G$1:$G$5000,$A88+AH$1+2),"")</f>
        <v>0</v>
      </c>
      <c r="AI88">
        <f>IF(AI$1&lt;&gt;"",INDEX(Base!$G$1:$G$5000,$A88+AI$1+2),"")</f>
        <v>0</v>
      </c>
      <c r="AJ88">
        <f>IF(AJ$1&lt;&gt;"",INDEX(Base!$G$1:$G$5000,$A88+AJ$1+2),"")</f>
        <v>0</v>
      </c>
      <c r="AK88">
        <f>IF(AK$1&lt;&gt;"",INDEX(Base!$G$1:$G$5000,$A88+AK$1+2),"")</f>
        <v>0</v>
      </c>
      <c r="AL88">
        <f>IF(AL$1&lt;&gt;"",INDEX(Base!$G$1:$G$5000,$A88+AL$1+2),"")</f>
        <v>0</v>
      </c>
      <c r="AM88">
        <f>IF(AM$1&lt;&gt;"",INDEX(Base!$G$1:$G$5000,$A88+AM$1+2),"")</f>
        <v>0</v>
      </c>
      <c r="AN88">
        <f>IF(AN$1&lt;&gt;"",INDEX(Base!$G$1:$G$5000,$A88+AN$1+2),"")</f>
        <v>0</v>
      </c>
      <c r="AO88">
        <f>IF(AO$1&lt;&gt;"",INDEX(Base!$G$1:$G$5000,$A88+AO$1+2),"")</f>
        <v>0</v>
      </c>
      <c r="AP88">
        <f>IF(AP$1&lt;&gt;"",INDEX(Base!$G$1:$G$5000,$A88+AP$1+2),"")</f>
        <v>0</v>
      </c>
      <c r="AQ88">
        <f>IF(AQ$1&lt;&gt;"",INDEX(Base!$G$1:$G$5000,$A88+AQ$1+2),"")</f>
        <v>0</v>
      </c>
      <c r="AR88">
        <f>IF(AR$1&lt;&gt;"",INDEX(Base!$G$1:$G$5000,$A88+AR$1+2),"")</f>
        <v>0</v>
      </c>
      <c r="AS88">
        <f>IF(AS$1&lt;&gt;"",INDEX(Base!$G$1:$G$5000,$A88+AS$1+2),"")</f>
        <v>0</v>
      </c>
      <c r="AT88">
        <f>IF(AT$1&lt;&gt;"",INDEX(Base!$G$1:$G$5000,$A88+AT$1+2),"")</f>
        <v>0</v>
      </c>
      <c r="AU88">
        <f>IF(AU$1&lt;&gt;"",INDEX(Base!$G$1:$G$5000,$A88+AU$1+2),"")</f>
        <v>0</v>
      </c>
      <c r="AV88">
        <f>IF(AV$1&lt;&gt;"",INDEX(Base!$G$1:$G$5000,$A88+AV$1+2),"")</f>
        <v>0</v>
      </c>
      <c r="AW88" s="8">
        <f t="shared" si="5"/>
        <v>0</v>
      </c>
      <c r="AX88">
        <f>IF(AX$1&lt;&gt;"",INDEX(Base!$R$1:$R$4000,$E88+AX$1+2),"")</f>
        <v>0</v>
      </c>
      <c r="AY88">
        <f>IF(AY$1&lt;&gt;"",INDEX(Base!$R$1:$R$4000,$E88+AY$1+2),"")</f>
        <v>0</v>
      </c>
      <c r="AZ88">
        <f>IF(AZ$1&lt;&gt;"",INDEX(Base!$R$1:$R$4000,$E88+AZ$1+2),"")</f>
        <v>0</v>
      </c>
      <c r="BA88">
        <f>IF(BA$1&lt;&gt;"",INDEX(Base!$R$1:$R$4000,$E88+BA$1+2),"")</f>
        <v>0</v>
      </c>
      <c r="BB88">
        <f>IF(BB$1&lt;&gt;"",INDEX(Base!$R$1:$R$4000,$E88+BB$1+2),"")</f>
        <v>0</v>
      </c>
      <c r="BC88">
        <f>IF(BC$1&lt;&gt;"",INDEX(Base!$R$1:$R$4000,$E88+BC$1+2),"")</f>
        <v>0</v>
      </c>
      <c r="BD88">
        <f>IF(BD$1&lt;&gt;"",INDEX(Base!$R$1:$R$4000,$E88+BD$1+2),"")</f>
        <v>0</v>
      </c>
      <c r="BE88">
        <f>IF(BE$1&lt;&gt;"",INDEX(Base!$R$1:$R$4000,$E88+BE$1+2),"")</f>
        <v>0</v>
      </c>
      <c r="BF88">
        <f>IF(BF$1&lt;&gt;"",INDEX(Base!$R$1:$R$4000,$E88+BF$1+2),"")</f>
        <v>0</v>
      </c>
      <c r="BG88">
        <f>IF(BG$1&lt;&gt;"",INDEX(Base!$R$1:$R$4000,$E88+BG$1+2),"")</f>
        <v>0</v>
      </c>
      <c r="BH88">
        <f>IF(BH$1&lt;&gt;"",INDEX(Base!$R$1:$R$4000,$E88+BH$1+2),"")</f>
        <v>0</v>
      </c>
      <c r="BI88">
        <f>IF(BI$1&lt;&gt;"",INDEX(Base!$R$1:$R$4000,$E88+BI$1+2),"")</f>
        <v>0</v>
      </c>
      <c r="BJ88">
        <f>IF(BJ$1&lt;&gt;"",INDEX(Base!$R$1:$R$4000,$E88+BJ$1+2),"")</f>
        <v>0</v>
      </c>
      <c r="BK88">
        <f>IF(BK$1&lt;&gt;"",INDEX(Base!$R$1:$R$4000,$E88+BK$1+2),"")</f>
        <v>0</v>
      </c>
      <c r="BL88">
        <f>IF(BL$1&lt;&gt;"",INDEX(Base!$R$1:$R$4000,$E88+BL$1+2),"")</f>
        <v>0</v>
      </c>
      <c r="BM88">
        <f>IF(BM$1&lt;&gt;"",INDEX(Base!$R$1:$R$4000,$E88+BM$1+2),"")</f>
        <v>0</v>
      </c>
      <c r="BN88">
        <f>IF(BN$1&lt;&gt;"",INDEX(Base!$R$1:$R$4000,$E88+BN$1+2),"")</f>
        <v>0</v>
      </c>
      <c r="BO88">
        <f>IF(BO$1&lt;&gt;"",INDEX(Base!$R$1:$R$4000,$E88+BO$1+2),"")</f>
        <v>0</v>
      </c>
      <c r="BP88">
        <f>IF(BP$1&lt;&gt;"",INDEX(Base!$R$1:$R$4000,$E88+BP$1+2),"")</f>
        <v>0</v>
      </c>
      <c r="BQ88">
        <f>IF(BQ$1&lt;&gt;"",INDEX(Base!$R$1:$R$4000,$E88+BQ$1+2),"")</f>
        <v>0</v>
      </c>
      <c r="BR88">
        <f>IF(BR$1&lt;&gt;"",INDEX(Base!$R$1:$R$4000,$E88+BR$1+2),"")</f>
        <v>0</v>
      </c>
      <c r="BS88">
        <f>IF(BS$1&lt;&gt;"",INDEX(Base!$R$1:$R$4000,$E88+BS$1+2),"")</f>
        <v>0</v>
      </c>
      <c r="BT88">
        <f>IF(BT$1&lt;&gt;"",INDEX(Base!$R$1:$R$4000,$E88+BT$1+2),"")</f>
        <v>0</v>
      </c>
    </row>
    <row r="89" spans="1:72" x14ac:dyDescent="0.3">
      <c r="A89" s="2">
        <f t="shared" si="7"/>
        <v>3789</v>
      </c>
      <c r="B89" s="3" t="str">
        <f>IFERROR(MID(INDEX(Base!A$1:A$5000,Calcoli!A89),47,LEN(INDEX(Base!A$1:A$5000,Calcoli!A89))-41),"")</f>
        <v/>
      </c>
      <c r="C89" s="5" t="str">
        <f>MID(INDEX(Base!A$1:A$5000,Calcoli!A89),42,4)</f>
        <v/>
      </c>
      <c r="D89" s="5" t="str">
        <f>MID(INDEX(Base!A$1:A$5000,Calcoli!A89),13,11)</f>
        <v/>
      </c>
      <c r="E89" s="4">
        <f t="shared" si="6"/>
        <v>2671</v>
      </c>
      <c r="F89" s="3" t="str">
        <f>IFERROR(MID(INDEX(Base!L$1:L$4000,Calcoli!E89),47,LEN(INDEX(Base!L$1:L$4000,Calcoli!E89))-41),"")</f>
        <v/>
      </c>
      <c r="G89" s="5" t="str">
        <f>MID(INDEX(Base!L$1:L$4000,Calcoli!$E89),42,4)</f>
        <v/>
      </c>
      <c r="H89" s="5" t="str">
        <f>MID(INDEX(Base!L$1:L$4000,Calcoli!E89),13,11)</f>
        <v/>
      </c>
      <c r="I89" s="6" t="str">
        <f xml:space="preserve"> IFERROR(MID(INDEX(Base!$V$3:$AB$60,MATCH($F89,Base!$Z$3:$Z$160,0),1),1,14),"")</f>
        <v/>
      </c>
      <c r="J89" s="6" t="str">
        <f xml:space="preserve"> IFERROR(INDEX(Base!$V$3:$AB$160,MATCH($F89,Base!$Z$3:$Z$160,0),2),"")</f>
        <v/>
      </c>
      <c r="K89" s="6" t="str">
        <f xml:space="preserve"> IFERROR(INDEX(Base!$V$3:$AB$160,MATCH($F89,Base!$Z$3:$Z$160,0),3),"")</f>
        <v/>
      </c>
      <c r="L89" s="28" t="str">
        <f xml:space="preserve"> IFERROR(INDEX(Base!$V$3:$AB$160,MATCH($F89,Base!$Z$3:$Z$160,0),4),"")</f>
        <v/>
      </c>
      <c r="M89">
        <f>IF(M$1&lt;&gt;"",INDEX(Base!$G$1:$G$5000,$A89+M$1+2),"")</f>
        <v>0</v>
      </c>
      <c r="N89">
        <f>IF(N$1&lt;&gt;"",INDEX(Base!$G$1:$G$5000,$A89+N$1+2),"")</f>
        <v>0</v>
      </c>
      <c r="O89">
        <f>IF(O$1&lt;&gt;"",INDEX(Base!$G$1:$G$5000,$A89+O$1+2),"")</f>
        <v>0</v>
      </c>
      <c r="P89">
        <f>IF(P$1&lt;&gt;"",INDEX(Base!$G$1:$G$5000,$A89+P$1+2),"")</f>
        <v>0</v>
      </c>
      <c r="Q89">
        <f>IF(Q$1&lt;&gt;"",INDEX(Base!$G$1:$G$5000,$A89+Q$1+2),"")</f>
        <v>0</v>
      </c>
      <c r="R89">
        <f>IF(R$1&lt;&gt;"",INDEX(Base!$G$1:$G$5000,$A89+R$1+2),"")</f>
        <v>0</v>
      </c>
      <c r="S89">
        <f>IF(S$1&lt;&gt;"",INDEX(Base!$G$1:$G$5000,$A89+S$1+2),"")</f>
        <v>0</v>
      </c>
      <c r="T89">
        <f>IF(T$1&lt;&gt;"",INDEX(Base!$G$1:$G$5000,$A89+T$1+2),"")</f>
        <v>0</v>
      </c>
      <c r="U89">
        <f>IF(U$1&lt;&gt;"",INDEX(Base!$G$1:$G$5000,$A89+U$1+2),"")</f>
        <v>0</v>
      </c>
      <c r="V89">
        <f>IF(V$1&lt;&gt;"",INDEX(Base!$G$1:$G$5000,$A89+V$1+2),"")</f>
        <v>0</v>
      </c>
      <c r="W89">
        <f>IF(W$1&lt;&gt;"",INDEX(Base!$G$1:$G$5000,$A89+W$1+2),"")</f>
        <v>0</v>
      </c>
      <c r="X89">
        <f>IF(X$1&lt;&gt;"",INDEX(Base!$G$1:$G$5000,$A89+X$1+2),"")</f>
        <v>0</v>
      </c>
      <c r="Y89">
        <f>IF(Y$1&lt;&gt;"",INDEX(Base!$G$1:$G$5000,$A89+Y$1+2),"")</f>
        <v>0</v>
      </c>
      <c r="Z89">
        <f>IF(Z$1&lt;&gt;"",INDEX(Base!$G$1:$G$5000,$A89+Z$1+2),"")</f>
        <v>0</v>
      </c>
      <c r="AA89">
        <f>IF(AA$1&lt;&gt;"",INDEX(Base!$G$1:$G$5000,$A89+AA$1+2),"")</f>
        <v>0</v>
      </c>
      <c r="AB89">
        <f>IF(AB$1&lt;&gt;"",INDEX(Base!$G$1:$G$5000,$A89+AB$1+2),"")</f>
        <v>0</v>
      </c>
      <c r="AC89">
        <f>IF(AC$1&lt;&gt;"",INDEX(Base!$G$1:$G$5000,$A89+AC$1+2),"")</f>
        <v>0</v>
      </c>
      <c r="AD89">
        <f>IF(AD$1&lt;&gt;"",INDEX(Base!$G$1:$G$5000,$A89+AD$1+2),"")</f>
        <v>0</v>
      </c>
      <c r="AE89">
        <f>IF(AE$1&lt;&gt;"",INDEX(Base!$G$1:$G$5000,$A89+AE$1+2),"")</f>
        <v>0</v>
      </c>
      <c r="AF89">
        <f>IF(AF$1&lt;&gt;"",INDEX(Base!$G$1:$G$5000,$A89+AF$1+2),"")</f>
        <v>0</v>
      </c>
      <c r="AG89">
        <f>IF(AG$1&lt;&gt;"",INDEX(Base!$G$1:$G$5000,$A89+AG$1+2),"")</f>
        <v>0</v>
      </c>
      <c r="AH89">
        <f>IF(AH$1&lt;&gt;"",INDEX(Base!$G$1:$G$5000,$A89+AH$1+2),"")</f>
        <v>0</v>
      </c>
      <c r="AI89">
        <f>IF(AI$1&lt;&gt;"",INDEX(Base!$G$1:$G$5000,$A89+AI$1+2),"")</f>
        <v>0</v>
      </c>
      <c r="AJ89">
        <f>IF(AJ$1&lt;&gt;"",INDEX(Base!$G$1:$G$5000,$A89+AJ$1+2),"")</f>
        <v>0</v>
      </c>
      <c r="AK89">
        <f>IF(AK$1&lt;&gt;"",INDEX(Base!$G$1:$G$5000,$A89+AK$1+2),"")</f>
        <v>0</v>
      </c>
      <c r="AL89">
        <f>IF(AL$1&lt;&gt;"",INDEX(Base!$G$1:$G$5000,$A89+AL$1+2),"")</f>
        <v>0</v>
      </c>
      <c r="AM89">
        <f>IF(AM$1&lt;&gt;"",INDEX(Base!$G$1:$G$5000,$A89+AM$1+2),"")</f>
        <v>0</v>
      </c>
      <c r="AN89">
        <f>IF(AN$1&lt;&gt;"",INDEX(Base!$G$1:$G$5000,$A89+AN$1+2),"")</f>
        <v>0</v>
      </c>
      <c r="AO89">
        <f>IF(AO$1&lt;&gt;"",INDEX(Base!$G$1:$G$5000,$A89+AO$1+2),"")</f>
        <v>0</v>
      </c>
      <c r="AP89">
        <f>IF(AP$1&lt;&gt;"",INDEX(Base!$G$1:$G$5000,$A89+AP$1+2),"")</f>
        <v>0</v>
      </c>
      <c r="AQ89">
        <f>IF(AQ$1&lt;&gt;"",INDEX(Base!$G$1:$G$5000,$A89+AQ$1+2),"")</f>
        <v>0</v>
      </c>
      <c r="AR89">
        <f>IF(AR$1&lt;&gt;"",INDEX(Base!$G$1:$G$5000,$A89+AR$1+2),"")</f>
        <v>0</v>
      </c>
      <c r="AS89">
        <f>IF(AS$1&lt;&gt;"",INDEX(Base!$G$1:$G$5000,$A89+AS$1+2),"")</f>
        <v>0</v>
      </c>
      <c r="AT89">
        <f>IF(AT$1&lt;&gt;"",INDEX(Base!$G$1:$G$5000,$A89+AT$1+2),"")</f>
        <v>0</v>
      </c>
      <c r="AU89">
        <f>IF(AU$1&lt;&gt;"",INDEX(Base!$G$1:$G$5000,$A89+AU$1+2),"")</f>
        <v>0</v>
      </c>
      <c r="AV89">
        <f>IF(AV$1&lt;&gt;"",INDEX(Base!$G$1:$G$5000,$A89+AV$1+2),"")</f>
        <v>0</v>
      </c>
      <c r="AW89" s="8">
        <f t="shared" si="5"/>
        <v>0</v>
      </c>
      <c r="AX89">
        <f>IF(AX$1&lt;&gt;"",INDEX(Base!$R$1:$R$4000,$E89+AX$1+2),"")</f>
        <v>0</v>
      </c>
      <c r="AY89">
        <f>IF(AY$1&lt;&gt;"",INDEX(Base!$R$1:$R$4000,$E89+AY$1+2),"")</f>
        <v>0</v>
      </c>
      <c r="AZ89">
        <f>IF(AZ$1&lt;&gt;"",INDEX(Base!$R$1:$R$4000,$E89+AZ$1+2),"")</f>
        <v>0</v>
      </c>
      <c r="BA89">
        <f>IF(BA$1&lt;&gt;"",INDEX(Base!$R$1:$R$4000,$E89+BA$1+2),"")</f>
        <v>0</v>
      </c>
      <c r="BB89">
        <f>IF(BB$1&lt;&gt;"",INDEX(Base!$R$1:$R$4000,$E89+BB$1+2),"")</f>
        <v>0</v>
      </c>
      <c r="BC89">
        <f>IF(BC$1&lt;&gt;"",INDEX(Base!$R$1:$R$4000,$E89+BC$1+2),"")</f>
        <v>0</v>
      </c>
      <c r="BD89">
        <f>IF(BD$1&lt;&gt;"",INDEX(Base!$R$1:$R$4000,$E89+BD$1+2),"")</f>
        <v>0</v>
      </c>
      <c r="BE89">
        <f>IF(BE$1&lt;&gt;"",INDEX(Base!$R$1:$R$4000,$E89+BE$1+2),"")</f>
        <v>0</v>
      </c>
      <c r="BF89">
        <f>IF(BF$1&lt;&gt;"",INDEX(Base!$R$1:$R$4000,$E89+BF$1+2),"")</f>
        <v>0</v>
      </c>
      <c r="BG89">
        <f>IF(BG$1&lt;&gt;"",INDEX(Base!$R$1:$R$4000,$E89+BG$1+2),"")</f>
        <v>0</v>
      </c>
      <c r="BH89">
        <f>IF(BH$1&lt;&gt;"",INDEX(Base!$R$1:$R$4000,$E89+BH$1+2),"")</f>
        <v>0</v>
      </c>
      <c r="BI89">
        <f>IF(BI$1&lt;&gt;"",INDEX(Base!$R$1:$R$4000,$E89+BI$1+2),"")</f>
        <v>0</v>
      </c>
      <c r="BJ89">
        <f>IF(BJ$1&lt;&gt;"",INDEX(Base!$R$1:$R$4000,$E89+BJ$1+2),"")</f>
        <v>0</v>
      </c>
      <c r="BK89">
        <f>IF(BK$1&lt;&gt;"",INDEX(Base!$R$1:$R$4000,$E89+BK$1+2),"")</f>
        <v>0</v>
      </c>
      <c r="BL89">
        <f>IF(BL$1&lt;&gt;"",INDEX(Base!$R$1:$R$4000,$E89+BL$1+2),"")</f>
        <v>0</v>
      </c>
      <c r="BM89">
        <f>IF(BM$1&lt;&gt;"",INDEX(Base!$R$1:$R$4000,$E89+BM$1+2),"")</f>
        <v>0</v>
      </c>
      <c r="BN89">
        <f>IF(BN$1&lt;&gt;"",INDEX(Base!$R$1:$R$4000,$E89+BN$1+2),"")</f>
        <v>0</v>
      </c>
      <c r="BO89">
        <f>IF(BO$1&lt;&gt;"",INDEX(Base!$R$1:$R$4000,$E89+BO$1+2),"")</f>
        <v>0</v>
      </c>
      <c r="BP89">
        <f>IF(BP$1&lt;&gt;"",INDEX(Base!$R$1:$R$4000,$E89+BP$1+2),"")</f>
        <v>0</v>
      </c>
      <c r="BQ89">
        <f>IF(BQ$1&lt;&gt;"",INDEX(Base!$R$1:$R$4000,$E89+BQ$1+2),"")</f>
        <v>0</v>
      </c>
      <c r="BR89">
        <f>IF(BR$1&lt;&gt;"",INDEX(Base!$R$1:$R$4000,$E89+BR$1+2),"")</f>
        <v>0</v>
      </c>
      <c r="BS89">
        <f>IF(BS$1&lt;&gt;"",INDEX(Base!$R$1:$R$4000,$E89+BS$1+2),"")</f>
        <v>0</v>
      </c>
      <c r="BT89">
        <f>IF(BT$1&lt;&gt;"",INDEX(Base!$R$1:$R$4000,$E89+BT$1+2),"")</f>
        <v>0</v>
      </c>
    </row>
    <row r="90" spans="1:72" x14ac:dyDescent="0.3">
      <c r="A90" s="2">
        <f t="shared" si="7"/>
        <v>3833</v>
      </c>
      <c r="B90" s="3" t="str">
        <f>IFERROR(MID(INDEX(Base!A$1:A$5000,Calcoli!A90),47,LEN(INDEX(Base!A$1:A$5000,Calcoli!A90))-41),"")</f>
        <v/>
      </c>
      <c r="C90" s="5" t="str">
        <f>MID(INDEX(Base!A$1:A$5000,Calcoli!A90),42,4)</f>
        <v/>
      </c>
      <c r="D90" s="5" t="str">
        <f>MID(INDEX(Base!A$1:A$5000,Calcoli!A90),13,11)</f>
        <v/>
      </c>
      <c r="E90" s="4">
        <f t="shared" si="6"/>
        <v>2702</v>
      </c>
      <c r="F90" s="3" t="str">
        <f>IFERROR(MID(INDEX(Base!L$1:L$4000,Calcoli!E90),47,LEN(INDEX(Base!L$1:L$4000,Calcoli!E90))-41),"")</f>
        <v/>
      </c>
      <c r="G90" s="5" t="str">
        <f>MID(INDEX(Base!L$1:L$4000,Calcoli!$E90),42,4)</f>
        <v/>
      </c>
      <c r="H90" s="5" t="str">
        <f>MID(INDEX(Base!L$1:L$4000,Calcoli!E90),13,11)</f>
        <v/>
      </c>
      <c r="I90" s="6" t="str">
        <f xml:space="preserve"> IFERROR(MID(INDEX(Base!$V$3:$AB$60,MATCH($F90,Base!$Z$3:$Z$160,0),1),1,14),"")</f>
        <v/>
      </c>
      <c r="J90" s="6" t="str">
        <f xml:space="preserve"> IFERROR(INDEX(Base!$V$3:$AB$160,MATCH($F90,Base!$Z$3:$Z$160,0),2),"")</f>
        <v/>
      </c>
      <c r="K90" s="6" t="str">
        <f xml:space="preserve"> IFERROR(INDEX(Base!$V$3:$AB$160,MATCH($F90,Base!$Z$3:$Z$160,0),3),"")</f>
        <v/>
      </c>
      <c r="L90" s="28" t="str">
        <f xml:space="preserve"> IFERROR(INDEX(Base!$V$3:$AB$160,MATCH($F90,Base!$Z$3:$Z$160,0),4),"")</f>
        <v/>
      </c>
      <c r="M90">
        <f>IF(M$1&lt;&gt;"",INDEX(Base!$G$1:$G$5000,$A90+M$1+2),"")</f>
        <v>0</v>
      </c>
      <c r="N90">
        <f>IF(N$1&lt;&gt;"",INDEX(Base!$G$1:$G$5000,$A90+N$1+2),"")</f>
        <v>0</v>
      </c>
      <c r="O90">
        <f>IF(O$1&lt;&gt;"",INDEX(Base!$G$1:$G$5000,$A90+O$1+2),"")</f>
        <v>0</v>
      </c>
      <c r="P90">
        <f>IF(P$1&lt;&gt;"",INDEX(Base!$G$1:$G$5000,$A90+P$1+2),"")</f>
        <v>0</v>
      </c>
      <c r="Q90">
        <f>IF(Q$1&lt;&gt;"",INDEX(Base!$G$1:$G$5000,$A90+Q$1+2),"")</f>
        <v>0</v>
      </c>
      <c r="R90">
        <f>IF(R$1&lt;&gt;"",INDEX(Base!$G$1:$G$5000,$A90+R$1+2),"")</f>
        <v>0</v>
      </c>
      <c r="S90">
        <f>IF(S$1&lt;&gt;"",INDEX(Base!$G$1:$G$5000,$A90+S$1+2),"")</f>
        <v>0</v>
      </c>
      <c r="T90">
        <f>IF(T$1&lt;&gt;"",INDEX(Base!$G$1:$G$5000,$A90+T$1+2),"")</f>
        <v>0</v>
      </c>
      <c r="U90">
        <f>IF(U$1&lt;&gt;"",INDEX(Base!$G$1:$G$5000,$A90+U$1+2),"")</f>
        <v>0</v>
      </c>
      <c r="V90">
        <f>IF(V$1&lt;&gt;"",INDEX(Base!$G$1:$G$5000,$A90+V$1+2),"")</f>
        <v>0</v>
      </c>
      <c r="W90">
        <f>IF(W$1&lt;&gt;"",INDEX(Base!$G$1:$G$5000,$A90+W$1+2),"")</f>
        <v>0</v>
      </c>
      <c r="X90">
        <f>IF(X$1&lt;&gt;"",INDEX(Base!$G$1:$G$5000,$A90+X$1+2),"")</f>
        <v>0</v>
      </c>
      <c r="Y90">
        <f>IF(Y$1&lt;&gt;"",INDEX(Base!$G$1:$G$5000,$A90+Y$1+2),"")</f>
        <v>0</v>
      </c>
      <c r="Z90">
        <f>IF(Z$1&lt;&gt;"",INDEX(Base!$G$1:$G$5000,$A90+Z$1+2),"")</f>
        <v>0</v>
      </c>
      <c r="AA90">
        <f>IF(AA$1&lt;&gt;"",INDEX(Base!$G$1:$G$5000,$A90+AA$1+2),"")</f>
        <v>0</v>
      </c>
      <c r="AB90">
        <f>IF(AB$1&lt;&gt;"",INDEX(Base!$G$1:$G$5000,$A90+AB$1+2),"")</f>
        <v>0</v>
      </c>
      <c r="AC90">
        <f>IF(AC$1&lt;&gt;"",INDEX(Base!$G$1:$G$5000,$A90+AC$1+2),"")</f>
        <v>0</v>
      </c>
      <c r="AD90">
        <f>IF(AD$1&lt;&gt;"",INDEX(Base!$G$1:$G$5000,$A90+AD$1+2),"")</f>
        <v>0</v>
      </c>
      <c r="AE90">
        <f>IF(AE$1&lt;&gt;"",INDEX(Base!$G$1:$G$5000,$A90+AE$1+2),"")</f>
        <v>0</v>
      </c>
      <c r="AF90">
        <f>IF(AF$1&lt;&gt;"",INDEX(Base!$G$1:$G$5000,$A90+AF$1+2),"")</f>
        <v>0</v>
      </c>
      <c r="AG90">
        <f>IF(AG$1&lt;&gt;"",INDEX(Base!$G$1:$G$5000,$A90+AG$1+2),"")</f>
        <v>0</v>
      </c>
      <c r="AH90">
        <f>IF(AH$1&lt;&gt;"",INDEX(Base!$G$1:$G$5000,$A90+AH$1+2),"")</f>
        <v>0</v>
      </c>
      <c r="AI90">
        <f>IF(AI$1&lt;&gt;"",INDEX(Base!$G$1:$G$5000,$A90+AI$1+2),"")</f>
        <v>0</v>
      </c>
      <c r="AJ90">
        <f>IF(AJ$1&lt;&gt;"",INDEX(Base!$G$1:$G$5000,$A90+AJ$1+2),"")</f>
        <v>0</v>
      </c>
      <c r="AK90">
        <f>IF(AK$1&lt;&gt;"",INDEX(Base!$G$1:$G$5000,$A90+AK$1+2),"")</f>
        <v>0</v>
      </c>
      <c r="AL90">
        <f>IF(AL$1&lt;&gt;"",INDEX(Base!$G$1:$G$5000,$A90+AL$1+2),"")</f>
        <v>0</v>
      </c>
      <c r="AM90">
        <f>IF(AM$1&lt;&gt;"",INDEX(Base!$G$1:$G$5000,$A90+AM$1+2),"")</f>
        <v>0</v>
      </c>
      <c r="AN90">
        <f>IF(AN$1&lt;&gt;"",INDEX(Base!$G$1:$G$5000,$A90+AN$1+2),"")</f>
        <v>0</v>
      </c>
      <c r="AO90">
        <f>IF(AO$1&lt;&gt;"",INDEX(Base!$G$1:$G$5000,$A90+AO$1+2),"")</f>
        <v>0</v>
      </c>
      <c r="AP90">
        <f>IF(AP$1&lt;&gt;"",INDEX(Base!$G$1:$G$5000,$A90+AP$1+2),"")</f>
        <v>0</v>
      </c>
      <c r="AQ90">
        <f>IF(AQ$1&lt;&gt;"",INDEX(Base!$G$1:$G$5000,$A90+AQ$1+2),"")</f>
        <v>0</v>
      </c>
      <c r="AR90">
        <f>IF(AR$1&lt;&gt;"",INDEX(Base!$G$1:$G$5000,$A90+AR$1+2),"")</f>
        <v>0</v>
      </c>
      <c r="AS90">
        <f>IF(AS$1&lt;&gt;"",INDEX(Base!$G$1:$G$5000,$A90+AS$1+2),"")</f>
        <v>0</v>
      </c>
      <c r="AT90">
        <f>IF(AT$1&lt;&gt;"",INDEX(Base!$G$1:$G$5000,$A90+AT$1+2),"")</f>
        <v>0</v>
      </c>
      <c r="AU90">
        <f>IF(AU$1&lt;&gt;"",INDEX(Base!$G$1:$G$5000,$A90+AU$1+2),"")</f>
        <v>0</v>
      </c>
      <c r="AV90">
        <f>IF(AV$1&lt;&gt;"",INDEX(Base!$G$1:$G$5000,$A90+AV$1+2),"")</f>
        <v>0</v>
      </c>
      <c r="AW90" s="8">
        <f t="shared" si="5"/>
        <v>0</v>
      </c>
      <c r="AX90">
        <f>IF(AX$1&lt;&gt;"",INDEX(Base!$R$1:$R$4000,$E90+AX$1+2),"")</f>
        <v>0</v>
      </c>
      <c r="AY90">
        <f>IF(AY$1&lt;&gt;"",INDEX(Base!$R$1:$R$4000,$E90+AY$1+2),"")</f>
        <v>0</v>
      </c>
      <c r="AZ90">
        <f>IF(AZ$1&lt;&gt;"",INDEX(Base!$R$1:$R$4000,$E90+AZ$1+2),"")</f>
        <v>0</v>
      </c>
      <c r="BA90">
        <f>IF(BA$1&lt;&gt;"",INDEX(Base!$R$1:$R$4000,$E90+BA$1+2),"")</f>
        <v>0</v>
      </c>
      <c r="BB90">
        <f>IF(BB$1&lt;&gt;"",INDEX(Base!$R$1:$R$4000,$E90+BB$1+2),"")</f>
        <v>0</v>
      </c>
      <c r="BC90">
        <f>IF(BC$1&lt;&gt;"",INDEX(Base!$R$1:$R$4000,$E90+BC$1+2),"")</f>
        <v>0</v>
      </c>
      <c r="BD90">
        <f>IF(BD$1&lt;&gt;"",INDEX(Base!$R$1:$R$4000,$E90+BD$1+2),"")</f>
        <v>0</v>
      </c>
      <c r="BE90">
        <f>IF(BE$1&lt;&gt;"",INDEX(Base!$R$1:$R$4000,$E90+BE$1+2),"")</f>
        <v>0</v>
      </c>
      <c r="BF90">
        <f>IF(BF$1&lt;&gt;"",INDEX(Base!$R$1:$R$4000,$E90+BF$1+2),"")</f>
        <v>0</v>
      </c>
      <c r="BG90">
        <f>IF(BG$1&lt;&gt;"",INDEX(Base!$R$1:$R$4000,$E90+BG$1+2),"")</f>
        <v>0</v>
      </c>
      <c r="BH90">
        <f>IF(BH$1&lt;&gt;"",INDEX(Base!$R$1:$R$4000,$E90+BH$1+2),"")</f>
        <v>0</v>
      </c>
      <c r="BI90">
        <f>IF(BI$1&lt;&gt;"",INDEX(Base!$R$1:$R$4000,$E90+BI$1+2),"")</f>
        <v>0</v>
      </c>
      <c r="BJ90">
        <f>IF(BJ$1&lt;&gt;"",INDEX(Base!$R$1:$R$4000,$E90+BJ$1+2),"")</f>
        <v>0</v>
      </c>
      <c r="BK90">
        <f>IF(BK$1&lt;&gt;"",INDEX(Base!$R$1:$R$4000,$E90+BK$1+2),"")</f>
        <v>0</v>
      </c>
      <c r="BL90">
        <f>IF(BL$1&lt;&gt;"",INDEX(Base!$R$1:$R$4000,$E90+BL$1+2),"")</f>
        <v>0</v>
      </c>
      <c r="BM90">
        <f>IF(BM$1&lt;&gt;"",INDEX(Base!$R$1:$R$4000,$E90+BM$1+2),"")</f>
        <v>0</v>
      </c>
      <c r="BN90">
        <f>IF(BN$1&lt;&gt;"",INDEX(Base!$R$1:$R$4000,$E90+BN$1+2),"")</f>
        <v>0</v>
      </c>
      <c r="BO90">
        <f>IF(BO$1&lt;&gt;"",INDEX(Base!$R$1:$R$4000,$E90+BO$1+2),"")</f>
        <v>0</v>
      </c>
      <c r="BP90">
        <f>IF(BP$1&lt;&gt;"",INDEX(Base!$R$1:$R$4000,$E90+BP$1+2),"")</f>
        <v>0</v>
      </c>
      <c r="BQ90">
        <f>IF(BQ$1&lt;&gt;"",INDEX(Base!$R$1:$R$4000,$E90+BQ$1+2),"")</f>
        <v>0</v>
      </c>
      <c r="BR90">
        <f>IF(BR$1&lt;&gt;"",INDEX(Base!$R$1:$R$4000,$E90+BR$1+2),"")</f>
        <v>0</v>
      </c>
      <c r="BS90">
        <f>IF(BS$1&lt;&gt;"",INDEX(Base!$R$1:$R$4000,$E90+BS$1+2),"")</f>
        <v>0</v>
      </c>
      <c r="BT90">
        <f>IF(BT$1&lt;&gt;"",INDEX(Base!$R$1:$R$4000,$E90+BT$1+2),"")</f>
        <v>0</v>
      </c>
    </row>
    <row r="91" spans="1:72" x14ac:dyDescent="0.3">
      <c r="A91" s="2">
        <f t="shared" si="7"/>
        <v>3877</v>
      </c>
      <c r="B91" s="3" t="str">
        <f>IFERROR(MID(INDEX(Base!A$1:A$5000,Calcoli!A91),47,LEN(INDEX(Base!A$1:A$5000,Calcoli!A91))-41),"")</f>
        <v/>
      </c>
      <c r="C91" s="5" t="str">
        <f>MID(INDEX(Base!A$1:A$5000,Calcoli!A91),42,4)</f>
        <v/>
      </c>
      <c r="D91" s="5" t="str">
        <f>MID(INDEX(Base!A$1:A$5000,Calcoli!A91),13,11)</f>
        <v/>
      </c>
      <c r="E91" s="4">
        <f t="shared" si="6"/>
        <v>2733</v>
      </c>
      <c r="F91" s="3" t="str">
        <f>IFERROR(MID(INDEX(Base!L$1:L$4000,Calcoli!E91),47,LEN(INDEX(Base!L$1:L$4000,Calcoli!E91))-41),"")</f>
        <v/>
      </c>
      <c r="G91" s="5" t="str">
        <f>MID(INDEX(Base!L$1:L$4000,Calcoli!$E91),42,4)</f>
        <v/>
      </c>
      <c r="H91" s="5" t="str">
        <f>MID(INDEX(Base!L$1:L$4000,Calcoli!E91),13,11)</f>
        <v/>
      </c>
      <c r="I91" s="6" t="str">
        <f xml:space="preserve"> IFERROR(MID(INDEX(Base!$V$3:$AB$60,MATCH($F91,Base!$Z$3:$Z$160,0),1),1,14),"")</f>
        <v/>
      </c>
      <c r="J91" s="6" t="str">
        <f xml:space="preserve"> IFERROR(INDEX(Base!$V$3:$AB$160,MATCH($F91,Base!$Z$3:$Z$160,0),2),"")</f>
        <v/>
      </c>
      <c r="K91" s="6" t="str">
        <f xml:space="preserve"> IFERROR(INDEX(Base!$V$3:$AB$160,MATCH($F91,Base!$Z$3:$Z$160,0),3),"")</f>
        <v/>
      </c>
      <c r="L91" s="28" t="str">
        <f xml:space="preserve"> IFERROR(INDEX(Base!$V$3:$AB$160,MATCH($F91,Base!$Z$3:$Z$160,0),4),"")</f>
        <v/>
      </c>
      <c r="M91">
        <f>IF(M$1&lt;&gt;"",INDEX(Base!$G$1:$G$5000,$A91+M$1+2),"")</f>
        <v>0</v>
      </c>
      <c r="N91">
        <f>IF(N$1&lt;&gt;"",INDEX(Base!$G$1:$G$5000,$A91+N$1+2),"")</f>
        <v>0</v>
      </c>
      <c r="O91">
        <f>IF(O$1&lt;&gt;"",INDEX(Base!$G$1:$G$5000,$A91+O$1+2),"")</f>
        <v>0</v>
      </c>
      <c r="P91">
        <f>IF(P$1&lt;&gt;"",INDEX(Base!$G$1:$G$5000,$A91+P$1+2),"")</f>
        <v>0</v>
      </c>
      <c r="Q91">
        <f>IF(Q$1&lt;&gt;"",INDEX(Base!$G$1:$G$5000,$A91+Q$1+2),"")</f>
        <v>0</v>
      </c>
      <c r="R91">
        <f>IF(R$1&lt;&gt;"",INDEX(Base!$G$1:$G$5000,$A91+R$1+2),"")</f>
        <v>0</v>
      </c>
      <c r="S91">
        <f>IF(S$1&lt;&gt;"",INDEX(Base!$G$1:$G$5000,$A91+S$1+2),"")</f>
        <v>0</v>
      </c>
      <c r="T91">
        <f>IF(T$1&lt;&gt;"",INDEX(Base!$G$1:$G$5000,$A91+T$1+2),"")</f>
        <v>0</v>
      </c>
      <c r="U91">
        <f>IF(U$1&lt;&gt;"",INDEX(Base!$G$1:$G$5000,$A91+U$1+2),"")</f>
        <v>0</v>
      </c>
      <c r="V91">
        <f>IF(V$1&lt;&gt;"",INDEX(Base!$G$1:$G$5000,$A91+V$1+2),"")</f>
        <v>0</v>
      </c>
      <c r="W91">
        <f>IF(W$1&lt;&gt;"",INDEX(Base!$G$1:$G$5000,$A91+W$1+2),"")</f>
        <v>0</v>
      </c>
      <c r="X91">
        <f>IF(X$1&lt;&gt;"",INDEX(Base!$G$1:$G$5000,$A91+X$1+2),"")</f>
        <v>0</v>
      </c>
      <c r="Y91">
        <f>IF(Y$1&lt;&gt;"",INDEX(Base!$G$1:$G$5000,$A91+Y$1+2),"")</f>
        <v>0</v>
      </c>
      <c r="Z91">
        <f>IF(Z$1&lt;&gt;"",INDEX(Base!$G$1:$G$5000,$A91+Z$1+2),"")</f>
        <v>0</v>
      </c>
      <c r="AA91">
        <f>IF(AA$1&lt;&gt;"",INDEX(Base!$G$1:$G$5000,$A91+AA$1+2),"")</f>
        <v>0</v>
      </c>
      <c r="AB91">
        <f>IF(AB$1&lt;&gt;"",INDEX(Base!$G$1:$G$5000,$A91+AB$1+2),"")</f>
        <v>0</v>
      </c>
      <c r="AC91">
        <f>IF(AC$1&lt;&gt;"",INDEX(Base!$G$1:$G$5000,$A91+AC$1+2),"")</f>
        <v>0</v>
      </c>
      <c r="AD91">
        <f>IF(AD$1&lt;&gt;"",INDEX(Base!$G$1:$G$5000,$A91+AD$1+2),"")</f>
        <v>0</v>
      </c>
      <c r="AE91">
        <f>IF(AE$1&lt;&gt;"",INDEX(Base!$G$1:$G$5000,$A91+AE$1+2),"")</f>
        <v>0</v>
      </c>
      <c r="AF91">
        <f>IF(AF$1&lt;&gt;"",INDEX(Base!$G$1:$G$5000,$A91+AF$1+2),"")</f>
        <v>0</v>
      </c>
      <c r="AG91">
        <f>IF(AG$1&lt;&gt;"",INDEX(Base!$G$1:$G$5000,$A91+AG$1+2),"")</f>
        <v>0</v>
      </c>
      <c r="AH91">
        <f>IF(AH$1&lt;&gt;"",INDEX(Base!$G$1:$G$5000,$A91+AH$1+2),"")</f>
        <v>0</v>
      </c>
      <c r="AI91">
        <f>IF(AI$1&lt;&gt;"",INDEX(Base!$G$1:$G$5000,$A91+AI$1+2),"")</f>
        <v>0</v>
      </c>
      <c r="AJ91">
        <f>IF(AJ$1&lt;&gt;"",INDEX(Base!$G$1:$G$5000,$A91+AJ$1+2),"")</f>
        <v>0</v>
      </c>
      <c r="AK91">
        <f>IF(AK$1&lt;&gt;"",INDEX(Base!$G$1:$G$5000,$A91+AK$1+2),"")</f>
        <v>0</v>
      </c>
      <c r="AL91">
        <f>IF(AL$1&lt;&gt;"",INDEX(Base!$G$1:$G$5000,$A91+AL$1+2),"")</f>
        <v>0</v>
      </c>
      <c r="AM91">
        <f>IF(AM$1&lt;&gt;"",INDEX(Base!$G$1:$G$5000,$A91+AM$1+2),"")</f>
        <v>0</v>
      </c>
      <c r="AN91">
        <f>IF(AN$1&lt;&gt;"",INDEX(Base!$G$1:$G$5000,$A91+AN$1+2),"")</f>
        <v>0</v>
      </c>
      <c r="AO91">
        <f>IF(AO$1&lt;&gt;"",INDEX(Base!$G$1:$G$5000,$A91+AO$1+2),"")</f>
        <v>0</v>
      </c>
      <c r="AP91">
        <f>IF(AP$1&lt;&gt;"",INDEX(Base!$G$1:$G$5000,$A91+AP$1+2),"")</f>
        <v>0</v>
      </c>
      <c r="AQ91">
        <f>IF(AQ$1&lt;&gt;"",INDEX(Base!$G$1:$G$5000,$A91+AQ$1+2),"")</f>
        <v>0</v>
      </c>
      <c r="AR91">
        <f>IF(AR$1&lt;&gt;"",INDEX(Base!$G$1:$G$5000,$A91+AR$1+2),"")</f>
        <v>0</v>
      </c>
      <c r="AS91">
        <f>IF(AS$1&lt;&gt;"",INDEX(Base!$G$1:$G$5000,$A91+AS$1+2),"")</f>
        <v>0</v>
      </c>
      <c r="AT91">
        <f>IF(AT$1&lt;&gt;"",INDEX(Base!$G$1:$G$5000,$A91+AT$1+2),"")</f>
        <v>0</v>
      </c>
      <c r="AU91">
        <f>IF(AU$1&lt;&gt;"",INDEX(Base!$G$1:$G$5000,$A91+AU$1+2),"")</f>
        <v>0</v>
      </c>
      <c r="AV91">
        <f>IF(AV$1&lt;&gt;"",INDEX(Base!$G$1:$G$5000,$A91+AV$1+2),"")</f>
        <v>0</v>
      </c>
      <c r="AW91" s="8">
        <f t="shared" si="5"/>
        <v>0</v>
      </c>
      <c r="AX91">
        <f>IF(AX$1&lt;&gt;"",INDEX(Base!$R$1:$R$4000,$E91+AX$1+2),"")</f>
        <v>0</v>
      </c>
      <c r="AY91">
        <f>IF(AY$1&lt;&gt;"",INDEX(Base!$R$1:$R$4000,$E91+AY$1+2),"")</f>
        <v>0</v>
      </c>
      <c r="AZ91">
        <f>IF(AZ$1&lt;&gt;"",INDEX(Base!$R$1:$R$4000,$E91+AZ$1+2),"")</f>
        <v>0</v>
      </c>
      <c r="BA91">
        <f>IF(BA$1&lt;&gt;"",INDEX(Base!$R$1:$R$4000,$E91+BA$1+2),"")</f>
        <v>0</v>
      </c>
      <c r="BB91">
        <f>IF(BB$1&lt;&gt;"",INDEX(Base!$R$1:$R$4000,$E91+BB$1+2),"")</f>
        <v>0</v>
      </c>
      <c r="BC91">
        <f>IF(BC$1&lt;&gt;"",INDEX(Base!$R$1:$R$4000,$E91+BC$1+2),"")</f>
        <v>0</v>
      </c>
      <c r="BD91">
        <f>IF(BD$1&lt;&gt;"",INDEX(Base!$R$1:$R$4000,$E91+BD$1+2),"")</f>
        <v>0</v>
      </c>
      <c r="BE91">
        <f>IF(BE$1&lt;&gt;"",INDEX(Base!$R$1:$R$4000,$E91+BE$1+2),"")</f>
        <v>0</v>
      </c>
      <c r="BF91">
        <f>IF(BF$1&lt;&gt;"",INDEX(Base!$R$1:$R$4000,$E91+BF$1+2),"")</f>
        <v>0</v>
      </c>
      <c r="BG91">
        <f>IF(BG$1&lt;&gt;"",INDEX(Base!$R$1:$R$4000,$E91+BG$1+2),"")</f>
        <v>0</v>
      </c>
      <c r="BH91">
        <f>IF(BH$1&lt;&gt;"",INDEX(Base!$R$1:$R$4000,$E91+BH$1+2),"")</f>
        <v>0</v>
      </c>
      <c r="BI91">
        <f>IF(BI$1&lt;&gt;"",INDEX(Base!$R$1:$R$4000,$E91+BI$1+2),"")</f>
        <v>0</v>
      </c>
      <c r="BJ91">
        <f>IF(BJ$1&lt;&gt;"",INDEX(Base!$R$1:$R$4000,$E91+BJ$1+2),"")</f>
        <v>0</v>
      </c>
      <c r="BK91">
        <f>IF(BK$1&lt;&gt;"",INDEX(Base!$R$1:$R$4000,$E91+BK$1+2),"")</f>
        <v>0</v>
      </c>
      <c r="BL91">
        <f>IF(BL$1&lt;&gt;"",INDEX(Base!$R$1:$R$4000,$E91+BL$1+2),"")</f>
        <v>0</v>
      </c>
      <c r="BM91">
        <f>IF(BM$1&lt;&gt;"",INDEX(Base!$R$1:$R$4000,$E91+BM$1+2),"")</f>
        <v>0</v>
      </c>
      <c r="BN91">
        <f>IF(BN$1&lt;&gt;"",INDEX(Base!$R$1:$R$4000,$E91+BN$1+2),"")</f>
        <v>0</v>
      </c>
      <c r="BO91">
        <f>IF(BO$1&lt;&gt;"",INDEX(Base!$R$1:$R$4000,$E91+BO$1+2),"")</f>
        <v>0</v>
      </c>
      <c r="BP91">
        <f>IF(BP$1&lt;&gt;"",INDEX(Base!$R$1:$R$4000,$E91+BP$1+2),"")</f>
        <v>0</v>
      </c>
      <c r="BQ91">
        <f>IF(BQ$1&lt;&gt;"",INDEX(Base!$R$1:$R$4000,$E91+BQ$1+2),"")</f>
        <v>0</v>
      </c>
      <c r="BR91">
        <f>IF(BR$1&lt;&gt;"",INDEX(Base!$R$1:$R$4000,$E91+BR$1+2),"")</f>
        <v>0</v>
      </c>
      <c r="BS91">
        <f>IF(BS$1&lt;&gt;"",INDEX(Base!$R$1:$R$4000,$E91+BS$1+2),"")</f>
        <v>0</v>
      </c>
      <c r="BT91">
        <f>IF(BT$1&lt;&gt;"",INDEX(Base!$R$1:$R$4000,$E91+BT$1+2),"")</f>
        <v>0</v>
      </c>
    </row>
    <row r="92" spans="1:72" x14ac:dyDescent="0.3">
      <c r="A92" s="2">
        <f t="shared" si="7"/>
        <v>3921</v>
      </c>
      <c r="B92" s="3" t="str">
        <f>IFERROR(MID(INDEX(Base!A$1:A$5000,Calcoli!A92),47,LEN(INDEX(Base!A$1:A$5000,Calcoli!A92))-41),"")</f>
        <v/>
      </c>
      <c r="C92" s="5" t="str">
        <f>MID(INDEX(Base!A$1:A$5000,Calcoli!A92),42,4)</f>
        <v/>
      </c>
      <c r="D92" s="5" t="str">
        <f>MID(INDEX(Base!A$1:A$5000,Calcoli!A92),13,11)</f>
        <v/>
      </c>
      <c r="E92" s="4">
        <f t="shared" si="6"/>
        <v>2764</v>
      </c>
      <c r="F92" s="3" t="str">
        <f>IFERROR(MID(INDEX(Base!L$1:L$4000,Calcoli!E92),47,LEN(INDEX(Base!L$1:L$4000,Calcoli!E92))-41),"")</f>
        <v/>
      </c>
      <c r="G92" s="5" t="str">
        <f>MID(INDEX(Base!L$1:L$4000,Calcoli!$E92),42,4)</f>
        <v/>
      </c>
      <c r="H92" s="5" t="str">
        <f>MID(INDEX(Base!L$1:L$4000,Calcoli!E92),13,11)</f>
        <v/>
      </c>
      <c r="I92" s="6" t="str">
        <f xml:space="preserve"> IFERROR(MID(INDEX(Base!$V$3:$AB$60,MATCH($F92,Base!$Z$3:$Z$160,0),1),1,14),"")</f>
        <v/>
      </c>
      <c r="J92" s="6" t="str">
        <f xml:space="preserve"> IFERROR(INDEX(Base!$V$3:$AB$160,MATCH($F92,Base!$Z$3:$Z$160,0),2),"")</f>
        <v/>
      </c>
      <c r="K92" s="6" t="str">
        <f xml:space="preserve"> IFERROR(INDEX(Base!$V$3:$AB$160,MATCH($F92,Base!$Z$3:$Z$160,0),3),"")</f>
        <v/>
      </c>
      <c r="L92" s="28" t="str">
        <f xml:space="preserve"> IFERROR(INDEX(Base!$V$3:$AB$160,MATCH($F92,Base!$Z$3:$Z$160,0),4),"")</f>
        <v/>
      </c>
      <c r="M92">
        <f>IF(M$1&lt;&gt;"",INDEX(Base!$G$1:$G$5000,$A92+M$1+2),"")</f>
        <v>0</v>
      </c>
      <c r="N92">
        <f>IF(N$1&lt;&gt;"",INDEX(Base!$G$1:$G$5000,$A92+N$1+2),"")</f>
        <v>0</v>
      </c>
      <c r="O92">
        <f>IF(O$1&lt;&gt;"",INDEX(Base!$G$1:$G$5000,$A92+O$1+2),"")</f>
        <v>0</v>
      </c>
      <c r="P92">
        <f>IF(P$1&lt;&gt;"",INDEX(Base!$G$1:$G$5000,$A92+P$1+2),"")</f>
        <v>0</v>
      </c>
      <c r="Q92">
        <f>IF(Q$1&lt;&gt;"",INDEX(Base!$G$1:$G$5000,$A92+Q$1+2),"")</f>
        <v>0</v>
      </c>
      <c r="R92">
        <f>IF(R$1&lt;&gt;"",INDEX(Base!$G$1:$G$5000,$A92+R$1+2),"")</f>
        <v>0</v>
      </c>
      <c r="S92">
        <f>IF(S$1&lt;&gt;"",INDEX(Base!$G$1:$G$5000,$A92+S$1+2),"")</f>
        <v>0</v>
      </c>
      <c r="T92">
        <f>IF(T$1&lt;&gt;"",INDEX(Base!$G$1:$G$5000,$A92+T$1+2),"")</f>
        <v>0</v>
      </c>
      <c r="U92">
        <f>IF(U$1&lt;&gt;"",INDEX(Base!$G$1:$G$5000,$A92+U$1+2),"")</f>
        <v>0</v>
      </c>
      <c r="V92">
        <f>IF(V$1&lt;&gt;"",INDEX(Base!$G$1:$G$5000,$A92+V$1+2),"")</f>
        <v>0</v>
      </c>
      <c r="W92">
        <f>IF(W$1&lt;&gt;"",INDEX(Base!$G$1:$G$5000,$A92+W$1+2),"")</f>
        <v>0</v>
      </c>
      <c r="X92">
        <f>IF(X$1&lt;&gt;"",INDEX(Base!$G$1:$G$5000,$A92+X$1+2),"")</f>
        <v>0</v>
      </c>
      <c r="Y92">
        <f>IF(Y$1&lt;&gt;"",INDEX(Base!$G$1:$G$5000,$A92+Y$1+2),"")</f>
        <v>0</v>
      </c>
      <c r="Z92">
        <f>IF(Z$1&lt;&gt;"",INDEX(Base!$G$1:$G$5000,$A92+Z$1+2),"")</f>
        <v>0</v>
      </c>
      <c r="AA92">
        <f>IF(AA$1&lt;&gt;"",INDEX(Base!$G$1:$G$5000,$A92+AA$1+2),"")</f>
        <v>0</v>
      </c>
      <c r="AB92">
        <f>IF(AB$1&lt;&gt;"",INDEX(Base!$G$1:$G$5000,$A92+AB$1+2),"")</f>
        <v>0</v>
      </c>
      <c r="AC92">
        <f>IF(AC$1&lt;&gt;"",INDEX(Base!$G$1:$G$5000,$A92+AC$1+2),"")</f>
        <v>0</v>
      </c>
      <c r="AD92">
        <f>IF(AD$1&lt;&gt;"",INDEX(Base!$G$1:$G$5000,$A92+AD$1+2),"")</f>
        <v>0</v>
      </c>
      <c r="AE92">
        <f>IF(AE$1&lt;&gt;"",INDEX(Base!$G$1:$G$5000,$A92+AE$1+2),"")</f>
        <v>0</v>
      </c>
      <c r="AF92">
        <f>IF(AF$1&lt;&gt;"",INDEX(Base!$G$1:$G$5000,$A92+AF$1+2),"")</f>
        <v>0</v>
      </c>
      <c r="AG92">
        <f>IF(AG$1&lt;&gt;"",INDEX(Base!$G$1:$G$5000,$A92+AG$1+2),"")</f>
        <v>0</v>
      </c>
      <c r="AH92">
        <f>IF(AH$1&lt;&gt;"",INDEX(Base!$G$1:$G$5000,$A92+AH$1+2),"")</f>
        <v>0</v>
      </c>
      <c r="AI92">
        <f>IF(AI$1&lt;&gt;"",INDEX(Base!$G$1:$G$5000,$A92+AI$1+2),"")</f>
        <v>0</v>
      </c>
      <c r="AJ92">
        <f>IF(AJ$1&lt;&gt;"",INDEX(Base!$G$1:$G$5000,$A92+AJ$1+2),"")</f>
        <v>0</v>
      </c>
      <c r="AK92">
        <f>IF(AK$1&lt;&gt;"",INDEX(Base!$G$1:$G$5000,$A92+AK$1+2),"")</f>
        <v>0</v>
      </c>
      <c r="AL92">
        <f>IF(AL$1&lt;&gt;"",INDEX(Base!$G$1:$G$5000,$A92+AL$1+2),"")</f>
        <v>0</v>
      </c>
      <c r="AM92">
        <f>IF(AM$1&lt;&gt;"",INDEX(Base!$G$1:$G$5000,$A92+AM$1+2),"")</f>
        <v>0</v>
      </c>
      <c r="AN92">
        <f>IF(AN$1&lt;&gt;"",INDEX(Base!$G$1:$G$5000,$A92+AN$1+2),"")</f>
        <v>0</v>
      </c>
      <c r="AO92">
        <f>IF(AO$1&lt;&gt;"",INDEX(Base!$G$1:$G$5000,$A92+AO$1+2),"")</f>
        <v>0</v>
      </c>
      <c r="AP92">
        <f>IF(AP$1&lt;&gt;"",INDEX(Base!$G$1:$G$5000,$A92+AP$1+2),"")</f>
        <v>0</v>
      </c>
      <c r="AQ92">
        <f>IF(AQ$1&lt;&gt;"",INDEX(Base!$G$1:$G$5000,$A92+AQ$1+2),"")</f>
        <v>0</v>
      </c>
      <c r="AR92">
        <f>IF(AR$1&lt;&gt;"",INDEX(Base!$G$1:$G$5000,$A92+AR$1+2),"")</f>
        <v>0</v>
      </c>
      <c r="AS92">
        <f>IF(AS$1&lt;&gt;"",INDEX(Base!$G$1:$G$5000,$A92+AS$1+2),"")</f>
        <v>0</v>
      </c>
      <c r="AT92">
        <f>IF(AT$1&lt;&gt;"",INDEX(Base!$G$1:$G$5000,$A92+AT$1+2),"")</f>
        <v>0</v>
      </c>
      <c r="AU92">
        <f>IF(AU$1&lt;&gt;"",INDEX(Base!$G$1:$G$5000,$A92+AU$1+2),"")</f>
        <v>0</v>
      </c>
      <c r="AV92">
        <f>IF(AV$1&lt;&gt;"",INDEX(Base!$G$1:$G$5000,$A92+AV$1+2),"")</f>
        <v>0</v>
      </c>
      <c r="AW92" s="8">
        <f t="shared" si="5"/>
        <v>0</v>
      </c>
      <c r="AX92">
        <f>IF(AX$1&lt;&gt;"",INDEX(Base!$R$1:$R$4000,$E92+AX$1+2),"")</f>
        <v>0</v>
      </c>
      <c r="AY92">
        <f>IF(AY$1&lt;&gt;"",INDEX(Base!$R$1:$R$4000,$E92+AY$1+2),"")</f>
        <v>0</v>
      </c>
      <c r="AZ92">
        <f>IF(AZ$1&lt;&gt;"",INDEX(Base!$R$1:$R$4000,$E92+AZ$1+2),"")</f>
        <v>0</v>
      </c>
      <c r="BA92">
        <f>IF(BA$1&lt;&gt;"",INDEX(Base!$R$1:$R$4000,$E92+BA$1+2),"")</f>
        <v>0</v>
      </c>
      <c r="BB92">
        <f>IF(BB$1&lt;&gt;"",INDEX(Base!$R$1:$R$4000,$E92+BB$1+2),"")</f>
        <v>0</v>
      </c>
      <c r="BC92">
        <f>IF(BC$1&lt;&gt;"",INDEX(Base!$R$1:$R$4000,$E92+BC$1+2),"")</f>
        <v>0</v>
      </c>
      <c r="BD92">
        <f>IF(BD$1&lt;&gt;"",INDEX(Base!$R$1:$R$4000,$E92+BD$1+2),"")</f>
        <v>0</v>
      </c>
      <c r="BE92">
        <f>IF(BE$1&lt;&gt;"",INDEX(Base!$R$1:$R$4000,$E92+BE$1+2),"")</f>
        <v>0</v>
      </c>
      <c r="BF92">
        <f>IF(BF$1&lt;&gt;"",INDEX(Base!$R$1:$R$4000,$E92+BF$1+2),"")</f>
        <v>0</v>
      </c>
      <c r="BG92">
        <f>IF(BG$1&lt;&gt;"",INDEX(Base!$R$1:$R$4000,$E92+BG$1+2),"")</f>
        <v>0</v>
      </c>
      <c r="BH92">
        <f>IF(BH$1&lt;&gt;"",INDEX(Base!$R$1:$R$4000,$E92+BH$1+2),"")</f>
        <v>0</v>
      </c>
      <c r="BI92">
        <f>IF(BI$1&lt;&gt;"",INDEX(Base!$R$1:$R$4000,$E92+BI$1+2),"")</f>
        <v>0</v>
      </c>
      <c r="BJ92">
        <f>IF(BJ$1&lt;&gt;"",INDEX(Base!$R$1:$R$4000,$E92+BJ$1+2),"")</f>
        <v>0</v>
      </c>
      <c r="BK92">
        <f>IF(BK$1&lt;&gt;"",INDEX(Base!$R$1:$R$4000,$E92+BK$1+2),"")</f>
        <v>0</v>
      </c>
      <c r="BL92">
        <f>IF(BL$1&lt;&gt;"",INDEX(Base!$R$1:$R$4000,$E92+BL$1+2),"")</f>
        <v>0</v>
      </c>
      <c r="BM92">
        <f>IF(BM$1&lt;&gt;"",INDEX(Base!$R$1:$R$4000,$E92+BM$1+2),"")</f>
        <v>0</v>
      </c>
      <c r="BN92">
        <f>IF(BN$1&lt;&gt;"",INDEX(Base!$R$1:$R$4000,$E92+BN$1+2),"")</f>
        <v>0</v>
      </c>
      <c r="BO92">
        <f>IF(BO$1&lt;&gt;"",INDEX(Base!$R$1:$R$4000,$E92+BO$1+2),"")</f>
        <v>0</v>
      </c>
      <c r="BP92">
        <f>IF(BP$1&lt;&gt;"",INDEX(Base!$R$1:$R$4000,$E92+BP$1+2),"")</f>
        <v>0</v>
      </c>
      <c r="BQ92">
        <f>IF(BQ$1&lt;&gt;"",INDEX(Base!$R$1:$R$4000,$E92+BQ$1+2),"")</f>
        <v>0</v>
      </c>
      <c r="BR92">
        <f>IF(BR$1&lt;&gt;"",INDEX(Base!$R$1:$R$4000,$E92+BR$1+2),"")</f>
        <v>0</v>
      </c>
      <c r="BS92">
        <f>IF(BS$1&lt;&gt;"",INDEX(Base!$R$1:$R$4000,$E92+BS$1+2),"")</f>
        <v>0</v>
      </c>
      <c r="BT92">
        <f>IF(BT$1&lt;&gt;"",INDEX(Base!$R$1:$R$4000,$E92+BT$1+2),"")</f>
        <v>0</v>
      </c>
    </row>
    <row r="93" spans="1:72" x14ac:dyDescent="0.3">
      <c r="A93" s="2">
        <f t="shared" si="7"/>
        <v>3965</v>
      </c>
      <c r="B93" s="3" t="str">
        <f>IFERROR(MID(INDEX(Base!A$1:A$5000,Calcoli!A93),47,LEN(INDEX(Base!A$1:A$5000,Calcoli!A93))-41),"")</f>
        <v/>
      </c>
      <c r="C93" s="5" t="str">
        <f>MID(INDEX(Base!A$1:A$5000,Calcoli!A93),42,4)</f>
        <v/>
      </c>
      <c r="D93" s="5" t="str">
        <f>MID(INDEX(Base!A$1:A$5000,Calcoli!A93),13,11)</f>
        <v/>
      </c>
      <c r="E93" s="4">
        <f t="shared" si="6"/>
        <v>2795</v>
      </c>
      <c r="F93" s="3" t="str">
        <f>IFERROR(MID(INDEX(Base!L$1:L$4000,Calcoli!E93),47,LEN(INDEX(Base!L$1:L$4000,Calcoli!E93))-41),"")</f>
        <v/>
      </c>
      <c r="G93" s="5" t="str">
        <f>MID(INDEX(Base!L$1:L$4000,Calcoli!$E93),42,4)</f>
        <v/>
      </c>
      <c r="H93" s="5" t="str">
        <f>MID(INDEX(Base!L$1:L$4000,Calcoli!E93),13,11)</f>
        <v/>
      </c>
      <c r="I93" s="6" t="str">
        <f xml:space="preserve"> IFERROR(MID(INDEX(Base!$V$3:$AB$60,MATCH($F93,Base!$Z$3:$Z$160,0),1),1,14),"")</f>
        <v/>
      </c>
      <c r="J93" s="6" t="str">
        <f xml:space="preserve"> IFERROR(INDEX(Base!$V$3:$AB$160,MATCH($F93,Base!$Z$3:$Z$160,0),2),"")</f>
        <v/>
      </c>
      <c r="K93" s="6" t="str">
        <f xml:space="preserve"> IFERROR(INDEX(Base!$V$3:$AB$160,MATCH($F93,Base!$Z$3:$Z$160,0),3),"")</f>
        <v/>
      </c>
      <c r="L93" s="28" t="str">
        <f xml:space="preserve"> IFERROR(INDEX(Base!$V$3:$AB$160,MATCH($F93,Base!$Z$3:$Z$160,0),4),"")</f>
        <v/>
      </c>
      <c r="M93">
        <f>IF(M$1&lt;&gt;"",INDEX(Base!$G$1:$G$5000,$A93+M$1+2),"")</f>
        <v>0</v>
      </c>
      <c r="N93">
        <f>IF(N$1&lt;&gt;"",INDEX(Base!$G$1:$G$5000,$A93+N$1+2),"")</f>
        <v>0</v>
      </c>
      <c r="O93">
        <f>IF(O$1&lt;&gt;"",INDEX(Base!$G$1:$G$5000,$A93+O$1+2),"")</f>
        <v>0</v>
      </c>
      <c r="P93">
        <f>IF(P$1&lt;&gt;"",INDEX(Base!$G$1:$G$5000,$A93+P$1+2),"")</f>
        <v>0</v>
      </c>
      <c r="Q93">
        <f>IF(Q$1&lt;&gt;"",INDEX(Base!$G$1:$G$5000,$A93+Q$1+2),"")</f>
        <v>0</v>
      </c>
      <c r="R93">
        <f>IF(R$1&lt;&gt;"",INDEX(Base!$G$1:$G$5000,$A93+R$1+2),"")</f>
        <v>0</v>
      </c>
      <c r="S93">
        <f>IF(S$1&lt;&gt;"",INDEX(Base!$G$1:$G$5000,$A93+S$1+2),"")</f>
        <v>0</v>
      </c>
      <c r="T93">
        <f>IF(T$1&lt;&gt;"",INDEX(Base!$G$1:$G$5000,$A93+T$1+2),"")</f>
        <v>0</v>
      </c>
      <c r="U93">
        <f>IF(U$1&lt;&gt;"",INDEX(Base!$G$1:$G$5000,$A93+U$1+2),"")</f>
        <v>0</v>
      </c>
      <c r="V93">
        <f>IF(V$1&lt;&gt;"",INDEX(Base!$G$1:$G$5000,$A93+V$1+2),"")</f>
        <v>0</v>
      </c>
      <c r="W93">
        <f>IF(W$1&lt;&gt;"",INDEX(Base!$G$1:$G$5000,$A93+W$1+2),"")</f>
        <v>0</v>
      </c>
      <c r="X93">
        <f>IF(X$1&lt;&gt;"",INDEX(Base!$G$1:$G$5000,$A93+X$1+2),"")</f>
        <v>0</v>
      </c>
      <c r="Y93">
        <f>IF(Y$1&lt;&gt;"",INDEX(Base!$G$1:$G$5000,$A93+Y$1+2),"")</f>
        <v>0</v>
      </c>
      <c r="Z93">
        <f>IF(Z$1&lt;&gt;"",INDEX(Base!$G$1:$G$5000,$A93+Z$1+2),"")</f>
        <v>0</v>
      </c>
      <c r="AA93">
        <f>IF(AA$1&lt;&gt;"",INDEX(Base!$G$1:$G$5000,$A93+AA$1+2),"")</f>
        <v>0</v>
      </c>
      <c r="AB93">
        <f>IF(AB$1&lt;&gt;"",INDEX(Base!$G$1:$G$5000,$A93+AB$1+2),"")</f>
        <v>0</v>
      </c>
      <c r="AC93">
        <f>IF(AC$1&lt;&gt;"",INDEX(Base!$G$1:$G$5000,$A93+AC$1+2),"")</f>
        <v>0</v>
      </c>
      <c r="AD93">
        <f>IF(AD$1&lt;&gt;"",INDEX(Base!$G$1:$G$5000,$A93+AD$1+2),"")</f>
        <v>0</v>
      </c>
      <c r="AE93">
        <f>IF(AE$1&lt;&gt;"",INDEX(Base!$G$1:$G$5000,$A93+AE$1+2),"")</f>
        <v>0</v>
      </c>
      <c r="AF93">
        <f>IF(AF$1&lt;&gt;"",INDEX(Base!$G$1:$G$5000,$A93+AF$1+2),"")</f>
        <v>0</v>
      </c>
      <c r="AG93">
        <f>IF(AG$1&lt;&gt;"",INDEX(Base!$G$1:$G$5000,$A93+AG$1+2),"")</f>
        <v>0</v>
      </c>
      <c r="AH93">
        <f>IF(AH$1&lt;&gt;"",INDEX(Base!$G$1:$G$5000,$A93+AH$1+2),"")</f>
        <v>0</v>
      </c>
      <c r="AI93">
        <f>IF(AI$1&lt;&gt;"",INDEX(Base!$G$1:$G$5000,$A93+AI$1+2),"")</f>
        <v>0</v>
      </c>
      <c r="AJ93">
        <f>IF(AJ$1&lt;&gt;"",INDEX(Base!$G$1:$G$5000,$A93+AJ$1+2),"")</f>
        <v>0</v>
      </c>
      <c r="AK93">
        <f>IF(AK$1&lt;&gt;"",INDEX(Base!$G$1:$G$5000,$A93+AK$1+2),"")</f>
        <v>0</v>
      </c>
      <c r="AL93">
        <f>IF(AL$1&lt;&gt;"",INDEX(Base!$G$1:$G$5000,$A93+AL$1+2),"")</f>
        <v>0</v>
      </c>
      <c r="AM93">
        <f>IF(AM$1&lt;&gt;"",INDEX(Base!$G$1:$G$5000,$A93+AM$1+2),"")</f>
        <v>0</v>
      </c>
      <c r="AN93">
        <f>IF(AN$1&lt;&gt;"",INDEX(Base!$G$1:$G$5000,$A93+AN$1+2),"")</f>
        <v>0</v>
      </c>
      <c r="AO93">
        <f>IF(AO$1&lt;&gt;"",INDEX(Base!$G$1:$G$5000,$A93+AO$1+2),"")</f>
        <v>0</v>
      </c>
      <c r="AP93">
        <f>IF(AP$1&lt;&gt;"",INDEX(Base!$G$1:$G$5000,$A93+AP$1+2),"")</f>
        <v>0</v>
      </c>
      <c r="AQ93">
        <f>IF(AQ$1&lt;&gt;"",INDEX(Base!$G$1:$G$5000,$A93+AQ$1+2),"")</f>
        <v>0</v>
      </c>
      <c r="AR93">
        <f>IF(AR$1&lt;&gt;"",INDEX(Base!$G$1:$G$5000,$A93+AR$1+2),"")</f>
        <v>0</v>
      </c>
      <c r="AS93">
        <f>IF(AS$1&lt;&gt;"",INDEX(Base!$G$1:$G$5000,$A93+AS$1+2),"")</f>
        <v>0</v>
      </c>
      <c r="AT93">
        <f>IF(AT$1&lt;&gt;"",INDEX(Base!$G$1:$G$5000,$A93+AT$1+2),"")</f>
        <v>0</v>
      </c>
      <c r="AU93">
        <f>IF(AU$1&lt;&gt;"",INDEX(Base!$G$1:$G$5000,$A93+AU$1+2),"")</f>
        <v>0</v>
      </c>
      <c r="AV93">
        <f>IF(AV$1&lt;&gt;"",INDEX(Base!$G$1:$G$5000,$A93+AV$1+2),"")</f>
        <v>0</v>
      </c>
      <c r="AW93" s="8">
        <f t="shared" si="5"/>
        <v>0</v>
      </c>
      <c r="AX93">
        <f>IF(AX$1&lt;&gt;"",INDEX(Base!$R$1:$R$4000,$E93+AX$1+2),"")</f>
        <v>0</v>
      </c>
      <c r="AY93">
        <f>IF(AY$1&lt;&gt;"",INDEX(Base!$R$1:$R$4000,$E93+AY$1+2),"")</f>
        <v>0</v>
      </c>
      <c r="AZ93">
        <f>IF(AZ$1&lt;&gt;"",INDEX(Base!$R$1:$R$4000,$E93+AZ$1+2),"")</f>
        <v>0</v>
      </c>
      <c r="BA93">
        <f>IF(BA$1&lt;&gt;"",INDEX(Base!$R$1:$R$4000,$E93+BA$1+2),"")</f>
        <v>0</v>
      </c>
      <c r="BB93">
        <f>IF(BB$1&lt;&gt;"",INDEX(Base!$R$1:$R$4000,$E93+BB$1+2),"")</f>
        <v>0</v>
      </c>
      <c r="BC93">
        <f>IF(BC$1&lt;&gt;"",INDEX(Base!$R$1:$R$4000,$E93+BC$1+2),"")</f>
        <v>0</v>
      </c>
      <c r="BD93">
        <f>IF(BD$1&lt;&gt;"",INDEX(Base!$R$1:$R$4000,$E93+BD$1+2),"")</f>
        <v>0</v>
      </c>
      <c r="BE93">
        <f>IF(BE$1&lt;&gt;"",INDEX(Base!$R$1:$R$4000,$E93+BE$1+2),"")</f>
        <v>0</v>
      </c>
      <c r="BF93">
        <f>IF(BF$1&lt;&gt;"",INDEX(Base!$R$1:$R$4000,$E93+BF$1+2),"")</f>
        <v>0</v>
      </c>
      <c r="BG93">
        <f>IF(BG$1&lt;&gt;"",INDEX(Base!$R$1:$R$4000,$E93+BG$1+2),"")</f>
        <v>0</v>
      </c>
      <c r="BH93">
        <f>IF(BH$1&lt;&gt;"",INDEX(Base!$R$1:$R$4000,$E93+BH$1+2),"")</f>
        <v>0</v>
      </c>
      <c r="BI93">
        <f>IF(BI$1&lt;&gt;"",INDEX(Base!$R$1:$R$4000,$E93+BI$1+2),"")</f>
        <v>0</v>
      </c>
      <c r="BJ93">
        <f>IF(BJ$1&lt;&gt;"",INDEX(Base!$R$1:$R$4000,$E93+BJ$1+2),"")</f>
        <v>0</v>
      </c>
      <c r="BK93">
        <f>IF(BK$1&lt;&gt;"",INDEX(Base!$R$1:$R$4000,$E93+BK$1+2),"")</f>
        <v>0</v>
      </c>
      <c r="BL93">
        <f>IF(BL$1&lt;&gt;"",INDEX(Base!$R$1:$R$4000,$E93+BL$1+2),"")</f>
        <v>0</v>
      </c>
      <c r="BM93">
        <f>IF(BM$1&lt;&gt;"",INDEX(Base!$R$1:$R$4000,$E93+BM$1+2),"")</f>
        <v>0</v>
      </c>
      <c r="BN93">
        <f>IF(BN$1&lt;&gt;"",INDEX(Base!$R$1:$R$4000,$E93+BN$1+2),"")</f>
        <v>0</v>
      </c>
      <c r="BO93">
        <f>IF(BO$1&lt;&gt;"",INDEX(Base!$R$1:$R$4000,$E93+BO$1+2),"")</f>
        <v>0</v>
      </c>
      <c r="BP93">
        <f>IF(BP$1&lt;&gt;"",INDEX(Base!$R$1:$R$4000,$E93+BP$1+2),"")</f>
        <v>0</v>
      </c>
      <c r="BQ93">
        <f>IF(BQ$1&lt;&gt;"",INDEX(Base!$R$1:$R$4000,$E93+BQ$1+2),"")</f>
        <v>0</v>
      </c>
      <c r="BR93">
        <f>IF(BR$1&lt;&gt;"",INDEX(Base!$R$1:$R$4000,$E93+BR$1+2),"")</f>
        <v>0</v>
      </c>
      <c r="BS93">
        <f>IF(BS$1&lt;&gt;"",INDEX(Base!$R$1:$R$4000,$E93+BS$1+2),"")</f>
        <v>0</v>
      </c>
      <c r="BT93">
        <f>IF(BT$1&lt;&gt;"",INDEX(Base!$R$1:$R$4000,$E93+BT$1+2),"")</f>
        <v>0</v>
      </c>
    </row>
    <row r="94" spans="1:72" x14ac:dyDescent="0.3">
      <c r="A94" s="2">
        <f t="shared" si="7"/>
        <v>4009</v>
      </c>
      <c r="B94" s="3" t="str">
        <f>IFERROR(MID(INDEX(Base!A$1:A$5000,Calcoli!A94),47,LEN(INDEX(Base!A$1:A$5000,Calcoli!A94))-41),"")</f>
        <v/>
      </c>
      <c r="C94" s="5" t="str">
        <f>MID(INDEX(Base!A$1:A$5000,Calcoli!A94),42,4)</f>
        <v/>
      </c>
      <c r="D94" s="5" t="str">
        <f>MID(INDEX(Base!A$1:A$5000,Calcoli!A94),13,11)</f>
        <v/>
      </c>
      <c r="E94" s="4">
        <f t="shared" si="6"/>
        <v>2826</v>
      </c>
      <c r="F94" s="3" t="str">
        <f>IFERROR(MID(INDEX(Base!L$1:L$4000,Calcoli!E94),47,LEN(INDEX(Base!L$1:L$4000,Calcoli!E94))-41),"")</f>
        <v/>
      </c>
      <c r="G94" s="5" t="str">
        <f>MID(INDEX(Base!L$1:L$4000,Calcoli!$E94),42,4)</f>
        <v/>
      </c>
      <c r="H94" s="5" t="str">
        <f>MID(INDEX(Base!L$1:L$4000,Calcoli!E94),13,11)</f>
        <v/>
      </c>
      <c r="I94" s="6" t="str">
        <f xml:space="preserve"> IFERROR(MID(INDEX(Base!$V$3:$AB$60,MATCH($F94,Base!$Z$3:$Z$160,0),1),1,14),"")</f>
        <v/>
      </c>
      <c r="J94" s="6" t="str">
        <f xml:space="preserve"> IFERROR(INDEX(Base!$V$3:$AB$160,MATCH($F94,Base!$Z$3:$Z$160,0),2),"")</f>
        <v/>
      </c>
      <c r="K94" s="6" t="str">
        <f xml:space="preserve"> IFERROR(INDEX(Base!$V$3:$AB$160,MATCH($F94,Base!$Z$3:$Z$160,0),3),"")</f>
        <v/>
      </c>
      <c r="L94" s="28" t="str">
        <f xml:space="preserve"> IFERROR(INDEX(Base!$V$3:$AB$160,MATCH($F94,Base!$Z$3:$Z$160,0),4),"")</f>
        <v/>
      </c>
      <c r="M94">
        <f>IF(M$1&lt;&gt;"",INDEX(Base!$G$1:$G$5000,$A94+M$1+2),"")</f>
        <v>0</v>
      </c>
      <c r="N94">
        <f>IF(N$1&lt;&gt;"",INDEX(Base!$G$1:$G$5000,$A94+N$1+2),"")</f>
        <v>0</v>
      </c>
      <c r="O94">
        <f>IF(O$1&lt;&gt;"",INDEX(Base!$G$1:$G$5000,$A94+O$1+2),"")</f>
        <v>0</v>
      </c>
      <c r="P94">
        <f>IF(P$1&lt;&gt;"",INDEX(Base!$G$1:$G$5000,$A94+P$1+2),"")</f>
        <v>0</v>
      </c>
      <c r="Q94">
        <f>IF(Q$1&lt;&gt;"",INDEX(Base!$G$1:$G$5000,$A94+Q$1+2),"")</f>
        <v>0</v>
      </c>
      <c r="R94">
        <f>IF(R$1&lt;&gt;"",INDEX(Base!$G$1:$G$5000,$A94+R$1+2),"")</f>
        <v>0</v>
      </c>
      <c r="S94">
        <f>IF(S$1&lt;&gt;"",INDEX(Base!$G$1:$G$5000,$A94+S$1+2),"")</f>
        <v>0</v>
      </c>
      <c r="T94">
        <f>IF(T$1&lt;&gt;"",INDEX(Base!$G$1:$G$5000,$A94+T$1+2),"")</f>
        <v>0</v>
      </c>
      <c r="U94">
        <f>IF(U$1&lt;&gt;"",INDEX(Base!$G$1:$G$5000,$A94+U$1+2),"")</f>
        <v>0</v>
      </c>
      <c r="V94">
        <f>IF(V$1&lt;&gt;"",INDEX(Base!$G$1:$G$5000,$A94+V$1+2),"")</f>
        <v>0</v>
      </c>
      <c r="W94">
        <f>IF(W$1&lt;&gt;"",INDEX(Base!$G$1:$G$5000,$A94+W$1+2),"")</f>
        <v>0</v>
      </c>
      <c r="X94">
        <f>IF(X$1&lt;&gt;"",INDEX(Base!$G$1:$G$5000,$A94+X$1+2),"")</f>
        <v>0</v>
      </c>
      <c r="Y94">
        <f>IF(Y$1&lt;&gt;"",INDEX(Base!$G$1:$G$5000,$A94+Y$1+2),"")</f>
        <v>0</v>
      </c>
      <c r="Z94">
        <f>IF(Z$1&lt;&gt;"",INDEX(Base!$G$1:$G$5000,$A94+Z$1+2),"")</f>
        <v>0</v>
      </c>
      <c r="AA94">
        <f>IF(AA$1&lt;&gt;"",INDEX(Base!$G$1:$G$5000,$A94+AA$1+2),"")</f>
        <v>0</v>
      </c>
      <c r="AB94">
        <f>IF(AB$1&lt;&gt;"",INDEX(Base!$G$1:$G$5000,$A94+AB$1+2),"")</f>
        <v>0</v>
      </c>
      <c r="AC94">
        <f>IF(AC$1&lt;&gt;"",INDEX(Base!$G$1:$G$5000,$A94+AC$1+2),"")</f>
        <v>0</v>
      </c>
      <c r="AD94">
        <f>IF(AD$1&lt;&gt;"",INDEX(Base!$G$1:$G$5000,$A94+AD$1+2),"")</f>
        <v>0</v>
      </c>
      <c r="AE94">
        <f>IF(AE$1&lt;&gt;"",INDEX(Base!$G$1:$G$5000,$A94+AE$1+2),"")</f>
        <v>0</v>
      </c>
      <c r="AF94">
        <f>IF(AF$1&lt;&gt;"",INDEX(Base!$G$1:$G$5000,$A94+AF$1+2),"")</f>
        <v>0</v>
      </c>
      <c r="AG94">
        <f>IF(AG$1&lt;&gt;"",INDEX(Base!$G$1:$G$5000,$A94+AG$1+2),"")</f>
        <v>0</v>
      </c>
      <c r="AH94">
        <f>IF(AH$1&lt;&gt;"",INDEX(Base!$G$1:$G$5000,$A94+AH$1+2),"")</f>
        <v>0</v>
      </c>
      <c r="AI94">
        <f>IF(AI$1&lt;&gt;"",INDEX(Base!$G$1:$G$5000,$A94+AI$1+2),"")</f>
        <v>0</v>
      </c>
      <c r="AJ94">
        <f>IF(AJ$1&lt;&gt;"",INDEX(Base!$G$1:$G$5000,$A94+AJ$1+2),"")</f>
        <v>0</v>
      </c>
      <c r="AK94">
        <f>IF(AK$1&lt;&gt;"",INDEX(Base!$G$1:$G$5000,$A94+AK$1+2),"")</f>
        <v>0</v>
      </c>
      <c r="AL94">
        <f>IF(AL$1&lt;&gt;"",INDEX(Base!$G$1:$G$5000,$A94+AL$1+2),"")</f>
        <v>0</v>
      </c>
      <c r="AM94">
        <f>IF(AM$1&lt;&gt;"",INDEX(Base!$G$1:$G$5000,$A94+AM$1+2),"")</f>
        <v>0</v>
      </c>
      <c r="AN94">
        <f>IF(AN$1&lt;&gt;"",INDEX(Base!$G$1:$G$5000,$A94+AN$1+2),"")</f>
        <v>0</v>
      </c>
      <c r="AO94">
        <f>IF(AO$1&lt;&gt;"",INDEX(Base!$G$1:$G$5000,$A94+AO$1+2),"")</f>
        <v>0</v>
      </c>
      <c r="AP94">
        <f>IF(AP$1&lt;&gt;"",INDEX(Base!$G$1:$G$5000,$A94+AP$1+2),"")</f>
        <v>0</v>
      </c>
      <c r="AQ94">
        <f>IF(AQ$1&lt;&gt;"",INDEX(Base!$G$1:$G$5000,$A94+AQ$1+2),"")</f>
        <v>0</v>
      </c>
      <c r="AR94">
        <f>IF(AR$1&lt;&gt;"",INDEX(Base!$G$1:$G$5000,$A94+AR$1+2),"")</f>
        <v>0</v>
      </c>
      <c r="AS94">
        <f>IF(AS$1&lt;&gt;"",INDEX(Base!$G$1:$G$5000,$A94+AS$1+2),"")</f>
        <v>0</v>
      </c>
      <c r="AT94">
        <f>IF(AT$1&lt;&gt;"",INDEX(Base!$G$1:$G$5000,$A94+AT$1+2),"")</f>
        <v>0</v>
      </c>
      <c r="AU94">
        <f>IF(AU$1&lt;&gt;"",INDEX(Base!$G$1:$G$5000,$A94+AU$1+2),"")</f>
        <v>0</v>
      </c>
      <c r="AV94">
        <f>IF(AV$1&lt;&gt;"",INDEX(Base!$G$1:$G$5000,$A94+AV$1+2),"")</f>
        <v>0</v>
      </c>
      <c r="AW94" s="8">
        <f t="shared" si="5"/>
        <v>0</v>
      </c>
      <c r="AX94">
        <f>IF(AX$1&lt;&gt;"",INDEX(Base!$R$1:$R$4000,$E94+AX$1+2),"")</f>
        <v>0</v>
      </c>
      <c r="AY94">
        <f>IF(AY$1&lt;&gt;"",INDEX(Base!$R$1:$R$4000,$E94+AY$1+2),"")</f>
        <v>0</v>
      </c>
      <c r="AZ94">
        <f>IF(AZ$1&lt;&gt;"",INDEX(Base!$R$1:$R$4000,$E94+AZ$1+2),"")</f>
        <v>0</v>
      </c>
      <c r="BA94">
        <f>IF(BA$1&lt;&gt;"",INDEX(Base!$R$1:$R$4000,$E94+BA$1+2),"")</f>
        <v>0</v>
      </c>
      <c r="BB94">
        <f>IF(BB$1&lt;&gt;"",INDEX(Base!$R$1:$R$4000,$E94+BB$1+2),"")</f>
        <v>0</v>
      </c>
      <c r="BC94">
        <f>IF(BC$1&lt;&gt;"",INDEX(Base!$R$1:$R$4000,$E94+BC$1+2),"")</f>
        <v>0</v>
      </c>
      <c r="BD94">
        <f>IF(BD$1&lt;&gt;"",INDEX(Base!$R$1:$R$4000,$E94+BD$1+2),"")</f>
        <v>0</v>
      </c>
      <c r="BE94">
        <f>IF(BE$1&lt;&gt;"",INDEX(Base!$R$1:$R$4000,$E94+BE$1+2),"")</f>
        <v>0</v>
      </c>
      <c r="BF94">
        <f>IF(BF$1&lt;&gt;"",INDEX(Base!$R$1:$R$4000,$E94+BF$1+2),"")</f>
        <v>0</v>
      </c>
      <c r="BG94">
        <f>IF(BG$1&lt;&gt;"",INDEX(Base!$R$1:$R$4000,$E94+BG$1+2),"")</f>
        <v>0</v>
      </c>
      <c r="BH94">
        <f>IF(BH$1&lt;&gt;"",INDEX(Base!$R$1:$R$4000,$E94+BH$1+2),"")</f>
        <v>0</v>
      </c>
      <c r="BI94">
        <f>IF(BI$1&lt;&gt;"",INDEX(Base!$R$1:$R$4000,$E94+BI$1+2),"")</f>
        <v>0</v>
      </c>
      <c r="BJ94">
        <f>IF(BJ$1&lt;&gt;"",INDEX(Base!$R$1:$R$4000,$E94+BJ$1+2),"")</f>
        <v>0</v>
      </c>
      <c r="BK94">
        <f>IF(BK$1&lt;&gt;"",INDEX(Base!$R$1:$R$4000,$E94+BK$1+2),"")</f>
        <v>0</v>
      </c>
      <c r="BL94">
        <f>IF(BL$1&lt;&gt;"",INDEX(Base!$R$1:$R$4000,$E94+BL$1+2),"")</f>
        <v>0</v>
      </c>
      <c r="BM94">
        <f>IF(BM$1&lt;&gt;"",INDEX(Base!$R$1:$R$4000,$E94+BM$1+2),"")</f>
        <v>0</v>
      </c>
      <c r="BN94">
        <f>IF(BN$1&lt;&gt;"",INDEX(Base!$R$1:$R$4000,$E94+BN$1+2),"")</f>
        <v>0</v>
      </c>
      <c r="BO94">
        <f>IF(BO$1&lt;&gt;"",INDEX(Base!$R$1:$R$4000,$E94+BO$1+2),"")</f>
        <v>0</v>
      </c>
      <c r="BP94">
        <f>IF(BP$1&lt;&gt;"",INDEX(Base!$R$1:$R$4000,$E94+BP$1+2),"")</f>
        <v>0</v>
      </c>
      <c r="BQ94">
        <f>IF(BQ$1&lt;&gt;"",INDEX(Base!$R$1:$R$4000,$E94+BQ$1+2),"")</f>
        <v>0</v>
      </c>
      <c r="BR94">
        <f>IF(BR$1&lt;&gt;"",INDEX(Base!$R$1:$R$4000,$E94+BR$1+2),"")</f>
        <v>0</v>
      </c>
      <c r="BS94">
        <f>IF(BS$1&lt;&gt;"",INDEX(Base!$R$1:$R$4000,$E94+BS$1+2),"")</f>
        <v>0</v>
      </c>
      <c r="BT94">
        <f>IF(BT$1&lt;&gt;"",INDEX(Base!$R$1:$R$4000,$E94+BT$1+2),"")</f>
        <v>0</v>
      </c>
    </row>
    <row r="95" spans="1:72" x14ac:dyDescent="0.3">
      <c r="A95" s="2">
        <f t="shared" si="7"/>
        <v>4053</v>
      </c>
      <c r="B95" s="3" t="str">
        <f>IFERROR(MID(INDEX(Base!A$1:A$5000,Calcoli!A95),47,LEN(INDEX(Base!A$1:A$5000,Calcoli!A95))-41),"")</f>
        <v/>
      </c>
      <c r="C95" s="5" t="str">
        <f>MID(INDEX(Base!A$1:A$5000,Calcoli!A95),42,4)</f>
        <v/>
      </c>
      <c r="D95" s="5" t="str">
        <f>MID(INDEX(Base!A$1:A$5000,Calcoli!A95),13,11)</f>
        <v/>
      </c>
      <c r="E95" s="4">
        <f t="shared" si="6"/>
        <v>2857</v>
      </c>
      <c r="F95" s="3" t="str">
        <f>IFERROR(MID(INDEX(Base!L$1:L$4000,Calcoli!E95),47,LEN(INDEX(Base!L$1:L$4000,Calcoli!E95))-41),"")</f>
        <v/>
      </c>
      <c r="G95" s="5" t="str">
        <f>MID(INDEX(Base!L$1:L$4000,Calcoli!$E95),42,4)</f>
        <v/>
      </c>
      <c r="H95" s="5" t="str">
        <f>MID(INDEX(Base!L$1:L$4000,Calcoli!E95),13,11)</f>
        <v/>
      </c>
      <c r="I95" s="6" t="str">
        <f xml:space="preserve"> IFERROR(MID(INDEX(Base!$V$3:$AB$60,MATCH($F95,Base!$Z$3:$Z$160,0),1),1,14),"")</f>
        <v/>
      </c>
      <c r="J95" s="6" t="str">
        <f xml:space="preserve"> IFERROR(INDEX(Base!$V$3:$AB$160,MATCH($F95,Base!$Z$3:$Z$160,0),2),"")</f>
        <v/>
      </c>
      <c r="K95" s="6" t="str">
        <f xml:space="preserve"> IFERROR(INDEX(Base!$V$3:$AB$160,MATCH($F95,Base!$Z$3:$Z$160,0),3),"")</f>
        <v/>
      </c>
      <c r="L95" s="28" t="str">
        <f xml:space="preserve"> IFERROR(INDEX(Base!$V$3:$AB$160,MATCH($F95,Base!$Z$3:$Z$160,0),4),"")</f>
        <v/>
      </c>
      <c r="M95">
        <f>IF(M$1&lt;&gt;"",INDEX(Base!$G$1:$G$5000,$A95+M$1+2),"")</f>
        <v>0</v>
      </c>
      <c r="N95">
        <f>IF(N$1&lt;&gt;"",INDEX(Base!$G$1:$G$5000,$A95+N$1+2),"")</f>
        <v>0</v>
      </c>
      <c r="O95">
        <f>IF(O$1&lt;&gt;"",INDEX(Base!$G$1:$G$5000,$A95+O$1+2),"")</f>
        <v>0</v>
      </c>
      <c r="P95">
        <f>IF(P$1&lt;&gt;"",INDEX(Base!$G$1:$G$5000,$A95+P$1+2),"")</f>
        <v>0</v>
      </c>
      <c r="Q95">
        <f>IF(Q$1&lt;&gt;"",INDEX(Base!$G$1:$G$5000,$A95+Q$1+2),"")</f>
        <v>0</v>
      </c>
      <c r="R95">
        <f>IF(R$1&lt;&gt;"",INDEX(Base!$G$1:$G$5000,$A95+R$1+2),"")</f>
        <v>0</v>
      </c>
      <c r="S95">
        <f>IF(S$1&lt;&gt;"",INDEX(Base!$G$1:$G$5000,$A95+S$1+2),"")</f>
        <v>0</v>
      </c>
      <c r="T95">
        <f>IF(T$1&lt;&gt;"",INDEX(Base!$G$1:$G$5000,$A95+T$1+2),"")</f>
        <v>0</v>
      </c>
      <c r="U95">
        <f>IF(U$1&lt;&gt;"",INDEX(Base!$G$1:$G$5000,$A95+U$1+2),"")</f>
        <v>0</v>
      </c>
      <c r="V95">
        <f>IF(V$1&lt;&gt;"",INDEX(Base!$G$1:$G$5000,$A95+V$1+2),"")</f>
        <v>0</v>
      </c>
      <c r="W95">
        <f>IF(W$1&lt;&gt;"",INDEX(Base!$G$1:$G$5000,$A95+W$1+2),"")</f>
        <v>0</v>
      </c>
      <c r="X95">
        <f>IF(X$1&lt;&gt;"",INDEX(Base!$G$1:$G$5000,$A95+X$1+2),"")</f>
        <v>0</v>
      </c>
      <c r="Y95">
        <f>IF(Y$1&lt;&gt;"",INDEX(Base!$G$1:$G$5000,$A95+Y$1+2),"")</f>
        <v>0</v>
      </c>
      <c r="Z95">
        <f>IF(Z$1&lt;&gt;"",INDEX(Base!$G$1:$G$5000,$A95+Z$1+2),"")</f>
        <v>0</v>
      </c>
      <c r="AA95">
        <f>IF(AA$1&lt;&gt;"",INDEX(Base!$G$1:$G$5000,$A95+AA$1+2),"")</f>
        <v>0</v>
      </c>
      <c r="AB95">
        <f>IF(AB$1&lt;&gt;"",INDEX(Base!$G$1:$G$5000,$A95+AB$1+2),"")</f>
        <v>0</v>
      </c>
      <c r="AC95">
        <f>IF(AC$1&lt;&gt;"",INDEX(Base!$G$1:$G$5000,$A95+AC$1+2),"")</f>
        <v>0</v>
      </c>
      <c r="AD95">
        <f>IF(AD$1&lt;&gt;"",INDEX(Base!$G$1:$G$5000,$A95+AD$1+2),"")</f>
        <v>0</v>
      </c>
      <c r="AE95">
        <f>IF(AE$1&lt;&gt;"",INDEX(Base!$G$1:$G$5000,$A95+AE$1+2),"")</f>
        <v>0</v>
      </c>
      <c r="AF95">
        <f>IF(AF$1&lt;&gt;"",INDEX(Base!$G$1:$G$5000,$A95+AF$1+2),"")</f>
        <v>0</v>
      </c>
      <c r="AG95">
        <f>IF(AG$1&lt;&gt;"",INDEX(Base!$G$1:$G$5000,$A95+AG$1+2),"")</f>
        <v>0</v>
      </c>
      <c r="AH95">
        <f>IF(AH$1&lt;&gt;"",INDEX(Base!$G$1:$G$5000,$A95+AH$1+2),"")</f>
        <v>0</v>
      </c>
      <c r="AI95">
        <f>IF(AI$1&lt;&gt;"",INDEX(Base!$G$1:$G$5000,$A95+AI$1+2),"")</f>
        <v>0</v>
      </c>
      <c r="AJ95">
        <f>IF(AJ$1&lt;&gt;"",INDEX(Base!$G$1:$G$5000,$A95+AJ$1+2),"")</f>
        <v>0</v>
      </c>
      <c r="AK95">
        <f>IF(AK$1&lt;&gt;"",INDEX(Base!$G$1:$G$5000,$A95+AK$1+2),"")</f>
        <v>0</v>
      </c>
      <c r="AL95">
        <f>IF(AL$1&lt;&gt;"",INDEX(Base!$G$1:$G$5000,$A95+AL$1+2),"")</f>
        <v>0</v>
      </c>
      <c r="AM95">
        <f>IF(AM$1&lt;&gt;"",INDEX(Base!$G$1:$G$5000,$A95+AM$1+2),"")</f>
        <v>0</v>
      </c>
      <c r="AN95">
        <f>IF(AN$1&lt;&gt;"",INDEX(Base!$G$1:$G$5000,$A95+AN$1+2),"")</f>
        <v>0</v>
      </c>
      <c r="AO95">
        <f>IF(AO$1&lt;&gt;"",INDEX(Base!$G$1:$G$5000,$A95+AO$1+2),"")</f>
        <v>0</v>
      </c>
      <c r="AP95">
        <f>IF(AP$1&lt;&gt;"",INDEX(Base!$G$1:$G$5000,$A95+AP$1+2),"")</f>
        <v>0</v>
      </c>
      <c r="AQ95">
        <f>IF(AQ$1&lt;&gt;"",INDEX(Base!$G$1:$G$5000,$A95+AQ$1+2),"")</f>
        <v>0</v>
      </c>
      <c r="AR95">
        <f>IF(AR$1&lt;&gt;"",INDEX(Base!$G$1:$G$5000,$A95+AR$1+2),"")</f>
        <v>0</v>
      </c>
      <c r="AS95">
        <f>IF(AS$1&lt;&gt;"",INDEX(Base!$G$1:$G$5000,$A95+AS$1+2),"")</f>
        <v>0</v>
      </c>
      <c r="AT95">
        <f>IF(AT$1&lt;&gt;"",INDEX(Base!$G$1:$G$5000,$A95+AT$1+2),"")</f>
        <v>0</v>
      </c>
      <c r="AU95">
        <f>IF(AU$1&lt;&gt;"",INDEX(Base!$G$1:$G$5000,$A95+AU$1+2),"")</f>
        <v>0</v>
      </c>
      <c r="AV95">
        <f>IF(AV$1&lt;&gt;"",INDEX(Base!$G$1:$G$5000,$A95+AV$1+2),"")</f>
        <v>0</v>
      </c>
      <c r="AW95" s="8">
        <f t="shared" si="5"/>
        <v>0</v>
      </c>
      <c r="AX95">
        <f>IF(AX$1&lt;&gt;"",INDEX(Base!$R$1:$R$4000,$E95+AX$1+2),"")</f>
        <v>0</v>
      </c>
      <c r="AY95">
        <f>IF(AY$1&lt;&gt;"",INDEX(Base!$R$1:$R$4000,$E95+AY$1+2),"")</f>
        <v>0</v>
      </c>
      <c r="AZ95">
        <f>IF(AZ$1&lt;&gt;"",INDEX(Base!$R$1:$R$4000,$E95+AZ$1+2),"")</f>
        <v>0</v>
      </c>
      <c r="BA95">
        <f>IF(BA$1&lt;&gt;"",INDEX(Base!$R$1:$R$4000,$E95+BA$1+2),"")</f>
        <v>0</v>
      </c>
      <c r="BB95">
        <f>IF(BB$1&lt;&gt;"",INDEX(Base!$R$1:$R$4000,$E95+BB$1+2),"")</f>
        <v>0</v>
      </c>
      <c r="BC95">
        <f>IF(BC$1&lt;&gt;"",INDEX(Base!$R$1:$R$4000,$E95+BC$1+2),"")</f>
        <v>0</v>
      </c>
      <c r="BD95">
        <f>IF(BD$1&lt;&gt;"",INDEX(Base!$R$1:$R$4000,$E95+BD$1+2),"")</f>
        <v>0</v>
      </c>
      <c r="BE95">
        <f>IF(BE$1&lt;&gt;"",INDEX(Base!$R$1:$R$4000,$E95+BE$1+2),"")</f>
        <v>0</v>
      </c>
      <c r="BF95">
        <f>IF(BF$1&lt;&gt;"",INDEX(Base!$R$1:$R$4000,$E95+BF$1+2),"")</f>
        <v>0</v>
      </c>
      <c r="BG95">
        <f>IF(BG$1&lt;&gt;"",INDEX(Base!$R$1:$R$4000,$E95+BG$1+2),"")</f>
        <v>0</v>
      </c>
      <c r="BH95">
        <f>IF(BH$1&lt;&gt;"",INDEX(Base!$R$1:$R$4000,$E95+BH$1+2),"")</f>
        <v>0</v>
      </c>
      <c r="BI95">
        <f>IF(BI$1&lt;&gt;"",INDEX(Base!$R$1:$R$4000,$E95+BI$1+2),"")</f>
        <v>0</v>
      </c>
      <c r="BJ95">
        <f>IF(BJ$1&lt;&gt;"",INDEX(Base!$R$1:$R$4000,$E95+BJ$1+2),"")</f>
        <v>0</v>
      </c>
      <c r="BK95">
        <f>IF(BK$1&lt;&gt;"",INDEX(Base!$R$1:$R$4000,$E95+BK$1+2),"")</f>
        <v>0</v>
      </c>
      <c r="BL95">
        <f>IF(BL$1&lt;&gt;"",INDEX(Base!$R$1:$R$4000,$E95+BL$1+2),"")</f>
        <v>0</v>
      </c>
      <c r="BM95">
        <f>IF(BM$1&lt;&gt;"",INDEX(Base!$R$1:$R$4000,$E95+BM$1+2),"")</f>
        <v>0</v>
      </c>
      <c r="BN95">
        <f>IF(BN$1&lt;&gt;"",INDEX(Base!$R$1:$R$4000,$E95+BN$1+2),"")</f>
        <v>0</v>
      </c>
      <c r="BO95">
        <f>IF(BO$1&lt;&gt;"",INDEX(Base!$R$1:$R$4000,$E95+BO$1+2),"")</f>
        <v>0</v>
      </c>
      <c r="BP95">
        <f>IF(BP$1&lt;&gt;"",INDEX(Base!$R$1:$R$4000,$E95+BP$1+2),"")</f>
        <v>0</v>
      </c>
      <c r="BQ95">
        <f>IF(BQ$1&lt;&gt;"",INDEX(Base!$R$1:$R$4000,$E95+BQ$1+2),"")</f>
        <v>0</v>
      </c>
      <c r="BR95">
        <f>IF(BR$1&lt;&gt;"",INDEX(Base!$R$1:$R$4000,$E95+BR$1+2),"")</f>
        <v>0</v>
      </c>
      <c r="BS95">
        <f>IF(BS$1&lt;&gt;"",INDEX(Base!$R$1:$R$4000,$E95+BS$1+2),"")</f>
        <v>0</v>
      </c>
      <c r="BT95">
        <f>IF(BT$1&lt;&gt;"",INDEX(Base!$R$1:$R$4000,$E95+BT$1+2),"")</f>
        <v>0</v>
      </c>
    </row>
    <row r="96" spans="1:72" x14ac:dyDescent="0.3">
      <c r="A96" s="2">
        <f t="shared" si="7"/>
        <v>4097</v>
      </c>
      <c r="B96" s="3" t="str">
        <f>IFERROR(MID(INDEX(Base!A$1:A$5000,Calcoli!A96),47,LEN(INDEX(Base!A$1:A$5000,Calcoli!A96))-41),"")</f>
        <v/>
      </c>
      <c r="C96" s="5" t="str">
        <f>MID(INDEX(Base!A$1:A$5000,Calcoli!A96),42,4)</f>
        <v/>
      </c>
      <c r="D96" s="5" t="str">
        <f>MID(INDEX(Base!A$1:A$5000,Calcoli!A96),13,11)</f>
        <v/>
      </c>
      <c r="E96" s="4">
        <f t="shared" si="6"/>
        <v>2888</v>
      </c>
      <c r="F96" s="3" t="str">
        <f>IFERROR(MID(INDEX(Base!L$1:L$4000,Calcoli!E96),47,LEN(INDEX(Base!L$1:L$4000,Calcoli!E96))-41),"")</f>
        <v/>
      </c>
      <c r="G96" s="5" t="str">
        <f>MID(INDEX(Base!L$1:L$4000,Calcoli!$E96),42,4)</f>
        <v/>
      </c>
      <c r="H96" s="5" t="str">
        <f>MID(INDEX(Base!L$1:L$4000,Calcoli!E96),13,11)</f>
        <v/>
      </c>
      <c r="I96" s="6" t="str">
        <f xml:space="preserve"> IFERROR(MID(INDEX(Base!$V$3:$AB$60,MATCH($F96,Base!$Z$3:$Z$160,0),1),1,14),"")</f>
        <v/>
      </c>
      <c r="J96" s="6" t="str">
        <f xml:space="preserve"> IFERROR(INDEX(Base!$V$3:$AB$160,MATCH($F96,Base!$Z$3:$Z$160,0),2),"")</f>
        <v/>
      </c>
      <c r="K96" s="6" t="str">
        <f xml:space="preserve"> IFERROR(INDEX(Base!$V$3:$AB$160,MATCH($F96,Base!$Z$3:$Z$160,0),3),"")</f>
        <v/>
      </c>
      <c r="L96" s="28" t="str">
        <f xml:space="preserve"> IFERROR(INDEX(Base!$V$3:$AB$160,MATCH($F96,Base!$Z$3:$Z$160,0),4),"")</f>
        <v/>
      </c>
      <c r="M96">
        <f>IF(M$1&lt;&gt;"",INDEX(Base!$G$1:$G$5000,$A96+M$1+2),"")</f>
        <v>0</v>
      </c>
      <c r="N96">
        <f>IF(N$1&lt;&gt;"",INDEX(Base!$G$1:$G$5000,$A96+N$1+2),"")</f>
        <v>0</v>
      </c>
      <c r="O96">
        <f>IF(O$1&lt;&gt;"",INDEX(Base!$G$1:$G$5000,$A96+O$1+2),"")</f>
        <v>0</v>
      </c>
      <c r="P96">
        <f>IF(P$1&lt;&gt;"",INDEX(Base!$G$1:$G$5000,$A96+P$1+2),"")</f>
        <v>0</v>
      </c>
      <c r="Q96">
        <f>IF(Q$1&lt;&gt;"",INDEX(Base!$G$1:$G$5000,$A96+Q$1+2),"")</f>
        <v>0</v>
      </c>
      <c r="R96">
        <f>IF(R$1&lt;&gt;"",INDEX(Base!$G$1:$G$5000,$A96+R$1+2),"")</f>
        <v>0</v>
      </c>
      <c r="S96">
        <f>IF(S$1&lt;&gt;"",INDEX(Base!$G$1:$G$5000,$A96+S$1+2),"")</f>
        <v>0</v>
      </c>
      <c r="T96">
        <f>IF(T$1&lt;&gt;"",INDEX(Base!$G$1:$G$5000,$A96+T$1+2),"")</f>
        <v>0</v>
      </c>
      <c r="U96">
        <f>IF(U$1&lt;&gt;"",INDEX(Base!$G$1:$G$5000,$A96+U$1+2),"")</f>
        <v>0</v>
      </c>
      <c r="V96">
        <f>IF(V$1&lt;&gt;"",INDEX(Base!$G$1:$G$5000,$A96+V$1+2),"")</f>
        <v>0</v>
      </c>
      <c r="W96">
        <f>IF(W$1&lt;&gt;"",INDEX(Base!$G$1:$G$5000,$A96+W$1+2),"")</f>
        <v>0</v>
      </c>
      <c r="X96">
        <f>IF(X$1&lt;&gt;"",INDEX(Base!$G$1:$G$5000,$A96+X$1+2),"")</f>
        <v>0</v>
      </c>
      <c r="Y96">
        <f>IF(Y$1&lt;&gt;"",INDEX(Base!$G$1:$G$5000,$A96+Y$1+2),"")</f>
        <v>0</v>
      </c>
      <c r="Z96">
        <f>IF(Z$1&lt;&gt;"",INDEX(Base!$G$1:$G$5000,$A96+Z$1+2),"")</f>
        <v>0</v>
      </c>
      <c r="AA96">
        <f>IF(AA$1&lt;&gt;"",INDEX(Base!$G$1:$G$5000,$A96+AA$1+2),"")</f>
        <v>0</v>
      </c>
      <c r="AB96">
        <f>IF(AB$1&lt;&gt;"",INDEX(Base!$G$1:$G$5000,$A96+AB$1+2),"")</f>
        <v>0</v>
      </c>
      <c r="AC96">
        <f>IF(AC$1&lt;&gt;"",INDEX(Base!$G$1:$G$5000,$A96+AC$1+2),"")</f>
        <v>0</v>
      </c>
      <c r="AD96">
        <f>IF(AD$1&lt;&gt;"",INDEX(Base!$G$1:$G$5000,$A96+AD$1+2),"")</f>
        <v>0</v>
      </c>
      <c r="AE96">
        <f>IF(AE$1&lt;&gt;"",INDEX(Base!$G$1:$G$5000,$A96+AE$1+2),"")</f>
        <v>0</v>
      </c>
      <c r="AF96">
        <f>IF(AF$1&lt;&gt;"",INDEX(Base!$G$1:$G$5000,$A96+AF$1+2),"")</f>
        <v>0</v>
      </c>
      <c r="AG96">
        <f>IF(AG$1&lt;&gt;"",INDEX(Base!$G$1:$G$5000,$A96+AG$1+2),"")</f>
        <v>0</v>
      </c>
      <c r="AH96">
        <f>IF(AH$1&lt;&gt;"",INDEX(Base!$G$1:$G$5000,$A96+AH$1+2),"")</f>
        <v>0</v>
      </c>
      <c r="AI96">
        <f>IF(AI$1&lt;&gt;"",INDEX(Base!$G$1:$G$5000,$A96+AI$1+2),"")</f>
        <v>0</v>
      </c>
      <c r="AJ96">
        <f>IF(AJ$1&lt;&gt;"",INDEX(Base!$G$1:$G$5000,$A96+AJ$1+2),"")</f>
        <v>0</v>
      </c>
      <c r="AK96">
        <f>IF(AK$1&lt;&gt;"",INDEX(Base!$G$1:$G$5000,$A96+AK$1+2),"")</f>
        <v>0</v>
      </c>
      <c r="AL96">
        <f>IF(AL$1&lt;&gt;"",INDEX(Base!$G$1:$G$5000,$A96+AL$1+2),"")</f>
        <v>0</v>
      </c>
      <c r="AM96">
        <f>IF(AM$1&lt;&gt;"",INDEX(Base!$G$1:$G$5000,$A96+AM$1+2),"")</f>
        <v>0</v>
      </c>
      <c r="AN96">
        <f>IF(AN$1&lt;&gt;"",INDEX(Base!$G$1:$G$5000,$A96+AN$1+2),"")</f>
        <v>0</v>
      </c>
      <c r="AO96">
        <f>IF(AO$1&lt;&gt;"",INDEX(Base!$G$1:$G$5000,$A96+AO$1+2),"")</f>
        <v>0</v>
      </c>
      <c r="AP96">
        <f>IF(AP$1&lt;&gt;"",INDEX(Base!$G$1:$G$5000,$A96+AP$1+2),"")</f>
        <v>0</v>
      </c>
      <c r="AQ96">
        <f>IF(AQ$1&lt;&gt;"",INDEX(Base!$G$1:$G$5000,$A96+AQ$1+2),"")</f>
        <v>0</v>
      </c>
      <c r="AR96">
        <f>IF(AR$1&lt;&gt;"",INDEX(Base!$G$1:$G$5000,$A96+AR$1+2),"")</f>
        <v>0</v>
      </c>
      <c r="AS96">
        <f>IF(AS$1&lt;&gt;"",INDEX(Base!$G$1:$G$5000,$A96+AS$1+2),"")</f>
        <v>0</v>
      </c>
      <c r="AT96">
        <f>IF(AT$1&lt;&gt;"",INDEX(Base!$G$1:$G$5000,$A96+AT$1+2),"")</f>
        <v>0</v>
      </c>
      <c r="AU96">
        <f>IF(AU$1&lt;&gt;"",INDEX(Base!$G$1:$G$5000,$A96+AU$1+2),"")</f>
        <v>0</v>
      </c>
      <c r="AV96">
        <f>IF(AV$1&lt;&gt;"",INDEX(Base!$G$1:$G$5000,$A96+AV$1+2),"")</f>
        <v>0</v>
      </c>
      <c r="AW96" s="8">
        <f t="shared" si="5"/>
        <v>0</v>
      </c>
      <c r="AX96">
        <f>IF(AX$1&lt;&gt;"",INDEX(Base!$R$1:$R$4000,$E96+AX$1+2),"")</f>
        <v>0</v>
      </c>
      <c r="AY96">
        <f>IF(AY$1&lt;&gt;"",INDEX(Base!$R$1:$R$4000,$E96+AY$1+2),"")</f>
        <v>0</v>
      </c>
      <c r="AZ96">
        <f>IF(AZ$1&lt;&gt;"",INDEX(Base!$R$1:$R$4000,$E96+AZ$1+2),"")</f>
        <v>0</v>
      </c>
      <c r="BA96">
        <f>IF(BA$1&lt;&gt;"",INDEX(Base!$R$1:$R$4000,$E96+BA$1+2),"")</f>
        <v>0</v>
      </c>
      <c r="BB96">
        <f>IF(BB$1&lt;&gt;"",INDEX(Base!$R$1:$R$4000,$E96+BB$1+2),"")</f>
        <v>0</v>
      </c>
      <c r="BC96">
        <f>IF(BC$1&lt;&gt;"",INDEX(Base!$R$1:$R$4000,$E96+BC$1+2),"")</f>
        <v>0</v>
      </c>
      <c r="BD96">
        <f>IF(BD$1&lt;&gt;"",INDEX(Base!$R$1:$R$4000,$E96+BD$1+2),"")</f>
        <v>0</v>
      </c>
      <c r="BE96">
        <f>IF(BE$1&lt;&gt;"",INDEX(Base!$R$1:$R$4000,$E96+BE$1+2),"")</f>
        <v>0</v>
      </c>
      <c r="BF96">
        <f>IF(BF$1&lt;&gt;"",INDEX(Base!$R$1:$R$4000,$E96+BF$1+2),"")</f>
        <v>0</v>
      </c>
      <c r="BG96">
        <f>IF(BG$1&lt;&gt;"",INDEX(Base!$R$1:$R$4000,$E96+BG$1+2),"")</f>
        <v>0</v>
      </c>
      <c r="BH96">
        <f>IF(BH$1&lt;&gt;"",INDEX(Base!$R$1:$R$4000,$E96+BH$1+2),"")</f>
        <v>0</v>
      </c>
      <c r="BI96">
        <f>IF(BI$1&lt;&gt;"",INDEX(Base!$R$1:$R$4000,$E96+BI$1+2),"")</f>
        <v>0</v>
      </c>
      <c r="BJ96">
        <f>IF(BJ$1&lt;&gt;"",INDEX(Base!$R$1:$R$4000,$E96+BJ$1+2),"")</f>
        <v>0</v>
      </c>
      <c r="BK96">
        <f>IF(BK$1&lt;&gt;"",INDEX(Base!$R$1:$R$4000,$E96+BK$1+2),"")</f>
        <v>0</v>
      </c>
      <c r="BL96">
        <f>IF(BL$1&lt;&gt;"",INDEX(Base!$R$1:$R$4000,$E96+BL$1+2),"")</f>
        <v>0</v>
      </c>
      <c r="BM96">
        <f>IF(BM$1&lt;&gt;"",INDEX(Base!$R$1:$R$4000,$E96+BM$1+2),"")</f>
        <v>0</v>
      </c>
      <c r="BN96">
        <f>IF(BN$1&lt;&gt;"",INDEX(Base!$R$1:$R$4000,$E96+BN$1+2),"")</f>
        <v>0</v>
      </c>
      <c r="BO96">
        <f>IF(BO$1&lt;&gt;"",INDEX(Base!$R$1:$R$4000,$E96+BO$1+2),"")</f>
        <v>0</v>
      </c>
      <c r="BP96">
        <f>IF(BP$1&lt;&gt;"",INDEX(Base!$R$1:$R$4000,$E96+BP$1+2),"")</f>
        <v>0</v>
      </c>
      <c r="BQ96">
        <f>IF(BQ$1&lt;&gt;"",INDEX(Base!$R$1:$R$4000,$E96+BQ$1+2),"")</f>
        <v>0</v>
      </c>
      <c r="BR96">
        <f>IF(BR$1&lt;&gt;"",INDEX(Base!$R$1:$R$4000,$E96+BR$1+2),"")</f>
        <v>0</v>
      </c>
      <c r="BS96">
        <f>IF(BS$1&lt;&gt;"",INDEX(Base!$R$1:$R$4000,$E96+BS$1+2),"")</f>
        <v>0</v>
      </c>
      <c r="BT96">
        <f>IF(BT$1&lt;&gt;"",INDEX(Base!$R$1:$R$4000,$E96+BT$1+2),"")</f>
        <v>0</v>
      </c>
    </row>
    <row r="97" spans="1:72" x14ac:dyDescent="0.3">
      <c r="A97" s="2">
        <f t="shared" si="7"/>
        <v>4141</v>
      </c>
      <c r="B97" s="3" t="str">
        <f>IFERROR(MID(INDEX(Base!A$1:A$5000,Calcoli!A97),47,LEN(INDEX(Base!A$1:A$5000,Calcoli!A97))-41),"")</f>
        <v/>
      </c>
      <c r="C97" s="5" t="str">
        <f>MID(INDEX(Base!A$1:A$5000,Calcoli!A97),42,4)</f>
        <v/>
      </c>
      <c r="D97" s="5" t="str">
        <f>MID(INDEX(Base!A$1:A$5000,Calcoli!A97),13,11)</f>
        <v/>
      </c>
      <c r="E97" s="4">
        <f t="shared" si="6"/>
        <v>2919</v>
      </c>
      <c r="F97" s="3" t="str">
        <f>IFERROR(MID(INDEX(Base!L$1:L$4000,Calcoli!E97),47,LEN(INDEX(Base!L$1:L$4000,Calcoli!E97))-41),"")</f>
        <v/>
      </c>
      <c r="G97" s="5" t="str">
        <f>MID(INDEX(Base!L$1:L$4000,Calcoli!$E97),42,4)</f>
        <v/>
      </c>
      <c r="H97" s="5" t="str">
        <f>MID(INDEX(Base!L$1:L$4000,Calcoli!E97),13,11)</f>
        <v/>
      </c>
      <c r="I97" s="6" t="str">
        <f xml:space="preserve"> IFERROR(MID(INDEX(Base!$V$3:$AB$60,MATCH($F97,Base!$Z$3:$Z$160,0),1),1,14),"")</f>
        <v/>
      </c>
      <c r="J97" s="6" t="str">
        <f xml:space="preserve"> IFERROR(INDEX(Base!$V$3:$AB$160,MATCH($F97,Base!$Z$3:$Z$160,0),2),"")</f>
        <v/>
      </c>
      <c r="K97" s="6" t="str">
        <f xml:space="preserve"> IFERROR(INDEX(Base!$V$3:$AB$160,MATCH($F97,Base!$Z$3:$Z$160,0),3),"")</f>
        <v/>
      </c>
      <c r="L97" s="28" t="str">
        <f xml:space="preserve"> IFERROR(INDEX(Base!$V$3:$AB$160,MATCH($F97,Base!$Z$3:$Z$160,0),4),"")</f>
        <v/>
      </c>
      <c r="M97">
        <f>IF(M$1&lt;&gt;"",INDEX(Base!$G$1:$G$5000,$A97+M$1+2),"")</f>
        <v>0</v>
      </c>
      <c r="N97">
        <f>IF(N$1&lt;&gt;"",INDEX(Base!$G$1:$G$5000,$A97+N$1+2),"")</f>
        <v>0</v>
      </c>
      <c r="O97">
        <f>IF(O$1&lt;&gt;"",INDEX(Base!$G$1:$G$5000,$A97+O$1+2),"")</f>
        <v>0</v>
      </c>
      <c r="P97">
        <f>IF(P$1&lt;&gt;"",INDEX(Base!$G$1:$G$5000,$A97+P$1+2),"")</f>
        <v>0</v>
      </c>
      <c r="Q97">
        <f>IF(Q$1&lt;&gt;"",INDEX(Base!$G$1:$G$5000,$A97+Q$1+2),"")</f>
        <v>0</v>
      </c>
      <c r="R97">
        <f>IF(R$1&lt;&gt;"",INDEX(Base!$G$1:$G$5000,$A97+R$1+2),"")</f>
        <v>0</v>
      </c>
      <c r="S97">
        <f>IF(S$1&lt;&gt;"",INDEX(Base!$G$1:$G$5000,$A97+S$1+2),"")</f>
        <v>0</v>
      </c>
      <c r="T97">
        <f>IF(T$1&lt;&gt;"",INDEX(Base!$G$1:$G$5000,$A97+T$1+2),"")</f>
        <v>0</v>
      </c>
      <c r="U97">
        <f>IF(U$1&lt;&gt;"",INDEX(Base!$G$1:$G$5000,$A97+U$1+2),"")</f>
        <v>0</v>
      </c>
      <c r="V97">
        <f>IF(V$1&lt;&gt;"",INDEX(Base!$G$1:$G$5000,$A97+V$1+2),"")</f>
        <v>0</v>
      </c>
      <c r="W97">
        <f>IF(W$1&lt;&gt;"",INDEX(Base!$G$1:$G$5000,$A97+W$1+2),"")</f>
        <v>0</v>
      </c>
      <c r="X97">
        <f>IF(X$1&lt;&gt;"",INDEX(Base!$G$1:$G$5000,$A97+X$1+2),"")</f>
        <v>0</v>
      </c>
      <c r="Y97">
        <f>IF(Y$1&lt;&gt;"",INDEX(Base!$G$1:$G$5000,$A97+Y$1+2),"")</f>
        <v>0</v>
      </c>
      <c r="Z97">
        <f>IF(Z$1&lt;&gt;"",INDEX(Base!$G$1:$G$5000,$A97+Z$1+2),"")</f>
        <v>0</v>
      </c>
      <c r="AA97">
        <f>IF(AA$1&lt;&gt;"",INDEX(Base!$G$1:$G$5000,$A97+AA$1+2),"")</f>
        <v>0</v>
      </c>
      <c r="AB97">
        <f>IF(AB$1&lt;&gt;"",INDEX(Base!$G$1:$G$5000,$A97+AB$1+2),"")</f>
        <v>0</v>
      </c>
      <c r="AC97">
        <f>IF(AC$1&lt;&gt;"",INDEX(Base!$G$1:$G$5000,$A97+AC$1+2),"")</f>
        <v>0</v>
      </c>
      <c r="AD97">
        <f>IF(AD$1&lt;&gt;"",INDEX(Base!$G$1:$G$5000,$A97+AD$1+2),"")</f>
        <v>0</v>
      </c>
      <c r="AE97">
        <f>IF(AE$1&lt;&gt;"",INDEX(Base!$G$1:$G$5000,$A97+AE$1+2),"")</f>
        <v>0</v>
      </c>
      <c r="AF97">
        <f>IF(AF$1&lt;&gt;"",INDEX(Base!$G$1:$G$5000,$A97+AF$1+2),"")</f>
        <v>0</v>
      </c>
      <c r="AG97">
        <f>IF(AG$1&lt;&gt;"",INDEX(Base!$G$1:$G$5000,$A97+AG$1+2),"")</f>
        <v>0</v>
      </c>
      <c r="AH97">
        <f>IF(AH$1&lt;&gt;"",INDEX(Base!$G$1:$G$5000,$A97+AH$1+2),"")</f>
        <v>0</v>
      </c>
      <c r="AI97">
        <f>IF(AI$1&lt;&gt;"",INDEX(Base!$G$1:$G$5000,$A97+AI$1+2),"")</f>
        <v>0</v>
      </c>
      <c r="AJ97">
        <f>IF(AJ$1&lt;&gt;"",INDEX(Base!$G$1:$G$5000,$A97+AJ$1+2),"")</f>
        <v>0</v>
      </c>
      <c r="AK97">
        <f>IF(AK$1&lt;&gt;"",INDEX(Base!$G$1:$G$5000,$A97+AK$1+2),"")</f>
        <v>0</v>
      </c>
      <c r="AL97">
        <f>IF(AL$1&lt;&gt;"",INDEX(Base!$G$1:$G$5000,$A97+AL$1+2),"")</f>
        <v>0</v>
      </c>
      <c r="AM97">
        <f>IF(AM$1&lt;&gt;"",INDEX(Base!$G$1:$G$5000,$A97+AM$1+2),"")</f>
        <v>0</v>
      </c>
      <c r="AN97">
        <f>IF(AN$1&lt;&gt;"",INDEX(Base!$G$1:$G$5000,$A97+AN$1+2),"")</f>
        <v>0</v>
      </c>
      <c r="AO97">
        <f>IF(AO$1&lt;&gt;"",INDEX(Base!$G$1:$G$5000,$A97+AO$1+2),"")</f>
        <v>0</v>
      </c>
      <c r="AP97">
        <f>IF(AP$1&lt;&gt;"",INDEX(Base!$G$1:$G$5000,$A97+AP$1+2),"")</f>
        <v>0</v>
      </c>
      <c r="AQ97">
        <f>IF(AQ$1&lt;&gt;"",INDEX(Base!$G$1:$G$5000,$A97+AQ$1+2),"")</f>
        <v>0</v>
      </c>
      <c r="AR97">
        <f>IF(AR$1&lt;&gt;"",INDEX(Base!$G$1:$G$5000,$A97+AR$1+2),"")</f>
        <v>0</v>
      </c>
      <c r="AS97">
        <f>IF(AS$1&lt;&gt;"",INDEX(Base!$G$1:$G$5000,$A97+AS$1+2),"")</f>
        <v>0</v>
      </c>
      <c r="AT97">
        <f>IF(AT$1&lt;&gt;"",INDEX(Base!$G$1:$G$5000,$A97+AT$1+2),"")</f>
        <v>0</v>
      </c>
      <c r="AU97">
        <f>IF(AU$1&lt;&gt;"",INDEX(Base!$G$1:$G$5000,$A97+AU$1+2),"")</f>
        <v>0</v>
      </c>
      <c r="AV97">
        <f>IF(AV$1&lt;&gt;"",INDEX(Base!$G$1:$G$5000,$A97+AV$1+2),"")</f>
        <v>0</v>
      </c>
      <c r="AW97" s="8">
        <f t="shared" si="5"/>
        <v>0</v>
      </c>
      <c r="AX97">
        <f>IF(AX$1&lt;&gt;"",INDEX(Base!$R$1:$R$4000,$E97+AX$1+2),"")</f>
        <v>0</v>
      </c>
      <c r="AY97">
        <f>IF(AY$1&lt;&gt;"",INDEX(Base!$R$1:$R$4000,$E97+AY$1+2),"")</f>
        <v>0</v>
      </c>
      <c r="AZ97">
        <f>IF(AZ$1&lt;&gt;"",INDEX(Base!$R$1:$R$4000,$E97+AZ$1+2),"")</f>
        <v>0</v>
      </c>
      <c r="BA97">
        <f>IF(BA$1&lt;&gt;"",INDEX(Base!$R$1:$R$4000,$E97+BA$1+2),"")</f>
        <v>0</v>
      </c>
      <c r="BB97">
        <f>IF(BB$1&lt;&gt;"",INDEX(Base!$R$1:$R$4000,$E97+BB$1+2),"")</f>
        <v>0</v>
      </c>
      <c r="BC97">
        <f>IF(BC$1&lt;&gt;"",INDEX(Base!$R$1:$R$4000,$E97+BC$1+2),"")</f>
        <v>0</v>
      </c>
      <c r="BD97">
        <f>IF(BD$1&lt;&gt;"",INDEX(Base!$R$1:$R$4000,$E97+BD$1+2),"")</f>
        <v>0</v>
      </c>
      <c r="BE97">
        <f>IF(BE$1&lt;&gt;"",INDEX(Base!$R$1:$R$4000,$E97+BE$1+2),"")</f>
        <v>0</v>
      </c>
      <c r="BF97">
        <f>IF(BF$1&lt;&gt;"",INDEX(Base!$R$1:$R$4000,$E97+BF$1+2),"")</f>
        <v>0</v>
      </c>
      <c r="BG97">
        <f>IF(BG$1&lt;&gt;"",INDEX(Base!$R$1:$R$4000,$E97+BG$1+2),"")</f>
        <v>0</v>
      </c>
      <c r="BH97">
        <f>IF(BH$1&lt;&gt;"",INDEX(Base!$R$1:$R$4000,$E97+BH$1+2),"")</f>
        <v>0</v>
      </c>
      <c r="BI97">
        <f>IF(BI$1&lt;&gt;"",INDEX(Base!$R$1:$R$4000,$E97+BI$1+2),"")</f>
        <v>0</v>
      </c>
      <c r="BJ97">
        <f>IF(BJ$1&lt;&gt;"",INDEX(Base!$R$1:$R$4000,$E97+BJ$1+2),"")</f>
        <v>0</v>
      </c>
      <c r="BK97">
        <f>IF(BK$1&lt;&gt;"",INDEX(Base!$R$1:$R$4000,$E97+BK$1+2),"")</f>
        <v>0</v>
      </c>
      <c r="BL97">
        <f>IF(BL$1&lt;&gt;"",INDEX(Base!$R$1:$R$4000,$E97+BL$1+2),"")</f>
        <v>0</v>
      </c>
      <c r="BM97">
        <f>IF(BM$1&lt;&gt;"",INDEX(Base!$R$1:$R$4000,$E97+BM$1+2),"")</f>
        <v>0</v>
      </c>
      <c r="BN97">
        <f>IF(BN$1&lt;&gt;"",INDEX(Base!$R$1:$R$4000,$E97+BN$1+2),"")</f>
        <v>0</v>
      </c>
      <c r="BO97">
        <f>IF(BO$1&lt;&gt;"",INDEX(Base!$R$1:$R$4000,$E97+BO$1+2),"")</f>
        <v>0</v>
      </c>
      <c r="BP97">
        <f>IF(BP$1&lt;&gt;"",INDEX(Base!$R$1:$R$4000,$E97+BP$1+2),"")</f>
        <v>0</v>
      </c>
      <c r="BQ97">
        <f>IF(BQ$1&lt;&gt;"",INDEX(Base!$R$1:$R$4000,$E97+BQ$1+2),"")</f>
        <v>0</v>
      </c>
      <c r="BR97">
        <f>IF(BR$1&lt;&gt;"",INDEX(Base!$R$1:$R$4000,$E97+BR$1+2),"")</f>
        <v>0</v>
      </c>
      <c r="BS97">
        <f>IF(BS$1&lt;&gt;"",INDEX(Base!$R$1:$R$4000,$E97+BS$1+2),"")</f>
        <v>0</v>
      </c>
      <c r="BT97">
        <f>IF(BT$1&lt;&gt;"",INDEX(Base!$R$1:$R$4000,$E97+BT$1+2),"")</f>
        <v>0</v>
      </c>
    </row>
    <row r="98" spans="1:72" x14ac:dyDescent="0.3">
      <c r="A98" s="2">
        <f t="shared" si="7"/>
        <v>4185</v>
      </c>
      <c r="B98" s="3" t="str">
        <f>IFERROR(MID(INDEX(Base!A$1:A$5000,Calcoli!A98),47,LEN(INDEX(Base!A$1:A$5000,Calcoli!A98))-41),"")</f>
        <v/>
      </c>
      <c r="C98" s="5" t="str">
        <f>MID(INDEX(Base!A$1:A$5000,Calcoli!A98),42,4)</f>
        <v/>
      </c>
      <c r="D98" s="5" t="str">
        <f>MID(INDEX(Base!A$1:A$5000,Calcoli!A98),13,11)</f>
        <v/>
      </c>
      <c r="E98" s="4">
        <f t="shared" si="6"/>
        <v>2950</v>
      </c>
      <c r="F98" s="3" t="str">
        <f>IFERROR(MID(INDEX(Base!L$1:L$4000,Calcoli!E98),47,LEN(INDEX(Base!L$1:L$4000,Calcoli!E98))-41),"")</f>
        <v/>
      </c>
      <c r="G98" s="5" t="str">
        <f>MID(INDEX(Base!L$1:L$4000,Calcoli!$E98),42,4)</f>
        <v/>
      </c>
      <c r="H98" s="5" t="str">
        <f>MID(INDEX(Base!L$1:L$4000,Calcoli!E98),13,11)</f>
        <v/>
      </c>
      <c r="I98" s="6" t="str">
        <f xml:space="preserve"> IFERROR(MID(INDEX(Base!$V$3:$AB$60,MATCH($F98,Base!$Z$3:$Z$160,0),1),1,14),"")</f>
        <v/>
      </c>
      <c r="J98" s="6" t="str">
        <f xml:space="preserve"> IFERROR(INDEX(Base!$V$3:$AB$160,MATCH($F98,Base!$Z$3:$Z$160,0),2),"")</f>
        <v/>
      </c>
      <c r="K98" s="6" t="str">
        <f xml:space="preserve"> IFERROR(INDEX(Base!$V$3:$AB$160,MATCH($F98,Base!$Z$3:$Z$160,0),3),"")</f>
        <v/>
      </c>
      <c r="L98" s="28" t="str">
        <f xml:space="preserve"> IFERROR(INDEX(Base!$V$3:$AB$160,MATCH($F98,Base!$Z$3:$Z$160,0),4),"")</f>
        <v/>
      </c>
      <c r="M98">
        <f>IF(M$1&lt;&gt;"",INDEX(Base!$G$1:$G$5000,$A98+M$1+2),"")</f>
        <v>0</v>
      </c>
      <c r="N98">
        <f>IF(N$1&lt;&gt;"",INDEX(Base!$G$1:$G$5000,$A98+N$1+2),"")</f>
        <v>0</v>
      </c>
      <c r="O98">
        <f>IF(O$1&lt;&gt;"",INDEX(Base!$G$1:$G$5000,$A98+O$1+2),"")</f>
        <v>0</v>
      </c>
      <c r="P98">
        <f>IF(P$1&lt;&gt;"",INDEX(Base!$G$1:$G$5000,$A98+P$1+2),"")</f>
        <v>0</v>
      </c>
      <c r="Q98">
        <f>IF(Q$1&lt;&gt;"",INDEX(Base!$G$1:$G$5000,$A98+Q$1+2),"")</f>
        <v>0</v>
      </c>
      <c r="R98">
        <f>IF(R$1&lt;&gt;"",INDEX(Base!$G$1:$G$5000,$A98+R$1+2),"")</f>
        <v>0</v>
      </c>
      <c r="S98">
        <f>IF(S$1&lt;&gt;"",INDEX(Base!$G$1:$G$5000,$A98+S$1+2),"")</f>
        <v>0</v>
      </c>
      <c r="T98">
        <f>IF(T$1&lt;&gt;"",INDEX(Base!$G$1:$G$5000,$A98+T$1+2),"")</f>
        <v>0</v>
      </c>
      <c r="U98">
        <f>IF(U$1&lt;&gt;"",INDEX(Base!$G$1:$G$5000,$A98+U$1+2),"")</f>
        <v>0</v>
      </c>
      <c r="V98">
        <f>IF(V$1&lt;&gt;"",INDEX(Base!$G$1:$G$5000,$A98+V$1+2),"")</f>
        <v>0</v>
      </c>
      <c r="W98">
        <f>IF(W$1&lt;&gt;"",INDEX(Base!$G$1:$G$5000,$A98+W$1+2),"")</f>
        <v>0</v>
      </c>
      <c r="X98">
        <f>IF(X$1&lt;&gt;"",INDEX(Base!$G$1:$G$5000,$A98+X$1+2),"")</f>
        <v>0</v>
      </c>
      <c r="Y98">
        <f>IF(Y$1&lt;&gt;"",INDEX(Base!$G$1:$G$5000,$A98+Y$1+2),"")</f>
        <v>0</v>
      </c>
      <c r="Z98">
        <f>IF(Z$1&lt;&gt;"",INDEX(Base!$G$1:$G$5000,$A98+Z$1+2),"")</f>
        <v>0</v>
      </c>
      <c r="AA98">
        <f>IF(AA$1&lt;&gt;"",INDEX(Base!$G$1:$G$5000,$A98+AA$1+2),"")</f>
        <v>0</v>
      </c>
      <c r="AB98">
        <f>IF(AB$1&lt;&gt;"",INDEX(Base!$G$1:$G$5000,$A98+AB$1+2),"")</f>
        <v>0</v>
      </c>
      <c r="AC98">
        <f>IF(AC$1&lt;&gt;"",INDEX(Base!$G$1:$G$5000,$A98+AC$1+2),"")</f>
        <v>0</v>
      </c>
      <c r="AD98">
        <f>IF(AD$1&lt;&gt;"",INDEX(Base!$G$1:$G$5000,$A98+AD$1+2),"")</f>
        <v>0</v>
      </c>
      <c r="AE98">
        <f>IF(AE$1&lt;&gt;"",INDEX(Base!$G$1:$G$5000,$A98+AE$1+2),"")</f>
        <v>0</v>
      </c>
      <c r="AF98">
        <f>IF(AF$1&lt;&gt;"",INDEX(Base!$G$1:$G$5000,$A98+AF$1+2),"")</f>
        <v>0</v>
      </c>
      <c r="AG98">
        <f>IF(AG$1&lt;&gt;"",INDEX(Base!$G$1:$G$5000,$A98+AG$1+2),"")</f>
        <v>0</v>
      </c>
      <c r="AH98">
        <f>IF(AH$1&lt;&gt;"",INDEX(Base!$G$1:$G$5000,$A98+AH$1+2),"")</f>
        <v>0</v>
      </c>
      <c r="AI98">
        <f>IF(AI$1&lt;&gt;"",INDEX(Base!$G$1:$G$5000,$A98+AI$1+2),"")</f>
        <v>0</v>
      </c>
      <c r="AJ98">
        <f>IF(AJ$1&lt;&gt;"",INDEX(Base!$G$1:$G$5000,$A98+AJ$1+2),"")</f>
        <v>0</v>
      </c>
      <c r="AK98">
        <f>IF(AK$1&lt;&gt;"",INDEX(Base!$G$1:$G$5000,$A98+AK$1+2),"")</f>
        <v>0</v>
      </c>
      <c r="AL98">
        <f>IF(AL$1&lt;&gt;"",INDEX(Base!$G$1:$G$5000,$A98+AL$1+2),"")</f>
        <v>0</v>
      </c>
      <c r="AM98">
        <f>IF(AM$1&lt;&gt;"",INDEX(Base!$G$1:$G$5000,$A98+AM$1+2),"")</f>
        <v>0</v>
      </c>
      <c r="AN98">
        <f>IF(AN$1&lt;&gt;"",INDEX(Base!$G$1:$G$5000,$A98+AN$1+2),"")</f>
        <v>0</v>
      </c>
      <c r="AO98">
        <f>IF(AO$1&lt;&gt;"",INDEX(Base!$G$1:$G$5000,$A98+AO$1+2),"")</f>
        <v>0</v>
      </c>
      <c r="AP98">
        <f>IF(AP$1&lt;&gt;"",INDEX(Base!$G$1:$G$5000,$A98+AP$1+2),"")</f>
        <v>0</v>
      </c>
      <c r="AQ98">
        <f>IF(AQ$1&lt;&gt;"",INDEX(Base!$G$1:$G$5000,$A98+AQ$1+2),"")</f>
        <v>0</v>
      </c>
      <c r="AR98">
        <f>IF(AR$1&lt;&gt;"",INDEX(Base!$G$1:$G$5000,$A98+AR$1+2),"")</f>
        <v>0</v>
      </c>
      <c r="AS98">
        <f>IF(AS$1&lt;&gt;"",INDEX(Base!$G$1:$G$5000,$A98+AS$1+2),"")</f>
        <v>0</v>
      </c>
      <c r="AT98">
        <f>IF(AT$1&lt;&gt;"",INDEX(Base!$G$1:$G$5000,$A98+AT$1+2),"")</f>
        <v>0</v>
      </c>
      <c r="AU98">
        <f>IF(AU$1&lt;&gt;"",INDEX(Base!$G$1:$G$5000,$A98+AU$1+2),"")</f>
        <v>0</v>
      </c>
      <c r="AV98">
        <f>IF(AV$1&lt;&gt;"",INDEX(Base!$G$1:$G$5000,$A98+AV$1+2),"")</f>
        <v>0</v>
      </c>
      <c r="AW98" s="8">
        <f t="shared" si="5"/>
        <v>0</v>
      </c>
      <c r="AX98">
        <f>IF(AX$1&lt;&gt;"",INDEX(Base!$R$1:$R$4000,$E98+AX$1+2),"")</f>
        <v>0</v>
      </c>
      <c r="AY98">
        <f>IF(AY$1&lt;&gt;"",INDEX(Base!$R$1:$R$4000,$E98+AY$1+2),"")</f>
        <v>0</v>
      </c>
      <c r="AZ98">
        <f>IF(AZ$1&lt;&gt;"",INDEX(Base!$R$1:$R$4000,$E98+AZ$1+2),"")</f>
        <v>0</v>
      </c>
      <c r="BA98">
        <f>IF(BA$1&lt;&gt;"",INDEX(Base!$R$1:$R$4000,$E98+BA$1+2),"")</f>
        <v>0</v>
      </c>
      <c r="BB98">
        <f>IF(BB$1&lt;&gt;"",INDEX(Base!$R$1:$R$4000,$E98+BB$1+2),"")</f>
        <v>0</v>
      </c>
      <c r="BC98">
        <f>IF(BC$1&lt;&gt;"",INDEX(Base!$R$1:$R$4000,$E98+BC$1+2),"")</f>
        <v>0</v>
      </c>
      <c r="BD98">
        <f>IF(BD$1&lt;&gt;"",INDEX(Base!$R$1:$R$4000,$E98+BD$1+2),"")</f>
        <v>0</v>
      </c>
      <c r="BE98">
        <f>IF(BE$1&lt;&gt;"",INDEX(Base!$R$1:$R$4000,$E98+BE$1+2),"")</f>
        <v>0</v>
      </c>
      <c r="BF98">
        <f>IF(BF$1&lt;&gt;"",INDEX(Base!$R$1:$R$4000,$E98+BF$1+2),"")</f>
        <v>0</v>
      </c>
      <c r="BG98">
        <f>IF(BG$1&lt;&gt;"",INDEX(Base!$R$1:$R$4000,$E98+BG$1+2),"")</f>
        <v>0</v>
      </c>
      <c r="BH98">
        <f>IF(BH$1&lt;&gt;"",INDEX(Base!$R$1:$R$4000,$E98+BH$1+2),"")</f>
        <v>0</v>
      </c>
      <c r="BI98">
        <f>IF(BI$1&lt;&gt;"",INDEX(Base!$R$1:$R$4000,$E98+BI$1+2),"")</f>
        <v>0</v>
      </c>
      <c r="BJ98">
        <f>IF(BJ$1&lt;&gt;"",INDEX(Base!$R$1:$R$4000,$E98+BJ$1+2),"")</f>
        <v>0</v>
      </c>
      <c r="BK98">
        <f>IF(BK$1&lt;&gt;"",INDEX(Base!$R$1:$R$4000,$E98+BK$1+2),"")</f>
        <v>0</v>
      </c>
      <c r="BL98">
        <f>IF(BL$1&lt;&gt;"",INDEX(Base!$R$1:$R$4000,$E98+BL$1+2),"")</f>
        <v>0</v>
      </c>
      <c r="BM98">
        <f>IF(BM$1&lt;&gt;"",INDEX(Base!$R$1:$R$4000,$E98+BM$1+2),"")</f>
        <v>0</v>
      </c>
      <c r="BN98">
        <f>IF(BN$1&lt;&gt;"",INDEX(Base!$R$1:$R$4000,$E98+BN$1+2),"")</f>
        <v>0</v>
      </c>
      <c r="BO98">
        <f>IF(BO$1&lt;&gt;"",INDEX(Base!$R$1:$R$4000,$E98+BO$1+2),"")</f>
        <v>0</v>
      </c>
      <c r="BP98">
        <f>IF(BP$1&lt;&gt;"",INDEX(Base!$R$1:$R$4000,$E98+BP$1+2),"")</f>
        <v>0</v>
      </c>
      <c r="BQ98">
        <f>IF(BQ$1&lt;&gt;"",INDEX(Base!$R$1:$R$4000,$E98+BQ$1+2),"")</f>
        <v>0</v>
      </c>
      <c r="BR98">
        <f>IF(BR$1&lt;&gt;"",INDEX(Base!$R$1:$R$4000,$E98+BR$1+2),"")</f>
        <v>0</v>
      </c>
      <c r="BS98">
        <f>IF(BS$1&lt;&gt;"",INDEX(Base!$R$1:$R$4000,$E98+BS$1+2),"")</f>
        <v>0</v>
      </c>
      <c r="BT98">
        <f>IF(BT$1&lt;&gt;"",INDEX(Base!$R$1:$R$4000,$E98+BT$1+2),"")</f>
        <v>0</v>
      </c>
    </row>
    <row r="99" spans="1:72" x14ac:dyDescent="0.3">
      <c r="A99" s="2">
        <f t="shared" si="7"/>
        <v>4229</v>
      </c>
      <c r="B99" s="3" t="str">
        <f>IFERROR(MID(INDEX(Base!A$1:A$5000,Calcoli!A99),47,LEN(INDEX(Base!A$1:A$5000,Calcoli!A99))-41),"")</f>
        <v/>
      </c>
      <c r="C99" s="5" t="str">
        <f>MID(INDEX(Base!A$1:A$5000,Calcoli!A99),42,4)</f>
        <v/>
      </c>
      <c r="D99" s="5" t="str">
        <f>MID(INDEX(Base!A$1:A$5000,Calcoli!A99),13,11)</f>
        <v/>
      </c>
      <c r="E99" s="4">
        <f t="shared" si="6"/>
        <v>2981</v>
      </c>
      <c r="F99" s="3" t="str">
        <f>IFERROR(MID(INDEX(Base!L$1:L$4000,Calcoli!E99),47,LEN(INDEX(Base!L$1:L$4000,Calcoli!E99))-41),"")</f>
        <v/>
      </c>
      <c r="G99" s="5" t="str">
        <f>MID(INDEX(Base!L$1:L$4000,Calcoli!$E99),42,4)</f>
        <v/>
      </c>
      <c r="H99" s="5" t="str">
        <f>MID(INDEX(Base!L$1:L$4000,Calcoli!E99),13,11)</f>
        <v/>
      </c>
      <c r="I99" s="6" t="str">
        <f xml:space="preserve"> IFERROR(MID(INDEX(Base!$V$3:$AB$60,MATCH($F99,Base!$Z$3:$Z$160,0),1),1,14),"")</f>
        <v/>
      </c>
      <c r="J99" s="6" t="str">
        <f xml:space="preserve"> IFERROR(INDEX(Base!$V$3:$AB$160,MATCH($F99,Base!$Z$3:$Z$160,0),2),"")</f>
        <v/>
      </c>
      <c r="K99" s="6" t="str">
        <f xml:space="preserve"> IFERROR(INDEX(Base!$V$3:$AB$160,MATCH($F99,Base!$Z$3:$Z$160,0),3),"")</f>
        <v/>
      </c>
      <c r="L99" s="28" t="str">
        <f xml:space="preserve"> IFERROR(INDEX(Base!$V$3:$AB$160,MATCH($F99,Base!$Z$3:$Z$160,0),4),"")</f>
        <v/>
      </c>
      <c r="M99">
        <f>IF(M$1&lt;&gt;"",INDEX(Base!$G$1:$G$5000,$A99+M$1+2),"")</f>
        <v>0</v>
      </c>
      <c r="N99">
        <f>IF(N$1&lt;&gt;"",INDEX(Base!$G$1:$G$5000,$A99+N$1+2),"")</f>
        <v>0</v>
      </c>
      <c r="O99">
        <f>IF(O$1&lt;&gt;"",INDEX(Base!$G$1:$G$5000,$A99+O$1+2),"")</f>
        <v>0</v>
      </c>
      <c r="P99">
        <f>IF(P$1&lt;&gt;"",INDEX(Base!$G$1:$G$5000,$A99+P$1+2),"")</f>
        <v>0</v>
      </c>
      <c r="Q99">
        <f>IF(Q$1&lt;&gt;"",INDEX(Base!$G$1:$G$5000,$A99+Q$1+2),"")</f>
        <v>0</v>
      </c>
      <c r="R99">
        <f>IF(R$1&lt;&gt;"",INDEX(Base!$G$1:$G$5000,$A99+R$1+2),"")</f>
        <v>0</v>
      </c>
      <c r="S99">
        <f>IF(S$1&lt;&gt;"",INDEX(Base!$G$1:$G$5000,$A99+S$1+2),"")</f>
        <v>0</v>
      </c>
      <c r="T99">
        <f>IF(T$1&lt;&gt;"",INDEX(Base!$G$1:$G$5000,$A99+T$1+2),"")</f>
        <v>0</v>
      </c>
      <c r="U99">
        <f>IF(U$1&lt;&gt;"",INDEX(Base!$G$1:$G$5000,$A99+U$1+2),"")</f>
        <v>0</v>
      </c>
      <c r="V99">
        <f>IF(V$1&lt;&gt;"",INDEX(Base!$G$1:$G$5000,$A99+V$1+2),"")</f>
        <v>0</v>
      </c>
      <c r="W99">
        <f>IF(W$1&lt;&gt;"",INDEX(Base!$G$1:$G$5000,$A99+W$1+2),"")</f>
        <v>0</v>
      </c>
      <c r="X99">
        <f>IF(X$1&lt;&gt;"",INDEX(Base!$G$1:$G$5000,$A99+X$1+2),"")</f>
        <v>0</v>
      </c>
      <c r="Y99">
        <f>IF(Y$1&lt;&gt;"",INDEX(Base!$G$1:$G$5000,$A99+Y$1+2),"")</f>
        <v>0</v>
      </c>
      <c r="Z99">
        <f>IF(Z$1&lt;&gt;"",INDEX(Base!$G$1:$G$5000,$A99+Z$1+2),"")</f>
        <v>0</v>
      </c>
      <c r="AA99">
        <f>IF(AA$1&lt;&gt;"",INDEX(Base!$G$1:$G$5000,$A99+AA$1+2),"")</f>
        <v>0</v>
      </c>
      <c r="AB99">
        <f>IF(AB$1&lt;&gt;"",INDEX(Base!$G$1:$G$5000,$A99+AB$1+2),"")</f>
        <v>0</v>
      </c>
      <c r="AC99">
        <f>IF(AC$1&lt;&gt;"",INDEX(Base!$G$1:$G$5000,$A99+AC$1+2),"")</f>
        <v>0</v>
      </c>
      <c r="AD99">
        <f>IF(AD$1&lt;&gt;"",INDEX(Base!$G$1:$G$5000,$A99+AD$1+2),"")</f>
        <v>0</v>
      </c>
      <c r="AE99">
        <f>IF(AE$1&lt;&gt;"",INDEX(Base!$G$1:$G$5000,$A99+AE$1+2),"")</f>
        <v>0</v>
      </c>
      <c r="AF99">
        <f>IF(AF$1&lt;&gt;"",INDEX(Base!$G$1:$G$5000,$A99+AF$1+2),"")</f>
        <v>0</v>
      </c>
      <c r="AG99">
        <f>IF(AG$1&lt;&gt;"",INDEX(Base!$G$1:$G$5000,$A99+AG$1+2),"")</f>
        <v>0</v>
      </c>
      <c r="AH99">
        <f>IF(AH$1&lt;&gt;"",INDEX(Base!$G$1:$G$5000,$A99+AH$1+2),"")</f>
        <v>0</v>
      </c>
      <c r="AI99">
        <f>IF(AI$1&lt;&gt;"",INDEX(Base!$G$1:$G$5000,$A99+AI$1+2),"")</f>
        <v>0</v>
      </c>
      <c r="AJ99">
        <f>IF(AJ$1&lt;&gt;"",INDEX(Base!$G$1:$G$5000,$A99+AJ$1+2),"")</f>
        <v>0</v>
      </c>
      <c r="AK99">
        <f>IF(AK$1&lt;&gt;"",INDEX(Base!$G$1:$G$5000,$A99+AK$1+2),"")</f>
        <v>0</v>
      </c>
      <c r="AL99">
        <f>IF(AL$1&lt;&gt;"",INDEX(Base!$G$1:$G$5000,$A99+AL$1+2),"")</f>
        <v>0</v>
      </c>
      <c r="AM99">
        <f>IF(AM$1&lt;&gt;"",INDEX(Base!$G$1:$G$5000,$A99+AM$1+2),"")</f>
        <v>0</v>
      </c>
      <c r="AN99">
        <f>IF(AN$1&lt;&gt;"",INDEX(Base!$G$1:$G$5000,$A99+AN$1+2),"")</f>
        <v>0</v>
      </c>
      <c r="AO99">
        <f>IF(AO$1&lt;&gt;"",INDEX(Base!$G$1:$G$5000,$A99+AO$1+2),"")</f>
        <v>0</v>
      </c>
      <c r="AP99">
        <f>IF(AP$1&lt;&gt;"",INDEX(Base!$G$1:$G$5000,$A99+AP$1+2),"")</f>
        <v>0</v>
      </c>
      <c r="AQ99">
        <f>IF(AQ$1&lt;&gt;"",INDEX(Base!$G$1:$G$5000,$A99+AQ$1+2),"")</f>
        <v>0</v>
      </c>
      <c r="AR99">
        <f>IF(AR$1&lt;&gt;"",INDEX(Base!$G$1:$G$5000,$A99+AR$1+2),"")</f>
        <v>0</v>
      </c>
      <c r="AS99">
        <f>IF(AS$1&lt;&gt;"",INDEX(Base!$G$1:$G$5000,$A99+AS$1+2),"")</f>
        <v>0</v>
      </c>
      <c r="AT99">
        <f>IF(AT$1&lt;&gt;"",INDEX(Base!$G$1:$G$5000,$A99+AT$1+2),"")</f>
        <v>0</v>
      </c>
      <c r="AU99">
        <f>IF(AU$1&lt;&gt;"",INDEX(Base!$G$1:$G$5000,$A99+AU$1+2),"")</f>
        <v>0</v>
      </c>
      <c r="AV99">
        <f>IF(AV$1&lt;&gt;"",INDEX(Base!$G$1:$G$5000,$A99+AV$1+2),"")</f>
        <v>0</v>
      </c>
      <c r="AW99" s="8">
        <f t="shared" si="5"/>
        <v>0</v>
      </c>
      <c r="AX99">
        <f>IF(AX$1&lt;&gt;"",INDEX(Base!$R$1:$R$4000,$E99+AX$1+2),"")</f>
        <v>0</v>
      </c>
      <c r="AY99">
        <f>IF(AY$1&lt;&gt;"",INDEX(Base!$R$1:$R$4000,$E99+AY$1+2),"")</f>
        <v>0</v>
      </c>
      <c r="AZ99">
        <f>IF(AZ$1&lt;&gt;"",INDEX(Base!$R$1:$R$4000,$E99+AZ$1+2),"")</f>
        <v>0</v>
      </c>
      <c r="BA99">
        <f>IF(BA$1&lt;&gt;"",INDEX(Base!$R$1:$R$4000,$E99+BA$1+2),"")</f>
        <v>0</v>
      </c>
      <c r="BB99">
        <f>IF(BB$1&lt;&gt;"",INDEX(Base!$R$1:$R$4000,$E99+BB$1+2),"")</f>
        <v>0</v>
      </c>
      <c r="BC99">
        <f>IF(BC$1&lt;&gt;"",INDEX(Base!$R$1:$R$4000,$E99+BC$1+2),"")</f>
        <v>0</v>
      </c>
      <c r="BD99">
        <f>IF(BD$1&lt;&gt;"",INDEX(Base!$R$1:$R$4000,$E99+BD$1+2),"")</f>
        <v>0</v>
      </c>
      <c r="BE99">
        <f>IF(BE$1&lt;&gt;"",INDEX(Base!$R$1:$R$4000,$E99+BE$1+2),"")</f>
        <v>0</v>
      </c>
      <c r="BF99">
        <f>IF(BF$1&lt;&gt;"",INDEX(Base!$R$1:$R$4000,$E99+BF$1+2),"")</f>
        <v>0</v>
      </c>
      <c r="BG99">
        <f>IF(BG$1&lt;&gt;"",INDEX(Base!$R$1:$R$4000,$E99+BG$1+2),"")</f>
        <v>0</v>
      </c>
      <c r="BH99">
        <f>IF(BH$1&lt;&gt;"",INDEX(Base!$R$1:$R$4000,$E99+BH$1+2),"")</f>
        <v>0</v>
      </c>
      <c r="BI99">
        <f>IF(BI$1&lt;&gt;"",INDEX(Base!$R$1:$R$4000,$E99+BI$1+2),"")</f>
        <v>0</v>
      </c>
      <c r="BJ99">
        <f>IF(BJ$1&lt;&gt;"",INDEX(Base!$R$1:$R$4000,$E99+BJ$1+2),"")</f>
        <v>0</v>
      </c>
      <c r="BK99">
        <f>IF(BK$1&lt;&gt;"",INDEX(Base!$R$1:$R$4000,$E99+BK$1+2),"")</f>
        <v>0</v>
      </c>
      <c r="BL99">
        <f>IF(BL$1&lt;&gt;"",INDEX(Base!$R$1:$R$4000,$E99+BL$1+2),"")</f>
        <v>0</v>
      </c>
      <c r="BM99">
        <f>IF(BM$1&lt;&gt;"",INDEX(Base!$R$1:$R$4000,$E99+BM$1+2),"")</f>
        <v>0</v>
      </c>
      <c r="BN99">
        <f>IF(BN$1&lt;&gt;"",INDEX(Base!$R$1:$R$4000,$E99+BN$1+2),"")</f>
        <v>0</v>
      </c>
      <c r="BO99">
        <f>IF(BO$1&lt;&gt;"",INDEX(Base!$R$1:$R$4000,$E99+BO$1+2),"")</f>
        <v>0</v>
      </c>
      <c r="BP99">
        <f>IF(BP$1&lt;&gt;"",INDEX(Base!$R$1:$R$4000,$E99+BP$1+2),"")</f>
        <v>0</v>
      </c>
      <c r="BQ99">
        <f>IF(BQ$1&lt;&gt;"",INDEX(Base!$R$1:$R$4000,$E99+BQ$1+2),"")</f>
        <v>0</v>
      </c>
      <c r="BR99">
        <f>IF(BR$1&lt;&gt;"",INDEX(Base!$R$1:$R$4000,$E99+BR$1+2),"")</f>
        <v>0</v>
      </c>
      <c r="BS99">
        <f>IF(BS$1&lt;&gt;"",INDEX(Base!$R$1:$R$4000,$E99+BS$1+2),"")</f>
        <v>0</v>
      </c>
      <c r="BT99">
        <f>IF(BT$1&lt;&gt;"",INDEX(Base!$R$1:$R$4000,$E99+BT$1+2),"")</f>
        <v>0</v>
      </c>
    </row>
    <row r="100" spans="1:72" x14ac:dyDescent="0.3">
      <c r="A100" s="2">
        <f t="shared" si="7"/>
        <v>4273</v>
      </c>
      <c r="B100" s="3" t="str">
        <f>IFERROR(MID(INDEX(Base!A$1:A$5000,Calcoli!A100),47,LEN(INDEX(Base!A$1:A$5000,Calcoli!A100))-41),"")</f>
        <v/>
      </c>
      <c r="C100" s="5" t="str">
        <f>MID(INDEX(Base!A$1:A$5000,Calcoli!A100),42,4)</f>
        <v/>
      </c>
      <c r="D100" s="5" t="str">
        <f>MID(INDEX(Base!A$1:A$5000,Calcoli!A100),13,11)</f>
        <v/>
      </c>
      <c r="E100" s="4">
        <f t="shared" si="6"/>
        <v>3012</v>
      </c>
      <c r="F100" s="3" t="str">
        <f>IFERROR(MID(INDEX(Base!L$1:L$4000,Calcoli!E100),47,LEN(INDEX(Base!L$1:L$4000,Calcoli!E100))-41),"")</f>
        <v/>
      </c>
      <c r="G100" s="5" t="str">
        <f>MID(INDEX(Base!L$1:L$4000,Calcoli!$E100),42,4)</f>
        <v/>
      </c>
      <c r="H100" s="5" t="str">
        <f>MID(INDEX(Base!L$1:L$4000,Calcoli!E100),13,11)</f>
        <v/>
      </c>
      <c r="I100" s="6" t="str">
        <f xml:space="preserve"> IFERROR(MID(INDEX(Base!$V$3:$AB$60,MATCH($F100,Base!$Z$3:$Z$160,0),1),1,14),"")</f>
        <v/>
      </c>
      <c r="J100" s="6" t="str">
        <f xml:space="preserve"> IFERROR(INDEX(Base!$V$3:$AB$160,MATCH($F100,Base!$Z$3:$Z$160,0),2),"")</f>
        <v/>
      </c>
      <c r="K100" s="6" t="str">
        <f xml:space="preserve"> IFERROR(INDEX(Base!$V$3:$AB$160,MATCH($F100,Base!$Z$3:$Z$160,0),3),"")</f>
        <v/>
      </c>
      <c r="L100" s="28" t="str">
        <f xml:space="preserve"> IFERROR(INDEX(Base!$V$3:$AB$160,MATCH($F100,Base!$Z$3:$Z$160,0),4),"")</f>
        <v/>
      </c>
      <c r="M100">
        <f>IF(M$1&lt;&gt;"",INDEX(Base!$G$1:$G$5000,$A100+M$1+2),"")</f>
        <v>0</v>
      </c>
      <c r="N100">
        <f>IF(N$1&lt;&gt;"",INDEX(Base!$G$1:$G$5000,$A100+N$1+2),"")</f>
        <v>0</v>
      </c>
      <c r="O100">
        <f>IF(O$1&lt;&gt;"",INDEX(Base!$G$1:$G$5000,$A100+O$1+2),"")</f>
        <v>0</v>
      </c>
      <c r="P100">
        <f>IF(P$1&lt;&gt;"",INDEX(Base!$G$1:$G$5000,$A100+P$1+2),"")</f>
        <v>0</v>
      </c>
      <c r="Q100">
        <f>IF(Q$1&lt;&gt;"",INDEX(Base!$G$1:$G$5000,$A100+Q$1+2),"")</f>
        <v>0</v>
      </c>
      <c r="R100">
        <f>IF(R$1&lt;&gt;"",INDEX(Base!$G$1:$G$5000,$A100+R$1+2),"")</f>
        <v>0</v>
      </c>
      <c r="S100">
        <f>IF(S$1&lt;&gt;"",INDEX(Base!$G$1:$G$5000,$A100+S$1+2),"")</f>
        <v>0</v>
      </c>
      <c r="T100">
        <f>IF(T$1&lt;&gt;"",INDEX(Base!$G$1:$G$5000,$A100+T$1+2),"")</f>
        <v>0</v>
      </c>
      <c r="U100">
        <f>IF(U$1&lt;&gt;"",INDEX(Base!$G$1:$G$5000,$A100+U$1+2),"")</f>
        <v>0</v>
      </c>
      <c r="V100">
        <f>IF(V$1&lt;&gt;"",INDEX(Base!$G$1:$G$5000,$A100+V$1+2),"")</f>
        <v>0</v>
      </c>
      <c r="W100">
        <f>IF(W$1&lt;&gt;"",INDEX(Base!$G$1:$G$5000,$A100+W$1+2),"")</f>
        <v>0</v>
      </c>
      <c r="X100">
        <f>IF(X$1&lt;&gt;"",INDEX(Base!$G$1:$G$5000,$A100+X$1+2),"")</f>
        <v>0</v>
      </c>
      <c r="Y100">
        <f>IF(Y$1&lt;&gt;"",INDEX(Base!$G$1:$G$5000,$A100+Y$1+2),"")</f>
        <v>0</v>
      </c>
      <c r="Z100">
        <f>IF(Z$1&lt;&gt;"",INDEX(Base!$G$1:$G$5000,$A100+Z$1+2),"")</f>
        <v>0</v>
      </c>
      <c r="AA100">
        <f>IF(AA$1&lt;&gt;"",INDEX(Base!$G$1:$G$5000,$A100+AA$1+2),"")</f>
        <v>0</v>
      </c>
      <c r="AB100">
        <f>IF(AB$1&lt;&gt;"",INDEX(Base!$G$1:$G$5000,$A100+AB$1+2),"")</f>
        <v>0</v>
      </c>
      <c r="AC100">
        <f>IF(AC$1&lt;&gt;"",INDEX(Base!$G$1:$G$5000,$A100+AC$1+2),"")</f>
        <v>0</v>
      </c>
      <c r="AD100">
        <f>IF(AD$1&lt;&gt;"",INDEX(Base!$G$1:$G$5000,$A100+AD$1+2),"")</f>
        <v>0</v>
      </c>
      <c r="AE100">
        <f>IF(AE$1&lt;&gt;"",INDEX(Base!$G$1:$G$5000,$A100+AE$1+2),"")</f>
        <v>0</v>
      </c>
      <c r="AF100">
        <f>IF(AF$1&lt;&gt;"",INDEX(Base!$G$1:$G$5000,$A100+AF$1+2),"")</f>
        <v>0</v>
      </c>
      <c r="AG100">
        <f>IF(AG$1&lt;&gt;"",INDEX(Base!$G$1:$G$5000,$A100+AG$1+2),"")</f>
        <v>0</v>
      </c>
      <c r="AH100">
        <f>IF(AH$1&lt;&gt;"",INDEX(Base!$G$1:$G$5000,$A100+AH$1+2),"")</f>
        <v>0</v>
      </c>
      <c r="AI100">
        <f>IF(AI$1&lt;&gt;"",INDEX(Base!$G$1:$G$5000,$A100+AI$1+2),"")</f>
        <v>0</v>
      </c>
      <c r="AJ100">
        <f>IF(AJ$1&lt;&gt;"",INDEX(Base!$G$1:$G$5000,$A100+AJ$1+2),"")</f>
        <v>0</v>
      </c>
      <c r="AK100">
        <f>IF(AK$1&lt;&gt;"",INDEX(Base!$G$1:$G$5000,$A100+AK$1+2),"")</f>
        <v>0</v>
      </c>
      <c r="AL100">
        <f>IF(AL$1&lt;&gt;"",INDEX(Base!$G$1:$G$5000,$A100+AL$1+2),"")</f>
        <v>0</v>
      </c>
      <c r="AM100">
        <f>IF(AM$1&lt;&gt;"",INDEX(Base!$G$1:$G$5000,$A100+AM$1+2),"")</f>
        <v>0</v>
      </c>
      <c r="AN100">
        <f>IF(AN$1&lt;&gt;"",INDEX(Base!$G$1:$G$5000,$A100+AN$1+2),"")</f>
        <v>0</v>
      </c>
      <c r="AO100">
        <f>IF(AO$1&lt;&gt;"",INDEX(Base!$G$1:$G$5000,$A100+AO$1+2),"")</f>
        <v>0</v>
      </c>
      <c r="AP100">
        <f>IF(AP$1&lt;&gt;"",INDEX(Base!$G$1:$G$5000,$A100+AP$1+2),"")</f>
        <v>0</v>
      </c>
      <c r="AQ100">
        <f>IF(AQ$1&lt;&gt;"",INDEX(Base!$G$1:$G$5000,$A100+AQ$1+2),"")</f>
        <v>0</v>
      </c>
      <c r="AR100">
        <f>IF(AR$1&lt;&gt;"",INDEX(Base!$G$1:$G$5000,$A100+AR$1+2),"")</f>
        <v>0</v>
      </c>
      <c r="AS100">
        <f>IF(AS$1&lt;&gt;"",INDEX(Base!$G$1:$G$5000,$A100+AS$1+2),"")</f>
        <v>0</v>
      </c>
      <c r="AT100">
        <f>IF(AT$1&lt;&gt;"",INDEX(Base!$G$1:$G$5000,$A100+AT$1+2),"")</f>
        <v>0</v>
      </c>
      <c r="AU100">
        <f>IF(AU$1&lt;&gt;"",INDEX(Base!$G$1:$G$5000,$A100+AU$1+2),"")</f>
        <v>0</v>
      </c>
      <c r="AV100">
        <f>IF(AV$1&lt;&gt;"",INDEX(Base!$G$1:$G$5000,$A100+AV$1+2),"")</f>
        <v>0</v>
      </c>
      <c r="AW100" s="8">
        <f t="shared" si="5"/>
        <v>0</v>
      </c>
      <c r="AX100">
        <f>IF(AX$1&lt;&gt;"",INDEX(Base!$R$1:$R$4000,$E100+AX$1+2),"")</f>
        <v>0</v>
      </c>
      <c r="AY100">
        <f>IF(AY$1&lt;&gt;"",INDEX(Base!$R$1:$R$4000,$E100+AY$1+2),"")</f>
        <v>0</v>
      </c>
      <c r="AZ100">
        <f>IF(AZ$1&lt;&gt;"",INDEX(Base!$R$1:$R$4000,$E100+AZ$1+2),"")</f>
        <v>0</v>
      </c>
      <c r="BA100">
        <f>IF(BA$1&lt;&gt;"",INDEX(Base!$R$1:$R$4000,$E100+BA$1+2),"")</f>
        <v>0</v>
      </c>
      <c r="BB100">
        <f>IF(BB$1&lt;&gt;"",INDEX(Base!$R$1:$R$4000,$E100+BB$1+2),"")</f>
        <v>0</v>
      </c>
      <c r="BC100">
        <f>IF(BC$1&lt;&gt;"",INDEX(Base!$R$1:$R$4000,$E100+BC$1+2),"")</f>
        <v>0</v>
      </c>
      <c r="BD100">
        <f>IF(BD$1&lt;&gt;"",INDEX(Base!$R$1:$R$4000,$E100+BD$1+2),"")</f>
        <v>0</v>
      </c>
      <c r="BE100">
        <f>IF(BE$1&lt;&gt;"",INDEX(Base!$R$1:$R$4000,$E100+BE$1+2),"")</f>
        <v>0</v>
      </c>
      <c r="BF100">
        <f>IF(BF$1&lt;&gt;"",INDEX(Base!$R$1:$R$4000,$E100+BF$1+2),"")</f>
        <v>0</v>
      </c>
      <c r="BG100">
        <f>IF(BG$1&lt;&gt;"",INDEX(Base!$R$1:$R$4000,$E100+BG$1+2),"")</f>
        <v>0</v>
      </c>
      <c r="BH100">
        <f>IF(BH$1&lt;&gt;"",INDEX(Base!$R$1:$R$4000,$E100+BH$1+2),"")</f>
        <v>0</v>
      </c>
      <c r="BI100">
        <f>IF(BI$1&lt;&gt;"",INDEX(Base!$R$1:$R$4000,$E100+BI$1+2),"")</f>
        <v>0</v>
      </c>
      <c r="BJ100">
        <f>IF(BJ$1&lt;&gt;"",INDEX(Base!$R$1:$R$4000,$E100+BJ$1+2),"")</f>
        <v>0</v>
      </c>
      <c r="BK100">
        <f>IF(BK$1&lt;&gt;"",INDEX(Base!$R$1:$R$4000,$E100+BK$1+2),"")</f>
        <v>0</v>
      </c>
      <c r="BL100">
        <f>IF(BL$1&lt;&gt;"",INDEX(Base!$R$1:$R$4000,$E100+BL$1+2),"")</f>
        <v>0</v>
      </c>
      <c r="BM100">
        <f>IF(BM$1&lt;&gt;"",INDEX(Base!$R$1:$R$4000,$E100+BM$1+2),"")</f>
        <v>0</v>
      </c>
      <c r="BN100">
        <f>IF(BN$1&lt;&gt;"",INDEX(Base!$R$1:$R$4000,$E100+BN$1+2),"")</f>
        <v>0</v>
      </c>
      <c r="BO100">
        <f>IF(BO$1&lt;&gt;"",INDEX(Base!$R$1:$R$4000,$E100+BO$1+2),"")</f>
        <v>0</v>
      </c>
      <c r="BP100">
        <f>IF(BP$1&lt;&gt;"",INDEX(Base!$R$1:$R$4000,$E100+BP$1+2),"")</f>
        <v>0</v>
      </c>
      <c r="BQ100">
        <f>IF(BQ$1&lt;&gt;"",INDEX(Base!$R$1:$R$4000,$E100+BQ$1+2),"")</f>
        <v>0</v>
      </c>
      <c r="BR100">
        <f>IF(BR$1&lt;&gt;"",INDEX(Base!$R$1:$R$4000,$E100+BR$1+2),"")</f>
        <v>0</v>
      </c>
      <c r="BS100">
        <f>IF(BS$1&lt;&gt;"",INDEX(Base!$R$1:$R$4000,$E100+BS$1+2),"")</f>
        <v>0</v>
      </c>
      <c r="BT100">
        <f>IF(BT$1&lt;&gt;"",INDEX(Base!$R$1:$R$4000,$E100+BT$1+2),"")</f>
        <v>0</v>
      </c>
    </row>
    <row r="101" spans="1:72" x14ac:dyDescent="0.3">
      <c r="A101" s="2">
        <f t="shared" si="7"/>
        <v>4317</v>
      </c>
      <c r="B101" s="3" t="str">
        <f>IFERROR(MID(INDEX(Base!A$1:A$5000,Calcoli!A101),47,LEN(INDEX(Base!A$1:A$5000,Calcoli!A101))-41),"")</f>
        <v/>
      </c>
      <c r="C101" s="5" t="str">
        <f>MID(INDEX(Base!A$1:A$5000,Calcoli!A101),42,4)</f>
        <v/>
      </c>
      <c r="D101" s="5" t="str">
        <f>MID(INDEX(Base!A$1:A$5000,Calcoli!A101),13,11)</f>
        <v/>
      </c>
      <c r="E101" s="4">
        <f t="shared" si="6"/>
        <v>3043</v>
      </c>
      <c r="F101" s="3" t="str">
        <f>IFERROR(MID(INDEX(Base!L$1:L$4000,Calcoli!E101),47,LEN(INDEX(Base!L$1:L$4000,Calcoli!E101))-41),"")</f>
        <v/>
      </c>
      <c r="G101" s="5" t="str">
        <f>MID(INDEX(Base!L$1:L$4000,Calcoli!$E101),42,4)</f>
        <v/>
      </c>
      <c r="H101" s="5" t="str">
        <f>MID(INDEX(Base!L$1:L$4000,Calcoli!E101),13,11)</f>
        <v/>
      </c>
      <c r="I101" s="6" t="str">
        <f xml:space="preserve"> IFERROR(MID(INDEX(Base!$V$3:$AB$60,MATCH($F101,Base!$Z$3:$Z$160,0),1),1,14),"")</f>
        <v/>
      </c>
      <c r="J101" s="6" t="str">
        <f xml:space="preserve"> IFERROR(INDEX(Base!$V$3:$AB$160,MATCH($F101,Base!$Z$3:$Z$160,0),2),"")</f>
        <v/>
      </c>
      <c r="K101" s="6" t="str">
        <f xml:space="preserve"> IFERROR(INDEX(Base!$V$3:$AB$160,MATCH($F101,Base!$Z$3:$Z$160,0),3),"")</f>
        <v/>
      </c>
      <c r="L101" s="28" t="str">
        <f xml:space="preserve"> IFERROR(INDEX(Base!$V$3:$AB$160,MATCH($F101,Base!$Z$3:$Z$160,0),4),"")</f>
        <v/>
      </c>
      <c r="M101">
        <f>IF(M$1&lt;&gt;"",INDEX(Base!$G$1:$G$5000,$A101+M$1+2),"")</f>
        <v>0</v>
      </c>
      <c r="N101">
        <f>IF(N$1&lt;&gt;"",INDEX(Base!$G$1:$G$5000,$A101+N$1+2),"")</f>
        <v>0</v>
      </c>
      <c r="O101">
        <f>IF(O$1&lt;&gt;"",INDEX(Base!$G$1:$G$5000,$A101+O$1+2),"")</f>
        <v>0</v>
      </c>
      <c r="P101">
        <f>IF(P$1&lt;&gt;"",INDEX(Base!$G$1:$G$5000,$A101+P$1+2),"")</f>
        <v>0</v>
      </c>
      <c r="Q101">
        <f>IF(Q$1&lt;&gt;"",INDEX(Base!$G$1:$G$5000,$A101+Q$1+2),"")</f>
        <v>0</v>
      </c>
      <c r="R101">
        <f>IF(R$1&lt;&gt;"",INDEX(Base!$G$1:$G$5000,$A101+R$1+2),"")</f>
        <v>0</v>
      </c>
      <c r="S101">
        <f>IF(S$1&lt;&gt;"",INDEX(Base!$G$1:$G$5000,$A101+S$1+2),"")</f>
        <v>0</v>
      </c>
      <c r="T101">
        <f>IF(T$1&lt;&gt;"",INDEX(Base!$G$1:$G$5000,$A101+T$1+2),"")</f>
        <v>0</v>
      </c>
      <c r="U101">
        <f>IF(U$1&lt;&gt;"",INDEX(Base!$G$1:$G$5000,$A101+U$1+2),"")</f>
        <v>0</v>
      </c>
      <c r="V101">
        <f>IF(V$1&lt;&gt;"",INDEX(Base!$G$1:$G$5000,$A101+V$1+2),"")</f>
        <v>0</v>
      </c>
      <c r="W101">
        <f>IF(W$1&lt;&gt;"",INDEX(Base!$G$1:$G$5000,$A101+W$1+2),"")</f>
        <v>0</v>
      </c>
      <c r="X101">
        <f>IF(X$1&lt;&gt;"",INDEX(Base!$G$1:$G$5000,$A101+X$1+2),"")</f>
        <v>0</v>
      </c>
      <c r="Y101">
        <f>IF(Y$1&lt;&gt;"",INDEX(Base!$G$1:$G$5000,$A101+Y$1+2),"")</f>
        <v>0</v>
      </c>
      <c r="Z101">
        <f>IF(Z$1&lt;&gt;"",INDEX(Base!$G$1:$G$5000,$A101+Z$1+2),"")</f>
        <v>0</v>
      </c>
      <c r="AA101">
        <f>IF(AA$1&lt;&gt;"",INDEX(Base!$G$1:$G$5000,$A101+AA$1+2),"")</f>
        <v>0</v>
      </c>
      <c r="AB101">
        <f>IF(AB$1&lt;&gt;"",INDEX(Base!$G$1:$G$5000,$A101+AB$1+2),"")</f>
        <v>0</v>
      </c>
      <c r="AC101">
        <f>IF(AC$1&lt;&gt;"",INDEX(Base!$G$1:$G$5000,$A101+AC$1+2),"")</f>
        <v>0</v>
      </c>
      <c r="AD101">
        <f>IF(AD$1&lt;&gt;"",INDEX(Base!$G$1:$G$5000,$A101+AD$1+2),"")</f>
        <v>0</v>
      </c>
      <c r="AE101">
        <f>IF(AE$1&lt;&gt;"",INDEX(Base!$G$1:$G$5000,$A101+AE$1+2),"")</f>
        <v>0</v>
      </c>
      <c r="AF101">
        <f>IF(AF$1&lt;&gt;"",INDEX(Base!$G$1:$G$5000,$A101+AF$1+2),"")</f>
        <v>0</v>
      </c>
      <c r="AG101">
        <f>IF(AG$1&lt;&gt;"",INDEX(Base!$G$1:$G$5000,$A101+AG$1+2),"")</f>
        <v>0</v>
      </c>
      <c r="AH101">
        <f>IF(AH$1&lt;&gt;"",INDEX(Base!$G$1:$G$5000,$A101+AH$1+2),"")</f>
        <v>0</v>
      </c>
      <c r="AI101">
        <f>IF(AI$1&lt;&gt;"",INDEX(Base!$G$1:$G$5000,$A101+AI$1+2),"")</f>
        <v>0</v>
      </c>
      <c r="AJ101">
        <f>IF(AJ$1&lt;&gt;"",INDEX(Base!$G$1:$G$5000,$A101+AJ$1+2),"")</f>
        <v>0</v>
      </c>
      <c r="AK101">
        <f>IF(AK$1&lt;&gt;"",INDEX(Base!$G$1:$G$5000,$A101+AK$1+2),"")</f>
        <v>0</v>
      </c>
      <c r="AL101">
        <f>IF(AL$1&lt;&gt;"",INDEX(Base!$G$1:$G$5000,$A101+AL$1+2),"")</f>
        <v>0</v>
      </c>
      <c r="AM101">
        <f>IF(AM$1&lt;&gt;"",INDEX(Base!$G$1:$G$5000,$A101+AM$1+2),"")</f>
        <v>0</v>
      </c>
      <c r="AN101">
        <f>IF(AN$1&lt;&gt;"",INDEX(Base!$G$1:$G$5000,$A101+AN$1+2),"")</f>
        <v>0</v>
      </c>
      <c r="AO101">
        <f>IF(AO$1&lt;&gt;"",INDEX(Base!$G$1:$G$5000,$A101+AO$1+2),"")</f>
        <v>0</v>
      </c>
      <c r="AP101">
        <f>IF(AP$1&lt;&gt;"",INDEX(Base!$G$1:$G$5000,$A101+AP$1+2),"")</f>
        <v>0</v>
      </c>
      <c r="AQ101">
        <f>IF(AQ$1&lt;&gt;"",INDEX(Base!$G$1:$G$5000,$A101+AQ$1+2),"")</f>
        <v>0</v>
      </c>
      <c r="AR101">
        <f>IF(AR$1&lt;&gt;"",INDEX(Base!$G$1:$G$5000,$A101+AR$1+2),"")</f>
        <v>0</v>
      </c>
      <c r="AS101">
        <f>IF(AS$1&lt;&gt;"",INDEX(Base!$G$1:$G$5000,$A101+AS$1+2),"")</f>
        <v>0</v>
      </c>
      <c r="AT101">
        <f>IF(AT$1&lt;&gt;"",INDEX(Base!$G$1:$G$5000,$A101+AT$1+2),"")</f>
        <v>0</v>
      </c>
      <c r="AU101">
        <f>IF(AU$1&lt;&gt;"",INDEX(Base!$G$1:$G$5000,$A101+AU$1+2),"")</f>
        <v>0</v>
      </c>
      <c r="AV101">
        <f>IF(AV$1&lt;&gt;"",INDEX(Base!$G$1:$G$5000,$A101+AV$1+2),"")</f>
        <v>0</v>
      </c>
      <c r="AW101" s="8">
        <f t="shared" si="5"/>
        <v>0</v>
      </c>
      <c r="AX101">
        <f>IF(AX$1&lt;&gt;"",INDEX(Base!$R$1:$R$4000,$E101+AX$1+2),"")</f>
        <v>0</v>
      </c>
      <c r="AY101">
        <f>IF(AY$1&lt;&gt;"",INDEX(Base!$R$1:$R$4000,$E101+AY$1+2),"")</f>
        <v>0</v>
      </c>
      <c r="AZ101">
        <f>IF(AZ$1&lt;&gt;"",INDEX(Base!$R$1:$R$4000,$E101+AZ$1+2),"")</f>
        <v>0</v>
      </c>
      <c r="BA101">
        <f>IF(BA$1&lt;&gt;"",INDEX(Base!$R$1:$R$4000,$E101+BA$1+2),"")</f>
        <v>0</v>
      </c>
      <c r="BB101">
        <f>IF(BB$1&lt;&gt;"",INDEX(Base!$R$1:$R$4000,$E101+BB$1+2),"")</f>
        <v>0</v>
      </c>
      <c r="BC101">
        <f>IF(BC$1&lt;&gt;"",INDEX(Base!$R$1:$R$4000,$E101+BC$1+2),"")</f>
        <v>0</v>
      </c>
      <c r="BD101">
        <f>IF(BD$1&lt;&gt;"",INDEX(Base!$R$1:$R$4000,$E101+BD$1+2),"")</f>
        <v>0</v>
      </c>
      <c r="BE101">
        <f>IF(BE$1&lt;&gt;"",INDEX(Base!$R$1:$R$4000,$E101+BE$1+2),"")</f>
        <v>0</v>
      </c>
      <c r="BF101">
        <f>IF(BF$1&lt;&gt;"",INDEX(Base!$R$1:$R$4000,$E101+BF$1+2),"")</f>
        <v>0</v>
      </c>
      <c r="BG101">
        <f>IF(BG$1&lt;&gt;"",INDEX(Base!$R$1:$R$4000,$E101+BG$1+2),"")</f>
        <v>0</v>
      </c>
      <c r="BH101">
        <f>IF(BH$1&lt;&gt;"",INDEX(Base!$R$1:$R$4000,$E101+BH$1+2),"")</f>
        <v>0</v>
      </c>
      <c r="BI101">
        <f>IF(BI$1&lt;&gt;"",INDEX(Base!$R$1:$R$4000,$E101+BI$1+2),"")</f>
        <v>0</v>
      </c>
      <c r="BJ101">
        <f>IF(BJ$1&lt;&gt;"",INDEX(Base!$R$1:$R$4000,$E101+BJ$1+2),"")</f>
        <v>0</v>
      </c>
      <c r="BK101">
        <f>IF(BK$1&lt;&gt;"",INDEX(Base!$R$1:$R$4000,$E101+BK$1+2),"")</f>
        <v>0</v>
      </c>
      <c r="BL101">
        <f>IF(BL$1&lt;&gt;"",INDEX(Base!$R$1:$R$4000,$E101+BL$1+2),"")</f>
        <v>0</v>
      </c>
      <c r="BM101">
        <f>IF(BM$1&lt;&gt;"",INDEX(Base!$R$1:$R$4000,$E101+BM$1+2),"")</f>
        <v>0</v>
      </c>
      <c r="BN101">
        <f>IF(BN$1&lt;&gt;"",INDEX(Base!$R$1:$R$4000,$E101+BN$1+2),"")</f>
        <v>0</v>
      </c>
      <c r="BO101">
        <f>IF(BO$1&lt;&gt;"",INDEX(Base!$R$1:$R$4000,$E101+BO$1+2),"")</f>
        <v>0</v>
      </c>
      <c r="BP101">
        <f>IF(BP$1&lt;&gt;"",INDEX(Base!$R$1:$R$4000,$E101+BP$1+2),"")</f>
        <v>0</v>
      </c>
      <c r="BQ101">
        <f>IF(BQ$1&lt;&gt;"",INDEX(Base!$R$1:$R$4000,$E101+BQ$1+2),"")</f>
        <v>0</v>
      </c>
      <c r="BR101">
        <f>IF(BR$1&lt;&gt;"",INDEX(Base!$R$1:$R$4000,$E101+BR$1+2),"")</f>
        <v>0</v>
      </c>
      <c r="BS101">
        <f>IF(BS$1&lt;&gt;"",INDEX(Base!$R$1:$R$4000,$E101+BS$1+2),"")</f>
        <v>0</v>
      </c>
      <c r="BT101">
        <f>IF(BT$1&lt;&gt;"",INDEX(Base!$R$1:$R$4000,$E101+BT$1+2),"")</f>
        <v>0</v>
      </c>
    </row>
    <row r="102" spans="1:72" x14ac:dyDescent="0.3">
      <c r="A102" s="2">
        <f t="shared" si="7"/>
        <v>4361</v>
      </c>
      <c r="B102" s="3" t="str">
        <f>IFERROR(MID(INDEX(Base!A$1:A$5000,Calcoli!A102),47,LEN(INDEX(Base!A$1:A$5000,Calcoli!A102))-41),"")</f>
        <v/>
      </c>
      <c r="C102" s="5" t="str">
        <f>MID(INDEX(Base!A$1:A$5000,Calcoli!A102),42,4)</f>
        <v/>
      </c>
      <c r="D102" s="5" t="str">
        <f>MID(INDEX(Base!A$1:A$5000,Calcoli!A102),13,11)</f>
        <v/>
      </c>
      <c r="E102" s="4">
        <f t="shared" si="6"/>
        <v>3074</v>
      </c>
      <c r="F102" s="3" t="str">
        <f>IFERROR(MID(INDEX(Base!L$1:L$4000,Calcoli!E102),47,LEN(INDEX(Base!L$1:L$4000,Calcoli!E102))-41),"")</f>
        <v/>
      </c>
      <c r="G102" s="5" t="str">
        <f>MID(INDEX(Base!L$1:L$4000,Calcoli!$E102),42,4)</f>
        <v/>
      </c>
      <c r="H102" s="5" t="str">
        <f>MID(INDEX(Base!L$1:L$4000,Calcoli!E102),13,11)</f>
        <v/>
      </c>
      <c r="I102" s="6" t="str">
        <f xml:space="preserve"> IFERROR(MID(INDEX(Base!$V$3:$AB$60,MATCH($F102,Base!$Z$3:$Z$160,0),1),1,14),"")</f>
        <v/>
      </c>
      <c r="J102" s="6" t="str">
        <f xml:space="preserve"> IFERROR(INDEX(Base!$V$3:$AB$160,MATCH($F102,Base!$Z$3:$Z$160,0),2),"")</f>
        <v/>
      </c>
      <c r="K102" s="6" t="str">
        <f xml:space="preserve"> IFERROR(INDEX(Base!$V$3:$AB$160,MATCH($F102,Base!$Z$3:$Z$160,0),3),"")</f>
        <v/>
      </c>
      <c r="L102" s="28" t="str">
        <f xml:space="preserve"> IFERROR(INDEX(Base!$V$3:$AB$160,MATCH($F102,Base!$Z$3:$Z$160,0),4),"")</f>
        <v/>
      </c>
      <c r="M102">
        <f>IF(M$1&lt;&gt;"",INDEX(Base!$G$1:$G$5000,$A102+M$1+2),"")</f>
        <v>0</v>
      </c>
      <c r="N102">
        <f>IF(N$1&lt;&gt;"",INDEX(Base!$G$1:$G$5000,$A102+N$1+2),"")</f>
        <v>0</v>
      </c>
      <c r="O102">
        <f>IF(O$1&lt;&gt;"",INDEX(Base!$G$1:$G$5000,$A102+O$1+2),"")</f>
        <v>0</v>
      </c>
      <c r="P102">
        <f>IF(P$1&lt;&gt;"",INDEX(Base!$G$1:$G$5000,$A102+P$1+2),"")</f>
        <v>0</v>
      </c>
      <c r="Q102">
        <f>IF(Q$1&lt;&gt;"",INDEX(Base!$G$1:$G$5000,$A102+Q$1+2),"")</f>
        <v>0</v>
      </c>
      <c r="R102">
        <f>IF(R$1&lt;&gt;"",INDEX(Base!$G$1:$G$5000,$A102+R$1+2),"")</f>
        <v>0</v>
      </c>
      <c r="S102">
        <f>IF(S$1&lt;&gt;"",INDEX(Base!$G$1:$G$5000,$A102+S$1+2),"")</f>
        <v>0</v>
      </c>
      <c r="T102">
        <f>IF(T$1&lt;&gt;"",INDEX(Base!$G$1:$G$5000,$A102+T$1+2),"")</f>
        <v>0</v>
      </c>
      <c r="U102">
        <f>IF(U$1&lt;&gt;"",INDEX(Base!$G$1:$G$5000,$A102+U$1+2),"")</f>
        <v>0</v>
      </c>
      <c r="V102">
        <f>IF(V$1&lt;&gt;"",INDEX(Base!$G$1:$G$5000,$A102+V$1+2),"")</f>
        <v>0</v>
      </c>
      <c r="W102">
        <f>IF(W$1&lt;&gt;"",INDEX(Base!$G$1:$G$5000,$A102+W$1+2),"")</f>
        <v>0</v>
      </c>
      <c r="X102">
        <f>IF(X$1&lt;&gt;"",INDEX(Base!$G$1:$G$5000,$A102+X$1+2),"")</f>
        <v>0</v>
      </c>
      <c r="Y102">
        <f>IF(Y$1&lt;&gt;"",INDEX(Base!$G$1:$G$5000,$A102+Y$1+2),"")</f>
        <v>0</v>
      </c>
      <c r="Z102">
        <f>IF(Z$1&lt;&gt;"",INDEX(Base!$G$1:$G$5000,$A102+Z$1+2),"")</f>
        <v>0</v>
      </c>
      <c r="AA102">
        <f>IF(AA$1&lt;&gt;"",INDEX(Base!$G$1:$G$5000,$A102+AA$1+2),"")</f>
        <v>0</v>
      </c>
      <c r="AB102">
        <f>IF(AB$1&lt;&gt;"",INDEX(Base!$G$1:$G$5000,$A102+AB$1+2),"")</f>
        <v>0</v>
      </c>
      <c r="AC102">
        <f>IF(AC$1&lt;&gt;"",INDEX(Base!$G$1:$G$5000,$A102+AC$1+2),"")</f>
        <v>0</v>
      </c>
      <c r="AD102">
        <f>IF(AD$1&lt;&gt;"",INDEX(Base!$G$1:$G$5000,$A102+AD$1+2),"")</f>
        <v>0</v>
      </c>
      <c r="AE102">
        <f>IF(AE$1&lt;&gt;"",INDEX(Base!$G$1:$G$5000,$A102+AE$1+2),"")</f>
        <v>0</v>
      </c>
      <c r="AF102">
        <f>IF(AF$1&lt;&gt;"",INDEX(Base!$G$1:$G$5000,$A102+AF$1+2),"")</f>
        <v>0</v>
      </c>
      <c r="AG102">
        <f>IF(AG$1&lt;&gt;"",INDEX(Base!$G$1:$G$5000,$A102+AG$1+2),"")</f>
        <v>0</v>
      </c>
      <c r="AH102">
        <f>IF(AH$1&lt;&gt;"",INDEX(Base!$G$1:$G$5000,$A102+AH$1+2),"")</f>
        <v>0</v>
      </c>
      <c r="AI102">
        <f>IF(AI$1&lt;&gt;"",INDEX(Base!$G$1:$G$5000,$A102+AI$1+2),"")</f>
        <v>0</v>
      </c>
      <c r="AJ102">
        <f>IF(AJ$1&lt;&gt;"",INDEX(Base!$G$1:$G$5000,$A102+AJ$1+2),"")</f>
        <v>0</v>
      </c>
      <c r="AK102">
        <f>IF(AK$1&lt;&gt;"",INDEX(Base!$G$1:$G$5000,$A102+AK$1+2),"")</f>
        <v>0</v>
      </c>
      <c r="AL102">
        <f>IF(AL$1&lt;&gt;"",INDEX(Base!$G$1:$G$5000,$A102+AL$1+2),"")</f>
        <v>0</v>
      </c>
      <c r="AM102">
        <f>IF(AM$1&lt;&gt;"",INDEX(Base!$G$1:$G$5000,$A102+AM$1+2),"")</f>
        <v>0</v>
      </c>
      <c r="AN102">
        <f>IF(AN$1&lt;&gt;"",INDEX(Base!$G$1:$G$5000,$A102+AN$1+2),"")</f>
        <v>0</v>
      </c>
      <c r="AO102">
        <f>IF(AO$1&lt;&gt;"",INDEX(Base!$G$1:$G$5000,$A102+AO$1+2),"")</f>
        <v>0</v>
      </c>
      <c r="AP102">
        <f>IF(AP$1&lt;&gt;"",INDEX(Base!$G$1:$G$5000,$A102+AP$1+2),"")</f>
        <v>0</v>
      </c>
      <c r="AQ102">
        <f>IF(AQ$1&lt;&gt;"",INDEX(Base!$G$1:$G$5000,$A102+AQ$1+2),"")</f>
        <v>0</v>
      </c>
      <c r="AR102">
        <f>IF(AR$1&lt;&gt;"",INDEX(Base!$G$1:$G$5000,$A102+AR$1+2),"")</f>
        <v>0</v>
      </c>
      <c r="AS102">
        <f>IF(AS$1&lt;&gt;"",INDEX(Base!$G$1:$G$5000,$A102+AS$1+2),"")</f>
        <v>0</v>
      </c>
      <c r="AT102">
        <f>IF(AT$1&lt;&gt;"",INDEX(Base!$G$1:$G$5000,$A102+AT$1+2),"")</f>
        <v>0</v>
      </c>
      <c r="AU102">
        <f>IF(AU$1&lt;&gt;"",INDEX(Base!$G$1:$G$5000,$A102+AU$1+2),"")</f>
        <v>0</v>
      </c>
      <c r="AV102">
        <f>IF(AV$1&lt;&gt;"",INDEX(Base!$G$1:$G$5000,$A102+AV$1+2),"")</f>
        <v>0</v>
      </c>
      <c r="AW102" s="8">
        <f t="shared" si="5"/>
        <v>0</v>
      </c>
      <c r="AX102">
        <f>IF(AX$1&lt;&gt;"",INDEX(Base!$R$1:$R$4000,$E102+AX$1+2),"")</f>
        <v>0</v>
      </c>
      <c r="AY102">
        <f>IF(AY$1&lt;&gt;"",INDEX(Base!$R$1:$R$4000,$E102+AY$1+2),"")</f>
        <v>0</v>
      </c>
      <c r="AZ102">
        <f>IF(AZ$1&lt;&gt;"",INDEX(Base!$R$1:$R$4000,$E102+AZ$1+2),"")</f>
        <v>0</v>
      </c>
      <c r="BA102">
        <f>IF(BA$1&lt;&gt;"",INDEX(Base!$R$1:$R$4000,$E102+BA$1+2),"")</f>
        <v>0</v>
      </c>
      <c r="BB102">
        <f>IF(BB$1&lt;&gt;"",INDEX(Base!$R$1:$R$4000,$E102+BB$1+2),"")</f>
        <v>0</v>
      </c>
      <c r="BC102">
        <f>IF(BC$1&lt;&gt;"",INDEX(Base!$R$1:$R$4000,$E102+BC$1+2),"")</f>
        <v>0</v>
      </c>
      <c r="BD102">
        <f>IF(BD$1&lt;&gt;"",INDEX(Base!$R$1:$R$4000,$E102+BD$1+2),"")</f>
        <v>0</v>
      </c>
      <c r="BE102">
        <f>IF(BE$1&lt;&gt;"",INDEX(Base!$R$1:$R$4000,$E102+BE$1+2),"")</f>
        <v>0</v>
      </c>
      <c r="BF102">
        <f>IF(BF$1&lt;&gt;"",INDEX(Base!$R$1:$R$4000,$E102+BF$1+2),"")</f>
        <v>0</v>
      </c>
      <c r="BG102">
        <f>IF(BG$1&lt;&gt;"",INDEX(Base!$R$1:$R$4000,$E102+BG$1+2),"")</f>
        <v>0</v>
      </c>
      <c r="BH102">
        <f>IF(BH$1&lt;&gt;"",INDEX(Base!$R$1:$R$4000,$E102+BH$1+2),"")</f>
        <v>0</v>
      </c>
      <c r="BI102">
        <f>IF(BI$1&lt;&gt;"",INDEX(Base!$R$1:$R$4000,$E102+BI$1+2),"")</f>
        <v>0</v>
      </c>
      <c r="BJ102">
        <f>IF(BJ$1&lt;&gt;"",INDEX(Base!$R$1:$R$4000,$E102+BJ$1+2),"")</f>
        <v>0</v>
      </c>
      <c r="BK102">
        <f>IF(BK$1&lt;&gt;"",INDEX(Base!$R$1:$R$4000,$E102+BK$1+2),"")</f>
        <v>0</v>
      </c>
      <c r="BL102">
        <f>IF(BL$1&lt;&gt;"",INDEX(Base!$R$1:$R$4000,$E102+BL$1+2),"")</f>
        <v>0</v>
      </c>
      <c r="BM102">
        <f>IF(BM$1&lt;&gt;"",INDEX(Base!$R$1:$R$4000,$E102+BM$1+2),"")</f>
        <v>0</v>
      </c>
      <c r="BN102">
        <f>IF(BN$1&lt;&gt;"",INDEX(Base!$R$1:$R$4000,$E102+BN$1+2),"")</f>
        <v>0</v>
      </c>
      <c r="BO102">
        <f>IF(BO$1&lt;&gt;"",INDEX(Base!$R$1:$R$4000,$E102+BO$1+2),"")</f>
        <v>0</v>
      </c>
      <c r="BP102">
        <f>IF(BP$1&lt;&gt;"",INDEX(Base!$R$1:$R$4000,$E102+BP$1+2),"")</f>
        <v>0</v>
      </c>
      <c r="BQ102">
        <f>IF(BQ$1&lt;&gt;"",INDEX(Base!$R$1:$R$4000,$E102+BQ$1+2),"")</f>
        <v>0</v>
      </c>
      <c r="BR102">
        <f>IF(BR$1&lt;&gt;"",INDEX(Base!$R$1:$R$4000,$E102+BR$1+2),"")</f>
        <v>0</v>
      </c>
      <c r="BS102">
        <f>IF(BS$1&lt;&gt;"",INDEX(Base!$R$1:$R$4000,$E102+BS$1+2),"")</f>
        <v>0</v>
      </c>
      <c r="BT102">
        <f>IF(BT$1&lt;&gt;"",INDEX(Base!$R$1:$R$4000,$E102+BT$1+2),"")</f>
        <v>0</v>
      </c>
    </row>
    <row r="103" spans="1:72" x14ac:dyDescent="0.3">
      <c r="A103" s="2">
        <f t="shared" si="7"/>
        <v>4405</v>
      </c>
      <c r="B103" s="3" t="str">
        <f>IFERROR(MID(INDEX(Base!A$1:A$5000,Calcoli!A103),47,LEN(INDEX(Base!A$1:A$5000,Calcoli!A103))-41),"")</f>
        <v/>
      </c>
      <c r="C103" s="5" t="str">
        <f>MID(INDEX(Base!A$1:A$5000,Calcoli!A103),42,4)</f>
        <v/>
      </c>
      <c r="D103" s="5" t="str">
        <f>MID(INDEX(Base!A$1:A$5000,Calcoli!A103),13,11)</f>
        <v/>
      </c>
      <c r="E103" s="4">
        <f t="shared" si="6"/>
        <v>3105</v>
      </c>
      <c r="F103" s="3" t="str">
        <f>IFERROR(MID(INDEX(Base!L$1:L$4000,Calcoli!E103),47,LEN(INDEX(Base!L$1:L$4000,Calcoli!E103))-41),"")</f>
        <v/>
      </c>
      <c r="G103" s="5" t="str">
        <f>MID(INDEX(Base!L$1:L$4000,Calcoli!$E103),42,4)</f>
        <v/>
      </c>
      <c r="H103" s="5" t="str">
        <f>MID(INDEX(Base!L$1:L$4000,Calcoli!E103),13,11)</f>
        <v/>
      </c>
      <c r="I103" s="6" t="str">
        <f xml:space="preserve"> IFERROR(MID(INDEX(Base!$V$3:$AB$60,MATCH($F103,Base!$Z$3:$Z$160,0),1),1,14),"")</f>
        <v/>
      </c>
      <c r="J103" s="6" t="str">
        <f xml:space="preserve"> IFERROR(INDEX(Base!$V$3:$AB$160,MATCH($F103,Base!$Z$3:$Z$160,0),2),"")</f>
        <v/>
      </c>
      <c r="K103" s="6" t="str">
        <f xml:space="preserve"> IFERROR(INDEX(Base!$V$3:$AB$160,MATCH($F103,Base!$Z$3:$Z$160,0),3),"")</f>
        <v/>
      </c>
      <c r="L103" s="28" t="str">
        <f xml:space="preserve"> IFERROR(INDEX(Base!$V$3:$AB$160,MATCH($F103,Base!$Z$3:$Z$160,0),4),"")</f>
        <v/>
      </c>
      <c r="M103">
        <f>IF(M$1&lt;&gt;"",INDEX(Base!$G$1:$G$5000,$A103+M$1+2),"")</f>
        <v>0</v>
      </c>
      <c r="N103">
        <f>IF(N$1&lt;&gt;"",INDEX(Base!$G$1:$G$5000,$A103+N$1+2),"")</f>
        <v>0</v>
      </c>
      <c r="O103">
        <f>IF(O$1&lt;&gt;"",INDEX(Base!$G$1:$G$5000,$A103+O$1+2),"")</f>
        <v>0</v>
      </c>
      <c r="P103">
        <f>IF(P$1&lt;&gt;"",INDEX(Base!$G$1:$G$5000,$A103+P$1+2),"")</f>
        <v>0</v>
      </c>
      <c r="Q103">
        <f>IF(Q$1&lt;&gt;"",INDEX(Base!$G$1:$G$5000,$A103+Q$1+2),"")</f>
        <v>0</v>
      </c>
      <c r="R103">
        <f>IF(R$1&lt;&gt;"",INDEX(Base!$G$1:$G$5000,$A103+R$1+2),"")</f>
        <v>0</v>
      </c>
      <c r="S103">
        <f>IF(S$1&lt;&gt;"",INDEX(Base!$G$1:$G$5000,$A103+S$1+2),"")</f>
        <v>0</v>
      </c>
      <c r="T103">
        <f>IF(T$1&lt;&gt;"",INDEX(Base!$G$1:$G$5000,$A103+T$1+2),"")</f>
        <v>0</v>
      </c>
      <c r="U103">
        <f>IF(U$1&lt;&gt;"",INDEX(Base!$G$1:$G$5000,$A103+U$1+2),"")</f>
        <v>0</v>
      </c>
      <c r="V103">
        <f>IF(V$1&lt;&gt;"",INDEX(Base!$G$1:$G$5000,$A103+V$1+2),"")</f>
        <v>0</v>
      </c>
      <c r="W103">
        <f>IF(W$1&lt;&gt;"",INDEX(Base!$G$1:$G$5000,$A103+W$1+2),"")</f>
        <v>0</v>
      </c>
      <c r="X103">
        <f>IF(X$1&lt;&gt;"",INDEX(Base!$G$1:$G$5000,$A103+X$1+2),"")</f>
        <v>0</v>
      </c>
      <c r="Y103">
        <f>IF(Y$1&lt;&gt;"",INDEX(Base!$G$1:$G$5000,$A103+Y$1+2),"")</f>
        <v>0</v>
      </c>
      <c r="Z103">
        <f>IF(Z$1&lt;&gt;"",INDEX(Base!$G$1:$G$5000,$A103+Z$1+2),"")</f>
        <v>0</v>
      </c>
      <c r="AA103">
        <f>IF(AA$1&lt;&gt;"",INDEX(Base!$G$1:$G$5000,$A103+AA$1+2),"")</f>
        <v>0</v>
      </c>
      <c r="AB103">
        <f>IF(AB$1&lt;&gt;"",INDEX(Base!$G$1:$G$5000,$A103+AB$1+2),"")</f>
        <v>0</v>
      </c>
      <c r="AC103">
        <f>IF(AC$1&lt;&gt;"",INDEX(Base!$G$1:$G$5000,$A103+AC$1+2),"")</f>
        <v>0</v>
      </c>
      <c r="AD103">
        <f>IF(AD$1&lt;&gt;"",INDEX(Base!$G$1:$G$5000,$A103+AD$1+2),"")</f>
        <v>0</v>
      </c>
      <c r="AE103">
        <f>IF(AE$1&lt;&gt;"",INDEX(Base!$G$1:$G$5000,$A103+AE$1+2),"")</f>
        <v>0</v>
      </c>
      <c r="AF103">
        <f>IF(AF$1&lt;&gt;"",INDEX(Base!$G$1:$G$5000,$A103+AF$1+2),"")</f>
        <v>0</v>
      </c>
      <c r="AG103">
        <f>IF(AG$1&lt;&gt;"",INDEX(Base!$G$1:$G$5000,$A103+AG$1+2),"")</f>
        <v>0</v>
      </c>
      <c r="AH103">
        <f>IF(AH$1&lt;&gt;"",INDEX(Base!$G$1:$G$5000,$A103+AH$1+2),"")</f>
        <v>0</v>
      </c>
      <c r="AI103">
        <f>IF(AI$1&lt;&gt;"",INDEX(Base!$G$1:$G$5000,$A103+AI$1+2),"")</f>
        <v>0</v>
      </c>
      <c r="AJ103">
        <f>IF(AJ$1&lt;&gt;"",INDEX(Base!$G$1:$G$5000,$A103+AJ$1+2),"")</f>
        <v>0</v>
      </c>
      <c r="AK103">
        <f>IF(AK$1&lt;&gt;"",INDEX(Base!$G$1:$G$5000,$A103+AK$1+2),"")</f>
        <v>0</v>
      </c>
      <c r="AL103">
        <f>IF(AL$1&lt;&gt;"",INDEX(Base!$G$1:$G$5000,$A103+AL$1+2),"")</f>
        <v>0</v>
      </c>
      <c r="AM103">
        <f>IF(AM$1&lt;&gt;"",INDEX(Base!$G$1:$G$5000,$A103+AM$1+2),"")</f>
        <v>0</v>
      </c>
      <c r="AN103">
        <f>IF(AN$1&lt;&gt;"",INDEX(Base!$G$1:$G$5000,$A103+AN$1+2),"")</f>
        <v>0</v>
      </c>
      <c r="AO103">
        <f>IF(AO$1&lt;&gt;"",INDEX(Base!$G$1:$G$5000,$A103+AO$1+2),"")</f>
        <v>0</v>
      </c>
      <c r="AP103">
        <f>IF(AP$1&lt;&gt;"",INDEX(Base!$G$1:$G$5000,$A103+AP$1+2),"")</f>
        <v>0</v>
      </c>
      <c r="AQ103">
        <f>IF(AQ$1&lt;&gt;"",INDEX(Base!$G$1:$G$5000,$A103+AQ$1+2),"")</f>
        <v>0</v>
      </c>
      <c r="AR103">
        <f>IF(AR$1&lt;&gt;"",INDEX(Base!$G$1:$G$5000,$A103+AR$1+2),"")</f>
        <v>0</v>
      </c>
      <c r="AS103">
        <f>IF(AS$1&lt;&gt;"",INDEX(Base!$G$1:$G$5000,$A103+AS$1+2),"")</f>
        <v>0</v>
      </c>
      <c r="AT103">
        <f>IF(AT$1&lt;&gt;"",INDEX(Base!$G$1:$G$5000,$A103+AT$1+2),"")</f>
        <v>0</v>
      </c>
      <c r="AU103">
        <f>IF(AU$1&lt;&gt;"",INDEX(Base!$G$1:$G$5000,$A103+AU$1+2),"")</f>
        <v>0</v>
      </c>
      <c r="AV103">
        <f>IF(AV$1&lt;&gt;"",INDEX(Base!$G$1:$G$5000,$A103+AV$1+2),"")</f>
        <v>0</v>
      </c>
      <c r="AW103" s="8">
        <f t="shared" si="5"/>
        <v>0</v>
      </c>
      <c r="AX103">
        <f>IF(AX$1&lt;&gt;"",INDEX(Base!$R$1:$R$4000,$E103+AX$1+2),"")</f>
        <v>0</v>
      </c>
      <c r="AY103">
        <f>IF(AY$1&lt;&gt;"",INDEX(Base!$R$1:$R$4000,$E103+AY$1+2),"")</f>
        <v>0</v>
      </c>
      <c r="AZ103">
        <f>IF(AZ$1&lt;&gt;"",INDEX(Base!$R$1:$R$4000,$E103+AZ$1+2),"")</f>
        <v>0</v>
      </c>
      <c r="BA103">
        <f>IF(BA$1&lt;&gt;"",INDEX(Base!$R$1:$R$4000,$E103+BA$1+2),"")</f>
        <v>0</v>
      </c>
      <c r="BB103">
        <f>IF(BB$1&lt;&gt;"",INDEX(Base!$R$1:$R$4000,$E103+BB$1+2),"")</f>
        <v>0</v>
      </c>
      <c r="BC103">
        <f>IF(BC$1&lt;&gt;"",INDEX(Base!$R$1:$R$4000,$E103+BC$1+2),"")</f>
        <v>0</v>
      </c>
      <c r="BD103">
        <f>IF(BD$1&lt;&gt;"",INDEX(Base!$R$1:$R$4000,$E103+BD$1+2),"")</f>
        <v>0</v>
      </c>
      <c r="BE103">
        <f>IF(BE$1&lt;&gt;"",INDEX(Base!$R$1:$R$4000,$E103+BE$1+2),"")</f>
        <v>0</v>
      </c>
      <c r="BF103">
        <f>IF(BF$1&lt;&gt;"",INDEX(Base!$R$1:$R$4000,$E103+BF$1+2),"")</f>
        <v>0</v>
      </c>
      <c r="BG103">
        <f>IF(BG$1&lt;&gt;"",INDEX(Base!$R$1:$R$4000,$E103+BG$1+2),"")</f>
        <v>0</v>
      </c>
      <c r="BH103">
        <f>IF(BH$1&lt;&gt;"",INDEX(Base!$R$1:$R$4000,$E103+BH$1+2),"")</f>
        <v>0</v>
      </c>
      <c r="BI103">
        <f>IF(BI$1&lt;&gt;"",INDEX(Base!$R$1:$R$4000,$E103+BI$1+2),"")</f>
        <v>0</v>
      </c>
      <c r="BJ103">
        <f>IF(BJ$1&lt;&gt;"",INDEX(Base!$R$1:$R$4000,$E103+BJ$1+2),"")</f>
        <v>0</v>
      </c>
      <c r="BK103">
        <f>IF(BK$1&lt;&gt;"",INDEX(Base!$R$1:$R$4000,$E103+BK$1+2),"")</f>
        <v>0</v>
      </c>
      <c r="BL103">
        <f>IF(BL$1&lt;&gt;"",INDEX(Base!$R$1:$R$4000,$E103+BL$1+2),"")</f>
        <v>0</v>
      </c>
      <c r="BM103">
        <f>IF(BM$1&lt;&gt;"",INDEX(Base!$R$1:$R$4000,$E103+BM$1+2),"")</f>
        <v>0</v>
      </c>
      <c r="BN103">
        <f>IF(BN$1&lt;&gt;"",INDEX(Base!$R$1:$R$4000,$E103+BN$1+2),"")</f>
        <v>0</v>
      </c>
      <c r="BO103">
        <f>IF(BO$1&lt;&gt;"",INDEX(Base!$R$1:$R$4000,$E103+BO$1+2),"")</f>
        <v>0</v>
      </c>
      <c r="BP103">
        <f>IF(BP$1&lt;&gt;"",INDEX(Base!$R$1:$R$4000,$E103+BP$1+2),"")</f>
        <v>0</v>
      </c>
      <c r="BQ103">
        <f>IF(BQ$1&lt;&gt;"",INDEX(Base!$R$1:$R$4000,$E103+BQ$1+2),"")</f>
        <v>0</v>
      </c>
      <c r="BR103">
        <f>IF(BR$1&lt;&gt;"",INDEX(Base!$R$1:$R$4000,$E103+BR$1+2),"")</f>
        <v>0</v>
      </c>
      <c r="BS103">
        <f>IF(BS$1&lt;&gt;"",INDEX(Base!$R$1:$R$4000,$E103+BS$1+2),"")</f>
        <v>0</v>
      </c>
      <c r="BT103">
        <f>IF(BT$1&lt;&gt;"",INDEX(Base!$R$1:$R$4000,$E103+BT$1+2),"")</f>
        <v>0</v>
      </c>
    </row>
    <row r="104" spans="1:72" x14ac:dyDescent="0.3">
      <c r="A104" s="2">
        <f t="shared" si="7"/>
        <v>4449</v>
      </c>
      <c r="B104" s="3" t="str">
        <f>IFERROR(MID(INDEX(Base!A$1:A$5000,Calcoli!A104),47,LEN(INDEX(Base!A$1:A$5000,Calcoli!A104))-41),"")</f>
        <v/>
      </c>
      <c r="C104" s="5" t="str">
        <f>MID(INDEX(Base!A$1:A$5000,Calcoli!A104),42,4)</f>
        <v/>
      </c>
      <c r="D104" s="5" t="str">
        <f>MID(INDEX(Base!A$1:A$5000,Calcoli!A104),13,11)</f>
        <v/>
      </c>
      <c r="E104" s="4">
        <f t="shared" si="6"/>
        <v>3136</v>
      </c>
      <c r="F104" s="3" t="str">
        <f>IFERROR(MID(INDEX(Base!L$1:L$4000,Calcoli!E104),47,LEN(INDEX(Base!L$1:L$4000,Calcoli!E104))-41),"")</f>
        <v/>
      </c>
      <c r="G104" s="5" t="str">
        <f>MID(INDEX(Base!L$1:L$4000,Calcoli!$E104),42,4)</f>
        <v/>
      </c>
      <c r="H104" s="5" t="str">
        <f>MID(INDEX(Base!L$1:L$4000,Calcoli!E104),13,11)</f>
        <v/>
      </c>
      <c r="I104" s="6" t="str">
        <f xml:space="preserve"> IFERROR(MID(INDEX(Base!$V$3:$AB$60,MATCH($F104,Base!$Z$3:$Z$160,0),1),1,14),"")</f>
        <v/>
      </c>
      <c r="J104" s="6" t="str">
        <f xml:space="preserve"> IFERROR(INDEX(Base!$V$3:$AB$160,MATCH($F104,Base!$Z$3:$Z$160,0),2),"")</f>
        <v/>
      </c>
      <c r="K104" s="6" t="str">
        <f xml:space="preserve"> IFERROR(INDEX(Base!$V$3:$AB$160,MATCH($F104,Base!$Z$3:$Z$160,0),3),"")</f>
        <v/>
      </c>
      <c r="L104" s="28" t="str">
        <f xml:space="preserve"> IFERROR(INDEX(Base!$V$3:$AB$160,MATCH($F104,Base!$Z$3:$Z$160,0),4),"")</f>
        <v/>
      </c>
      <c r="M104">
        <f>IF(M$1&lt;&gt;"",INDEX(Base!$G$1:$G$5000,$A104+M$1+2),"")</f>
        <v>0</v>
      </c>
      <c r="N104">
        <f>IF(N$1&lt;&gt;"",INDEX(Base!$G$1:$G$5000,$A104+N$1+2),"")</f>
        <v>0</v>
      </c>
      <c r="O104">
        <f>IF(O$1&lt;&gt;"",INDEX(Base!$G$1:$G$5000,$A104+O$1+2),"")</f>
        <v>0</v>
      </c>
      <c r="P104">
        <f>IF(P$1&lt;&gt;"",INDEX(Base!$G$1:$G$5000,$A104+P$1+2),"")</f>
        <v>0</v>
      </c>
      <c r="Q104">
        <f>IF(Q$1&lt;&gt;"",INDEX(Base!$G$1:$G$5000,$A104+Q$1+2),"")</f>
        <v>0</v>
      </c>
      <c r="R104">
        <f>IF(R$1&lt;&gt;"",INDEX(Base!$G$1:$G$5000,$A104+R$1+2),"")</f>
        <v>0</v>
      </c>
      <c r="S104">
        <f>IF(S$1&lt;&gt;"",INDEX(Base!$G$1:$G$5000,$A104+S$1+2),"")</f>
        <v>0</v>
      </c>
      <c r="T104">
        <f>IF(T$1&lt;&gt;"",INDEX(Base!$G$1:$G$5000,$A104+T$1+2),"")</f>
        <v>0</v>
      </c>
      <c r="U104">
        <f>IF(U$1&lt;&gt;"",INDEX(Base!$G$1:$G$5000,$A104+U$1+2),"")</f>
        <v>0</v>
      </c>
      <c r="V104">
        <f>IF(V$1&lt;&gt;"",INDEX(Base!$G$1:$G$5000,$A104+V$1+2),"")</f>
        <v>0</v>
      </c>
      <c r="W104">
        <f>IF(W$1&lt;&gt;"",INDEX(Base!$G$1:$G$5000,$A104+W$1+2),"")</f>
        <v>0</v>
      </c>
      <c r="X104">
        <f>IF(X$1&lt;&gt;"",INDEX(Base!$G$1:$G$5000,$A104+X$1+2),"")</f>
        <v>0</v>
      </c>
      <c r="Y104">
        <f>IF(Y$1&lt;&gt;"",INDEX(Base!$G$1:$G$5000,$A104+Y$1+2),"")</f>
        <v>0</v>
      </c>
      <c r="Z104">
        <f>IF(Z$1&lt;&gt;"",INDEX(Base!$G$1:$G$5000,$A104+Z$1+2),"")</f>
        <v>0</v>
      </c>
      <c r="AA104">
        <f>IF(AA$1&lt;&gt;"",INDEX(Base!$G$1:$G$5000,$A104+AA$1+2),"")</f>
        <v>0</v>
      </c>
      <c r="AB104">
        <f>IF(AB$1&lt;&gt;"",INDEX(Base!$G$1:$G$5000,$A104+AB$1+2),"")</f>
        <v>0</v>
      </c>
      <c r="AC104">
        <f>IF(AC$1&lt;&gt;"",INDEX(Base!$G$1:$G$5000,$A104+AC$1+2),"")</f>
        <v>0</v>
      </c>
      <c r="AD104">
        <f>IF(AD$1&lt;&gt;"",INDEX(Base!$G$1:$G$5000,$A104+AD$1+2),"")</f>
        <v>0</v>
      </c>
      <c r="AE104">
        <f>IF(AE$1&lt;&gt;"",INDEX(Base!$G$1:$G$5000,$A104+AE$1+2),"")</f>
        <v>0</v>
      </c>
      <c r="AF104">
        <f>IF(AF$1&lt;&gt;"",INDEX(Base!$G$1:$G$5000,$A104+AF$1+2),"")</f>
        <v>0</v>
      </c>
      <c r="AG104">
        <f>IF(AG$1&lt;&gt;"",INDEX(Base!$G$1:$G$5000,$A104+AG$1+2),"")</f>
        <v>0</v>
      </c>
      <c r="AH104">
        <f>IF(AH$1&lt;&gt;"",INDEX(Base!$G$1:$G$5000,$A104+AH$1+2),"")</f>
        <v>0</v>
      </c>
      <c r="AI104">
        <f>IF(AI$1&lt;&gt;"",INDEX(Base!$G$1:$G$5000,$A104+AI$1+2),"")</f>
        <v>0</v>
      </c>
      <c r="AJ104">
        <f>IF(AJ$1&lt;&gt;"",INDEX(Base!$G$1:$G$5000,$A104+AJ$1+2),"")</f>
        <v>0</v>
      </c>
      <c r="AK104">
        <f>IF(AK$1&lt;&gt;"",INDEX(Base!$G$1:$G$5000,$A104+AK$1+2),"")</f>
        <v>0</v>
      </c>
      <c r="AL104">
        <f>IF(AL$1&lt;&gt;"",INDEX(Base!$G$1:$G$5000,$A104+AL$1+2),"")</f>
        <v>0</v>
      </c>
      <c r="AM104">
        <f>IF(AM$1&lt;&gt;"",INDEX(Base!$G$1:$G$5000,$A104+AM$1+2),"")</f>
        <v>0</v>
      </c>
      <c r="AN104">
        <f>IF(AN$1&lt;&gt;"",INDEX(Base!$G$1:$G$5000,$A104+AN$1+2),"")</f>
        <v>0</v>
      </c>
      <c r="AO104">
        <f>IF(AO$1&lt;&gt;"",INDEX(Base!$G$1:$G$5000,$A104+AO$1+2),"")</f>
        <v>0</v>
      </c>
      <c r="AP104">
        <f>IF(AP$1&lt;&gt;"",INDEX(Base!$G$1:$G$5000,$A104+AP$1+2),"")</f>
        <v>0</v>
      </c>
      <c r="AQ104">
        <f>IF(AQ$1&lt;&gt;"",INDEX(Base!$G$1:$G$5000,$A104+AQ$1+2),"")</f>
        <v>0</v>
      </c>
      <c r="AR104">
        <f>IF(AR$1&lt;&gt;"",INDEX(Base!$G$1:$G$5000,$A104+AR$1+2),"")</f>
        <v>0</v>
      </c>
      <c r="AS104">
        <f>IF(AS$1&lt;&gt;"",INDEX(Base!$G$1:$G$5000,$A104+AS$1+2),"")</f>
        <v>0</v>
      </c>
      <c r="AT104">
        <f>IF(AT$1&lt;&gt;"",INDEX(Base!$G$1:$G$5000,$A104+AT$1+2),"")</f>
        <v>0</v>
      </c>
      <c r="AU104">
        <f>IF(AU$1&lt;&gt;"",INDEX(Base!$G$1:$G$5000,$A104+AU$1+2),"")</f>
        <v>0</v>
      </c>
      <c r="AV104">
        <f>IF(AV$1&lt;&gt;"",INDEX(Base!$G$1:$G$5000,$A104+AV$1+2),"")</f>
        <v>0</v>
      </c>
      <c r="AW104" s="8">
        <f t="shared" si="5"/>
        <v>0</v>
      </c>
      <c r="AX104">
        <f>IF(AX$1&lt;&gt;"",INDEX(Base!$R$1:$R$4000,$E104+AX$1+2),"")</f>
        <v>0</v>
      </c>
      <c r="AY104">
        <f>IF(AY$1&lt;&gt;"",INDEX(Base!$R$1:$R$4000,$E104+AY$1+2),"")</f>
        <v>0</v>
      </c>
      <c r="AZ104">
        <f>IF(AZ$1&lt;&gt;"",INDEX(Base!$R$1:$R$4000,$E104+AZ$1+2),"")</f>
        <v>0</v>
      </c>
      <c r="BA104">
        <f>IF(BA$1&lt;&gt;"",INDEX(Base!$R$1:$R$4000,$E104+BA$1+2),"")</f>
        <v>0</v>
      </c>
      <c r="BB104">
        <f>IF(BB$1&lt;&gt;"",INDEX(Base!$R$1:$R$4000,$E104+BB$1+2),"")</f>
        <v>0</v>
      </c>
      <c r="BC104">
        <f>IF(BC$1&lt;&gt;"",INDEX(Base!$R$1:$R$4000,$E104+BC$1+2),"")</f>
        <v>0</v>
      </c>
      <c r="BD104">
        <f>IF(BD$1&lt;&gt;"",INDEX(Base!$R$1:$R$4000,$E104+BD$1+2),"")</f>
        <v>0</v>
      </c>
      <c r="BE104">
        <f>IF(BE$1&lt;&gt;"",INDEX(Base!$R$1:$R$4000,$E104+BE$1+2),"")</f>
        <v>0</v>
      </c>
      <c r="BF104">
        <f>IF(BF$1&lt;&gt;"",INDEX(Base!$R$1:$R$4000,$E104+BF$1+2),"")</f>
        <v>0</v>
      </c>
      <c r="BG104">
        <f>IF(BG$1&lt;&gt;"",INDEX(Base!$R$1:$R$4000,$E104+BG$1+2),"")</f>
        <v>0</v>
      </c>
      <c r="BH104">
        <f>IF(BH$1&lt;&gt;"",INDEX(Base!$R$1:$R$4000,$E104+BH$1+2),"")</f>
        <v>0</v>
      </c>
      <c r="BI104">
        <f>IF(BI$1&lt;&gt;"",INDEX(Base!$R$1:$R$4000,$E104+BI$1+2),"")</f>
        <v>0</v>
      </c>
      <c r="BJ104">
        <f>IF(BJ$1&lt;&gt;"",INDEX(Base!$R$1:$R$4000,$E104+BJ$1+2),"")</f>
        <v>0</v>
      </c>
      <c r="BK104">
        <f>IF(BK$1&lt;&gt;"",INDEX(Base!$R$1:$R$4000,$E104+BK$1+2),"")</f>
        <v>0</v>
      </c>
      <c r="BL104">
        <f>IF(BL$1&lt;&gt;"",INDEX(Base!$R$1:$R$4000,$E104+BL$1+2),"")</f>
        <v>0</v>
      </c>
      <c r="BM104">
        <f>IF(BM$1&lt;&gt;"",INDEX(Base!$R$1:$R$4000,$E104+BM$1+2),"")</f>
        <v>0</v>
      </c>
      <c r="BN104">
        <f>IF(BN$1&lt;&gt;"",INDEX(Base!$R$1:$R$4000,$E104+BN$1+2),"")</f>
        <v>0</v>
      </c>
      <c r="BO104">
        <f>IF(BO$1&lt;&gt;"",INDEX(Base!$R$1:$R$4000,$E104+BO$1+2),"")</f>
        <v>0</v>
      </c>
      <c r="BP104">
        <f>IF(BP$1&lt;&gt;"",INDEX(Base!$R$1:$R$4000,$E104+BP$1+2),"")</f>
        <v>0</v>
      </c>
      <c r="BQ104">
        <f>IF(BQ$1&lt;&gt;"",INDEX(Base!$R$1:$R$4000,$E104+BQ$1+2),"")</f>
        <v>0</v>
      </c>
      <c r="BR104">
        <f>IF(BR$1&lt;&gt;"",INDEX(Base!$R$1:$R$4000,$E104+BR$1+2),"")</f>
        <v>0</v>
      </c>
      <c r="BS104">
        <f>IF(BS$1&lt;&gt;"",INDEX(Base!$R$1:$R$4000,$E104+BS$1+2),"")</f>
        <v>0</v>
      </c>
      <c r="BT104">
        <f>IF(BT$1&lt;&gt;"",INDEX(Base!$R$1:$R$4000,$E104+BT$1+2),"")</f>
        <v>0</v>
      </c>
    </row>
    <row r="105" spans="1:72" x14ac:dyDescent="0.3">
      <c r="A105" s="2">
        <f t="shared" si="7"/>
        <v>4493</v>
      </c>
      <c r="B105" s="3" t="str">
        <f>IFERROR(MID(INDEX(Base!A$1:A$5000,Calcoli!A105),47,LEN(INDEX(Base!A$1:A$5000,Calcoli!A105))-41),"")</f>
        <v/>
      </c>
      <c r="C105" s="5" t="str">
        <f>MID(INDEX(Base!A$1:A$5000,Calcoli!A105),42,4)</f>
        <v/>
      </c>
      <c r="D105" s="5" t="str">
        <f>MID(INDEX(Base!A$1:A$5000,Calcoli!A105),13,11)</f>
        <v/>
      </c>
      <c r="E105" s="4">
        <f t="shared" si="6"/>
        <v>3167</v>
      </c>
      <c r="F105" s="3" t="str">
        <f>IFERROR(MID(INDEX(Base!L$1:L$4000,Calcoli!E105),47,LEN(INDEX(Base!L$1:L$4000,Calcoli!E105))-41),"")</f>
        <v/>
      </c>
      <c r="G105" s="5" t="str">
        <f>MID(INDEX(Base!L$1:L$4000,Calcoli!$E105),42,4)</f>
        <v/>
      </c>
      <c r="H105" s="5" t="str">
        <f>MID(INDEX(Base!L$1:L$4000,Calcoli!E105),13,11)</f>
        <v/>
      </c>
      <c r="I105" s="6" t="str">
        <f xml:space="preserve"> IFERROR(MID(INDEX(Base!$V$3:$AB$60,MATCH($F105,Base!$Z$3:$Z$160,0),1),1,14),"")</f>
        <v/>
      </c>
      <c r="J105" s="6" t="str">
        <f xml:space="preserve"> IFERROR(INDEX(Base!$V$3:$AB$160,MATCH($F105,Base!$Z$3:$Z$160,0),2),"")</f>
        <v/>
      </c>
      <c r="K105" s="6" t="str">
        <f xml:space="preserve"> IFERROR(INDEX(Base!$V$3:$AB$160,MATCH($F105,Base!$Z$3:$Z$160,0),3),"")</f>
        <v/>
      </c>
      <c r="L105" s="28" t="str">
        <f xml:space="preserve"> IFERROR(INDEX(Base!$V$3:$AB$160,MATCH($F105,Base!$Z$3:$Z$160,0),4),"")</f>
        <v/>
      </c>
      <c r="M105">
        <f>IF(M$1&lt;&gt;"",INDEX(Base!$G$1:$G$5000,$A105+M$1+2),"")</f>
        <v>0</v>
      </c>
      <c r="N105">
        <f>IF(N$1&lt;&gt;"",INDEX(Base!$G$1:$G$5000,$A105+N$1+2),"")</f>
        <v>0</v>
      </c>
      <c r="O105">
        <f>IF(O$1&lt;&gt;"",INDEX(Base!$G$1:$G$5000,$A105+O$1+2),"")</f>
        <v>0</v>
      </c>
      <c r="P105">
        <f>IF(P$1&lt;&gt;"",INDEX(Base!$G$1:$G$5000,$A105+P$1+2),"")</f>
        <v>0</v>
      </c>
      <c r="Q105">
        <f>IF(Q$1&lt;&gt;"",INDEX(Base!$G$1:$G$5000,$A105+Q$1+2),"")</f>
        <v>0</v>
      </c>
      <c r="R105">
        <f>IF(R$1&lt;&gt;"",INDEX(Base!$G$1:$G$5000,$A105+R$1+2),"")</f>
        <v>0</v>
      </c>
      <c r="S105">
        <f>IF(S$1&lt;&gt;"",INDEX(Base!$G$1:$G$5000,$A105+S$1+2),"")</f>
        <v>0</v>
      </c>
      <c r="T105">
        <f>IF(T$1&lt;&gt;"",INDEX(Base!$G$1:$G$5000,$A105+T$1+2),"")</f>
        <v>0</v>
      </c>
      <c r="U105">
        <f>IF(U$1&lt;&gt;"",INDEX(Base!$G$1:$G$5000,$A105+U$1+2),"")</f>
        <v>0</v>
      </c>
      <c r="V105">
        <f>IF(V$1&lt;&gt;"",INDEX(Base!$G$1:$G$5000,$A105+V$1+2),"")</f>
        <v>0</v>
      </c>
      <c r="W105">
        <f>IF(W$1&lt;&gt;"",INDEX(Base!$G$1:$G$5000,$A105+W$1+2),"")</f>
        <v>0</v>
      </c>
      <c r="X105">
        <f>IF(X$1&lt;&gt;"",INDEX(Base!$G$1:$G$5000,$A105+X$1+2),"")</f>
        <v>0</v>
      </c>
      <c r="Y105">
        <f>IF(Y$1&lt;&gt;"",INDEX(Base!$G$1:$G$5000,$A105+Y$1+2),"")</f>
        <v>0</v>
      </c>
      <c r="Z105">
        <f>IF(Z$1&lt;&gt;"",INDEX(Base!$G$1:$G$5000,$A105+Z$1+2),"")</f>
        <v>0</v>
      </c>
      <c r="AA105">
        <f>IF(AA$1&lt;&gt;"",INDEX(Base!$G$1:$G$5000,$A105+AA$1+2),"")</f>
        <v>0</v>
      </c>
      <c r="AB105">
        <f>IF(AB$1&lt;&gt;"",INDEX(Base!$G$1:$G$5000,$A105+AB$1+2),"")</f>
        <v>0</v>
      </c>
      <c r="AC105">
        <f>IF(AC$1&lt;&gt;"",INDEX(Base!$G$1:$G$5000,$A105+AC$1+2),"")</f>
        <v>0</v>
      </c>
      <c r="AD105">
        <f>IF(AD$1&lt;&gt;"",INDEX(Base!$G$1:$G$5000,$A105+AD$1+2),"")</f>
        <v>0</v>
      </c>
      <c r="AE105">
        <f>IF(AE$1&lt;&gt;"",INDEX(Base!$G$1:$G$5000,$A105+AE$1+2),"")</f>
        <v>0</v>
      </c>
      <c r="AF105">
        <f>IF(AF$1&lt;&gt;"",INDEX(Base!$G$1:$G$5000,$A105+AF$1+2),"")</f>
        <v>0</v>
      </c>
      <c r="AG105">
        <f>IF(AG$1&lt;&gt;"",INDEX(Base!$G$1:$G$5000,$A105+AG$1+2),"")</f>
        <v>0</v>
      </c>
      <c r="AH105">
        <f>IF(AH$1&lt;&gt;"",INDEX(Base!$G$1:$G$5000,$A105+AH$1+2),"")</f>
        <v>0</v>
      </c>
      <c r="AI105">
        <f>IF(AI$1&lt;&gt;"",INDEX(Base!$G$1:$G$5000,$A105+AI$1+2),"")</f>
        <v>0</v>
      </c>
      <c r="AJ105">
        <f>IF(AJ$1&lt;&gt;"",INDEX(Base!$G$1:$G$5000,$A105+AJ$1+2),"")</f>
        <v>0</v>
      </c>
      <c r="AK105">
        <f>IF(AK$1&lt;&gt;"",INDEX(Base!$G$1:$G$5000,$A105+AK$1+2),"")</f>
        <v>0</v>
      </c>
      <c r="AL105">
        <f>IF(AL$1&lt;&gt;"",INDEX(Base!$G$1:$G$5000,$A105+AL$1+2),"")</f>
        <v>0</v>
      </c>
      <c r="AM105">
        <f>IF(AM$1&lt;&gt;"",INDEX(Base!$G$1:$G$5000,$A105+AM$1+2),"")</f>
        <v>0</v>
      </c>
      <c r="AN105">
        <f>IF(AN$1&lt;&gt;"",INDEX(Base!$G$1:$G$5000,$A105+AN$1+2),"")</f>
        <v>0</v>
      </c>
      <c r="AO105">
        <f>IF(AO$1&lt;&gt;"",INDEX(Base!$G$1:$G$5000,$A105+AO$1+2),"")</f>
        <v>0</v>
      </c>
      <c r="AP105">
        <f>IF(AP$1&lt;&gt;"",INDEX(Base!$G$1:$G$5000,$A105+AP$1+2),"")</f>
        <v>0</v>
      </c>
      <c r="AQ105">
        <f>IF(AQ$1&lt;&gt;"",INDEX(Base!$G$1:$G$5000,$A105+AQ$1+2),"")</f>
        <v>0</v>
      </c>
      <c r="AR105">
        <f>IF(AR$1&lt;&gt;"",INDEX(Base!$G$1:$G$5000,$A105+AR$1+2),"")</f>
        <v>0</v>
      </c>
      <c r="AS105">
        <f>IF(AS$1&lt;&gt;"",INDEX(Base!$G$1:$G$5000,$A105+AS$1+2),"")</f>
        <v>0</v>
      </c>
      <c r="AT105">
        <f>IF(AT$1&lt;&gt;"",INDEX(Base!$G$1:$G$5000,$A105+AT$1+2),"")</f>
        <v>0</v>
      </c>
      <c r="AU105">
        <f>IF(AU$1&lt;&gt;"",INDEX(Base!$G$1:$G$5000,$A105+AU$1+2),"")</f>
        <v>0</v>
      </c>
      <c r="AV105">
        <f>IF(AV$1&lt;&gt;"",INDEX(Base!$G$1:$G$5000,$A105+AV$1+2),"")</f>
        <v>0</v>
      </c>
      <c r="AW105" s="8">
        <f t="shared" si="5"/>
        <v>0</v>
      </c>
      <c r="AX105">
        <f>IF(AX$1&lt;&gt;"",INDEX(Base!$R$1:$R$4000,$E105+AX$1+2),"")</f>
        <v>0</v>
      </c>
      <c r="AY105">
        <f>IF(AY$1&lt;&gt;"",INDEX(Base!$R$1:$R$4000,$E105+AY$1+2),"")</f>
        <v>0</v>
      </c>
      <c r="AZ105">
        <f>IF(AZ$1&lt;&gt;"",INDEX(Base!$R$1:$R$4000,$E105+AZ$1+2),"")</f>
        <v>0</v>
      </c>
      <c r="BA105">
        <f>IF(BA$1&lt;&gt;"",INDEX(Base!$R$1:$R$4000,$E105+BA$1+2),"")</f>
        <v>0</v>
      </c>
      <c r="BB105">
        <f>IF(BB$1&lt;&gt;"",INDEX(Base!$R$1:$R$4000,$E105+BB$1+2),"")</f>
        <v>0</v>
      </c>
      <c r="BC105">
        <f>IF(BC$1&lt;&gt;"",INDEX(Base!$R$1:$R$4000,$E105+BC$1+2),"")</f>
        <v>0</v>
      </c>
      <c r="BD105">
        <f>IF(BD$1&lt;&gt;"",INDEX(Base!$R$1:$R$4000,$E105+BD$1+2),"")</f>
        <v>0</v>
      </c>
      <c r="BE105">
        <f>IF(BE$1&lt;&gt;"",INDEX(Base!$R$1:$R$4000,$E105+BE$1+2),"")</f>
        <v>0</v>
      </c>
      <c r="BF105">
        <f>IF(BF$1&lt;&gt;"",INDEX(Base!$R$1:$R$4000,$E105+BF$1+2),"")</f>
        <v>0</v>
      </c>
      <c r="BG105">
        <f>IF(BG$1&lt;&gt;"",INDEX(Base!$R$1:$R$4000,$E105+BG$1+2),"")</f>
        <v>0</v>
      </c>
      <c r="BH105">
        <f>IF(BH$1&lt;&gt;"",INDEX(Base!$R$1:$R$4000,$E105+BH$1+2),"")</f>
        <v>0</v>
      </c>
      <c r="BI105">
        <f>IF(BI$1&lt;&gt;"",INDEX(Base!$R$1:$R$4000,$E105+BI$1+2),"")</f>
        <v>0</v>
      </c>
      <c r="BJ105">
        <f>IF(BJ$1&lt;&gt;"",INDEX(Base!$R$1:$R$4000,$E105+BJ$1+2),"")</f>
        <v>0</v>
      </c>
      <c r="BK105">
        <f>IF(BK$1&lt;&gt;"",INDEX(Base!$R$1:$R$4000,$E105+BK$1+2),"")</f>
        <v>0</v>
      </c>
      <c r="BL105">
        <f>IF(BL$1&lt;&gt;"",INDEX(Base!$R$1:$R$4000,$E105+BL$1+2),"")</f>
        <v>0</v>
      </c>
      <c r="BM105">
        <f>IF(BM$1&lt;&gt;"",INDEX(Base!$R$1:$R$4000,$E105+BM$1+2),"")</f>
        <v>0</v>
      </c>
      <c r="BN105">
        <f>IF(BN$1&lt;&gt;"",INDEX(Base!$R$1:$R$4000,$E105+BN$1+2),"")</f>
        <v>0</v>
      </c>
      <c r="BO105">
        <f>IF(BO$1&lt;&gt;"",INDEX(Base!$R$1:$R$4000,$E105+BO$1+2),"")</f>
        <v>0</v>
      </c>
      <c r="BP105">
        <f>IF(BP$1&lt;&gt;"",INDEX(Base!$R$1:$R$4000,$E105+BP$1+2),"")</f>
        <v>0</v>
      </c>
      <c r="BQ105">
        <f>IF(BQ$1&lt;&gt;"",INDEX(Base!$R$1:$R$4000,$E105+BQ$1+2),"")</f>
        <v>0</v>
      </c>
      <c r="BR105">
        <f>IF(BR$1&lt;&gt;"",INDEX(Base!$R$1:$R$4000,$E105+BR$1+2),"")</f>
        <v>0</v>
      </c>
      <c r="BS105">
        <f>IF(BS$1&lt;&gt;"",INDEX(Base!$R$1:$R$4000,$E105+BS$1+2),"")</f>
        <v>0</v>
      </c>
      <c r="BT105">
        <f>IF(BT$1&lt;&gt;"",INDEX(Base!$R$1:$R$4000,$E105+BT$1+2),"")</f>
        <v>0</v>
      </c>
    </row>
    <row r="106" spans="1:72" x14ac:dyDescent="0.3">
      <c r="A106" s="2">
        <f t="shared" si="7"/>
        <v>4537</v>
      </c>
      <c r="B106" s="3" t="str">
        <f>IFERROR(MID(INDEX(Base!A$1:A$5000,Calcoli!A106),47,LEN(INDEX(Base!A$1:A$5000,Calcoli!A106))-41),"")</f>
        <v/>
      </c>
      <c r="C106" s="5" t="str">
        <f>MID(INDEX(Base!A$1:A$5000,Calcoli!A106),42,4)</f>
        <v/>
      </c>
      <c r="D106" s="5" t="str">
        <f>MID(INDEX(Base!A$1:A$5000,Calcoli!A106),13,11)</f>
        <v/>
      </c>
      <c r="E106" s="4">
        <f t="shared" si="6"/>
        <v>3198</v>
      </c>
      <c r="F106" s="3" t="str">
        <f>IFERROR(MID(INDEX(Base!L$1:L$4000,Calcoli!E106),47,LEN(INDEX(Base!L$1:L$4000,Calcoli!E106))-41),"")</f>
        <v/>
      </c>
      <c r="G106" s="5" t="str">
        <f>MID(INDEX(Base!L$1:L$4000,Calcoli!$E106),42,4)</f>
        <v/>
      </c>
      <c r="H106" s="5" t="str">
        <f>MID(INDEX(Base!L$1:L$4000,Calcoli!E106),13,11)</f>
        <v/>
      </c>
      <c r="I106" s="6" t="str">
        <f xml:space="preserve"> IFERROR(MID(INDEX(Base!$V$3:$AB$60,MATCH($F106,Base!$Z$3:$Z$160,0),1),1,14),"")</f>
        <v/>
      </c>
      <c r="J106" s="6" t="str">
        <f xml:space="preserve"> IFERROR(INDEX(Base!$V$3:$AB$160,MATCH($F106,Base!$Z$3:$Z$160,0),2),"")</f>
        <v/>
      </c>
      <c r="K106" s="6" t="str">
        <f xml:space="preserve"> IFERROR(INDEX(Base!$V$3:$AB$160,MATCH($F106,Base!$Z$3:$Z$160,0),3),"")</f>
        <v/>
      </c>
      <c r="L106" s="28" t="str">
        <f xml:space="preserve"> IFERROR(INDEX(Base!$V$3:$AB$160,MATCH($F106,Base!$Z$3:$Z$160,0),4),"")</f>
        <v/>
      </c>
      <c r="M106">
        <f>IF(M$1&lt;&gt;"",INDEX(Base!$G$1:$G$5000,$A106+M$1+2),"")</f>
        <v>0</v>
      </c>
      <c r="N106">
        <f>IF(N$1&lt;&gt;"",INDEX(Base!$G$1:$G$5000,$A106+N$1+2),"")</f>
        <v>0</v>
      </c>
      <c r="O106">
        <f>IF(O$1&lt;&gt;"",INDEX(Base!$G$1:$G$5000,$A106+O$1+2),"")</f>
        <v>0</v>
      </c>
      <c r="P106">
        <f>IF(P$1&lt;&gt;"",INDEX(Base!$G$1:$G$5000,$A106+P$1+2),"")</f>
        <v>0</v>
      </c>
      <c r="Q106">
        <f>IF(Q$1&lt;&gt;"",INDEX(Base!$G$1:$G$5000,$A106+Q$1+2),"")</f>
        <v>0</v>
      </c>
      <c r="R106">
        <f>IF(R$1&lt;&gt;"",INDEX(Base!$G$1:$G$5000,$A106+R$1+2),"")</f>
        <v>0</v>
      </c>
      <c r="S106">
        <f>IF(S$1&lt;&gt;"",INDEX(Base!$G$1:$G$5000,$A106+S$1+2),"")</f>
        <v>0</v>
      </c>
      <c r="T106">
        <f>IF(T$1&lt;&gt;"",INDEX(Base!$G$1:$G$5000,$A106+T$1+2),"")</f>
        <v>0</v>
      </c>
      <c r="U106">
        <f>IF(U$1&lt;&gt;"",INDEX(Base!$G$1:$G$5000,$A106+U$1+2),"")</f>
        <v>0</v>
      </c>
      <c r="V106">
        <f>IF(V$1&lt;&gt;"",INDEX(Base!$G$1:$G$5000,$A106+V$1+2),"")</f>
        <v>0</v>
      </c>
      <c r="W106">
        <f>IF(W$1&lt;&gt;"",INDEX(Base!$G$1:$G$5000,$A106+W$1+2),"")</f>
        <v>0</v>
      </c>
      <c r="X106">
        <f>IF(X$1&lt;&gt;"",INDEX(Base!$G$1:$G$5000,$A106+X$1+2),"")</f>
        <v>0</v>
      </c>
      <c r="Y106">
        <f>IF(Y$1&lt;&gt;"",INDEX(Base!$G$1:$G$5000,$A106+Y$1+2),"")</f>
        <v>0</v>
      </c>
      <c r="Z106">
        <f>IF(Z$1&lt;&gt;"",INDEX(Base!$G$1:$G$5000,$A106+Z$1+2),"")</f>
        <v>0</v>
      </c>
      <c r="AA106">
        <f>IF(AA$1&lt;&gt;"",INDEX(Base!$G$1:$G$5000,$A106+AA$1+2),"")</f>
        <v>0</v>
      </c>
      <c r="AB106">
        <f>IF(AB$1&lt;&gt;"",INDEX(Base!$G$1:$G$5000,$A106+AB$1+2),"")</f>
        <v>0</v>
      </c>
      <c r="AC106">
        <f>IF(AC$1&lt;&gt;"",INDEX(Base!$G$1:$G$5000,$A106+AC$1+2),"")</f>
        <v>0</v>
      </c>
      <c r="AD106">
        <f>IF(AD$1&lt;&gt;"",INDEX(Base!$G$1:$G$5000,$A106+AD$1+2),"")</f>
        <v>0</v>
      </c>
      <c r="AE106">
        <f>IF(AE$1&lt;&gt;"",INDEX(Base!$G$1:$G$5000,$A106+AE$1+2),"")</f>
        <v>0</v>
      </c>
      <c r="AF106">
        <f>IF(AF$1&lt;&gt;"",INDEX(Base!$G$1:$G$5000,$A106+AF$1+2),"")</f>
        <v>0</v>
      </c>
      <c r="AG106">
        <f>IF(AG$1&lt;&gt;"",INDEX(Base!$G$1:$G$5000,$A106+AG$1+2),"")</f>
        <v>0</v>
      </c>
      <c r="AH106">
        <f>IF(AH$1&lt;&gt;"",INDEX(Base!$G$1:$G$5000,$A106+AH$1+2),"")</f>
        <v>0</v>
      </c>
      <c r="AI106">
        <f>IF(AI$1&lt;&gt;"",INDEX(Base!$G$1:$G$5000,$A106+AI$1+2),"")</f>
        <v>0</v>
      </c>
      <c r="AJ106">
        <f>IF(AJ$1&lt;&gt;"",INDEX(Base!$G$1:$G$5000,$A106+AJ$1+2),"")</f>
        <v>0</v>
      </c>
      <c r="AK106">
        <f>IF(AK$1&lt;&gt;"",INDEX(Base!$G$1:$G$5000,$A106+AK$1+2),"")</f>
        <v>0</v>
      </c>
      <c r="AL106">
        <f>IF(AL$1&lt;&gt;"",INDEX(Base!$G$1:$G$5000,$A106+AL$1+2),"")</f>
        <v>0</v>
      </c>
      <c r="AM106">
        <f>IF(AM$1&lt;&gt;"",INDEX(Base!$G$1:$G$5000,$A106+AM$1+2),"")</f>
        <v>0</v>
      </c>
      <c r="AN106">
        <f>IF(AN$1&lt;&gt;"",INDEX(Base!$G$1:$G$5000,$A106+AN$1+2),"")</f>
        <v>0</v>
      </c>
      <c r="AO106">
        <f>IF(AO$1&lt;&gt;"",INDEX(Base!$G$1:$G$5000,$A106+AO$1+2),"")</f>
        <v>0</v>
      </c>
      <c r="AP106">
        <f>IF(AP$1&lt;&gt;"",INDEX(Base!$G$1:$G$5000,$A106+AP$1+2),"")</f>
        <v>0</v>
      </c>
      <c r="AQ106">
        <f>IF(AQ$1&lt;&gt;"",INDEX(Base!$G$1:$G$5000,$A106+AQ$1+2),"")</f>
        <v>0</v>
      </c>
      <c r="AR106">
        <f>IF(AR$1&lt;&gt;"",INDEX(Base!$G$1:$G$5000,$A106+AR$1+2),"")</f>
        <v>0</v>
      </c>
      <c r="AS106">
        <f>IF(AS$1&lt;&gt;"",INDEX(Base!$G$1:$G$5000,$A106+AS$1+2),"")</f>
        <v>0</v>
      </c>
      <c r="AT106">
        <f>IF(AT$1&lt;&gt;"",INDEX(Base!$G$1:$G$5000,$A106+AT$1+2),"")</f>
        <v>0</v>
      </c>
      <c r="AU106">
        <f>IF(AU$1&lt;&gt;"",INDEX(Base!$G$1:$G$5000,$A106+AU$1+2),"")</f>
        <v>0</v>
      </c>
      <c r="AV106">
        <f>IF(AV$1&lt;&gt;"",INDEX(Base!$G$1:$G$5000,$A106+AV$1+2),"")</f>
        <v>0</v>
      </c>
      <c r="AW106" s="8">
        <f t="shared" si="5"/>
        <v>0</v>
      </c>
      <c r="AX106">
        <f>IF(AX$1&lt;&gt;"",INDEX(Base!$R$1:$R$4000,$E106+AX$1+2),"")</f>
        <v>0</v>
      </c>
      <c r="AY106">
        <f>IF(AY$1&lt;&gt;"",INDEX(Base!$R$1:$R$4000,$E106+AY$1+2),"")</f>
        <v>0</v>
      </c>
      <c r="AZ106">
        <f>IF(AZ$1&lt;&gt;"",INDEX(Base!$R$1:$R$4000,$E106+AZ$1+2),"")</f>
        <v>0</v>
      </c>
      <c r="BA106">
        <f>IF(BA$1&lt;&gt;"",INDEX(Base!$R$1:$R$4000,$E106+BA$1+2),"")</f>
        <v>0</v>
      </c>
      <c r="BB106">
        <f>IF(BB$1&lt;&gt;"",INDEX(Base!$R$1:$R$4000,$E106+BB$1+2),"")</f>
        <v>0</v>
      </c>
      <c r="BC106">
        <f>IF(BC$1&lt;&gt;"",INDEX(Base!$R$1:$R$4000,$E106+BC$1+2),"")</f>
        <v>0</v>
      </c>
      <c r="BD106">
        <f>IF(BD$1&lt;&gt;"",INDEX(Base!$R$1:$R$4000,$E106+BD$1+2),"")</f>
        <v>0</v>
      </c>
      <c r="BE106">
        <f>IF(BE$1&lt;&gt;"",INDEX(Base!$R$1:$R$4000,$E106+BE$1+2),"")</f>
        <v>0</v>
      </c>
      <c r="BF106">
        <f>IF(BF$1&lt;&gt;"",INDEX(Base!$R$1:$R$4000,$E106+BF$1+2),"")</f>
        <v>0</v>
      </c>
      <c r="BG106">
        <f>IF(BG$1&lt;&gt;"",INDEX(Base!$R$1:$R$4000,$E106+BG$1+2),"")</f>
        <v>0</v>
      </c>
      <c r="BH106">
        <f>IF(BH$1&lt;&gt;"",INDEX(Base!$R$1:$R$4000,$E106+BH$1+2),"")</f>
        <v>0</v>
      </c>
      <c r="BI106">
        <f>IF(BI$1&lt;&gt;"",INDEX(Base!$R$1:$R$4000,$E106+BI$1+2),"")</f>
        <v>0</v>
      </c>
      <c r="BJ106">
        <f>IF(BJ$1&lt;&gt;"",INDEX(Base!$R$1:$R$4000,$E106+BJ$1+2),"")</f>
        <v>0</v>
      </c>
      <c r="BK106">
        <f>IF(BK$1&lt;&gt;"",INDEX(Base!$R$1:$R$4000,$E106+BK$1+2),"")</f>
        <v>0</v>
      </c>
      <c r="BL106">
        <f>IF(BL$1&lt;&gt;"",INDEX(Base!$R$1:$R$4000,$E106+BL$1+2),"")</f>
        <v>0</v>
      </c>
      <c r="BM106">
        <f>IF(BM$1&lt;&gt;"",INDEX(Base!$R$1:$R$4000,$E106+BM$1+2),"")</f>
        <v>0</v>
      </c>
      <c r="BN106">
        <f>IF(BN$1&lt;&gt;"",INDEX(Base!$R$1:$R$4000,$E106+BN$1+2),"")</f>
        <v>0</v>
      </c>
      <c r="BO106">
        <f>IF(BO$1&lt;&gt;"",INDEX(Base!$R$1:$R$4000,$E106+BO$1+2),"")</f>
        <v>0</v>
      </c>
      <c r="BP106">
        <f>IF(BP$1&lt;&gt;"",INDEX(Base!$R$1:$R$4000,$E106+BP$1+2),"")</f>
        <v>0</v>
      </c>
      <c r="BQ106">
        <f>IF(BQ$1&lt;&gt;"",INDEX(Base!$R$1:$R$4000,$E106+BQ$1+2),"")</f>
        <v>0</v>
      </c>
      <c r="BR106">
        <f>IF(BR$1&lt;&gt;"",INDEX(Base!$R$1:$R$4000,$E106+BR$1+2),"")</f>
        <v>0</v>
      </c>
      <c r="BS106">
        <f>IF(BS$1&lt;&gt;"",INDEX(Base!$R$1:$R$4000,$E106+BS$1+2),"")</f>
        <v>0</v>
      </c>
      <c r="BT106">
        <f>IF(BT$1&lt;&gt;"",INDEX(Base!$R$1:$R$4000,$E106+BT$1+2),"")</f>
        <v>0</v>
      </c>
    </row>
    <row r="107" spans="1:72" x14ac:dyDescent="0.3">
      <c r="A107" s="2">
        <f t="shared" si="7"/>
        <v>4581</v>
      </c>
      <c r="B107" s="3" t="str">
        <f>IFERROR(MID(INDEX(Base!A$1:A$5000,Calcoli!A107),47,LEN(INDEX(Base!A$1:A$5000,Calcoli!A107))-41),"")</f>
        <v/>
      </c>
      <c r="C107" s="5" t="str">
        <f>MID(INDEX(Base!A$1:A$5000,Calcoli!A107),42,4)</f>
        <v/>
      </c>
      <c r="D107" s="5" t="str">
        <f>MID(INDEX(Base!A$1:A$5000,Calcoli!A107),13,11)</f>
        <v/>
      </c>
      <c r="E107" s="4">
        <f t="shared" si="6"/>
        <v>3229</v>
      </c>
      <c r="F107" s="3" t="str">
        <f>IFERROR(MID(INDEX(Base!L$1:L$4000,Calcoli!E107),47,LEN(INDEX(Base!L$1:L$4000,Calcoli!E107))-41),"")</f>
        <v/>
      </c>
      <c r="G107" s="5" t="str">
        <f>MID(INDEX(Base!L$1:L$4000,Calcoli!$E107),42,4)</f>
        <v/>
      </c>
      <c r="H107" s="5" t="str">
        <f>MID(INDEX(Base!L$1:L$4000,Calcoli!E107),13,11)</f>
        <v/>
      </c>
      <c r="I107" s="6" t="str">
        <f xml:space="preserve"> IFERROR(MID(INDEX(Base!$V$3:$AB$60,MATCH($F107,Base!$Z$3:$Z$160,0),1),1,14),"")</f>
        <v/>
      </c>
      <c r="J107" s="6" t="str">
        <f xml:space="preserve"> IFERROR(INDEX(Base!$V$3:$AB$160,MATCH($F107,Base!$Z$3:$Z$160,0),2),"")</f>
        <v/>
      </c>
      <c r="K107" s="6" t="str">
        <f xml:space="preserve"> IFERROR(INDEX(Base!$V$3:$AB$160,MATCH($F107,Base!$Z$3:$Z$160,0),3),"")</f>
        <v/>
      </c>
      <c r="L107" s="28" t="str">
        <f xml:space="preserve"> IFERROR(INDEX(Base!$V$3:$AB$160,MATCH($F107,Base!$Z$3:$Z$160,0),4),"")</f>
        <v/>
      </c>
      <c r="M107">
        <f>IF(M$1&lt;&gt;"",INDEX(Base!$G$1:$G$5000,$A107+M$1+2),"")</f>
        <v>0</v>
      </c>
      <c r="N107">
        <f>IF(N$1&lt;&gt;"",INDEX(Base!$G$1:$G$5000,$A107+N$1+2),"")</f>
        <v>0</v>
      </c>
      <c r="O107">
        <f>IF(O$1&lt;&gt;"",INDEX(Base!$G$1:$G$5000,$A107+O$1+2),"")</f>
        <v>0</v>
      </c>
      <c r="P107">
        <f>IF(P$1&lt;&gt;"",INDEX(Base!$G$1:$G$5000,$A107+P$1+2),"")</f>
        <v>0</v>
      </c>
      <c r="Q107">
        <f>IF(Q$1&lt;&gt;"",INDEX(Base!$G$1:$G$5000,$A107+Q$1+2),"")</f>
        <v>0</v>
      </c>
      <c r="R107">
        <f>IF(R$1&lt;&gt;"",INDEX(Base!$G$1:$G$5000,$A107+R$1+2),"")</f>
        <v>0</v>
      </c>
      <c r="S107">
        <f>IF(S$1&lt;&gt;"",INDEX(Base!$G$1:$G$5000,$A107+S$1+2),"")</f>
        <v>0</v>
      </c>
      <c r="T107">
        <f>IF(T$1&lt;&gt;"",INDEX(Base!$G$1:$G$5000,$A107+T$1+2),"")</f>
        <v>0</v>
      </c>
      <c r="U107">
        <f>IF(U$1&lt;&gt;"",INDEX(Base!$G$1:$G$5000,$A107+U$1+2),"")</f>
        <v>0</v>
      </c>
      <c r="V107">
        <f>IF(V$1&lt;&gt;"",INDEX(Base!$G$1:$G$5000,$A107+V$1+2),"")</f>
        <v>0</v>
      </c>
      <c r="W107">
        <f>IF(W$1&lt;&gt;"",INDEX(Base!$G$1:$G$5000,$A107+W$1+2),"")</f>
        <v>0</v>
      </c>
      <c r="X107">
        <f>IF(X$1&lt;&gt;"",INDEX(Base!$G$1:$G$5000,$A107+X$1+2),"")</f>
        <v>0</v>
      </c>
      <c r="Y107">
        <f>IF(Y$1&lt;&gt;"",INDEX(Base!$G$1:$G$5000,$A107+Y$1+2),"")</f>
        <v>0</v>
      </c>
      <c r="Z107">
        <f>IF(Z$1&lt;&gt;"",INDEX(Base!$G$1:$G$5000,$A107+Z$1+2),"")</f>
        <v>0</v>
      </c>
      <c r="AA107">
        <f>IF(AA$1&lt;&gt;"",INDEX(Base!$G$1:$G$5000,$A107+AA$1+2),"")</f>
        <v>0</v>
      </c>
      <c r="AB107">
        <f>IF(AB$1&lt;&gt;"",INDEX(Base!$G$1:$G$5000,$A107+AB$1+2),"")</f>
        <v>0</v>
      </c>
      <c r="AC107">
        <f>IF(AC$1&lt;&gt;"",INDEX(Base!$G$1:$G$5000,$A107+AC$1+2),"")</f>
        <v>0</v>
      </c>
      <c r="AD107">
        <f>IF(AD$1&lt;&gt;"",INDEX(Base!$G$1:$G$5000,$A107+AD$1+2),"")</f>
        <v>0</v>
      </c>
      <c r="AE107">
        <f>IF(AE$1&lt;&gt;"",INDEX(Base!$G$1:$G$5000,$A107+AE$1+2),"")</f>
        <v>0</v>
      </c>
      <c r="AF107">
        <f>IF(AF$1&lt;&gt;"",INDEX(Base!$G$1:$G$5000,$A107+AF$1+2),"")</f>
        <v>0</v>
      </c>
      <c r="AG107">
        <f>IF(AG$1&lt;&gt;"",INDEX(Base!$G$1:$G$5000,$A107+AG$1+2),"")</f>
        <v>0</v>
      </c>
      <c r="AH107">
        <f>IF(AH$1&lt;&gt;"",INDEX(Base!$G$1:$G$5000,$A107+AH$1+2),"")</f>
        <v>0</v>
      </c>
      <c r="AI107">
        <f>IF(AI$1&lt;&gt;"",INDEX(Base!$G$1:$G$5000,$A107+AI$1+2),"")</f>
        <v>0</v>
      </c>
      <c r="AJ107">
        <f>IF(AJ$1&lt;&gt;"",INDEX(Base!$G$1:$G$5000,$A107+AJ$1+2),"")</f>
        <v>0</v>
      </c>
      <c r="AK107">
        <f>IF(AK$1&lt;&gt;"",INDEX(Base!$G$1:$G$5000,$A107+AK$1+2),"")</f>
        <v>0</v>
      </c>
      <c r="AL107">
        <f>IF(AL$1&lt;&gt;"",INDEX(Base!$G$1:$G$5000,$A107+AL$1+2),"")</f>
        <v>0</v>
      </c>
      <c r="AM107">
        <f>IF(AM$1&lt;&gt;"",INDEX(Base!$G$1:$G$5000,$A107+AM$1+2),"")</f>
        <v>0</v>
      </c>
      <c r="AN107">
        <f>IF(AN$1&lt;&gt;"",INDEX(Base!$G$1:$G$5000,$A107+AN$1+2),"")</f>
        <v>0</v>
      </c>
      <c r="AO107">
        <f>IF(AO$1&lt;&gt;"",INDEX(Base!$G$1:$G$5000,$A107+AO$1+2),"")</f>
        <v>0</v>
      </c>
      <c r="AP107">
        <f>IF(AP$1&lt;&gt;"",INDEX(Base!$G$1:$G$5000,$A107+AP$1+2),"")</f>
        <v>0</v>
      </c>
      <c r="AQ107">
        <f>IF(AQ$1&lt;&gt;"",INDEX(Base!$G$1:$G$5000,$A107+AQ$1+2),"")</f>
        <v>0</v>
      </c>
      <c r="AR107">
        <f>IF(AR$1&lt;&gt;"",INDEX(Base!$G$1:$G$5000,$A107+AR$1+2),"")</f>
        <v>0</v>
      </c>
      <c r="AS107">
        <f>IF(AS$1&lt;&gt;"",INDEX(Base!$G$1:$G$5000,$A107+AS$1+2),"")</f>
        <v>0</v>
      </c>
      <c r="AT107">
        <f>IF(AT$1&lt;&gt;"",INDEX(Base!$G$1:$G$5000,$A107+AT$1+2),"")</f>
        <v>0</v>
      </c>
      <c r="AU107">
        <f>IF(AU$1&lt;&gt;"",INDEX(Base!$G$1:$G$5000,$A107+AU$1+2),"")</f>
        <v>0</v>
      </c>
      <c r="AV107">
        <f>IF(AV$1&lt;&gt;"",INDEX(Base!$G$1:$G$5000,$A107+AV$1+2),"")</f>
        <v>0</v>
      </c>
      <c r="AW107" s="8">
        <f t="shared" si="5"/>
        <v>0</v>
      </c>
      <c r="AX107">
        <f>IF(AX$1&lt;&gt;"",INDEX(Base!$R$1:$R$4000,$E107+AX$1+2),"")</f>
        <v>0</v>
      </c>
      <c r="AY107">
        <f>IF(AY$1&lt;&gt;"",INDEX(Base!$R$1:$R$4000,$E107+AY$1+2),"")</f>
        <v>0</v>
      </c>
      <c r="AZ107">
        <f>IF(AZ$1&lt;&gt;"",INDEX(Base!$R$1:$R$4000,$E107+AZ$1+2),"")</f>
        <v>0</v>
      </c>
      <c r="BA107">
        <f>IF(BA$1&lt;&gt;"",INDEX(Base!$R$1:$R$4000,$E107+BA$1+2),"")</f>
        <v>0</v>
      </c>
      <c r="BB107">
        <f>IF(BB$1&lt;&gt;"",INDEX(Base!$R$1:$R$4000,$E107+BB$1+2),"")</f>
        <v>0</v>
      </c>
      <c r="BC107">
        <f>IF(BC$1&lt;&gt;"",INDEX(Base!$R$1:$R$4000,$E107+BC$1+2),"")</f>
        <v>0</v>
      </c>
      <c r="BD107">
        <f>IF(BD$1&lt;&gt;"",INDEX(Base!$R$1:$R$4000,$E107+BD$1+2),"")</f>
        <v>0</v>
      </c>
      <c r="BE107">
        <f>IF(BE$1&lt;&gt;"",INDEX(Base!$R$1:$R$4000,$E107+BE$1+2),"")</f>
        <v>0</v>
      </c>
      <c r="BF107">
        <f>IF(BF$1&lt;&gt;"",INDEX(Base!$R$1:$R$4000,$E107+BF$1+2),"")</f>
        <v>0</v>
      </c>
      <c r="BG107">
        <f>IF(BG$1&lt;&gt;"",INDEX(Base!$R$1:$R$4000,$E107+BG$1+2),"")</f>
        <v>0</v>
      </c>
      <c r="BH107">
        <f>IF(BH$1&lt;&gt;"",INDEX(Base!$R$1:$R$4000,$E107+BH$1+2),"")</f>
        <v>0</v>
      </c>
      <c r="BI107">
        <f>IF(BI$1&lt;&gt;"",INDEX(Base!$R$1:$R$4000,$E107+BI$1+2),"")</f>
        <v>0</v>
      </c>
      <c r="BJ107">
        <f>IF(BJ$1&lt;&gt;"",INDEX(Base!$R$1:$R$4000,$E107+BJ$1+2),"")</f>
        <v>0</v>
      </c>
      <c r="BK107">
        <f>IF(BK$1&lt;&gt;"",INDEX(Base!$R$1:$R$4000,$E107+BK$1+2),"")</f>
        <v>0</v>
      </c>
      <c r="BL107">
        <f>IF(BL$1&lt;&gt;"",INDEX(Base!$R$1:$R$4000,$E107+BL$1+2),"")</f>
        <v>0</v>
      </c>
      <c r="BM107">
        <f>IF(BM$1&lt;&gt;"",INDEX(Base!$R$1:$R$4000,$E107+BM$1+2),"")</f>
        <v>0</v>
      </c>
      <c r="BN107">
        <f>IF(BN$1&lt;&gt;"",INDEX(Base!$R$1:$R$4000,$E107+BN$1+2),"")</f>
        <v>0</v>
      </c>
      <c r="BO107">
        <f>IF(BO$1&lt;&gt;"",INDEX(Base!$R$1:$R$4000,$E107+BO$1+2),"")</f>
        <v>0</v>
      </c>
      <c r="BP107">
        <f>IF(BP$1&lt;&gt;"",INDEX(Base!$R$1:$R$4000,$E107+BP$1+2),"")</f>
        <v>0</v>
      </c>
      <c r="BQ107">
        <f>IF(BQ$1&lt;&gt;"",INDEX(Base!$R$1:$R$4000,$E107+BQ$1+2),"")</f>
        <v>0</v>
      </c>
      <c r="BR107">
        <f>IF(BR$1&lt;&gt;"",INDEX(Base!$R$1:$R$4000,$E107+BR$1+2),"")</f>
        <v>0</v>
      </c>
      <c r="BS107">
        <f>IF(BS$1&lt;&gt;"",INDEX(Base!$R$1:$R$4000,$E107+BS$1+2),"")</f>
        <v>0</v>
      </c>
      <c r="BT107">
        <f>IF(BT$1&lt;&gt;"",INDEX(Base!$R$1:$R$4000,$E107+BT$1+2),"")</f>
        <v>0</v>
      </c>
    </row>
    <row r="108" spans="1:72" x14ac:dyDescent="0.3">
      <c r="A108" s="2">
        <f t="shared" si="7"/>
        <v>4625</v>
      </c>
      <c r="B108" s="3" t="str">
        <f>IFERROR(MID(INDEX(Base!A$1:A$5000,Calcoli!A108),47,LEN(INDEX(Base!A$1:A$5000,Calcoli!A108))-41),"")</f>
        <v/>
      </c>
      <c r="C108" s="5" t="str">
        <f>MID(INDEX(Base!A$1:A$5000,Calcoli!A108),42,4)</f>
        <v/>
      </c>
      <c r="D108" s="5" t="str">
        <f>MID(INDEX(Base!A$1:A$5000,Calcoli!A108),13,11)</f>
        <v/>
      </c>
      <c r="E108" s="4">
        <f t="shared" si="6"/>
        <v>3260</v>
      </c>
      <c r="F108" s="3" t="str">
        <f>IFERROR(MID(INDEX(Base!L$1:L$4000,Calcoli!E108),47,LEN(INDEX(Base!L$1:L$4000,Calcoli!E108))-41),"")</f>
        <v/>
      </c>
      <c r="G108" s="5" t="str">
        <f>MID(INDEX(Base!L$1:L$4000,Calcoli!$E108),42,4)</f>
        <v/>
      </c>
      <c r="H108" s="5" t="str">
        <f>MID(INDEX(Base!L$1:L$4000,Calcoli!E108),13,11)</f>
        <v/>
      </c>
      <c r="I108" s="6" t="str">
        <f xml:space="preserve"> IFERROR(MID(INDEX(Base!$V$3:$AB$60,MATCH($F108,Base!$Z$3:$Z$160,0),1),1,14),"")</f>
        <v/>
      </c>
      <c r="J108" s="6" t="str">
        <f xml:space="preserve"> IFERROR(INDEX(Base!$V$3:$AB$160,MATCH($F108,Base!$Z$3:$Z$160,0),2),"")</f>
        <v/>
      </c>
      <c r="K108" s="6" t="str">
        <f xml:space="preserve"> IFERROR(INDEX(Base!$V$3:$AB$160,MATCH($F108,Base!$Z$3:$Z$160,0),3),"")</f>
        <v/>
      </c>
      <c r="L108" s="28" t="str">
        <f xml:space="preserve"> IFERROR(INDEX(Base!$V$3:$AB$160,MATCH($F108,Base!$Z$3:$Z$160,0),4),"")</f>
        <v/>
      </c>
      <c r="M108">
        <f>IF(M$1&lt;&gt;"",INDEX(Base!$G$1:$G$5000,$A108+M$1+2),"")</f>
        <v>0</v>
      </c>
      <c r="N108">
        <f>IF(N$1&lt;&gt;"",INDEX(Base!$G$1:$G$5000,$A108+N$1+2),"")</f>
        <v>0</v>
      </c>
      <c r="O108">
        <f>IF(O$1&lt;&gt;"",INDEX(Base!$G$1:$G$5000,$A108+O$1+2),"")</f>
        <v>0</v>
      </c>
      <c r="P108">
        <f>IF(P$1&lt;&gt;"",INDEX(Base!$G$1:$G$5000,$A108+P$1+2),"")</f>
        <v>0</v>
      </c>
      <c r="Q108">
        <f>IF(Q$1&lt;&gt;"",INDEX(Base!$G$1:$G$5000,$A108+Q$1+2),"")</f>
        <v>0</v>
      </c>
      <c r="R108">
        <f>IF(R$1&lt;&gt;"",INDEX(Base!$G$1:$G$5000,$A108+R$1+2),"")</f>
        <v>0</v>
      </c>
      <c r="S108">
        <f>IF(S$1&lt;&gt;"",INDEX(Base!$G$1:$G$5000,$A108+S$1+2),"")</f>
        <v>0</v>
      </c>
      <c r="T108">
        <f>IF(T$1&lt;&gt;"",INDEX(Base!$G$1:$G$5000,$A108+T$1+2),"")</f>
        <v>0</v>
      </c>
      <c r="U108">
        <f>IF(U$1&lt;&gt;"",INDEX(Base!$G$1:$G$5000,$A108+U$1+2),"")</f>
        <v>0</v>
      </c>
      <c r="V108">
        <f>IF(V$1&lt;&gt;"",INDEX(Base!$G$1:$G$5000,$A108+V$1+2),"")</f>
        <v>0</v>
      </c>
      <c r="W108">
        <f>IF(W$1&lt;&gt;"",INDEX(Base!$G$1:$G$5000,$A108+W$1+2),"")</f>
        <v>0</v>
      </c>
      <c r="X108">
        <f>IF(X$1&lt;&gt;"",INDEX(Base!$G$1:$G$5000,$A108+X$1+2),"")</f>
        <v>0</v>
      </c>
      <c r="Y108">
        <f>IF(Y$1&lt;&gt;"",INDEX(Base!$G$1:$G$5000,$A108+Y$1+2),"")</f>
        <v>0</v>
      </c>
      <c r="Z108">
        <f>IF(Z$1&lt;&gt;"",INDEX(Base!$G$1:$G$5000,$A108+Z$1+2),"")</f>
        <v>0</v>
      </c>
      <c r="AA108">
        <f>IF(AA$1&lt;&gt;"",INDEX(Base!$G$1:$G$5000,$A108+AA$1+2),"")</f>
        <v>0</v>
      </c>
      <c r="AB108">
        <f>IF(AB$1&lt;&gt;"",INDEX(Base!$G$1:$G$5000,$A108+AB$1+2),"")</f>
        <v>0</v>
      </c>
      <c r="AC108">
        <f>IF(AC$1&lt;&gt;"",INDEX(Base!$G$1:$G$5000,$A108+AC$1+2),"")</f>
        <v>0</v>
      </c>
      <c r="AD108">
        <f>IF(AD$1&lt;&gt;"",INDEX(Base!$G$1:$G$5000,$A108+AD$1+2),"")</f>
        <v>0</v>
      </c>
      <c r="AE108">
        <f>IF(AE$1&lt;&gt;"",INDEX(Base!$G$1:$G$5000,$A108+AE$1+2),"")</f>
        <v>0</v>
      </c>
      <c r="AF108">
        <f>IF(AF$1&lt;&gt;"",INDEX(Base!$G$1:$G$5000,$A108+AF$1+2),"")</f>
        <v>0</v>
      </c>
      <c r="AG108">
        <f>IF(AG$1&lt;&gt;"",INDEX(Base!$G$1:$G$5000,$A108+AG$1+2),"")</f>
        <v>0</v>
      </c>
      <c r="AH108">
        <f>IF(AH$1&lt;&gt;"",INDEX(Base!$G$1:$G$5000,$A108+AH$1+2),"")</f>
        <v>0</v>
      </c>
      <c r="AI108">
        <f>IF(AI$1&lt;&gt;"",INDEX(Base!$G$1:$G$5000,$A108+AI$1+2),"")</f>
        <v>0</v>
      </c>
      <c r="AJ108">
        <f>IF(AJ$1&lt;&gt;"",INDEX(Base!$G$1:$G$5000,$A108+AJ$1+2),"")</f>
        <v>0</v>
      </c>
      <c r="AK108">
        <f>IF(AK$1&lt;&gt;"",INDEX(Base!$G$1:$G$5000,$A108+AK$1+2),"")</f>
        <v>0</v>
      </c>
      <c r="AL108">
        <f>IF(AL$1&lt;&gt;"",INDEX(Base!$G$1:$G$5000,$A108+AL$1+2),"")</f>
        <v>0</v>
      </c>
      <c r="AM108">
        <f>IF(AM$1&lt;&gt;"",INDEX(Base!$G$1:$G$5000,$A108+AM$1+2),"")</f>
        <v>0</v>
      </c>
      <c r="AN108">
        <f>IF(AN$1&lt;&gt;"",INDEX(Base!$G$1:$G$5000,$A108+AN$1+2),"")</f>
        <v>0</v>
      </c>
      <c r="AO108">
        <f>IF(AO$1&lt;&gt;"",INDEX(Base!$G$1:$G$5000,$A108+AO$1+2),"")</f>
        <v>0</v>
      </c>
      <c r="AP108">
        <f>IF(AP$1&lt;&gt;"",INDEX(Base!$G$1:$G$5000,$A108+AP$1+2),"")</f>
        <v>0</v>
      </c>
      <c r="AQ108">
        <f>IF(AQ$1&lt;&gt;"",INDEX(Base!$G$1:$G$5000,$A108+AQ$1+2),"")</f>
        <v>0</v>
      </c>
      <c r="AR108">
        <f>IF(AR$1&lt;&gt;"",INDEX(Base!$G$1:$G$5000,$A108+AR$1+2),"")</f>
        <v>0</v>
      </c>
      <c r="AS108">
        <f>IF(AS$1&lt;&gt;"",INDEX(Base!$G$1:$G$5000,$A108+AS$1+2),"")</f>
        <v>0</v>
      </c>
      <c r="AT108">
        <f>IF(AT$1&lt;&gt;"",INDEX(Base!$G$1:$G$5000,$A108+AT$1+2),"")</f>
        <v>0</v>
      </c>
      <c r="AU108">
        <f>IF(AU$1&lt;&gt;"",INDEX(Base!$G$1:$G$5000,$A108+AU$1+2),"")</f>
        <v>0</v>
      </c>
      <c r="AV108">
        <f>IF(AV$1&lt;&gt;"",INDEX(Base!$G$1:$G$5000,$A108+AV$1+2),"")</f>
        <v>0</v>
      </c>
      <c r="AW108" s="8">
        <f t="shared" si="5"/>
        <v>0</v>
      </c>
      <c r="AX108">
        <f>IF(AX$1&lt;&gt;"",INDEX(Base!$R$1:$R$4000,$E108+AX$1+2),"")</f>
        <v>0</v>
      </c>
      <c r="AY108">
        <f>IF(AY$1&lt;&gt;"",INDEX(Base!$R$1:$R$4000,$E108+AY$1+2),"")</f>
        <v>0</v>
      </c>
      <c r="AZ108">
        <f>IF(AZ$1&lt;&gt;"",INDEX(Base!$R$1:$R$4000,$E108+AZ$1+2),"")</f>
        <v>0</v>
      </c>
      <c r="BA108">
        <f>IF(BA$1&lt;&gt;"",INDEX(Base!$R$1:$R$4000,$E108+BA$1+2),"")</f>
        <v>0</v>
      </c>
      <c r="BB108">
        <f>IF(BB$1&lt;&gt;"",INDEX(Base!$R$1:$R$4000,$E108+BB$1+2),"")</f>
        <v>0</v>
      </c>
      <c r="BC108">
        <f>IF(BC$1&lt;&gt;"",INDEX(Base!$R$1:$R$4000,$E108+BC$1+2),"")</f>
        <v>0</v>
      </c>
      <c r="BD108">
        <f>IF(BD$1&lt;&gt;"",INDEX(Base!$R$1:$R$4000,$E108+BD$1+2),"")</f>
        <v>0</v>
      </c>
      <c r="BE108">
        <f>IF(BE$1&lt;&gt;"",INDEX(Base!$R$1:$R$4000,$E108+BE$1+2),"")</f>
        <v>0</v>
      </c>
      <c r="BF108">
        <f>IF(BF$1&lt;&gt;"",INDEX(Base!$R$1:$R$4000,$E108+BF$1+2),"")</f>
        <v>0</v>
      </c>
      <c r="BG108">
        <f>IF(BG$1&lt;&gt;"",INDEX(Base!$R$1:$R$4000,$E108+BG$1+2),"")</f>
        <v>0</v>
      </c>
      <c r="BH108">
        <f>IF(BH$1&lt;&gt;"",INDEX(Base!$R$1:$R$4000,$E108+BH$1+2),"")</f>
        <v>0</v>
      </c>
      <c r="BI108">
        <f>IF(BI$1&lt;&gt;"",INDEX(Base!$R$1:$R$4000,$E108+BI$1+2),"")</f>
        <v>0</v>
      </c>
      <c r="BJ108">
        <f>IF(BJ$1&lt;&gt;"",INDEX(Base!$R$1:$R$4000,$E108+BJ$1+2),"")</f>
        <v>0</v>
      </c>
      <c r="BK108">
        <f>IF(BK$1&lt;&gt;"",INDEX(Base!$R$1:$R$4000,$E108+BK$1+2),"")</f>
        <v>0</v>
      </c>
      <c r="BL108">
        <f>IF(BL$1&lt;&gt;"",INDEX(Base!$R$1:$R$4000,$E108+BL$1+2),"")</f>
        <v>0</v>
      </c>
      <c r="BM108">
        <f>IF(BM$1&lt;&gt;"",INDEX(Base!$R$1:$R$4000,$E108+BM$1+2),"")</f>
        <v>0</v>
      </c>
      <c r="BN108">
        <f>IF(BN$1&lt;&gt;"",INDEX(Base!$R$1:$R$4000,$E108+BN$1+2),"")</f>
        <v>0</v>
      </c>
      <c r="BO108">
        <f>IF(BO$1&lt;&gt;"",INDEX(Base!$R$1:$R$4000,$E108+BO$1+2),"")</f>
        <v>0</v>
      </c>
      <c r="BP108">
        <f>IF(BP$1&lt;&gt;"",INDEX(Base!$R$1:$R$4000,$E108+BP$1+2),"")</f>
        <v>0</v>
      </c>
      <c r="BQ108">
        <f>IF(BQ$1&lt;&gt;"",INDEX(Base!$R$1:$R$4000,$E108+BQ$1+2),"")</f>
        <v>0</v>
      </c>
      <c r="BR108">
        <f>IF(BR$1&lt;&gt;"",INDEX(Base!$R$1:$R$4000,$E108+BR$1+2),"")</f>
        <v>0</v>
      </c>
      <c r="BS108">
        <f>IF(BS$1&lt;&gt;"",INDEX(Base!$R$1:$R$4000,$E108+BS$1+2),"")</f>
        <v>0</v>
      </c>
      <c r="BT108">
        <f>IF(BT$1&lt;&gt;"",INDEX(Base!$R$1:$R$4000,$E108+BT$1+2),"")</f>
        <v>0</v>
      </c>
    </row>
    <row r="109" spans="1:72" x14ac:dyDescent="0.3">
      <c r="A109" s="2">
        <f t="shared" si="7"/>
        <v>4669</v>
      </c>
      <c r="B109" s="3" t="str">
        <f>IFERROR(MID(INDEX(Base!A$1:A$5000,Calcoli!A109),47,LEN(INDEX(Base!A$1:A$5000,Calcoli!A109))-41),"")</f>
        <v/>
      </c>
      <c r="C109" s="5" t="str">
        <f>MID(INDEX(Base!A$1:A$5000,Calcoli!A109),42,4)</f>
        <v/>
      </c>
      <c r="D109" s="5" t="str">
        <f>MID(INDEX(Base!A$1:A$5000,Calcoli!A109),13,11)</f>
        <v/>
      </c>
      <c r="E109" s="4">
        <f t="shared" si="6"/>
        <v>3291</v>
      </c>
      <c r="F109" s="3" t="str">
        <f>IFERROR(MID(INDEX(Base!L$1:L$4000,Calcoli!E109),47,LEN(INDEX(Base!L$1:L$4000,Calcoli!E109))-41),"")</f>
        <v/>
      </c>
      <c r="G109" s="5" t="str">
        <f>MID(INDEX(Base!L$1:L$4000,Calcoli!$E109),42,4)</f>
        <v/>
      </c>
      <c r="H109" s="5" t="str">
        <f>MID(INDEX(Base!L$1:L$4000,Calcoli!E109),13,11)</f>
        <v/>
      </c>
      <c r="I109" s="6" t="str">
        <f xml:space="preserve"> IFERROR(MID(INDEX(Base!$V$3:$AB$60,MATCH($F109,Base!$Z$3:$Z$160,0),1),1,14),"")</f>
        <v/>
      </c>
      <c r="J109" s="6" t="str">
        <f xml:space="preserve"> IFERROR(INDEX(Base!$V$3:$AB$160,MATCH($F109,Base!$Z$3:$Z$160,0),2),"")</f>
        <v/>
      </c>
      <c r="K109" s="6" t="str">
        <f xml:space="preserve"> IFERROR(INDEX(Base!$V$3:$AB$160,MATCH($F109,Base!$Z$3:$Z$160,0),3),"")</f>
        <v/>
      </c>
      <c r="L109" s="28" t="str">
        <f xml:space="preserve"> IFERROR(INDEX(Base!$V$3:$AB$160,MATCH($F109,Base!$Z$3:$Z$160,0),4),"")</f>
        <v/>
      </c>
      <c r="M109">
        <f>IF(M$1&lt;&gt;"",INDEX(Base!$G$1:$G$5000,$A109+M$1+2),"")</f>
        <v>0</v>
      </c>
      <c r="N109">
        <f>IF(N$1&lt;&gt;"",INDEX(Base!$G$1:$G$5000,$A109+N$1+2),"")</f>
        <v>0</v>
      </c>
      <c r="O109">
        <f>IF(O$1&lt;&gt;"",INDEX(Base!$G$1:$G$5000,$A109+O$1+2),"")</f>
        <v>0</v>
      </c>
      <c r="P109">
        <f>IF(P$1&lt;&gt;"",INDEX(Base!$G$1:$G$5000,$A109+P$1+2),"")</f>
        <v>0</v>
      </c>
      <c r="Q109">
        <f>IF(Q$1&lt;&gt;"",INDEX(Base!$G$1:$G$5000,$A109+Q$1+2),"")</f>
        <v>0</v>
      </c>
      <c r="R109">
        <f>IF(R$1&lt;&gt;"",INDEX(Base!$G$1:$G$5000,$A109+R$1+2),"")</f>
        <v>0</v>
      </c>
      <c r="S109">
        <f>IF(S$1&lt;&gt;"",INDEX(Base!$G$1:$G$5000,$A109+S$1+2),"")</f>
        <v>0</v>
      </c>
      <c r="T109">
        <f>IF(T$1&lt;&gt;"",INDEX(Base!$G$1:$G$5000,$A109+T$1+2),"")</f>
        <v>0</v>
      </c>
      <c r="U109">
        <f>IF(U$1&lt;&gt;"",INDEX(Base!$G$1:$G$5000,$A109+U$1+2),"")</f>
        <v>0</v>
      </c>
      <c r="V109">
        <f>IF(V$1&lt;&gt;"",INDEX(Base!$G$1:$G$5000,$A109+V$1+2),"")</f>
        <v>0</v>
      </c>
      <c r="W109">
        <f>IF(W$1&lt;&gt;"",INDEX(Base!$G$1:$G$5000,$A109+W$1+2),"")</f>
        <v>0</v>
      </c>
      <c r="X109">
        <f>IF(X$1&lt;&gt;"",INDEX(Base!$G$1:$G$5000,$A109+X$1+2),"")</f>
        <v>0</v>
      </c>
      <c r="Y109">
        <f>IF(Y$1&lt;&gt;"",INDEX(Base!$G$1:$G$5000,$A109+Y$1+2),"")</f>
        <v>0</v>
      </c>
      <c r="Z109">
        <f>IF(Z$1&lt;&gt;"",INDEX(Base!$G$1:$G$5000,$A109+Z$1+2),"")</f>
        <v>0</v>
      </c>
      <c r="AA109">
        <f>IF(AA$1&lt;&gt;"",INDEX(Base!$G$1:$G$5000,$A109+AA$1+2),"")</f>
        <v>0</v>
      </c>
      <c r="AB109">
        <f>IF(AB$1&lt;&gt;"",INDEX(Base!$G$1:$G$5000,$A109+AB$1+2),"")</f>
        <v>0</v>
      </c>
      <c r="AC109">
        <f>IF(AC$1&lt;&gt;"",INDEX(Base!$G$1:$G$5000,$A109+AC$1+2),"")</f>
        <v>0</v>
      </c>
      <c r="AD109">
        <f>IF(AD$1&lt;&gt;"",INDEX(Base!$G$1:$G$5000,$A109+AD$1+2),"")</f>
        <v>0</v>
      </c>
      <c r="AE109">
        <f>IF(AE$1&lt;&gt;"",INDEX(Base!$G$1:$G$5000,$A109+AE$1+2),"")</f>
        <v>0</v>
      </c>
      <c r="AF109">
        <f>IF(AF$1&lt;&gt;"",INDEX(Base!$G$1:$G$5000,$A109+AF$1+2),"")</f>
        <v>0</v>
      </c>
      <c r="AG109">
        <f>IF(AG$1&lt;&gt;"",INDEX(Base!$G$1:$G$5000,$A109+AG$1+2),"")</f>
        <v>0</v>
      </c>
      <c r="AH109">
        <f>IF(AH$1&lt;&gt;"",INDEX(Base!$G$1:$G$5000,$A109+AH$1+2),"")</f>
        <v>0</v>
      </c>
      <c r="AI109">
        <f>IF(AI$1&lt;&gt;"",INDEX(Base!$G$1:$G$5000,$A109+AI$1+2),"")</f>
        <v>0</v>
      </c>
      <c r="AJ109">
        <f>IF(AJ$1&lt;&gt;"",INDEX(Base!$G$1:$G$5000,$A109+AJ$1+2),"")</f>
        <v>0</v>
      </c>
      <c r="AK109">
        <f>IF(AK$1&lt;&gt;"",INDEX(Base!$G$1:$G$5000,$A109+AK$1+2),"")</f>
        <v>0</v>
      </c>
      <c r="AL109">
        <f>IF(AL$1&lt;&gt;"",INDEX(Base!$G$1:$G$5000,$A109+AL$1+2),"")</f>
        <v>0</v>
      </c>
      <c r="AM109">
        <f>IF(AM$1&lt;&gt;"",INDEX(Base!$G$1:$G$5000,$A109+AM$1+2),"")</f>
        <v>0</v>
      </c>
      <c r="AN109">
        <f>IF(AN$1&lt;&gt;"",INDEX(Base!$G$1:$G$5000,$A109+AN$1+2),"")</f>
        <v>0</v>
      </c>
      <c r="AO109">
        <f>IF(AO$1&lt;&gt;"",INDEX(Base!$G$1:$G$5000,$A109+AO$1+2),"")</f>
        <v>0</v>
      </c>
      <c r="AP109">
        <f>IF(AP$1&lt;&gt;"",INDEX(Base!$G$1:$G$5000,$A109+AP$1+2),"")</f>
        <v>0</v>
      </c>
      <c r="AQ109">
        <f>IF(AQ$1&lt;&gt;"",INDEX(Base!$G$1:$G$5000,$A109+AQ$1+2),"")</f>
        <v>0</v>
      </c>
      <c r="AR109">
        <f>IF(AR$1&lt;&gt;"",INDEX(Base!$G$1:$G$5000,$A109+AR$1+2),"")</f>
        <v>0</v>
      </c>
      <c r="AS109">
        <f>IF(AS$1&lt;&gt;"",INDEX(Base!$G$1:$G$5000,$A109+AS$1+2),"")</f>
        <v>0</v>
      </c>
      <c r="AT109">
        <f>IF(AT$1&lt;&gt;"",INDEX(Base!$G$1:$G$5000,$A109+AT$1+2),"")</f>
        <v>0</v>
      </c>
      <c r="AU109">
        <f>IF(AU$1&lt;&gt;"",INDEX(Base!$G$1:$G$5000,$A109+AU$1+2),"")</f>
        <v>0</v>
      </c>
      <c r="AV109">
        <f>IF(AV$1&lt;&gt;"",INDEX(Base!$G$1:$G$5000,$A109+AV$1+2),"")</f>
        <v>0</v>
      </c>
      <c r="AW109" s="8">
        <f t="shared" si="5"/>
        <v>0</v>
      </c>
      <c r="AX109">
        <f>IF(AX$1&lt;&gt;"",INDEX(Base!$R$1:$R$4000,$E109+AX$1+2),"")</f>
        <v>0</v>
      </c>
      <c r="AY109">
        <f>IF(AY$1&lt;&gt;"",INDEX(Base!$R$1:$R$4000,$E109+AY$1+2),"")</f>
        <v>0</v>
      </c>
      <c r="AZ109">
        <f>IF(AZ$1&lt;&gt;"",INDEX(Base!$R$1:$R$4000,$E109+AZ$1+2),"")</f>
        <v>0</v>
      </c>
      <c r="BA109">
        <f>IF(BA$1&lt;&gt;"",INDEX(Base!$R$1:$R$4000,$E109+BA$1+2),"")</f>
        <v>0</v>
      </c>
      <c r="BB109">
        <f>IF(BB$1&lt;&gt;"",INDEX(Base!$R$1:$R$4000,$E109+BB$1+2),"")</f>
        <v>0</v>
      </c>
      <c r="BC109">
        <f>IF(BC$1&lt;&gt;"",INDEX(Base!$R$1:$R$4000,$E109+BC$1+2),"")</f>
        <v>0</v>
      </c>
      <c r="BD109">
        <f>IF(BD$1&lt;&gt;"",INDEX(Base!$R$1:$R$4000,$E109+BD$1+2),"")</f>
        <v>0</v>
      </c>
      <c r="BE109">
        <f>IF(BE$1&lt;&gt;"",INDEX(Base!$R$1:$R$4000,$E109+BE$1+2),"")</f>
        <v>0</v>
      </c>
      <c r="BF109">
        <f>IF(BF$1&lt;&gt;"",INDEX(Base!$R$1:$R$4000,$E109+BF$1+2),"")</f>
        <v>0</v>
      </c>
      <c r="BG109">
        <f>IF(BG$1&lt;&gt;"",INDEX(Base!$R$1:$R$4000,$E109+BG$1+2),"")</f>
        <v>0</v>
      </c>
      <c r="BH109">
        <f>IF(BH$1&lt;&gt;"",INDEX(Base!$R$1:$R$4000,$E109+BH$1+2),"")</f>
        <v>0</v>
      </c>
      <c r="BI109">
        <f>IF(BI$1&lt;&gt;"",INDEX(Base!$R$1:$R$4000,$E109+BI$1+2),"")</f>
        <v>0</v>
      </c>
      <c r="BJ109">
        <f>IF(BJ$1&lt;&gt;"",INDEX(Base!$R$1:$R$4000,$E109+BJ$1+2),"")</f>
        <v>0</v>
      </c>
      <c r="BK109">
        <f>IF(BK$1&lt;&gt;"",INDEX(Base!$R$1:$R$4000,$E109+BK$1+2),"")</f>
        <v>0</v>
      </c>
      <c r="BL109">
        <f>IF(BL$1&lt;&gt;"",INDEX(Base!$R$1:$R$4000,$E109+BL$1+2),"")</f>
        <v>0</v>
      </c>
      <c r="BM109">
        <f>IF(BM$1&lt;&gt;"",INDEX(Base!$R$1:$R$4000,$E109+BM$1+2),"")</f>
        <v>0</v>
      </c>
      <c r="BN109">
        <f>IF(BN$1&lt;&gt;"",INDEX(Base!$R$1:$R$4000,$E109+BN$1+2),"")</f>
        <v>0</v>
      </c>
      <c r="BO109">
        <f>IF(BO$1&lt;&gt;"",INDEX(Base!$R$1:$R$4000,$E109+BO$1+2),"")</f>
        <v>0</v>
      </c>
      <c r="BP109">
        <f>IF(BP$1&lt;&gt;"",INDEX(Base!$R$1:$R$4000,$E109+BP$1+2),"")</f>
        <v>0</v>
      </c>
      <c r="BQ109">
        <f>IF(BQ$1&lt;&gt;"",INDEX(Base!$R$1:$R$4000,$E109+BQ$1+2),"")</f>
        <v>0</v>
      </c>
      <c r="BR109">
        <f>IF(BR$1&lt;&gt;"",INDEX(Base!$R$1:$R$4000,$E109+BR$1+2),"")</f>
        <v>0</v>
      </c>
      <c r="BS109">
        <f>IF(BS$1&lt;&gt;"",INDEX(Base!$R$1:$R$4000,$E109+BS$1+2),"")</f>
        <v>0</v>
      </c>
      <c r="BT109">
        <f>IF(BT$1&lt;&gt;"",INDEX(Base!$R$1:$R$4000,$E109+BT$1+2),"")</f>
        <v>0</v>
      </c>
    </row>
    <row r="110" spans="1:72" x14ac:dyDescent="0.3">
      <c r="A110" s="2">
        <f t="shared" si="7"/>
        <v>4713</v>
      </c>
      <c r="B110" s="3" t="str">
        <f>IFERROR(MID(INDEX(Base!A$1:A$5000,Calcoli!A110),47,LEN(INDEX(Base!A$1:A$5000,Calcoli!A110))-41),"")</f>
        <v/>
      </c>
      <c r="C110" s="5" t="str">
        <f>MID(INDEX(Base!A$1:A$5000,Calcoli!A110),42,4)</f>
        <v/>
      </c>
      <c r="D110" s="5" t="str">
        <f>MID(INDEX(Base!A$1:A$5000,Calcoli!A110),13,11)</f>
        <v/>
      </c>
      <c r="E110" s="4">
        <f t="shared" si="6"/>
        <v>3322</v>
      </c>
      <c r="F110" s="3" t="str">
        <f>IFERROR(MID(INDEX(Base!L$1:L$4000,Calcoli!E110),47,LEN(INDEX(Base!L$1:L$4000,Calcoli!E110))-41),"")</f>
        <v/>
      </c>
      <c r="G110" s="5" t="str">
        <f>MID(INDEX(Base!L$1:L$4000,Calcoli!$E110),42,4)</f>
        <v/>
      </c>
      <c r="H110" s="5" t="str">
        <f>MID(INDEX(Base!L$1:L$4000,Calcoli!E110),13,11)</f>
        <v/>
      </c>
      <c r="I110" s="6" t="str">
        <f xml:space="preserve"> IFERROR(MID(INDEX(Base!$V$3:$AB$60,MATCH($F110,Base!$Z$3:$Z$160,0),1),1,14),"")</f>
        <v/>
      </c>
      <c r="J110" s="6" t="str">
        <f xml:space="preserve"> IFERROR(INDEX(Base!$V$3:$AB$160,MATCH($F110,Base!$Z$3:$Z$160,0),2),"")</f>
        <v/>
      </c>
      <c r="K110" s="6" t="str">
        <f xml:space="preserve"> IFERROR(INDEX(Base!$V$3:$AB$160,MATCH($F110,Base!$Z$3:$Z$160,0),3),"")</f>
        <v/>
      </c>
      <c r="L110" s="28" t="str">
        <f xml:space="preserve"> IFERROR(INDEX(Base!$V$3:$AB$160,MATCH($F110,Base!$Z$3:$Z$160,0),4),"")</f>
        <v/>
      </c>
      <c r="M110">
        <f>IF(M$1&lt;&gt;"",INDEX(Base!$G$1:$G$5000,$A110+M$1+2),"")</f>
        <v>0</v>
      </c>
      <c r="N110">
        <f>IF(N$1&lt;&gt;"",INDEX(Base!$G$1:$G$5000,$A110+N$1+2),"")</f>
        <v>0</v>
      </c>
      <c r="O110">
        <f>IF(O$1&lt;&gt;"",INDEX(Base!$G$1:$G$5000,$A110+O$1+2),"")</f>
        <v>0</v>
      </c>
      <c r="P110">
        <f>IF(P$1&lt;&gt;"",INDEX(Base!$G$1:$G$5000,$A110+P$1+2),"")</f>
        <v>0</v>
      </c>
      <c r="Q110">
        <f>IF(Q$1&lt;&gt;"",INDEX(Base!$G$1:$G$5000,$A110+Q$1+2),"")</f>
        <v>0</v>
      </c>
      <c r="R110">
        <f>IF(R$1&lt;&gt;"",INDEX(Base!$G$1:$G$5000,$A110+R$1+2),"")</f>
        <v>0</v>
      </c>
      <c r="S110">
        <f>IF(S$1&lt;&gt;"",INDEX(Base!$G$1:$G$5000,$A110+S$1+2),"")</f>
        <v>0</v>
      </c>
      <c r="T110">
        <f>IF(T$1&lt;&gt;"",INDEX(Base!$G$1:$G$5000,$A110+T$1+2),"")</f>
        <v>0</v>
      </c>
      <c r="U110">
        <f>IF(U$1&lt;&gt;"",INDEX(Base!$G$1:$G$5000,$A110+U$1+2),"")</f>
        <v>0</v>
      </c>
      <c r="V110">
        <f>IF(V$1&lt;&gt;"",INDEX(Base!$G$1:$G$5000,$A110+V$1+2),"")</f>
        <v>0</v>
      </c>
      <c r="W110">
        <f>IF(W$1&lt;&gt;"",INDEX(Base!$G$1:$G$5000,$A110+W$1+2),"")</f>
        <v>0</v>
      </c>
      <c r="X110">
        <f>IF(X$1&lt;&gt;"",INDEX(Base!$G$1:$G$5000,$A110+X$1+2),"")</f>
        <v>0</v>
      </c>
      <c r="Y110">
        <f>IF(Y$1&lt;&gt;"",INDEX(Base!$G$1:$G$5000,$A110+Y$1+2),"")</f>
        <v>0</v>
      </c>
      <c r="Z110">
        <f>IF(Z$1&lt;&gt;"",INDEX(Base!$G$1:$G$5000,$A110+Z$1+2),"")</f>
        <v>0</v>
      </c>
      <c r="AA110">
        <f>IF(AA$1&lt;&gt;"",INDEX(Base!$G$1:$G$5000,$A110+AA$1+2),"")</f>
        <v>0</v>
      </c>
      <c r="AB110">
        <f>IF(AB$1&lt;&gt;"",INDEX(Base!$G$1:$G$5000,$A110+AB$1+2),"")</f>
        <v>0</v>
      </c>
      <c r="AC110">
        <f>IF(AC$1&lt;&gt;"",INDEX(Base!$G$1:$G$5000,$A110+AC$1+2),"")</f>
        <v>0</v>
      </c>
      <c r="AD110">
        <f>IF(AD$1&lt;&gt;"",INDEX(Base!$G$1:$G$5000,$A110+AD$1+2),"")</f>
        <v>0</v>
      </c>
      <c r="AE110">
        <f>IF(AE$1&lt;&gt;"",INDEX(Base!$G$1:$G$5000,$A110+AE$1+2),"")</f>
        <v>0</v>
      </c>
      <c r="AF110">
        <f>IF(AF$1&lt;&gt;"",INDEX(Base!$G$1:$G$5000,$A110+AF$1+2),"")</f>
        <v>0</v>
      </c>
      <c r="AG110">
        <f>IF(AG$1&lt;&gt;"",INDEX(Base!$G$1:$G$5000,$A110+AG$1+2),"")</f>
        <v>0</v>
      </c>
      <c r="AH110">
        <f>IF(AH$1&lt;&gt;"",INDEX(Base!$G$1:$G$5000,$A110+AH$1+2),"")</f>
        <v>0</v>
      </c>
      <c r="AI110">
        <f>IF(AI$1&lt;&gt;"",INDEX(Base!$G$1:$G$5000,$A110+AI$1+2),"")</f>
        <v>0</v>
      </c>
      <c r="AJ110">
        <f>IF(AJ$1&lt;&gt;"",INDEX(Base!$G$1:$G$5000,$A110+AJ$1+2),"")</f>
        <v>0</v>
      </c>
      <c r="AK110">
        <f>IF(AK$1&lt;&gt;"",INDEX(Base!$G$1:$G$5000,$A110+AK$1+2),"")</f>
        <v>0</v>
      </c>
      <c r="AL110">
        <f>IF(AL$1&lt;&gt;"",INDEX(Base!$G$1:$G$5000,$A110+AL$1+2),"")</f>
        <v>0</v>
      </c>
      <c r="AM110">
        <f>IF(AM$1&lt;&gt;"",INDEX(Base!$G$1:$G$5000,$A110+AM$1+2),"")</f>
        <v>0</v>
      </c>
      <c r="AN110">
        <f>IF(AN$1&lt;&gt;"",INDEX(Base!$G$1:$G$5000,$A110+AN$1+2),"")</f>
        <v>0</v>
      </c>
      <c r="AO110">
        <f>IF(AO$1&lt;&gt;"",INDEX(Base!$G$1:$G$5000,$A110+AO$1+2),"")</f>
        <v>0</v>
      </c>
      <c r="AP110">
        <f>IF(AP$1&lt;&gt;"",INDEX(Base!$G$1:$G$5000,$A110+AP$1+2),"")</f>
        <v>0</v>
      </c>
      <c r="AQ110">
        <f>IF(AQ$1&lt;&gt;"",INDEX(Base!$G$1:$G$5000,$A110+AQ$1+2),"")</f>
        <v>0</v>
      </c>
      <c r="AR110">
        <f>IF(AR$1&lt;&gt;"",INDEX(Base!$G$1:$G$5000,$A110+AR$1+2),"")</f>
        <v>0</v>
      </c>
      <c r="AS110">
        <f>IF(AS$1&lt;&gt;"",INDEX(Base!$G$1:$G$5000,$A110+AS$1+2),"")</f>
        <v>0</v>
      </c>
      <c r="AT110">
        <f>IF(AT$1&lt;&gt;"",INDEX(Base!$G$1:$G$5000,$A110+AT$1+2),"")</f>
        <v>0</v>
      </c>
      <c r="AU110">
        <f>IF(AU$1&lt;&gt;"",INDEX(Base!$G$1:$G$5000,$A110+AU$1+2),"")</f>
        <v>0</v>
      </c>
      <c r="AV110">
        <f>IF(AV$1&lt;&gt;"",INDEX(Base!$G$1:$G$5000,$A110+AV$1+2),"")</f>
        <v>0</v>
      </c>
      <c r="AW110" s="8">
        <f t="shared" si="5"/>
        <v>0</v>
      </c>
      <c r="AX110">
        <f>IF(AX$1&lt;&gt;"",INDEX(Base!$R$1:$R$4000,$E110+AX$1+2),"")</f>
        <v>0</v>
      </c>
      <c r="AY110">
        <f>IF(AY$1&lt;&gt;"",INDEX(Base!$R$1:$R$4000,$E110+AY$1+2),"")</f>
        <v>0</v>
      </c>
      <c r="AZ110">
        <f>IF(AZ$1&lt;&gt;"",INDEX(Base!$R$1:$R$4000,$E110+AZ$1+2),"")</f>
        <v>0</v>
      </c>
      <c r="BA110">
        <f>IF(BA$1&lt;&gt;"",INDEX(Base!$R$1:$R$4000,$E110+BA$1+2),"")</f>
        <v>0</v>
      </c>
      <c r="BB110">
        <f>IF(BB$1&lt;&gt;"",INDEX(Base!$R$1:$R$4000,$E110+BB$1+2),"")</f>
        <v>0</v>
      </c>
      <c r="BC110">
        <f>IF(BC$1&lt;&gt;"",INDEX(Base!$R$1:$R$4000,$E110+BC$1+2),"")</f>
        <v>0</v>
      </c>
      <c r="BD110">
        <f>IF(BD$1&lt;&gt;"",INDEX(Base!$R$1:$R$4000,$E110+BD$1+2),"")</f>
        <v>0</v>
      </c>
      <c r="BE110">
        <f>IF(BE$1&lt;&gt;"",INDEX(Base!$R$1:$R$4000,$E110+BE$1+2),"")</f>
        <v>0</v>
      </c>
      <c r="BF110">
        <f>IF(BF$1&lt;&gt;"",INDEX(Base!$R$1:$R$4000,$E110+BF$1+2),"")</f>
        <v>0</v>
      </c>
      <c r="BG110">
        <f>IF(BG$1&lt;&gt;"",INDEX(Base!$R$1:$R$4000,$E110+BG$1+2),"")</f>
        <v>0</v>
      </c>
      <c r="BH110">
        <f>IF(BH$1&lt;&gt;"",INDEX(Base!$R$1:$R$4000,$E110+BH$1+2),"")</f>
        <v>0</v>
      </c>
      <c r="BI110">
        <f>IF(BI$1&lt;&gt;"",INDEX(Base!$R$1:$R$4000,$E110+BI$1+2),"")</f>
        <v>0</v>
      </c>
      <c r="BJ110">
        <f>IF(BJ$1&lt;&gt;"",INDEX(Base!$R$1:$R$4000,$E110+BJ$1+2),"")</f>
        <v>0</v>
      </c>
      <c r="BK110">
        <f>IF(BK$1&lt;&gt;"",INDEX(Base!$R$1:$R$4000,$E110+BK$1+2),"")</f>
        <v>0</v>
      </c>
      <c r="BL110">
        <f>IF(BL$1&lt;&gt;"",INDEX(Base!$R$1:$R$4000,$E110+BL$1+2),"")</f>
        <v>0</v>
      </c>
      <c r="BM110">
        <f>IF(BM$1&lt;&gt;"",INDEX(Base!$R$1:$R$4000,$E110+BM$1+2),"")</f>
        <v>0</v>
      </c>
      <c r="BN110">
        <f>IF(BN$1&lt;&gt;"",INDEX(Base!$R$1:$R$4000,$E110+BN$1+2),"")</f>
        <v>0</v>
      </c>
      <c r="BO110">
        <f>IF(BO$1&lt;&gt;"",INDEX(Base!$R$1:$R$4000,$E110+BO$1+2),"")</f>
        <v>0</v>
      </c>
      <c r="BP110">
        <f>IF(BP$1&lt;&gt;"",INDEX(Base!$R$1:$R$4000,$E110+BP$1+2),"")</f>
        <v>0</v>
      </c>
      <c r="BQ110">
        <f>IF(BQ$1&lt;&gt;"",INDEX(Base!$R$1:$R$4000,$E110+BQ$1+2),"")</f>
        <v>0</v>
      </c>
      <c r="BR110">
        <f>IF(BR$1&lt;&gt;"",INDEX(Base!$R$1:$R$4000,$E110+BR$1+2),"")</f>
        <v>0</v>
      </c>
      <c r="BS110">
        <f>IF(BS$1&lt;&gt;"",INDEX(Base!$R$1:$R$4000,$E110+BS$1+2),"")</f>
        <v>0</v>
      </c>
      <c r="BT110">
        <f>IF(BT$1&lt;&gt;"",INDEX(Base!$R$1:$R$4000,$E110+BT$1+2),"")</f>
        <v>0</v>
      </c>
    </row>
    <row r="111" spans="1:72" x14ac:dyDescent="0.3">
      <c r="A111" s="2">
        <f t="shared" si="7"/>
        <v>4757</v>
      </c>
      <c r="B111" s="3" t="str">
        <f>IFERROR(MID(INDEX(Base!A$1:A$5000,Calcoli!A111),47,LEN(INDEX(Base!A$1:A$5000,Calcoli!A111))-41),"")</f>
        <v/>
      </c>
      <c r="C111" s="5" t="str">
        <f>MID(INDEX(Base!A$1:A$5000,Calcoli!A111),42,4)</f>
        <v/>
      </c>
      <c r="D111" s="5" t="str">
        <f>MID(INDEX(Base!A$1:A$5000,Calcoli!A111),13,11)</f>
        <v/>
      </c>
      <c r="E111" s="4">
        <f t="shared" si="6"/>
        <v>3353</v>
      </c>
      <c r="F111" s="3" t="str">
        <f>IFERROR(MID(INDEX(Base!L$1:L$4000,Calcoli!E111),47,LEN(INDEX(Base!L$1:L$4000,Calcoli!E111))-41),"")</f>
        <v/>
      </c>
      <c r="G111" s="5" t="str">
        <f>MID(INDEX(Base!L$1:L$4000,Calcoli!$E111),42,4)</f>
        <v/>
      </c>
      <c r="H111" s="5" t="str">
        <f>MID(INDEX(Base!L$1:L$4000,Calcoli!E111),13,11)</f>
        <v/>
      </c>
      <c r="I111" s="6" t="str">
        <f xml:space="preserve"> IFERROR(MID(INDEX(Base!$V$3:$AB$60,MATCH($F111,Base!$Z$3:$Z$160,0),1),1,14),"")</f>
        <v/>
      </c>
      <c r="J111" s="6" t="str">
        <f xml:space="preserve"> IFERROR(INDEX(Base!$V$3:$AB$160,MATCH($F111,Base!$Z$3:$Z$160,0),2),"")</f>
        <v/>
      </c>
      <c r="K111" s="6" t="str">
        <f xml:space="preserve"> IFERROR(INDEX(Base!$V$3:$AB$160,MATCH($F111,Base!$Z$3:$Z$160,0),3),"")</f>
        <v/>
      </c>
      <c r="L111" s="28" t="str">
        <f xml:space="preserve"> IFERROR(INDEX(Base!$V$3:$AB$160,MATCH($F111,Base!$Z$3:$Z$160,0),4),"")</f>
        <v/>
      </c>
      <c r="M111">
        <f>IF(M$1&lt;&gt;"",INDEX(Base!$G$1:$G$5000,$A111+M$1+2),"")</f>
        <v>0</v>
      </c>
      <c r="N111">
        <f>IF(N$1&lt;&gt;"",INDEX(Base!$G$1:$G$5000,$A111+N$1+2),"")</f>
        <v>0</v>
      </c>
      <c r="O111">
        <f>IF(O$1&lt;&gt;"",INDEX(Base!$G$1:$G$5000,$A111+O$1+2),"")</f>
        <v>0</v>
      </c>
      <c r="P111">
        <f>IF(P$1&lt;&gt;"",INDEX(Base!$G$1:$G$5000,$A111+P$1+2),"")</f>
        <v>0</v>
      </c>
      <c r="Q111">
        <f>IF(Q$1&lt;&gt;"",INDEX(Base!$G$1:$G$5000,$A111+Q$1+2),"")</f>
        <v>0</v>
      </c>
      <c r="R111">
        <f>IF(R$1&lt;&gt;"",INDEX(Base!$G$1:$G$5000,$A111+R$1+2),"")</f>
        <v>0</v>
      </c>
      <c r="S111">
        <f>IF(S$1&lt;&gt;"",INDEX(Base!$G$1:$G$5000,$A111+S$1+2),"")</f>
        <v>0</v>
      </c>
      <c r="T111">
        <f>IF(T$1&lt;&gt;"",INDEX(Base!$G$1:$G$5000,$A111+T$1+2),"")</f>
        <v>0</v>
      </c>
      <c r="U111">
        <f>IF(U$1&lt;&gt;"",INDEX(Base!$G$1:$G$5000,$A111+U$1+2),"")</f>
        <v>0</v>
      </c>
      <c r="V111">
        <f>IF(V$1&lt;&gt;"",INDEX(Base!$G$1:$G$5000,$A111+V$1+2),"")</f>
        <v>0</v>
      </c>
      <c r="W111">
        <f>IF(W$1&lt;&gt;"",INDEX(Base!$G$1:$G$5000,$A111+W$1+2),"")</f>
        <v>0</v>
      </c>
      <c r="X111">
        <f>IF(X$1&lt;&gt;"",INDEX(Base!$G$1:$G$5000,$A111+X$1+2),"")</f>
        <v>0</v>
      </c>
      <c r="Y111">
        <f>IF(Y$1&lt;&gt;"",INDEX(Base!$G$1:$G$5000,$A111+Y$1+2),"")</f>
        <v>0</v>
      </c>
      <c r="Z111">
        <f>IF(Z$1&lt;&gt;"",INDEX(Base!$G$1:$G$5000,$A111+Z$1+2),"")</f>
        <v>0</v>
      </c>
      <c r="AA111">
        <f>IF(AA$1&lt;&gt;"",INDEX(Base!$G$1:$G$5000,$A111+AA$1+2),"")</f>
        <v>0</v>
      </c>
      <c r="AB111">
        <f>IF(AB$1&lt;&gt;"",INDEX(Base!$G$1:$G$5000,$A111+AB$1+2),"")</f>
        <v>0</v>
      </c>
      <c r="AC111">
        <f>IF(AC$1&lt;&gt;"",INDEX(Base!$G$1:$G$5000,$A111+AC$1+2),"")</f>
        <v>0</v>
      </c>
      <c r="AD111">
        <f>IF(AD$1&lt;&gt;"",INDEX(Base!$G$1:$G$5000,$A111+AD$1+2),"")</f>
        <v>0</v>
      </c>
      <c r="AE111">
        <f>IF(AE$1&lt;&gt;"",INDEX(Base!$G$1:$G$5000,$A111+AE$1+2),"")</f>
        <v>0</v>
      </c>
      <c r="AF111">
        <f>IF(AF$1&lt;&gt;"",INDEX(Base!$G$1:$G$5000,$A111+AF$1+2),"")</f>
        <v>0</v>
      </c>
      <c r="AG111">
        <f>IF(AG$1&lt;&gt;"",INDEX(Base!$G$1:$G$5000,$A111+AG$1+2),"")</f>
        <v>0</v>
      </c>
      <c r="AH111">
        <f>IF(AH$1&lt;&gt;"",INDEX(Base!$G$1:$G$5000,$A111+AH$1+2),"")</f>
        <v>0</v>
      </c>
      <c r="AI111">
        <f>IF(AI$1&lt;&gt;"",INDEX(Base!$G$1:$G$5000,$A111+AI$1+2),"")</f>
        <v>0</v>
      </c>
      <c r="AJ111">
        <f>IF(AJ$1&lt;&gt;"",INDEX(Base!$G$1:$G$5000,$A111+AJ$1+2),"")</f>
        <v>0</v>
      </c>
      <c r="AK111">
        <f>IF(AK$1&lt;&gt;"",INDEX(Base!$G$1:$G$5000,$A111+AK$1+2),"")</f>
        <v>0</v>
      </c>
      <c r="AL111">
        <f>IF(AL$1&lt;&gt;"",INDEX(Base!$G$1:$G$5000,$A111+AL$1+2),"")</f>
        <v>0</v>
      </c>
      <c r="AM111">
        <f>IF(AM$1&lt;&gt;"",INDEX(Base!$G$1:$G$5000,$A111+AM$1+2),"")</f>
        <v>0</v>
      </c>
      <c r="AN111">
        <f>IF(AN$1&lt;&gt;"",INDEX(Base!$G$1:$G$5000,$A111+AN$1+2),"")</f>
        <v>0</v>
      </c>
      <c r="AO111">
        <f>IF(AO$1&lt;&gt;"",INDEX(Base!$G$1:$G$5000,$A111+AO$1+2),"")</f>
        <v>0</v>
      </c>
      <c r="AP111">
        <f>IF(AP$1&lt;&gt;"",INDEX(Base!$G$1:$G$5000,$A111+AP$1+2),"")</f>
        <v>0</v>
      </c>
      <c r="AQ111">
        <f>IF(AQ$1&lt;&gt;"",INDEX(Base!$G$1:$G$5000,$A111+AQ$1+2),"")</f>
        <v>0</v>
      </c>
      <c r="AR111">
        <f>IF(AR$1&lt;&gt;"",INDEX(Base!$G$1:$G$5000,$A111+AR$1+2),"")</f>
        <v>0</v>
      </c>
      <c r="AS111">
        <f>IF(AS$1&lt;&gt;"",INDEX(Base!$G$1:$G$5000,$A111+AS$1+2),"")</f>
        <v>0</v>
      </c>
      <c r="AT111">
        <f>IF(AT$1&lt;&gt;"",INDEX(Base!$G$1:$G$5000,$A111+AT$1+2),"")</f>
        <v>0</v>
      </c>
      <c r="AU111">
        <f>IF(AU$1&lt;&gt;"",INDEX(Base!$G$1:$G$5000,$A111+AU$1+2),"")</f>
        <v>0</v>
      </c>
      <c r="AV111">
        <f>IF(AV$1&lt;&gt;"",INDEX(Base!$G$1:$G$5000,$A111+AV$1+2),"")</f>
        <v>0</v>
      </c>
      <c r="AW111" s="8">
        <f t="shared" si="5"/>
        <v>0</v>
      </c>
      <c r="AX111">
        <f>IF(AX$1&lt;&gt;"",INDEX(Base!$R$1:$R$4000,$E111+AX$1+2),"")</f>
        <v>0</v>
      </c>
      <c r="AY111">
        <f>IF(AY$1&lt;&gt;"",INDEX(Base!$R$1:$R$4000,$E111+AY$1+2),"")</f>
        <v>0</v>
      </c>
      <c r="AZ111">
        <f>IF(AZ$1&lt;&gt;"",INDEX(Base!$R$1:$R$4000,$E111+AZ$1+2),"")</f>
        <v>0</v>
      </c>
      <c r="BA111">
        <f>IF(BA$1&lt;&gt;"",INDEX(Base!$R$1:$R$4000,$E111+BA$1+2),"")</f>
        <v>0</v>
      </c>
      <c r="BB111">
        <f>IF(BB$1&lt;&gt;"",INDEX(Base!$R$1:$R$4000,$E111+BB$1+2),"")</f>
        <v>0</v>
      </c>
      <c r="BC111">
        <f>IF(BC$1&lt;&gt;"",INDEX(Base!$R$1:$R$4000,$E111+BC$1+2),"")</f>
        <v>0</v>
      </c>
      <c r="BD111">
        <f>IF(BD$1&lt;&gt;"",INDEX(Base!$R$1:$R$4000,$E111+BD$1+2),"")</f>
        <v>0</v>
      </c>
      <c r="BE111">
        <f>IF(BE$1&lt;&gt;"",INDEX(Base!$R$1:$R$4000,$E111+BE$1+2),"")</f>
        <v>0</v>
      </c>
      <c r="BF111">
        <f>IF(BF$1&lt;&gt;"",INDEX(Base!$R$1:$R$4000,$E111+BF$1+2),"")</f>
        <v>0</v>
      </c>
      <c r="BG111">
        <f>IF(BG$1&lt;&gt;"",INDEX(Base!$R$1:$R$4000,$E111+BG$1+2),"")</f>
        <v>0</v>
      </c>
      <c r="BH111">
        <f>IF(BH$1&lt;&gt;"",INDEX(Base!$R$1:$R$4000,$E111+BH$1+2),"")</f>
        <v>0</v>
      </c>
      <c r="BI111">
        <f>IF(BI$1&lt;&gt;"",INDEX(Base!$R$1:$R$4000,$E111+BI$1+2),"")</f>
        <v>0</v>
      </c>
      <c r="BJ111">
        <f>IF(BJ$1&lt;&gt;"",INDEX(Base!$R$1:$R$4000,$E111+BJ$1+2),"")</f>
        <v>0</v>
      </c>
      <c r="BK111">
        <f>IF(BK$1&lt;&gt;"",INDEX(Base!$R$1:$R$4000,$E111+BK$1+2),"")</f>
        <v>0</v>
      </c>
      <c r="BL111">
        <f>IF(BL$1&lt;&gt;"",INDEX(Base!$R$1:$R$4000,$E111+BL$1+2),"")</f>
        <v>0</v>
      </c>
      <c r="BM111">
        <f>IF(BM$1&lt;&gt;"",INDEX(Base!$R$1:$R$4000,$E111+BM$1+2),"")</f>
        <v>0</v>
      </c>
      <c r="BN111">
        <f>IF(BN$1&lt;&gt;"",INDEX(Base!$R$1:$R$4000,$E111+BN$1+2),"")</f>
        <v>0</v>
      </c>
      <c r="BO111">
        <f>IF(BO$1&lt;&gt;"",INDEX(Base!$R$1:$R$4000,$E111+BO$1+2),"")</f>
        <v>0</v>
      </c>
      <c r="BP111">
        <f>IF(BP$1&lt;&gt;"",INDEX(Base!$R$1:$R$4000,$E111+BP$1+2),"")</f>
        <v>0</v>
      </c>
      <c r="BQ111">
        <f>IF(BQ$1&lt;&gt;"",INDEX(Base!$R$1:$R$4000,$E111+BQ$1+2),"")</f>
        <v>0</v>
      </c>
      <c r="BR111">
        <f>IF(BR$1&lt;&gt;"",INDEX(Base!$R$1:$R$4000,$E111+BR$1+2),"")</f>
        <v>0</v>
      </c>
      <c r="BS111">
        <f>IF(BS$1&lt;&gt;"",INDEX(Base!$R$1:$R$4000,$E111+BS$1+2),"")</f>
        <v>0</v>
      </c>
      <c r="BT111">
        <f>IF(BT$1&lt;&gt;"",INDEX(Base!$R$1:$R$4000,$E111+BT$1+2),"")</f>
        <v>0</v>
      </c>
    </row>
    <row r="112" spans="1:72" x14ac:dyDescent="0.3">
      <c r="A112" s="2">
        <f t="shared" si="7"/>
        <v>4801</v>
      </c>
      <c r="B112" s="3" t="str">
        <f>IFERROR(MID(INDEX(Base!A$1:A$5000,Calcoli!A112),47,LEN(INDEX(Base!A$1:A$5000,Calcoli!A112))-41),"")</f>
        <v/>
      </c>
      <c r="C112" s="5" t="str">
        <f>MID(INDEX(Base!A$1:A$5000,Calcoli!A112),42,4)</f>
        <v/>
      </c>
      <c r="D112" s="5" t="str">
        <f>MID(INDEX(Base!A$1:A$5000,Calcoli!A112),13,11)</f>
        <v/>
      </c>
      <c r="E112" s="4">
        <f t="shared" si="6"/>
        <v>3384</v>
      </c>
      <c r="F112" s="3" t="str">
        <f>IFERROR(MID(INDEX(Base!L$1:L$4000,Calcoli!E112),47,LEN(INDEX(Base!L$1:L$4000,Calcoli!E112))-41),"")</f>
        <v/>
      </c>
      <c r="G112" s="5" t="str">
        <f>MID(INDEX(Base!L$1:L$4000,Calcoli!$E112),42,4)</f>
        <v/>
      </c>
      <c r="H112" s="5" t="str">
        <f>MID(INDEX(Base!L$1:L$4000,Calcoli!E112),13,11)</f>
        <v/>
      </c>
      <c r="I112" s="6" t="str">
        <f xml:space="preserve"> IFERROR(MID(INDEX(Base!$V$3:$AB$60,MATCH($F112,Base!$Z$3:$Z$160,0),1),1,14),"")</f>
        <v/>
      </c>
      <c r="J112" s="6" t="str">
        <f xml:space="preserve"> IFERROR(INDEX(Base!$V$3:$AB$160,MATCH($F112,Base!$Z$3:$Z$160,0),2),"")</f>
        <v/>
      </c>
      <c r="K112" s="6" t="str">
        <f xml:space="preserve"> IFERROR(INDEX(Base!$V$3:$AB$160,MATCH($F112,Base!$Z$3:$Z$160,0),3),"")</f>
        <v/>
      </c>
      <c r="L112" s="28" t="str">
        <f xml:space="preserve"> IFERROR(INDEX(Base!$V$3:$AB$160,MATCH($F112,Base!$Z$3:$Z$160,0),4),"")</f>
        <v/>
      </c>
      <c r="M112">
        <f>IF(M$1&lt;&gt;"",INDEX(Base!$G$1:$G$5000,$A112+M$1+2),"")</f>
        <v>0</v>
      </c>
      <c r="N112">
        <f>IF(N$1&lt;&gt;"",INDEX(Base!$G$1:$G$5000,$A112+N$1+2),"")</f>
        <v>0</v>
      </c>
      <c r="O112">
        <f>IF(O$1&lt;&gt;"",INDEX(Base!$G$1:$G$5000,$A112+O$1+2),"")</f>
        <v>0</v>
      </c>
      <c r="P112">
        <f>IF(P$1&lt;&gt;"",INDEX(Base!$G$1:$G$5000,$A112+P$1+2),"")</f>
        <v>0</v>
      </c>
      <c r="Q112">
        <f>IF(Q$1&lt;&gt;"",INDEX(Base!$G$1:$G$5000,$A112+Q$1+2),"")</f>
        <v>0</v>
      </c>
      <c r="R112">
        <f>IF(R$1&lt;&gt;"",INDEX(Base!$G$1:$G$5000,$A112+R$1+2),"")</f>
        <v>0</v>
      </c>
      <c r="S112">
        <f>IF(S$1&lt;&gt;"",INDEX(Base!$G$1:$G$5000,$A112+S$1+2),"")</f>
        <v>0</v>
      </c>
      <c r="T112">
        <f>IF(T$1&lt;&gt;"",INDEX(Base!$G$1:$G$5000,$A112+T$1+2),"")</f>
        <v>0</v>
      </c>
      <c r="U112">
        <f>IF(U$1&lt;&gt;"",INDEX(Base!$G$1:$G$5000,$A112+U$1+2),"")</f>
        <v>0</v>
      </c>
      <c r="V112">
        <f>IF(V$1&lt;&gt;"",INDEX(Base!$G$1:$G$5000,$A112+V$1+2),"")</f>
        <v>0</v>
      </c>
      <c r="W112">
        <f>IF(W$1&lt;&gt;"",INDEX(Base!$G$1:$G$5000,$A112+W$1+2),"")</f>
        <v>0</v>
      </c>
      <c r="X112">
        <f>IF(X$1&lt;&gt;"",INDEX(Base!$G$1:$G$5000,$A112+X$1+2),"")</f>
        <v>0</v>
      </c>
      <c r="Y112">
        <f>IF(Y$1&lt;&gt;"",INDEX(Base!$G$1:$G$5000,$A112+Y$1+2),"")</f>
        <v>0</v>
      </c>
      <c r="Z112">
        <f>IF(Z$1&lt;&gt;"",INDEX(Base!$G$1:$G$5000,$A112+Z$1+2),"")</f>
        <v>0</v>
      </c>
      <c r="AA112">
        <f>IF(AA$1&lt;&gt;"",INDEX(Base!$G$1:$G$5000,$A112+AA$1+2),"")</f>
        <v>0</v>
      </c>
      <c r="AB112">
        <f>IF(AB$1&lt;&gt;"",INDEX(Base!$G$1:$G$5000,$A112+AB$1+2),"")</f>
        <v>0</v>
      </c>
      <c r="AC112">
        <f>IF(AC$1&lt;&gt;"",INDEX(Base!$G$1:$G$5000,$A112+AC$1+2),"")</f>
        <v>0</v>
      </c>
      <c r="AD112">
        <f>IF(AD$1&lt;&gt;"",INDEX(Base!$G$1:$G$5000,$A112+AD$1+2),"")</f>
        <v>0</v>
      </c>
      <c r="AE112">
        <f>IF(AE$1&lt;&gt;"",INDEX(Base!$G$1:$G$5000,$A112+AE$1+2),"")</f>
        <v>0</v>
      </c>
      <c r="AF112">
        <f>IF(AF$1&lt;&gt;"",INDEX(Base!$G$1:$G$5000,$A112+AF$1+2),"")</f>
        <v>0</v>
      </c>
      <c r="AG112">
        <f>IF(AG$1&lt;&gt;"",INDEX(Base!$G$1:$G$5000,$A112+AG$1+2),"")</f>
        <v>0</v>
      </c>
      <c r="AH112">
        <f>IF(AH$1&lt;&gt;"",INDEX(Base!$G$1:$G$5000,$A112+AH$1+2),"")</f>
        <v>0</v>
      </c>
      <c r="AI112">
        <f>IF(AI$1&lt;&gt;"",INDEX(Base!$G$1:$G$5000,$A112+AI$1+2),"")</f>
        <v>0</v>
      </c>
      <c r="AJ112">
        <f>IF(AJ$1&lt;&gt;"",INDEX(Base!$G$1:$G$5000,$A112+AJ$1+2),"")</f>
        <v>0</v>
      </c>
      <c r="AK112">
        <f>IF(AK$1&lt;&gt;"",INDEX(Base!$G$1:$G$5000,$A112+AK$1+2),"")</f>
        <v>0</v>
      </c>
      <c r="AL112">
        <f>IF(AL$1&lt;&gt;"",INDEX(Base!$G$1:$G$5000,$A112+AL$1+2),"")</f>
        <v>0</v>
      </c>
      <c r="AM112">
        <f>IF(AM$1&lt;&gt;"",INDEX(Base!$G$1:$G$5000,$A112+AM$1+2),"")</f>
        <v>0</v>
      </c>
      <c r="AN112">
        <f>IF(AN$1&lt;&gt;"",INDEX(Base!$G$1:$G$5000,$A112+AN$1+2),"")</f>
        <v>0</v>
      </c>
      <c r="AO112">
        <f>IF(AO$1&lt;&gt;"",INDEX(Base!$G$1:$G$5000,$A112+AO$1+2),"")</f>
        <v>0</v>
      </c>
      <c r="AP112">
        <f>IF(AP$1&lt;&gt;"",INDEX(Base!$G$1:$G$5000,$A112+AP$1+2),"")</f>
        <v>0</v>
      </c>
      <c r="AQ112">
        <f>IF(AQ$1&lt;&gt;"",INDEX(Base!$G$1:$G$5000,$A112+AQ$1+2),"")</f>
        <v>0</v>
      </c>
      <c r="AR112">
        <f>IF(AR$1&lt;&gt;"",INDEX(Base!$G$1:$G$5000,$A112+AR$1+2),"")</f>
        <v>0</v>
      </c>
      <c r="AS112">
        <f>IF(AS$1&lt;&gt;"",INDEX(Base!$G$1:$G$5000,$A112+AS$1+2),"")</f>
        <v>0</v>
      </c>
      <c r="AT112">
        <f>IF(AT$1&lt;&gt;"",INDEX(Base!$G$1:$G$5000,$A112+AT$1+2),"")</f>
        <v>0</v>
      </c>
      <c r="AU112">
        <f>IF(AU$1&lt;&gt;"",INDEX(Base!$G$1:$G$5000,$A112+AU$1+2),"")</f>
        <v>0</v>
      </c>
      <c r="AV112">
        <f>IF(AV$1&lt;&gt;"",INDEX(Base!$G$1:$G$5000,$A112+AV$1+2),"")</f>
        <v>0</v>
      </c>
      <c r="AW112" s="8">
        <f t="shared" si="5"/>
        <v>0</v>
      </c>
      <c r="AX112">
        <f>IF(AX$1&lt;&gt;"",INDEX(Base!$R$1:$R$4000,$E112+AX$1+2),"")</f>
        <v>0</v>
      </c>
      <c r="AY112">
        <f>IF(AY$1&lt;&gt;"",INDEX(Base!$R$1:$R$4000,$E112+AY$1+2),"")</f>
        <v>0</v>
      </c>
      <c r="AZ112">
        <f>IF(AZ$1&lt;&gt;"",INDEX(Base!$R$1:$R$4000,$E112+AZ$1+2),"")</f>
        <v>0</v>
      </c>
      <c r="BA112">
        <f>IF(BA$1&lt;&gt;"",INDEX(Base!$R$1:$R$4000,$E112+BA$1+2),"")</f>
        <v>0</v>
      </c>
      <c r="BB112">
        <f>IF(BB$1&lt;&gt;"",INDEX(Base!$R$1:$R$4000,$E112+BB$1+2),"")</f>
        <v>0</v>
      </c>
      <c r="BC112">
        <f>IF(BC$1&lt;&gt;"",INDEX(Base!$R$1:$R$4000,$E112+BC$1+2),"")</f>
        <v>0</v>
      </c>
      <c r="BD112">
        <f>IF(BD$1&lt;&gt;"",INDEX(Base!$R$1:$R$4000,$E112+BD$1+2),"")</f>
        <v>0</v>
      </c>
      <c r="BE112">
        <f>IF(BE$1&lt;&gt;"",INDEX(Base!$R$1:$R$4000,$E112+BE$1+2),"")</f>
        <v>0</v>
      </c>
      <c r="BF112">
        <f>IF(BF$1&lt;&gt;"",INDEX(Base!$R$1:$R$4000,$E112+BF$1+2),"")</f>
        <v>0</v>
      </c>
      <c r="BG112">
        <f>IF(BG$1&lt;&gt;"",INDEX(Base!$R$1:$R$4000,$E112+BG$1+2),"")</f>
        <v>0</v>
      </c>
      <c r="BH112">
        <f>IF(BH$1&lt;&gt;"",INDEX(Base!$R$1:$R$4000,$E112+BH$1+2),"")</f>
        <v>0</v>
      </c>
      <c r="BI112">
        <f>IF(BI$1&lt;&gt;"",INDEX(Base!$R$1:$R$4000,$E112+BI$1+2),"")</f>
        <v>0</v>
      </c>
      <c r="BJ112">
        <f>IF(BJ$1&lt;&gt;"",INDEX(Base!$R$1:$R$4000,$E112+BJ$1+2),"")</f>
        <v>0</v>
      </c>
      <c r="BK112">
        <f>IF(BK$1&lt;&gt;"",INDEX(Base!$R$1:$R$4000,$E112+BK$1+2),"")</f>
        <v>0</v>
      </c>
      <c r="BL112">
        <f>IF(BL$1&lt;&gt;"",INDEX(Base!$R$1:$R$4000,$E112+BL$1+2),"")</f>
        <v>0</v>
      </c>
      <c r="BM112">
        <f>IF(BM$1&lt;&gt;"",INDEX(Base!$R$1:$R$4000,$E112+BM$1+2),"")</f>
        <v>0</v>
      </c>
      <c r="BN112">
        <f>IF(BN$1&lt;&gt;"",INDEX(Base!$R$1:$R$4000,$E112+BN$1+2),"")</f>
        <v>0</v>
      </c>
      <c r="BO112">
        <f>IF(BO$1&lt;&gt;"",INDEX(Base!$R$1:$R$4000,$E112+BO$1+2),"")</f>
        <v>0</v>
      </c>
      <c r="BP112">
        <f>IF(BP$1&lt;&gt;"",INDEX(Base!$R$1:$R$4000,$E112+BP$1+2),"")</f>
        <v>0</v>
      </c>
      <c r="BQ112">
        <f>IF(BQ$1&lt;&gt;"",INDEX(Base!$R$1:$R$4000,$E112+BQ$1+2),"")</f>
        <v>0</v>
      </c>
      <c r="BR112">
        <f>IF(BR$1&lt;&gt;"",INDEX(Base!$R$1:$R$4000,$E112+BR$1+2),"")</f>
        <v>0</v>
      </c>
      <c r="BS112">
        <f>IF(BS$1&lt;&gt;"",INDEX(Base!$R$1:$R$4000,$E112+BS$1+2),"")</f>
        <v>0</v>
      </c>
      <c r="BT112">
        <f>IF(BT$1&lt;&gt;"",INDEX(Base!$R$1:$R$4000,$E112+BT$1+2),"")</f>
        <v>0</v>
      </c>
    </row>
    <row r="113" spans="1:72" x14ac:dyDescent="0.3">
      <c r="A113" s="2">
        <f t="shared" si="7"/>
        <v>4845</v>
      </c>
      <c r="B113" s="3" t="str">
        <f>IFERROR(MID(INDEX(Base!A$1:A$5000,Calcoli!A113),47,LEN(INDEX(Base!A$1:A$5000,Calcoli!A113))-41),"")</f>
        <v/>
      </c>
      <c r="C113" s="5" t="str">
        <f>MID(INDEX(Base!A$1:A$5000,Calcoli!A113),42,4)</f>
        <v/>
      </c>
      <c r="D113" s="5" t="str">
        <f>MID(INDEX(Base!A$1:A$5000,Calcoli!A113),13,11)</f>
        <v/>
      </c>
      <c r="E113" s="4">
        <f t="shared" si="6"/>
        <v>3415</v>
      </c>
      <c r="F113" s="3" t="str">
        <f>IFERROR(MID(INDEX(Base!L$1:L$4000,Calcoli!E113),47,LEN(INDEX(Base!L$1:L$4000,Calcoli!E113))-41),"")</f>
        <v/>
      </c>
      <c r="G113" s="5" t="str">
        <f>MID(INDEX(Base!L$1:L$4000,Calcoli!$E113),42,4)</f>
        <v/>
      </c>
      <c r="H113" s="5" t="str">
        <f>MID(INDEX(Base!L$1:L$4000,Calcoli!E113),13,11)</f>
        <v/>
      </c>
      <c r="I113" s="6" t="str">
        <f xml:space="preserve"> IFERROR(MID(INDEX(Base!$V$3:$AB$60,MATCH($F113,Base!$Z$3:$Z$160,0),1),1,14),"")</f>
        <v/>
      </c>
      <c r="J113" s="6" t="str">
        <f xml:space="preserve"> IFERROR(INDEX(Base!$V$3:$AB$160,MATCH($F113,Base!$Z$3:$Z$160,0),2),"")</f>
        <v/>
      </c>
      <c r="K113" s="6" t="str">
        <f xml:space="preserve"> IFERROR(INDEX(Base!$V$3:$AB$160,MATCH($F113,Base!$Z$3:$Z$160,0),3),"")</f>
        <v/>
      </c>
      <c r="L113" s="28" t="str">
        <f xml:space="preserve"> IFERROR(INDEX(Base!$V$3:$AB$160,MATCH($F113,Base!$Z$3:$Z$160,0),4),"")</f>
        <v/>
      </c>
      <c r="M113">
        <f>IF(M$1&lt;&gt;"",INDEX(Base!$G$1:$G$5000,$A113+M$1+2),"")</f>
        <v>0</v>
      </c>
      <c r="N113">
        <f>IF(N$1&lt;&gt;"",INDEX(Base!$G$1:$G$5000,$A113+N$1+2),"")</f>
        <v>0</v>
      </c>
      <c r="O113">
        <f>IF(O$1&lt;&gt;"",INDEX(Base!$G$1:$G$5000,$A113+O$1+2),"")</f>
        <v>0</v>
      </c>
      <c r="P113">
        <f>IF(P$1&lt;&gt;"",INDEX(Base!$G$1:$G$5000,$A113+P$1+2),"")</f>
        <v>0</v>
      </c>
      <c r="Q113">
        <f>IF(Q$1&lt;&gt;"",INDEX(Base!$G$1:$G$5000,$A113+Q$1+2),"")</f>
        <v>0</v>
      </c>
      <c r="R113">
        <f>IF(R$1&lt;&gt;"",INDEX(Base!$G$1:$G$5000,$A113+R$1+2),"")</f>
        <v>0</v>
      </c>
      <c r="S113">
        <f>IF(S$1&lt;&gt;"",INDEX(Base!$G$1:$G$5000,$A113+S$1+2),"")</f>
        <v>0</v>
      </c>
      <c r="T113">
        <f>IF(T$1&lt;&gt;"",INDEX(Base!$G$1:$G$5000,$A113+T$1+2),"")</f>
        <v>0</v>
      </c>
      <c r="U113">
        <f>IF(U$1&lt;&gt;"",INDEX(Base!$G$1:$G$5000,$A113+U$1+2),"")</f>
        <v>0</v>
      </c>
      <c r="V113">
        <f>IF(V$1&lt;&gt;"",INDEX(Base!$G$1:$G$5000,$A113+V$1+2),"")</f>
        <v>0</v>
      </c>
      <c r="W113">
        <f>IF(W$1&lt;&gt;"",INDEX(Base!$G$1:$G$5000,$A113+W$1+2),"")</f>
        <v>0</v>
      </c>
      <c r="X113">
        <f>IF(X$1&lt;&gt;"",INDEX(Base!$G$1:$G$5000,$A113+X$1+2),"")</f>
        <v>0</v>
      </c>
      <c r="Y113">
        <f>IF(Y$1&lt;&gt;"",INDEX(Base!$G$1:$G$5000,$A113+Y$1+2),"")</f>
        <v>0</v>
      </c>
      <c r="Z113">
        <f>IF(Z$1&lt;&gt;"",INDEX(Base!$G$1:$G$5000,$A113+Z$1+2),"")</f>
        <v>0</v>
      </c>
      <c r="AA113">
        <f>IF(AA$1&lt;&gt;"",INDEX(Base!$G$1:$G$5000,$A113+AA$1+2),"")</f>
        <v>0</v>
      </c>
      <c r="AB113">
        <f>IF(AB$1&lt;&gt;"",INDEX(Base!$G$1:$G$5000,$A113+AB$1+2),"")</f>
        <v>0</v>
      </c>
      <c r="AC113">
        <f>IF(AC$1&lt;&gt;"",INDEX(Base!$G$1:$G$5000,$A113+AC$1+2),"")</f>
        <v>0</v>
      </c>
      <c r="AD113">
        <f>IF(AD$1&lt;&gt;"",INDEX(Base!$G$1:$G$5000,$A113+AD$1+2),"")</f>
        <v>0</v>
      </c>
      <c r="AE113">
        <f>IF(AE$1&lt;&gt;"",INDEX(Base!$G$1:$G$5000,$A113+AE$1+2),"")</f>
        <v>0</v>
      </c>
      <c r="AF113">
        <f>IF(AF$1&lt;&gt;"",INDEX(Base!$G$1:$G$5000,$A113+AF$1+2),"")</f>
        <v>0</v>
      </c>
      <c r="AG113">
        <f>IF(AG$1&lt;&gt;"",INDEX(Base!$G$1:$G$5000,$A113+AG$1+2),"")</f>
        <v>0</v>
      </c>
      <c r="AH113">
        <f>IF(AH$1&lt;&gt;"",INDEX(Base!$G$1:$G$5000,$A113+AH$1+2),"")</f>
        <v>0</v>
      </c>
      <c r="AI113">
        <f>IF(AI$1&lt;&gt;"",INDEX(Base!$G$1:$G$5000,$A113+AI$1+2),"")</f>
        <v>0</v>
      </c>
      <c r="AJ113">
        <f>IF(AJ$1&lt;&gt;"",INDEX(Base!$G$1:$G$5000,$A113+AJ$1+2),"")</f>
        <v>0</v>
      </c>
      <c r="AK113">
        <f>IF(AK$1&lt;&gt;"",INDEX(Base!$G$1:$G$5000,$A113+AK$1+2),"")</f>
        <v>0</v>
      </c>
      <c r="AL113">
        <f>IF(AL$1&lt;&gt;"",INDEX(Base!$G$1:$G$5000,$A113+AL$1+2),"")</f>
        <v>0</v>
      </c>
      <c r="AM113">
        <f>IF(AM$1&lt;&gt;"",INDEX(Base!$G$1:$G$5000,$A113+AM$1+2),"")</f>
        <v>0</v>
      </c>
      <c r="AN113">
        <f>IF(AN$1&lt;&gt;"",INDEX(Base!$G$1:$G$5000,$A113+AN$1+2),"")</f>
        <v>0</v>
      </c>
      <c r="AO113">
        <f>IF(AO$1&lt;&gt;"",INDEX(Base!$G$1:$G$5000,$A113+AO$1+2),"")</f>
        <v>0</v>
      </c>
      <c r="AP113">
        <f>IF(AP$1&lt;&gt;"",INDEX(Base!$G$1:$G$5000,$A113+AP$1+2),"")</f>
        <v>0</v>
      </c>
      <c r="AQ113">
        <f>IF(AQ$1&lt;&gt;"",INDEX(Base!$G$1:$G$5000,$A113+AQ$1+2),"")</f>
        <v>0</v>
      </c>
      <c r="AR113">
        <f>IF(AR$1&lt;&gt;"",INDEX(Base!$G$1:$G$5000,$A113+AR$1+2),"")</f>
        <v>0</v>
      </c>
      <c r="AS113">
        <f>IF(AS$1&lt;&gt;"",INDEX(Base!$G$1:$G$5000,$A113+AS$1+2),"")</f>
        <v>0</v>
      </c>
      <c r="AT113">
        <f>IF(AT$1&lt;&gt;"",INDEX(Base!$G$1:$G$5000,$A113+AT$1+2),"")</f>
        <v>0</v>
      </c>
      <c r="AU113">
        <f>IF(AU$1&lt;&gt;"",INDEX(Base!$G$1:$G$5000,$A113+AU$1+2),"")</f>
        <v>0</v>
      </c>
      <c r="AV113">
        <f>IF(AV$1&lt;&gt;"",INDEX(Base!$G$1:$G$5000,$A113+AV$1+2),"")</f>
        <v>0</v>
      </c>
      <c r="AW113" s="8">
        <f t="shared" si="5"/>
        <v>0</v>
      </c>
      <c r="AX113">
        <f>IF(AX$1&lt;&gt;"",INDEX(Base!$R$1:$R$4000,$E113+AX$1+2),"")</f>
        <v>0</v>
      </c>
      <c r="AY113">
        <f>IF(AY$1&lt;&gt;"",INDEX(Base!$R$1:$R$4000,$E113+AY$1+2),"")</f>
        <v>0</v>
      </c>
      <c r="AZ113">
        <f>IF(AZ$1&lt;&gt;"",INDEX(Base!$R$1:$R$4000,$E113+AZ$1+2),"")</f>
        <v>0</v>
      </c>
      <c r="BA113">
        <f>IF(BA$1&lt;&gt;"",INDEX(Base!$R$1:$R$4000,$E113+BA$1+2),"")</f>
        <v>0</v>
      </c>
      <c r="BB113">
        <f>IF(BB$1&lt;&gt;"",INDEX(Base!$R$1:$R$4000,$E113+BB$1+2),"")</f>
        <v>0</v>
      </c>
      <c r="BC113">
        <f>IF(BC$1&lt;&gt;"",INDEX(Base!$R$1:$R$4000,$E113+BC$1+2),"")</f>
        <v>0</v>
      </c>
      <c r="BD113">
        <f>IF(BD$1&lt;&gt;"",INDEX(Base!$R$1:$R$4000,$E113+BD$1+2),"")</f>
        <v>0</v>
      </c>
      <c r="BE113">
        <f>IF(BE$1&lt;&gt;"",INDEX(Base!$R$1:$R$4000,$E113+BE$1+2),"")</f>
        <v>0</v>
      </c>
      <c r="BF113">
        <f>IF(BF$1&lt;&gt;"",INDEX(Base!$R$1:$R$4000,$E113+BF$1+2),"")</f>
        <v>0</v>
      </c>
      <c r="BG113">
        <f>IF(BG$1&lt;&gt;"",INDEX(Base!$R$1:$R$4000,$E113+BG$1+2),"")</f>
        <v>0</v>
      </c>
      <c r="BH113">
        <f>IF(BH$1&lt;&gt;"",INDEX(Base!$R$1:$R$4000,$E113+BH$1+2),"")</f>
        <v>0</v>
      </c>
      <c r="BI113">
        <f>IF(BI$1&lt;&gt;"",INDEX(Base!$R$1:$R$4000,$E113+BI$1+2),"")</f>
        <v>0</v>
      </c>
      <c r="BJ113">
        <f>IF(BJ$1&lt;&gt;"",INDEX(Base!$R$1:$R$4000,$E113+BJ$1+2),"")</f>
        <v>0</v>
      </c>
      <c r="BK113">
        <f>IF(BK$1&lt;&gt;"",INDEX(Base!$R$1:$R$4000,$E113+BK$1+2),"")</f>
        <v>0</v>
      </c>
      <c r="BL113">
        <f>IF(BL$1&lt;&gt;"",INDEX(Base!$R$1:$R$4000,$E113+BL$1+2),"")</f>
        <v>0</v>
      </c>
      <c r="BM113">
        <f>IF(BM$1&lt;&gt;"",INDEX(Base!$R$1:$R$4000,$E113+BM$1+2),"")</f>
        <v>0</v>
      </c>
      <c r="BN113">
        <f>IF(BN$1&lt;&gt;"",INDEX(Base!$R$1:$R$4000,$E113+BN$1+2),"")</f>
        <v>0</v>
      </c>
      <c r="BO113">
        <f>IF(BO$1&lt;&gt;"",INDEX(Base!$R$1:$R$4000,$E113+BO$1+2),"")</f>
        <v>0</v>
      </c>
      <c r="BP113">
        <f>IF(BP$1&lt;&gt;"",INDEX(Base!$R$1:$R$4000,$E113+BP$1+2),"")</f>
        <v>0</v>
      </c>
      <c r="BQ113">
        <f>IF(BQ$1&lt;&gt;"",INDEX(Base!$R$1:$R$4000,$E113+BQ$1+2),"")</f>
        <v>0</v>
      </c>
      <c r="BR113">
        <f>IF(BR$1&lt;&gt;"",INDEX(Base!$R$1:$R$4000,$E113+BR$1+2),"")</f>
        <v>0</v>
      </c>
      <c r="BS113">
        <f>IF(BS$1&lt;&gt;"",INDEX(Base!$R$1:$R$4000,$E113+BS$1+2),"")</f>
        <v>0</v>
      </c>
      <c r="BT113">
        <f>IF(BT$1&lt;&gt;"",INDEX(Base!$R$1:$R$4000,$E113+BT$1+2),"")</f>
        <v>0</v>
      </c>
    </row>
    <row r="114" spans="1:72" x14ac:dyDescent="0.3">
      <c r="A114" s="2">
        <f t="shared" si="7"/>
        <v>4889</v>
      </c>
      <c r="B114" s="3" t="str">
        <f>IFERROR(MID(INDEX(Base!A$1:A$5000,Calcoli!A114),47,LEN(INDEX(Base!A$1:A$5000,Calcoli!A114))-41),"")</f>
        <v/>
      </c>
      <c r="C114" s="5" t="str">
        <f>MID(INDEX(Base!A$1:A$5000,Calcoli!A114),42,4)</f>
        <v/>
      </c>
      <c r="D114" s="5" t="str">
        <f>MID(INDEX(Base!A$1:A$5000,Calcoli!A114),13,11)</f>
        <v/>
      </c>
      <c r="E114" s="4">
        <f t="shared" si="6"/>
        <v>3446</v>
      </c>
      <c r="F114" s="3" t="str">
        <f>IFERROR(MID(INDEX(Base!L$1:L$4000,Calcoli!E114),47,LEN(INDEX(Base!L$1:L$4000,Calcoli!E114))-41),"")</f>
        <v/>
      </c>
      <c r="G114" s="5" t="str">
        <f>MID(INDEX(Base!L$1:L$4000,Calcoli!$E114),42,4)</f>
        <v/>
      </c>
      <c r="H114" s="5" t="str">
        <f>MID(INDEX(Base!L$1:L$4000,Calcoli!E114),13,11)</f>
        <v/>
      </c>
      <c r="I114" s="6" t="str">
        <f xml:space="preserve"> IFERROR(MID(INDEX(Base!$V$3:$AB$60,MATCH($F114,Base!$Z$3:$Z$160,0),1),1,14),"")</f>
        <v/>
      </c>
      <c r="J114" s="6" t="str">
        <f xml:space="preserve"> IFERROR(INDEX(Base!$V$3:$AB$160,MATCH($F114,Base!$Z$3:$Z$160,0),2),"")</f>
        <v/>
      </c>
      <c r="K114" s="6" t="str">
        <f xml:space="preserve"> IFERROR(INDEX(Base!$V$3:$AB$160,MATCH($F114,Base!$Z$3:$Z$160,0),3),"")</f>
        <v/>
      </c>
      <c r="L114" s="28" t="str">
        <f xml:space="preserve"> IFERROR(INDEX(Base!$V$3:$AB$160,MATCH($F114,Base!$Z$3:$Z$160,0),4),"")</f>
        <v/>
      </c>
      <c r="M114">
        <f>IF(M$1&lt;&gt;"",INDEX(Base!$G$1:$G$5000,$A114+M$1+2),"")</f>
        <v>0</v>
      </c>
      <c r="N114">
        <f>IF(N$1&lt;&gt;"",INDEX(Base!$G$1:$G$5000,$A114+N$1+2),"")</f>
        <v>0</v>
      </c>
      <c r="O114">
        <f>IF(O$1&lt;&gt;"",INDEX(Base!$G$1:$G$5000,$A114+O$1+2),"")</f>
        <v>0</v>
      </c>
      <c r="P114">
        <f>IF(P$1&lt;&gt;"",INDEX(Base!$G$1:$G$5000,$A114+P$1+2),"")</f>
        <v>0</v>
      </c>
      <c r="Q114">
        <f>IF(Q$1&lt;&gt;"",INDEX(Base!$G$1:$G$5000,$A114+Q$1+2),"")</f>
        <v>0</v>
      </c>
      <c r="R114">
        <f>IF(R$1&lt;&gt;"",INDEX(Base!$G$1:$G$5000,$A114+R$1+2),"")</f>
        <v>0</v>
      </c>
      <c r="S114">
        <f>IF(S$1&lt;&gt;"",INDEX(Base!$G$1:$G$5000,$A114+S$1+2),"")</f>
        <v>0</v>
      </c>
      <c r="T114">
        <f>IF(T$1&lt;&gt;"",INDEX(Base!$G$1:$G$5000,$A114+T$1+2),"")</f>
        <v>0</v>
      </c>
      <c r="U114">
        <f>IF(U$1&lt;&gt;"",INDEX(Base!$G$1:$G$5000,$A114+U$1+2),"")</f>
        <v>0</v>
      </c>
      <c r="V114">
        <f>IF(V$1&lt;&gt;"",INDEX(Base!$G$1:$G$5000,$A114+V$1+2),"")</f>
        <v>0</v>
      </c>
      <c r="W114">
        <f>IF(W$1&lt;&gt;"",INDEX(Base!$G$1:$G$5000,$A114+W$1+2),"")</f>
        <v>0</v>
      </c>
      <c r="X114">
        <f>IF(X$1&lt;&gt;"",INDEX(Base!$G$1:$G$5000,$A114+X$1+2),"")</f>
        <v>0</v>
      </c>
      <c r="Y114">
        <f>IF(Y$1&lt;&gt;"",INDEX(Base!$G$1:$G$5000,$A114+Y$1+2),"")</f>
        <v>0</v>
      </c>
      <c r="Z114">
        <f>IF(Z$1&lt;&gt;"",INDEX(Base!$G$1:$G$5000,$A114+Z$1+2),"")</f>
        <v>0</v>
      </c>
      <c r="AA114">
        <f>IF(AA$1&lt;&gt;"",INDEX(Base!$G$1:$G$5000,$A114+AA$1+2),"")</f>
        <v>0</v>
      </c>
      <c r="AB114">
        <f>IF(AB$1&lt;&gt;"",INDEX(Base!$G$1:$G$5000,$A114+AB$1+2),"")</f>
        <v>0</v>
      </c>
      <c r="AC114">
        <f>IF(AC$1&lt;&gt;"",INDEX(Base!$G$1:$G$5000,$A114+AC$1+2),"")</f>
        <v>0</v>
      </c>
      <c r="AD114">
        <f>IF(AD$1&lt;&gt;"",INDEX(Base!$G$1:$G$5000,$A114+AD$1+2),"")</f>
        <v>0</v>
      </c>
      <c r="AE114">
        <f>IF(AE$1&lt;&gt;"",INDEX(Base!$G$1:$G$5000,$A114+AE$1+2),"")</f>
        <v>0</v>
      </c>
      <c r="AF114">
        <f>IF(AF$1&lt;&gt;"",INDEX(Base!$G$1:$G$5000,$A114+AF$1+2),"")</f>
        <v>0</v>
      </c>
      <c r="AG114">
        <f>IF(AG$1&lt;&gt;"",INDEX(Base!$G$1:$G$5000,$A114+AG$1+2),"")</f>
        <v>0</v>
      </c>
      <c r="AH114">
        <f>IF(AH$1&lt;&gt;"",INDEX(Base!$G$1:$G$5000,$A114+AH$1+2),"")</f>
        <v>0</v>
      </c>
      <c r="AI114">
        <f>IF(AI$1&lt;&gt;"",INDEX(Base!$G$1:$G$5000,$A114+AI$1+2),"")</f>
        <v>0</v>
      </c>
      <c r="AJ114">
        <f>IF(AJ$1&lt;&gt;"",INDEX(Base!$G$1:$G$5000,$A114+AJ$1+2),"")</f>
        <v>0</v>
      </c>
      <c r="AK114">
        <f>IF(AK$1&lt;&gt;"",INDEX(Base!$G$1:$G$5000,$A114+AK$1+2),"")</f>
        <v>0</v>
      </c>
      <c r="AL114">
        <f>IF(AL$1&lt;&gt;"",INDEX(Base!$G$1:$G$5000,$A114+AL$1+2),"")</f>
        <v>0</v>
      </c>
      <c r="AM114">
        <f>IF(AM$1&lt;&gt;"",INDEX(Base!$G$1:$G$5000,$A114+AM$1+2),"")</f>
        <v>0</v>
      </c>
      <c r="AN114">
        <f>IF(AN$1&lt;&gt;"",INDEX(Base!$G$1:$G$5000,$A114+AN$1+2),"")</f>
        <v>0</v>
      </c>
      <c r="AO114">
        <f>IF(AO$1&lt;&gt;"",INDEX(Base!$G$1:$G$5000,$A114+AO$1+2),"")</f>
        <v>0</v>
      </c>
      <c r="AP114">
        <f>IF(AP$1&lt;&gt;"",INDEX(Base!$G$1:$G$5000,$A114+AP$1+2),"")</f>
        <v>0</v>
      </c>
      <c r="AQ114">
        <f>IF(AQ$1&lt;&gt;"",INDEX(Base!$G$1:$G$5000,$A114+AQ$1+2),"")</f>
        <v>0</v>
      </c>
      <c r="AR114">
        <f>IF(AR$1&lt;&gt;"",INDEX(Base!$G$1:$G$5000,$A114+AR$1+2),"")</f>
        <v>0</v>
      </c>
      <c r="AS114">
        <f>IF(AS$1&lt;&gt;"",INDEX(Base!$G$1:$G$5000,$A114+AS$1+2),"")</f>
        <v>0</v>
      </c>
      <c r="AT114">
        <f>IF(AT$1&lt;&gt;"",INDEX(Base!$G$1:$G$5000,$A114+AT$1+2),"")</f>
        <v>0</v>
      </c>
      <c r="AU114">
        <f>IF(AU$1&lt;&gt;"",INDEX(Base!$G$1:$G$5000,$A114+AU$1+2),"")</f>
        <v>0</v>
      </c>
      <c r="AV114">
        <f>IF(AV$1&lt;&gt;"",INDEX(Base!$G$1:$G$5000,$A114+AV$1+2),"")</f>
        <v>0</v>
      </c>
      <c r="AW114" s="8">
        <f t="shared" si="5"/>
        <v>0</v>
      </c>
      <c r="AX114">
        <f>IF(AX$1&lt;&gt;"",INDEX(Base!$R$1:$R$4000,$E114+AX$1+2),"")</f>
        <v>0</v>
      </c>
      <c r="AY114">
        <f>IF(AY$1&lt;&gt;"",INDEX(Base!$R$1:$R$4000,$E114+AY$1+2),"")</f>
        <v>0</v>
      </c>
      <c r="AZ114">
        <f>IF(AZ$1&lt;&gt;"",INDEX(Base!$R$1:$R$4000,$E114+AZ$1+2),"")</f>
        <v>0</v>
      </c>
      <c r="BA114">
        <f>IF(BA$1&lt;&gt;"",INDEX(Base!$R$1:$R$4000,$E114+BA$1+2),"")</f>
        <v>0</v>
      </c>
      <c r="BB114">
        <f>IF(BB$1&lt;&gt;"",INDEX(Base!$R$1:$R$4000,$E114+BB$1+2),"")</f>
        <v>0</v>
      </c>
      <c r="BC114">
        <f>IF(BC$1&lt;&gt;"",INDEX(Base!$R$1:$R$4000,$E114+BC$1+2),"")</f>
        <v>0</v>
      </c>
      <c r="BD114">
        <f>IF(BD$1&lt;&gt;"",INDEX(Base!$R$1:$R$4000,$E114+BD$1+2),"")</f>
        <v>0</v>
      </c>
      <c r="BE114">
        <f>IF(BE$1&lt;&gt;"",INDEX(Base!$R$1:$R$4000,$E114+BE$1+2),"")</f>
        <v>0</v>
      </c>
      <c r="BF114">
        <f>IF(BF$1&lt;&gt;"",INDEX(Base!$R$1:$R$4000,$E114+BF$1+2),"")</f>
        <v>0</v>
      </c>
      <c r="BG114">
        <f>IF(BG$1&lt;&gt;"",INDEX(Base!$R$1:$R$4000,$E114+BG$1+2),"")</f>
        <v>0</v>
      </c>
      <c r="BH114">
        <f>IF(BH$1&lt;&gt;"",INDEX(Base!$R$1:$R$4000,$E114+BH$1+2),"")</f>
        <v>0</v>
      </c>
      <c r="BI114">
        <f>IF(BI$1&lt;&gt;"",INDEX(Base!$R$1:$R$4000,$E114+BI$1+2),"")</f>
        <v>0</v>
      </c>
      <c r="BJ114">
        <f>IF(BJ$1&lt;&gt;"",INDEX(Base!$R$1:$R$4000,$E114+BJ$1+2),"")</f>
        <v>0</v>
      </c>
      <c r="BK114">
        <f>IF(BK$1&lt;&gt;"",INDEX(Base!$R$1:$R$4000,$E114+BK$1+2),"")</f>
        <v>0</v>
      </c>
      <c r="BL114">
        <f>IF(BL$1&lt;&gt;"",INDEX(Base!$R$1:$R$4000,$E114+BL$1+2),"")</f>
        <v>0</v>
      </c>
      <c r="BM114">
        <f>IF(BM$1&lt;&gt;"",INDEX(Base!$R$1:$R$4000,$E114+BM$1+2),"")</f>
        <v>0</v>
      </c>
      <c r="BN114">
        <f>IF(BN$1&lt;&gt;"",INDEX(Base!$R$1:$R$4000,$E114+BN$1+2),"")</f>
        <v>0</v>
      </c>
      <c r="BO114">
        <f>IF(BO$1&lt;&gt;"",INDEX(Base!$R$1:$R$4000,$E114+BO$1+2),"")</f>
        <v>0</v>
      </c>
      <c r="BP114">
        <f>IF(BP$1&lt;&gt;"",INDEX(Base!$R$1:$R$4000,$E114+BP$1+2),"")</f>
        <v>0</v>
      </c>
      <c r="BQ114">
        <f>IF(BQ$1&lt;&gt;"",INDEX(Base!$R$1:$R$4000,$E114+BQ$1+2),"")</f>
        <v>0</v>
      </c>
      <c r="BR114">
        <f>IF(BR$1&lt;&gt;"",INDEX(Base!$R$1:$R$4000,$E114+BR$1+2),"")</f>
        <v>0</v>
      </c>
      <c r="BS114">
        <f>IF(BS$1&lt;&gt;"",INDEX(Base!$R$1:$R$4000,$E114+BS$1+2),"")</f>
        <v>0</v>
      </c>
      <c r="BT114">
        <f>IF(BT$1&lt;&gt;"",INDEX(Base!$R$1:$R$4000,$E114+BT$1+2),"")</f>
        <v>0</v>
      </c>
    </row>
    <row r="115" spans="1:72" x14ac:dyDescent="0.3">
      <c r="A115" s="2">
        <f t="shared" si="7"/>
        <v>4933</v>
      </c>
      <c r="B115" s="3" t="str">
        <f>IFERROR(MID(INDEX(Base!A$1:A$5000,Calcoli!A115),47,LEN(INDEX(Base!A$1:A$5000,Calcoli!A115))-41),"")</f>
        <v/>
      </c>
      <c r="C115" s="5" t="str">
        <f>MID(INDEX(Base!A$1:A$5000,Calcoli!A115),42,4)</f>
        <v/>
      </c>
      <c r="D115" s="5" t="str">
        <f>MID(INDEX(Base!A$1:A$5000,Calcoli!A115),13,11)</f>
        <v/>
      </c>
      <c r="E115" s="4">
        <f t="shared" si="6"/>
        <v>3477</v>
      </c>
      <c r="F115" s="3" t="str">
        <f>IFERROR(MID(INDEX(Base!L$1:L$4000,Calcoli!E115),47,LEN(INDEX(Base!L$1:L$4000,Calcoli!E115))-41),"")</f>
        <v/>
      </c>
      <c r="G115" s="5" t="str">
        <f>MID(INDEX(Base!L$1:L$4000,Calcoli!$E115),42,4)</f>
        <v/>
      </c>
      <c r="H115" s="5" t="str">
        <f>MID(INDEX(Base!L$1:L$4000,Calcoli!E115),13,11)</f>
        <v/>
      </c>
      <c r="I115" s="6" t="str">
        <f xml:space="preserve"> IFERROR(MID(INDEX(Base!$V$3:$AB$60,MATCH($F115,Base!$Z$3:$Z$160,0),1),1,14),"")</f>
        <v/>
      </c>
      <c r="J115" s="6" t="str">
        <f xml:space="preserve"> IFERROR(INDEX(Base!$V$3:$AB$160,MATCH($F115,Base!$Z$3:$Z$160,0),2),"")</f>
        <v/>
      </c>
      <c r="K115" s="6" t="str">
        <f xml:space="preserve"> IFERROR(INDEX(Base!$V$3:$AB$160,MATCH($F115,Base!$Z$3:$Z$160,0),3),"")</f>
        <v/>
      </c>
      <c r="L115" s="28" t="str">
        <f xml:space="preserve"> IFERROR(INDEX(Base!$V$3:$AB$160,MATCH($F115,Base!$Z$3:$Z$160,0),4),"")</f>
        <v/>
      </c>
      <c r="M115">
        <f>IF(M$1&lt;&gt;"",INDEX(Base!$G$1:$G$5000,$A115+M$1+2),"")</f>
        <v>0</v>
      </c>
      <c r="N115">
        <f>IF(N$1&lt;&gt;"",INDEX(Base!$G$1:$G$5000,$A115+N$1+2),"")</f>
        <v>0</v>
      </c>
      <c r="O115">
        <f>IF(O$1&lt;&gt;"",INDEX(Base!$G$1:$G$5000,$A115+O$1+2),"")</f>
        <v>0</v>
      </c>
      <c r="P115">
        <f>IF(P$1&lt;&gt;"",INDEX(Base!$G$1:$G$5000,$A115+P$1+2),"")</f>
        <v>0</v>
      </c>
      <c r="Q115">
        <f>IF(Q$1&lt;&gt;"",INDEX(Base!$G$1:$G$5000,$A115+Q$1+2),"")</f>
        <v>0</v>
      </c>
      <c r="R115">
        <f>IF(R$1&lt;&gt;"",INDEX(Base!$G$1:$G$5000,$A115+R$1+2),"")</f>
        <v>0</v>
      </c>
      <c r="S115">
        <f>IF(S$1&lt;&gt;"",INDEX(Base!$G$1:$G$5000,$A115+S$1+2),"")</f>
        <v>0</v>
      </c>
      <c r="T115">
        <f>IF(T$1&lt;&gt;"",INDEX(Base!$G$1:$G$5000,$A115+T$1+2),"")</f>
        <v>0</v>
      </c>
      <c r="U115">
        <f>IF(U$1&lt;&gt;"",INDEX(Base!$G$1:$G$5000,$A115+U$1+2),"")</f>
        <v>0</v>
      </c>
      <c r="V115">
        <f>IF(V$1&lt;&gt;"",INDEX(Base!$G$1:$G$5000,$A115+V$1+2),"")</f>
        <v>0</v>
      </c>
      <c r="W115">
        <f>IF(W$1&lt;&gt;"",INDEX(Base!$G$1:$G$5000,$A115+W$1+2),"")</f>
        <v>0</v>
      </c>
      <c r="X115">
        <f>IF(X$1&lt;&gt;"",INDEX(Base!$G$1:$G$5000,$A115+X$1+2),"")</f>
        <v>0</v>
      </c>
      <c r="Y115">
        <f>IF(Y$1&lt;&gt;"",INDEX(Base!$G$1:$G$5000,$A115+Y$1+2),"")</f>
        <v>0</v>
      </c>
      <c r="Z115">
        <f>IF(Z$1&lt;&gt;"",INDEX(Base!$G$1:$G$5000,$A115+Z$1+2),"")</f>
        <v>0</v>
      </c>
      <c r="AA115">
        <f>IF(AA$1&lt;&gt;"",INDEX(Base!$G$1:$G$5000,$A115+AA$1+2),"")</f>
        <v>0</v>
      </c>
      <c r="AB115">
        <f>IF(AB$1&lt;&gt;"",INDEX(Base!$G$1:$G$5000,$A115+AB$1+2),"")</f>
        <v>0</v>
      </c>
      <c r="AC115">
        <f>IF(AC$1&lt;&gt;"",INDEX(Base!$G$1:$G$5000,$A115+AC$1+2),"")</f>
        <v>0</v>
      </c>
      <c r="AD115">
        <f>IF(AD$1&lt;&gt;"",INDEX(Base!$G$1:$G$5000,$A115+AD$1+2),"")</f>
        <v>0</v>
      </c>
      <c r="AE115">
        <f>IF(AE$1&lt;&gt;"",INDEX(Base!$G$1:$G$5000,$A115+AE$1+2),"")</f>
        <v>0</v>
      </c>
      <c r="AF115">
        <f>IF(AF$1&lt;&gt;"",INDEX(Base!$G$1:$G$5000,$A115+AF$1+2),"")</f>
        <v>0</v>
      </c>
      <c r="AG115">
        <f>IF(AG$1&lt;&gt;"",INDEX(Base!$G$1:$G$5000,$A115+AG$1+2),"")</f>
        <v>0</v>
      </c>
      <c r="AH115">
        <f>IF(AH$1&lt;&gt;"",INDEX(Base!$G$1:$G$5000,$A115+AH$1+2),"")</f>
        <v>0</v>
      </c>
      <c r="AI115">
        <f>IF(AI$1&lt;&gt;"",INDEX(Base!$G$1:$G$5000,$A115+AI$1+2),"")</f>
        <v>0</v>
      </c>
      <c r="AJ115">
        <f>IF(AJ$1&lt;&gt;"",INDEX(Base!$G$1:$G$5000,$A115+AJ$1+2),"")</f>
        <v>0</v>
      </c>
      <c r="AK115">
        <f>IF(AK$1&lt;&gt;"",INDEX(Base!$G$1:$G$5000,$A115+AK$1+2),"")</f>
        <v>0</v>
      </c>
      <c r="AL115">
        <f>IF(AL$1&lt;&gt;"",INDEX(Base!$G$1:$G$5000,$A115+AL$1+2),"")</f>
        <v>0</v>
      </c>
      <c r="AM115">
        <f>IF(AM$1&lt;&gt;"",INDEX(Base!$G$1:$G$5000,$A115+AM$1+2),"")</f>
        <v>0</v>
      </c>
      <c r="AN115">
        <f>IF(AN$1&lt;&gt;"",INDEX(Base!$G$1:$G$5000,$A115+AN$1+2),"")</f>
        <v>0</v>
      </c>
      <c r="AO115">
        <f>IF(AO$1&lt;&gt;"",INDEX(Base!$G$1:$G$5000,$A115+AO$1+2),"")</f>
        <v>0</v>
      </c>
      <c r="AP115">
        <f>IF(AP$1&lt;&gt;"",INDEX(Base!$G$1:$G$5000,$A115+AP$1+2),"")</f>
        <v>0</v>
      </c>
      <c r="AQ115">
        <f>IF(AQ$1&lt;&gt;"",INDEX(Base!$G$1:$G$5000,$A115+AQ$1+2),"")</f>
        <v>0</v>
      </c>
      <c r="AR115">
        <f>IF(AR$1&lt;&gt;"",INDEX(Base!$G$1:$G$5000,$A115+AR$1+2),"")</f>
        <v>0</v>
      </c>
      <c r="AS115">
        <f>IF(AS$1&lt;&gt;"",INDEX(Base!$G$1:$G$5000,$A115+AS$1+2),"")</f>
        <v>0</v>
      </c>
      <c r="AT115">
        <f>IF(AT$1&lt;&gt;"",INDEX(Base!$G$1:$G$5000,$A115+AT$1+2),"")</f>
        <v>0</v>
      </c>
      <c r="AU115">
        <f>IF(AU$1&lt;&gt;"",INDEX(Base!$G$1:$G$5000,$A115+AU$1+2),"")</f>
        <v>0</v>
      </c>
      <c r="AV115">
        <f>IF(AV$1&lt;&gt;"",INDEX(Base!$G$1:$G$5000,$A115+AV$1+2),"")</f>
        <v>0</v>
      </c>
      <c r="AW115" s="8">
        <f t="shared" si="5"/>
        <v>0</v>
      </c>
      <c r="AX115">
        <f>IF(AX$1&lt;&gt;"",INDEX(Base!$R$1:$R$4000,$E115+AX$1+2),"")</f>
        <v>0</v>
      </c>
      <c r="AY115">
        <f>IF(AY$1&lt;&gt;"",INDEX(Base!$R$1:$R$4000,$E115+AY$1+2),"")</f>
        <v>0</v>
      </c>
      <c r="AZ115">
        <f>IF(AZ$1&lt;&gt;"",INDEX(Base!$R$1:$R$4000,$E115+AZ$1+2),"")</f>
        <v>0</v>
      </c>
      <c r="BA115">
        <f>IF(BA$1&lt;&gt;"",INDEX(Base!$R$1:$R$4000,$E115+BA$1+2),"")</f>
        <v>0</v>
      </c>
      <c r="BB115">
        <f>IF(BB$1&lt;&gt;"",INDEX(Base!$R$1:$R$4000,$E115+BB$1+2),"")</f>
        <v>0</v>
      </c>
      <c r="BC115">
        <f>IF(BC$1&lt;&gt;"",INDEX(Base!$R$1:$R$4000,$E115+BC$1+2),"")</f>
        <v>0</v>
      </c>
      <c r="BD115">
        <f>IF(BD$1&lt;&gt;"",INDEX(Base!$R$1:$R$4000,$E115+BD$1+2),"")</f>
        <v>0</v>
      </c>
      <c r="BE115">
        <f>IF(BE$1&lt;&gt;"",INDEX(Base!$R$1:$R$4000,$E115+BE$1+2),"")</f>
        <v>0</v>
      </c>
      <c r="BF115">
        <f>IF(BF$1&lt;&gt;"",INDEX(Base!$R$1:$R$4000,$E115+BF$1+2),"")</f>
        <v>0</v>
      </c>
      <c r="BG115">
        <f>IF(BG$1&lt;&gt;"",INDEX(Base!$R$1:$R$4000,$E115+BG$1+2),"")</f>
        <v>0</v>
      </c>
      <c r="BH115">
        <f>IF(BH$1&lt;&gt;"",INDEX(Base!$R$1:$R$4000,$E115+BH$1+2),"")</f>
        <v>0</v>
      </c>
      <c r="BI115">
        <f>IF(BI$1&lt;&gt;"",INDEX(Base!$R$1:$R$4000,$E115+BI$1+2),"")</f>
        <v>0</v>
      </c>
      <c r="BJ115">
        <f>IF(BJ$1&lt;&gt;"",INDEX(Base!$R$1:$R$4000,$E115+BJ$1+2),"")</f>
        <v>0</v>
      </c>
      <c r="BK115">
        <f>IF(BK$1&lt;&gt;"",INDEX(Base!$R$1:$R$4000,$E115+BK$1+2),"")</f>
        <v>0</v>
      </c>
      <c r="BL115">
        <f>IF(BL$1&lt;&gt;"",INDEX(Base!$R$1:$R$4000,$E115+BL$1+2),"")</f>
        <v>0</v>
      </c>
      <c r="BM115">
        <f>IF(BM$1&lt;&gt;"",INDEX(Base!$R$1:$R$4000,$E115+BM$1+2),"")</f>
        <v>0</v>
      </c>
      <c r="BN115">
        <f>IF(BN$1&lt;&gt;"",INDEX(Base!$R$1:$R$4000,$E115+BN$1+2),"")</f>
        <v>0</v>
      </c>
      <c r="BO115">
        <f>IF(BO$1&lt;&gt;"",INDEX(Base!$R$1:$R$4000,$E115+BO$1+2),"")</f>
        <v>0</v>
      </c>
      <c r="BP115">
        <f>IF(BP$1&lt;&gt;"",INDEX(Base!$R$1:$R$4000,$E115+BP$1+2),"")</f>
        <v>0</v>
      </c>
      <c r="BQ115">
        <f>IF(BQ$1&lt;&gt;"",INDEX(Base!$R$1:$R$4000,$E115+BQ$1+2),"")</f>
        <v>0</v>
      </c>
      <c r="BR115">
        <f>IF(BR$1&lt;&gt;"",INDEX(Base!$R$1:$R$4000,$E115+BR$1+2),"")</f>
        <v>0</v>
      </c>
      <c r="BS115">
        <f>IF(BS$1&lt;&gt;"",INDEX(Base!$R$1:$R$4000,$E115+BS$1+2),"")</f>
        <v>0</v>
      </c>
      <c r="BT115">
        <f>IF(BT$1&lt;&gt;"",INDEX(Base!$R$1:$R$4000,$E115+BT$1+2),"")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AA65"/>
  <sheetViews>
    <sheetView zoomScale="80" zoomScaleNormal="80" workbookViewId="0">
      <pane xSplit="1" topLeftCell="J1" activePane="topRight" state="frozen"/>
      <selection pane="topRight" activeCell="R26" sqref="R26"/>
    </sheetView>
  </sheetViews>
  <sheetFormatPr defaultRowHeight="14.4" x14ac:dyDescent="0.3"/>
  <cols>
    <col min="19" max="19" width="8.88671875" customWidth="1"/>
    <col min="20" max="20" width="7.6640625" customWidth="1"/>
    <col min="21" max="21" width="28.6640625" customWidth="1"/>
    <col min="22" max="22" width="3" bestFit="1" customWidth="1"/>
    <col min="23" max="23" width="29" bestFit="1" customWidth="1"/>
    <col min="25" max="25" width="32.109375" bestFit="1" customWidth="1"/>
    <col min="26" max="26" width="3" bestFit="1" customWidth="1"/>
    <col min="27" max="27" width="21.88671875" bestFit="1" customWidth="1"/>
  </cols>
  <sheetData>
    <row r="1" spans="1:27" x14ac:dyDescent="0.3">
      <c r="A1" t="s">
        <v>63</v>
      </c>
      <c r="D1" t="s">
        <v>127</v>
      </c>
      <c r="F1" t="str">
        <f>MID(A1,3,40)</f>
        <v>39</v>
      </c>
      <c r="G1">
        <v>1</v>
      </c>
      <c r="I1" t="str">
        <f>MID(D1,4,40)</f>
        <v>21</v>
      </c>
      <c r="K1" t="s">
        <v>191</v>
      </c>
      <c r="L1">
        <f>+K1*1</f>
        <v>39</v>
      </c>
      <c r="O1" t="s">
        <v>311</v>
      </c>
      <c r="P1">
        <v>1</v>
      </c>
      <c r="Q1" s="6" t="s">
        <v>312</v>
      </c>
      <c r="R1" t="s">
        <v>285</v>
      </c>
      <c r="U1" t="s">
        <v>36</v>
      </c>
      <c r="V1">
        <v>1</v>
      </c>
      <c r="W1" t="s">
        <v>313</v>
      </c>
      <c r="X1">
        <v>19</v>
      </c>
      <c r="Y1" t="s">
        <v>16</v>
      </c>
      <c r="Z1">
        <v>37</v>
      </c>
      <c r="AA1" t="s">
        <v>347</v>
      </c>
    </row>
    <row r="2" spans="1:27" x14ac:dyDescent="0.3">
      <c r="A2" t="s">
        <v>64</v>
      </c>
      <c r="D2" t="s">
        <v>128</v>
      </c>
      <c r="F2" t="str">
        <f t="shared" ref="F2:F9" si="0">MID(A2,3,40)</f>
        <v>49</v>
      </c>
      <c r="G2">
        <v>2</v>
      </c>
      <c r="I2" t="str">
        <f t="shared" ref="I2:I9" si="1">MID(D2,4,40)</f>
        <v>26</v>
      </c>
      <c r="K2" t="s">
        <v>193</v>
      </c>
      <c r="L2">
        <f t="shared" ref="L2:L64" si="2">+K2*1</f>
        <v>49</v>
      </c>
      <c r="O2" t="s">
        <v>311</v>
      </c>
      <c r="P2">
        <v>2</v>
      </c>
      <c r="Q2" s="6" t="s">
        <v>312</v>
      </c>
      <c r="R2" t="s">
        <v>301</v>
      </c>
      <c r="U2" t="s">
        <v>45</v>
      </c>
      <c r="V2">
        <v>2</v>
      </c>
      <c r="W2" t="s">
        <v>314</v>
      </c>
      <c r="X2">
        <v>8</v>
      </c>
      <c r="Y2" t="s">
        <v>6</v>
      </c>
      <c r="Z2">
        <v>38</v>
      </c>
      <c r="AA2" t="s">
        <v>348</v>
      </c>
    </row>
    <row r="3" spans="1:27" x14ac:dyDescent="0.3">
      <c r="A3" t="s">
        <v>65</v>
      </c>
      <c r="D3" t="s">
        <v>129</v>
      </c>
      <c r="F3" t="str">
        <f t="shared" si="0"/>
        <v>42</v>
      </c>
      <c r="G3">
        <v>3</v>
      </c>
      <c r="I3" t="str">
        <f t="shared" si="1"/>
        <v>31</v>
      </c>
      <c r="K3" t="s">
        <v>195</v>
      </c>
      <c r="L3">
        <f t="shared" si="2"/>
        <v>42</v>
      </c>
      <c r="O3" t="s">
        <v>311</v>
      </c>
      <c r="P3">
        <v>3</v>
      </c>
      <c r="Q3" s="6" t="s">
        <v>312</v>
      </c>
      <c r="R3" t="s">
        <v>202</v>
      </c>
      <c r="U3" t="s">
        <v>39</v>
      </c>
      <c r="V3">
        <v>3</v>
      </c>
      <c r="W3" t="s">
        <v>315</v>
      </c>
      <c r="Y3" t="s">
        <v>47</v>
      </c>
      <c r="Z3">
        <v>39</v>
      </c>
      <c r="AA3" t="s">
        <v>349</v>
      </c>
    </row>
    <row r="4" spans="1:27" x14ac:dyDescent="0.3">
      <c r="A4" t="s">
        <v>66</v>
      </c>
      <c r="D4" t="s">
        <v>130</v>
      </c>
      <c r="F4" t="str">
        <f t="shared" si="0"/>
        <v>50</v>
      </c>
      <c r="G4">
        <v>4</v>
      </c>
      <c r="I4" t="str">
        <f t="shared" si="1"/>
        <v>36</v>
      </c>
      <c r="K4" t="s">
        <v>197</v>
      </c>
      <c r="L4">
        <f t="shared" si="2"/>
        <v>50</v>
      </c>
      <c r="O4" t="s">
        <v>311</v>
      </c>
      <c r="P4">
        <v>4</v>
      </c>
      <c r="Q4" s="6" t="s">
        <v>312</v>
      </c>
      <c r="R4" t="s">
        <v>224</v>
      </c>
      <c r="U4" t="s">
        <v>46</v>
      </c>
      <c r="V4">
        <v>4</v>
      </c>
      <c r="W4" t="s">
        <v>316</v>
      </c>
      <c r="Y4" t="s">
        <v>52</v>
      </c>
      <c r="Z4">
        <v>40</v>
      </c>
      <c r="AA4" t="s">
        <v>350</v>
      </c>
    </row>
    <row r="5" spans="1:27" x14ac:dyDescent="0.3">
      <c r="A5" t="s">
        <v>67</v>
      </c>
      <c r="D5" t="s">
        <v>131</v>
      </c>
      <c r="F5" t="str">
        <f t="shared" si="0"/>
        <v>17</v>
      </c>
      <c r="G5">
        <v>5</v>
      </c>
      <c r="I5" t="str">
        <f t="shared" si="1"/>
        <v>41</v>
      </c>
      <c r="K5" t="s">
        <v>199</v>
      </c>
      <c r="L5">
        <f t="shared" si="2"/>
        <v>17</v>
      </c>
      <c r="O5" t="s">
        <v>311</v>
      </c>
      <c r="P5">
        <v>5</v>
      </c>
      <c r="Q5" s="6" t="s">
        <v>312</v>
      </c>
      <c r="R5" t="s">
        <v>271</v>
      </c>
      <c r="T5">
        <v>17</v>
      </c>
      <c r="U5" t="s">
        <v>14</v>
      </c>
      <c r="V5">
        <v>5</v>
      </c>
      <c r="W5" t="s">
        <v>317</v>
      </c>
      <c r="X5">
        <v>26</v>
      </c>
      <c r="Y5" t="s">
        <v>23</v>
      </c>
      <c r="Z5">
        <v>41</v>
      </c>
      <c r="AA5" t="s">
        <v>351</v>
      </c>
    </row>
    <row r="6" spans="1:27" x14ac:dyDescent="0.3">
      <c r="A6" t="s">
        <v>68</v>
      </c>
      <c r="D6" t="s">
        <v>132</v>
      </c>
      <c r="F6" t="str">
        <f t="shared" si="0"/>
        <v>3</v>
      </c>
      <c r="G6">
        <v>6</v>
      </c>
      <c r="I6" t="str">
        <f t="shared" si="1"/>
        <v>46</v>
      </c>
      <c r="K6" t="s">
        <v>201</v>
      </c>
      <c r="L6">
        <f t="shared" si="2"/>
        <v>3</v>
      </c>
      <c r="O6" t="s">
        <v>311</v>
      </c>
      <c r="P6">
        <v>6</v>
      </c>
      <c r="Q6" s="6" t="s">
        <v>312</v>
      </c>
      <c r="R6" t="s">
        <v>296</v>
      </c>
      <c r="T6">
        <v>3</v>
      </c>
      <c r="U6" t="s">
        <v>50</v>
      </c>
      <c r="V6">
        <v>6</v>
      </c>
      <c r="W6" t="s">
        <v>318</v>
      </c>
      <c r="X6">
        <v>13</v>
      </c>
      <c r="Y6" t="s">
        <v>10</v>
      </c>
      <c r="Z6">
        <v>42</v>
      </c>
      <c r="AA6" t="s">
        <v>352</v>
      </c>
    </row>
    <row r="7" spans="1:27" x14ac:dyDescent="0.3">
      <c r="A7" t="s">
        <v>69</v>
      </c>
      <c r="D7" t="s">
        <v>133</v>
      </c>
      <c r="F7" t="str">
        <f t="shared" si="0"/>
        <v>41</v>
      </c>
      <c r="G7">
        <v>7</v>
      </c>
      <c r="I7" t="str">
        <f t="shared" si="1"/>
        <v>51</v>
      </c>
      <c r="K7" t="s">
        <v>200</v>
      </c>
      <c r="L7">
        <f t="shared" si="2"/>
        <v>41</v>
      </c>
      <c r="O7" t="s">
        <v>311</v>
      </c>
      <c r="P7">
        <v>7</v>
      </c>
      <c r="Q7" s="6" t="s">
        <v>312</v>
      </c>
      <c r="R7" t="s">
        <v>222</v>
      </c>
      <c r="U7" t="s">
        <v>38</v>
      </c>
      <c r="V7">
        <v>7</v>
      </c>
      <c r="W7" t="s">
        <v>319</v>
      </c>
      <c r="X7">
        <v>5</v>
      </c>
      <c r="Y7" t="s">
        <v>3</v>
      </c>
      <c r="Z7">
        <v>43</v>
      </c>
      <c r="AA7" t="s">
        <v>353</v>
      </c>
    </row>
    <row r="8" spans="1:27" x14ac:dyDescent="0.3">
      <c r="A8" t="s">
        <v>70</v>
      </c>
      <c r="D8" t="s">
        <v>134</v>
      </c>
      <c r="F8" t="str">
        <f t="shared" si="0"/>
        <v>52</v>
      </c>
      <c r="G8">
        <v>8</v>
      </c>
      <c r="I8" t="str">
        <f t="shared" si="1"/>
        <v>59</v>
      </c>
      <c r="K8" t="s">
        <v>204</v>
      </c>
      <c r="L8">
        <f t="shared" si="2"/>
        <v>52</v>
      </c>
      <c r="O8" t="s">
        <v>311</v>
      </c>
      <c r="P8">
        <v>8</v>
      </c>
      <c r="Q8" s="6" t="s">
        <v>312</v>
      </c>
      <c r="R8" t="s">
        <v>263</v>
      </c>
      <c r="U8" t="s">
        <v>48</v>
      </c>
      <c r="V8">
        <v>8</v>
      </c>
      <c r="W8" t="s">
        <v>320</v>
      </c>
      <c r="Z8">
        <v>44</v>
      </c>
      <c r="AA8" t="s">
        <v>354</v>
      </c>
    </row>
    <row r="9" spans="1:27" x14ac:dyDescent="0.3">
      <c r="A9" t="s">
        <v>71</v>
      </c>
      <c r="D9" t="s">
        <v>135</v>
      </c>
      <c r="F9" t="str">
        <f t="shared" si="0"/>
        <v>14</v>
      </c>
      <c r="G9">
        <v>9</v>
      </c>
      <c r="I9" t="str">
        <f t="shared" si="1"/>
        <v>68</v>
      </c>
      <c r="K9" t="s">
        <v>206</v>
      </c>
      <c r="L9">
        <f t="shared" si="2"/>
        <v>14</v>
      </c>
      <c r="O9" t="s">
        <v>311</v>
      </c>
      <c r="P9">
        <v>9</v>
      </c>
      <c r="Q9" s="6" t="s">
        <v>312</v>
      </c>
      <c r="R9" t="s">
        <v>281</v>
      </c>
      <c r="T9">
        <v>14</v>
      </c>
      <c r="U9" t="s">
        <v>11</v>
      </c>
      <c r="V9">
        <v>9</v>
      </c>
      <c r="W9" t="s">
        <v>321</v>
      </c>
      <c r="X9">
        <v>25</v>
      </c>
      <c r="Y9" t="s">
        <v>22</v>
      </c>
      <c r="Z9">
        <v>45</v>
      </c>
      <c r="AA9" t="s">
        <v>355</v>
      </c>
    </row>
    <row r="10" spans="1:27" x14ac:dyDescent="0.3">
      <c r="A10" t="s">
        <v>72</v>
      </c>
      <c r="D10" t="s">
        <v>136</v>
      </c>
      <c r="F10" t="str">
        <f>MID(A10,4,40)</f>
        <v>16</v>
      </c>
      <c r="G10">
        <v>10</v>
      </c>
      <c r="I10" t="str">
        <f>MID(D10,5,40)</f>
        <v>73</v>
      </c>
      <c r="K10" t="s">
        <v>208</v>
      </c>
      <c r="L10">
        <f t="shared" si="2"/>
        <v>16</v>
      </c>
      <c r="O10" t="s">
        <v>311</v>
      </c>
      <c r="P10">
        <v>10</v>
      </c>
      <c r="Q10" s="6" t="s">
        <v>312</v>
      </c>
      <c r="R10" t="s">
        <v>235</v>
      </c>
      <c r="T10">
        <v>16</v>
      </c>
      <c r="U10" t="s">
        <v>13</v>
      </c>
      <c r="V10">
        <v>10</v>
      </c>
      <c r="W10" t="s">
        <v>322</v>
      </c>
      <c r="X10">
        <v>12</v>
      </c>
      <c r="Y10" t="s">
        <v>9</v>
      </c>
      <c r="Z10">
        <v>46</v>
      </c>
      <c r="AA10" t="s">
        <v>356</v>
      </c>
    </row>
    <row r="11" spans="1:27" x14ac:dyDescent="0.3">
      <c r="A11" t="s">
        <v>73</v>
      </c>
      <c r="D11" t="s">
        <v>137</v>
      </c>
      <c r="F11" t="str">
        <f t="shared" ref="F11:F64" si="3">MID(A11,4,40)</f>
        <v>37</v>
      </c>
      <c r="G11">
        <v>11</v>
      </c>
      <c r="I11" t="str">
        <f t="shared" ref="I11:I64" si="4">MID(D11,5,40)</f>
        <v>78</v>
      </c>
      <c r="K11" t="s">
        <v>210</v>
      </c>
      <c r="L11">
        <f t="shared" si="2"/>
        <v>37</v>
      </c>
      <c r="O11" t="s">
        <v>311</v>
      </c>
      <c r="P11">
        <v>11</v>
      </c>
      <c r="Q11" s="6" t="s">
        <v>312</v>
      </c>
      <c r="R11" t="s">
        <v>231</v>
      </c>
      <c r="T11">
        <v>37</v>
      </c>
      <c r="U11" t="s">
        <v>323</v>
      </c>
      <c r="V11">
        <v>11</v>
      </c>
      <c r="W11" t="s">
        <v>323</v>
      </c>
      <c r="Z11">
        <v>47</v>
      </c>
      <c r="AA11" t="s">
        <v>357</v>
      </c>
    </row>
    <row r="12" spans="1:27" x14ac:dyDescent="0.3">
      <c r="A12" t="s">
        <v>74</v>
      </c>
      <c r="D12" t="s">
        <v>138</v>
      </c>
      <c r="F12" t="str">
        <f t="shared" si="3"/>
        <v>59</v>
      </c>
      <c r="G12">
        <v>12</v>
      </c>
      <c r="I12" t="str">
        <f t="shared" si="4"/>
        <v>83</v>
      </c>
      <c r="K12" t="s">
        <v>205</v>
      </c>
      <c r="L12">
        <f t="shared" si="2"/>
        <v>59</v>
      </c>
      <c r="O12" t="s">
        <v>311</v>
      </c>
      <c r="P12">
        <v>12</v>
      </c>
      <c r="Q12" s="6" t="s">
        <v>312</v>
      </c>
      <c r="R12" t="s">
        <v>277</v>
      </c>
      <c r="U12" t="s">
        <v>58</v>
      </c>
      <c r="V12">
        <v>12</v>
      </c>
      <c r="W12" t="s">
        <v>324</v>
      </c>
      <c r="X12">
        <v>9</v>
      </c>
      <c r="Y12" t="s">
        <v>7</v>
      </c>
      <c r="Z12">
        <v>48</v>
      </c>
      <c r="AA12" t="s">
        <v>358</v>
      </c>
    </row>
    <row r="13" spans="1:27" x14ac:dyDescent="0.3">
      <c r="A13" t="s">
        <v>75</v>
      </c>
      <c r="D13" t="s">
        <v>139</v>
      </c>
      <c r="F13" t="str">
        <f t="shared" si="3"/>
        <v>15</v>
      </c>
      <c r="G13">
        <v>13</v>
      </c>
      <c r="I13" t="str">
        <f t="shared" si="4"/>
        <v>90</v>
      </c>
      <c r="K13" t="s">
        <v>213</v>
      </c>
      <c r="L13">
        <f t="shared" si="2"/>
        <v>15</v>
      </c>
      <c r="O13" t="s">
        <v>311</v>
      </c>
      <c r="P13">
        <v>13</v>
      </c>
      <c r="Q13" s="6" t="s">
        <v>312</v>
      </c>
      <c r="R13" t="s">
        <v>269</v>
      </c>
      <c r="T13">
        <v>15</v>
      </c>
      <c r="U13" t="s">
        <v>12</v>
      </c>
      <c r="V13">
        <v>13</v>
      </c>
      <c r="W13" t="s">
        <v>325</v>
      </c>
      <c r="Y13" t="s">
        <v>59</v>
      </c>
      <c r="Z13">
        <v>49</v>
      </c>
      <c r="AA13" t="s">
        <v>59</v>
      </c>
    </row>
    <row r="14" spans="1:27" x14ac:dyDescent="0.3">
      <c r="A14" t="s">
        <v>76</v>
      </c>
      <c r="D14" t="s">
        <v>140</v>
      </c>
      <c r="F14" t="str">
        <f t="shared" si="3"/>
        <v>54</v>
      </c>
      <c r="G14">
        <v>14</v>
      </c>
      <c r="I14" t="str">
        <f t="shared" si="4"/>
        <v>95</v>
      </c>
      <c r="K14" t="s">
        <v>215</v>
      </c>
      <c r="L14">
        <f t="shared" si="2"/>
        <v>54</v>
      </c>
      <c r="O14" t="s">
        <v>311</v>
      </c>
      <c r="P14">
        <v>14</v>
      </c>
      <c r="Q14" s="6" t="s">
        <v>312</v>
      </c>
      <c r="R14" t="s">
        <v>207</v>
      </c>
      <c r="U14" t="s">
        <v>53</v>
      </c>
      <c r="V14">
        <v>14</v>
      </c>
      <c r="W14" t="s">
        <v>326</v>
      </c>
      <c r="X14">
        <v>1</v>
      </c>
      <c r="Y14" t="s">
        <v>0</v>
      </c>
      <c r="Z14">
        <v>50</v>
      </c>
      <c r="AA14" t="s">
        <v>359</v>
      </c>
    </row>
    <row r="15" spans="1:27" x14ac:dyDescent="0.3">
      <c r="A15" t="s">
        <v>77</v>
      </c>
      <c r="D15" t="s">
        <v>141</v>
      </c>
      <c r="F15" t="str">
        <f t="shared" si="3"/>
        <v>61</v>
      </c>
      <c r="G15">
        <v>15</v>
      </c>
      <c r="I15" t="str">
        <f t="shared" si="4"/>
        <v>100</v>
      </c>
      <c r="K15" t="s">
        <v>217</v>
      </c>
      <c r="L15">
        <f t="shared" si="2"/>
        <v>61</v>
      </c>
      <c r="O15" t="s">
        <v>311</v>
      </c>
      <c r="P15">
        <v>15</v>
      </c>
      <c r="Q15" s="6" t="s">
        <v>312</v>
      </c>
      <c r="R15" t="s">
        <v>214</v>
      </c>
      <c r="U15" t="s">
        <v>60</v>
      </c>
      <c r="V15">
        <v>15</v>
      </c>
      <c r="W15" t="s">
        <v>327</v>
      </c>
      <c r="X15">
        <v>29</v>
      </c>
      <c r="Y15" t="s">
        <v>26</v>
      </c>
      <c r="Z15">
        <v>51</v>
      </c>
      <c r="AA15" t="s">
        <v>360</v>
      </c>
    </row>
    <row r="16" spans="1:27" x14ac:dyDescent="0.3">
      <c r="A16" t="s">
        <v>78</v>
      </c>
      <c r="D16" t="s">
        <v>142</v>
      </c>
      <c r="F16" t="str">
        <f t="shared" si="3"/>
        <v>23</v>
      </c>
      <c r="G16">
        <v>16</v>
      </c>
      <c r="I16" t="str">
        <f t="shared" si="4"/>
        <v>115</v>
      </c>
      <c r="K16" t="s">
        <v>219</v>
      </c>
      <c r="L16">
        <f t="shared" si="2"/>
        <v>23</v>
      </c>
      <c r="O16" t="s">
        <v>311</v>
      </c>
      <c r="P16">
        <v>16</v>
      </c>
      <c r="Q16" s="6" t="s">
        <v>312</v>
      </c>
      <c r="R16" t="s">
        <v>209</v>
      </c>
      <c r="T16">
        <v>23</v>
      </c>
      <c r="U16" t="s">
        <v>20</v>
      </c>
      <c r="V16">
        <v>16</v>
      </c>
      <c r="W16" t="s">
        <v>328</v>
      </c>
      <c r="Z16">
        <v>52</v>
      </c>
      <c r="AA16" t="s">
        <v>361</v>
      </c>
    </row>
    <row r="17" spans="1:27" x14ac:dyDescent="0.3">
      <c r="A17" t="s">
        <v>79</v>
      </c>
      <c r="D17" t="s">
        <v>143</v>
      </c>
      <c r="F17" t="str">
        <f t="shared" si="3"/>
        <v>7</v>
      </c>
      <c r="G17">
        <v>17</v>
      </c>
      <c r="I17" t="str">
        <f t="shared" si="4"/>
        <v>120</v>
      </c>
      <c r="K17" t="s">
        <v>221</v>
      </c>
      <c r="L17">
        <f t="shared" si="2"/>
        <v>7</v>
      </c>
      <c r="O17" t="s">
        <v>311</v>
      </c>
      <c r="P17">
        <v>17</v>
      </c>
      <c r="Q17" s="6" t="s">
        <v>312</v>
      </c>
      <c r="R17" t="s">
        <v>200</v>
      </c>
      <c r="T17">
        <v>7</v>
      </c>
      <c r="U17" t="s">
        <v>5</v>
      </c>
      <c r="V17">
        <v>17</v>
      </c>
      <c r="W17" t="s">
        <v>329</v>
      </c>
      <c r="X17">
        <v>30</v>
      </c>
      <c r="Y17" t="s">
        <v>27</v>
      </c>
      <c r="Z17">
        <v>53</v>
      </c>
      <c r="AA17" t="s">
        <v>362</v>
      </c>
    </row>
    <row r="18" spans="1:27" x14ac:dyDescent="0.3">
      <c r="A18" t="s">
        <v>80</v>
      </c>
      <c r="D18" t="s">
        <v>144</v>
      </c>
      <c r="F18" t="str">
        <f t="shared" si="3"/>
        <v>4</v>
      </c>
      <c r="G18">
        <v>18</v>
      </c>
      <c r="I18" t="str">
        <f t="shared" si="4"/>
        <v>125</v>
      </c>
      <c r="K18" t="s">
        <v>223</v>
      </c>
      <c r="L18">
        <f t="shared" si="2"/>
        <v>4</v>
      </c>
      <c r="O18" t="s">
        <v>311</v>
      </c>
      <c r="P18">
        <v>18</v>
      </c>
      <c r="Q18" s="6" t="s">
        <v>312</v>
      </c>
      <c r="R18" t="s">
        <v>306</v>
      </c>
      <c r="T18">
        <v>4</v>
      </c>
      <c r="U18" t="s">
        <v>2</v>
      </c>
      <c r="V18">
        <v>18</v>
      </c>
      <c r="W18" t="s">
        <v>330</v>
      </c>
      <c r="X18">
        <v>20</v>
      </c>
      <c r="Y18" t="s">
        <v>17</v>
      </c>
      <c r="Z18">
        <v>54</v>
      </c>
      <c r="AA18" t="s">
        <v>363</v>
      </c>
    </row>
    <row r="19" spans="1:27" x14ac:dyDescent="0.3">
      <c r="A19" t="s">
        <v>81</v>
      </c>
      <c r="D19" t="s">
        <v>145</v>
      </c>
      <c r="F19" t="str">
        <f t="shared" si="3"/>
        <v>32</v>
      </c>
      <c r="G19">
        <v>19</v>
      </c>
      <c r="I19" t="str">
        <f t="shared" si="4"/>
        <v>130</v>
      </c>
      <c r="K19" t="s">
        <v>225</v>
      </c>
      <c r="L19">
        <f t="shared" si="2"/>
        <v>32</v>
      </c>
      <c r="O19" t="s">
        <v>311</v>
      </c>
      <c r="P19">
        <v>19</v>
      </c>
      <c r="Q19" s="6" t="s">
        <v>312</v>
      </c>
      <c r="R19" t="s">
        <v>261</v>
      </c>
      <c r="T19">
        <v>32</v>
      </c>
      <c r="U19" t="s">
        <v>29</v>
      </c>
      <c r="V19">
        <v>19</v>
      </c>
      <c r="W19" t="s">
        <v>331</v>
      </c>
      <c r="X19">
        <v>21</v>
      </c>
      <c r="Y19" t="s">
        <v>18</v>
      </c>
      <c r="Z19">
        <v>55</v>
      </c>
      <c r="AA19" t="s">
        <v>364</v>
      </c>
    </row>
    <row r="20" spans="1:27" x14ac:dyDescent="0.3">
      <c r="A20" t="s">
        <v>82</v>
      </c>
      <c r="D20" t="s">
        <v>146</v>
      </c>
      <c r="F20" t="str">
        <f t="shared" si="3"/>
        <v>45</v>
      </c>
      <c r="G20">
        <v>20</v>
      </c>
      <c r="I20" t="str">
        <f t="shared" si="4"/>
        <v>135</v>
      </c>
      <c r="K20" t="s">
        <v>227</v>
      </c>
      <c r="L20">
        <f t="shared" si="2"/>
        <v>45</v>
      </c>
      <c r="O20" t="s">
        <v>311</v>
      </c>
      <c r="P20">
        <v>20</v>
      </c>
      <c r="Q20" s="6" t="s">
        <v>312</v>
      </c>
      <c r="R20" t="s">
        <v>293</v>
      </c>
      <c r="U20" t="s">
        <v>42</v>
      </c>
      <c r="V20">
        <v>20</v>
      </c>
      <c r="W20" t="s">
        <v>332</v>
      </c>
      <c r="X20">
        <v>6</v>
      </c>
      <c r="Y20" t="s">
        <v>4</v>
      </c>
      <c r="Z20">
        <v>56</v>
      </c>
      <c r="AA20" t="s">
        <v>365</v>
      </c>
    </row>
    <row r="21" spans="1:27" x14ac:dyDescent="0.3">
      <c r="A21" t="s">
        <v>83</v>
      </c>
      <c r="D21" t="s">
        <v>147</v>
      </c>
      <c r="F21" t="str">
        <f t="shared" si="3"/>
        <v>31</v>
      </c>
      <c r="G21">
        <v>21</v>
      </c>
      <c r="I21" t="str">
        <f t="shared" si="4"/>
        <v>140</v>
      </c>
      <c r="K21" t="s">
        <v>196</v>
      </c>
      <c r="L21">
        <f t="shared" si="2"/>
        <v>31</v>
      </c>
      <c r="O21" t="s">
        <v>311</v>
      </c>
      <c r="P21">
        <v>21</v>
      </c>
      <c r="Q21" s="6" t="s">
        <v>312</v>
      </c>
      <c r="R21" t="s">
        <v>294</v>
      </c>
      <c r="T21">
        <v>31</v>
      </c>
      <c r="U21" t="s">
        <v>28</v>
      </c>
      <c r="V21">
        <v>21</v>
      </c>
      <c r="W21" t="s">
        <v>333</v>
      </c>
      <c r="Y21" t="s">
        <v>57</v>
      </c>
      <c r="Z21">
        <v>57</v>
      </c>
      <c r="AA21" t="s">
        <v>366</v>
      </c>
    </row>
    <row r="22" spans="1:27" x14ac:dyDescent="0.3">
      <c r="A22" t="s">
        <v>84</v>
      </c>
      <c r="D22" t="s">
        <v>148</v>
      </c>
      <c r="F22" t="str">
        <f t="shared" si="3"/>
        <v>11</v>
      </c>
      <c r="G22">
        <v>22</v>
      </c>
      <c r="I22" t="str">
        <f t="shared" si="4"/>
        <v>145</v>
      </c>
      <c r="K22" t="s">
        <v>230</v>
      </c>
      <c r="L22">
        <f t="shared" si="2"/>
        <v>11</v>
      </c>
      <c r="O22" t="s">
        <v>311</v>
      </c>
      <c r="P22">
        <v>22</v>
      </c>
      <c r="Q22" s="6" t="s">
        <v>312</v>
      </c>
      <c r="R22" t="s">
        <v>241</v>
      </c>
      <c r="T22">
        <v>11</v>
      </c>
      <c r="U22" t="s">
        <v>8</v>
      </c>
      <c r="V22">
        <v>22</v>
      </c>
      <c r="W22" t="s">
        <v>334</v>
      </c>
      <c r="Y22" t="s">
        <v>41</v>
      </c>
      <c r="Z22">
        <v>58</v>
      </c>
      <c r="AA22" t="s">
        <v>367</v>
      </c>
    </row>
    <row r="23" spans="1:27" x14ac:dyDescent="0.3">
      <c r="A23" t="s">
        <v>85</v>
      </c>
      <c r="D23" t="s">
        <v>149</v>
      </c>
      <c r="F23" t="str">
        <f t="shared" si="3"/>
        <v>55</v>
      </c>
      <c r="G23">
        <v>23</v>
      </c>
      <c r="I23" t="str">
        <f t="shared" si="4"/>
        <v>152</v>
      </c>
      <c r="K23" t="s">
        <v>232</v>
      </c>
      <c r="L23">
        <f t="shared" si="2"/>
        <v>55</v>
      </c>
      <c r="O23" t="s">
        <v>311</v>
      </c>
      <c r="P23">
        <v>23</v>
      </c>
      <c r="Q23" s="6" t="s">
        <v>312</v>
      </c>
      <c r="R23" t="s">
        <v>220</v>
      </c>
      <c r="U23" t="s">
        <v>54</v>
      </c>
      <c r="V23">
        <v>23</v>
      </c>
      <c r="W23" t="s">
        <v>335</v>
      </c>
      <c r="X23">
        <v>2</v>
      </c>
      <c r="Y23" t="s">
        <v>1</v>
      </c>
      <c r="Z23">
        <v>59</v>
      </c>
      <c r="AA23" t="s">
        <v>368</v>
      </c>
    </row>
    <row r="24" spans="1:27" x14ac:dyDescent="0.3">
      <c r="A24" t="s">
        <v>86</v>
      </c>
      <c r="D24" t="s">
        <v>150</v>
      </c>
      <c r="F24" t="str">
        <f t="shared" si="3"/>
        <v>10</v>
      </c>
      <c r="G24">
        <v>24</v>
      </c>
      <c r="I24" t="str">
        <f t="shared" si="4"/>
        <v>157</v>
      </c>
      <c r="K24" t="s">
        <v>234</v>
      </c>
      <c r="L24">
        <f t="shared" si="2"/>
        <v>10</v>
      </c>
      <c r="O24" t="s">
        <v>311</v>
      </c>
      <c r="P24">
        <v>24</v>
      </c>
      <c r="Q24" s="6" t="s">
        <v>312</v>
      </c>
      <c r="R24" t="s">
        <v>239</v>
      </c>
      <c r="T24">
        <v>10</v>
      </c>
      <c r="U24" t="s">
        <v>51</v>
      </c>
      <c r="V24">
        <v>24</v>
      </c>
      <c r="W24" t="s">
        <v>336</v>
      </c>
      <c r="X24">
        <v>33</v>
      </c>
      <c r="Y24" t="s">
        <v>30</v>
      </c>
      <c r="Z24">
        <v>60</v>
      </c>
      <c r="AA24" t="s">
        <v>369</v>
      </c>
    </row>
    <row r="25" spans="1:27" x14ac:dyDescent="0.3">
      <c r="A25" t="s">
        <v>87</v>
      </c>
      <c r="D25" t="s">
        <v>151</v>
      </c>
      <c r="F25" t="str">
        <f t="shared" si="3"/>
        <v>35</v>
      </c>
      <c r="G25">
        <v>25</v>
      </c>
      <c r="I25" t="str">
        <f t="shared" si="4"/>
        <v>162</v>
      </c>
      <c r="K25" t="s">
        <v>236</v>
      </c>
      <c r="L25">
        <f t="shared" si="2"/>
        <v>35</v>
      </c>
      <c r="O25" t="s">
        <v>311</v>
      </c>
      <c r="P25">
        <v>25</v>
      </c>
      <c r="Q25" s="6" t="s">
        <v>312</v>
      </c>
      <c r="R25" t="s">
        <v>275</v>
      </c>
      <c r="T25">
        <v>35</v>
      </c>
      <c r="U25" t="s">
        <v>32</v>
      </c>
      <c r="V25">
        <v>25</v>
      </c>
      <c r="W25" t="s">
        <v>337</v>
      </c>
      <c r="Y25" t="s">
        <v>43</v>
      </c>
      <c r="Z25">
        <v>61</v>
      </c>
      <c r="AA25" t="s">
        <v>370</v>
      </c>
    </row>
    <row r="26" spans="1:27" x14ac:dyDescent="0.3">
      <c r="A26" t="s">
        <v>88</v>
      </c>
      <c r="D26" t="s">
        <v>152</v>
      </c>
      <c r="F26" t="str">
        <f t="shared" si="3"/>
        <v>24</v>
      </c>
      <c r="G26">
        <v>26</v>
      </c>
      <c r="I26" t="str">
        <f t="shared" si="4"/>
        <v>167</v>
      </c>
      <c r="K26" t="s">
        <v>238</v>
      </c>
      <c r="L26">
        <f t="shared" si="2"/>
        <v>24</v>
      </c>
      <c r="O26" t="s">
        <v>311</v>
      </c>
      <c r="P26">
        <v>26</v>
      </c>
      <c r="Q26" s="6" t="s">
        <v>312</v>
      </c>
      <c r="R26" t="s">
        <v>267</v>
      </c>
      <c r="T26">
        <v>24</v>
      </c>
      <c r="U26" t="s">
        <v>21</v>
      </c>
      <c r="V26">
        <v>26</v>
      </c>
      <c r="W26" t="s">
        <v>338</v>
      </c>
      <c r="X26">
        <v>18</v>
      </c>
      <c r="Y26" t="s">
        <v>15</v>
      </c>
      <c r="Z26">
        <v>62</v>
      </c>
      <c r="AA26" t="s">
        <v>371</v>
      </c>
    </row>
    <row r="27" spans="1:27" x14ac:dyDescent="0.3">
      <c r="A27" t="s">
        <v>89</v>
      </c>
      <c r="D27" t="s">
        <v>153</v>
      </c>
      <c r="F27" t="str">
        <f t="shared" si="3"/>
        <v>22</v>
      </c>
      <c r="G27">
        <v>27</v>
      </c>
      <c r="I27" t="str">
        <f t="shared" si="4"/>
        <v>172</v>
      </c>
      <c r="K27" t="s">
        <v>240</v>
      </c>
      <c r="L27">
        <f t="shared" si="2"/>
        <v>22</v>
      </c>
      <c r="O27" t="s">
        <v>311</v>
      </c>
      <c r="P27">
        <v>27</v>
      </c>
      <c r="Q27" s="6" t="s">
        <v>312</v>
      </c>
      <c r="R27" t="s">
        <v>255</v>
      </c>
      <c r="T27">
        <v>22</v>
      </c>
      <c r="U27" t="s">
        <v>19</v>
      </c>
      <c r="V27">
        <v>27</v>
      </c>
      <c r="W27" t="s">
        <v>339</v>
      </c>
      <c r="Z27">
        <v>63</v>
      </c>
      <c r="AA27" t="s">
        <v>372</v>
      </c>
    </row>
    <row r="28" spans="1:27" x14ac:dyDescent="0.3">
      <c r="A28" t="s">
        <v>90</v>
      </c>
      <c r="D28" t="s">
        <v>154</v>
      </c>
      <c r="F28" t="str">
        <f t="shared" si="3"/>
        <v>40</v>
      </c>
      <c r="G28">
        <v>28</v>
      </c>
      <c r="I28" t="str">
        <f t="shared" si="4"/>
        <v>177</v>
      </c>
      <c r="K28" t="s">
        <v>242</v>
      </c>
      <c r="L28">
        <f t="shared" si="2"/>
        <v>40</v>
      </c>
      <c r="O28" t="s">
        <v>311</v>
      </c>
      <c r="P28">
        <v>28</v>
      </c>
      <c r="Q28" s="6" t="s">
        <v>312</v>
      </c>
      <c r="R28" t="s">
        <v>259</v>
      </c>
      <c r="U28" t="s">
        <v>37</v>
      </c>
      <c r="V28">
        <v>28</v>
      </c>
      <c r="W28" t="s">
        <v>340</v>
      </c>
      <c r="Z28">
        <v>64</v>
      </c>
      <c r="AA28" t="s">
        <v>373</v>
      </c>
    </row>
    <row r="29" spans="1:27" x14ac:dyDescent="0.3">
      <c r="A29" t="s">
        <v>91</v>
      </c>
      <c r="D29" t="s">
        <v>155</v>
      </c>
      <c r="F29" t="str">
        <f t="shared" si="3"/>
        <v>48</v>
      </c>
      <c r="G29">
        <v>29</v>
      </c>
      <c r="I29" t="str">
        <f t="shared" si="4"/>
        <v>182</v>
      </c>
      <c r="K29" t="s">
        <v>244</v>
      </c>
      <c r="L29">
        <f t="shared" si="2"/>
        <v>48</v>
      </c>
      <c r="O29" t="s">
        <v>311</v>
      </c>
      <c r="P29">
        <v>29</v>
      </c>
      <c r="Q29" s="6" t="s">
        <v>312</v>
      </c>
      <c r="R29" t="s">
        <v>287</v>
      </c>
      <c r="U29" t="s">
        <v>44</v>
      </c>
      <c r="V29">
        <v>29</v>
      </c>
      <c r="W29" t="s">
        <v>341</v>
      </c>
    </row>
    <row r="30" spans="1:27" x14ac:dyDescent="0.3">
      <c r="A30" t="s">
        <v>92</v>
      </c>
      <c r="D30" t="s">
        <v>156</v>
      </c>
      <c r="F30" t="str">
        <f t="shared" si="3"/>
        <v>34</v>
      </c>
      <c r="G30">
        <v>30</v>
      </c>
      <c r="I30" t="str">
        <f t="shared" si="4"/>
        <v>187</v>
      </c>
      <c r="K30" t="s">
        <v>246</v>
      </c>
      <c r="L30">
        <f t="shared" si="2"/>
        <v>34</v>
      </c>
      <c r="O30" t="s">
        <v>311</v>
      </c>
      <c r="P30">
        <v>30</v>
      </c>
      <c r="Q30" s="6" t="s">
        <v>312</v>
      </c>
      <c r="R30" t="s">
        <v>291</v>
      </c>
      <c r="T30">
        <v>34</v>
      </c>
      <c r="U30" t="s">
        <v>31</v>
      </c>
      <c r="V30">
        <v>30</v>
      </c>
      <c r="W30" t="s">
        <v>342</v>
      </c>
    </row>
    <row r="31" spans="1:27" x14ac:dyDescent="0.3">
      <c r="A31" t="s">
        <v>93</v>
      </c>
      <c r="D31" t="s">
        <v>157</v>
      </c>
      <c r="F31" t="str">
        <f t="shared" si="3"/>
        <v>57</v>
      </c>
      <c r="G31">
        <v>31</v>
      </c>
      <c r="I31" t="str">
        <f t="shared" si="4"/>
        <v>195</v>
      </c>
      <c r="K31" t="s">
        <v>248</v>
      </c>
      <c r="L31">
        <f t="shared" si="2"/>
        <v>57</v>
      </c>
      <c r="O31" t="s">
        <v>311</v>
      </c>
      <c r="P31">
        <v>31</v>
      </c>
      <c r="Q31" s="6" t="s">
        <v>312</v>
      </c>
      <c r="R31" t="s">
        <v>229</v>
      </c>
      <c r="U31" t="s">
        <v>56</v>
      </c>
      <c r="V31">
        <v>31</v>
      </c>
      <c r="W31" t="s">
        <v>56</v>
      </c>
    </row>
    <row r="32" spans="1:27" x14ac:dyDescent="0.3">
      <c r="A32" t="s">
        <v>94</v>
      </c>
      <c r="D32" t="s">
        <v>158</v>
      </c>
      <c r="F32" t="str">
        <f t="shared" si="3"/>
        <v>56</v>
      </c>
      <c r="G32">
        <v>32</v>
      </c>
      <c r="I32" t="str">
        <f t="shared" si="4"/>
        <v>200</v>
      </c>
      <c r="K32" t="s">
        <v>250</v>
      </c>
      <c r="L32">
        <f t="shared" si="2"/>
        <v>56</v>
      </c>
      <c r="O32" t="s">
        <v>311</v>
      </c>
      <c r="P32">
        <v>32</v>
      </c>
      <c r="Q32" s="6" t="s">
        <v>312</v>
      </c>
      <c r="R32" t="s">
        <v>226</v>
      </c>
      <c r="U32" t="s">
        <v>55</v>
      </c>
      <c r="V32">
        <v>32</v>
      </c>
      <c r="W32" t="s">
        <v>55</v>
      </c>
    </row>
    <row r="33" spans="1:23" x14ac:dyDescent="0.3">
      <c r="A33" t="s">
        <v>95</v>
      </c>
      <c r="D33" t="s">
        <v>159</v>
      </c>
      <c r="F33" t="str">
        <f t="shared" si="3"/>
        <v>43</v>
      </c>
      <c r="G33">
        <v>33</v>
      </c>
      <c r="I33" t="str">
        <f t="shared" si="4"/>
        <v>219</v>
      </c>
      <c r="K33" t="s">
        <v>252</v>
      </c>
      <c r="L33">
        <f t="shared" si="2"/>
        <v>43</v>
      </c>
      <c r="O33" t="s">
        <v>311</v>
      </c>
      <c r="P33">
        <v>33</v>
      </c>
      <c r="Q33" s="6" t="s">
        <v>312</v>
      </c>
      <c r="R33" t="s">
        <v>303</v>
      </c>
      <c r="U33" t="s">
        <v>40</v>
      </c>
      <c r="V33">
        <v>33</v>
      </c>
      <c r="W33" t="s">
        <v>343</v>
      </c>
    </row>
    <row r="34" spans="1:23" x14ac:dyDescent="0.3">
      <c r="A34" t="s">
        <v>96</v>
      </c>
      <c r="D34" t="s">
        <v>160</v>
      </c>
      <c r="F34" t="str">
        <f t="shared" si="3"/>
        <v>27</v>
      </c>
      <c r="G34">
        <v>34</v>
      </c>
      <c r="I34" t="str">
        <f t="shared" si="4"/>
        <v>224</v>
      </c>
      <c r="K34" t="s">
        <v>254</v>
      </c>
      <c r="L34">
        <f t="shared" si="2"/>
        <v>27</v>
      </c>
      <c r="O34" t="s">
        <v>311</v>
      </c>
      <c r="P34">
        <v>34</v>
      </c>
      <c r="Q34" s="6" t="s">
        <v>312</v>
      </c>
      <c r="R34" t="s">
        <v>247</v>
      </c>
      <c r="T34">
        <v>27</v>
      </c>
      <c r="U34" t="s">
        <v>24</v>
      </c>
      <c r="V34">
        <v>34</v>
      </c>
      <c r="W34" t="s">
        <v>344</v>
      </c>
    </row>
    <row r="35" spans="1:23" x14ac:dyDescent="0.3">
      <c r="A35" t="s">
        <v>97</v>
      </c>
      <c r="D35" t="s">
        <v>161</v>
      </c>
      <c r="F35" t="str">
        <f t="shared" si="3"/>
        <v>38</v>
      </c>
      <c r="G35">
        <v>35</v>
      </c>
      <c r="I35" t="str">
        <f t="shared" si="4"/>
        <v>229</v>
      </c>
      <c r="K35" t="s">
        <v>256</v>
      </c>
      <c r="L35">
        <f t="shared" si="2"/>
        <v>38</v>
      </c>
      <c r="O35" t="s">
        <v>311</v>
      </c>
      <c r="P35">
        <v>35</v>
      </c>
      <c r="Q35" s="6" t="s">
        <v>312</v>
      </c>
      <c r="R35" t="s">
        <v>237</v>
      </c>
      <c r="U35" t="s">
        <v>35</v>
      </c>
      <c r="V35">
        <v>35</v>
      </c>
      <c r="W35" t="s">
        <v>345</v>
      </c>
    </row>
    <row r="36" spans="1:23" x14ac:dyDescent="0.3">
      <c r="A36" t="s">
        <v>98</v>
      </c>
      <c r="D36" t="s">
        <v>162</v>
      </c>
      <c r="F36" t="str">
        <f t="shared" si="3"/>
        <v>28</v>
      </c>
      <c r="G36">
        <v>36</v>
      </c>
      <c r="I36" t="str">
        <f t="shared" si="4"/>
        <v>234</v>
      </c>
      <c r="K36" t="s">
        <v>258</v>
      </c>
      <c r="L36">
        <f t="shared" si="2"/>
        <v>28</v>
      </c>
      <c r="O36" t="s">
        <v>311</v>
      </c>
      <c r="P36">
        <v>36</v>
      </c>
      <c r="Q36" s="6" t="s">
        <v>312</v>
      </c>
      <c r="R36" t="s">
        <v>297</v>
      </c>
      <c r="T36">
        <v>28</v>
      </c>
      <c r="U36" t="s">
        <v>25</v>
      </c>
      <c r="V36">
        <v>36</v>
      </c>
      <c r="W36" t="s">
        <v>346</v>
      </c>
    </row>
    <row r="37" spans="1:23" x14ac:dyDescent="0.3">
      <c r="A37" t="s">
        <v>99</v>
      </c>
      <c r="D37" t="s">
        <v>163</v>
      </c>
      <c r="F37" t="str">
        <f t="shared" si="3"/>
        <v>19</v>
      </c>
      <c r="G37">
        <v>37</v>
      </c>
      <c r="I37" t="str">
        <f t="shared" si="4"/>
        <v>239</v>
      </c>
      <c r="K37" t="s">
        <v>260</v>
      </c>
      <c r="L37">
        <f t="shared" si="2"/>
        <v>19</v>
      </c>
      <c r="O37" t="s">
        <v>311</v>
      </c>
      <c r="P37">
        <v>37</v>
      </c>
      <c r="Q37" s="6" t="s">
        <v>312</v>
      </c>
      <c r="R37" t="s">
        <v>211</v>
      </c>
    </row>
    <row r="38" spans="1:23" x14ac:dyDescent="0.3">
      <c r="A38" t="s">
        <v>100</v>
      </c>
      <c r="D38" t="s">
        <v>164</v>
      </c>
      <c r="F38" t="str">
        <f t="shared" si="3"/>
        <v>8</v>
      </c>
      <c r="G38">
        <v>38</v>
      </c>
      <c r="I38" t="str">
        <f t="shared" si="4"/>
        <v>244</v>
      </c>
      <c r="K38" t="s">
        <v>262</v>
      </c>
      <c r="L38">
        <f t="shared" si="2"/>
        <v>8</v>
      </c>
      <c r="O38" t="s">
        <v>311</v>
      </c>
      <c r="P38">
        <v>38</v>
      </c>
      <c r="Q38" s="6" t="s">
        <v>312</v>
      </c>
      <c r="R38" t="s">
        <v>257</v>
      </c>
    </row>
    <row r="39" spans="1:23" x14ac:dyDescent="0.3">
      <c r="A39" t="s">
        <v>101</v>
      </c>
      <c r="D39" t="s">
        <v>165</v>
      </c>
      <c r="F39" t="str">
        <f t="shared" si="3"/>
        <v>51</v>
      </c>
      <c r="G39">
        <v>39</v>
      </c>
      <c r="I39" t="str">
        <f t="shared" si="4"/>
        <v>249</v>
      </c>
      <c r="K39" t="s">
        <v>203</v>
      </c>
      <c r="L39">
        <f t="shared" si="2"/>
        <v>51</v>
      </c>
      <c r="O39" t="s">
        <v>311</v>
      </c>
      <c r="P39">
        <v>39</v>
      </c>
      <c r="Q39" s="6" t="s">
        <v>312</v>
      </c>
      <c r="R39" t="s">
        <v>192</v>
      </c>
    </row>
    <row r="40" spans="1:23" x14ac:dyDescent="0.3">
      <c r="A40" t="s">
        <v>102</v>
      </c>
      <c r="D40" t="s">
        <v>166</v>
      </c>
      <c r="F40" t="str">
        <f t="shared" si="3"/>
        <v>47</v>
      </c>
      <c r="G40">
        <v>40</v>
      </c>
      <c r="I40" t="str">
        <f t="shared" si="4"/>
        <v>254</v>
      </c>
      <c r="K40" t="s">
        <v>265</v>
      </c>
      <c r="L40">
        <f t="shared" si="2"/>
        <v>47</v>
      </c>
      <c r="O40" t="s">
        <v>311</v>
      </c>
      <c r="P40">
        <v>40</v>
      </c>
      <c r="Q40" s="6" t="s">
        <v>312</v>
      </c>
      <c r="R40" t="s">
        <v>243</v>
      </c>
    </row>
    <row r="41" spans="1:23" x14ac:dyDescent="0.3">
      <c r="A41" t="s">
        <v>103</v>
      </c>
      <c r="D41" t="s">
        <v>167</v>
      </c>
      <c r="F41" t="str">
        <f t="shared" si="3"/>
        <v>26</v>
      </c>
      <c r="G41">
        <v>41</v>
      </c>
      <c r="I41" t="str">
        <f t="shared" si="4"/>
        <v>262</v>
      </c>
      <c r="K41" t="s">
        <v>194</v>
      </c>
      <c r="L41">
        <f t="shared" si="2"/>
        <v>26</v>
      </c>
      <c r="O41" t="s">
        <v>311</v>
      </c>
      <c r="P41">
        <v>41</v>
      </c>
      <c r="Q41" s="6" t="s">
        <v>312</v>
      </c>
      <c r="R41" t="s">
        <v>203</v>
      </c>
    </row>
    <row r="42" spans="1:23" x14ac:dyDescent="0.3">
      <c r="A42" t="s">
        <v>104</v>
      </c>
      <c r="D42" t="s">
        <v>168</v>
      </c>
      <c r="F42" t="str">
        <f t="shared" si="3"/>
        <v>13</v>
      </c>
      <c r="G42">
        <v>42</v>
      </c>
      <c r="I42" t="str">
        <f t="shared" si="4"/>
        <v>267</v>
      </c>
      <c r="K42" t="s">
        <v>268</v>
      </c>
      <c r="L42">
        <f t="shared" si="2"/>
        <v>13</v>
      </c>
      <c r="O42" t="s">
        <v>311</v>
      </c>
      <c r="P42">
        <v>42</v>
      </c>
      <c r="Q42" s="6" t="s">
        <v>312</v>
      </c>
      <c r="R42" t="s">
        <v>196</v>
      </c>
    </row>
    <row r="43" spans="1:23" x14ac:dyDescent="0.3">
      <c r="A43" t="s">
        <v>105</v>
      </c>
      <c r="D43" t="s">
        <v>169</v>
      </c>
      <c r="F43" t="str">
        <f t="shared" si="3"/>
        <v>5</v>
      </c>
      <c r="G43">
        <v>43</v>
      </c>
      <c r="I43" t="str">
        <f t="shared" si="4"/>
        <v>272</v>
      </c>
      <c r="K43" t="s">
        <v>270</v>
      </c>
      <c r="L43">
        <f t="shared" si="2"/>
        <v>5</v>
      </c>
      <c r="O43" t="s">
        <v>311</v>
      </c>
      <c r="P43">
        <v>43</v>
      </c>
      <c r="Q43" s="6" t="s">
        <v>312</v>
      </c>
      <c r="R43" t="s">
        <v>253</v>
      </c>
    </row>
    <row r="44" spans="1:23" x14ac:dyDescent="0.3">
      <c r="A44" t="s">
        <v>106</v>
      </c>
      <c r="D44" t="s">
        <v>170</v>
      </c>
      <c r="F44" t="str">
        <f t="shared" si="3"/>
        <v>64</v>
      </c>
      <c r="G44">
        <v>44</v>
      </c>
      <c r="I44" t="str">
        <f t="shared" si="4"/>
        <v>277</v>
      </c>
      <c r="K44" t="s">
        <v>272</v>
      </c>
      <c r="L44">
        <f t="shared" si="2"/>
        <v>64</v>
      </c>
      <c r="O44" t="s">
        <v>311</v>
      </c>
      <c r="P44">
        <v>44</v>
      </c>
      <c r="Q44" s="6" t="s">
        <v>312</v>
      </c>
      <c r="R44" t="s">
        <v>299</v>
      </c>
    </row>
    <row r="45" spans="1:23" x14ac:dyDescent="0.3">
      <c r="A45" t="s">
        <v>107</v>
      </c>
      <c r="D45" t="s">
        <v>171</v>
      </c>
      <c r="F45" t="str">
        <f t="shared" si="3"/>
        <v>25</v>
      </c>
      <c r="G45">
        <v>45</v>
      </c>
      <c r="I45" t="str">
        <f t="shared" si="4"/>
        <v>285</v>
      </c>
      <c r="K45" t="s">
        <v>274</v>
      </c>
      <c r="L45">
        <f t="shared" si="2"/>
        <v>25</v>
      </c>
      <c r="O45" t="s">
        <v>311</v>
      </c>
      <c r="P45">
        <v>45</v>
      </c>
      <c r="Q45" s="6" t="s">
        <v>312</v>
      </c>
      <c r="R45" t="s">
        <v>228</v>
      </c>
    </row>
    <row r="46" spans="1:23" x14ac:dyDescent="0.3">
      <c r="A46" t="s">
        <v>108</v>
      </c>
      <c r="D46" t="s">
        <v>172</v>
      </c>
      <c r="F46" t="str">
        <f t="shared" si="3"/>
        <v>12</v>
      </c>
      <c r="G46">
        <v>46</v>
      </c>
      <c r="I46" t="str">
        <f t="shared" si="4"/>
        <v>290</v>
      </c>
      <c r="K46" t="s">
        <v>276</v>
      </c>
      <c r="L46">
        <f t="shared" si="2"/>
        <v>12</v>
      </c>
      <c r="O46" t="s">
        <v>311</v>
      </c>
      <c r="P46">
        <v>46</v>
      </c>
      <c r="Q46" s="6" t="s">
        <v>312</v>
      </c>
      <c r="R46" t="s">
        <v>304</v>
      </c>
    </row>
    <row r="47" spans="1:23" x14ac:dyDescent="0.3">
      <c r="A47" t="s">
        <v>109</v>
      </c>
      <c r="D47" t="s">
        <v>173</v>
      </c>
      <c r="F47" t="str">
        <f t="shared" si="3"/>
        <v>53</v>
      </c>
      <c r="G47">
        <v>47</v>
      </c>
      <c r="I47" t="str">
        <f t="shared" si="4"/>
        <v>295</v>
      </c>
      <c r="K47" t="s">
        <v>278</v>
      </c>
      <c r="L47">
        <f t="shared" si="2"/>
        <v>53</v>
      </c>
      <c r="O47" t="s">
        <v>311</v>
      </c>
      <c r="P47">
        <v>47</v>
      </c>
      <c r="Q47" s="6" t="s">
        <v>312</v>
      </c>
      <c r="R47" t="s">
        <v>266</v>
      </c>
    </row>
    <row r="48" spans="1:23" x14ac:dyDescent="0.3">
      <c r="A48" t="s">
        <v>110</v>
      </c>
      <c r="D48" t="s">
        <v>174</v>
      </c>
      <c r="F48" t="str">
        <f t="shared" si="3"/>
        <v>9</v>
      </c>
      <c r="G48">
        <v>48</v>
      </c>
      <c r="I48" t="str">
        <f t="shared" si="4"/>
        <v>300</v>
      </c>
      <c r="K48" t="s">
        <v>280</v>
      </c>
      <c r="L48">
        <f t="shared" si="2"/>
        <v>9</v>
      </c>
      <c r="O48" t="s">
        <v>311</v>
      </c>
      <c r="P48">
        <v>48</v>
      </c>
      <c r="Q48" s="6" t="s">
        <v>312</v>
      </c>
      <c r="R48" t="s">
        <v>245</v>
      </c>
    </row>
    <row r="49" spans="1:19" x14ac:dyDescent="0.3">
      <c r="A49" t="s">
        <v>111</v>
      </c>
      <c r="D49" t="s">
        <v>175</v>
      </c>
      <c r="F49" t="str">
        <f t="shared" si="3"/>
        <v>60</v>
      </c>
      <c r="G49">
        <v>49</v>
      </c>
      <c r="I49" t="str">
        <f t="shared" si="4"/>
        <v>305</v>
      </c>
      <c r="K49" t="s">
        <v>282</v>
      </c>
      <c r="L49">
        <f t="shared" si="2"/>
        <v>60</v>
      </c>
      <c r="O49" t="s">
        <v>311</v>
      </c>
      <c r="P49">
        <v>49</v>
      </c>
      <c r="Q49" s="6" t="s">
        <v>312</v>
      </c>
      <c r="R49" t="s">
        <v>194</v>
      </c>
    </row>
    <row r="50" spans="1:19" x14ac:dyDescent="0.3">
      <c r="A50" t="s">
        <v>112</v>
      </c>
      <c r="D50" t="s">
        <v>176</v>
      </c>
      <c r="F50" t="str">
        <f t="shared" si="3"/>
        <v>1</v>
      </c>
      <c r="G50">
        <v>50</v>
      </c>
      <c r="I50" t="str">
        <f t="shared" si="4"/>
        <v>321</v>
      </c>
      <c r="K50" t="s">
        <v>284</v>
      </c>
      <c r="L50">
        <f t="shared" si="2"/>
        <v>1</v>
      </c>
      <c r="O50" t="s">
        <v>311</v>
      </c>
      <c r="P50">
        <v>50</v>
      </c>
      <c r="Q50" s="6" t="s">
        <v>312</v>
      </c>
      <c r="R50" t="s">
        <v>198</v>
      </c>
    </row>
    <row r="51" spans="1:19" x14ac:dyDescent="0.3">
      <c r="A51" t="s">
        <v>113</v>
      </c>
      <c r="D51" t="s">
        <v>177</v>
      </c>
      <c r="F51" t="str">
        <f t="shared" si="3"/>
        <v>29</v>
      </c>
      <c r="G51">
        <v>51</v>
      </c>
      <c r="I51" t="str">
        <f t="shared" si="4"/>
        <v>326</v>
      </c>
      <c r="K51" t="s">
        <v>286</v>
      </c>
      <c r="L51">
        <f t="shared" si="2"/>
        <v>29</v>
      </c>
      <c r="O51" t="s">
        <v>311</v>
      </c>
      <c r="P51">
        <v>51</v>
      </c>
      <c r="Q51" s="6" t="s">
        <v>312</v>
      </c>
      <c r="R51" t="s">
        <v>264</v>
      </c>
    </row>
    <row r="52" spans="1:19" x14ac:dyDescent="0.3">
      <c r="A52" t="s">
        <v>114</v>
      </c>
      <c r="D52" t="s">
        <v>178</v>
      </c>
      <c r="F52" t="str">
        <f t="shared" si="3"/>
        <v>63</v>
      </c>
      <c r="G52">
        <v>52</v>
      </c>
      <c r="I52" t="str">
        <f t="shared" si="4"/>
        <v>331</v>
      </c>
      <c r="K52" t="s">
        <v>288</v>
      </c>
      <c r="L52">
        <f t="shared" si="2"/>
        <v>63</v>
      </c>
      <c r="O52" t="s">
        <v>311</v>
      </c>
      <c r="P52">
        <v>52</v>
      </c>
      <c r="Q52" s="6" t="s">
        <v>312</v>
      </c>
      <c r="R52" t="s">
        <v>205</v>
      </c>
    </row>
    <row r="53" spans="1:19" x14ac:dyDescent="0.3">
      <c r="A53" t="s">
        <v>115</v>
      </c>
      <c r="D53" t="s">
        <v>179</v>
      </c>
      <c r="F53" t="str">
        <f t="shared" si="3"/>
        <v>30</v>
      </c>
      <c r="G53">
        <v>53</v>
      </c>
      <c r="I53" t="str">
        <f t="shared" si="4"/>
        <v>339</v>
      </c>
      <c r="K53" t="s">
        <v>290</v>
      </c>
      <c r="L53">
        <f t="shared" si="2"/>
        <v>30</v>
      </c>
      <c r="O53" t="s">
        <v>311</v>
      </c>
      <c r="P53">
        <v>53</v>
      </c>
      <c r="Q53" s="6" t="s">
        <v>312</v>
      </c>
      <c r="R53" t="s">
        <v>216</v>
      </c>
    </row>
    <row r="54" spans="1:19" x14ac:dyDescent="0.3">
      <c r="A54" t="s">
        <v>116</v>
      </c>
      <c r="D54" t="s">
        <v>180</v>
      </c>
      <c r="F54" t="str">
        <f t="shared" si="3"/>
        <v>20</v>
      </c>
      <c r="G54">
        <v>54</v>
      </c>
      <c r="I54" t="str">
        <f t="shared" si="4"/>
        <v>344</v>
      </c>
      <c r="K54" t="s">
        <v>292</v>
      </c>
      <c r="L54">
        <f t="shared" si="2"/>
        <v>20</v>
      </c>
      <c r="O54" t="s">
        <v>311</v>
      </c>
      <c r="P54">
        <v>54</v>
      </c>
      <c r="Q54" s="6" t="s">
        <v>312</v>
      </c>
      <c r="R54" t="s">
        <v>233</v>
      </c>
    </row>
    <row r="55" spans="1:19" x14ac:dyDescent="0.3">
      <c r="A55" t="s">
        <v>117</v>
      </c>
      <c r="D55" t="s">
        <v>181</v>
      </c>
      <c r="F55" t="str">
        <f t="shared" si="3"/>
        <v>21</v>
      </c>
      <c r="G55">
        <v>55</v>
      </c>
      <c r="I55" t="str">
        <f t="shared" si="4"/>
        <v>349</v>
      </c>
      <c r="K55" t="s">
        <v>192</v>
      </c>
      <c r="L55">
        <f t="shared" si="2"/>
        <v>21</v>
      </c>
      <c r="O55" t="s">
        <v>311</v>
      </c>
      <c r="P55">
        <v>55</v>
      </c>
      <c r="Q55" s="6" t="s">
        <v>312</v>
      </c>
      <c r="R55" t="s">
        <v>251</v>
      </c>
    </row>
    <row r="56" spans="1:19" x14ac:dyDescent="0.3">
      <c r="A56" t="s">
        <v>118</v>
      </c>
      <c r="D56" t="s">
        <v>182</v>
      </c>
      <c r="F56" t="str">
        <f t="shared" si="3"/>
        <v>6</v>
      </c>
      <c r="G56">
        <v>56</v>
      </c>
      <c r="I56" t="str">
        <f t="shared" si="4"/>
        <v>354</v>
      </c>
      <c r="K56" t="s">
        <v>295</v>
      </c>
      <c r="L56">
        <f t="shared" si="2"/>
        <v>6</v>
      </c>
      <c r="O56" t="s">
        <v>311</v>
      </c>
      <c r="P56">
        <v>56</v>
      </c>
      <c r="Q56" s="6" t="s">
        <v>312</v>
      </c>
      <c r="R56" t="s">
        <v>249</v>
      </c>
    </row>
    <row r="57" spans="1:19" x14ac:dyDescent="0.3">
      <c r="A57" t="s">
        <v>119</v>
      </c>
      <c r="D57" t="s">
        <v>183</v>
      </c>
      <c r="F57" t="str">
        <f t="shared" si="3"/>
        <v>36</v>
      </c>
      <c r="G57">
        <v>57</v>
      </c>
      <c r="I57" t="str">
        <f t="shared" si="4"/>
        <v>359</v>
      </c>
      <c r="K57" t="s">
        <v>198</v>
      </c>
      <c r="L57">
        <f t="shared" si="2"/>
        <v>36</v>
      </c>
      <c r="O57" t="s">
        <v>311</v>
      </c>
      <c r="P57">
        <v>57</v>
      </c>
      <c r="Q57" s="6" t="s">
        <v>312</v>
      </c>
      <c r="R57" t="s">
        <v>308</v>
      </c>
    </row>
    <row r="58" spans="1:19" x14ac:dyDescent="0.3">
      <c r="A58" t="s">
        <v>120</v>
      </c>
      <c r="D58" t="s">
        <v>184</v>
      </c>
      <c r="F58" t="str">
        <f t="shared" si="3"/>
        <v>44</v>
      </c>
      <c r="G58">
        <v>58</v>
      </c>
      <c r="I58" t="str">
        <f t="shared" si="4"/>
        <v>367</v>
      </c>
      <c r="K58" t="s">
        <v>298</v>
      </c>
      <c r="L58">
        <f t="shared" si="2"/>
        <v>44</v>
      </c>
      <c r="O58" t="s">
        <v>311</v>
      </c>
      <c r="P58">
        <v>58</v>
      </c>
      <c r="Q58" s="6" t="s">
        <v>312</v>
      </c>
      <c r="R58" t="s">
        <v>212</v>
      </c>
    </row>
    <row r="59" spans="1:19" x14ac:dyDescent="0.3">
      <c r="A59" t="s">
        <v>121</v>
      </c>
      <c r="D59" t="s">
        <v>185</v>
      </c>
      <c r="F59" t="str">
        <f t="shared" si="3"/>
        <v>2</v>
      </c>
      <c r="G59">
        <v>59</v>
      </c>
      <c r="I59" t="str">
        <f t="shared" si="4"/>
        <v>372</v>
      </c>
      <c r="K59" t="s">
        <v>300</v>
      </c>
      <c r="L59">
        <f t="shared" si="2"/>
        <v>2</v>
      </c>
      <c r="O59" t="s">
        <v>311</v>
      </c>
      <c r="P59">
        <v>59</v>
      </c>
      <c r="Q59" s="6" t="s">
        <v>312</v>
      </c>
      <c r="R59" t="s">
        <v>283</v>
      </c>
    </row>
    <row r="60" spans="1:19" x14ac:dyDescent="0.3">
      <c r="A60" t="s">
        <v>122</v>
      </c>
      <c r="D60" t="s">
        <v>186</v>
      </c>
      <c r="F60" t="str">
        <f t="shared" si="3"/>
        <v>33</v>
      </c>
      <c r="G60">
        <v>60</v>
      </c>
      <c r="I60" t="str">
        <f t="shared" si="4"/>
        <v>382</v>
      </c>
      <c r="K60" t="s">
        <v>302</v>
      </c>
      <c r="L60">
        <f t="shared" si="2"/>
        <v>33</v>
      </c>
      <c r="O60" t="s">
        <v>311</v>
      </c>
      <c r="P60">
        <v>60</v>
      </c>
      <c r="Q60" s="6" t="s">
        <v>312</v>
      </c>
      <c r="R60" t="s">
        <v>218</v>
      </c>
    </row>
    <row r="61" spans="1:19" x14ac:dyDescent="0.3">
      <c r="A61" t="s">
        <v>123</v>
      </c>
      <c r="D61" t="s">
        <v>187</v>
      </c>
      <c r="F61" t="str">
        <f t="shared" si="3"/>
        <v>46</v>
      </c>
      <c r="G61">
        <v>61</v>
      </c>
      <c r="I61" t="str">
        <f t="shared" si="4"/>
        <v>390</v>
      </c>
      <c r="K61" t="s">
        <v>202</v>
      </c>
      <c r="L61">
        <f t="shared" si="2"/>
        <v>46</v>
      </c>
    </row>
    <row r="62" spans="1:19" x14ac:dyDescent="0.3">
      <c r="A62" t="s">
        <v>124</v>
      </c>
      <c r="D62" t="s">
        <v>188</v>
      </c>
      <c r="F62" t="str">
        <f t="shared" si="3"/>
        <v>18</v>
      </c>
      <c r="G62">
        <v>62</v>
      </c>
      <c r="I62" t="str">
        <f t="shared" si="4"/>
        <v>398</v>
      </c>
      <c r="K62" t="s">
        <v>305</v>
      </c>
      <c r="L62">
        <f t="shared" si="2"/>
        <v>18</v>
      </c>
      <c r="O62" t="s">
        <v>311</v>
      </c>
      <c r="P62">
        <v>61</v>
      </c>
      <c r="Q62" s="6" t="s">
        <v>312</v>
      </c>
      <c r="R62" t="s">
        <v>279</v>
      </c>
      <c r="S62" s="9" t="s">
        <v>357</v>
      </c>
    </row>
    <row r="63" spans="1:19" x14ac:dyDescent="0.3">
      <c r="A63" t="s">
        <v>125</v>
      </c>
      <c r="D63" t="s">
        <v>189</v>
      </c>
      <c r="F63" t="str">
        <f t="shared" si="3"/>
        <v>58</v>
      </c>
      <c r="G63">
        <v>63</v>
      </c>
      <c r="I63" t="str">
        <f t="shared" si="4"/>
        <v>403</v>
      </c>
      <c r="K63" t="s">
        <v>307</v>
      </c>
      <c r="L63">
        <f t="shared" si="2"/>
        <v>58</v>
      </c>
      <c r="O63" t="s">
        <v>311</v>
      </c>
      <c r="P63">
        <v>62</v>
      </c>
      <c r="Q63" s="6" t="s">
        <v>312</v>
      </c>
      <c r="R63" t="s">
        <v>310</v>
      </c>
      <c r="S63" s="9" t="s">
        <v>373</v>
      </c>
    </row>
    <row r="64" spans="1:19" x14ac:dyDescent="0.3">
      <c r="A64" t="s">
        <v>126</v>
      </c>
      <c r="D64" t="s">
        <v>190</v>
      </c>
      <c r="F64" t="str">
        <f t="shared" si="3"/>
        <v>62</v>
      </c>
      <c r="G64">
        <v>64</v>
      </c>
      <c r="I64" t="str">
        <f t="shared" si="4"/>
        <v>410</v>
      </c>
      <c r="K64" t="s">
        <v>309</v>
      </c>
      <c r="L64">
        <f t="shared" si="2"/>
        <v>62</v>
      </c>
      <c r="O64" t="s">
        <v>311</v>
      </c>
      <c r="P64">
        <v>63</v>
      </c>
      <c r="Q64" s="6" t="s">
        <v>312</v>
      </c>
      <c r="R64" t="s">
        <v>289</v>
      </c>
      <c r="S64" s="9" t="s">
        <v>361</v>
      </c>
    </row>
    <row r="65" spans="15:19" x14ac:dyDescent="0.3">
      <c r="O65" t="s">
        <v>311</v>
      </c>
      <c r="P65">
        <v>64</v>
      </c>
      <c r="Q65" s="6" t="s">
        <v>312</v>
      </c>
      <c r="R65" t="s">
        <v>273</v>
      </c>
      <c r="S65" s="9" t="s">
        <v>354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Base</vt:lpstr>
      <vt:lpstr>Calcoli</vt:lpstr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TheBonus</dc:creator>
  <cp:lastModifiedBy>Lab. Analisi Val Sambro</cp:lastModifiedBy>
  <dcterms:created xsi:type="dcterms:W3CDTF">2021-01-27T10:01:08Z</dcterms:created>
  <dcterms:modified xsi:type="dcterms:W3CDTF">2025-04-05T19:13:53Z</dcterms:modified>
</cp:coreProperties>
</file>